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2BD57600-5E13-4A8B-8FA9-83C213E2DC44}"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 i="23" l="1"/>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D83" i="35" l="1"/>
  <c r="D83" i="35"/>
  <c r="AV82" i="35"/>
  <c r="AT82" i="35"/>
  <c r="AR82" i="35"/>
  <c r="R82" i="35"/>
  <c r="P82" i="35"/>
  <c r="N82" i="35"/>
  <c r="L82" i="35"/>
  <c r="B82" i="35"/>
  <c r="AT81" i="35"/>
  <c r="AP81" i="35"/>
  <c r="AN81" i="35"/>
  <c r="AL81" i="35"/>
  <c r="T81" i="35"/>
  <c r="R81" i="35"/>
  <c r="N81" i="35"/>
  <c r="J81" i="35"/>
  <c r="H81" i="35"/>
  <c r="F81" i="35"/>
  <c r="AV80" i="35"/>
  <c r="AT80" i="35"/>
  <c r="AR80" i="35"/>
  <c r="AP80" i="35"/>
  <c r="AN80" i="35"/>
  <c r="AL80" i="35"/>
  <c r="AJ80" i="35"/>
  <c r="AH80" i="35"/>
  <c r="AD80" i="35"/>
  <c r="Z80" i="35"/>
  <c r="X80" i="35"/>
  <c r="V80" i="35"/>
  <c r="AV79" i="35" a="1"/>
  <c r="AV79" i="35" s="1"/>
  <c r="AT79" i="35" a="1"/>
  <c r="AT79" i="35" s="1"/>
  <c r="AR79" i="35" a="1"/>
  <c r="AR79" i="35" s="1"/>
  <c r="AP79" i="35" a="1"/>
  <c r="AP79" i="35" s="1"/>
  <c r="AN79" i="35" a="1"/>
  <c r="AN79" i="35" s="1"/>
  <c r="AL79" i="35"/>
  <c r="AL79" i="35" a="1"/>
  <c r="AJ79" i="35"/>
  <c r="AJ79" i="35" a="1"/>
  <c r="AH79" i="35" a="1"/>
  <c r="AH79" i="35" s="1"/>
  <c r="AF79" i="35" a="1"/>
  <c r="AF79" i="35" s="1"/>
  <c r="AD79" i="35" a="1"/>
  <c r="AD79" i="35" s="1"/>
  <c r="AB79" i="35" a="1"/>
  <c r="AB79" i="35" s="1"/>
  <c r="Z79" i="35" a="1"/>
  <c r="Z79" i="35" s="1"/>
  <c r="X79" i="35" a="1"/>
  <c r="X79" i="35" s="1"/>
  <c r="V79" i="35" a="1"/>
  <c r="V79" i="35" s="1"/>
  <c r="T79" i="35" a="1"/>
  <c r="T79" i="35" s="1"/>
  <c r="R79" i="35" a="1"/>
  <c r="R79" i="35" s="1"/>
  <c r="P79" i="35" a="1"/>
  <c r="P79" i="35" s="1"/>
  <c r="N79" i="35" a="1"/>
  <c r="N79" i="35" s="1"/>
  <c r="L79" i="35" a="1"/>
  <c r="L79" i="35" s="1"/>
  <c r="J79" i="35" a="1"/>
  <c r="J79" i="35" s="1"/>
  <c r="H79" i="35" a="1"/>
  <c r="H79" i="35" s="1"/>
  <c r="F79" i="35" a="1"/>
  <c r="F79" i="35" s="1"/>
  <c r="D79" i="35" a="1"/>
  <c r="D79" i="35" s="1"/>
  <c r="B79" i="35" a="1"/>
  <c r="B79" i="35" s="1"/>
  <c r="AV78" i="35" a="1"/>
  <c r="AV78" i="35" s="1"/>
  <c r="AT78" i="35" a="1"/>
  <c r="AT78" i="35" s="1"/>
  <c r="AR78" i="35" a="1"/>
  <c r="AR78" i="35" s="1"/>
  <c r="AP78" i="35" a="1"/>
  <c r="AP78" i="35" s="1"/>
  <c r="AN78" i="35" a="1"/>
  <c r="AN78" i="35" s="1"/>
  <c r="AL78" i="35" a="1"/>
  <c r="AL78" i="35" s="1"/>
  <c r="AJ78" i="35" a="1"/>
  <c r="AJ78" i="35" s="1"/>
  <c r="AH78" i="35" a="1"/>
  <c r="AH78" i="35" s="1"/>
  <c r="AF78" i="35" a="1"/>
  <c r="AF78" i="35" s="1"/>
  <c r="AD78" i="35" a="1"/>
  <c r="AD78" i="35" s="1"/>
  <c r="AB78" i="35" a="1"/>
  <c r="AB78" i="35" s="1"/>
  <c r="Z78" i="35"/>
  <c r="Z78" i="35" a="1"/>
  <c r="X78" i="35"/>
  <c r="X78" i="35" a="1"/>
  <c r="V78" i="35" a="1"/>
  <c r="V78" i="35" s="1"/>
  <c r="T78" i="35" a="1"/>
  <c r="T78" i="35" s="1"/>
  <c r="R78" i="35" a="1"/>
  <c r="R78" i="35" s="1"/>
  <c r="P78" i="35" a="1"/>
  <c r="P78" i="35" s="1"/>
  <c r="N78" i="35" a="1"/>
  <c r="N78" i="35" s="1"/>
  <c r="L78" i="35" a="1"/>
  <c r="L78" i="35" s="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c r="AJ77" i="35" a="1"/>
  <c r="AH77" i="35"/>
  <c r="AH77" i="35" a="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c r="B77" i="35" a="1"/>
  <c r="AV76" i="35" a="1"/>
  <c r="AV76" i="35" s="1"/>
  <c r="AT76" i="35" a="1"/>
  <c r="AT76" i="35" s="1"/>
  <c r="AR76" i="35" a="1"/>
  <c r="AR76" i="35" s="1"/>
  <c r="AP76" i="35" a="1"/>
  <c r="AP76" i="35" s="1"/>
  <c r="AN76" i="35" a="1"/>
  <c r="AN76" i="35" s="1"/>
  <c r="AL76" i="35" a="1"/>
  <c r="AL76" i="35" s="1"/>
  <c r="AJ76" i="35" a="1"/>
  <c r="AJ76" i="35" s="1"/>
  <c r="AH76" i="35" a="1"/>
  <c r="AH76" i="35" s="1"/>
  <c r="AF76" i="35" a="1"/>
  <c r="AF76" i="35" s="1"/>
  <c r="AD76" i="35" a="1"/>
  <c r="AD76" i="35" s="1"/>
  <c r="AB76" i="35" a="1"/>
  <c r="AB76" i="35" s="1"/>
  <c r="Z76" i="35" a="1"/>
  <c r="Z76" i="35" s="1"/>
  <c r="X76" i="35"/>
  <c r="X76" i="35" a="1"/>
  <c r="V76" i="35"/>
  <c r="V76" i="35" a="1"/>
  <c r="T76" i="35" a="1"/>
  <c r="T76" i="35" s="1"/>
  <c r="R76" i="35" a="1"/>
  <c r="R76" i="35" s="1"/>
  <c r="P76" i="35" a="1"/>
  <c r="P76" i="35" s="1"/>
  <c r="N76" i="35" a="1"/>
  <c r="N76" i="35" s="1"/>
  <c r="L76" i="35" a="1"/>
  <c r="L76" i="35" s="1"/>
  <c r="J76" i="35" a="1"/>
  <c r="J76" i="35" s="1"/>
  <c r="H76" i="35" a="1"/>
  <c r="H76" i="35" s="1"/>
  <c r="F76" i="35" a="1"/>
  <c r="F76" i="35" s="1"/>
  <c r="D76" i="35" a="1"/>
  <c r="D76" i="35" s="1"/>
  <c r="B76" i="35" a="1"/>
  <c r="B76" i="35" s="1"/>
  <c r="AV75" i="35" a="1"/>
  <c r="AV75" i="35" s="1"/>
  <c r="AT75" i="35" a="1"/>
  <c r="AT75" i="35" s="1"/>
  <c r="AR75" i="35" a="1"/>
  <c r="AR75" i="35" s="1"/>
  <c r="AP75" i="35" a="1"/>
  <c r="AP75" i="35" s="1"/>
  <c r="AN75" i="35" a="1"/>
  <c r="AN75" i="35" s="1"/>
  <c r="AL75" i="35" a="1"/>
  <c r="AL75" i="35" s="1"/>
  <c r="AJ75" i="35" a="1"/>
  <c r="AJ75" i="35" s="1"/>
  <c r="AH75" i="35"/>
  <c r="AH75" i="35" a="1"/>
  <c r="AF75" i="35" a="1"/>
  <c r="AF75" i="35" s="1"/>
  <c r="AD75" i="35" a="1"/>
  <c r="AD75" i="35" s="1"/>
  <c r="AB75" i="35" a="1"/>
  <c r="AB75" i="35" s="1"/>
  <c r="Z75" i="35" a="1"/>
  <c r="Z75" i="35" s="1"/>
  <c r="X75" i="35" a="1"/>
  <c r="X75" i="35" s="1"/>
  <c r="V75" i="35" a="1"/>
  <c r="V75" i="35" s="1"/>
  <c r="T75" i="35"/>
  <c r="T75" i="35" a="1"/>
  <c r="R75" i="35"/>
  <c r="R75" i="35" a="1"/>
  <c r="P75" i="35" a="1"/>
  <c r="P75" i="35" s="1"/>
  <c r="N75" i="35" a="1"/>
  <c r="N75" i="35" s="1"/>
  <c r="L75" i="35" a="1"/>
  <c r="L75" i="35" s="1"/>
  <c r="J75" i="35"/>
  <c r="J75" i="35" a="1"/>
  <c r="H75" i="35" a="1"/>
  <c r="H75" i="35" s="1"/>
  <c r="F75" i="35" a="1"/>
  <c r="F75" i="35" s="1"/>
  <c r="D75" i="35" a="1"/>
  <c r="D75" i="35" s="1"/>
  <c r="B75" i="35" a="1"/>
  <c r="B75" i="35" s="1"/>
  <c r="AV74" i="35" a="1"/>
  <c r="AV74" i="35" s="1"/>
  <c r="AT74" i="35" a="1"/>
  <c r="AT74" i="35" s="1"/>
  <c r="AR74" i="35" a="1"/>
  <c r="AR74" i="35" s="1"/>
  <c r="AP74" i="35"/>
  <c r="AP74" i="35" a="1"/>
  <c r="AN74" i="35" a="1"/>
  <c r="AN74" i="35" s="1"/>
  <c r="AL74" i="35" a="1"/>
  <c r="AL74" i="35" s="1"/>
  <c r="AJ74" i="35" a="1"/>
  <c r="AJ74" i="35" s="1"/>
  <c r="AH74" i="35" a="1"/>
  <c r="AH74" i="35" s="1"/>
  <c r="AF74" i="35" a="1"/>
  <c r="AF74" i="35" s="1"/>
  <c r="AD74" i="35" a="1"/>
  <c r="AD74" i="35" s="1"/>
  <c r="AB74" i="35" a="1"/>
  <c r="AB74" i="35" s="1"/>
  <c r="Z74" i="35" a="1"/>
  <c r="Z74" i="35" s="1"/>
  <c r="X74" i="35" a="1"/>
  <c r="X74" i="35" s="1"/>
  <c r="V74" i="35"/>
  <c r="V74" i="35" a="1"/>
  <c r="T74" i="35"/>
  <c r="T74" i="35" a="1"/>
  <c r="R74" i="35" a="1"/>
  <c r="R74" i="35" s="1"/>
  <c r="P74" i="35" a="1"/>
  <c r="P74" i="35" s="1"/>
  <c r="N74" i="35" a="1"/>
  <c r="N74" i="35" s="1"/>
  <c r="L74" i="35" a="1"/>
  <c r="L74" i="35" s="1"/>
  <c r="J74" i="35" a="1"/>
  <c r="J74" i="35" s="1"/>
  <c r="H74" i="35" a="1"/>
  <c r="H74" i="35" s="1"/>
  <c r="F74" i="35" a="1"/>
  <c r="F74" i="35" s="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a="1"/>
  <c r="V73" i="35" s="1"/>
  <c r="T73" i="35" a="1"/>
  <c r="T73" i="35" s="1"/>
  <c r="R73" i="35" a="1"/>
  <c r="R73" i="35" s="1"/>
  <c r="P73" i="35" a="1"/>
  <c r="P73" i="35" s="1"/>
  <c r="N73" i="35" a="1"/>
  <c r="N73" i="35" s="1"/>
  <c r="L73" i="35" a="1"/>
  <c r="L73" i="35" s="1"/>
  <c r="J73" i="35"/>
  <c r="J73" i="35" a="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V69" i="35"/>
  <c r="T69" i="35"/>
  <c r="N69" i="35"/>
  <c r="J69" i="35"/>
  <c r="T68" i="35"/>
  <c r="F68" i="35"/>
  <c r="AV67" i="35" a="1"/>
  <c r="AV67" i="35" s="1"/>
  <c r="AT67" i="35" a="1"/>
  <c r="AT67" i="35" s="1"/>
  <c r="AR67" i="35" a="1"/>
  <c r="AR67" i="35" s="1"/>
  <c r="AP67" i="35" a="1"/>
  <c r="AP67" i="35" s="1"/>
  <c r="AN67" i="35" a="1"/>
  <c r="AN67" i="35" s="1"/>
  <c r="AL67" i="35" a="1"/>
  <c r="AL67" i="35" s="1"/>
  <c r="AL68" i="35" s="1"/>
  <c r="AJ67" i="35" a="1"/>
  <c r="AJ67" i="35" s="1"/>
  <c r="AJ68" i="35" s="1"/>
  <c r="AH67" i="35" a="1"/>
  <c r="AH67" i="35" s="1"/>
  <c r="AF67" i="35"/>
  <c r="AF67" i="35" a="1"/>
  <c r="AD67" i="35"/>
  <c r="AD67" i="35" a="1"/>
  <c r="AB67" i="35" a="1"/>
  <c r="AB67" i="35" s="1"/>
  <c r="Z67" i="35" a="1"/>
  <c r="Z67" i="35" s="1"/>
  <c r="X67" i="35" a="1"/>
  <c r="X67" i="35" s="1"/>
  <c r="V67" i="35" a="1"/>
  <c r="V67" i="35" s="1"/>
  <c r="T67" i="35" a="1"/>
  <c r="T67" i="35" s="1"/>
  <c r="R67" i="35" a="1"/>
  <c r="R67" i="35" s="1"/>
  <c r="R68" i="35" s="1"/>
  <c r="P67" i="35" a="1"/>
  <c r="P67" i="35" s="1"/>
  <c r="N67" i="35" a="1"/>
  <c r="N67" i="35" s="1"/>
  <c r="L67" i="35" a="1"/>
  <c r="L67" i="35" s="1"/>
  <c r="J67" i="35" a="1"/>
  <c r="J67" i="35" s="1"/>
  <c r="H67" i="35" a="1"/>
  <c r="H67" i="35" s="1"/>
  <c r="F67" i="35" a="1"/>
  <c r="F67" i="35" s="1"/>
  <c r="D67" i="35" a="1"/>
  <c r="D67" i="35" s="1"/>
  <c r="B67" i="35" a="1"/>
  <c r="B67" i="35" s="1"/>
  <c r="AV66" i="35" a="1"/>
  <c r="AV66" i="35" s="1"/>
  <c r="AT66" i="35" a="1"/>
  <c r="AT66" i="35" s="1"/>
  <c r="AT68" i="35" s="1"/>
  <c r="AR66" i="35"/>
  <c r="AR68" i="35" s="1"/>
  <c r="AR66" i="35" a="1"/>
  <c r="AP66" i="35"/>
  <c r="AP68" i="35" s="1"/>
  <c r="AP66" i="35" a="1"/>
  <c r="AN66" i="35" a="1"/>
  <c r="AN66" i="35" s="1"/>
  <c r="AL66" i="35" a="1"/>
  <c r="AL66" i="35" s="1"/>
  <c r="AJ66" i="35" a="1"/>
  <c r="AJ66" i="35" s="1"/>
  <c r="AH66" i="35" a="1"/>
  <c r="AH66" i="35" s="1"/>
  <c r="AF66" i="35" a="1"/>
  <c r="AF66" i="35" s="1"/>
  <c r="AF68" i="35" s="1"/>
  <c r="AD66" i="35" a="1"/>
  <c r="AD66" i="35" s="1"/>
  <c r="AD68" i="35" s="1"/>
  <c r="AB66" i="35" a="1"/>
  <c r="AB66" i="35" s="1"/>
  <c r="AB68" i="35" s="1"/>
  <c r="Z66" i="35" a="1"/>
  <c r="Z66" i="35" s="1"/>
  <c r="Z68" i="35" s="1"/>
  <c r="X66" i="35" a="1"/>
  <c r="X66" i="35" s="1"/>
  <c r="X68" i="35" s="1"/>
  <c r="V66" i="35" a="1"/>
  <c r="V66" i="35" s="1"/>
  <c r="V68" i="35" s="1"/>
  <c r="T66" i="35" a="1"/>
  <c r="T66" i="35" s="1"/>
  <c r="R66" i="35"/>
  <c r="R66" i="35" a="1"/>
  <c r="P66" i="35" a="1"/>
  <c r="P66" i="35" s="1"/>
  <c r="N66" i="35" a="1"/>
  <c r="N66" i="35" s="1"/>
  <c r="L66" i="35" a="1"/>
  <c r="L66" i="35" s="1"/>
  <c r="J66" i="35" a="1"/>
  <c r="J66" i="35" s="1"/>
  <c r="H66" i="35" a="1"/>
  <c r="H66" i="35" s="1"/>
  <c r="H68" i="35" s="1"/>
  <c r="F66" i="35" a="1"/>
  <c r="F66" i="35" s="1"/>
  <c r="D66" i="35" a="1"/>
  <c r="D66" i="35" s="1"/>
  <c r="D68" i="35" s="1"/>
  <c r="B66" i="35" a="1"/>
  <c r="B66" i="35" s="1"/>
  <c r="B68"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c r="AD69" i="35" s="1"/>
  <c r="AD65" i="35" a="1"/>
  <c r="AB65" i="35"/>
  <c r="AB69" i="35" s="1"/>
  <c r="AB65" i="35" a="1"/>
  <c r="Z65" i="35" a="1"/>
  <c r="Z65" i="35" s="1"/>
  <c r="Z69" i="35" s="1"/>
  <c r="X65" i="35" a="1"/>
  <c r="X65" i="35" s="1"/>
  <c r="X69" i="35" s="1"/>
  <c r="V65" i="35" a="1"/>
  <c r="V65" i="35" s="1"/>
  <c r="T65" i="35" a="1"/>
  <c r="T65" i="35" s="1"/>
  <c r="R65" i="35" a="1"/>
  <c r="R65" i="35" s="1"/>
  <c r="R69" i="35" s="1"/>
  <c r="P65" i="35"/>
  <c r="P69" i="35" s="1"/>
  <c r="P65" i="35" a="1"/>
  <c r="N65" i="35"/>
  <c r="N65" i="35" a="1"/>
  <c r="L65" i="35" a="1"/>
  <c r="L65" i="35" s="1"/>
  <c r="L69" i="35" s="1"/>
  <c r="J65" i="35" a="1"/>
  <c r="J65" i="35" s="1"/>
  <c r="H65" i="35" a="1"/>
  <c r="H65" i="35" s="1"/>
  <c r="H69" i="35" s="1"/>
  <c r="F65" i="35" a="1"/>
  <c r="F65" i="35" s="1"/>
  <c r="F69" i="35" s="1"/>
  <c r="D65" i="35" a="1"/>
  <c r="D65" i="35" s="1"/>
  <c r="D69" i="35" s="1"/>
  <c r="B65" i="35"/>
  <c r="B69" i="35" s="1"/>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a="1"/>
  <c r="AP58" i="35" s="1"/>
  <c r="AN58" i="35" a="1"/>
  <c r="AN58" i="35" s="1"/>
  <c r="AL58" i="35" a="1"/>
  <c r="AL58" i="35" s="1"/>
  <c r="AJ58" i="35" a="1"/>
  <c r="AJ58" i="35" s="1"/>
  <c r="AH58" i="35" a="1"/>
  <c r="AH58" i="35" s="1"/>
  <c r="AF58" i="35"/>
  <c r="AF58" i="35" a="1"/>
  <c r="AD58" i="35"/>
  <c r="AD58" i="35" a="1"/>
  <c r="AB58" i="35" a="1"/>
  <c r="AB58" i="35" s="1"/>
  <c r="Z58" i="35" a="1"/>
  <c r="Z58" i="35" s="1"/>
  <c r="X58" i="35" a="1"/>
  <c r="X58" i="35" s="1"/>
  <c r="V58" i="35" a="1"/>
  <c r="V58" i="35" s="1"/>
  <c r="T58" i="35" a="1"/>
  <c r="T58" i="35" s="1"/>
  <c r="R58" i="35" a="1"/>
  <c r="R58" i="35" s="1"/>
  <c r="P58" i="35"/>
  <c r="P58" i="35" a="1"/>
  <c r="N58" i="35"/>
  <c r="N58" i="35" a="1"/>
  <c r="L58" i="35" a="1"/>
  <c r="L58" i="35" s="1"/>
  <c r="J58" i="35"/>
  <c r="J58" i="35" a="1"/>
  <c r="H58" i="35" a="1"/>
  <c r="H58" i="35" s="1"/>
  <c r="F58" i="35" a="1"/>
  <c r="F58" i="35" s="1"/>
  <c r="D58" i="35" a="1"/>
  <c r="D58" i="35" s="1"/>
  <c r="B58" i="35" a="1"/>
  <c r="B58" i="35" s="1"/>
  <c r="AV57" i="35"/>
  <c r="AV57" i="35" a="1"/>
  <c r="AT57" i="35"/>
  <c r="AT57" i="35" a="1"/>
  <c r="AR57" i="35" a="1"/>
  <c r="AR57" i="35" s="1"/>
  <c r="AP57" i="35" a="1"/>
  <c r="AP57" i="35" s="1"/>
  <c r="AN57" i="35" a="1"/>
  <c r="AN57" i="35" s="1"/>
  <c r="AL57" i="35" a="1"/>
  <c r="AL57" i="35" s="1"/>
  <c r="AJ57" i="35" a="1"/>
  <c r="AJ57" i="35" s="1"/>
  <c r="AH57" i="35" a="1"/>
  <c r="AH57" i="35" s="1"/>
  <c r="AF57" i="35"/>
  <c r="AF57" i="35" a="1"/>
  <c r="AD57" i="35"/>
  <c r="AD57" i="35" a="1"/>
  <c r="AB57" i="35" a="1"/>
  <c r="AB57" i="35" s="1"/>
  <c r="Z57" i="35"/>
  <c r="Z57" i="35" a="1"/>
  <c r="X57" i="35"/>
  <c r="X57" i="35" a="1"/>
  <c r="V57" i="35" a="1"/>
  <c r="V57" i="35" s="1"/>
  <c r="T57" i="35" a="1"/>
  <c r="T57" i="35" s="1"/>
  <c r="R57" i="35" a="1"/>
  <c r="R57" i="35" s="1"/>
  <c r="P57" i="35"/>
  <c r="P57" i="35" a="1"/>
  <c r="N57" i="35"/>
  <c r="N57" i="35" a="1"/>
  <c r="L57" i="35" a="1"/>
  <c r="L57" i="35" s="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L55" i="35"/>
  <c r="AJ55" i="35"/>
  <c r="AH55" i="35"/>
  <c r="AF55" i="35"/>
  <c r="AF80" i="35" s="1"/>
  <c r="AD55" i="35"/>
  <c r="AB55" i="35"/>
  <c r="AB80" i="35" s="1"/>
  <c r="Z55" i="35"/>
  <c r="X55" i="35"/>
  <c r="V55" i="35"/>
  <c r="T55" i="35"/>
  <c r="T80" i="35" s="1"/>
  <c r="R55" i="35"/>
  <c r="R80" i="35" s="1"/>
  <c r="P55" i="35"/>
  <c r="P80" i="35" s="1"/>
  <c r="N55" i="35"/>
  <c r="N80" i="35" s="1"/>
  <c r="L55" i="35"/>
  <c r="L80" i="35" s="1"/>
  <c r="J55" i="35"/>
  <c r="J80" i="35" s="1"/>
  <c r="H55" i="35"/>
  <c r="H80" i="35" s="1"/>
  <c r="F55" i="35"/>
  <c r="F80" i="35" s="1"/>
  <c r="D55" i="35"/>
  <c r="D80" i="35" s="1"/>
  <c r="B55" i="35"/>
  <c r="B80" i="35" s="1"/>
  <c r="AV53" i="35"/>
  <c r="AV83" i="35" s="1"/>
  <c r="AV53" i="35" a="1"/>
  <c r="AT53" i="35"/>
  <c r="AT83" i="35" s="1"/>
  <c r="AT53" i="35" a="1"/>
  <c r="AR53" i="35" a="1"/>
  <c r="AR53" i="35" s="1"/>
  <c r="AR83" i="35" s="1"/>
  <c r="AP53" i="35" a="1"/>
  <c r="AP53" i="35" s="1"/>
  <c r="AP83" i="35" s="1"/>
  <c r="AN53" i="35"/>
  <c r="AN83" i="35" s="1"/>
  <c r="AN53" i="35" a="1"/>
  <c r="AL53" i="35"/>
  <c r="AL83" i="35" s="1"/>
  <c r="AL53" i="35" a="1"/>
  <c r="AJ53" i="35" a="1"/>
  <c r="AJ53" i="35" s="1"/>
  <c r="AJ83" i="35" s="1"/>
  <c r="AH53" i="35" a="1"/>
  <c r="AH53" i="35" s="1"/>
  <c r="AH83" i="35" s="1"/>
  <c r="AF53" i="35"/>
  <c r="AF83" i="35" s="1"/>
  <c r="AF53" i="35" a="1"/>
  <c r="AD53" i="35"/>
  <c r="AD53" i="35" a="1"/>
  <c r="AB53" i="35" a="1"/>
  <c r="AB53" i="35" s="1"/>
  <c r="AB83" i="35" s="1"/>
  <c r="Z53" i="35" a="1"/>
  <c r="Z53" i="35" s="1"/>
  <c r="Z83" i="35" s="1"/>
  <c r="X53" i="35" a="1"/>
  <c r="X53" i="35" s="1"/>
  <c r="X83" i="35" s="1"/>
  <c r="V53" i="35" a="1"/>
  <c r="V53" i="35" s="1"/>
  <c r="V83" i="35" s="1"/>
  <c r="T53" i="35" a="1"/>
  <c r="T53" i="35" s="1"/>
  <c r="T83" i="35" s="1"/>
  <c r="R53" i="35" a="1"/>
  <c r="R53" i="35" s="1"/>
  <c r="R83" i="35" s="1"/>
  <c r="P53" i="35"/>
  <c r="P83" i="35" s="1"/>
  <c r="P53" i="35" a="1"/>
  <c r="N53" i="35"/>
  <c r="N83" i="35" s="1"/>
  <c r="N53" i="35" a="1"/>
  <c r="L53" i="35" a="1"/>
  <c r="L53" i="35" s="1"/>
  <c r="L83" i="35" s="1"/>
  <c r="J53" i="35" a="1"/>
  <c r="J53" i="35" s="1"/>
  <c r="J83" i="35" s="1"/>
  <c r="H53" i="35" a="1"/>
  <c r="H53" i="35" s="1"/>
  <c r="H83" i="35" s="1"/>
  <c r="F53" i="35"/>
  <c r="F83" i="35" s="1"/>
  <c r="F53" i="35" a="1"/>
  <c r="D53" i="35"/>
  <c r="D53" i="35" a="1"/>
  <c r="B53" i="35" a="1"/>
  <c r="B53" i="35" s="1"/>
  <c r="B83" i="35" s="1"/>
  <c r="AV52" i="35"/>
  <c r="AV52" i="35" a="1"/>
  <c r="AT52" i="35"/>
  <c r="AT52" i="35" a="1"/>
  <c r="AR52" i="35" a="1"/>
  <c r="AR52" i="35" s="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c r="AD82" i="35" s="1"/>
  <c r="AD52" i="35" a="1"/>
  <c r="AB52" i="35" a="1"/>
  <c r="AB52" i="35" s="1"/>
  <c r="AB82" i="35" s="1"/>
  <c r="Z52" i="35" a="1"/>
  <c r="Z52" i="35" s="1"/>
  <c r="Z82" i="35" s="1"/>
  <c r="X52" i="35" a="1"/>
  <c r="X52" i="35" s="1"/>
  <c r="X82" i="35" s="1"/>
  <c r="V52" i="35" a="1"/>
  <c r="V52" i="35" s="1"/>
  <c r="V82" i="35" s="1"/>
  <c r="T52" i="35"/>
  <c r="T82" i="35" s="1"/>
  <c r="T52" i="35" a="1"/>
  <c r="R52" i="35"/>
  <c r="R52" i="35" a="1"/>
  <c r="P52" i="35"/>
  <c r="P52" i="35" a="1"/>
  <c r="N52" i="35"/>
  <c r="N52" i="35" a="1"/>
  <c r="L52" i="35" a="1"/>
  <c r="L52" i="35" s="1"/>
  <c r="J52" i="35" a="1"/>
  <c r="J52" i="35" s="1"/>
  <c r="J82" i="35" s="1"/>
  <c r="H52" i="35" a="1"/>
  <c r="H52" i="35" s="1"/>
  <c r="H82" i="35" s="1"/>
  <c r="F52" i="35" a="1"/>
  <c r="F52" i="35" s="1"/>
  <c r="F82" i="35" s="1"/>
  <c r="D52" i="35" a="1"/>
  <c r="D52" i="35" s="1"/>
  <c r="D82" i="35" s="1"/>
  <c r="B52" i="35" a="1"/>
  <c r="B52" i="35" s="1"/>
  <c r="AV51" i="35"/>
  <c r="AV81" i="35" s="1"/>
  <c r="AT51" i="35"/>
  <c r="AR51" i="35"/>
  <c r="AR81" i="35" s="1"/>
  <c r="AP51" i="35"/>
  <c r="AN51" i="35"/>
  <c r="AL51" i="35"/>
  <c r="AJ51" i="35"/>
  <c r="AJ81" i="35" s="1"/>
  <c r="AH51" i="35"/>
  <c r="AH81" i="35" s="1"/>
  <c r="AF51" i="35"/>
  <c r="AF81" i="35" s="1"/>
  <c r="AD51" i="35"/>
  <c r="AD81" i="35" s="1"/>
  <c r="AB51" i="35"/>
  <c r="AB81" i="35" s="1"/>
  <c r="Z51" i="35"/>
  <c r="Z81" i="35" s="1"/>
  <c r="X51" i="35"/>
  <c r="X81" i="35" s="1"/>
  <c r="V51" i="35"/>
  <c r="V81" i="35" s="1"/>
  <c r="T51" i="35"/>
  <c r="R51" i="35"/>
  <c r="P51" i="35"/>
  <c r="P81" i="35" s="1"/>
  <c r="N51" i="35"/>
  <c r="L51" i="35"/>
  <c r="L81" i="35" s="1"/>
  <c r="J51" i="35"/>
  <c r="H51" i="35"/>
  <c r="F51" i="35"/>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a="1"/>
  <c r="AP43" i="35" s="1"/>
  <c r="AN43" i="35" a="1"/>
  <c r="AN43" i="35" s="1"/>
  <c r="AL43" i="35" a="1"/>
  <c r="AL43" i="35" s="1"/>
  <c r="AJ43" i="35" a="1"/>
  <c r="AJ43" i="35" s="1"/>
  <c r="AH43" i="35"/>
  <c r="AH43" i="35" a="1"/>
  <c r="AF43" i="35"/>
  <c r="AF43" i="35" a="1"/>
  <c r="AD43" i="35"/>
  <c r="AD43" i="35" a="1"/>
  <c r="AB43" i="35" a="1"/>
  <c r="AB43" i="35" s="1"/>
  <c r="Z43" i="35" a="1"/>
  <c r="Z43" i="35" s="1"/>
  <c r="X43" i="35" a="1"/>
  <c r="X43" i="35" s="1"/>
  <c r="V43" i="35" a="1"/>
  <c r="V43" i="35" s="1"/>
  <c r="T43" i="35" a="1"/>
  <c r="T43" i="35" s="1"/>
  <c r="R43" i="35" a="1"/>
  <c r="R43" i="35" s="1"/>
  <c r="P43" i="35"/>
  <c r="P43" i="35" a="1"/>
  <c r="N43" i="35"/>
  <c r="N43" i="35" a="1"/>
  <c r="L43" i="35" a="1"/>
  <c r="L43" i="35" s="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L81" i="38"/>
  <c r="AJ81" i="38"/>
  <c r="AH81" i="38"/>
  <c r="AF81" i="38"/>
  <c r="AD81" i="38"/>
  <c r="X81" i="38"/>
  <c r="V81" i="38"/>
  <c r="T81" i="38"/>
  <c r="R81" i="38"/>
  <c r="J81" i="38"/>
  <c r="H81" i="38"/>
  <c r="F81" i="38"/>
  <c r="D81" i="38"/>
  <c r="B81" i="38"/>
  <c r="AV80" i="38"/>
  <c r="AT80" i="38"/>
  <c r="AP80" i="38"/>
  <c r="AN80" i="38"/>
  <c r="AL80" i="38"/>
  <c r="Z80" i="38"/>
  <c r="X80" i="38"/>
  <c r="V80" i="38"/>
  <c r="T80" i="38"/>
  <c r="R80" i="38"/>
  <c r="P80" i="38"/>
  <c r="N80" i="38"/>
  <c r="AV79" i="38"/>
  <c r="AV79" i="38" a="1"/>
  <c r="AT79" i="38" a="1"/>
  <c r="AT79" i="38" s="1"/>
  <c r="AR79" i="38" a="1"/>
  <c r="AR79" i="38" s="1"/>
  <c r="AP79" i="38" a="1"/>
  <c r="AP79" i="38" s="1"/>
  <c r="AN79" i="38" a="1"/>
  <c r="AN79" i="38" s="1"/>
  <c r="AL79" i="38"/>
  <c r="AL79" i="38" a="1"/>
  <c r="AJ79" i="38" a="1"/>
  <c r="AJ79" i="38" s="1"/>
  <c r="AH79" i="38" a="1"/>
  <c r="AH79" i="38" s="1"/>
  <c r="AF79" i="38"/>
  <c r="AF79" i="38" a="1"/>
  <c r="AD79" i="38" a="1"/>
  <c r="AD79" i="38" s="1"/>
  <c r="AB79" i="38" a="1"/>
  <c r="AB79" i="38" s="1"/>
  <c r="Z79" i="38" a="1"/>
  <c r="Z79" i="38" s="1"/>
  <c r="X79" i="38" a="1"/>
  <c r="X79" i="38" s="1"/>
  <c r="V79" i="38" a="1"/>
  <c r="V79" i="38" s="1"/>
  <c r="T79" i="38" a="1"/>
  <c r="T79" i="38" s="1"/>
  <c r="R79" i="38"/>
  <c r="R79" i="38" a="1"/>
  <c r="P79" i="38"/>
  <c r="P79" i="38" a="1"/>
  <c r="N79" i="38" a="1"/>
  <c r="N79" i="38" s="1"/>
  <c r="L79" i="38" a="1"/>
  <c r="L79" i="38" s="1"/>
  <c r="J79" i="38" a="1"/>
  <c r="J79" i="38" s="1"/>
  <c r="H79" i="38" a="1"/>
  <c r="H79" i="38" s="1"/>
  <c r="F79" i="38" a="1"/>
  <c r="F79" i="38" s="1"/>
  <c r="D79" i="38" a="1"/>
  <c r="D79" i="38" s="1"/>
  <c r="B79" i="38" a="1"/>
  <c r="B79" i="38" s="1"/>
  <c r="AV78" i="38"/>
  <c r="AV78" i="38" a="1"/>
  <c r="AT78" i="38" a="1"/>
  <c r="AT78" i="38" s="1"/>
  <c r="AR78" i="38" a="1"/>
  <c r="AR78" i="38" s="1"/>
  <c r="AP78" i="38" a="1"/>
  <c r="AP78" i="38" s="1"/>
  <c r="AN78" i="38" a="1"/>
  <c r="AN78" i="38" s="1"/>
  <c r="AL78" i="38" a="1"/>
  <c r="AL78" i="38" s="1"/>
  <c r="AJ78" i="38" a="1"/>
  <c r="AJ78" i="38" s="1"/>
  <c r="AH78" i="38" a="1"/>
  <c r="AH78" i="38" s="1"/>
  <c r="AF78" i="38"/>
  <c r="AF78" i="38" a="1"/>
  <c r="AD78" i="38" a="1"/>
  <c r="AD78" i="38" s="1"/>
  <c r="AB78" i="38" a="1"/>
  <c r="AB78" i="38" s="1"/>
  <c r="Z78" i="38" a="1"/>
  <c r="Z78" i="38" s="1"/>
  <c r="X78" i="38" a="1"/>
  <c r="X78" i="38" s="1"/>
  <c r="V78" i="38"/>
  <c r="V78" i="38" a="1"/>
  <c r="T78" i="38" a="1"/>
  <c r="T78" i="38" s="1"/>
  <c r="R78" i="38" a="1"/>
  <c r="R78" i="38" s="1"/>
  <c r="P78" i="38"/>
  <c r="P78" i="38" a="1"/>
  <c r="N78" i="38" a="1"/>
  <c r="N78" i="38" s="1"/>
  <c r="L78" i="38" a="1"/>
  <c r="L78" i="38" s="1"/>
  <c r="J78" i="38" a="1"/>
  <c r="J78" i="38" s="1"/>
  <c r="H78" i="38" a="1"/>
  <c r="H78" i="38" s="1"/>
  <c r="F78" i="38" a="1"/>
  <c r="F78" i="38" s="1"/>
  <c r="D78" i="38" a="1"/>
  <c r="D78" i="38" s="1"/>
  <c r="B78" i="38"/>
  <c r="B78" i="38" a="1"/>
  <c r="AV77" i="38"/>
  <c r="AV77" i="38" a="1"/>
  <c r="AT77" i="38" a="1"/>
  <c r="AT77" i="38" s="1"/>
  <c r="AR77" i="38" a="1"/>
  <c r="AR77" i="38" s="1"/>
  <c r="AP77" i="38" a="1"/>
  <c r="AP77" i="38" s="1"/>
  <c r="AN77" i="38" a="1"/>
  <c r="AN77" i="38" s="1"/>
  <c r="AL77" i="38" a="1"/>
  <c r="AL77" i="38" s="1"/>
  <c r="AJ77" i="38" a="1"/>
  <c r="AJ77" i="38" s="1"/>
  <c r="AH77" i="38" a="1"/>
  <c r="AH77" i="38" s="1"/>
  <c r="AF77" i="38"/>
  <c r="AF77" i="38" a="1"/>
  <c r="AD77" i="38" a="1"/>
  <c r="AD77" i="38" s="1"/>
  <c r="AB77" i="38" a="1"/>
  <c r="AB77" i="38" s="1"/>
  <c r="Z77" i="38" a="1"/>
  <c r="Z77" i="38" s="1"/>
  <c r="X77" i="38" a="1"/>
  <c r="X77" i="38" s="1"/>
  <c r="V77" i="38" a="1"/>
  <c r="V77" i="38" s="1"/>
  <c r="T77" i="38" a="1"/>
  <c r="T77" i="38" s="1"/>
  <c r="R77" i="38" a="1"/>
  <c r="R77" i="38" s="1"/>
  <c r="P77" i="38"/>
  <c r="P77" i="38" a="1"/>
  <c r="N77" i="38" a="1"/>
  <c r="N77" i="38" s="1"/>
  <c r="L77" i="38" a="1"/>
  <c r="L77" i="38" s="1"/>
  <c r="J77" i="38" a="1"/>
  <c r="J77" i="38" s="1"/>
  <c r="H77" i="38" a="1"/>
  <c r="H77" i="38" s="1"/>
  <c r="F77" i="38"/>
  <c r="F77" i="38" a="1"/>
  <c r="D77" i="38" a="1"/>
  <c r="D77" i="38" s="1"/>
  <c r="B77" i="38" a="1"/>
  <c r="B77" i="38" s="1"/>
  <c r="AV76" i="38"/>
  <c r="AV76" i="38" a="1"/>
  <c r="AT76" i="38" a="1"/>
  <c r="AT76" i="38" s="1"/>
  <c r="AR76" i="38" a="1"/>
  <c r="AR76" i="38" s="1"/>
  <c r="AP76" i="38" a="1"/>
  <c r="AP76" i="38" s="1"/>
  <c r="AN76" i="38" a="1"/>
  <c r="AN76" i="38" s="1"/>
  <c r="AL76" i="38" a="1"/>
  <c r="AL76" i="38" s="1"/>
  <c r="AJ76" i="38" a="1"/>
  <c r="AJ76" i="38" s="1"/>
  <c r="AH76" i="38"/>
  <c r="AH76" i="38" a="1"/>
  <c r="AF76" i="38"/>
  <c r="AF76" i="38" a="1"/>
  <c r="AD76" i="38" a="1"/>
  <c r="AD76" i="38" s="1"/>
  <c r="AB76" i="38" a="1"/>
  <c r="AB76" i="38" s="1"/>
  <c r="Z76" i="38" a="1"/>
  <c r="Z76" i="38" s="1"/>
  <c r="X76" i="38" a="1"/>
  <c r="X76" i="38" s="1"/>
  <c r="V76" i="38" a="1"/>
  <c r="V76" i="38" s="1"/>
  <c r="T76" i="38" a="1"/>
  <c r="T76" i="38" s="1"/>
  <c r="R76" i="38" a="1"/>
  <c r="R76" i="38" s="1"/>
  <c r="P76" i="38"/>
  <c r="P76" i="38" a="1"/>
  <c r="N76" i="38" a="1"/>
  <c r="N76" i="38" s="1"/>
  <c r="L76" i="38" a="1"/>
  <c r="L76" i="38" s="1"/>
  <c r="J76" i="38" a="1"/>
  <c r="J76" i="38" s="1"/>
  <c r="H76" i="38" a="1"/>
  <c r="H76" i="38" s="1"/>
  <c r="F76" i="38" a="1"/>
  <c r="F76" i="38" s="1"/>
  <c r="D76" i="38" a="1"/>
  <c r="D76" i="38" s="1"/>
  <c r="B76" i="38" a="1"/>
  <c r="B76" i="38" s="1"/>
  <c r="AV75" i="38"/>
  <c r="AV75" i="38" a="1"/>
  <c r="AT75" i="38" a="1"/>
  <c r="AT75" i="38" s="1"/>
  <c r="AR75" i="38" a="1"/>
  <c r="AR75" i="38" s="1"/>
  <c r="AP75" i="38" a="1"/>
  <c r="AP75" i="38" s="1"/>
  <c r="AN75" i="38" a="1"/>
  <c r="AN75" i="38" s="1"/>
  <c r="AL75" i="38"/>
  <c r="AL75" i="38" a="1"/>
  <c r="AJ75" i="38" a="1"/>
  <c r="AJ75" i="38" s="1"/>
  <c r="AH75" i="38" a="1"/>
  <c r="AH75" i="38" s="1"/>
  <c r="AF75" i="38"/>
  <c r="AF75" i="38" a="1"/>
  <c r="AD75" i="38" a="1"/>
  <c r="AD75" i="38" s="1"/>
  <c r="AB75" i="38" a="1"/>
  <c r="AB75" i="38" s="1"/>
  <c r="Z75" i="38" a="1"/>
  <c r="Z75" i="38" s="1"/>
  <c r="X75" i="38" a="1"/>
  <c r="X75" i="38" s="1"/>
  <c r="V75" i="38" a="1"/>
  <c r="V75" i="38" s="1"/>
  <c r="T75" i="38" a="1"/>
  <c r="T75" i="38" s="1"/>
  <c r="R75" i="38"/>
  <c r="R75" i="38" a="1"/>
  <c r="P75" i="38"/>
  <c r="P75" i="38" a="1"/>
  <c r="N75" i="38" a="1"/>
  <c r="N75" i="38" s="1"/>
  <c r="L75" i="38" a="1"/>
  <c r="L75" i="38" s="1"/>
  <c r="J75" i="38" a="1"/>
  <c r="J75" i="38" s="1"/>
  <c r="H75" i="38" a="1"/>
  <c r="H75" i="38" s="1"/>
  <c r="F75" i="38" a="1"/>
  <c r="F75" i="38" s="1"/>
  <c r="D75" i="38" a="1"/>
  <c r="D75" i="38" s="1"/>
  <c r="B75" i="38" a="1"/>
  <c r="B75" i="38" s="1"/>
  <c r="AV74" i="38"/>
  <c r="AV74" i="38" a="1"/>
  <c r="AT74" i="38" a="1"/>
  <c r="AT74" i="38" s="1"/>
  <c r="AR74" i="38" a="1"/>
  <c r="AR74" i="38" s="1"/>
  <c r="AP74" i="38" a="1"/>
  <c r="AP74" i="38" s="1"/>
  <c r="AN74" i="38" a="1"/>
  <c r="AN74" i="38" s="1"/>
  <c r="AL74" i="38" a="1"/>
  <c r="AL74" i="38" s="1"/>
  <c r="AJ74" i="38" a="1"/>
  <c r="AJ74" i="38" s="1"/>
  <c r="AH74" i="38" a="1"/>
  <c r="AH74" i="38" s="1"/>
  <c r="AF74" i="38"/>
  <c r="AF74" i="38" a="1"/>
  <c r="AD74" i="38" a="1"/>
  <c r="AD74" i="38" s="1"/>
  <c r="AB74" i="38" a="1"/>
  <c r="AB74" i="38" s="1"/>
  <c r="Z74" i="38" a="1"/>
  <c r="Z74" i="38" s="1"/>
  <c r="X74" i="38" a="1"/>
  <c r="X74" i="38" s="1"/>
  <c r="V74" i="38"/>
  <c r="V74" i="38" a="1"/>
  <c r="T74" i="38" a="1"/>
  <c r="T74" i="38" s="1"/>
  <c r="R74" i="38" a="1"/>
  <c r="R74" i="38" s="1"/>
  <c r="P74" i="38"/>
  <c r="P74" i="38" a="1"/>
  <c r="N74" i="38" a="1"/>
  <c r="N74" i="38" s="1"/>
  <c r="L74" i="38" a="1"/>
  <c r="L74" i="38" s="1"/>
  <c r="J74" i="38" a="1"/>
  <c r="J74" i="38" s="1"/>
  <c r="H74" i="38" a="1"/>
  <c r="H74" i="38" s="1"/>
  <c r="F74" i="38" a="1"/>
  <c r="F74" i="38" s="1"/>
  <c r="D74" i="38" a="1"/>
  <c r="D74" i="38" s="1"/>
  <c r="B74" i="38"/>
  <c r="B74" i="38" a="1"/>
  <c r="AV73" i="38"/>
  <c r="AV73" i="38" a="1"/>
  <c r="AT73" i="38" a="1"/>
  <c r="AT73" i="38" s="1"/>
  <c r="AR73" i="38" a="1"/>
  <c r="AR73" i="38" s="1"/>
  <c r="AP73" i="38" a="1"/>
  <c r="AP73" i="38" s="1"/>
  <c r="AN73" i="38" a="1"/>
  <c r="AN73" i="38" s="1"/>
  <c r="AL73" i="38" a="1"/>
  <c r="AL73" i="38" s="1"/>
  <c r="AJ73" i="38" a="1"/>
  <c r="AJ73" i="38" s="1"/>
  <c r="AH73" i="38" a="1"/>
  <c r="AH73" i="38" s="1"/>
  <c r="AF73" i="38"/>
  <c r="AF73" i="38" a="1"/>
  <c r="AD73" i="38" a="1"/>
  <c r="AD73" i="38" s="1"/>
  <c r="AB73" i="38" a="1"/>
  <c r="AB73" i="38" s="1"/>
  <c r="Z73" i="38" a="1"/>
  <c r="Z73" i="38" s="1"/>
  <c r="X73" i="38" a="1"/>
  <c r="X73" i="38" s="1"/>
  <c r="V73" i="38" a="1"/>
  <c r="V73" i="38" s="1"/>
  <c r="T73" i="38" a="1"/>
  <c r="T73" i="38" s="1"/>
  <c r="R73" i="38" a="1"/>
  <c r="R73" i="38" s="1"/>
  <c r="P73" i="38"/>
  <c r="P73" i="38" a="1"/>
  <c r="N73" i="38" a="1"/>
  <c r="N73" i="38" s="1"/>
  <c r="L73" i="38" a="1"/>
  <c r="L73" i="38" s="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N69" i="38"/>
  <c r="AH69" i="38"/>
  <c r="X69" i="38"/>
  <c r="H69" i="38"/>
  <c r="B69" i="38"/>
  <c r="AN68" i="38"/>
  <c r="X68" i="38"/>
  <c r="V68" i="38"/>
  <c r="T68" i="38"/>
  <c r="H68" i="38"/>
  <c r="AV67" i="38" a="1"/>
  <c r="AV67" i="38" s="1"/>
  <c r="AT67" i="38" a="1"/>
  <c r="AT67" i="38" s="1"/>
  <c r="AR67" i="38" a="1"/>
  <c r="AR67" i="38" s="1"/>
  <c r="AP67" i="38" a="1"/>
  <c r="AP67" i="38" s="1"/>
  <c r="AN67" i="38"/>
  <c r="AN67" i="38" a="1"/>
  <c r="AL67" i="38" a="1"/>
  <c r="AL67" i="38" s="1"/>
  <c r="AJ67" i="38" a="1"/>
  <c r="AJ67" i="38" s="1"/>
  <c r="AH67" i="38" a="1"/>
  <c r="AH67" i="38" s="1"/>
  <c r="AF67" i="38" a="1"/>
  <c r="AF67" i="38" s="1"/>
  <c r="AD67" i="38"/>
  <c r="AD67" i="38" a="1"/>
  <c r="AB67" i="38" a="1"/>
  <c r="AB67" i="38" s="1"/>
  <c r="Z67" i="38" a="1"/>
  <c r="Z67" i="38" s="1"/>
  <c r="X67" i="38"/>
  <c r="X67" i="38" a="1"/>
  <c r="V67" i="38" a="1"/>
  <c r="V67" i="38" s="1"/>
  <c r="T67" i="38" a="1"/>
  <c r="T67" i="38" s="1"/>
  <c r="R67" i="38" a="1"/>
  <c r="R67" i="38" s="1"/>
  <c r="P67" i="38" a="1"/>
  <c r="P67" i="38" s="1"/>
  <c r="N67" i="38" a="1"/>
  <c r="N67" i="38" s="1"/>
  <c r="L67" i="38" a="1"/>
  <c r="L67" i="38" s="1"/>
  <c r="J67" i="38"/>
  <c r="J67" i="38" a="1"/>
  <c r="H67" i="38"/>
  <c r="H67" i="38" a="1"/>
  <c r="F67" i="38" a="1"/>
  <c r="F67" i="38" s="1"/>
  <c r="D67" i="38" a="1"/>
  <c r="D67" i="38" s="1"/>
  <c r="B67" i="38" a="1"/>
  <c r="B67" i="38" s="1"/>
  <c r="AV66" i="38" a="1"/>
  <c r="AV66" i="38" s="1"/>
  <c r="AV68" i="38" s="1"/>
  <c r="AT66" i="38" a="1"/>
  <c r="AT66" i="38" s="1"/>
  <c r="AR66" i="38" a="1"/>
  <c r="AR66" i="38" s="1"/>
  <c r="AP66" i="38" a="1"/>
  <c r="AP66" i="38" s="1"/>
  <c r="AP68" i="38" s="1"/>
  <c r="AN66" i="38"/>
  <c r="AN66" i="38" a="1"/>
  <c r="AL66" i="38" a="1"/>
  <c r="AL66" i="38" s="1"/>
  <c r="AL68" i="38" s="1"/>
  <c r="AJ66" i="38" a="1"/>
  <c r="AJ66" i="38" s="1"/>
  <c r="AH66" i="38" a="1"/>
  <c r="AH66" i="38" s="1"/>
  <c r="AF66" i="38" a="1"/>
  <c r="AF66" i="38" s="1"/>
  <c r="AD66" i="38" a="1"/>
  <c r="AD66" i="38" s="1"/>
  <c r="AD68" i="38" s="1"/>
  <c r="AB66" i="38" a="1"/>
  <c r="AB66" i="38" s="1"/>
  <c r="Z66" i="38" a="1"/>
  <c r="Z66" i="38" s="1"/>
  <c r="X66" i="38"/>
  <c r="X66" i="38" a="1"/>
  <c r="V66" i="38" a="1"/>
  <c r="V66" i="38" s="1"/>
  <c r="T66" i="38" a="1"/>
  <c r="T66" i="38" s="1"/>
  <c r="R66" i="38" a="1"/>
  <c r="R66" i="38" s="1"/>
  <c r="R68" i="38" s="1"/>
  <c r="P66" i="38" a="1"/>
  <c r="P66" i="38" s="1"/>
  <c r="P68" i="38" s="1"/>
  <c r="N66" i="38"/>
  <c r="N66" i="38" a="1"/>
  <c r="L66" i="38" a="1"/>
  <c r="L66" i="38" s="1"/>
  <c r="L68" i="38" s="1"/>
  <c r="J66" i="38" a="1"/>
  <c r="J66" i="38" s="1"/>
  <c r="J68" i="38" s="1"/>
  <c r="H66" i="38"/>
  <c r="H66" i="38" a="1"/>
  <c r="F66" i="38" a="1"/>
  <c r="F66" i="38" s="1"/>
  <c r="F68" i="38" s="1"/>
  <c r="D66" i="38" a="1"/>
  <c r="D66" i="38" s="1"/>
  <c r="D68" i="38" s="1"/>
  <c r="B66" i="38" a="1"/>
  <c r="B66" i="38" s="1"/>
  <c r="B68" i="38" s="1"/>
  <c r="AV65" i="38" a="1"/>
  <c r="AV65" i="38" s="1"/>
  <c r="AV69" i="38" s="1"/>
  <c r="AT65" i="38" a="1"/>
  <c r="AT65" i="38" s="1"/>
  <c r="AT69" i="38" s="1"/>
  <c r="AR65" i="38" a="1"/>
  <c r="AR65" i="38" s="1"/>
  <c r="AR69" i="38" s="1"/>
  <c r="AP65" i="38"/>
  <c r="AP69" i="38" s="1"/>
  <c r="AP65" i="38" a="1"/>
  <c r="AN65" i="38"/>
  <c r="AN65" i="38" a="1"/>
  <c r="AL65" i="38" a="1"/>
  <c r="AL65" i="38" s="1"/>
  <c r="AL69" i="38" s="1"/>
  <c r="AJ65" i="38" a="1"/>
  <c r="AJ65" i="38" s="1"/>
  <c r="AJ69" i="38" s="1"/>
  <c r="AH65" i="38" a="1"/>
  <c r="AH65" i="38" s="1"/>
  <c r="AF65" i="38" a="1"/>
  <c r="AF65" i="38" s="1"/>
  <c r="AF69" i="38" s="1"/>
  <c r="AD65" i="38" a="1"/>
  <c r="AD65" i="38" s="1"/>
  <c r="AD69" i="38" s="1"/>
  <c r="AB65" i="38" a="1"/>
  <c r="AB65" i="38" s="1"/>
  <c r="AB69" i="38" s="1"/>
  <c r="Z65" i="38" a="1"/>
  <c r="Z65" i="38" s="1"/>
  <c r="Z69" i="38" s="1"/>
  <c r="X65" i="38"/>
  <c r="X65" i="38" a="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c r="H65" i="38" a="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a="1"/>
  <c r="AP58" i="38" s="1"/>
  <c r="AN58" i="38" a="1"/>
  <c r="AN58" i="38" s="1"/>
  <c r="AL58" i="38" a="1"/>
  <c r="AL58" i="38" s="1"/>
  <c r="AJ58" i="38" a="1"/>
  <c r="AJ58" i="38" s="1"/>
  <c r="AH58" i="38"/>
  <c r="AH58" i="38" a="1"/>
  <c r="AF58" i="38"/>
  <c r="AF58" i="38" a="1"/>
  <c r="AD58" i="38" a="1"/>
  <c r="AD58" i="38" s="1"/>
  <c r="AB58" i="38" a="1"/>
  <c r="AB58" i="38" s="1"/>
  <c r="Z58" i="38" a="1"/>
  <c r="Z58" i="38" s="1"/>
  <c r="X58" i="38" a="1"/>
  <c r="X58" i="38" s="1"/>
  <c r="V58" i="38" a="1"/>
  <c r="V58" i="38" s="1"/>
  <c r="T58" i="38" a="1"/>
  <c r="T58" i="38" s="1"/>
  <c r="R58" i="38" a="1"/>
  <c r="R58" i="38" s="1"/>
  <c r="P58" i="38"/>
  <c r="P58" i="38" a="1"/>
  <c r="N58" i="38" a="1"/>
  <c r="N58" i="38" s="1"/>
  <c r="L58" i="38" a="1"/>
  <c r="L58" i="38" s="1"/>
  <c r="J58" i="38" a="1"/>
  <c r="J58" i="38" s="1"/>
  <c r="H58" i="38" a="1"/>
  <c r="H58" i="38" s="1"/>
  <c r="F58" i="38"/>
  <c r="F58" i="38" a="1"/>
  <c r="D58" i="38"/>
  <c r="D58" i="38" a="1"/>
  <c r="B58" i="38" a="1"/>
  <c r="B58" i="38" s="1"/>
  <c r="AV57" i="38"/>
  <c r="AV57" i="38" a="1"/>
  <c r="AT57" i="38" a="1"/>
  <c r="AT57" i="38" s="1"/>
  <c r="AR57" i="38" a="1"/>
  <c r="AR57" i="38" s="1"/>
  <c r="AP57" i="38" a="1"/>
  <c r="AP57" i="38" s="1"/>
  <c r="AN57" i="38" a="1"/>
  <c r="AN57" i="38" s="1"/>
  <c r="AL57" i="38" a="1"/>
  <c r="AL57" i="38" s="1"/>
  <c r="AJ57" i="38"/>
  <c r="AJ57" i="38" a="1"/>
  <c r="AH57" i="38"/>
  <c r="AH57" i="38" a="1"/>
  <c r="AF57" i="38"/>
  <c r="AF57" i="38" a="1"/>
  <c r="AD57" i="38" a="1"/>
  <c r="AD57" i="38" s="1"/>
  <c r="AB57" i="38" a="1"/>
  <c r="AB57" i="38" s="1"/>
  <c r="Z57" i="38" a="1"/>
  <c r="Z57" i="38" s="1"/>
  <c r="X57" i="38" a="1"/>
  <c r="X57" i="38" s="1"/>
  <c r="V57" i="38" a="1"/>
  <c r="V57" i="38" s="1"/>
  <c r="T57" i="38" a="1"/>
  <c r="T57" i="38" s="1"/>
  <c r="R57" i="38" a="1"/>
  <c r="R57" i="38" s="1"/>
  <c r="P57" i="38"/>
  <c r="P57" i="38" a="1"/>
  <c r="N57" i="38" a="1"/>
  <c r="N57" i="38" s="1"/>
  <c r="L57" i="38" a="1"/>
  <c r="L57" i="38" s="1"/>
  <c r="J57" i="38" a="1"/>
  <c r="J57" i="38" s="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R80" i="38" s="1"/>
  <c r="AP55" i="38"/>
  <c r="AN55" i="38"/>
  <c r="AL55" i="38"/>
  <c r="AJ55" i="38"/>
  <c r="AJ80" i="38" s="1"/>
  <c r="AH55" i="38"/>
  <c r="AH80" i="38" s="1"/>
  <c r="AF55" i="38"/>
  <c r="AF80" i="38" s="1"/>
  <c r="AD55" i="38"/>
  <c r="AD80" i="38" s="1"/>
  <c r="AB55" i="38"/>
  <c r="AB80" i="38" s="1"/>
  <c r="Z55" i="38"/>
  <c r="X55" i="38"/>
  <c r="V55" i="38"/>
  <c r="T55" i="38"/>
  <c r="R55" i="38"/>
  <c r="P55" i="38"/>
  <c r="N55" i="38"/>
  <c r="L55" i="38"/>
  <c r="L80" i="38" s="1"/>
  <c r="J55" i="38"/>
  <c r="J80" i="38" s="1"/>
  <c r="H55" i="38"/>
  <c r="H80" i="38" s="1"/>
  <c r="F55" i="38"/>
  <c r="F80" i="38" s="1"/>
  <c r="D55" i="38"/>
  <c r="D80" i="38" s="1"/>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J51" i="38"/>
  <c r="AH51" i="38"/>
  <c r="AF51" i="38"/>
  <c r="AD51" i="38"/>
  <c r="AB51" i="38"/>
  <c r="AB81" i="38" s="1"/>
  <c r="Z51" i="38"/>
  <c r="Z81" i="38" s="1"/>
  <c r="X51" i="38"/>
  <c r="V51" i="38"/>
  <c r="T51" i="38"/>
  <c r="R51" i="38"/>
  <c r="P51" i="38"/>
  <c r="P81" i="38" s="1"/>
  <c r="N51" i="38"/>
  <c r="N81" i="38" s="1"/>
  <c r="L51" i="38"/>
  <c r="L81" i="38" s="1"/>
  <c r="J51" i="38"/>
  <c r="H51" i="38"/>
  <c r="F51" i="38"/>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a="1"/>
  <c r="AJ43" i="38" s="1"/>
  <c r="AH43" i="38" a="1"/>
  <c r="AH43" i="38" s="1"/>
  <c r="AF43" i="38"/>
  <c r="AF43" i="38" a="1"/>
  <c r="AD43" i="38" a="1"/>
  <c r="AD43" i="38" s="1"/>
  <c r="AB43" i="38" a="1"/>
  <c r="AB43" i="38" s="1"/>
  <c r="Z43" i="38" a="1"/>
  <c r="Z43" i="38" s="1"/>
  <c r="X43" i="38" a="1"/>
  <c r="X43" i="38" s="1"/>
  <c r="V43" i="38" a="1"/>
  <c r="V43" i="38" s="1"/>
  <c r="T43" i="38" a="1"/>
  <c r="T43" i="38" s="1"/>
  <c r="R43" i="38" a="1"/>
  <c r="R43" i="38" s="1"/>
  <c r="P43" i="38"/>
  <c r="P43" i="38" a="1"/>
  <c r="N43" i="38" a="1"/>
  <c r="N43" i="38" s="1"/>
  <c r="L43" i="38" a="1"/>
  <c r="L43" i="38" s="1"/>
  <c r="J43" i="38" a="1"/>
  <c r="J43" i="38" s="1"/>
  <c r="H43" i="38" a="1"/>
  <c r="H43" i="38" s="1"/>
  <c r="F43" i="38"/>
  <c r="F43" i="38" a="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J81" i="21"/>
  <c r="AF81" i="21"/>
  <c r="AD81" i="21"/>
  <c r="AB81" i="21"/>
  <c r="Z81" i="21"/>
  <c r="V81" i="21"/>
  <c r="T81" i="21"/>
  <c r="D81" i="21"/>
  <c r="AV80" i="21"/>
  <c r="AT80" i="21"/>
  <c r="AR80" i="21"/>
  <c r="AL80" i="21"/>
  <c r="AJ80" i="21"/>
  <c r="T80" i="21"/>
  <c r="P80" i="21"/>
  <c r="N80" i="21"/>
  <c r="L80" i="21"/>
  <c r="J80" i="21"/>
  <c r="F80" i="21"/>
  <c r="D80" i="21"/>
  <c r="AV79" i="21"/>
  <c r="AV79" i="21" a="1"/>
  <c r="AT79" i="21" a="1"/>
  <c r="AT79" i="21" s="1"/>
  <c r="AR79" i="21" a="1"/>
  <c r="AR79" i="21" s="1"/>
  <c r="AP79" i="21"/>
  <c r="AP79" i="21" a="1"/>
  <c r="AN79" i="21" a="1"/>
  <c r="AN79" i="21" s="1"/>
  <c r="AL79" i="21" a="1"/>
  <c r="AL79" i="21" s="1"/>
  <c r="AJ79" i="21" a="1"/>
  <c r="AJ79" i="21" s="1"/>
  <c r="AH79" i="21" a="1"/>
  <c r="AH79" i="21" s="1"/>
  <c r="AF79" i="21"/>
  <c r="AF79" i="21" a="1"/>
  <c r="AD79" i="21" a="1"/>
  <c r="AD79" i="21" s="1"/>
  <c r="AB79" i="21" a="1"/>
  <c r="AB79" i="21" s="1"/>
  <c r="Z79" i="21"/>
  <c r="Z79" i="21" a="1"/>
  <c r="X79" i="21" a="1"/>
  <c r="X79" i="21" s="1"/>
  <c r="V79" i="21"/>
  <c r="V79" i="21" a="1"/>
  <c r="T79" i="21" a="1"/>
  <c r="T79" i="21" s="1"/>
  <c r="R79" i="21" a="1"/>
  <c r="R79" i="21" s="1"/>
  <c r="P79" i="21"/>
  <c r="P79" i="21" a="1"/>
  <c r="N79" i="21" a="1"/>
  <c r="N79" i="21" s="1"/>
  <c r="L79" i="21" a="1"/>
  <c r="L79" i="21" s="1"/>
  <c r="J79" i="21"/>
  <c r="J79" i="21" a="1"/>
  <c r="H79" i="21" a="1"/>
  <c r="H79" i="21" s="1"/>
  <c r="F79" i="21"/>
  <c r="F79" i="21" a="1"/>
  <c r="D79" i="21" a="1"/>
  <c r="D79" i="21" s="1"/>
  <c r="B79" i="21" a="1"/>
  <c r="B79" i="21" s="1"/>
  <c r="AV78" i="21"/>
  <c r="AV78" i="21" a="1"/>
  <c r="AT78" i="21" a="1"/>
  <c r="AT78" i="21" s="1"/>
  <c r="AR78" i="21" a="1"/>
  <c r="AR78" i="21" s="1"/>
  <c r="AP78" i="21"/>
  <c r="AP78" i="21" a="1"/>
  <c r="AN78" i="21" a="1"/>
  <c r="AN78" i="21" s="1"/>
  <c r="AL78" i="21" a="1"/>
  <c r="AL78" i="21" s="1"/>
  <c r="AJ78" i="21" a="1"/>
  <c r="AJ78" i="21" s="1"/>
  <c r="AH78" i="21" a="1"/>
  <c r="AH78" i="21" s="1"/>
  <c r="AF78" i="21"/>
  <c r="AF78" i="21" a="1"/>
  <c r="AD78" i="21" a="1"/>
  <c r="AD78" i="21" s="1"/>
  <c r="AB78" i="21" a="1"/>
  <c r="AB78" i="21" s="1"/>
  <c r="Z78" i="21"/>
  <c r="Z78" i="21" a="1"/>
  <c r="X78" i="21" a="1"/>
  <c r="X78" i="21" s="1"/>
  <c r="V78" i="21"/>
  <c r="V78" i="21" a="1"/>
  <c r="T78" i="21" a="1"/>
  <c r="T78" i="21" s="1"/>
  <c r="R78" i="21" a="1"/>
  <c r="R78" i="21" s="1"/>
  <c r="P78" i="21"/>
  <c r="P78" i="21" a="1"/>
  <c r="N78" i="21" a="1"/>
  <c r="N78" i="21" s="1"/>
  <c r="L78" i="21" a="1"/>
  <c r="L78" i="21" s="1"/>
  <c r="J78" i="21"/>
  <c r="J78" i="21" a="1"/>
  <c r="H78" i="21" a="1"/>
  <c r="H78" i="21" s="1"/>
  <c r="F78" i="21" a="1"/>
  <c r="F78" i="21" s="1"/>
  <c r="D78" i="21" a="1"/>
  <c r="D78" i="21" s="1"/>
  <c r="B78" i="21" a="1"/>
  <c r="B78" i="21" s="1"/>
  <c r="AV77" i="21"/>
  <c r="AV77" i="21" a="1"/>
  <c r="AT77" i="21" a="1"/>
  <c r="AT77" i="21" s="1"/>
  <c r="AR77" i="21" a="1"/>
  <c r="AR77" i="21" s="1"/>
  <c r="AP77" i="21"/>
  <c r="AP77" i="21" a="1"/>
  <c r="AN77" i="21" a="1"/>
  <c r="AN77" i="21" s="1"/>
  <c r="AL77" i="21"/>
  <c r="AL77" i="21" a="1"/>
  <c r="AJ77" i="21" a="1"/>
  <c r="AJ77" i="21" s="1"/>
  <c r="AH77" i="21" a="1"/>
  <c r="AH77" i="21" s="1"/>
  <c r="AF77" i="21"/>
  <c r="AF77" i="21" a="1"/>
  <c r="AD77" i="21" a="1"/>
  <c r="AD77" i="21" s="1"/>
  <c r="AB77" i="21" a="1"/>
  <c r="AB77" i="21" s="1"/>
  <c r="Z77" i="21"/>
  <c r="Z77" i="21" a="1"/>
  <c r="X77" i="21" a="1"/>
  <c r="X77" i="21" s="1"/>
  <c r="V77" i="21" a="1"/>
  <c r="V77" i="21" s="1"/>
  <c r="T77" i="21" a="1"/>
  <c r="T77" i="21" s="1"/>
  <c r="R77" i="21" a="1"/>
  <c r="R77" i="21" s="1"/>
  <c r="P77" i="21"/>
  <c r="P77" i="21" a="1"/>
  <c r="N77" i="21" a="1"/>
  <c r="N77" i="21" s="1"/>
  <c r="L77" i="21" a="1"/>
  <c r="L77" i="21" s="1"/>
  <c r="J77" i="21"/>
  <c r="J77" i="21" a="1"/>
  <c r="H77" i="21" a="1"/>
  <c r="H77" i="21" s="1"/>
  <c r="F77" i="21" a="1"/>
  <c r="F77" i="21" s="1"/>
  <c r="D77" i="21" a="1"/>
  <c r="D77" i="21" s="1"/>
  <c r="B77" i="21" a="1"/>
  <c r="B77" i="21" s="1"/>
  <c r="AV76" i="21"/>
  <c r="AV76" i="21" a="1"/>
  <c r="AT76" i="21" a="1"/>
  <c r="AT76" i="21" s="1"/>
  <c r="AR76" i="21" a="1"/>
  <c r="AR76" i="21" s="1"/>
  <c r="AP76" i="21"/>
  <c r="AP76" i="21" a="1"/>
  <c r="AN76" i="21" a="1"/>
  <c r="AN76" i="21" s="1"/>
  <c r="AL76" i="21" a="1"/>
  <c r="AL76" i="21" s="1"/>
  <c r="AJ76" i="21" a="1"/>
  <c r="AJ76" i="21" s="1"/>
  <c r="AH76" i="21" a="1"/>
  <c r="AH76" i="21" s="1"/>
  <c r="AF76" i="21"/>
  <c r="AF76" i="21" a="1"/>
  <c r="AD76" i="21" a="1"/>
  <c r="AD76" i="21" s="1"/>
  <c r="AB76" i="21" a="1"/>
  <c r="AB76" i="21" s="1"/>
  <c r="Z76" i="21"/>
  <c r="Z76" i="21" a="1"/>
  <c r="X76" i="21" a="1"/>
  <c r="X76" i="21" s="1"/>
  <c r="V76" i="21" a="1"/>
  <c r="V76" i="21" s="1"/>
  <c r="T76" i="21" a="1"/>
  <c r="T76" i="21" s="1"/>
  <c r="R76" i="21" a="1"/>
  <c r="R76" i="21" s="1"/>
  <c r="P76" i="21"/>
  <c r="P76" i="21" a="1"/>
  <c r="N76" i="21" a="1"/>
  <c r="N76" i="21" s="1"/>
  <c r="L76" i="21" a="1"/>
  <c r="L76" i="21" s="1"/>
  <c r="J76" i="21"/>
  <c r="J76" i="21" a="1"/>
  <c r="H76" i="21" a="1"/>
  <c r="H76" i="21" s="1"/>
  <c r="F76" i="21"/>
  <c r="F76" i="21" a="1"/>
  <c r="D76" i="21" a="1"/>
  <c r="D76" i="21" s="1"/>
  <c r="B76" i="21" a="1"/>
  <c r="B76" i="21" s="1"/>
  <c r="AV75" i="21"/>
  <c r="AV75" i="21" a="1"/>
  <c r="AT75" i="21" a="1"/>
  <c r="AT75" i="21" s="1"/>
  <c r="AR75" i="21" a="1"/>
  <c r="AR75" i="21" s="1"/>
  <c r="AP75" i="21"/>
  <c r="AP75" i="21" a="1"/>
  <c r="AN75" i="21" a="1"/>
  <c r="AN75" i="21" s="1"/>
  <c r="AL75" i="21" a="1"/>
  <c r="AL75" i="21" s="1"/>
  <c r="AJ75" i="21" a="1"/>
  <c r="AJ75" i="21" s="1"/>
  <c r="AH75" i="21" a="1"/>
  <c r="AH75" i="21" s="1"/>
  <c r="AF75" i="21"/>
  <c r="AF75" i="21" a="1"/>
  <c r="AD75" i="21" a="1"/>
  <c r="AD75" i="21" s="1"/>
  <c r="AB75" i="21" a="1"/>
  <c r="AB75" i="21" s="1"/>
  <c r="Z75" i="21"/>
  <c r="Z75" i="21" a="1"/>
  <c r="X75" i="21" a="1"/>
  <c r="X75" i="21" s="1"/>
  <c r="V75" i="21" a="1"/>
  <c r="V75" i="21" s="1"/>
  <c r="T75" i="21" a="1"/>
  <c r="T75" i="21" s="1"/>
  <c r="R75" i="21" a="1"/>
  <c r="R75" i="21" s="1"/>
  <c r="P75" i="21"/>
  <c r="P75" i="21" a="1"/>
  <c r="N75" i="21" a="1"/>
  <c r="N75" i="21" s="1"/>
  <c r="L75" i="21" a="1"/>
  <c r="L75" i="21" s="1"/>
  <c r="J75" i="21"/>
  <c r="J75" i="21" a="1"/>
  <c r="H75" i="21" a="1"/>
  <c r="H75" i="21" s="1"/>
  <c r="F75" i="21" a="1"/>
  <c r="F75" i="21" s="1"/>
  <c r="D75" i="21" a="1"/>
  <c r="D75" i="21" s="1"/>
  <c r="B75" i="21" a="1"/>
  <c r="B75" i="21" s="1"/>
  <c r="AV74" i="21"/>
  <c r="AV74" i="21" a="1"/>
  <c r="AT74" i="21" a="1"/>
  <c r="AT74" i="21" s="1"/>
  <c r="AR74" i="21" a="1"/>
  <c r="AR74" i="21" s="1"/>
  <c r="AP74" i="21"/>
  <c r="AP74" i="21" a="1"/>
  <c r="AN74" i="21" a="1"/>
  <c r="AN74" i="21" s="1"/>
  <c r="AL74" i="21" a="1"/>
  <c r="AL74" i="21" s="1"/>
  <c r="AJ74" i="21" a="1"/>
  <c r="AJ74" i="21" s="1"/>
  <c r="AH74" i="21" a="1"/>
  <c r="AH74" i="21" s="1"/>
  <c r="AF74" i="21"/>
  <c r="AF74" i="21" a="1"/>
  <c r="AD74" i="21" a="1"/>
  <c r="AD74" i="21" s="1"/>
  <c r="AB74" i="21" a="1"/>
  <c r="AB74" i="21" s="1"/>
  <c r="Z74" i="21"/>
  <c r="Z74" i="21" a="1"/>
  <c r="X74" i="21" a="1"/>
  <c r="X74" i="21" s="1"/>
  <c r="V74" i="21" a="1"/>
  <c r="V74" i="21" s="1"/>
  <c r="T74" i="21" a="1"/>
  <c r="T74" i="21" s="1"/>
  <c r="R74" i="21" a="1"/>
  <c r="R74" i="21" s="1"/>
  <c r="P74" i="21"/>
  <c r="P74" i="21" a="1"/>
  <c r="N74" i="21" a="1"/>
  <c r="N74" i="21" s="1"/>
  <c r="L74" i="21" a="1"/>
  <c r="L74" i="21" s="1"/>
  <c r="J74" i="21"/>
  <c r="J74" i="21" a="1"/>
  <c r="H74" i="21" a="1"/>
  <c r="H74" i="21" s="1"/>
  <c r="F74" i="21"/>
  <c r="F74" i="21" a="1"/>
  <c r="D74" i="21" a="1"/>
  <c r="D74" i="21" s="1"/>
  <c r="B74" i="21" a="1"/>
  <c r="B74" i="21" s="1"/>
  <c r="AV73" i="21"/>
  <c r="AV73" i="21" a="1"/>
  <c r="AT73" i="21" a="1"/>
  <c r="AT73" i="21" s="1"/>
  <c r="AR73" i="21" a="1"/>
  <c r="AR73" i="21" s="1"/>
  <c r="AP73" i="21"/>
  <c r="AP73" i="21" a="1"/>
  <c r="AN73" i="21" a="1"/>
  <c r="AN73" i="21" s="1"/>
  <c r="AL73" i="21"/>
  <c r="AL73" i="21" a="1"/>
  <c r="AJ73" i="21" a="1"/>
  <c r="AJ73" i="21" s="1"/>
  <c r="AH73" i="21" a="1"/>
  <c r="AH73" i="21" s="1"/>
  <c r="AF73" i="21"/>
  <c r="AF73" i="21" a="1"/>
  <c r="AD73" i="21" a="1"/>
  <c r="AD73" i="21" s="1"/>
  <c r="AB73" i="21" a="1"/>
  <c r="AB73" i="21" s="1"/>
  <c r="Z73" i="21"/>
  <c r="Z73" i="21" a="1"/>
  <c r="X73" i="21" a="1"/>
  <c r="X73" i="21" s="1"/>
  <c r="V73" i="21" a="1"/>
  <c r="V73" i="21" s="1"/>
  <c r="T73" i="21" a="1"/>
  <c r="T73" i="21" s="1"/>
  <c r="R73" i="21" a="1"/>
  <c r="R73" i="21" s="1"/>
  <c r="P73" i="21"/>
  <c r="P73" i="21" a="1"/>
  <c r="N73" i="21" a="1"/>
  <c r="N73" i="21" s="1"/>
  <c r="L73" i="21" a="1"/>
  <c r="L73" i="21" s="1"/>
  <c r="J73" i="21"/>
  <c r="J73" i="21" a="1"/>
  <c r="H73" i="21" a="1"/>
  <c r="H73" i="21" s="1"/>
  <c r="F73" i="21"/>
  <c r="F73" i="21" a="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R69" i="21"/>
  <c r="AH69" i="21"/>
  <c r="B69" i="21"/>
  <c r="T68" i="21"/>
  <c r="R68" i="21"/>
  <c r="AV67" i="21" a="1"/>
  <c r="AV67" i="21" s="1"/>
  <c r="AT67" i="21" a="1"/>
  <c r="AT67" i="21" s="1"/>
  <c r="AR67" i="21" a="1"/>
  <c r="AR67" i="21" s="1"/>
  <c r="AP67" i="21"/>
  <c r="AP67" i="21" a="1"/>
  <c r="AN67" i="21"/>
  <c r="AN67" i="21" a="1"/>
  <c r="AL67" i="21" a="1"/>
  <c r="AL67" i="21" s="1"/>
  <c r="AJ67" i="21" a="1"/>
  <c r="AJ67" i="21" s="1"/>
  <c r="AH67" i="21"/>
  <c r="AH67" i="21" a="1"/>
  <c r="AF67" i="21" a="1"/>
  <c r="AF67" i="21" s="1"/>
  <c r="AD67" i="21" a="1"/>
  <c r="AD67" i="21" s="1"/>
  <c r="AB67" i="21" a="1"/>
  <c r="AB67" i="21" s="1"/>
  <c r="Z67" i="21"/>
  <c r="Z67" i="21" a="1"/>
  <c r="X67" i="21"/>
  <c r="X67" i="21" a="1"/>
  <c r="V67" i="21" a="1"/>
  <c r="V67" i="21" s="1"/>
  <c r="T67" i="21" a="1"/>
  <c r="T67" i="21" s="1"/>
  <c r="R67" i="21"/>
  <c r="R67" i="21" a="1"/>
  <c r="P67" i="21" a="1"/>
  <c r="P67" i="21" s="1"/>
  <c r="N67" i="21"/>
  <c r="N67" i="21" a="1"/>
  <c r="L67" i="21" a="1"/>
  <c r="L67" i="21" s="1"/>
  <c r="J67" i="21" a="1"/>
  <c r="J67" i="21" s="1"/>
  <c r="H67" i="21"/>
  <c r="H67" i="21" a="1"/>
  <c r="F67" i="21" a="1"/>
  <c r="F67" i="21" s="1"/>
  <c r="D67" i="21" a="1"/>
  <c r="D67" i="21" s="1"/>
  <c r="B67" i="21"/>
  <c r="B67" i="21" a="1"/>
  <c r="AV66" i="21" a="1"/>
  <c r="AV66" i="21" s="1"/>
  <c r="AV68" i="21" s="1"/>
  <c r="AT66" i="21" a="1"/>
  <c r="AT66" i="21" s="1"/>
  <c r="AT68" i="21" s="1"/>
  <c r="AR66" i="21" a="1"/>
  <c r="AR66" i="21" s="1"/>
  <c r="AP66" i="21" a="1"/>
  <c r="AP66" i="21" s="1"/>
  <c r="AP68" i="21" s="1"/>
  <c r="AN66" i="21"/>
  <c r="AN68" i="21" s="1"/>
  <c r="AN66" i="21" a="1"/>
  <c r="AL66" i="21" a="1"/>
  <c r="AL66" i="21" s="1"/>
  <c r="AL68" i="21" s="1"/>
  <c r="AJ66" i="21" a="1"/>
  <c r="AJ66" i="21" s="1"/>
  <c r="AJ68" i="21" s="1"/>
  <c r="AH66" i="21"/>
  <c r="AH68" i="21" s="1"/>
  <c r="AH66" i="21" a="1"/>
  <c r="AF66" i="21" a="1"/>
  <c r="AF66" i="21" s="1"/>
  <c r="AF68" i="21" s="1"/>
  <c r="AD66" i="21" a="1"/>
  <c r="AD66" i="21" s="1"/>
  <c r="AD68" i="21" s="1"/>
  <c r="AB66" i="21" a="1"/>
  <c r="AB66" i="21" s="1"/>
  <c r="AB68" i="21" s="1"/>
  <c r="Z66" i="21"/>
  <c r="Z68" i="21" s="1"/>
  <c r="Z66" i="21" a="1"/>
  <c r="X66" i="21"/>
  <c r="X68" i="21" s="1"/>
  <c r="X66" i="21" a="1"/>
  <c r="V66" i="21" a="1"/>
  <c r="V66" i="21" s="1"/>
  <c r="T66" i="21" a="1"/>
  <c r="T66" i="21" s="1"/>
  <c r="R66" i="21"/>
  <c r="R66" i="21" a="1"/>
  <c r="P66" i="21" a="1"/>
  <c r="P66" i="21" s="1"/>
  <c r="P68" i="21" s="1"/>
  <c r="N66" i="21" a="1"/>
  <c r="N66" i="21" s="1"/>
  <c r="N68" i="21" s="1"/>
  <c r="L66" i="21" a="1"/>
  <c r="L66" i="21" s="1"/>
  <c r="L68" i="21" s="1"/>
  <c r="J66" i="21"/>
  <c r="J66" i="21" a="1"/>
  <c r="H66" i="21"/>
  <c r="H68" i="21" s="1"/>
  <c r="H66" i="21" a="1"/>
  <c r="F66" i="21" a="1"/>
  <c r="F66" i="21" s="1"/>
  <c r="F68" i="21" s="1"/>
  <c r="D66" i="21" a="1"/>
  <c r="D66" i="21" s="1"/>
  <c r="B66" i="21"/>
  <c r="B68" i="21" s="1"/>
  <c r="B66" i="21" a="1"/>
  <c r="AV65" i="21" a="1"/>
  <c r="AV65" i="21" s="1"/>
  <c r="AV69" i="21" s="1"/>
  <c r="AT65" i="21"/>
  <c r="AT69" i="21" s="1"/>
  <c r="AT65" i="21" a="1"/>
  <c r="AR65" i="21" a="1"/>
  <c r="AR65" i="21" s="1"/>
  <c r="AP65" i="21" a="1"/>
  <c r="AP65" i="21" s="1"/>
  <c r="AP69" i="21" s="1"/>
  <c r="AN65" i="21"/>
  <c r="AN69" i="21" s="1"/>
  <c r="AN65" i="21" a="1"/>
  <c r="AL65" i="21" a="1"/>
  <c r="AL65" i="21" s="1"/>
  <c r="AL69" i="21" s="1"/>
  <c r="AJ65" i="21" a="1"/>
  <c r="AJ65" i="21" s="1"/>
  <c r="AJ69" i="21" s="1"/>
  <c r="AH65" i="21"/>
  <c r="AH65" i="21" a="1"/>
  <c r="AF65" i="21" a="1"/>
  <c r="AF65" i="21" s="1"/>
  <c r="AF69" i="21" s="1"/>
  <c r="AD65" i="21" a="1"/>
  <c r="AD65" i="21" s="1"/>
  <c r="AD69" i="21" s="1"/>
  <c r="AB65" i="21" a="1"/>
  <c r="AB65" i="21" s="1"/>
  <c r="AB69" i="21" s="1"/>
  <c r="Z65" i="21" a="1"/>
  <c r="Z65" i="21" s="1"/>
  <c r="Z69" i="21" s="1"/>
  <c r="X65" i="21"/>
  <c r="X69" i="21" s="1"/>
  <c r="X65" i="21" a="1"/>
  <c r="V65" i="21" a="1"/>
  <c r="V65" i="21" s="1"/>
  <c r="V69" i="21" s="1"/>
  <c r="T65" i="21" a="1"/>
  <c r="T65" i="21" s="1"/>
  <c r="T69" i="21" s="1"/>
  <c r="R65" i="21"/>
  <c r="R69" i="21" s="1"/>
  <c r="R65" i="21" a="1"/>
  <c r="P65" i="21" a="1"/>
  <c r="P65" i="21" s="1"/>
  <c r="P69" i="21" s="1"/>
  <c r="N65" i="21" a="1"/>
  <c r="N65" i="21" s="1"/>
  <c r="N69" i="21" s="1"/>
  <c r="L65" i="21" a="1"/>
  <c r="L65" i="21" s="1"/>
  <c r="L69" i="21" s="1"/>
  <c r="J65" i="21"/>
  <c r="J69" i="21" s="1"/>
  <c r="J65" i="21" a="1"/>
  <c r="H65" i="21"/>
  <c r="H69" i="21" s="1"/>
  <c r="H65" i="21" a="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a="1"/>
  <c r="AP58" i="21" s="1"/>
  <c r="AN58" i="21" a="1"/>
  <c r="AN58" i="21" s="1"/>
  <c r="AL58" i="21" a="1"/>
  <c r="AL58" i="21" s="1"/>
  <c r="AJ58" i="21"/>
  <c r="AJ58" i="21" a="1"/>
  <c r="AH58" i="21" a="1"/>
  <c r="AH58" i="21" s="1"/>
  <c r="AF58" i="21"/>
  <c r="AF58" i="21" a="1"/>
  <c r="AD58" i="21"/>
  <c r="AD58" i="21" a="1"/>
  <c r="AB58" i="21" a="1"/>
  <c r="AB58" i="21" s="1"/>
  <c r="Z58" i="21" a="1"/>
  <c r="Z58" i="21" s="1"/>
  <c r="X58" i="21" a="1"/>
  <c r="X58" i="21" s="1"/>
  <c r="V58" i="21" a="1"/>
  <c r="V58" i="21" s="1"/>
  <c r="T58" i="21"/>
  <c r="T58" i="21" a="1"/>
  <c r="R58" i="21" a="1"/>
  <c r="R58" i="21" s="1"/>
  <c r="P58" i="21"/>
  <c r="P58" i="21" a="1"/>
  <c r="N58" i="21"/>
  <c r="N58" i="21" a="1"/>
  <c r="L58" i="21" a="1"/>
  <c r="L58" i="21" s="1"/>
  <c r="J58" i="21" a="1"/>
  <c r="J58" i="21" s="1"/>
  <c r="H58" i="21" a="1"/>
  <c r="H58" i="21" s="1"/>
  <c r="F58" i="21" a="1"/>
  <c r="F58" i="21" s="1"/>
  <c r="D58" i="21"/>
  <c r="D58" i="21" a="1"/>
  <c r="B58" i="21" a="1"/>
  <c r="B58" i="21" s="1"/>
  <c r="AV57" i="21"/>
  <c r="AV57" i="21" a="1"/>
  <c r="AT57" i="21"/>
  <c r="AT57" i="21" a="1"/>
  <c r="AR57" i="21" a="1"/>
  <c r="AR57" i="21" s="1"/>
  <c r="AP57" i="21" a="1"/>
  <c r="AP57" i="21" s="1"/>
  <c r="AN57" i="21" a="1"/>
  <c r="AN57" i="21" s="1"/>
  <c r="AL57" i="21" a="1"/>
  <c r="AL57" i="21" s="1"/>
  <c r="AJ57" i="21"/>
  <c r="AJ57" i="21" a="1"/>
  <c r="AH57" i="21" a="1"/>
  <c r="AH57" i="21" s="1"/>
  <c r="AF57" i="21"/>
  <c r="AF57" i="21" a="1"/>
  <c r="AD57" i="21"/>
  <c r="AD57" i="21" a="1"/>
  <c r="AB57" i="21" a="1"/>
  <c r="AB57" i="21" s="1"/>
  <c r="Z57" i="21" a="1"/>
  <c r="Z57" i="21" s="1"/>
  <c r="X57" i="21" a="1"/>
  <c r="X57" i="21" s="1"/>
  <c r="V57" i="21" a="1"/>
  <c r="V57" i="21" s="1"/>
  <c r="T57" i="21"/>
  <c r="T57" i="21" a="1"/>
  <c r="R57" i="21" a="1"/>
  <c r="R57" i="21" s="1"/>
  <c r="P57" i="21"/>
  <c r="P57" i="21" a="1"/>
  <c r="N57" i="21"/>
  <c r="N57" i="21" a="1"/>
  <c r="L57" i="21" a="1"/>
  <c r="L57" i="21" s="1"/>
  <c r="J57" i="21" a="1"/>
  <c r="J57" i="21" s="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J55" i="21"/>
  <c r="AH55" i="21"/>
  <c r="AH80" i="21" s="1"/>
  <c r="AF55" i="21"/>
  <c r="AF80" i="21" s="1"/>
  <c r="AD55" i="21"/>
  <c r="AD80" i="21" s="1"/>
  <c r="AB55" i="21"/>
  <c r="AB80" i="21" s="1"/>
  <c r="Z55" i="21"/>
  <c r="Z80" i="21" s="1"/>
  <c r="X55" i="21"/>
  <c r="X80" i="21" s="1"/>
  <c r="V55" i="21"/>
  <c r="V80" i="21" s="1"/>
  <c r="T55" i="21"/>
  <c r="R55" i="21"/>
  <c r="R80" i="21" s="1"/>
  <c r="P55" i="21"/>
  <c r="N55" i="21"/>
  <c r="L55" i="21"/>
  <c r="J55" i="21"/>
  <c r="H55" i="21"/>
  <c r="H80" i="21" s="1"/>
  <c r="F55" i="21"/>
  <c r="D55" i="2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H51" i="21"/>
  <c r="AH81" i="21" s="1"/>
  <c r="AF51" i="21"/>
  <c r="AD51" i="21"/>
  <c r="AB51" i="21"/>
  <c r="Z51" i="21"/>
  <c r="X51" i="21"/>
  <c r="X81" i="21" s="1"/>
  <c r="V51" i="21"/>
  <c r="T51" i="21"/>
  <c r="R51" i="21"/>
  <c r="R81" i="21" s="1"/>
  <c r="P51" i="21"/>
  <c r="P81" i="21" s="1"/>
  <c r="N51" i="21"/>
  <c r="N81" i="21" s="1"/>
  <c r="L51" i="21"/>
  <c r="L81" i="21" s="1"/>
  <c r="J51" i="21"/>
  <c r="J81" i="21" s="1"/>
  <c r="H51" i="21"/>
  <c r="H81" i="21" s="1"/>
  <c r="F51" i="21"/>
  <c r="F81" i="21" s="1"/>
  <c r="D51" i="2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a="1"/>
  <c r="V43" i="21" s="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H81" i="24"/>
  <c r="AF81" i="24"/>
  <c r="V81" i="24"/>
  <c r="T81" i="24"/>
  <c r="R81" i="24"/>
  <c r="H81" i="24"/>
  <c r="B81" i="24"/>
  <c r="AV80" i="24"/>
  <c r="AT80" i="24"/>
  <c r="AR80" i="24"/>
  <c r="AP80" i="24"/>
  <c r="X80" i="24"/>
  <c r="R80" i="24"/>
  <c r="P80" i="24"/>
  <c r="L80" i="24"/>
  <c r="J80" i="24"/>
  <c r="F80" i="24"/>
  <c r="D80" i="24"/>
  <c r="AV79" i="24"/>
  <c r="AV79" i="24" a="1"/>
  <c r="AT79" i="24" a="1"/>
  <c r="AT79" i="24" s="1"/>
  <c r="AR79" i="24"/>
  <c r="AR79" i="24" a="1"/>
  <c r="AP79" i="24" a="1"/>
  <c r="AP79" i="24" s="1"/>
  <c r="AN79" i="24" a="1"/>
  <c r="AN79" i="24" s="1"/>
  <c r="AL79" i="24"/>
  <c r="AL79" i="24" a="1"/>
  <c r="AJ79" i="24" a="1"/>
  <c r="AJ79" i="24" s="1"/>
  <c r="AH79" i="24" a="1"/>
  <c r="AH79" i="24" s="1"/>
  <c r="AF79" i="24"/>
  <c r="AF79" i="24" a="1"/>
  <c r="AD79" i="24" a="1"/>
  <c r="AD79" i="24" s="1"/>
  <c r="AB79" i="24"/>
  <c r="AB79" i="24" a="1"/>
  <c r="Z79" i="24" a="1"/>
  <c r="Z79" i="24" s="1"/>
  <c r="X79" i="24" a="1"/>
  <c r="X79" i="24" s="1"/>
  <c r="V79" i="24" a="1"/>
  <c r="V79" i="24" s="1"/>
  <c r="T79" i="24" a="1"/>
  <c r="T79" i="24" s="1"/>
  <c r="R79" i="24" a="1"/>
  <c r="R79" i="24" s="1"/>
  <c r="P79" i="24"/>
  <c r="P79" i="24" a="1"/>
  <c r="N79" i="24" a="1"/>
  <c r="N79" i="24" s="1"/>
  <c r="L79" i="24"/>
  <c r="L79" i="24" a="1"/>
  <c r="J79" i="24" a="1"/>
  <c r="J79" i="24" s="1"/>
  <c r="H79" i="24" a="1"/>
  <c r="H79" i="24" s="1"/>
  <c r="F79" i="24" a="1"/>
  <c r="F79" i="24" s="1"/>
  <c r="D79" i="24" a="1"/>
  <c r="D79" i="24" s="1"/>
  <c r="B79" i="24"/>
  <c r="B79" i="24" a="1"/>
  <c r="AV78" i="24"/>
  <c r="AV78" i="24" a="1"/>
  <c r="AT78" i="24" a="1"/>
  <c r="AT78" i="24" s="1"/>
  <c r="AR78" i="24"/>
  <c r="AR78" i="24" a="1"/>
  <c r="AP78" i="24" a="1"/>
  <c r="AP78" i="24" s="1"/>
  <c r="AN78" i="24" a="1"/>
  <c r="AN78" i="24" s="1"/>
  <c r="AL78" i="24" a="1"/>
  <c r="AL78" i="24" s="1"/>
  <c r="AJ78" i="24" a="1"/>
  <c r="AJ78" i="24" s="1"/>
  <c r="AH78" i="24"/>
  <c r="AH78" i="24" a="1"/>
  <c r="AF78" i="24"/>
  <c r="AF78" i="24" a="1"/>
  <c r="AD78" i="24" a="1"/>
  <c r="AD78" i="24" s="1"/>
  <c r="AB78" i="24" a="1"/>
  <c r="AB78" i="24" s="1"/>
  <c r="Z78" i="24" a="1"/>
  <c r="Z78" i="24" s="1"/>
  <c r="X78" i="24" a="1"/>
  <c r="X78" i="24" s="1"/>
  <c r="V78" i="24" a="1"/>
  <c r="V78" i="24" s="1"/>
  <c r="T78" i="24" a="1"/>
  <c r="T78" i="24" s="1"/>
  <c r="R78" i="24" a="1"/>
  <c r="R78" i="24" s="1"/>
  <c r="P78" i="24"/>
  <c r="P78" i="24" a="1"/>
  <c r="N78" i="24" a="1"/>
  <c r="N78" i="24" s="1"/>
  <c r="L78" i="24" a="1"/>
  <c r="L78" i="24" s="1"/>
  <c r="J78" i="24" a="1"/>
  <c r="J78" i="24" s="1"/>
  <c r="H78" i="24" a="1"/>
  <c r="H78" i="24" s="1"/>
  <c r="F78" i="24" a="1"/>
  <c r="F78" i="24" s="1"/>
  <c r="D78" i="24" a="1"/>
  <c r="D78" i="24" s="1"/>
  <c r="B78" i="24" a="1"/>
  <c r="B78" i="24" s="1"/>
  <c r="AV77" i="24"/>
  <c r="AV77" i="24" a="1"/>
  <c r="AT77" i="24" a="1"/>
  <c r="AT77" i="24" s="1"/>
  <c r="AR77" i="24" a="1"/>
  <c r="AR77" i="24" s="1"/>
  <c r="AP77" i="24" a="1"/>
  <c r="AP77" i="24" s="1"/>
  <c r="AN77" i="24" a="1"/>
  <c r="AN77" i="24" s="1"/>
  <c r="AL77" i="24" a="1"/>
  <c r="AL77" i="24" s="1"/>
  <c r="AJ77" i="24" a="1"/>
  <c r="AJ77" i="24" s="1"/>
  <c r="AH77" i="24" a="1"/>
  <c r="AH77" i="24" s="1"/>
  <c r="AF77" i="24"/>
  <c r="AF77" i="24" a="1"/>
  <c r="AD77" i="24" a="1"/>
  <c r="AD77" i="24" s="1"/>
  <c r="AB77" i="24" a="1"/>
  <c r="AB77" i="24" s="1"/>
  <c r="Z77" i="24" a="1"/>
  <c r="Z77" i="24" s="1"/>
  <c r="X77" i="24" a="1"/>
  <c r="X77" i="24" s="1"/>
  <c r="V77" i="24"/>
  <c r="V77" i="24" a="1"/>
  <c r="T77" i="24" a="1"/>
  <c r="T77" i="24" s="1"/>
  <c r="R77" i="24" a="1"/>
  <c r="R77" i="24" s="1"/>
  <c r="P77" i="24"/>
  <c r="P77" i="24" a="1"/>
  <c r="N77" i="24" a="1"/>
  <c r="N77" i="24" s="1"/>
  <c r="L77" i="24" a="1"/>
  <c r="L77" i="24" s="1"/>
  <c r="J77" i="24" a="1"/>
  <c r="J77" i="24" s="1"/>
  <c r="H77" i="24" a="1"/>
  <c r="H77" i="24" s="1"/>
  <c r="F77" i="24"/>
  <c r="F77" i="24" a="1"/>
  <c r="D77" i="24" a="1"/>
  <c r="D77" i="24" s="1"/>
  <c r="B77" i="24" a="1"/>
  <c r="B77" i="24" s="1"/>
  <c r="AV76" i="24"/>
  <c r="AV76" i="24" a="1"/>
  <c r="AT76" i="24" a="1"/>
  <c r="AT76" i="24" s="1"/>
  <c r="AR76" i="24" a="1"/>
  <c r="AR76" i="24" s="1"/>
  <c r="AP76" i="24" a="1"/>
  <c r="AP76" i="24" s="1"/>
  <c r="AN76" i="24" a="1"/>
  <c r="AN76" i="24" s="1"/>
  <c r="AL76" i="24" a="1"/>
  <c r="AL76" i="24" s="1"/>
  <c r="AJ76" i="24" a="1"/>
  <c r="AJ76" i="24" s="1"/>
  <c r="AH76" i="24" a="1"/>
  <c r="AH76" i="24" s="1"/>
  <c r="AF76" i="24"/>
  <c r="AF76" i="24" a="1"/>
  <c r="AD76" i="24" a="1"/>
  <c r="AD76" i="24" s="1"/>
  <c r="AB76" i="24" a="1"/>
  <c r="AB76" i="24" s="1"/>
  <c r="Z76" i="24" a="1"/>
  <c r="Z76" i="24" s="1"/>
  <c r="X76" i="24" a="1"/>
  <c r="X76" i="24" s="1"/>
  <c r="V76" i="24"/>
  <c r="V76" i="24" a="1"/>
  <c r="T76" i="24" a="1"/>
  <c r="T76" i="24" s="1"/>
  <c r="R76" i="24" a="1"/>
  <c r="R76" i="24" s="1"/>
  <c r="P76" i="24"/>
  <c r="P76" i="24" a="1"/>
  <c r="N76" i="24" a="1"/>
  <c r="N76" i="24" s="1"/>
  <c r="L76" i="24" a="1"/>
  <c r="L76" i="24" s="1"/>
  <c r="J76" i="24" a="1"/>
  <c r="J76" i="24" s="1"/>
  <c r="H76" i="24" a="1"/>
  <c r="H76" i="24" s="1"/>
  <c r="F76" i="24" a="1"/>
  <c r="F76" i="24" s="1"/>
  <c r="D76" i="24" a="1"/>
  <c r="D76" i="24" s="1"/>
  <c r="B76" i="24" a="1"/>
  <c r="B76" i="24" s="1"/>
  <c r="AV75" i="24"/>
  <c r="AV75" i="24" a="1"/>
  <c r="AT75" i="24" a="1"/>
  <c r="AT75" i="24" s="1"/>
  <c r="AR75" i="24" a="1"/>
  <c r="AR75" i="24" s="1"/>
  <c r="AP75" i="24" a="1"/>
  <c r="AP75" i="24" s="1"/>
  <c r="AN75" i="24" a="1"/>
  <c r="AN75" i="24" s="1"/>
  <c r="AL75" i="24"/>
  <c r="AL75" i="24" a="1"/>
  <c r="AJ75" i="24" a="1"/>
  <c r="AJ75" i="24" s="1"/>
  <c r="AH75" i="24" a="1"/>
  <c r="AH75" i="24" s="1"/>
  <c r="AF75" i="24"/>
  <c r="AF75" i="24" a="1"/>
  <c r="AD75" i="24" a="1"/>
  <c r="AD75" i="24" s="1"/>
  <c r="AB75" i="24" a="1"/>
  <c r="AB75" i="24" s="1"/>
  <c r="Z75" i="24" a="1"/>
  <c r="Z75" i="24" s="1"/>
  <c r="X75" i="24" a="1"/>
  <c r="X75" i="24" s="1"/>
  <c r="V75" i="24" a="1"/>
  <c r="V75" i="24" s="1"/>
  <c r="T75" i="24" a="1"/>
  <c r="T75" i="24" s="1"/>
  <c r="R75" i="24" a="1"/>
  <c r="R75" i="24" s="1"/>
  <c r="P75" i="24"/>
  <c r="P75" i="24" a="1"/>
  <c r="N75" i="24" a="1"/>
  <c r="N75" i="24" s="1"/>
  <c r="L75" i="24" a="1"/>
  <c r="L75" i="24" s="1"/>
  <c r="J75" i="24" a="1"/>
  <c r="J75" i="24" s="1"/>
  <c r="H75" i="24" a="1"/>
  <c r="H75" i="24" s="1"/>
  <c r="F75" i="24" a="1"/>
  <c r="F75" i="24" s="1"/>
  <c r="D75" i="24" a="1"/>
  <c r="D75" i="24" s="1"/>
  <c r="B75" i="24"/>
  <c r="B75" i="24" a="1"/>
  <c r="AV74" i="24"/>
  <c r="AV74" i="24" a="1"/>
  <c r="AT74" i="24" a="1"/>
  <c r="AT74" i="24" s="1"/>
  <c r="AR74" i="24" a="1"/>
  <c r="AR74" i="24" s="1"/>
  <c r="AP74" i="24" a="1"/>
  <c r="AP74" i="24" s="1"/>
  <c r="AN74" i="24" a="1"/>
  <c r="AN74" i="24" s="1"/>
  <c r="AL74" i="24" a="1"/>
  <c r="AL74" i="24" s="1"/>
  <c r="AJ74" i="24" a="1"/>
  <c r="AJ74" i="24" s="1"/>
  <c r="AH74" i="24"/>
  <c r="AH74" i="24" a="1"/>
  <c r="AF74" i="24"/>
  <c r="AF74" i="24" a="1"/>
  <c r="AD74" i="24" a="1"/>
  <c r="AD74" i="24" s="1"/>
  <c r="AB74" i="24" a="1"/>
  <c r="AB74" i="24" s="1"/>
  <c r="Z74" i="24" a="1"/>
  <c r="Z74" i="24" s="1"/>
  <c r="X74" i="24" a="1"/>
  <c r="X74" i="24" s="1"/>
  <c r="V74" i="24" a="1"/>
  <c r="V74" i="24" s="1"/>
  <c r="T74" i="24" a="1"/>
  <c r="T74" i="24" s="1"/>
  <c r="R74" i="24" a="1"/>
  <c r="R74" i="24" s="1"/>
  <c r="P74" i="24"/>
  <c r="P74" i="24" a="1"/>
  <c r="N74" i="24" a="1"/>
  <c r="N74" i="24" s="1"/>
  <c r="L74" i="24" a="1"/>
  <c r="L74" i="24" s="1"/>
  <c r="J74" i="24" a="1"/>
  <c r="J74" i="24" s="1"/>
  <c r="H74" i="24" a="1"/>
  <c r="H74" i="24" s="1"/>
  <c r="F74" i="24" a="1"/>
  <c r="F74" i="24" s="1"/>
  <c r="D74" i="24" a="1"/>
  <c r="D74" i="24" s="1"/>
  <c r="B74" i="24"/>
  <c r="B74" i="24" a="1"/>
  <c r="AV73" i="24"/>
  <c r="AV73" i="24" a="1"/>
  <c r="AT73" i="24" a="1"/>
  <c r="AT73" i="24" s="1"/>
  <c r="AR73" i="24" a="1"/>
  <c r="AR73" i="24" s="1"/>
  <c r="AP73" i="24" a="1"/>
  <c r="AP73" i="24" s="1"/>
  <c r="AN73" i="24" a="1"/>
  <c r="AN73" i="24" s="1"/>
  <c r="AL73" i="24" a="1"/>
  <c r="AL73" i="24" s="1"/>
  <c r="AJ73" i="24" a="1"/>
  <c r="AJ73" i="24" s="1"/>
  <c r="AH73" i="24" a="1"/>
  <c r="AH73" i="24" s="1"/>
  <c r="AF73" i="24"/>
  <c r="AF73" i="24" a="1"/>
  <c r="AD73" i="24" a="1"/>
  <c r="AD73" i="24" s="1"/>
  <c r="AB73" i="24" a="1"/>
  <c r="AB73" i="24" s="1"/>
  <c r="Z73" i="24" a="1"/>
  <c r="Z73" i="24" s="1"/>
  <c r="X73" i="24" a="1"/>
  <c r="X73" i="24" s="1"/>
  <c r="V73" i="24" a="1"/>
  <c r="V73" i="24" s="1"/>
  <c r="T73" i="24" a="1"/>
  <c r="T73" i="24" s="1"/>
  <c r="R73" i="24"/>
  <c r="R73" i="24" a="1"/>
  <c r="P73" i="24"/>
  <c r="P73" i="24" a="1"/>
  <c r="N73" i="24" a="1"/>
  <c r="N73" i="24" s="1"/>
  <c r="L73" i="24" a="1"/>
  <c r="L73" i="24" s="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AN69" i="24"/>
  <c r="X69" i="24"/>
  <c r="L69" i="24"/>
  <c r="H69" i="24"/>
  <c r="D69" i="24"/>
  <c r="B69" i="24"/>
  <c r="AN68" i="24"/>
  <c r="X68" i="24"/>
  <c r="H68" i="24"/>
  <c r="AV67" i="24" a="1"/>
  <c r="AV67" i="24" s="1"/>
  <c r="AT67" i="24"/>
  <c r="AT67" i="24" a="1"/>
  <c r="AR67" i="24" a="1"/>
  <c r="AR67" i="24" s="1"/>
  <c r="AP67" i="24" a="1"/>
  <c r="AP67" i="24" s="1"/>
  <c r="AN67" i="24"/>
  <c r="AN67" i="24" a="1"/>
  <c r="AL67" i="24" a="1"/>
  <c r="AL67" i="24" s="1"/>
  <c r="AJ67" i="24" a="1"/>
  <c r="AJ67" i="24" s="1"/>
  <c r="AH67" i="24" a="1"/>
  <c r="AH67" i="24" s="1"/>
  <c r="AF67" i="24"/>
  <c r="AF67" i="24" a="1"/>
  <c r="AD67" i="24" a="1"/>
  <c r="AD67" i="24" s="1"/>
  <c r="AB67" i="24" a="1"/>
  <c r="AB67" i="24" s="1"/>
  <c r="Z67" i="24" a="1"/>
  <c r="Z67" i="24" s="1"/>
  <c r="X67" i="24"/>
  <c r="X67" i="24" a="1"/>
  <c r="V67" i="24" a="1"/>
  <c r="V67" i="24" s="1"/>
  <c r="T67" i="24" a="1"/>
  <c r="T67" i="24" s="1"/>
  <c r="R67" i="24" a="1"/>
  <c r="R67" i="24" s="1"/>
  <c r="P67" i="24" a="1"/>
  <c r="P67" i="24" s="1"/>
  <c r="N67" i="24" a="1"/>
  <c r="N67" i="24" s="1"/>
  <c r="L67" i="24" a="1"/>
  <c r="L67" i="24" s="1"/>
  <c r="J67" i="24" a="1"/>
  <c r="J67" i="24" s="1"/>
  <c r="H67" i="24"/>
  <c r="H67" i="24" a="1"/>
  <c r="F67" i="24" a="1"/>
  <c r="F67" i="24" s="1"/>
  <c r="D67" i="24" a="1"/>
  <c r="D67" i="24" s="1"/>
  <c r="B67" i="24" a="1"/>
  <c r="B67" i="24" s="1"/>
  <c r="AV66" i="24" a="1"/>
  <c r="AV66" i="24" s="1"/>
  <c r="AV68" i="24" s="1"/>
  <c r="AT66" i="24"/>
  <c r="AT68" i="24" s="1"/>
  <c r="AT66" i="24" a="1"/>
  <c r="AR66" i="24" a="1"/>
  <c r="AR66" i="24" s="1"/>
  <c r="AP66" i="24" a="1"/>
  <c r="AP66" i="24" s="1"/>
  <c r="AN66" i="24"/>
  <c r="AN66" i="24" a="1"/>
  <c r="AL66" i="24" a="1"/>
  <c r="AL66" i="24" s="1"/>
  <c r="AJ66" i="24" a="1"/>
  <c r="AJ66" i="24" s="1"/>
  <c r="AH66" i="24" a="1"/>
  <c r="AH66" i="24" s="1"/>
  <c r="AF66" i="24" a="1"/>
  <c r="AF66" i="24" s="1"/>
  <c r="AF68" i="24" s="1"/>
  <c r="AD66" i="24"/>
  <c r="AD68" i="24" s="1"/>
  <c r="AD66" i="24" a="1"/>
  <c r="AB66" i="24" a="1"/>
  <c r="AB66" i="24" s="1"/>
  <c r="AB68" i="24" s="1"/>
  <c r="Z66" i="24" a="1"/>
  <c r="Z66" i="24" s="1"/>
  <c r="X66" i="24"/>
  <c r="X66" i="24" a="1"/>
  <c r="V66" i="24" a="1"/>
  <c r="V66" i="24" s="1"/>
  <c r="V68" i="24" s="1"/>
  <c r="T66" i="24" a="1"/>
  <c r="T66" i="24" s="1"/>
  <c r="T68" i="24" s="1"/>
  <c r="R66" i="24" a="1"/>
  <c r="R66" i="24" s="1"/>
  <c r="R68" i="24" s="1"/>
  <c r="P66" i="24"/>
  <c r="P66" i="24" a="1"/>
  <c r="N66" i="24" a="1"/>
  <c r="N66" i="24" s="1"/>
  <c r="L66" i="24" a="1"/>
  <c r="L66" i="24" s="1"/>
  <c r="L68" i="24" s="1"/>
  <c r="J66" i="24" a="1"/>
  <c r="J66" i="24" s="1"/>
  <c r="J68" i="24" s="1"/>
  <c r="H66" i="24"/>
  <c r="H66" i="24" a="1"/>
  <c r="F66" i="24" a="1"/>
  <c r="F66" i="24" s="1"/>
  <c r="F68" i="24" s="1"/>
  <c r="D66" i="24" a="1"/>
  <c r="D66" i="24" s="1"/>
  <c r="D68" i="24" s="1"/>
  <c r="B66" i="24" a="1"/>
  <c r="B66" i="24" s="1"/>
  <c r="AV65" i="24" a="1"/>
  <c r="AV65" i="24" s="1"/>
  <c r="AV69" i="24" s="1"/>
  <c r="AT65" i="24" a="1"/>
  <c r="AT65" i="24" s="1"/>
  <c r="AT69" i="24" s="1"/>
  <c r="AR65" i="24" a="1"/>
  <c r="AR65" i="24" s="1"/>
  <c r="AP65" i="24" a="1"/>
  <c r="AP65" i="24" s="1"/>
  <c r="AP69" i="24" s="1"/>
  <c r="AN65" i="24"/>
  <c r="AN65" i="24" a="1"/>
  <c r="AL65" i="24" a="1"/>
  <c r="AL65" i="24" s="1"/>
  <c r="AL69" i="24" s="1"/>
  <c r="AJ65" i="24" a="1"/>
  <c r="AJ65" i="24" s="1"/>
  <c r="AJ69" i="24" s="1"/>
  <c r="AH65" i="24" a="1"/>
  <c r="AH65" i="24" s="1"/>
  <c r="AH69" i="24" s="1"/>
  <c r="AF65" i="24" a="1"/>
  <c r="AF65" i="24" s="1"/>
  <c r="AF69" i="24" s="1"/>
  <c r="AD65" i="24"/>
  <c r="AD69" i="24" s="1"/>
  <c r="AD65" i="24" a="1"/>
  <c r="AB65" i="24" a="1"/>
  <c r="AB65" i="24" s="1"/>
  <c r="AB69" i="24" s="1"/>
  <c r="Z65" i="24" a="1"/>
  <c r="Z65" i="24" s="1"/>
  <c r="Z69" i="24" s="1"/>
  <c r="X65" i="24"/>
  <c r="X65" i="24" a="1"/>
  <c r="V65" i="24" a="1"/>
  <c r="V65" i="24" s="1"/>
  <c r="V69" i="24" s="1"/>
  <c r="T65" i="24" a="1"/>
  <c r="T65" i="24" s="1"/>
  <c r="T69" i="24" s="1"/>
  <c r="R65" i="24" a="1"/>
  <c r="R65" i="24" s="1"/>
  <c r="R69" i="24" s="1"/>
  <c r="P65" i="24" a="1"/>
  <c r="P65" i="24" s="1"/>
  <c r="P69" i="24" s="1"/>
  <c r="N65" i="24"/>
  <c r="N69" i="24" s="1"/>
  <c r="N65" i="24" a="1"/>
  <c r="L65" i="24" a="1"/>
  <c r="L65" i="24" s="1"/>
  <c r="J65" i="24" a="1"/>
  <c r="J65" i="24" s="1"/>
  <c r="J69" i="24" s="1"/>
  <c r="H65" i="24"/>
  <c r="H65" i="24" a="1"/>
  <c r="F65" i="24" a="1"/>
  <c r="F65" i="24" s="1"/>
  <c r="F69" i="24" s="1"/>
  <c r="D65" i="24" a="1"/>
  <c r="D65"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c r="AL58" i="24" a="1"/>
  <c r="AJ58" i="24"/>
  <c r="AJ58" i="24" a="1"/>
  <c r="AH58" i="24" a="1"/>
  <c r="AH58" i="24" s="1"/>
  <c r="AF58" i="24"/>
  <c r="AF58" i="24" a="1"/>
  <c r="AD58" i="24" a="1"/>
  <c r="AD58" i="24" s="1"/>
  <c r="AB58" i="24" a="1"/>
  <c r="AB58" i="24" s="1"/>
  <c r="Z58" i="24"/>
  <c r="Z58" i="24" a="1"/>
  <c r="X58" i="24" a="1"/>
  <c r="X58" i="24" s="1"/>
  <c r="V58" i="24" a="1"/>
  <c r="V58" i="24" s="1"/>
  <c r="T58" i="24"/>
  <c r="T58" i="24" a="1"/>
  <c r="R58" i="24"/>
  <c r="R58" i="24" a="1"/>
  <c r="P58" i="24"/>
  <c r="P58" i="24" a="1"/>
  <c r="N58" i="24" a="1"/>
  <c r="N58" i="24" s="1"/>
  <c r="L58" i="24" a="1"/>
  <c r="L58" i="24" s="1"/>
  <c r="J58" i="24"/>
  <c r="J58" i="24" a="1"/>
  <c r="H58" i="24" a="1"/>
  <c r="H58" i="24" s="1"/>
  <c r="F58" i="24" a="1"/>
  <c r="F58" i="24" s="1"/>
  <c r="D58" i="24" a="1"/>
  <c r="D58" i="24" s="1"/>
  <c r="B58" i="24" a="1"/>
  <c r="B58" i="24" s="1"/>
  <c r="AV57" i="24"/>
  <c r="AV57" i="24" a="1"/>
  <c r="AT57" i="24" a="1"/>
  <c r="AT57" i="24" s="1"/>
  <c r="AR57" i="24" a="1"/>
  <c r="AR57" i="24" s="1"/>
  <c r="AP57" i="24"/>
  <c r="AP57" i="24" a="1"/>
  <c r="AN57" i="24" a="1"/>
  <c r="AN57" i="24" s="1"/>
  <c r="AL57" i="24"/>
  <c r="AL57" i="24" a="1"/>
  <c r="AJ57" i="24" a="1"/>
  <c r="AJ57" i="24" s="1"/>
  <c r="AH57" i="24"/>
  <c r="AH57" i="24" a="1"/>
  <c r="AF57" i="24"/>
  <c r="AF57" i="24" a="1"/>
  <c r="AD57" i="24" a="1"/>
  <c r="AD57" i="24" s="1"/>
  <c r="AB57" i="24" a="1"/>
  <c r="AB57" i="24" s="1"/>
  <c r="Z57" i="24"/>
  <c r="Z57" i="24" a="1"/>
  <c r="X57" i="24" a="1"/>
  <c r="X57" i="24" s="1"/>
  <c r="V57" i="24" a="1"/>
  <c r="V57" i="24" s="1"/>
  <c r="T57" i="24" a="1"/>
  <c r="T57" i="24" s="1"/>
  <c r="R57" i="24" a="1"/>
  <c r="R57" i="24" s="1"/>
  <c r="P57" i="24"/>
  <c r="P57" i="24" a="1"/>
  <c r="N57" i="24" a="1"/>
  <c r="N57" i="24" s="1"/>
  <c r="L57" i="24" a="1"/>
  <c r="L57" i="24" s="1"/>
  <c r="J57" i="24"/>
  <c r="J57" i="24" a="1"/>
  <c r="H57" i="24" a="1"/>
  <c r="H57" i="24" s="1"/>
  <c r="F57" i="24"/>
  <c r="F57" i="24" a="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H80" i="24" s="1"/>
  <c r="AF55" i="24"/>
  <c r="AF80" i="24" s="1"/>
  <c r="AD55" i="24"/>
  <c r="AD80" i="24" s="1"/>
  <c r="AB55" i="24"/>
  <c r="AB80" i="24" s="1"/>
  <c r="Z55" i="24"/>
  <c r="Z80" i="24" s="1"/>
  <c r="X55" i="24"/>
  <c r="V55" i="24"/>
  <c r="V80" i="24" s="1"/>
  <c r="T55" i="24"/>
  <c r="T80" i="24" s="1"/>
  <c r="R55" i="24"/>
  <c r="P55" i="24"/>
  <c r="N55" i="24"/>
  <c r="N80" i="24" s="1"/>
  <c r="L55" i="24"/>
  <c r="J55" i="24"/>
  <c r="H55" i="24"/>
  <c r="H80" i="24" s="1"/>
  <c r="F55" i="24"/>
  <c r="D55" i="24"/>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L81" i="24" s="1"/>
  <c r="AJ51" i="24"/>
  <c r="AJ81" i="24" s="1"/>
  <c r="AH51" i="24"/>
  <c r="AF51" i="24"/>
  <c r="AD51" i="24"/>
  <c r="AD81" i="24" s="1"/>
  <c r="AB51" i="24"/>
  <c r="AB81" i="24" s="1"/>
  <c r="Z51" i="24"/>
  <c r="Z81" i="24" s="1"/>
  <c r="X51" i="24"/>
  <c r="X81" i="24" s="1"/>
  <c r="V51" i="24"/>
  <c r="T51" i="24"/>
  <c r="R51" i="24"/>
  <c r="P51" i="24"/>
  <c r="P81" i="24" s="1"/>
  <c r="N51" i="24"/>
  <c r="N81" i="24" s="1"/>
  <c r="L51" i="24"/>
  <c r="L81" i="24" s="1"/>
  <c r="J51" i="24"/>
  <c r="J81" i="24" s="1"/>
  <c r="H51" i="24"/>
  <c r="F51" i="24"/>
  <c r="F81" i="24" s="1"/>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a="1"/>
  <c r="AJ43" i="24" s="1"/>
  <c r="AH43" i="24"/>
  <c r="AH43" i="24" a="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R81" i="18"/>
  <c r="AN81" i="18"/>
  <c r="AL81" i="18"/>
  <c r="AJ81" i="18"/>
  <c r="AH81" i="18"/>
  <c r="AF81" i="18"/>
  <c r="AD81" i="18"/>
  <c r="AB81" i="18"/>
  <c r="Z81" i="18"/>
  <c r="T81" i="18"/>
  <c r="L81" i="18"/>
  <c r="H81" i="18"/>
  <c r="F81" i="18"/>
  <c r="D81" i="18"/>
  <c r="B81" i="18"/>
  <c r="AV80" i="18"/>
  <c r="AT80" i="18"/>
  <c r="AR80" i="18"/>
  <c r="AP80" i="18"/>
  <c r="AN80" i="18"/>
  <c r="AL80" i="18"/>
  <c r="AJ80" i="18"/>
  <c r="AB80" i="18"/>
  <c r="X80" i="18"/>
  <c r="V80" i="18"/>
  <c r="T80" i="18"/>
  <c r="R80" i="18"/>
  <c r="P80" i="18"/>
  <c r="N80" i="18"/>
  <c r="L80" i="18"/>
  <c r="J80" i="18"/>
  <c r="H80" i="18"/>
  <c r="F80" i="18"/>
  <c r="D80" i="18"/>
  <c r="B80" i="18"/>
  <c r="AV79" i="18" a="1"/>
  <c r="AV79" i="18" s="1"/>
  <c r="AT79" i="18"/>
  <c r="AT79" i="18" a="1"/>
  <c r="AR79" i="18" a="1"/>
  <c r="AR79" i="18" s="1"/>
  <c r="AP79" i="18" a="1"/>
  <c r="AP79" i="18" s="1"/>
  <c r="AN79" i="18" a="1"/>
  <c r="AN79" i="18" s="1"/>
  <c r="AL79" i="18" a="1"/>
  <c r="AL79" i="18" s="1"/>
  <c r="AJ79" i="18" a="1"/>
  <c r="AJ79" i="18" s="1"/>
  <c r="AH79" i="18" a="1"/>
  <c r="AH79" i="18" s="1"/>
  <c r="AF79" i="18" a="1"/>
  <c r="AF79" i="18" s="1"/>
  <c r="AD79" i="18"/>
  <c r="AD79" i="18" a="1"/>
  <c r="AB79" i="18" a="1"/>
  <c r="AB79" i="18" s="1"/>
  <c r="Z79" i="18" a="1"/>
  <c r="Z79" i="18" s="1"/>
  <c r="X79" i="18" a="1"/>
  <c r="X79" i="18" s="1"/>
  <c r="V79" i="18" a="1"/>
  <c r="V79" i="18" s="1"/>
  <c r="T79" i="18"/>
  <c r="T79" i="18" a="1"/>
  <c r="R79" i="18" a="1"/>
  <c r="R79" i="18" s="1"/>
  <c r="P79" i="18" a="1"/>
  <c r="P79" i="18" s="1"/>
  <c r="N79" i="18"/>
  <c r="N79" i="18" a="1"/>
  <c r="L79" i="18" a="1"/>
  <c r="L79" i="18" s="1"/>
  <c r="J79" i="18" a="1"/>
  <c r="J79" i="18" s="1"/>
  <c r="H79" i="18" a="1"/>
  <c r="H79" i="18" s="1"/>
  <c r="F79" i="18" a="1"/>
  <c r="F79" i="18" s="1"/>
  <c r="D79" i="18" a="1"/>
  <c r="D79" i="18" s="1"/>
  <c r="B79" i="18" a="1"/>
  <c r="B79" i="18" s="1"/>
  <c r="AV78" i="18" a="1"/>
  <c r="AV78" i="18" s="1"/>
  <c r="AT78" i="18"/>
  <c r="AT78" i="18" a="1"/>
  <c r="AR78" i="18" a="1"/>
  <c r="AR78" i="18" s="1"/>
  <c r="AP78" i="18" a="1"/>
  <c r="AP78" i="18" s="1"/>
  <c r="AN78" i="18" a="1"/>
  <c r="AN78" i="18" s="1"/>
  <c r="AL78" i="18" a="1"/>
  <c r="AL78" i="18" s="1"/>
  <c r="AJ78" i="18" a="1"/>
  <c r="AJ78" i="18" s="1"/>
  <c r="AH78" i="18" a="1"/>
  <c r="AH78" i="18" s="1"/>
  <c r="AF78" i="18" a="1"/>
  <c r="AF78" i="18" s="1"/>
  <c r="AD78" i="18"/>
  <c r="AD78" i="18" a="1"/>
  <c r="AB78" i="18" a="1"/>
  <c r="AB78" i="18" s="1"/>
  <c r="Z78" i="18" a="1"/>
  <c r="Z78" i="18" s="1"/>
  <c r="X78" i="18" a="1"/>
  <c r="X78" i="18" s="1"/>
  <c r="V78" i="18" a="1"/>
  <c r="V78" i="18" s="1"/>
  <c r="T78" i="18" a="1"/>
  <c r="T78" i="18" s="1"/>
  <c r="R78" i="18" a="1"/>
  <c r="R78" i="18" s="1"/>
  <c r="P78" i="18" a="1"/>
  <c r="P78" i="18" s="1"/>
  <c r="N78" i="18"/>
  <c r="N78" i="18" a="1"/>
  <c r="L78" i="18" a="1"/>
  <c r="L78" i="18" s="1"/>
  <c r="J78" i="18" a="1"/>
  <c r="J78" i="18" s="1"/>
  <c r="H78" i="18" a="1"/>
  <c r="H78" i="18" s="1"/>
  <c r="F78" i="18" a="1"/>
  <c r="F78" i="18" s="1"/>
  <c r="D78" i="18"/>
  <c r="D78" i="18" a="1"/>
  <c r="B78" i="18" a="1"/>
  <c r="B78" i="18" s="1"/>
  <c r="AV77" i="18" a="1"/>
  <c r="AV77" i="18" s="1"/>
  <c r="AT77" i="18"/>
  <c r="AT77" i="18" a="1"/>
  <c r="AR77" i="18" a="1"/>
  <c r="AR77" i="18" s="1"/>
  <c r="AP77" i="18" a="1"/>
  <c r="AP77" i="18" s="1"/>
  <c r="AN77" i="18" a="1"/>
  <c r="AN77" i="18" s="1"/>
  <c r="AL77" i="18" a="1"/>
  <c r="AL77" i="18" s="1"/>
  <c r="AJ77" i="18" a="1"/>
  <c r="AJ77" i="18" s="1"/>
  <c r="AH77" i="18" a="1"/>
  <c r="AH77" i="18" s="1"/>
  <c r="AF77" i="18" a="1"/>
  <c r="AF77" i="18" s="1"/>
  <c r="AD77" i="18"/>
  <c r="AD77" i="18" a="1"/>
  <c r="AB77" i="18" a="1"/>
  <c r="AB77" i="18" s="1"/>
  <c r="Z77" i="18" a="1"/>
  <c r="Z77" i="18" s="1"/>
  <c r="X77" i="18" a="1"/>
  <c r="X77" i="18" s="1"/>
  <c r="V77" i="18" a="1"/>
  <c r="V77" i="18" s="1"/>
  <c r="T77" i="18" a="1"/>
  <c r="T77" i="18" s="1"/>
  <c r="R77" i="18" a="1"/>
  <c r="R77" i="18" s="1"/>
  <c r="P77" i="18" a="1"/>
  <c r="P77" i="18" s="1"/>
  <c r="N77" i="18"/>
  <c r="N77" i="18" a="1"/>
  <c r="L77" i="18" a="1"/>
  <c r="L77" i="18" s="1"/>
  <c r="J77" i="18" a="1"/>
  <c r="J77" i="18" s="1"/>
  <c r="H77" i="18" a="1"/>
  <c r="H77" i="18" s="1"/>
  <c r="F77" i="18" a="1"/>
  <c r="F77" i="18" s="1"/>
  <c r="D77" i="18" a="1"/>
  <c r="D77" i="18" s="1"/>
  <c r="B77" i="18" a="1"/>
  <c r="B77" i="18" s="1"/>
  <c r="AV76" i="18" a="1"/>
  <c r="AV76" i="18" s="1"/>
  <c r="AT76" i="18"/>
  <c r="AT76" i="18" a="1"/>
  <c r="AR76" i="18" a="1"/>
  <c r="AR76" i="18" s="1"/>
  <c r="AP76" i="18" a="1"/>
  <c r="AP76" i="18" s="1"/>
  <c r="AN76" i="18" a="1"/>
  <c r="AN76" i="18" s="1"/>
  <c r="AL76" i="18" a="1"/>
  <c r="AL76" i="18" s="1"/>
  <c r="AJ76" i="18"/>
  <c r="AJ76" i="18" a="1"/>
  <c r="AH76" i="18" a="1"/>
  <c r="AH76" i="18" s="1"/>
  <c r="AF76" i="18" a="1"/>
  <c r="AF76" i="18" s="1"/>
  <c r="AD76" i="18"/>
  <c r="AD76" i="18" a="1"/>
  <c r="AB76" i="18" a="1"/>
  <c r="AB76" i="18" s="1"/>
  <c r="Z76" i="18" a="1"/>
  <c r="Z76" i="18" s="1"/>
  <c r="X76" i="18" a="1"/>
  <c r="X76" i="18" s="1"/>
  <c r="V76" i="18" a="1"/>
  <c r="V76" i="18" s="1"/>
  <c r="T76" i="18" a="1"/>
  <c r="T76" i="18" s="1"/>
  <c r="R76" i="18" a="1"/>
  <c r="R76" i="18" s="1"/>
  <c r="P76" i="18" a="1"/>
  <c r="P76" i="18" s="1"/>
  <c r="N76" i="18"/>
  <c r="N76" i="18" a="1"/>
  <c r="L76" i="18" a="1"/>
  <c r="L76" i="18" s="1"/>
  <c r="J76" i="18" a="1"/>
  <c r="J76" i="18" s="1"/>
  <c r="H76" i="18" a="1"/>
  <c r="H76" i="18" s="1"/>
  <c r="F76" i="18" a="1"/>
  <c r="F76" i="18" s="1"/>
  <c r="D76" i="18" a="1"/>
  <c r="D76" i="18" s="1"/>
  <c r="B76" i="18" a="1"/>
  <c r="B76" i="18" s="1"/>
  <c r="AV75" i="18" a="1"/>
  <c r="AV75" i="18" s="1"/>
  <c r="AT75" i="18"/>
  <c r="AT75" i="18" a="1"/>
  <c r="AR75" i="18" a="1"/>
  <c r="AR75" i="18" s="1"/>
  <c r="AP75" i="18" a="1"/>
  <c r="AP75" i="18" s="1"/>
  <c r="AN75" i="18" a="1"/>
  <c r="AN75" i="18" s="1"/>
  <c r="AL75" i="18" a="1"/>
  <c r="AL75" i="18" s="1"/>
  <c r="AJ75" i="18" a="1"/>
  <c r="AJ75" i="18" s="1"/>
  <c r="AH75" i="18" a="1"/>
  <c r="AH75" i="18" s="1"/>
  <c r="AF75" i="18" a="1"/>
  <c r="AF75" i="18" s="1"/>
  <c r="AD75" i="18"/>
  <c r="AD75" i="18" a="1"/>
  <c r="AB75" i="18" a="1"/>
  <c r="AB75" i="18" s="1"/>
  <c r="Z75" i="18" a="1"/>
  <c r="Z75" i="18" s="1"/>
  <c r="X75" i="18"/>
  <c r="X75" i="18" a="1"/>
  <c r="V75" i="18" a="1"/>
  <c r="V75" i="18" s="1"/>
  <c r="T75" i="18" a="1"/>
  <c r="T75" i="18" s="1"/>
  <c r="R75" i="18" a="1"/>
  <c r="R75" i="18" s="1"/>
  <c r="P75" i="18" a="1"/>
  <c r="P75" i="18" s="1"/>
  <c r="N75" i="18"/>
  <c r="N75" i="18" a="1"/>
  <c r="L75" i="18" a="1"/>
  <c r="L75" i="18" s="1"/>
  <c r="J75" i="18" a="1"/>
  <c r="J75" i="18" s="1"/>
  <c r="H75" i="18" a="1"/>
  <c r="H75" i="18" s="1"/>
  <c r="F75" i="18" a="1"/>
  <c r="F75" i="18" s="1"/>
  <c r="D75" i="18" a="1"/>
  <c r="D75" i="18" s="1"/>
  <c r="B75" i="18"/>
  <c r="B75" i="18" a="1"/>
  <c r="AV74" i="18" a="1"/>
  <c r="AV74" i="18" s="1"/>
  <c r="AT74" i="18"/>
  <c r="AT74" i="18" a="1"/>
  <c r="AR74" i="18" a="1"/>
  <c r="AR74" i="18" s="1"/>
  <c r="AP74" i="18" a="1"/>
  <c r="AP74" i="18" s="1"/>
  <c r="AN74" i="18" a="1"/>
  <c r="AN74" i="18" s="1"/>
  <c r="AL74" i="18" a="1"/>
  <c r="AL74" i="18" s="1"/>
  <c r="AJ74" i="18" a="1"/>
  <c r="AJ74" i="18" s="1"/>
  <c r="AH74" i="18"/>
  <c r="AH74" i="18" a="1"/>
  <c r="AF74" i="18" a="1"/>
  <c r="AF74" i="18" s="1"/>
  <c r="AD74" i="18"/>
  <c r="AD74" i="18" a="1"/>
  <c r="AB74" i="18" a="1"/>
  <c r="AB74" i="18" s="1"/>
  <c r="Z74" i="18" a="1"/>
  <c r="Z74" i="18" s="1"/>
  <c r="X74" i="18" a="1"/>
  <c r="X74" i="18" s="1"/>
  <c r="V74" i="18" a="1"/>
  <c r="V74" i="18" s="1"/>
  <c r="T74" i="18" a="1"/>
  <c r="T74" i="18" s="1"/>
  <c r="R74" i="18" a="1"/>
  <c r="R74" i="18" s="1"/>
  <c r="P74" i="18" a="1"/>
  <c r="P74" i="18" s="1"/>
  <c r="N74" i="18"/>
  <c r="N74" i="18" a="1"/>
  <c r="L74" i="18" a="1"/>
  <c r="L74" i="18" s="1"/>
  <c r="J74" i="18" a="1"/>
  <c r="J74" i="18" s="1"/>
  <c r="H74" i="18" a="1"/>
  <c r="H74" i="18" s="1"/>
  <c r="F74" i="18" a="1"/>
  <c r="F74" i="18" s="1"/>
  <c r="D74" i="18" a="1"/>
  <c r="D74" i="18" s="1"/>
  <c r="B74" i="18" a="1"/>
  <c r="B74" i="18" s="1"/>
  <c r="AV73" i="18" a="1"/>
  <c r="AV73" i="18" s="1"/>
  <c r="AT73" i="18"/>
  <c r="AT73" i="18" a="1"/>
  <c r="AR73" i="18" a="1"/>
  <c r="AR73" i="18" s="1"/>
  <c r="AP73" i="18" a="1"/>
  <c r="AP73" i="18" s="1"/>
  <c r="AN73" i="18" a="1"/>
  <c r="AN73" i="18" s="1"/>
  <c r="AL73" i="18"/>
  <c r="AL73" i="18" a="1"/>
  <c r="AJ73" i="18" a="1"/>
  <c r="AJ73" i="18" s="1"/>
  <c r="AH73" i="18" a="1"/>
  <c r="AH73" i="18" s="1"/>
  <c r="AF73" i="18" a="1"/>
  <c r="AF73" i="18" s="1"/>
  <c r="AD73" i="18"/>
  <c r="AD73" i="18" a="1"/>
  <c r="AB73" i="18" a="1"/>
  <c r="AB73" i="18" s="1"/>
  <c r="Z73" i="18" a="1"/>
  <c r="Z73" i="18" s="1"/>
  <c r="X73" i="18" a="1"/>
  <c r="X73" i="18" s="1"/>
  <c r="V73" i="18"/>
  <c r="V73" i="18" a="1"/>
  <c r="T73" i="18" a="1"/>
  <c r="T73" i="18" s="1"/>
  <c r="R73" i="18" a="1"/>
  <c r="R73" i="18" s="1"/>
  <c r="P73" i="18" a="1"/>
  <c r="P73" i="18" s="1"/>
  <c r="N73" i="18"/>
  <c r="N73" i="18" a="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AN69" i="18"/>
  <c r="AL69" i="18"/>
  <c r="V69" i="18"/>
  <c r="H69" i="18"/>
  <c r="F69" i="18"/>
  <c r="D69" i="18"/>
  <c r="B69" i="18"/>
  <c r="AL68" i="18"/>
  <c r="V68" i="18"/>
  <c r="F68" i="18"/>
  <c r="AV67" i="18" a="1"/>
  <c r="AV67" i="18" s="1"/>
  <c r="AT67" i="18" a="1"/>
  <c r="AT67" i="18" s="1"/>
  <c r="AR67" i="18" a="1"/>
  <c r="AR67" i="18" s="1"/>
  <c r="AP67" i="18" a="1"/>
  <c r="AP67" i="18" s="1"/>
  <c r="AN67" i="18" a="1"/>
  <c r="AN67" i="18" s="1"/>
  <c r="AL67" i="18"/>
  <c r="AL67" i="18" a="1"/>
  <c r="AJ67" i="18" a="1"/>
  <c r="AJ67" i="18" s="1"/>
  <c r="AH67" i="18" a="1"/>
  <c r="AH67" i="18" s="1"/>
  <c r="AF67" i="18"/>
  <c r="AF67" i="18" a="1"/>
  <c r="AD67" i="18" a="1"/>
  <c r="AD67" i="18" s="1"/>
  <c r="AD68" i="18" s="1"/>
  <c r="AB67" i="18" a="1"/>
  <c r="AB67" i="18" s="1"/>
  <c r="Z67" i="18" a="1"/>
  <c r="Z67" i="18" s="1"/>
  <c r="Z68" i="18" s="1"/>
  <c r="X67" i="18" a="1"/>
  <c r="X67" i="18" s="1"/>
  <c r="V67" i="18"/>
  <c r="V67" i="18" a="1"/>
  <c r="T67" i="18" a="1"/>
  <c r="T67" i="18" s="1"/>
  <c r="T68" i="18" s="1"/>
  <c r="R67" i="18" a="1"/>
  <c r="R67" i="18" s="1"/>
  <c r="P67" i="18"/>
  <c r="P67" i="18" a="1"/>
  <c r="N67" i="18" a="1"/>
  <c r="N67" i="18" s="1"/>
  <c r="L67" i="18" a="1"/>
  <c r="L67" i="18" s="1"/>
  <c r="J67" i="18" a="1"/>
  <c r="J67" i="18" s="1"/>
  <c r="H67" i="18" a="1"/>
  <c r="H67" i="18" s="1"/>
  <c r="F67" i="18"/>
  <c r="F67" i="18" a="1"/>
  <c r="D67" i="18" a="1"/>
  <c r="D67" i="18" s="1"/>
  <c r="B67" i="18" a="1"/>
  <c r="B67" i="18" s="1"/>
  <c r="AV66" i="18" a="1"/>
  <c r="AV66" i="18" s="1"/>
  <c r="AT66" i="18" a="1"/>
  <c r="AT66" i="18" s="1"/>
  <c r="AT68" i="18" s="1"/>
  <c r="AR66" i="18" a="1"/>
  <c r="AR66" i="18" s="1"/>
  <c r="AP66" i="18"/>
  <c r="AP66" i="18" a="1"/>
  <c r="AN66" i="18" a="1"/>
  <c r="AN66" i="18" s="1"/>
  <c r="AL66" i="18"/>
  <c r="AL66" i="18" a="1"/>
  <c r="AJ66" i="18" a="1"/>
  <c r="AJ66" i="18" s="1"/>
  <c r="AJ68" i="18" s="1"/>
  <c r="AH66" i="18" a="1"/>
  <c r="AH66" i="18" s="1"/>
  <c r="AH68" i="18" s="1"/>
  <c r="AF66" i="18" a="1"/>
  <c r="AF66" i="18" s="1"/>
  <c r="AF68" i="18" s="1"/>
  <c r="AD66" i="18" a="1"/>
  <c r="AD66" i="18" s="1"/>
  <c r="AB66" i="18" a="1"/>
  <c r="AB66" i="18" s="1"/>
  <c r="AB68" i="18" s="1"/>
  <c r="Z66" i="18"/>
  <c r="Z66" i="18" a="1"/>
  <c r="X66" i="18" a="1"/>
  <c r="X66" i="18" s="1"/>
  <c r="X68" i="18" s="1"/>
  <c r="V66" i="18"/>
  <c r="V66" i="18" a="1"/>
  <c r="T66" i="18" a="1"/>
  <c r="T66" i="18" s="1"/>
  <c r="R66" i="18" a="1"/>
  <c r="R66" i="18" s="1"/>
  <c r="R68" i="18" s="1"/>
  <c r="P66" i="18" a="1"/>
  <c r="P66" i="18" s="1"/>
  <c r="P68" i="18" s="1"/>
  <c r="N66" i="18" a="1"/>
  <c r="N66" i="18" s="1"/>
  <c r="L66" i="18" a="1"/>
  <c r="L66" i="18" s="1"/>
  <c r="J66" i="18" a="1"/>
  <c r="J66" i="18" s="1"/>
  <c r="J68" i="18" s="1"/>
  <c r="H66" i="18" a="1"/>
  <c r="H66" i="18" s="1"/>
  <c r="H68" i="18" s="1"/>
  <c r="F66" i="18"/>
  <c r="F66" i="18" a="1"/>
  <c r="D66" i="18" a="1"/>
  <c r="D66" i="18" s="1"/>
  <c r="B66" i="18" a="1"/>
  <c r="B66" i="18" s="1"/>
  <c r="AV65" i="18" a="1"/>
  <c r="AV65" i="18" s="1"/>
  <c r="AV69" i="18" s="1"/>
  <c r="AT65" i="18" a="1"/>
  <c r="AT65" i="18" s="1"/>
  <c r="AT69" i="18" s="1"/>
  <c r="AR65" i="18" a="1"/>
  <c r="AR65" i="18" s="1"/>
  <c r="AR69" i="18" s="1"/>
  <c r="AP65" i="18" a="1"/>
  <c r="AP65" i="18" s="1"/>
  <c r="AN65" i="18" a="1"/>
  <c r="AN65" i="18" s="1"/>
  <c r="AL65" i="18"/>
  <c r="AL65" i="18" a="1"/>
  <c r="AJ65" i="18" a="1"/>
  <c r="AJ65" i="18" s="1"/>
  <c r="AJ69" i="18" s="1"/>
  <c r="AH65" i="18" a="1"/>
  <c r="AH65" i="18" s="1"/>
  <c r="AH69" i="18" s="1"/>
  <c r="AF65" i="18" a="1"/>
  <c r="AF65" i="18" s="1"/>
  <c r="AF69" i="18" s="1"/>
  <c r="AD65" i="18"/>
  <c r="AD69" i="18" s="1"/>
  <c r="AD65" i="18" a="1"/>
  <c r="AB65" i="18" a="1"/>
  <c r="AB65" i="18" s="1"/>
  <c r="AB69" i="18" s="1"/>
  <c r="Z65" i="18" a="1"/>
  <c r="Z65" i="18" s="1"/>
  <c r="Z69" i="18" s="1"/>
  <c r="X65" i="18" a="1"/>
  <c r="X65" i="18" s="1"/>
  <c r="X69" i="18" s="1"/>
  <c r="V65" i="18"/>
  <c r="V65" i="18" a="1"/>
  <c r="T65" i="18" a="1"/>
  <c r="T65" i="18" s="1"/>
  <c r="T69" i="18" s="1"/>
  <c r="R65" i="18" a="1"/>
  <c r="R65" i="18" s="1"/>
  <c r="R69" i="18" s="1"/>
  <c r="P65" i="18" a="1"/>
  <c r="P65" i="18" s="1"/>
  <c r="P69" i="18" s="1"/>
  <c r="N65" i="18"/>
  <c r="N69" i="18" s="1"/>
  <c r="N65" i="18" a="1"/>
  <c r="L65" i="18" a="1"/>
  <c r="L65" i="18" s="1"/>
  <c r="L69" i="18" s="1"/>
  <c r="J65" i="18" a="1"/>
  <c r="J65" i="18" s="1"/>
  <c r="J69" i="18" s="1"/>
  <c r="H65" i="18" a="1"/>
  <c r="H65" i="18" s="1"/>
  <c r="F65" i="18"/>
  <c r="F65" i="18" a="1"/>
  <c r="D65" i="18" a="1"/>
  <c r="D65"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a="1"/>
  <c r="AR58" i="18" s="1"/>
  <c r="AP58" i="18" a="1"/>
  <c r="AP58" i="18" s="1"/>
  <c r="AN58" i="18" a="1"/>
  <c r="AN58" i="18" s="1"/>
  <c r="AL58" i="18" a="1"/>
  <c r="AL58" i="18" s="1"/>
  <c r="AJ58" i="18" a="1"/>
  <c r="AJ58" i="18" s="1"/>
  <c r="AH58" i="18" a="1"/>
  <c r="AH58" i="18" s="1"/>
  <c r="AF58" i="18"/>
  <c r="AF58" i="18" a="1"/>
  <c r="AD58" i="18" a="1"/>
  <c r="AD58" i="18" s="1"/>
  <c r="AB58" i="18" a="1"/>
  <c r="AB58" i="18" s="1"/>
  <c r="Z58" i="18" a="1"/>
  <c r="Z58" i="18" s="1"/>
  <c r="X58" i="18" a="1"/>
  <c r="X58" i="18" s="1"/>
  <c r="V58" i="18" a="1"/>
  <c r="V58" i="18" s="1"/>
  <c r="T58" i="18" a="1"/>
  <c r="T58" i="18" s="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a="1"/>
  <c r="AJ57" i="18" s="1"/>
  <c r="AH57" i="18" a="1"/>
  <c r="AH57" i="18" s="1"/>
  <c r="AF57" i="18"/>
  <c r="AF57" i="18" a="1"/>
  <c r="AD57" i="18" a="1"/>
  <c r="AD57" i="18" s="1"/>
  <c r="AB57" i="18" a="1"/>
  <c r="AB57" i="18" s="1"/>
  <c r="Z57" i="18" a="1"/>
  <c r="Z57" i="18" s="1"/>
  <c r="X57" i="18" a="1"/>
  <c r="X57" i="18" s="1"/>
  <c r="V57" i="18" a="1"/>
  <c r="V57" i="18" s="1"/>
  <c r="T57" i="18" a="1"/>
  <c r="T57" i="18" s="1"/>
  <c r="R57" i="18" a="1"/>
  <c r="R57" i="18" s="1"/>
  <c r="P57" i="18"/>
  <c r="P57" i="18" a="1"/>
  <c r="N57" i="18" a="1"/>
  <c r="N57" i="18" s="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N55" i="18"/>
  <c r="AL55" i="18"/>
  <c r="AJ55" i="18"/>
  <c r="AH55" i="18"/>
  <c r="AH80" i="18" s="1"/>
  <c r="AF55" i="18"/>
  <c r="AF80" i="18" s="1"/>
  <c r="AD55" i="18"/>
  <c r="AD80" i="18" s="1"/>
  <c r="AB55" i="18"/>
  <c r="Z55" i="18"/>
  <c r="Z80" i="18" s="1"/>
  <c r="X55" i="18"/>
  <c r="V55" i="18"/>
  <c r="T55" i="18"/>
  <c r="R55" i="18"/>
  <c r="P55" i="18"/>
  <c r="N55" i="18"/>
  <c r="L55" i="18"/>
  <c r="J55" i="18"/>
  <c r="H55" i="18"/>
  <c r="F55" i="18"/>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P51" i="18"/>
  <c r="AP81" i="18" s="1"/>
  <c r="AN51" i="18"/>
  <c r="AL51" i="18"/>
  <c r="AJ51" i="18"/>
  <c r="AH51" i="18"/>
  <c r="AF51" i="18"/>
  <c r="AD51" i="18"/>
  <c r="AB51" i="18"/>
  <c r="Z51" i="18"/>
  <c r="X51" i="18"/>
  <c r="X81" i="18" s="1"/>
  <c r="V51" i="18"/>
  <c r="V81" i="18" s="1"/>
  <c r="T51" i="18"/>
  <c r="R51" i="18"/>
  <c r="R81" i="18" s="1"/>
  <c r="P51" i="18"/>
  <c r="P81" i="18" s="1"/>
  <c r="N51" i="18"/>
  <c r="N81" i="18" s="1"/>
  <c r="L51" i="18"/>
  <c r="J51" i="18"/>
  <c r="J81" i="18" s="1"/>
  <c r="H51" i="18"/>
  <c r="F51" i="18"/>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a="1"/>
  <c r="AJ43" i="18" s="1"/>
  <c r="AH43" i="18" a="1"/>
  <c r="AH43" i="18" s="1"/>
  <c r="AF43" i="18"/>
  <c r="AF43" i="18" a="1"/>
  <c r="AD43" i="18" a="1"/>
  <c r="AD43" i="18" s="1"/>
  <c r="AB43" i="18" a="1"/>
  <c r="AB43" i="18" s="1"/>
  <c r="Z43" i="18" a="1"/>
  <c r="Z43" i="18" s="1"/>
  <c r="X43" i="18" a="1"/>
  <c r="X43" i="18" s="1"/>
  <c r="V43" i="18" a="1"/>
  <c r="V43" i="18" s="1"/>
  <c r="T43" i="18" a="1"/>
  <c r="T43" i="18" s="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L81" i="22"/>
  <c r="AH81" i="22"/>
  <c r="AF81" i="22"/>
  <c r="AB81" i="22"/>
  <c r="Z81" i="22"/>
  <c r="R81" i="22"/>
  <c r="F81" i="22"/>
  <c r="B81" i="22"/>
  <c r="AV80" i="22"/>
  <c r="AR80" i="22"/>
  <c r="AP80" i="22"/>
  <c r="AH80" i="22"/>
  <c r="V80" i="22"/>
  <c r="R80" i="22"/>
  <c r="P80" i="22"/>
  <c r="L80" i="22"/>
  <c r="J80" i="22"/>
  <c r="B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c r="AD74" i="22" a="1"/>
  <c r="AB74" i="22" a="1"/>
  <c r="AB74" i="22" s="1"/>
  <c r="Z74" i="22" a="1"/>
  <c r="Z74" i="22" s="1"/>
  <c r="X74" i="22"/>
  <c r="X74" i="22" a="1"/>
  <c r="V74" i="22" a="1"/>
  <c r="V74" i="22" s="1"/>
  <c r="T74" i="22" a="1"/>
  <c r="T74" i="22" s="1"/>
  <c r="R74" i="22" a="1"/>
  <c r="R74" i="22" s="1"/>
  <c r="P74" i="22" a="1"/>
  <c r="P74" i="22" s="1"/>
  <c r="N74" i="22"/>
  <c r="N74" i="22" a="1"/>
  <c r="L74" i="22" a="1"/>
  <c r="L74" i="22" s="1"/>
  <c r="J74" i="22" a="1"/>
  <c r="J74" i="22" s="1"/>
  <c r="H74" i="22"/>
  <c r="H74" i="22" a="1"/>
  <c r="F74" i="22" a="1"/>
  <c r="F74" i="22" s="1"/>
  <c r="D74" i="22" a="1"/>
  <c r="D74" i="22" s="1"/>
  <c r="B74" i="22" a="1"/>
  <c r="B74" i="22" s="1"/>
  <c r="AV73" i="22" a="1"/>
  <c r="AV73" i="22" s="1"/>
  <c r="AT73" i="22"/>
  <c r="AT73" i="22" a="1"/>
  <c r="AR73" i="22" a="1"/>
  <c r="AR73" i="22" s="1"/>
  <c r="AP73" i="22" a="1"/>
  <c r="AP73" i="22" s="1"/>
  <c r="AN73" i="22"/>
  <c r="AN73" i="22" a="1"/>
  <c r="AL73" i="22" a="1"/>
  <c r="AL73" i="22" s="1"/>
  <c r="AJ73" i="22" a="1"/>
  <c r="AJ73" i="22" s="1"/>
  <c r="AH73" i="22" a="1"/>
  <c r="AH73" i="22" s="1"/>
  <c r="AF73" i="22" a="1"/>
  <c r="AF73" i="22" s="1"/>
  <c r="AD73" i="22"/>
  <c r="AD73" i="22" a="1"/>
  <c r="AB73" i="22" a="1"/>
  <c r="AB73" i="22" s="1"/>
  <c r="Z73" i="22" a="1"/>
  <c r="Z73" i="22" s="1"/>
  <c r="X73" i="22"/>
  <c r="X73" i="22" a="1"/>
  <c r="V73" i="22" a="1"/>
  <c r="V73" i="22" s="1"/>
  <c r="T73" i="22" a="1"/>
  <c r="T73" i="22" s="1"/>
  <c r="R73" i="22" a="1"/>
  <c r="R73" i="22" s="1"/>
  <c r="P73" i="22" a="1"/>
  <c r="P73" i="22" s="1"/>
  <c r="N73" i="22"/>
  <c r="N73" i="22" a="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V69" i="22"/>
  <c r="B69" i="22"/>
  <c r="AL68" i="22"/>
  <c r="F68" i="22"/>
  <c r="AV67" i="22"/>
  <c r="AV67" i="22" a="1"/>
  <c r="AT67" i="22" a="1"/>
  <c r="AT67" i="22" s="1"/>
  <c r="AR67" i="22" a="1"/>
  <c r="AR67" i="22" s="1"/>
  <c r="AP67" i="22" a="1"/>
  <c r="AP67" i="22" s="1"/>
  <c r="AN67" i="22" a="1"/>
  <c r="AN67" i="22" s="1"/>
  <c r="AL67" i="22"/>
  <c r="AL67" i="22" a="1"/>
  <c r="AJ67" i="22" a="1"/>
  <c r="AJ67" i="22" s="1"/>
  <c r="AH67" i="22" a="1"/>
  <c r="AH67" i="22" s="1"/>
  <c r="AF67" i="22"/>
  <c r="AF67" i="22" a="1"/>
  <c r="AD67" i="22" a="1"/>
  <c r="AD67" i="22" s="1"/>
  <c r="AB67" i="22" a="1"/>
  <c r="AB67" i="22" s="1"/>
  <c r="Z67" i="22" a="1"/>
  <c r="Z67" i="22" s="1"/>
  <c r="X67" i="22" a="1"/>
  <c r="X67" i="22" s="1"/>
  <c r="V67" i="22"/>
  <c r="V67" i="22" a="1"/>
  <c r="T67" i="22" a="1"/>
  <c r="T67" i="22" s="1"/>
  <c r="R67" i="22" a="1"/>
  <c r="R67" i="22" s="1"/>
  <c r="P67" i="22"/>
  <c r="P67" i="22" a="1"/>
  <c r="N67" i="22" a="1"/>
  <c r="N67" i="22" s="1"/>
  <c r="L67" i="22" a="1"/>
  <c r="L67" i="22" s="1"/>
  <c r="J67" i="22" a="1"/>
  <c r="J67" i="22" s="1"/>
  <c r="H67" i="22" a="1"/>
  <c r="H67" i="22" s="1"/>
  <c r="F67" i="22"/>
  <c r="F67" i="22" a="1"/>
  <c r="D67" i="22" a="1"/>
  <c r="D67" i="22" s="1"/>
  <c r="B67" i="22" a="1"/>
  <c r="B67" i="22" s="1"/>
  <c r="AV66" i="22"/>
  <c r="AV68" i="22" s="1"/>
  <c r="AV66" i="22" a="1"/>
  <c r="AT66" i="22" a="1"/>
  <c r="AT66" i="22" s="1"/>
  <c r="AR66" i="22" a="1"/>
  <c r="AR66" i="22" s="1"/>
  <c r="AP66" i="22" a="1"/>
  <c r="AP66" i="22" s="1"/>
  <c r="AN66" i="22" a="1"/>
  <c r="AN66" i="22" s="1"/>
  <c r="AL66" i="22"/>
  <c r="AL66" i="22" a="1"/>
  <c r="AJ66" i="22" a="1"/>
  <c r="AJ66" i="22" s="1"/>
  <c r="AH66" i="22" a="1"/>
  <c r="AH66" i="22" s="1"/>
  <c r="AF66" i="22"/>
  <c r="AF68" i="22" s="1"/>
  <c r="AF66" i="22" a="1"/>
  <c r="AD66" i="22" a="1"/>
  <c r="AD66" i="22" s="1"/>
  <c r="AD68" i="22" s="1"/>
  <c r="AB66" i="22" a="1"/>
  <c r="AB66" i="22" s="1"/>
  <c r="AB68" i="22" s="1"/>
  <c r="Z66" i="22" a="1"/>
  <c r="Z66" i="22" s="1"/>
  <c r="X66" i="22" a="1"/>
  <c r="X66" i="22" s="1"/>
  <c r="V66" i="22"/>
  <c r="V68" i="22" s="1"/>
  <c r="V66" i="22" a="1"/>
  <c r="T66" i="22" a="1"/>
  <c r="T66" i="22" s="1"/>
  <c r="R66" i="22" a="1"/>
  <c r="R66" i="22" s="1"/>
  <c r="P66" i="22"/>
  <c r="P68" i="22" s="1"/>
  <c r="P66" i="22" a="1"/>
  <c r="N66" i="22" a="1"/>
  <c r="N66" i="22" s="1"/>
  <c r="N68" i="22" s="1"/>
  <c r="L66" i="22" a="1"/>
  <c r="L66" i="22" s="1"/>
  <c r="L68" i="22" s="1"/>
  <c r="J66" i="22" a="1"/>
  <c r="J66" i="22" s="1"/>
  <c r="J68" i="22" s="1"/>
  <c r="H66" i="22" a="1"/>
  <c r="H66" i="22" s="1"/>
  <c r="F66" i="22"/>
  <c r="F66" i="22" a="1"/>
  <c r="D66" i="22" a="1"/>
  <c r="D66" i="22" s="1"/>
  <c r="D68" i="22" s="1"/>
  <c r="B66" i="22" a="1"/>
  <c r="B66" i="22" s="1"/>
  <c r="B68" i="22" s="1"/>
  <c r="AV65" i="22"/>
  <c r="AV69" i="22" s="1"/>
  <c r="AV65" i="22" a="1"/>
  <c r="AT65" i="22" a="1"/>
  <c r="AT65" i="22" s="1"/>
  <c r="AT69" i="22" s="1"/>
  <c r="AR65" i="22" a="1"/>
  <c r="AR65" i="22" s="1"/>
  <c r="AR69" i="22" s="1"/>
  <c r="AP65" i="22" a="1"/>
  <c r="AP65" i="22" s="1"/>
  <c r="AP69" i="22" s="1"/>
  <c r="AN65" i="22" a="1"/>
  <c r="AN65" i="22" s="1"/>
  <c r="AN69" i="22" s="1"/>
  <c r="AL65" i="22"/>
  <c r="AL69" i="22" s="1"/>
  <c r="AL65" i="22" a="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c r="V65" i="22" a="1"/>
  <c r="T65" i="22" a="1"/>
  <c r="T65" i="22" s="1"/>
  <c r="T69" i="22" s="1"/>
  <c r="R65" i="22" a="1"/>
  <c r="R65" i="22" s="1"/>
  <c r="R69" i="22" s="1"/>
  <c r="P65" i="22"/>
  <c r="P69" i="22" s="1"/>
  <c r="P65" i="22" a="1"/>
  <c r="N65" i="22" a="1"/>
  <c r="N65" i="22" s="1"/>
  <c r="N69" i="22" s="1"/>
  <c r="L65" i="22" a="1"/>
  <c r="L65" i="22" s="1"/>
  <c r="L69" i="22" s="1"/>
  <c r="J65" i="22" a="1"/>
  <c r="J65" i="22" s="1"/>
  <c r="J69" i="22" s="1"/>
  <c r="H65" i="22" a="1"/>
  <c r="H65" i="22" s="1"/>
  <c r="H69" i="22" s="1"/>
  <c r="F65" i="22"/>
  <c r="F69" i="22" s="1"/>
  <c r="F65" i="22" a="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c r="AP58" i="22" a="1"/>
  <c r="AN58" i="22" a="1"/>
  <c r="AN58" i="22" s="1"/>
  <c r="AL58" i="22" a="1"/>
  <c r="AL58" i="22" s="1"/>
  <c r="AJ58" i="22"/>
  <c r="AJ58" i="22" a="1"/>
  <c r="AH58" i="22"/>
  <c r="AH58" i="22" a="1"/>
  <c r="AF58" i="22"/>
  <c r="AF58" i="22" a="1"/>
  <c r="AD58" i="22" a="1"/>
  <c r="AD58" i="22" s="1"/>
  <c r="AB58" i="22"/>
  <c r="AB58" i="22" a="1"/>
  <c r="Z58" i="22"/>
  <c r="Z58" i="22" a="1"/>
  <c r="X58" i="22" a="1"/>
  <c r="X58" i="22" s="1"/>
  <c r="V58" i="22" a="1"/>
  <c r="V58" i="22" s="1"/>
  <c r="T58" i="22"/>
  <c r="T58" i="22" a="1"/>
  <c r="R58" i="22"/>
  <c r="R58" i="22" a="1"/>
  <c r="P58" i="22"/>
  <c r="P58" i="22" a="1"/>
  <c r="N58" i="22" a="1"/>
  <c r="N58" i="22" s="1"/>
  <c r="L58" i="22" a="1"/>
  <c r="L58" i="22" s="1"/>
  <c r="J58" i="22"/>
  <c r="J58" i="22" a="1"/>
  <c r="H58" i="22" a="1"/>
  <c r="H58" i="22" s="1"/>
  <c r="F58" i="22" a="1"/>
  <c r="F58" i="22" s="1"/>
  <c r="D58" i="22"/>
  <c r="D58" i="22" a="1"/>
  <c r="B58" i="22"/>
  <c r="B58" i="22" a="1"/>
  <c r="AV57" i="22"/>
  <c r="AV57" i="22" a="1"/>
  <c r="AT57" i="22" a="1"/>
  <c r="AT57" i="22" s="1"/>
  <c r="AR57" i="22" a="1"/>
  <c r="AR57" i="22" s="1"/>
  <c r="AP57" i="22"/>
  <c r="AP57" i="22" a="1"/>
  <c r="AN57" i="22" a="1"/>
  <c r="AN57" i="22" s="1"/>
  <c r="AL57" i="22" a="1"/>
  <c r="AL57" i="22" s="1"/>
  <c r="AJ57" i="22"/>
  <c r="AJ57" i="22" a="1"/>
  <c r="AH57" i="22" a="1"/>
  <c r="AH57" i="22" s="1"/>
  <c r="AF57" i="22"/>
  <c r="AF57" i="22" a="1"/>
  <c r="AD57" i="22" a="1"/>
  <c r="AD57" i="22" s="1"/>
  <c r="AB57" i="22" a="1"/>
  <c r="AB57" i="22" s="1"/>
  <c r="Z57" i="22"/>
  <c r="Z57" i="22" a="1"/>
  <c r="X57" i="22" a="1"/>
  <c r="X57" i="22" s="1"/>
  <c r="V57" i="22" a="1"/>
  <c r="V57" i="22" s="1"/>
  <c r="T57" i="22"/>
  <c r="T57" i="22" a="1"/>
  <c r="R57" i="22" a="1"/>
  <c r="R57" i="22" s="1"/>
  <c r="P57" i="22"/>
  <c r="P57" i="22" a="1"/>
  <c r="N57" i="22" a="1"/>
  <c r="N57" i="22" s="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L80" i="22" s="1"/>
  <c r="AJ55" i="22"/>
  <c r="AJ80" i="22" s="1"/>
  <c r="AH55" i="22"/>
  <c r="AF55" i="22"/>
  <c r="AF80" i="22" s="1"/>
  <c r="AD55" i="22"/>
  <c r="AD80" i="22" s="1"/>
  <c r="AB55" i="22"/>
  <c r="AB80" i="22" s="1"/>
  <c r="Z55" i="22"/>
  <c r="Z80" i="22" s="1"/>
  <c r="X55" i="22"/>
  <c r="X80" i="22" s="1"/>
  <c r="V55" i="22"/>
  <c r="T55" i="22"/>
  <c r="T80" i="22" s="1"/>
  <c r="R55" i="22"/>
  <c r="P55" i="22"/>
  <c r="N55" i="22"/>
  <c r="N80" i="22" s="1"/>
  <c r="L55" i="22"/>
  <c r="J55" i="22"/>
  <c r="H55" i="22"/>
  <c r="H80" i="22" s="1"/>
  <c r="F55" i="22"/>
  <c r="F80" i="22" s="1"/>
  <c r="D55" i="22"/>
  <c r="D80" i="22" s="1"/>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J51" i="22"/>
  <c r="AJ81" i="22" s="1"/>
  <c r="AH51" i="22"/>
  <c r="AF51" i="22"/>
  <c r="AD51" i="22"/>
  <c r="AD81" i="22" s="1"/>
  <c r="AB51" i="22"/>
  <c r="Z51" i="22"/>
  <c r="X51" i="22"/>
  <c r="X81" i="22" s="1"/>
  <c r="V51" i="22"/>
  <c r="V81" i="22" s="1"/>
  <c r="T51" i="22"/>
  <c r="T81" i="22" s="1"/>
  <c r="R51" i="22"/>
  <c r="P51" i="22"/>
  <c r="P81" i="22" s="1"/>
  <c r="N51" i="22"/>
  <c r="N81" i="22" s="1"/>
  <c r="L51" i="22"/>
  <c r="L81" i="22" s="1"/>
  <c r="J51" i="22"/>
  <c r="J81" i="22" s="1"/>
  <c r="H51" i="22"/>
  <c r="H81" i="22" s="1"/>
  <c r="F51" i="22"/>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2"/>
  <c r="AF81" i="12"/>
  <c r="AD81" i="12"/>
  <c r="AB81" i="12"/>
  <c r="Z81" i="12"/>
  <c r="R81" i="12"/>
  <c r="L81" i="12"/>
  <c r="AV80" i="12"/>
  <c r="AT80" i="12"/>
  <c r="AR80" i="12"/>
  <c r="AP80" i="12"/>
  <c r="AH80" i="12"/>
  <c r="AD80" i="12"/>
  <c r="AB80" i="12"/>
  <c r="P80" i="12"/>
  <c r="N80" i="12"/>
  <c r="L80" i="12"/>
  <c r="J80" i="12"/>
  <c r="B80" i="12"/>
  <c r="AV79" i="12" a="1"/>
  <c r="AV79" i="12" s="1"/>
  <c r="AT79" i="12"/>
  <c r="AT79" i="12" a="1"/>
  <c r="AR79" i="12"/>
  <c r="AR79" i="12" a="1"/>
  <c r="AP79" i="12" a="1"/>
  <c r="AP79" i="12" s="1"/>
  <c r="AN79" i="12" a="1"/>
  <c r="AN79" i="12" s="1"/>
  <c r="AL79" i="12" a="1"/>
  <c r="AL79" i="12" s="1"/>
  <c r="AJ79" i="12"/>
  <c r="AJ79" i="12" a="1"/>
  <c r="AH79" i="12" a="1"/>
  <c r="AH79" i="12" s="1"/>
  <c r="AF79" i="12" a="1"/>
  <c r="AF79" i="12" s="1"/>
  <c r="AD79" i="12"/>
  <c r="AD79" i="12" a="1"/>
  <c r="AB79" i="12"/>
  <c r="AB79" i="12" a="1"/>
  <c r="Z79" i="12" a="1"/>
  <c r="Z79" i="12" s="1"/>
  <c r="X79" i="12" a="1"/>
  <c r="X79" i="12" s="1"/>
  <c r="V79" i="12" a="1"/>
  <c r="V79" i="12" s="1"/>
  <c r="T79" i="12"/>
  <c r="T79" i="12" a="1"/>
  <c r="R79" i="12" a="1"/>
  <c r="R79" i="12" s="1"/>
  <c r="P79" i="12" a="1"/>
  <c r="P79" i="12" s="1"/>
  <c r="N79" i="12"/>
  <c r="N79" i="12" a="1"/>
  <c r="L79" i="12"/>
  <c r="L79" i="12" a="1"/>
  <c r="J79" i="12" a="1"/>
  <c r="J79" i="12" s="1"/>
  <c r="H79" i="12" a="1"/>
  <c r="H79" i="12" s="1"/>
  <c r="F79" i="12" a="1"/>
  <c r="F79" i="12" s="1"/>
  <c r="D79" i="12"/>
  <c r="D79" i="12" a="1"/>
  <c r="B79" i="12" a="1"/>
  <c r="B79" i="12" s="1"/>
  <c r="AV78" i="12" a="1"/>
  <c r="AV78" i="12" s="1"/>
  <c r="AT78" i="12"/>
  <c r="AT78" i="12" a="1"/>
  <c r="AR78" i="12"/>
  <c r="AR78" i="12" a="1"/>
  <c r="AP78" i="12" a="1"/>
  <c r="AP78" i="12" s="1"/>
  <c r="AN78" i="12" a="1"/>
  <c r="AN78" i="12" s="1"/>
  <c r="AL78" i="12" a="1"/>
  <c r="AL78" i="12" s="1"/>
  <c r="AJ78" i="12"/>
  <c r="AJ78" i="12" a="1"/>
  <c r="AH78" i="12" a="1"/>
  <c r="AH78" i="12" s="1"/>
  <c r="AF78" i="12" a="1"/>
  <c r="AF78" i="12" s="1"/>
  <c r="AD78" i="12"/>
  <c r="AD78" i="12" a="1"/>
  <c r="AB78" i="12"/>
  <c r="AB78" i="12" a="1"/>
  <c r="Z78" i="12" a="1"/>
  <c r="Z78" i="12" s="1"/>
  <c r="X78" i="12" a="1"/>
  <c r="X78" i="12" s="1"/>
  <c r="V78" i="12" a="1"/>
  <c r="V78" i="12" s="1"/>
  <c r="T78" i="12"/>
  <c r="T78" i="12" a="1"/>
  <c r="R78" i="12" a="1"/>
  <c r="R78" i="12" s="1"/>
  <c r="P78" i="12" a="1"/>
  <c r="P78" i="12" s="1"/>
  <c r="N78" i="12"/>
  <c r="N78" i="12" a="1"/>
  <c r="L78" i="12"/>
  <c r="L78" i="12" a="1"/>
  <c r="J78" i="12" a="1"/>
  <c r="J78" i="12" s="1"/>
  <c r="H78" i="12" a="1"/>
  <c r="H78" i="12" s="1"/>
  <c r="F78" i="12" a="1"/>
  <c r="F78" i="12" s="1"/>
  <c r="D78" i="12"/>
  <c r="D78" i="12" a="1"/>
  <c r="B78" i="12" a="1"/>
  <c r="B78" i="12" s="1"/>
  <c r="AV77" i="12" a="1"/>
  <c r="AV77" i="12" s="1"/>
  <c r="AT77" i="12"/>
  <c r="AT77" i="12" a="1"/>
  <c r="AR77" i="12"/>
  <c r="AR77" i="12" a="1"/>
  <c r="AP77" i="12" a="1"/>
  <c r="AP77" i="12" s="1"/>
  <c r="AN77" i="12" a="1"/>
  <c r="AN77" i="12" s="1"/>
  <c r="AL77" i="12" a="1"/>
  <c r="AL77" i="12" s="1"/>
  <c r="AJ77" i="12"/>
  <c r="AJ77" i="12" a="1"/>
  <c r="AH77" i="12" a="1"/>
  <c r="AH77" i="12" s="1"/>
  <c r="AF77" i="12" a="1"/>
  <c r="AF77" i="12" s="1"/>
  <c r="AD77" i="12"/>
  <c r="AD77" i="12" a="1"/>
  <c r="AB77" i="12"/>
  <c r="AB77" i="12" a="1"/>
  <c r="Z77" i="12" a="1"/>
  <c r="Z77" i="12" s="1"/>
  <c r="X77" i="12" a="1"/>
  <c r="X77" i="12" s="1"/>
  <c r="V77" i="12" a="1"/>
  <c r="V77" i="12" s="1"/>
  <c r="T77" i="12"/>
  <c r="T77" i="12" a="1"/>
  <c r="R77" i="12" a="1"/>
  <c r="R77" i="12" s="1"/>
  <c r="P77" i="12" a="1"/>
  <c r="P77" i="12" s="1"/>
  <c r="N77" i="12"/>
  <c r="N77" i="12" a="1"/>
  <c r="L77" i="12"/>
  <c r="L77" i="12" a="1"/>
  <c r="J77" i="12" a="1"/>
  <c r="J77" i="12" s="1"/>
  <c r="H77" i="12" a="1"/>
  <c r="H77" i="12" s="1"/>
  <c r="F77" i="12" a="1"/>
  <c r="F77" i="12" s="1"/>
  <c r="D77" i="12"/>
  <c r="D77" i="12" a="1"/>
  <c r="B77" i="12" a="1"/>
  <c r="B77" i="12" s="1"/>
  <c r="AV76" i="12" a="1"/>
  <c r="AV76" i="12" s="1"/>
  <c r="AT76" i="12"/>
  <c r="AT76" i="12" a="1"/>
  <c r="AR76" i="12"/>
  <c r="AR76" i="12" a="1"/>
  <c r="AP76" i="12" a="1"/>
  <c r="AP76" i="12" s="1"/>
  <c r="AN76" i="12" a="1"/>
  <c r="AN76" i="12" s="1"/>
  <c r="AL76" i="12" a="1"/>
  <c r="AL76" i="12" s="1"/>
  <c r="AJ76" i="12"/>
  <c r="AJ76" i="12" a="1"/>
  <c r="AH76" i="12" a="1"/>
  <c r="AH76" i="12" s="1"/>
  <c r="AF76" i="12" a="1"/>
  <c r="AF76" i="12" s="1"/>
  <c r="AD76" i="12"/>
  <c r="AD76" i="12" a="1"/>
  <c r="AB76" i="12"/>
  <c r="AB76" i="12" a="1"/>
  <c r="Z76" i="12" a="1"/>
  <c r="Z76" i="12" s="1"/>
  <c r="X76" i="12" a="1"/>
  <c r="X76" i="12" s="1"/>
  <c r="V76" i="12" a="1"/>
  <c r="V76" i="12" s="1"/>
  <c r="T76" i="12"/>
  <c r="T76" i="12" a="1"/>
  <c r="R76" i="12" a="1"/>
  <c r="R76" i="12" s="1"/>
  <c r="P76" i="12" a="1"/>
  <c r="P76" i="12" s="1"/>
  <c r="N76" i="12"/>
  <c r="N76" i="12" a="1"/>
  <c r="L76" i="12"/>
  <c r="L76" i="12" a="1"/>
  <c r="J76" i="12" a="1"/>
  <c r="J76" i="12" s="1"/>
  <c r="H76" i="12" a="1"/>
  <c r="H76" i="12" s="1"/>
  <c r="F76" i="12" a="1"/>
  <c r="F76" i="12" s="1"/>
  <c r="D76" i="12"/>
  <c r="D76" i="12" a="1"/>
  <c r="B76" i="12" a="1"/>
  <c r="B76" i="12" s="1"/>
  <c r="AV75" i="12" a="1"/>
  <c r="AV75" i="12" s="1"/>
  <c r="AT75" i="12"/>
  <c r="AT75" i="12" a="1"/>
  <c r="AR75" i="12"/>
  <c r="AR75" i="12" a="1"/>
  <c r="AP75" i="12" a="1"/>
  <c r="AP75" i="12" s="1"/>
  <c r="AN75" i="12" a="1"/>
  <c r="AN75" i="12" s="1"/>
  <c r="AL75" i="12" a="1"/>
  <c r="AL75" i="12" s="1"/>
  <c r="AJ75" i="12"/>
  <c r="AJ75" i="12" a="1"/>
  <c r="AH75" i="12" a="1"/>
  <c r="AH75" i="12" s="1"/>
  <c r="AF75" i="12" a="1"/>
  <c r="AF75" i="12" s="1"/>
  <c r="AD75" i="12"/>
  <c r="AD75" i="12" a="1"/>
  <c r="AB75" i="12"/>
  <c r="AB75" i="12" a="1"/>
  <c r="Z75" i="12" a="1"/>
  <c r="Z75" i="12" s="1"/>
  <c r="X75" i="12" a="1"/>
  <c r="X75" i="12" s="1"/>
  <c r="V75" i="12" a="1"/>
  <c r="V75" i="12" s="1"/>
  <c r="T75" i="12"/>
  <c r="T75" i="12" a="1"/>
  <c r="R75" i="12" a="1"/>
  <c r="R75" i="12" s="1"/>
  <c r="P75" i="12" a="1"/>
  <c r="P75" i="12" s="1"/>
  <c r="N75" i="12"/>
  <c r="N75" i="12" a="1"/>
  <c r="L75" i="12"/>
  <c r="L75" i="12" a="1"/>
  <c r="J75" i="12" a="1"/>
  <c r="J75" i="12" s="1"/>
  <c r="H75" i="12" a="1"/>
  <c r="H75" i="12" s="1"/>
  <c r="F75" i="12" a="1"/>
  <c r="F75" i="12" s="1"/>
  <c r="D75" i="12"/>
  <c r="D75" i="12" a="1"/>
  <c r="B75" i="12" a="1"/>
  <c r="B75" i="12" s="1"/>
  <c r="AV74" i="12" a="1"/>
  <c r="AV74" i="12" s="1"/>
  <c r="AT74" i="12"/>
  <c r="AT74" i="12" a="1"/>
  <c r="AR74" i="12"/>
  <c r="AR74" i="12" a="1"/>
  <c r="AP74" i="12" a="1"/>
  <c r="AP74" i="12" s="1"/>
  <c r="AN74" i="12" a="1"/>
  <c r="AN74" i="12" s="1"/>
  <c r="AL74" i="12" a="1"/>
  <c r="AL74" i="12" s="1"/>
  <c r="AJ74" i="12"/>
  <c r="AJ74" i="12" a="1"/>
  <c r="AH74" i="12" a="1"/>
  <c r="AH74" i="12" s="1"/>
  <c r="AF74" i="12" a="1"/>
  <c r="AF74" i="12" s="1"/>
  <c r="AD74" i="12"/>
  <c r="AD74" i="12" a="1"/>
  <c r="AB74" i="12"/>
  <c r="AB74" i="12" a="1"/>
  <c r="Z74" i="12" a="1"/>
  <c r="Z74" i="12" s="1"/>
  <c r="X74" i="12" a="1"/>
  <c r="X74" i="12" s="1"/>
  <c r="V74" i="12" a="1"/>
  <c r="V74" i="12" s="1"/>
  <c r="T74" i="12"/>
  <c r="T74" i="12" a="1"/>
  <c r="R74" i="12" a="1"/>
  <c r="R74" i="12" s="1"/>
  <c r="P74" i="12" a="1"/>
  <c r="P74" i="12" s="1"/>
  <c r="N74" i="12"/>
  <c r="N74" i="12" a="1"/>
  <c r="L74" i="12"/>
  <c r="L74" i="12" a="1"/>
  <c r="J74" i="12" a="1"/>
  <c r="J74" i="12" s="1"/>
  <c r="H74" i="12" a="1"/>
  <c r="H74" i="12" s="1"/>
  <c r="F74" i="12" a="1"/>
  <c r="F74" i="12" s="1"/>
  <c r="D74" i="12"/>
  <c r="D74" i="12" a="1"/>
  <c r="B74" i="12" a="1"/>
  <c r="B74" i="12" s="1"/>
  <c r="AV73" i="12" a="1"/>
  <c r="AV73" i="12" s="1"/>
  <c r="AT73" i="12"/>
  <c r="AT73" i="12" a="1"/>
  <c r="AR73" i="12"/>
  <c r="AR73" i="12" a="1"/>
  <c r="AP73" i="12" a="1"/>
  <c r="AP73" i="12" s="1"/>
  <c r="AN73" i="12" a="1"/>
  <c r="AN73" i="12" s="1"/>
  <c r="AL73" i="12" a="1"/>
  <c r="AL73" i="12" s="1"/>
  <c r="AJ73" i="12"/>
  <c r="AJ73" i="12" a="1"/>
  <c r="AH73" i="12" a="1"/>
  <c r="AH73" i="12" s="1"/>
  <c r="AF73" i="12" a="1"/>
  <c r="AF73" i="12" s="1"/>
  <c r="AD73" i="12"/>
  <c r="AD73" i="12" a="1"/>
  <c r="AB73" i="12"/>
  <c r="AB73" i="12" a="1"/>
  <c r="Z73" i="12" a="1"/>
  <c r="Z73" i="12" s="1"/>
  <c r="X73" i="12" a="1"/>
  <c r="X73" i="12" s="1"/>
  <c r="V73" i="12" a="1"/>
  <c r="V73" i="12" s="1"/>
  <c r="T73" i="12"/>
  <c r="T73" i="12" a="1"/>
  <c r="R73" i="12" a="1"/>
  <c r="R73" i="12" s="1"/>
  <c r="P73" i="12" a="1"/>
  <c r="P73" i="12" s="1"/>
  <c r="N73" i="12"/>
  <c r="N73" i="12" a="1"/>
  <c r="L73" i="12"/>
  <c r="L73" i="12" a="1"/>
  <c r="J73" i="12" a="1"/>
  <c r="J73" i="12" s="1"/>
  <c r="H73" i="12" a="1"/>
  <c r="H73" i="12" s="1"/>
  <c r="F73" i="12" a="1"/>
  <c r="F73" i="12" s="1"/>
  <c r="D73" i="12"/>
  <c r="D73" i="12" a="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a="1"/>
  <c r="AN67" i="12" s="1"/>
  <c r="AL67" i="12"/>
  <c r="AL67" i="12" a="1"/>
  <c r="AJ67" i="12"/>
  <c r="AJ67" i="12" a="1"/>
  <c r="AH67" i="12" a="1"/>
  <c r="AH67" i="12" s="1"/>
  <c r="AF67" i="12" a="1"/>
  <c r="AF67" i="12" s="1"/>
  <c r="AD67" i="12" a="1"/>
  <c r="AD67" i="12" s="1"/>
  <c r="AB67" i="12" a="1"/>
  <c r="AB67" i="12" s="1"/>
  <c r="Z67" i="12" a="1"/>
  <c r="Z67" i="12" s="1"/>
  <c r="X67" i="12" a="1"/>
  <c r="X67" i="12" s="1"/>
  <c r="V67" i="12"/>
  <c r="V67" i="12" a="1"/>
  <c r="T67" i="12"/>
  <c r="T67" i="12" a="1"/>
  <c r="R67" i="12" a="1"/>
  <c r="R67" i="12" s="1"/>
  <c r="P67" i="12" a="1"/>
  <c r="P67" i="12" s="1"/>
  <c r="N67" i="12" a="1"/>
  <c r="N67" i="12" s="1"/>
  <c r="L67" i="12" a="1"/>
  <c r="L67" i="12" s="1"/>
  <c r="J67" i="12" a="1"/>
  <c r="J67" i="12" s="1"/>
  <c r="H67" i="12" a="1"/>
  <c r="H67" i="12" s="1"/>
  <c r="F67" i="12"/>
  <c r="F67" i="12" a="1"/>
  <c r="D67" i="12"/>
  <c r="D67" i="12" a="1"/>
  <c r="B67" i="12" a="1"/>
  <c r="B67" i="12" s="1"/>
  <c r="AV66" i="12" a="1"/>
  <c r="AV66" i="12" s="1"/>
  <c r="AT66" i="12" a="1"/>
  <c r="AT66" i="12" s="1"/>
  <c r="AR66" i="12" a="1"/>
  <c r="AR66" i="12" s="1"/>
  <c r="AR68" i="12" s="1"/>
  <c r="AP66" i="12" a="1"/>
  <c r="AP66" i="12" s="1"/>
  <c r="AP68" i="12" s="1"/>
  <c r="AN66" i="12" a="1"/>
  <c r="AN66" i="12" s="1"/>
  <c r="AL66" i="12"/>
  <c r="AL68" i="12" s="1"/>
  <c r="AL66" i="12" a="1"/>
  <c r="AJ66" i="12"/>
  <c r="AJ68" i="12" s="1"/>
  <c r="AJ66" i="12" a="1"/>
  <c r="AH66" i="12" a="1"/>
  <c r="AH66" i="12" s="1"/>
  <c r="AH68" i="12" s="1"/>
  <c r="AF66" i="12" a="1"/>
  <c r="AF66" i="12" s="1"/>
  <c r="AF68" i="12" s="1"/>
  <c r="AD66" i="12" a="1"/>
  <c r="AD66" i="12" s="1"/>
  <c r="AD68" i="12" s="1"/>
  <c r="AB66" i="12" a="1"/>
  <c r="AB66" i="12" s="1"/>
  <c r="Z66" i="12" a="1"/>
  <c r="Z66" i="12" s="1"/>
  <c r="Z68" i="12" s="1"/>
  <c r="X66" i="12" a="1"/>
  <c r="X66" i="12" s="1"/>
  <c r="X68" i="12" s="1"/>
  <c r="V66" i="12"/>
  <c r="V68" i="12" s="1"/>
  <c r="V66" i="12" a="1"/>
  <c r="T66" i="12"/>
  <c r="T68" i="12" s="1"/>
  <c r="T66" i="12" a="1"/>
  <c r="R66" i="12" a="1"/>
  <c r="R66" i="12" s="1"/>
  <c r="R68" i="12" s="1"/>
  <c r="P66" i="12" a="1"/>
  <c r="P66" i="12" s="1"/>
  <c r="N66" i="12" a="1"/>
  <c r="N66" i="12" s="1"/>
  <c r="L66" i="12" a="1"/>
  <c r="L66" i="12" s="1"/>
  <c r="J66" i="12" a="1"/>
  <c r="J66" i="12" s="1"/>
  <c r="H66" i="12" a="1"/>
  <c r="H66" i="12" s="1"/>
  <c r="F66" i="12"/>
  <c r="F68" i="12" s="1"/>
  <c r="F66" i="12" a="1"/>
  <c r="D66" i="12"/>
  <c r="D68" i="12" s="1"/>
  <c r="D66" i="12" a="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c r="AL69" i="12" s="1"/>
  <c r="AL65" i="12" a="1"/>
  <c r="AJ65" i="12"/>
  <c r="AJ69" i="12" s="1"/>
  <c r="AJ65" i="12" a="1"/>
  <c r="AH65" i="12" a="1"/>
  <c r="AH65" i="12" s="1"/>
  <c r="AH69" i="12" s="1"/>
  <c r="AF65" i="12" a="1"/>
  <c r="AF65" i="12" s="1"/>
  <c r="AF69" i="12" s="1"/>
  <c r="AD65" i="12" a="1"/>
  <c r="AD65" i="12" s="1"/>
  <c r="AD69" i="12" s="1"/>
  <c r="AB65" i="12" a="1"/>
  <c r="AB65" i="12" s="1"/>
  <c r="AB69" i="12" s="1"/>
  <c r="Z65" i="12" a="1"/>
  <c r="Z65" i="12" s="1"/>
  <c r="Z69" i="12" s="1"/>
  <c r="X65" i="12" a="1"/>
  <c r="X65" i="12" s="1"/>
  <c r="X69" i="12" s="1"/>
  <c r="V65" i="12"/>
  <c r="V69" i="12" s="1"/>
  <c r="V65" i="12" a="1"/>
  <c r="T65" i="12"/>
  <c r="T69" i="12" s="1"/>
  <c r="T65" i="12" a="1"/>
  <c r="R65" i="12" a="1"/>
  <c r="R65" i="12" s="1"/>
  <c r="R69" i="12" s="1"/>
  <c r="P65" i="12" a="1"/>
  <c r="P65" i="12" s="1"/>
  <c r="P69" i="12" s="1"/>
  <c r="N65" i="12" a="1"/>
  <c r="N65" i="12" s="1"/>
  <c r="N69" i="12" s="1"/>
  <c r="L65" i="12" a="1"/>
  <c r="L65" i="12" s="1"/>
  <c r="L69" i="12" s="1"/>
  <c r="J65" i="12" a="1"/>
  <c r="J65" i="12" s="1"/>
  <c r="J69" i="12" s="1"/>
  <c r="H65" i="12" a="1"/>
  <c r="H65" i="12" s="1"/>
  <c r="H69" i="12" s="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c r="AP58" i="12" a="1"/>
  <c r="AN58" i="12" a="1"/>
  <c r="AN58" i="12" s="1"/>
  <c r="AL58" i="12" a="1"/>
  <c r="AL58" i="12" s="1"/>
  <c r="AJ58" i="12"/>
  <c r="AJ58" i="12" a="1"/>
  <c r="AH58" i="12"/>
  <c r="AH58" i="12" a="1"/>
  <c r="AF58" i="12"/>
  <c r="AF58" i="12" a="1"/>
  <c r="AD58" i="12" a="1"/>
  <c r="AD58" i="12" s="1"/>
  <c r="AB58" i="12" a="1"/>
  <c r="AB58" i="12" s="1"/>
  <c r="Z58" i="12"/>
  <c r="Z58" i="12" a="1"/>
  <c r="X58" i="12" a="1"/>
  <c r="X58" i="12" s="1"/>
  <c r="V58" i="12" a="1"/>
  <c r="V58" i="12" s="1"/>
  <c r="T58" i="12"/>
  <c r="T58" i="12" a="1"/>
  <c r="R58" i="12"/>
  <c r="R58" i="12" a="1"/>
  <c r="P58" i="12"/>
  <c r="P58" i="12" a="1"/>
  <c r="N58" i="12" a="1"/>
  <c r="N58" i="12" s="1"/>
  <c r="L58" i="12" a="1"/>
  <c r="L58" i="12" s="1"/>
  <c r="J58" i="12"/>
  <c r="J58" i="12" a="1"/>
  <c r="H58" i="12" a="1"/>
  <c r="H58" i="12" s="1"/>
  <c r="F58" i="12" a="1"/>
  <c r="F58" i="12" s="1"/>
  <c r="D58" i="12"/>
  <c r="D58" i="12" a="1"/>
  <c r="B58" i="12"/>
  <c r="B58" i="12" a="1"/>
  <c r="AV57" i="12"/>
  <c r="AV57" i="12" a="1"/>
  <c r="AT57" i="12" a="1"/>
  <c r="AT57" i="12" s="1"/>
  <c r="AR57" i="12" a="1"/>
  <c r="AR57" i="12" s="1"/>
  <c r="AP57" i="12"/>
  <c r="AP57" i="12" a="1"/>
  <c r="AN57" i="12" a="1"/>
  <c r="AN57" i="12" s="1"/>
  <c r="AL57" i="12" a="1"/>
  <c r="AL57" i="12" s="1"/>
  <c r="AJ57" i="12"/>
  <c r="AJ57" i="12" a="1"/>
  <c r="AH57" i="12"/>
  <c r="AH57" i="12" a="1"/>
  <c r="AF57" i="12"/>
  <c r="AF57" i="12" a="1"/>
  <c r="AD57" i="12" a="1"/>
  <c r="AD57" i="12" s="1"/>
  <c r="AB57" i="12" a="1"/>
  <c r="AB57" i="12" s="1"/>
  <c r="Z57" i="12"/>
  <c r="Z57" i="12" a="1"/>
  <c r="X57" i="12" a="1"/>
  <c r="X57" i="12" s="1"/>
  <c r="V57" i="12" a="1"/>
  <c r="V57" i="12" s="1"/>
  <c r="T57" i="12"/>
  <c r="T57" i="12" a="1"/>
  <c r="R57" i="12"/>
  <c r="R57" i="12" a="1"/>
  <c r="P57" i="12"/>
  <c r="P57" i="12" a="1"/>
  <c r="N57" i="12" a="1"/>
  <c r="N57" i="12" s="1"/>
  <c r="L57" i="12" a="1"/>
  <c r="L57" i="12" s="1"/>
  <c r="J57" i="12"/>
  <c r="J57" i="12" a="1"/>
  <c r="H57" i="12" a="1"/>
  <c r="H57" i="12" s="1"/>
  <c r="F57" i="12" a="1"/>
  <c r="F57" i="12" s="1"/>
  <c r="D57" i="12"/>
  <c r="D57" i="12" a="1"/>
  <c r="B57" i="12"/>
  <c r="B57" i="12" a="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B55" i="12"/>
  <c r="Z55" i="12"/>
  <c r="Z80" i="12" s="1"/>
  <c r="X55" i="12"/>
  <c r="X80" i="12" s="1"/>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P51" i="12"/>
  <c r="AP81" i="12" s="1"/>
  <c r="AN51" i="12"/>
  <c r="AN81" i="12" s="1"/>
  <c r="AL51" i="12"/>
  <c r="AL81" i="12" s="1"/>
  <c r="AJ51" i="12"/>
  <c r="AJ81" i="12" s="1"/>
  <c r="AH51" i="12"/>
  <c r="AH81" i="12" s="1"/>
  <c r="AF51" i="12"/>
  <c r="AD51" i="12"/>
  <c r="AB51" i="12"/>
  <c r="Z51" i="12"/>
  <c r="X51" i="12"/>
  <c r="X81" i="12" s="1"/>
  <c r="V51" i="12"/>
  <c r="V81" i="12" s="1"/>
  <c r="T51" i="12"/>
  <c r="T81" i="12" s="1"/>
  <c r="R51" i="12"/>
  <c r="P51" i="12"/>
  <c r="P81" i="12" s="1"/>
  <c r="N51" i="12"/>
  <c r="N81" i="12" s="1"/>
  <c r="L51" i="12"/>
  <c r="J51" i="12"/>
  <c r="J81" i="12" s="1"/>
  <c r="H51" i="12"/>
  <c r="H81" i="12" s="1"/>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H81" i="11"/>
  <c r="AF81" i="11"/>
  <c r="AD81" i="11"/>
  <c r="AB81" i="11"/>
  <c r="V81" i="11"/>
  <c r="T81" i="11"/>
  <c r="R81" i="11"/>
  <c r="H81" i="11"/>
  <c r="B81" i="11"/>
  <c r="AV80" i="11"/>
  <c r="AT80" i="11"/>
  <c r="AR80" i="11"/>
  <c r="AL80" i="11"/>
  <c r="AJ80" i="11"/>
  <c r="X80" i="11"/>
  <c r="R80" i="11"/>
  <c r="P80" i="11"/>
  <c r="N80" i="11"/>
  <c r="L80" i="11"/>
  <c r="J80" i="11"/>
  <c r="F80" i="11"/>
  <c r="D80" i="11"/>
  <c r="AV79" i="11" a="1"/>
  <c r="AV79" i="11" s="1"/>
  <c r="AT79" i="11" a="1"/>
  <c r="AT79" i="11" s="1"/>
  <c r="AR79" i="11"/>
  <c r="AR79" i="11" a="1"/>
  <c r="AP79" i="11" a="1"/>
  <c r="AP79" i="11" s="1"/>
  <c r="AN79" i="11" a="1"/>
  <c r="AN79" i="11" s="1"/>
  <c r="AL79" i="11" a="1"/>
  <c r="AL79" i="11" s="1"/>
  <c r="AJ79" i="11" a="1"/>
  <c r="AJ79" i="11" s="1"/>
  <c r="AH79" i="11" a="1"/>
  <c r="AH79" i="11" s="1"/>
  <c r="AF79" i="11" a="1"/>
  <c r="AF79" i="11" s="1"/>
  <c r="AD79" i="11" a="1"/>
  <c r="AD79" i="11" s="1"/>
  <c r="AB79" i="11"/>
  <c r="AB79" i="11" a="1"/>
  <c r="Z79" i="11" a="1"/>
  <c r="Z79" i="11" s="1"/>
  <c r="X79" i="11" a="1"/>
  <c r="X79" i="11" s="1"/>
  <c r="V79" i="11" a="1"/>
  <c r="V79" i="11" s="1"/>
  <c r="T79" i="11" a="1"/>
  <c r="T79" i="11" s="1"/>
  <c r="R79" i="11" a="1"/>
  <c r="R79" i="11" s="1"/>
  <c r="P79" i="11" a="1"/>
  <c r="P79" i="11" s="1"/>
  <c r="N79" i="11" a="1"/>
  <c r="N79" i="11" s="1"/>
  <c r="L79" i="11"/>
  <c r="L79" i="11" a="1"/>
  <c r="J79" i="11" a="1"/>
  <c r="J79" i="11" s="1"/>
  <c r="H79" i="11" a="1"/>
  <c r="H79" i="11" s="1"/>
  <c r="F79" i="11" a="1"/>
  <c r="F79" i="11" s="1"/>
  <c r="D79" i="11" a="1"/>
  <c r="D79" i="11" s="1"/>
  <c r="B79" i="11" a="1"/>
  <c r="B79" i="11" s="1"/>
  <c r="AV78" i="11" a="1"/>
  <c r="AV78" i="11" s="1"/>
  <c r="AT78" i="11" a="1"/>
  <c r="AT78" i="11" s="1"/>
  <c r="AR78" i="11"/>
  <c r="AR78" i="11" a="1"/>
  <c r="AP78" i="11" a="1"/>
  <c r="AP78" i="11" s="1"/>
  <c r="AN78" i="11" a="1"/>
  <c r="AN78" i="11" s="1"/>
  <c r="AL78" i="11" a="1"/>
  <c r="AL78" i="11" s="1"/>
  <c r="AJ78" i="11" a="1"/>
  <c r="AJ78" i="11" s="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c r="L78" i="11" a="1"/>
  <c r="J78" i="11" a="1"/>
  <c r="J78" i="11" s="1"/>
  <c r="H78" i="11" a="1"/>
  <c r="H78" i="11" s="1"/>
  <c r="F78" i="11" a="1"/>
  <c r="F78" i="11" s="1"/>
  <c r="D78" i="11" a="1"/>
  <c r="D78" i="11" s="1"/>
  <c r="B78" i="11" a="1"/>
  <c r="B78" i="11" s="1"/>
  <c r="AV77" i="11" a="1"/>
  <c r="AV77" i="11" s="1"/>
  <c r="AT77" i="11" a="1"/>
  <c r="AT77" i="11" s="1"/>
  <c r="AR77" i="11"/>
  <c r="AR77" i="11" a="1"/>
  <c r="AP77" i="11" a="1"/>
  <c r="AP77" i="11" s="1"/>
  <c r="AN77" i="11" a="1"/>
  <c r="AN77" i="11" s="1"/>
  <c r="AL77" i="11" a="1"/>
  <c r="AL77" i="11" s="1"/>
  <c r="AJ77" i="11" a="1"/>
  <c r="AJ77" i="11" s="1"/>
  <c r="AH77" i="11" a="1"/>
  <c r="AH77" i="11" s="1"/>
  <c r="AF77" i="11" a="1"/>
  <c r="AF77" i="11" s="1"/>
  <c r="AD77" i="11" a="1"/>
  <c r="AD77" i="11" s="1"/>
  <c r="AB77" i="11"/>
  <c r="AB77" i="11" a="1"/>
  <c r="Z77" i="11" a="1"/>
  <c r="Z77" i="11" s="1"/>
  <c r="X77" i="11" a="1"/>
  <c r="X77" i="11" s="1"/>
  <c r="V77" i="11" a="1"/>
  <c r="V77" i="11" s="1"/>
  <c r="T77" i="11" a="1"/>
  <c r="T77" i="11" s="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c r="AR76" i="11" a="1"/>
  <c r="AP76" i="11" a="1"/>
  <c r="AP76" i="11" s="1"/>
  <c r="AN76" i="11" a="1"/>
  <c r="AN76" i="11" s="1"/>
  <c r="AL76" i="11" a="1"/>
  <c r="AL76" i="11" s="1"/>
  <c r="AJ76" i="11" a="1"/>
  <c r="AJ76" i="11" s="1"/>
  <c r="AH76" i="11" a="1"/>
  <c r="AH76" i="11" s="1"/>
  <c r="AF76" i="11" a="1"/>
  <c r="AF76" i="11" s="1"/>
  <c r="AD76" i="11" a="1"/>
  <c r="AD76" i="11" s="1"/>
  <c r="AB76" i="11"/>
  <c r="AB76" i="11" a="1"/>
  <c r="Z76" i="11" a="1"/>
  <c r="Z76" i="11" s="1"/>
  <c r="X76" i="11" a="1"/>
  <c r="X76" i="11" s="1"/>
  <c r="V76" i="11" a="1"/>
  <c r="V76" i="11" s="1"/>
  <c r="T76" i="11" a="1"/>
  <c r="T76" i="11" s="1"/>
  <c r="R76" i="11" a="1"/>
  <c r="R76" i="11" s="1"/>
  <c r="P76" i="11" a="1"/>
  <c r="P76" i="11" s="1"/>
  <c r="N76" i="11" a="1"/>
  <c r="N76" i="11" s="1"/>
  <c r="L76" i="11"/>
  <c r="L76" i="11" a="1"/>
  <c r="J76" i="11" a="1"/>
  <c r="J76" i="11" s="1"/>
  <c r="H76" i="11" a="1"/>
  <c r="H76" i="11" s="1"/>
  <c r="F76" i="11" a="1"/>
  <c r="F76" i="11" s="1"/>
  <c r="D76" i="11" a="1"/>
  <c r="D76" i="11" s="1"/>
  <c r="B76" i="11" a="1"/>
  <c r="B76" i="11" s="1"/>
  <c r="AV75" i="11" a="1"/>
  <c r="AV75" i="11" s="1"/>
  <c r="AT75" i="11" a="1"/>
  <c r="AT75" i="11" s="1"/>
  <c r="AR75" i="11"/>
  <c r="AR75" i="11" a="1"/>
  <c r="AP75" i="11" a="1"/>
  <c r="AP75" i="11" s="1"/>
  <c r="AN75" i="11" a="1"/>
  <c r="AN75" i="11" s="1"/>
  <c r="AL75" i="11" a="1"/>
  <c r="AL75" i="11" s="1"/>
  <c r="AJ75" i="11" a="1"/>
  <c r="AJ75" i="11" s="1"/>
  <c r="AH75" i="11" a="1"/>
  <c r="AH75" i="11" s="1"/>
  <c r="AF75" i="11" a="1"/>
  <c r="AF75" i="11" s="1"/>
  <c r="AD75" i="11" a="1"/>
  <c r="AD75" i="11" s="1"/>
  <c r="AB75" i="11"/>
  <c r="AB75" i="11" a="1"/>
  <c r="Z75" i="11" a="1"/>
  <c r="Z75" i="11" s="1"/>
  <c r="X75" i="11" a="1"/>
  <c r="X75" i="11" s="1"/>
  <c r="V75" i="11" a="1"/>
  <c r="V75" i="11" s="1"/>
  <c r="T75" i="11" a="1"/>
  <c r="T75" i="11" s="1"/>
  <c r="R75" i="11" a="1"/>
  <c r="R75" i="11" s="1"/>
  <c r="P75" i="11" a="1"/>
  <c r="P75" i="11" s="1"/>
  <c r="N75" i="11" a="1"/>
  <c r="N75" i="11" s="1"/>
  <c r="L75" i="11"/>
  <c r="L75" i="11" a="1"/>
  <c r="J75" i="11" a="1"/>
  <c r="J75" i="11" s="1"/>
  <c r="H75" i="11" a="1"/>
  <c r="H75" i="11" s="1"/>
  <c r="F75" i="11" a="1"/>
  <c r="F75" i="11" s="1"/>
  <c r="D75" i="11" a="1"/>
  <c r="D75" i="11" s="1"/>
  <c r="B75" i="11" a="1"/>
  <c r="B75" i="11" s="1"/>
  <c r="AV74" i="11" a="1"/>
  <c r="AV74" i="11" s="1"/>
  <c r="AT74" i="11" a="1"/>
  <c r="AT74" i="11" s="1"/>
  <c r="AR74" i="11"/>
  <c r="AR74" i="11" a="1"/>
  <c r="AP74" i="11" a="1"/>
  <c r="AP74" i="11" s="1"/>
  <c r="AN74" i="11" a="1"/>
  <c r="AN74" i="11" s="1"/>
  <c r="AL74" i="11" a="1"/>
  <c r="AL74" i="11" s="1"/>
  <c r="AJ74" i="11" a="1"/>
  <c r="AJ74" i="11" s="1"/>
  <c r="AH74" i="11" a="1"/>
  <c r="AH74" i="11" s="1"/>
  <c r="AF74" i="11" a="1"/>
  <c r="AF74" i="11" s="1"/>
  <c r="AD74" i="11" a="1"/>
  <c r="AD74" i="11" s="1"/>
  <c r="AB74" i="11"/>
  <c r="AB74" i="11" a="1"/>
  <c r="Z74" i="11" a="1"/>
  <c r="Z74" i="11" s="1"/>
  <c r="X74" i="11" a="1"/>
  <c r="X74" i="11" s="1"/>
  <c r="V74" i="11" a="1"/>
  <c r="V74" i="11" s="1"/>
  <c r="T74" i="11" a="1"/>
  <c r="T74" i="11" s="1"/>
  <c r="R74" i="11" a="1"/>
  <c r="R74" i="11" s="1"/>
  <c r="P74" i="11" a="1"/>
  <c r="P74" i="11" s="1"/>
  <c r="N74" i="11" a="1"/>
  <c r="N74" i="11" s="1"/>
  <c r="L74" i="11"/>
  <c r="L74" i="11" a="1"/>
  <c r="J74" i="11" a="1"/>
  <c r="J74" i="11" s="1"/>
  <c r="H74" i="11" a="1"/>
  <c r="H74" i="11" s="1"/>
  <c r="F74" i="11" a="1"/>
  <c r="F74" i="11" s="1"/>
  <c r="D74" i="11" a="1"/>
  <c r="D74" i="11" s="1"/>
  <c r="B74" i="11" a="1"/>
  <c r="B74" i="11" s="1"/>
  <c r="AV73" i="11" a="1"/>
  <c r="AV73" i="11" s="1"/>
  <c r="AT73" i="11" a="1"/>
  <c r="AT73" i="11" s="1"/>
  <c r="AR73" i="11"/>
  <c r="AR73" i="11" a="1"/>
  <c r="AP73" i="11" a="1"/>
  <c r="AP73" i="11" s="1"/>
  <c r="AN73" i="11" a="1"/>
  <c r="AN73" i="11" s="1"/>
  <c r="AL73" i="11" a="1"/>
  <c r="AL73" i="11" s="1"/>
  <c r="AJ73" i="11" a="1"/>
  <c r="AJ73" i="11" s="1"/>
  <c r="AH73" i="11" a="1"/>
  <c r="AH73" i="11" s="1"/>
  <c r="AF73" i="11" a="1"/>
  <c r="AF73" i="11" s="1"/>
  <c r="AD73" i="11" a="1"/>
  <c r="AD73" i="11" s="1"/>
  <c r="AB73" i="11"/>
  <c r="AB73" i="11" a="1"/>
  <c r="Z73" i="11" a="1"/>
  <c r="Z73" i="11" s="1"/>
  <c r="X73" i="11" a="1"/>
  <c r="X73" i="11" s="1"/>
  <c r="V73" i="11" a="1"/>
  <c r="V73" i="11" s="1"/>
  <c r="T73" i="11" a="1"/>
  <c r="T73" i="11" s="1"/>
  <c r="R73" i="11" a="1"/>
  <c r="R73" i="11" s="1"/>
  <c r="P73" i="11" a="1"/>
  <c r="P73" i="11" s="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J69" i="11"/>
  <c r="D69" i="11"/>
  <c r="B69" i="11"/>
  <c r="T68" i="11"/>
  <c r="AV67" i="11" a="1"/>
  <c r="AV67" i="11" s="1"/>
  <c r="AT67" i="11" a="1"/>
  <c r="AT67" i="11" s="1"/>
  <c r="AR67" i="11" a="1"/>
  <c r="AR67" i="11" s="1"/>
  <c r="AP67" i="11" a="1"/>
  <c r="AP67" i="11" s="1"/>
  <c r="AN67" i="11" a="1"/>
  <c r="AN67" i="11" s="1"/>
  <c r="AL67" i="11" a="1"/>
  <c r="AL67" i="11" s="1"/>
  <c r="AJ67" i="11"/>
  <c r="AJ67" i="11" a="1"/>
  <c r="AH67" i="11" a="1"/>
  <c r="AH67" i="11" s="1"/>
  <c r="AF67" i="11" a="1"/>
  <c r="AF67" i="11" s="1"/>
  <c r="AD67" i="11" a="1"/>
  <c r="AD67" i="11" s="1"/>
  <c r="AB67" i="11" a="1"/>
  <c r="AB67" i="11" s="1"/>
  <c r="Z67" i="11" a="1"/>
  <c r="Z67" i="11" s="1"/>
  <c r="X67" i="11" a="1"/>
  <c r="X67" i="11" s="1"/>
  <c r="V67" i="11" a="1"/>
  <c r="V67" i="11" s="1"/>
  <c r="T67" i="11"/>
  <c r="T67" i="11" a="1"/>
  <c r="R67" i="11" a="1"/>
  <c r="R67" i="11" s="1"/>
  <c r="P67" i="11" a="1"/>
  <c r="P67" i="11" s="1"/>
  <c r="N67" i="11" a="1"/>
  <c r="N67" i="11" s="1"/>
  <c r="L67" i="11" a="1"/>
  <c r="L67" i="11" s="1"/>
  <c r="J67" i="11" a="1"/>
  <c r="J67" i="11" s="1"/>
  <c r="H67" i="11" a="1"/>
  <c r="H67" i="11" s="1"/>
  <c r="F67" i="11" a="1"/>
  <c r="F67" i="11" s="1"/>
  <c r="D67" i="11"/>
  <c r="D67" i="11" a="1"/>
  <c r="B67" i="11" a="1"/>
  <c r="B67" i="11" s="1"/>
  <c r="AV66" i="11" a="1"/>
  <c r="AV66" i="11" s="1"/>
  <c r="AV68" i="11" s="1"/>
  <c r="AT66" i="11" a="1"/>
  <c r="AT66" i="11" s="1"/>
  <c r="AT68" i="11" s="1"/>
  <c r="AR66" i="11" a="1"/>
  <c r="AR66" i="11" s="1"/>
  <c r="AR68" i="11" s="1"/>
  <c r="AP66" i="11"/>
  <c r="AP68" i="11" s="1"/>
  <c r="AP66" i="11" a="1"/>
  <c r="AN66" i="11" a="1"/>
  <c r="AN66" i="11" s="1"/>
  <c r="AL66" i="11" a="1"/>
  <c r="AL66" i="11" s="1"/>
  <c r="AL68" i="11" s="1"/>
  <c r="AJ66" i="11"/>
  <c r="AJ68" i="11" s="1"/>
  <c r="AJ66" i="11" a="1"/>
  <c r="AH66" i="11" a="1"/>
  <c r="AH66" i="11" s="1"/>
  <c r="AF66" i="11" a="1"/>
  <c r="AF66" i="11" s="1"/>
  <c r="AD66" i="11" a="1"/>
  <c r="AD66" i="11" s="1"/>
  <c r="AB66" i="11" a="1"/>
  <c r="AB66" i="11" s="1"/>
  <c r="Z66" i="11" a="1"/>
  <c r="Z66" i="11" s="1"/>
  <c r="Z68" i="11" s="1"/>
  <c r="X66" i="11" a="1"/>
  <c r="X66" i="11" s="1"/>
  <c r="X68" i="11" s="1"/>
  <c r="V66" i="11" a="1"/>
  <c r="V66" i="11" s="1"/>
  <c r="T66" i="11"/>
  <c r="T66" i="11" a="1"/>
  <c r="R66" i="11" a="1"/>
  <c r="R66" i="11" s="1"/>
  <c r="R68" i="11" s="1"/>
  <c r="P66" i="11" a="1"/>
  <c r="P66" i="11" s="1"/>
  <c r="N66" i="11"/>
  <c r="N66" i="11" a="1"/>
  <c r="L66" i="11" a="1"/>
  <c r="L66" i="11" s="1"/>
  <c r="J66" i="11"/>
  <c r="J66" i="11" a="1"/>
  <c r="H66" i="11" a="1"/>
  <c r="H66" i="11" s="1"/>
  <c r="F66" i="11" a="1"/>
  <c r="F66" i="11" s="1"/>
  <c r="D66" i="11"/>
  <c r="D68" i="11" s="1"/>
  <c r="D66" i="11" a="1"/>
  <c r="B66" i="11" a="1"/>
  <c r="B66"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c r="AJ65" i="11" a="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c r="T69" i="11" s="1"/>
  <c r="T65" i="11" a="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a="1"/>
  <c r="AN58" i="11" s="1"/>
  <c r="AL58" i="11" a="1"/>
  <c r="AL58" i="11" s="1"/>
  <c r="AJ58" i="11"/>
  <c r="AJ58" i="11" a="1"/>
  <c r="AH58" i="11" a="1"/>
  <c r="AH58" i="11" s="1"/>
  <c r="AF58" i="11"/>
  <c r="AF58" i="11" a="1"/>
  <c r="AD58" i="11"/>
  <c r="AD58" i="11" a="1"/>
  <c r="AB58" i="11" a="1"/>
  <c r="AB58" i="11" s="1"/>
  <c r="Z58" i="11"/>
  <c r="Z58" i="11" a="1"/>
  <c r="X58" i="11" a="1"/>
  <c r="X58" i="11" s="1"/>
  <c r="V58" i="11" a="1"/>
  <c r="V58" i="11" s="1"/>
  <c r="T58" i="11"/>
  <c r="T58" i="11" a="1"/>
  <c r="R58" i="11" a="1"/>
  <c r="R58" i="11" s="1"/>
  <c r="P58" i="11"/>
  <c r="P58" i="11" a="1"/>
  <c r="N58" i="11"/>
  <c r="N58" i="11" a="1"/>
  <c r="L58" i="11" a="1"/>
  <c r="L58" i="11" s="1"/>
  <c r="J58" i="11"/>
  <c r="J58" i="11" a="1"/>
  <c r="H58" i="11" a="1"/>
  <c r="H58" i="11" s="1"/>
  <c r="F58" i="11" a="1"/>
  <c r="F58" i="11" s="1"/>
  <c r="D58" i="11"/>
  <c r="D58" i="11" a="1"/>
  <c r="B58" i="11" a="1"/>
  <c r="B58" i="11" s="1"/>
  <c r="AV57" i="11"/>
  <c r="AV57" i="11" a="1"/>
  <c r="AT57" i="11"/>
  <c r="AT57" i="11" a="1"/>
  <c r="AR57" i="11" a="1"/>
  <c r="AR57" i="11" s="1"/>
  <c r="AP57" i="11"/>
  <c r="AP57" i="11" a="1"/>
  <c r="AN57" i="11" a="1"/>
  <c r="AN57" i="11" s="1"/>
  <c r="AL57" i="11" a="1"/>
  <c r="AL57" i="11" s="1"/>
  <c r="AJ57" i="11"/>
  <c r="AJ57" i="11" a="1"/>
  <c r="AH57" i="11" a="1"/>
  <c r="AH57" i="11" s="1"/>
  <c r="AF57" i="11"/>
  <c r="AF57" i="11" a="1"/>
  <c r="AD57" i="11"/>
  <c r="AD57" i="11" a="1"/>
  <c r="AB57" i="11" a="1"/>
  <c r="AB57" i="11" s="1"/>
  <c r="Z57" i="11"/>
  <c r="Z57" i="11" a="1"/>
  <c r="X57" i="11" a="1"/>
  <c r="X57" i="11" s="1"/>
  <c r="V57" i="11" a="1"/>
  <c r="V57" i="11" s="1"/>
  <c r="T57" i="11"/>
  <c r="T57" i="11" a="1"/>
  <c r="R57" i="11" a="1"/>
  <c r="R57" i="11" s="1"/>
  <c r="P57" i="11"/>
  <c r="P57" i="11" a="1"/>
  <c r="N57" i="11"/>
  <c r="N57" i="11" a="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N80" i="11" s="1"/>
  <c r="AL55" i="11"/>
  <c r="AJ55" i="11"/>
  <c r="AH55" i="11"/>
  <c r="AH80" i="11" s="1"/>
  <c r="AF55" i="11"/>
  <c r="AF80" i="11" s="1"/>
  <c r="AD55" i="11"/>
  <c r="AD80" i="11" s="1"/>
  <c r="AB55" i="11"/>
  <c r="AB80" i="11" s="1"/>
  <c r="Z55" i="11"/>
  <c r="Z80" i="11" s="1"/>
  <c r="X55" i="11"/>
  <c r="V55" i="11"/>
  <c r="V80" i="11" s="1"/>
  <c r="T55" i="11"/>
  <c r="T80" i="11" s="1"/>
  <c r="R55" i="11"/>
  <c r="P55" i="11"/>
  <c r="N55" i="11"/>
  <c r="L55" i="11"/>
  <c r="J55" i="11"/>
  <c r="H55" i="11"/>
  <c r="H80" i="11" s="1"/>
  <c r="F55" i="11"/>
  <c r="D55" i="1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F51" i="11"/>
  <c r="AD51" i="11"/>
  <c r="AB51" i="11"/>
  <c r="Z51" i="11"/>
  <c r="Z81" i="11" s="1"/>
  <c r="X51" i="11"/>
  <c r="X81" i="11" s="1"/>
  <c r="V51" i="11"/>
  <c r="T51" i="11"/>
  <c r="R51" i="11"/>
  <c r="P51" i="11"/>
  <c r="P81" i="11" s="1"/>
  <c r="N51" i="11"/>
  <c r="N81" i="11" s="1"/>
  <c r="L51" i="11"/>
  <c r="L81" i="11" s="1"/>
  <c r="J51" i="11"/>
  <c r="J81" i="11" s="1"/>
  <c r="H51" i="11"/>
  <c r="F51" i="11"/>
  <c r="F81" i="11" s="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a="1"/>
  <c r="AL43" i="11" s="1"/>
  <c r="AJ43" i="11"/>
  <c r="AJ43" i="11" a="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R6" i="39"/>
  <c r="Q6" i="39"/>
  <c r="P6" i="39"/>
  <c r="O6" i="39"/>
  <c r="N6" i="39"/>
  <c r="M6" i="39"/>
  <c r="L6" i="39"/>
  <c r="K6" i="39"/>
  <c r="J6" i="39"/>
  <c r="I6" i="39"/>
  <c r="H6" i="39"/>
  <c r="J68" i="35" l="1"/>
  <c r="L68" i="35"/>
  <c r="N68" i="35"/>
  <c r="P68" i="35"/>
  <c r="AV68" i="35"/>
  <c r="AH68" i="35"/>
  <c r="AN68" i="35"/>
  <c r="X52" i="38"/>
  <c r="X82" i="38" s="1"/>
  <c r="AD52" i="38"/>
  <c r="AD82" i="38" s="1"/>
  <c r="F52" i="38"/>
  <c r="F82" i="38" s="1"/>
  <c r="H52" i="38"/>
  <c r="H82" i="38" s="1"/>
  <c r="J52" i="38"/>
  <c r="J82" i="38" s="1"/>
  <c r="AH52" i="38"/>
  <c r="AH82" i="38" s="1"/>
  <c r="L52" i="38"/>
  <c r="L82" i="38" s="1"/>
  <c r="AJ52" i="38"/>
  <c r="AJ82" i="38" s="1"/>
  <c r="AL52" i="38"/>
  <c r="AL82" i="38" s="1"/>
  <c r="AB52" i="38"/>
  <c r="AB82" i="38" s="1"/>
  <c r="AP52" i="38"/>
  <c r="AP82" i="38" s="1"/>
  <c r="R52" i="38"/>
  <c r="R82" i="38" s="1"/>
  <c r="AR52" i="38"/>
  <c r="AR82" i="38" s="1"/>
  <c r="AT52" i="38"/>
  <c r="AT82" i="38" s="1"/>
  <c r="AN52" i="38"/>
  <c r="AN82" i="38" s="1"/>
  <c r="Z68" i="38"/>
  <c r="AB68" i="38"/>
  <c r="AR68" i="38"/>
  <c r="AT68" i="38"/>
  <c r="N68" i="38"/>
  <c r="AF68" i="38"/>
  <c r="AH68" i="38"/>
  <c r="AJ68" i="38"/>
  <c r="J52" i="21"/>
  <c r="J82" i="21" s="1"/>
  <c r="L52" i="21"/>
  <c r="L82" i="21" s="1"/>
  <c r="AL52" i="21"/>
  <c r="AL82" i="21" s="1"/>
  <c r="R52" i="21"/>
  <c r="R82" i="21" s="1"/>
  <c r="AR52" i="21"/>
  <c r="AR82" i="21" s="1"/>
  <c r="J68" i="21"/>
  <c r="V68" i="21"/>
  <c r="AR68" i="21"/>
  <c r="D68" i="21"/>
  <c r="N68" i="24"/>
  <c r="AP68" i="24"/>
  <c r="Z68" i="24"/>
  <c r="AH68" i="24"/>
  <c r="AJ68" i="24"/>
  <c r="AL68" i="24"/>
  <c r="P68" i="24"/>
  <c r="AR68" i="24"/>
  <c r="B68" i="24"/>
  <c r="AR68" i="18"/>
  <c r="AV68" i="18"/>
  <c r="L68" i="18"/>
  <c r="N68" i="18"/>
  <c r="AN68" i="18"/>
  <c r="B68" i="18"/>
  <c r="D68" i="18"/>
  <c r="AP68" i="18"/>
  <c r="H68" i="22"/>
  <c r="AH68" i="22"/>
  <c r="AJ68" i="22"/>
  <c r="AN68" i="22"/>
  <c r="AP68" i="22"/>
  <c r="R68" i="22"/>
  <c r="AR68" i="22"/>
  <c r="T68" i="22"/>
  <c r="AT68" i="22"/>
  <c r="X68" i="22"/>
  <c r="Z68" i="22"/>
  <c r="AB68" i="12"/>
  <c r="H68" i="12"/>
  <c r="J68" i="12"/>
  <c r="L68" i="12"/>
  <c r="N68" i="12"/>
  <c r="P68" i="12"/>
  <c r="AN68" i="12"/>
  <c r="AT68" i="12"/>
  <c r="AV68" i="12"/>
  <c r="V68" i="11"/>
  <c r="B68" i="11"/>
  <c r="AB68" i="11"/>
  <c r="F68" i="11"/>
  <c r="AD68" i="11"/>
  <c r="H68" i="11"/>
  <c r="AF68" i="11"/>
  <c r="AH68" i="11"/>
  <c r="L68" i="11"/>
  <c r="J68" i="11"/>
  <c r="N68" i="11"/>
  <c r="AN68" i="11"/>
  <c r="P68" i="11"/>
  <c r="C66" i="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B52" i="21" l="1"/>
  <c r="B82" i="21" s="1"/>
  <c r="T52" i="38"/>
  <c r="T82" i="38" s="1"/>
  <c r="P52" i="38"/>
  <c r="P82" i="38" s="1"/>
  <c r="AF52" i="38"/>
  <c r="AF82" i="38" s="1"/>
  <c r="D52" i="38"/>
  <c r="D82" i="38" s="1"/>
  <c r="B52" i="38"/>
  <c r="B82" i="38" s="1"/>
  <c r="AV52" i="38"/>
  <c r="AV82" i="38" s="1"/>
  <c r="V52" i="38"/>
  <c r="V82" i="38" s="1"/>
  <c r="Z52" i="38"/>
  <c r="Z82" i="38" s="1"/>
  <c r="N52" i="38"/>
  <c r="N82" i="38" s="1"/>
  <c r="AT52" i="21"/>
  <c r="AT82" i="21" s="1"/>
  <c r="N52" i="21"/>
  <c r="N82" i="21" s="1"/>
  <c r="H52" i="24"/>
  <c r="H82" i="24" s="1"/>
  <c r="F52" i="21"/>
  <c r="F82" i="21" s="1"/>
  <c r="AN52" i="24"/>
  <c r="AN82" i="24" s="1"/>
  <c r="V52" i="21"/>
  <c r="V82" i="21" s="1"/>
  <c r="H52" i="21"/>
  <c r="H82" i="21" s="1"/>
  <c r="AL52" i="24"/>
  <c r="AL82" i="24" s="1"/>
  <c r="P52" i="21"/>
  <c r="P82" i="21" s="1"/>
  <c r="AV52" i="21"/>
  <c r="AV82" i="21" s="1"/>
  <c r="T52" i="21"/>
  <c r="T82" i="21" s="1"/>
  <c r="AJ52" i="21"/>
  <c r="AJ82" i="21" s="1"/>
  <c r="AF52" i="21"/>
  <c r="AF82" i="21" s="1"/>
  <c r="D52" i="21"/>
  <c r="D82" i="21" s="1"/>
  <c r="AP52" i="21"/>
  <c r="AP82" i="21" s="1"/>
  <c r="AH52" i="21"/>
  <c r="AH82" i="21" s="1"/>
  <c r="AB52" i="21"/>
  <c r="AB82" i="21" s="1"/>
  <c r="X52" i="21"/>
  <c r="X82" i="21" s="1"/>
  <c r="Z52" i="21"/>
  <c r="Z82" i="21" s="1"/>
  <c r="AN52" i="21"/>
  <c r="AN82" i="21" s="1"/>
  <c r="AD52" i="21"/>
  <c r="AD82" i="21" s="1"/>
  <c r="F52" i="24"/>
  <c r="F82" i="24" s="1"/>
  <c r="N52" i="24"/>
  <c r="N82" i="24" s="1"/>
  <c r="B52" i="24"/>
  <c r="B82" i="24" s="1"/>
  <c r="AD52" i="24"/>
  <c r="AD82" i="24" s="1"/>
  <c r="V52" i="24"/>
  <c r="V82" i="24" s="1"/>
  <c r="AR52" i="24"/>
  <c r="AR82" i="24" s="1"/>
  <c r="AT52" i="24"/>
  <c r="AT82" i="24" s="1"/>
  <c r="AL52" i="12"/>
  <c r="AL82" i="12" s="1"/>
  <c r="AH52" i="24"/>
  <c r="AH82" i="24" s="1"/>
  <c r="R52" i="24"/>
  <c r="R82" i="24" s="1"/>
  <c r="X52" i="24"/>
  <c r="X82" i="24" s="1"/>
  <c r="T52" i="24"/>
  <c r="T82" i="24" s="1"/>
  <c r="AH52" i="22"/>
  <c r="AH82" i="22" s="1"/>
  <c r="N52" i="12"/>
  <c r="N82" i="12" s="1"/>
  <c r="D52" i="24"/>
  <c r="D82" i="24" s="1"/>
  <c r="P52" i="24"/>
  <c r="P82" i="24" s="1"/>
  <c r="AJ52" i="24"/>
  <c r="AJ82" i="24" s="1"/>
  <c r="AF52" i="24"/>
  <c r="AF82" i="24" s="1"/>
  <c r="Z52" i="24"/>
  <c r="Z82" i="24" s="1"/>
  <c r="AV52" i="24"/>
  <c r="AV82" i="24" s="1"/>
  <c r="J52" i="24"/>
  <c r="J82" i="24" s="1"/>
  <c r="AP52" i="24"/>
  <c r="AP82" i="24" s="1"/>
  <c r="L52" i="24"/>
  <c r="L82" i="24" s="1"/>
  <c r="AB52" i="24"/>
  <c r="AB82" i="24" s="1"/>
  <c r="N52" i="18"/>
  <c r="N82" i="18" s="1"/>
  <c r="X52" i="18"/>
  <c r="X82" i="18" s="1"/>
  <c r="L52" i="12"/>
  <c r="L82" i="12" s="1"/>
  <c r="AL52" i="22"/>
  <c r="AL82" i="22" s="1"/>
  <c r="Z52" i="18"/>
  <c r="Z82" i="18" s="1"/>
  <c r="AJ52" i="18"/>
  <c r="AJ82" i="18" s="1"/>
  <c r="X52" i="12"/>
  <c r="X82" i="12" s="1"/>
  <c r="J52" i="12"/>
  <c r="J82" i="12" s="1"/>
  <c r="B52" i="22"/>
  <c r="B82" i="22" s="1"/>
  <c r="R52" i="18"/>
  <c r="R82" i="18" s="1"/>
  <c r="AB52" i="18"/>
  <c r="AB82" i="18" s="1"/>
  <c r="AH52" i="12"/>
  <c r="AH82" i="12" s="1"/>
  <c r="N52" i="22"/>
  <c r="N82" i="22" s="1"/>
  <c r="AR52" i="18"/>
  <c r="AR82" i="18" s="1"/>
  <c r="V52" i="18"/>
  <c r="V82" i="18" s="1"/>
  <c r="AT52" i="18"/>
  <c r="AT82" i="18" s="1"/>
  <c r="AN52" i="18"/>
  <c r="AN82" i="18" s="1"/>
  <c r="AP52" i="18"/>
  <c r="AP82" i="18" s="1"/>
  <c r="AL52" i="18"/>
  <c r="AL82" i="18" s="1"/>
  <c r="H52" i="12"/>
  <c r="H82" i="12" s="1"/>
  <c r="AD52" i="22"/>
  <c r="AD82" i="22" s="1"/>
  <c r="L52" i="18"/>
  <c r="L82" i="18" s="1"/>
  <c r="H52" i="22"/>
  <c r="H82" i="22" s="1"/>
  <c r="AB52" i="22"/>
  <c r="AB82" i="22" s="1"/>
  <c r="AH52" i="18"/>
  <c r="AH82" i="18" s="1"/>
  <c r="H52" i="18"/>
  <c r="H82" i="18" s="1"/>
  <c r="AR52" i="22"/>
  <c r="AR82" i="22" s="1"/>
  <c r="AD52" i="18"/>
  <c r="AD82" i="18" s="1"/>
  <c r="B52" i="18"/>
  <c r="B82" i="18" s="1"/>
  <c r="F52" i="22"/>
  <c r="F82" i="22" s="1"/>
  <c r="P52" i="18"/>
  <c r="P82" i="18" s="1"/>
  <c r="AV52" i="18"/>
  <c r="AV82" i="18" s="1"/>
  <c r="AF52" i="18"/>
  <c r="AF82" i="18" s="1"/>
  <c r="T52" i="18"/>
  <c r="T82" i="18" s="1"/>
  <c r="X52" i="22"/>
  <c r="X82" i="22" s="1"/>
  <c r="J52" i="18"/>
  <c r="J82" i="18" s="1"/>
  <c r="AN52" i="22"/>
  <c r="AN82" i="22" s="1"/>
  <c r="D52" i="18"/>
  <c r="D82" i="18" s="1"/>
  <c r="F52" i="18"/>
  <c r="F82" i="18" s="1"/>
  <c r="V52" i="12"/>
  <c r="V82" i="12" s="1"/>
  <c r="AJ52" i="22"/>
  <c r="AJ82" i="22" s="1"/>
  <c r="Z52" i="22"/>
  <c r="Z82" i="22" s="1"/>
  <c r="J52" i="22"/>
  <c r="J82" i="22" s="1"/>
  <c r="AF52" i="22"/>
  <c r="AF82" i="22" s="1"/>
  <c r="D52" i="22"/>
  <c r="D82" i="22" s="1"/>
  <c r="AV52" i="22"/>
  <c r="AV82" i="22" s="1"/>
  <c r="T52" i="22"/>
  <c r="T82" i="22" s="1"/>
  <c r="AP52" i="22"/>
  <c r="AP82" i="22" s="1"/>
  <c r="P52" i="22"/>
  <c r="P82" i="22" s="1"/>
  <c r="L52" i="22"/>
  <c r="L82" i="22" s="1"/>
  <c r="AT52" i="22"/>
  <c r="AT82" i="22" s="1"/>
  <c r="V52" i="22"/>
  <c r="V82" i="22" s="1"/>
  <c r="R52" i="22"/>
  <c r="R82" i="22" s="1"/>
  <c r="H52" i="11"/>
  <c r="H82" i="11" s="1"/>
  <c r="F52" i="11"/>
  <c r="F82" i="11" s="1"/>
  <c r="V52" i="11"/>
  <c r="V82" i="11" s="1"/>
  <c r="AJ52" i="12"/>
  <c r="AJ82" i="12" s="1"/>
  <c r="AV52" i="12"/>
  <c r="AV82" i="12" s="1"/>
  <c r="T52" i="12"/>
  <c r="T82" i="12" s="1"/>
  <c r="P52" i="12"/>
  <c r="P82" i="12" s="1"/>
  <c r="AF52" i="12"/>
  <c r="AF82" i="12" s="1"/>
  <c r="D52" i="12"/>
  <c r="D82" i="12" s="1"/>
  <c r="AT52" i="12"/>
  <c r="AT82" i="12" s="1"/>
  <c r="AR52" i="12"/>
  <c r="AR82" i="12" s="1"/>
  <c r="F52" i="12"/>
  <c r="F82" i="12" s="1"/>
  <c r="R52" i="12"/>
  <c r="R82" i="12" s="1"/>
  <c r="B52" i="12"/>
  <c r="B82" i="12" s="1"/>
  <c r="AN52" i="12"/>
  <c r="AN82" i="12" s="1"/>
  <c r="Z52" i="12"/>
  <c r="Z82" i="12" s="1"/>
  <c r="AP52" i="12"/>
  <c r="AP82" i="12" s="1"/>
  <c r="AD52" i="12"/>
  <c r="AD82" i="12" s="1"/>
  <c r="AB52" i="12"/>
  <c r="AB82" i="12" s="1"/>
  <c r="X52" i="11"/>
  <c r="X82" i="11" s="1"/>
  <c r="AN52" i="11"/>
  <c r="AN82" i="11" s="1"/>
  <c r="AL52" i="11"/>
  <c r="AL82" i="11" s="1"/>
  <c r="AT52" i="11"/>
  <c r="AT82" i="11" s="1"/>
  <c r="Z52" i="11"/>
  <c r="Z82" i="11" s="1"/>
  <c r="AV52" i="11"/>
  <c r="AV82" i="11" s="1"/>
  <c r="AP52" i="11"/>
  <c r="AP82" i="11" s="1"/>
  <c r="D52" i="11"/>
  <c r="D82" i="11" s="1"/>
  <c r="T52" i="11"/>
  <c r="T82" i="11" s="1"/>
  <c r="P52" i="11"/>
  <c r="P82" i="11" s="1"/>
  <c r="AJ52" i="11"/>
  <c r="AJ82" i="11" s="1"/>
  <c r="J52" i="11"/>
  <c r="J82" i="11" s="1"/>
  <c r="AF52" i="11"/>
  <c r="AF82" i="11" s="1"/>
  <c r="R52" i="11"/>
  <c r="R82" i="11" s="1"/>
  <c r="AD52" i="11"/>
  <c r="AD82" i="11" s="1"/>
  <c r="N52" i="11"/>
  <c r="N82" i="11" s="1"/>
  <c r="AB52" i="11"/>
  <c r="AB82" i="11" s="1"/>
  <c r="L52" i="11"/>
  <c r="L82" i="11" s="1"/>
  <c r="AH52" i="11"/>
  <c r="AH82" i="11" s="1"/>
  <c r="AR52" i="11"/>
  <c r="AR82" i="11" s="1"/>
  <c r="B52" i="11"/>
  <c r="B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N3" i="39"/>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V8" i="39"/>
  <c r="H24" i="23"/>
  <c r="H8" i="39"/>
  <c r="C24" i="23"/>
  <c r="C8" i="39"/>
  <c r="N24" i="23"/>
  <c r="N8" i="39"/>
  <c r="W24" i="23"/>
  <c r="W8" i="39"/>
  <c r="X24" i="23"/>
  <c r="X8" i="39"/>
  <c r="Y24" i="23"/>
  <c r="Y8" i="39"/>
  <c r="J24" i="23"/>
  <c r="J8" i="39"/>
  <c r="K24" i="23"/>
  <c r="K8" i="39"/>
  <c r="M24" i="23"/>
  <c r="M8" i="39"/>
  <c r="O24" i="23"/>
  <c r="O8" i="39"/>
  <c r="D24" i="23"/>
  <c r="D8" i="39"/>
  <c r="F24" i="23"/>
  <c r="F8" i="39"/>
  <c r="G24" i="23"/>
  <c r="G8" i="39"/>
  <c r="I24" i="23"/>
  <c r="I8" i="39"/>
  <c r="B24" i="23"/>
  <c r="B8" i="39"/>
  <c r="L24" i="23"/>
  <c r="L8" i="39"/>
  <c r="P24" i="23"/>
  <c r="P8" i="39"/>
  <c r="Q24" i="23"/>
  <c r="Q8" i="39"/>
  <c r="R24" i="23"/>
  <c r="R8" i="39"/>
  <c r="S24" i="23"/>
  <c r="S8" i="39"/>
  <c r="T24" i="23"/>
  <c r="T8" i="39"/>
  <c r="E24" i="23"/>
  <c r="E8" i="39"/>
  <c r="U24" i="23"/>
  <c r="U8" i="39"/>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J7" i="39"/>
  <c r="K23" i="23"/>
  <c r="K7" i="39"/>
  <c r="L23" i="23"/>
  <c r="L7" i="39"/>
  <c r="M23" i="23"/>
  <c r="M7" i="39"/>
  <c r="N23" i="23"/>
  <c r="N7" i="39"/>
  <c r="O23" i="23"/>
  <c r="O7" i="39"/>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V53" i="38" l="1"/>
  <c r="AV83" i="38" s="1"/>
  <c r="T53" i="38"/>
  <c r="T83" i="38" s="1"/>
  <c r="R53" i="38"/>
  <c r="R83" i="38" s="1"/>
  <c r="AF53" i="38"/>
  <c r="AF83" i="38" s="1"/>
  <c r="AL53" i="38"/>
  <c r="AL83" i="38" s="1"/>
  <c r="P53" i="38"/>
  <c r="P83" i="38" s="1"/>
  <c r="AJ53" i="38"/>
  <c r="AJ83" i="38" s="1"/>
  <c r="B53" i="38"/>
  <c r="B83" i="38" s="1"/>
  <c r="V53" i="38"/>
  <c r="V83" i="38" s="1"/>
  <c r="AH53" i="38"/>
  <c r="AH83" i="38" s="1"/>
  <c r="AP53" i="38"/>
  <c r="AP83" i="38" s="1"/>
  <c r="AB53" i="38"/>
  <c r="AB83" i="38" s="1"/>
  <c r="L53" i="38"/>
  <c r="L83" i="38" s="1"/>
  <c r="Z53" i="38"/>
  <c r="Z83" i="38" s="1"/>
  <c r="X53" i="38"/>
  <c r="X83" i="38" s="1"/>
  <c r="D53" i="38"/>
  <c r="D83" i="38" s="1"/>
  <c r="AN53" i="38"/>
  <c r="AN83" i="38" s="1"/>
  <c r="AT53" i="38"/>
  <c r="AT83" i="38" s="1"/>
  <c r="AR53" i="38"/>
  <c r="AR83" i="38" s="1"/>
  <c r="AD53" i="38"/>
  <c r="AD83" i="38" s="1"/>
  <c r="H53" i="38"/>
  <c r="H83" i="38" s="1"/>
  <c r="F53" i="38"/>
  <c r="F83" i="38" s="1"/>
  <c r="J53" i="38"/>
  <c r="J83" i="38" s="1"/>
  <c r="N53" i="38"/>
  <c r="N83" i="38" s="1"/>
  <c r="P53" i="21"/>
  <c r="P83" i="21" s="1"/>
  <c r="AV53" i="21"/>
  <c r="AV83" i="21" s="1"/>
  <c r="T53" i="21"/>
  <c r="T83" i="21" s="1"/>
  <c r="AT53" i="21"/>
  <c r="AT83" i="21" s="1"/>
  <c r="AJ53" i="21"/>
  <c r="AJ83" i="21" s="1"/>
  <c r="N53" i="21"/>
  <c r="N83" i="21" s="1"/>
  <c r="D53" i="21"/>
  <c r="D83" i="21" s="1"/>
  <c r="AF53" i="21"/>
  <c r="AF83" i="21" s="1"/>
  <c r="AD53" i="21"/>
  <c r="AD83" i="21" s="1"/>
  <c r="Z53" i="21"/>
  <c r="Z83" i="21" s="1"/>
  <c r="L53" i="21"/>
  <c r="L83" i="21" s="1"/>
  <c r="V53" i="21"/>
  <c r="V83" i="21" s="1"/>
  <c r="F53" i="21"/>
  <c r="F83" i="21" s="1"/>
  <c r="AN53" i="21"/>
  <c r="AN83" i="21" s="1"/>
  <c r="AB53" i="21"/>
  <c r="AB83" i="21" s="1"/>
  <c r="B53" i="21"/>
  <c r="B83" i="21" s="1"/>
  <c r="AL53" i="21"/>
  <c r="AL83" i="21" s="1"/>
  <c r="AH53" i="21"/>
  <c r="AH83" i="21" s="1"/>
  <c r="R53" i="21"/>
  <c r="R83" i="21" s="1"/>
  <c r="H53" i="21"/>
  <c r="H83" i="21" s="1"/>
  <c r="X53" i="21"/>
  <c r="X83" i="21" s="1"/>
  <c r="AP53" i="21"/>
  <c r="AP83" i="21" s="1"/>
  <c r="AR53" i="21"/>
  <c r="AR83" i="21" s="1"/>
  <c r="J53" i="21"/>
  <c r="J83" i="21" s="1"/>
  <c r="AJ53" i="24"/>
  <c r="AJ83" i="24" s="1"/>
  <c r="AF53" i="24"/>
  <c r="AF83" i="24" s="1"/>
  <c r="Z53" i="24"/>
  <c r="Z83" i="24" s="1"/>
  <c r="AV53" i="24"/>
  <c r="AV83" i="24" s="1"/>
  <c r="V53" i="24"/>
  <c r="V83" i="24" s="1"/>
  <c r="AP53" i="24"/>
  <c r="AP83" i="24" s="1"/>
  <c r="T53" i="24"/>
  <c r="T83" i="24" s="1"/>
  <c r="P53" i="24"/>
  <c r="P83" i="24" s="1"/>
  <c r="J53" i="24"/>
  <c r="J83" i="24" s="1"/>
  <c r="L53" i="24"/>
  <c r="L83" i="24" s="1"/>
  <c r="AB53" i="24"/>
  <c r="AB83" i="24" s="1"/>
  <c r="R53" i="24"/>
  <c r="R83" i="24" s="1"/>
  <c r="D53" i="24"/>
  <c r="D83" i="24" s="1"/>
  <c r="AT53" i="24"/>
  <c r="AT83" i="24" s="1"/>
  <c r="AR53" i="24"/>
  <c r="AR83" i="24" s="1"/>
  <c r="AN53" i="24"/>
  <c r="AN83" i="24" s="1"/>
  <c r="F53" i="24"/>
  <c r="F83" i="24" s="1"/>
  <c r="X53" i="24"/>
  <c r="X83" i="24" s="1"/>
  <c r="AH53" i="24"/>
  <c r="AH83" i="24" s="1"/>
  <c r="AL53" i="24"/>
  <c r="AL83" i="24" s="1"/>
  <c r="B53" i="24"/>
  <c r="B83" i="24" s="1"/>
  <c r="N53" i="24"/>
  <c r="N83" i="24" s="1"/>
  <c r="H53" i="24"/>
  <c r="H83" i="24" s="1"/>
  <c r="AD53" i="24"/>
  <c r="AD83" i="24" s="1"/>
  <c r="P53" i="18"/>
  <c r="P83" i="18" s="1"/>
  <c r="AF53" i="18"/>
  <c r="AF83" i="18" s="1"/>
  <c r="AJ53" i="18"/>
  <c r="AJ83" i="18" s="1"/>
  <c r="AV53" i="18"/>
  <c r="AV83" i="18" s="1"/>
  <c r="F53" i="18"/>
  <c r="F83" i="18" s="1"/>
  <c r="N53" i="18"/>
  <c r="N83" i="18" s="1"/>
  <c r="L53" i="18"/>
  <c r="L83" i="18" s="1"/>
  <c r="H53" i="18"/>
  <c r="H83" i="18" s="1"/>
  <c r="AR53" i="18"/>
  <c r="AR83" i="18" s="1"/>
  <c r="AN53" i="18"/>
  <c r="AN83" i="18" s="1"/>
  <c r="AL53" i="18"/>
  <c r="AL83" i="18" s="1"/>
  <c r="AP53" i="18"/>
  <c r="AP83" i="18" s="1"/>
  <c r="AB53" i="18"/>
  <c r="AB83" i="18" s="1"/>
  <c r="T53" i="18"/>
  <c r="T83" i="18" s="1"/>
  <c r="R53" i="18"/>
  <c r="R83" i="18" s="1"/>
  <c r="D53" i="18"/>
  <c r="D83" i="18" s="1"/>
  <c r="AH53" i="18"/>
  <c r="AH83" i="18" s="1"/>
  <c r="Z53" i="18"/>
  <c r="Z83" i="18" s="1"/>
  <c r="AD53" i="18"/>
  <c r="AD83" i="18" s="1"/>
  <c r="AT53" i="18"/>
  <c r="AT83" i="18" s="1"/>
  <c r="V53" i="18"/>
  <c r="V83" i="18" s="1"/>
  <c r="X53" i="18"/>
  <c r="X83" i="18" s="1"/>
  <c r="B53" i="18"/>
  <c r="B83" i="18" s="1"/>
  <c r="J53" i="18"/>
  <c r="J83" i="18" s="1"/>
  <c r="AJ53" i="22"/>
  <c r="AJ83" i="22" s="1"/>
  <c r="AV53" i="22"/>
  <c r="AV83" i="22" s="1"/>
  <c r="T53" i="22"/>
  <c r="T83" i="22" s="1"/>
  <c r="J53" i="22"/>
  <c r="J83" i="22" s="1"/>
  <c r="AF53" i="22"/>
  <c r="AF83" i="22" s="1"/>
  <c r="D53" i="22"/>
  <c r="D83" i="22" s="1"/>
  <c r="Z53" i="22"/>
  <c r="Z83" i="22" s="1"/>
  <c r="AP53" i="22"/>
  <c r="AP83" i="22" s="1"/>
  <c r="P53" i="22"/>
  <c r="P83" i="22" s="1"/>
  <c r="F53" i="22"/>
  <c r="F83" i="22" s="1"/>
  <c r="AL53" i="22"/>
  <c r="AL83" i="22" s="1"/>
  <c r="AD53" i="22"/>
  <c r="AD83" i="22" s="1"/>
  <c r="AN53" i="22"/>
  <c r="AN83" i="22" s="1"/>
  <c r="H53" i="22"/>
  <c r="H83" i="22" s="1"/>
  <c r="L53" i="22"/>
  <c r="L83" i="22" s="1"/>
  <c r="R53" i="22"/>
  <c r="R83" i="22" s="1"/>
  <c r="B53" i="22"/>
  <c r="B83" i="22" s="1"/>
  <c r="AR53" i="22"/>
  <c r="AR83" i="22" s="1"/>
  <c r="AH53" i="22"/>
  <c r="AH83" i="22" s="1"/>
  <c r="AT53" i="22"/>
  <c r="AT83" i="22" s="1"/>
  <c r="X53" i="22"/>
  <c r="X83" i="22" s="1"/>
  <c r="V53" i="22"/>
  <c r="V83" i="22" s="1"/>
  <c r="N53" i="22"/>
  <c r="N83" i="22" s="1"/>
  <c r="AB53" i="22"/>
  <c r="AB83" i="22" s="1"/>
  <c r="AV53" i="12"/>
  <c r="AV83" i="12" s="1"/>
  <c r="AJ53" i="12"/>
  <c r="AJ83" i="12" s="1"/>
  <c r="T53" i="12"/>
  <c r="T83" i="12" s="1"/>
  <c r="P53" i="12"/>
  <c r="P83" i="12" s="1"/>
  <c r="D53" i="12"/>
  <c r="D83" i="12" s="1"/>
  <c r="AF53" i="12"/>
  <c r="AF83" i="12" s="1"/>
  <c r="F53" i="12"/>
  <c r="F83" i="12" s="1"/>
  <c r="B53" i="12"/>
  <c r="B83" i="12" s="1"/>
  <c r="R53" i="12"/>
  <c r="R83" i="12" s="1"/>
  <c r="AB53" i="12"/>
  <c r="AB83" i="12" s="1"/>
  <c r="H53" i="12"/>
  <c r="H83" i="12" s="1"/>
  <c r="AT53" i="12"/>
  <c r="AT83" i="12" s="1"/>
  <c r="AD53" i="12"/>
  <c r="AD83" i="12" s="1"/>
  <c r="AL53" i="12"/>
  <c r="AL83" i="12" s="1"/>
  <c r="AH53" i="12"/>
  <c r="AH83" i="12" s="1"/>
  <c r="X53" i="12"/>
  <c r="X83" i="12" s="1"/>
  <c r="L53" i="12"/>
  <c r="L83" i="12" s="1"/>
  <c r="AN53" i="12"/>
  <c r="AN83" i="12" s="1"/>
  <c r="J53" i="12"/>
  <c r="J83" i="12" s="1"/>
  <c r="V53" i="12"/>
  <c r="V83" i="12" s="1"/>
  <c r="AP53" i="12"/>
  <c r="AP83" i="12" s="1"/>
  <c r="N53" i="12"/>
  <c r="N83" i="12" s="1"/>
  <c r="AR53" i="12"/>
  <c r="AR83" i="12" s="1"/>
  <c r="Z53" i="12"/>
  <c r="Z83" i="12" s="1"/>
  <c r="AV53" i="11"/>
  <c r="AV83" i="11" s="1"/>
  <c r="D53" i="11"/>
  <c r="D83" i="11" s="1"/>
  <c r="AP53" i="11"/>
  <c r="AP83" i="11" s="1"/>
  <c r="AJ53" i="11"/>
  <c r="AJ83" i="11" s="1"/>
  <c r="Z53" i="11"/>
  <c r="Z83" i="11" s="1"/>
  <c r="AT53" i="11"/>
  <c r="AT83" i="11" s="1"/>
  <c r="P53" i="11"/>
  <c r="P83" i="11" s="1"/>
  <c r="T53" i="11"/>
  <c r="T83" i="11" s="1"/>
  <c r="AF53" i="11"/>
  <c r="AF83" i="11" s="1"/>
  <c r="J53" i="11"/>
  <c r="J83" i="11" s="1"/>
  <c r="AD53" i="11"/>
  <c r="AD83" i="11" s="1"/>
  <c r="H53" i="11"/>
  <c r="H83" i="11" s="1"/>
  <c r="R53" i="11"/>
  <c r="R83" i="11" s="1"/>
  <c r="N53" i="11"/>
  <c r="N83" i="11" s="1"/>
  <c r="X53" i="11"/>
  <c r="X83" i="11" s="1"/>
  <c r="B53" i="11"/>
  <c r="B83" i="11" s="1"/>
  <c r="L53" i="11"/>
  <c r="L83" i="11" s="1"/>
  <c r="AH53" i="11"/>
  <c r="AH83" i="11" s="1"/>
  <c r="AB53" i="11"/>
  <c r="AB83" i="11" s="1"/>
  <c r="V53" i="11"/>
  <c r="V83" i="11" s="1"/>
  <c r="AL53" i="11"/>
  <c r="AL83" i="11" s="1"/>
  <c r="F53" i="11"/>
  <c r="F83" i="11" s="1"/>
  <c r="AN53" i="11"/>
  <c r="AN83" i="11" s="1"/>
  <c r="AR53" i="11"/>
  <c r="AR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<sst xmlns="http://schemas.openxmlformats.org/spreadsheetml/2006/main" count="1133" uniqueCount="199">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</sst>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0.99524971926380668</c:v>
                </c:pt>
                <c:pt idx="2">
                  <c:v>0.99022176356011471</c:v>
                </c:pt>
                <c:pt idx="3">
                  <c:v>0.98488146215198646</c:v>
                </c:pt>
                <c:pt idx="4">
                  <c:v>0.97918743201020997</c:v>
                </c:pt>
                <c:pt idx="5">
                  <c:v>0.97308981323910526</c:v>
                </c:pt>
                <c:pt idx="6">
                  <c:v>0.96652778434678599</c:v>
                </c:pt>
                <c:pt idx="7">
                  <c:v>0.95942607436847283</c:v>
                </c:pt>
                <c:pt idx="8">
                  <c:v>0.9516900363256775</c:v>
                </c:pt>
                <c:pt idx="9">
                  <c:v>0.94319831521355812</c:v>
                </c:pt>
                <c:pt idx="10">
                  <c:v>0.93379179789809041</c:v>
                </c:pt>
                <c:pt idx="11">
                  <c:v>0.9232560875181447</c:v>
                </c:pt>
                <c:pt idx="12">
                  <c:v>0.91129239280442631</c:v>
                </c:pt>
                <c:pt idx="13">
                  <c:v>0.89746689008893432</c:v>
                </c:pt>
                <c:pt idx="14">
                  <c:v>0.8811157532223346</c:v>
                </c:pt>
                <c:pt idx="15">
                  <c:v>0.86115197006480271</c:v>
                </c:pt>
                <c:pt idx="16">
                  <c:v>0.83563014956050363</c:v>
                </c:pt>
                <c:pt idx="17">
                  <c:v>0.80062674515837196</c:v>
                </c:pt>
                <c:pt idx="18">
                  <c:v>0.74679341304192881</c:v>
                </c:pt>
                <c:pt idx="19">
                  <c:v>0.64415709552961908</c:v>
                </c:pt>
                <c:pt idx="20">
                  <c:v>0.60917515428444147</c:v>
                </c:pt>
                <c:pt idx="21">
                  <c:v>0.56327812913658903</c:v>
                </c:pt>
                <c:pt idx="22">
                  <c:v>0.49790165615541859</c:v>
                </c:pt>
                <c:pt idx="23">
                  <c:v>0.38799637862421721</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0.9985280771584587</c:v>
                </c:pt>
                <c:pt idx="2">
                  <c:v>0.99678463547503082</c:v>
                </c:pt>
                <c:pt idx="3">
                  <c:v>0.99473578571044585</c:v>
                </c:pt>
                <c:pt idx="4">
                  <c:v>0.99234107987103914</c:v>
                </c:pt>
                <c:pt idx="5">
                  <c:v>0.98955171397195596</c:v>
                </c:pt>
                <c:pt idx="6">
                  <c:v>0.98630812460883499</c:v>
                </c:pt>
                <c:pt idx="7">
                  <c:v>0.98253651995375801</c:v>
                </c:pt>
                <c:pt idx="8">
                  <c:v>0.97814412115678584</c:v>
                </c:pt>
                <c:pt idx="9">
                  <c:v>0.97301201495539302</c:v>
                </c:pt>
                <c:pt idx="10">
                  <c:v>0.96698439429945349</c:v>
                </c:pt>
                <c:pt idx="11">
                  <c:v>0.95985189392553305</c:v>
                </c:pt>
                <c:pt idx="12">
                  <c:v>0.9513229057803837</c:v>
                </c:pt>
                <c:pt idx="13">
                  <c:v>0.94097640619690759</c:v>
                </c:pt>
                <c:pt idx="14">
                  <c:v>0.9281704239389551</c:v>
                </c:pt>
                <c:pt idx="15">
                  <c:v>0.91185894208210827</c:v>
                </c:pt>
                <c:pt idx="16">
                  <c:v>0.89017535055036556</c:v>
                </c:pt>
                <c:pt idx="17">
                  <c:v>0.8593420957661615</c:v>
                </c:pt>
                <c:pt idx="18">
                  <c:v>0.81017476421075962</c:v>
                </c:pt>
                <c:pt idx="19">
                  <c:v>0.71173154653269655</c:v>
                </c:pt>
                <c:pt idx="20">
                  <c:v>0.6768941067813008</c:v>
                </c:pt>
                <c:pt idx="21">
                  <c:v>0.81017476421075962</c:v>
                </c:pt>
                <c:pt idx="22">
                  <c:v>0.71173154653269655</c:v>
                </c:pt>
                <c:pt idx="23">
                  <c:v>0.44420810459162086</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0.99853520414348329</c:v>
                </c:pt>
                <c:pt idx="2">
                  <c:v>0.99679900553654277</c:v>
                </c:pt>
                <c:pt idx="3">
                  <c:v>0.99475754866618604</c:v>
                </c:pt>
                <c:pt idx="4">
                  <c:v>0.99237041860692343</c:v>
                </c:pt>
                <c:pt idx="5">
                  <c:v>0.98958887165487164</c:v>
                </c:pt>
                <c:pt idx="6">
                  <c:v>0.9863533570741515</c:v>
                </c:pt>
                <c:pt idx="7">
                  <c:v>0.98259015042132314</c:v>
                </c:pt>
                <c:pt idx="8">
                  <c:v>0.97820650616152349</c:v>
                </c:pt>
                <c:pt idx="9">
                  <c:v>0.97308351718849651</c:v>
                </c:pt>
                <c:pt idx="10">
                  <c:v>0.96706538134101683</c:v>
                </c:pt>
                <c:pt idx="11">
                  <c:v>0.95994241003334058</c:v>
                </c:pt>
                <c:pt idx="12">
                  <c:v>0.95142310813916009</c:v>
                </c:pt>
                <c:pt idx="13">
                  <c:v>0.9410855134246624</c:v>
                </c:pt>
                <c:pt idx="14">
                  <c:v>0.9282865521861775</c:v>
                </c:pt>
                <c:pt idx="15">
                  <c:v>0.91197780070108081</c:v>
                </c:pt>
                <c:pt idx="16">
                  <c:v>0.89028815504404357</c:v>
                </c:pt>
                <c:pt idx="17">
                  <c:v>0.85943257892062341</c:v>
                </c:pt>
                <c:pt idx="18">
                  <c:v>0.81022165203502483</c:v>
                </c:pt>
                <c:pt idx="19">
                  <c:v>0.71173774576219528</c:v>
                </c:pt>
                <c:pt idx="20">
                  <c:v>0.67689681806677859</c:v>
                </c:pt>
                <c:pt idx="21">
                  <c:v>0.63029710614583145</c:v>
                </c:pt>
                <c:pt idx="22">
                  <c:v>0.56232182027382049</c:v>
                </c:pt>
                <c:pt idx="23">
                  <c:v>0.44420811034680352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0.99114934332042826</c:v>
                </c:pt>
                <c:pt idx="2">
                  <c:v>0.98166614459058887</c:v>
                </c:pt>
                <c:pt idx="3">
                  <c:v>0.97146258590138856</c:v>
                </c:pt>
                <c:pt idx="4">
                  <c:v>0.96043246741692112</c:v>
                </c:pt>
                <c:pt idx="5">
                  <c:v>0.94844609452914197</c:v>
                </c:pt>
                <c:pt idx="6">
                  <c:v>0.93534288640881957</c:v>
                </c:pt>
                <c:pt idx="7">
                  <c:v>0.92092141547988471</c:v>
                </c:pt>
                <c:pt idx="8">
                  <c:v>0.90492493004255348</c:v>
                </c:pt>
                <c:pt idx="9">
                  <c:v>0.88702030125232556</c:v>
                </c:pt>
                <c:pt idx="10">
                  <c:v>0.86676635465258844</c:v>
                </c:pt>
                <c:pt idx="11">
                  <c:v>0.8435649856287798</c:v>
                </c:pt>
                <c:pt idx="12">
                  <c:v>0.81658326158989336</c:v>
                </c:pt>
                <c:pt idx="13">
                  <c:v>0.78462436299384619</c:v>
                </c:pt>
                <c:pt idx="14">
                  <c:v>0.745906238242249</c:v>
                </c:pt>
                <c:pt idx="15">
                  <c:v>0.69766660412182113</c:v>
                </c:pt>
                <c:pt idx="16">
                  <c:v>0.63543558279791368</c:v>
                </c:pt>
                <c:pt idx="17">
                  <c:v>0.55168620671551427</c:v>
                </c:pt>
                <c:pt idx="18">
                  <c:v>0.43348621898851247</c:v>
                </c:pt>
                <c:pt idx="19">
                  <c:v>0.25946963882461987</c:v>
                </c:pt>
                <c:pt idx="20">
                  <c:v>0.21542713133580568</c:v>
                </c:pt>
                <c:pt idx="21">
                  <c:v>0.16770148114360714</c:v>
                </c:pt>
                <c:pt idx="22">
                  <c:v>0.11604095383281747</c:v>
                </c:pt>
                <c:pt idx="23">
                  <c:v>6.0210534874297054E-2</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1.0071990750628019</c:v>
                </c:pt>
                <c:pt idx="2">
                  <c:v>1.014056227151845</c:v>
                </c:pt>
                <c:pt idx="3">
                  <c:v>1.0205438177033006</c:v>
                </c:pt>
                <c:pt idx="4">
                  <c:v>1.0266275762977095</c:v>
                </c:pt>
                <c:pt idx="5">
                  <c:v>1.0322650012512375</c:v>
                </c:pt>
                <c:pt idx="6">
                  <c:v>1.0374029185556666</c:v>
                </c:pt>
                <c:pt idx="7">
                  <c:v>1.0419746288267444</c:v>
                </c:pt>
                <c:pt idx="8">
                  <c:v>1.0458953595134663</c:v>
                </c:pt>
                <c:pt idx="9">
                  <c:v>1.0490559186480131</c:v>
                </c:pt>
                <c:pt idx="10">
                  <c:v>1.0513130861024953</c:v>
                </c:pt>
                <c:pt idx="11">
                  <c:v>1.0524746549696293</c:v>
                </c:pt>
                <c:pt idx="12">
                  <c:v>1.0522749490192704</c:v>
                </c:pt>
                <c:pt idx="13">
                  <c:v>1.0503322601806966</c:v>
                </c:pt>
                <c:pt idx="14">
                  <c:v>1.0460687076926145</c:v>
                </c:pt>
                <c:pt idx="15">
                  <c:v>1.038542367214516</c:v>
                </c:pt>
                <c:pt idx="16">
                  <c:v>1.0260429935516415</c:v>
                </c:pt>
                <c:pt idx="17">
                  <c:v>1.0049317343846509</c:v>
                </c:pt>
                <c:pt idx="18">
                  <c:v>0.96555281572865037</c:v>
                </c:pt>
                <c:pt idx="19">
                  <c:v>0.87210750858219288</c:v>
                </c:pt>
                <c:pt idx="20">
                  <c:v>0.83566966696905809</c:v>
                </c:pt>
                <c:pt idx="21">
                  <c:v>0.78481755620706228</c:v>
                </c:pt>
                <c:pt idx="22">
                  <c:v>0.11604095383281747</c:v>
                </c:pt>
                <c:pt idx="23">
                  <c:v>6.0210534874297054E-2</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0.98296768724560157</c:v>
                </c:pt>
                <c:pt idx="2">
                  <c:v>0.96435954420644387</c:v>
                </c:pt>
                <c:pt idx="3">
                  <c:v>0.94398795743820529</c:v>
                </c:pt>
                <c:pt idx="4">
                  <c:v>0.9216356596886095</c:v>
                </c:pt>
                <c:pt idx="5">
                  <c:v>0.89705092662532016</c:v>
                </c:pt>
                <c:pt idx="6">
                  <c:v>0.86994277402223574</c:v>
                </c:pt>
                <c:pt idx="7">
                  <c:v>0.83997758604845374</c:v>
                </c:pt>
                <c:pt idx="8">
                  <c:v>0.80677952907477202</c:v>
                </c:pt>
                <c:pt idx="9">
                  <c:v>0.76994055992035648</c:v>
                </c:pt>
                <c:pt idx="10">
                  <c:v>0.72905703431628033</c:v>
                </c:pt>
                <c:pt idx="11">
                  <c:v>0.68383291617879549</c:v>
                </c:pt>
                <c:pt idx="12">
                  <c:v>0.6343866547970427</c:v>
                </c:pt>
                <c:pt idx="13">
                  <c:v>0.58234275676208103</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0.98906693046785021</c:v>
                </c:pt>
                <c:pt idx="2">
                  <c:v>0.97721824238842314</c:v>
                </c:pt>
                <c:pt idx="3">
                  <c:v>0.96431150768065177</c:v>
                </c:pt>
                <c:pt idx="4">
                  <c:v>0.95017307241085558</c:v>
                </c:pt>
                <c:pt idx="5">
                  <c:v>0.93458994791108685</c:v>
                </c:pt>
                <c:pt idx="6">
                  <c:v>0.91729780555077012</c:v>
                </c:pt>
                <c:pt idx="7">
                  <c:v>0.89796677526049307</c:v>
                </c:pt>
                <c:pt idx="8">
                  <c:v>0.87618214380107051</c:v>
                </c:pt>
                <c:pt idx="9">
                  <c:v>0.85142080834275002</c:v>
                </c:pt>
                <c:pt idx="10">
                  <c:v>0.82302390789892799</c:v>
                </c:pt>
                <c:pt idx="11">
                  <c:v>0.7901729587319466</c:v>
                </c:pt>
                <c:pt idx="12">
                  <c:v>0.7518870190657444</c:v>
                </c:pt>
                <c:pt idx="13">
                  <c:v>0.7070896287021613</c:v>
                </c:pt>
                <c:pt idx="14">
                  <c:v>0.65484484329438264</c:v>
                </c:pt>
                <c:pt idx="15">
                  <c:v>0.59488964812411593</c:v>
                </c:pt>
                <c:pt idx="16">
                  <c:v>0.52833449452391534</c:v>
                </c:pt>
                <c:pt idx="17">
                  <c:v>0.45744025150765083</c:v>
                </c:pt>
                <c:pt idx="18">
                  <c:v>0.38248784210091791</c:v>
                </c:pt>
                <c:pt idx="19">
                  <c:v>0.29249469737721107</c:v>
                </c:pt>
                <c:pt idx="20">
                  <c:v>0.2688664653420455</c:v>
                </c:pt>
                <c:pt idx="21">
                  <c:v>0.24071569627050157</c:v>
                </c:pt>
                <c:pt idx="22">
                  <c:v>0.20458729900365438</c:v>
                </c:pt>
                <c:pt idx="23">
                  <c:v>0.15125036338528894</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0.99114934332042826</c:v>
                </c:pt>
                <c:pt idx="2">
                  <c:v>0.98166614459058887</c:v>
                </c:pt>
                <c:pt idx="3">
                  <c:v>0.97146258590138856</c:v>
                </c:pt>
                <c:pt idx="4">
                  <c:v>0.96043246741692112</c:v>
                </c:pt>
                <c:pt idx="5">
                  <c:v>0.94844609452914197</c:v>
                </c:pt>
                <c:pt idx="6">
                  <c:v>0.93534288640881957</c:v>
                </c:pt>
                <c:pt idx="7">
                  <c:v>0.92092141547988471</c:v>
                </c:pt>
                <c:pt idx="8">
                  <c:v>0.90492493004255348</c:v>
                </c:pt>
                <c:pt idx="9">
                  <c:v>0.88702030125232556</c:v>
                </c:pt>
                <c:pt idx="10">
                  <c:v>0.86676635465258844</c:v>
                </c:pt>
                <c:pt idx="11">
                  <c:v>0.8435649856287798</c:v>
                </c:pt>
                <c:pt idx="12">
                  <c:v>0.81658326158989336</c:v>
                </c:pt>
                <c:pt idx="13">
                  <c:v>0.78462436299384619</c:v>
                </c:pt>
                <c:pt idx="14">
                  <c:v>0.745906238242249</c:v>
                </c:pt>
                <c:pt idx="15">
                  <c:v>0.69766660412182113</c:v>
                </c:pt>
                <c:pt idx="16">
                  <c:v>0.63543558279791368</c:v>
                </c:pt>
                <c:pt idx="17">
                  <c:v>0.55168620671551427</c:v>
                </c:pt>
                <c:pt idx="18">
                  <c:v>0.43348621898851247</c:v>
                </c:pt>
                <c:pt idx="19">
                  <c:v>0.25946963882461987</c:v>
                </c:pt>
                <c:pt idx="20">
                  <c:v>0.21542713133580568</c:v>
                </c:pt>
                <c:pt idx="21">
                  <c:v>0.16770148114360714</c:v>
                </c:pt>
                <c:pt idx="22">
                  <c:v>0.11604095383281747</c:v>
                </c:pt>
                <c:pt idx="23">
                  <c:v>6.0210534874297054E-2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0.56058995943838641</c:v>
                </c:pt>
                <c:pt idx="1">
                  <c:v>0.56600356220906345</c:v>
                </c:pt>
                <c:pt idx="2">
                  <c:v>0.56480103959572847</c:v>
                </c:pt>
                <c:pt idx="3">
                  <c:v>0.5635924643595468</c:v>
                </c:pt>
                <c:pt idx="4">
                  <c:v>0.56237724905959174</c:v>
                </c:pt>
                <c:pt idx="5">
                  <c:v>0.56115472134410926</c:v>
                </c:pt>
                <c:pt idx="6">
                  <c:v>0.55992416857217076</c:v>
                </c:pt>
                <c:pt idx="7">
                  <c:v>0.55868481073266985</c:v>
                </c:pt>
                <c:pt idx="8">
                  <c:v>0.55743584713661343</c:v>
                </c:pt>
                <c:pt idx="9">
                  <c:v>0.55617654753870227</c:v>
                </c:pt>
                <c:pt idx="10">
                  <c:v>0.55490639836612954</c:v>
                </c:pt>
                <c:pt idx="11">
                  <c:v>0.55362543380089757</c:v>
                </c:pt>
                <c:pt idx="12">
                  <c:v>0.55233484375065589</c:v>
                </c:pt>
                <c:pt idx="13">
                  <c:v>0.55103824827604986</c:v>
                </c:pt>
                <c:pt idx="14">
                  <c:v>0.54974424299794022</c:v>
                </c:pt>
                <c:pt idx="15">
                  <c:v>0.54847177180848472</c:v>
                </c:pt>
                <c:pt idx="16">
                  <c:v>0.54726135271005782</c:v>
                </c:pt>
                <c:pt idx="17">
                  <c:v>0.54619695838143267</c:v>
                </c:pt>
                <c:pt idx="18">
                  <c:v>0.54543120157210989</c:v>
                </c:pt>
                <c:pt idx="19">
                  <c:v>0.54511284691077988</c:v>
                </c:pt>
                <c:pt idx="20">
                  <c:v>0.54509634455195444</c:v>
                </c:pt>
                <c:pt idx="21">
                  <c:v>0.54508857411732081</c:v>
                </c:pt>
                <c:pt idx="22">
                  <c:v>0.54508590546961844</c:v>
                </c:pt>
                <c:pt idx="23">
                  <c:v>0.5450854064520535</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0.56058995943838641</c:v>
                </c:pt>
                <c:pt idx="1">
                  <c:v>0.56349324840179205</c:v>
                </c:pt>
                <c:pt idx="2">
                  <c:v>0.55972879651101692</c:v>
                </c:pt>
                <c:pt idx="3">
                  <c:v>0.55590004427463158</c:v>
                </c:pt>
                <c:pt idx="4">
                  <c:v>0.55199843647927138</c:v>
                </c:pt>
                <c:pt idx="5">
                  <c:v>0.54801368611232915</c:v>
                </c:pt>
                <c:pt idx="6">
                  <c:v>0.54393297929872542</c:v>
                </c:pt>
                <c:pt idx="7">
                  <c:v>0.53974042407545941</c:v>
                </c:pt>
                <c:pt idx="8">
                  <c:v>0.53541557125365136</c:v>
                </c:pt>
                <c:pt idx="9">
                  <c:v>0.53093159538004642</c:v>
                </c:pt>
                <c:pt idx="10">
                  <c:v>0.52625217363641097</c:v>
                </c:pt>
                <c:pt idx="11">
                  <c:v>0.52132638230848105</c:v>
                </c:pt>
                <c:pt idx="12">
                  <c:v>0.51607889377699689</c:v>
                </c:pt>
                <c:pt idx="13">
                  <c:v>0.51039334919531321</c:v>
                </c:pt>
                <c:pt idx="14">
                  <c:v>0.50407592927997091</c:v>
                </c:pt>
                <c:pt idx="15">
                  <c:v>0.49677724305072474</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0.56058995943838641</c:v>
                </c:pt>
                <c:pt idx="1">
                  <c:v>0.56600144685748954</c:v>
                </c:pt>
                <c:pt idx="2">
                  <c:v>0.56479645567366277</c:v>
                </c:pt>
                <c:pt idx="3">
                  <c:v>0.56358501081887524</c:v>
                </c:pt>
                <c:pt idx="4">
                  <c:v>0.56236647276045992</c:v>
                </c:pt>
                <c:pt idx="5">
                  <c:v>0.56114010959501581</c:v>
                </c:pt>
                <c:pt idx="6">
                  <c:v>0.55990514298399563</c:v>
                </c:pt>
                <c:pt idx="7">
                  <c:v>0.55866072264405475</c:v>
                </c:pt>
                <c:pt idx="8">
                  <c:v>0.55740597560522931</c:v>
                </c:pt>
                <c:pt idx="9">
                  <c:v>0.55614010797540259</c:v>
                </c:pt>
                <c:pt idx="10">
                  <c:v>0.55486256818503443</c:v>
                </c:pt>
                <c:pt idx="11">
                  <c:v>0.5535734031667513</c:v>
                </c:pt>
                <c:pt idx="12">
                  <c:v>0.55227394765692672</c:v>
                </c:pt>
                <c:pt idx="13">
                  <c:v>0.55096821580059174</c:v>
                </c:pt>
                <c:pt idx="14">
                  <c:v>0.54966570517948643</c:v>
                </c:pt>
                <c:pt idx="15">
                  <c:v>0.54838727305781376</c:v>
                </c:pt>
                <c:pt idx="16">
                  <c:v>0.54717726662617061</c:v>
                </c:pt>
                <c:pt idx="17">
                  <c:v>0.54612627583812434</c:v>
                </c:pt>
                <c:pt idx="18">
                  <c:v>0.54539239495110581</c:v>
                </c:pt>
                <c:pt idx="19">
                  <c:v>0.54510702026701752</c:v>
                </c:pt>
                <c:pt idx="20">
                  <c:v>0.54509365852079983</c:v>
                </c:pt>
                <c:pt idx="21">
                  <c:v>0.5450876572043688</c:v>
                </c:pt>
                <c:pt idx="22">
                  <c:v>0.54508572500330588</c:v>
                </c:pt>
                <c:pt idx="23">
                  <c:v>0.54508539736022155</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0.56058995943838641</c:v>
                </c:pt>
                <c:pt idx="1">
                  <c:v>0.566731673669291</c:v>
                </c:pt>
                <c:pt idx="2">
                  <c:v>0.5662525193484037</c:v>
                </c:pt>
                <c:pt idx="3">
                  <c:v>0.56576071868475986</c:v>
                </c:pt>
                <c:pt idx="4">
                  <c:v>0.56525333951088241</c:v>
                </c:pt>
                <c:pt idx="5">
                  <c:v>0.56472667420232681</c:v>
                </c:pt>
                <c:pt idx="6">
                  <c:v>0.56417602129385147</c:v>
                </c:pt>
                <c:pt idx="7">
                  <c:v>0.56359532543502799</c:v>
                </c:pt>
                <c:pt idx="8">
                  <c:v>0.5629766992634434</c:v>
                </c:pt>
                <c:pt idx="9">
                  <c:v>0.56230971314471512</c:v>
                </c:pt>
                <c:pt idx="10">
                  <c:v>0.56158035550094909</c:v>
                </c:pt>
                <c:pt idx="11">
                  <c:v>0.56076944648117655</c:v>
                </c:pt>
                <c:pt idx="12">
                  <c:v>0.55985015852087672</c:v>
                </c:pt>
                <c:pt idx="13">
                  <c:v>0.55878410135739098</c:v>
                </c:pt>
                <c:pt idx="14">
                  <c:v>0.55751489677062527</c:v>
                </c:pt>
                <c:pt idx="15">
                  <c:v>0.5559575749820258</c:v>
                </c:pt>
                <c:pt idx="16">
                  <c:v>0.55398128159548965</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0.56058995943838641</c:v>
                </c:pt>
                <c:pt idx="1">
                  <c:v>0.57555092599515612</c:v>
                </c:pt>
                <c:pt idx="2">
                  <c:v>0.58394482121265412</c:v>
                </c:pt>
                <c:pt idx="3">
                  <c:v>0.59239987311158859</c:v>
                </c:pt>
                <c:pt idx="4">
                  <c:v>0.60093637047445803</c:v>
                </c:pt>
                <c:pt idx="5">
                  <c:v>0.60957824590404608</c:v>
                </c:pt>
                <c:pt idx="6">
                  <c:v>0.61835458108918828</c:v>
                </c:pt>
                <c:pt idx="7">
                  <c:v>0.62730156056031006</c:v>
                </c:pt>
                <c:pt idx="8">
                  <c:v>0.63646573029721243</c:v>
                </c:pt>
                <c:pt idx="9">
                  <c:v>0.64590884488059996</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0.56058995943838641</c:v>
                </c:pt>
                <c:pt idx="1">
                  <c:v>0.57283032093795294</c:v>
                </c:pt>
                <c:pt idx="2">
                  <c:v>0.57848768459157518</c:v>
                </c:pt>
                <c:pt idx="3">
                  <c:v>0.58416928110960853</c:v>
                </c:pt>
                <c:pt idx="4">
                  <c:v>0.58987005272362403</c:v>
                </c:pt>
                <c:pt idx="5">
                  <c:v>0.59558253635845892</c:v>
                </c:pt>
                <c:pt idx="6">
                  <c:v>0.60129568128928068</c:v>
                </c:pt>
                <c:pt idx="7">
                  <c:v>0.60699336563185413</c:v>
                </c:pt>
                <c:pt idx="8">
                  <c:v>0.61265199386791358</c:v>
                </c:pt>
                <c:pt idx="9">
                  <c:v>0.6182356011570499</c:v>
                </c:pt>
                <c:pt idx="10">
                  <c:v>0.62368904401476999</c:v>
                </c:pt>
                <c:pt idx="11">
                  <c:v>0.62892153907570292</c:v>
                </c:pt>
                <c:pt idx="12">
                  <c:v>0.63376424304061829</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0.56058995943838641</c:v>
                </c:pt>
                <c:pt idx="1">
                  <c:v>0.566731673669291</c:v>
                </c:pt>
                <c:pt idx="2">
                  <c:v>0.5662525193484037</c:v>
                </c:pt>
                <c:pt idx="3">
                  <c:v>0.56576071868475986</c:v>
                </c:pt>
                <c:pt idx="4">
                  <c:v>0.56525333951088241</c:v>
                </c:pt>
                <c:pt idx="5">
                  <c:v>0.56472667420232681</c:v>
                </c:pt>
                <c:pt idx="6">
                  <c:v>0.56417602129385147</c:v>
                </c:pt>
                <c:pt idx="7">
                  <c:v>0.56359532543502799</c:v>
                </c:pt>
                <c:pt idx="8">
                  <c:v>0.5629766992634434</c:v>
                </c:pt>
                <c:pt idx="9">
                  <c:v>0.56230971314471512</c:v>
                </c:pt>
                <c:pt idx="10">
                  <c:v>0.56158035550094909</c:v>
                </c:pt>
                <c:pt idx="11">
                  <c:v>0.56076944648117655</c:v>
                </c:pt>
                <c:pt idx="12">
                  <c:v>0.55985015852087672</c:v>
                </c:pt>
                <c:pt idx="13">
                  <c:v>0.55878410135739098</c:v>
                </c:pt>
                <c:pt idx="14">
                  <c:v>0.55751489677062527</c:v>
                </c:pt>
                <c:pt idx="15">
                  <c:v>0.5559575749820258</c:v>
                </c:pt>
                <c:pt idx="16">
                  <c:v>0.55398128159548965</c:v>
                </c:pt>
                <c:pt idx="17">
                  <c:v>0.55138351555293574</c:v>
                </c:pt>
                <c:pt idx="18">
                  <c:v>0.54786462825619586</c:v>
                </c:pt>
                <c:pt idx="19">
                  <c:v>0.54305639890662105</c:v>
                </c:pt>
                <c:pt idx="20">
                  <c:v>0.54191347801569967</c:v>
                </c:pt>
                <c:pt idx="21">
                  <c:v>0.54070845352153596</c:v>
                </c:pt>
                <c:pt idx="22">
                  <c:v>0.53944260025216262</c:v>
                </c:pt>
                <c:pt idx="23">
                  <c:v>0.53811842010909872</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0.56058995943838641</c:v>
                </c:pt>
                <c:pt idx="1">
                  <c:v>0.56741363341696727</c:v>
                </c:pt>
                <c:pt idx="2">
                  <c:v>0.56765738481923655</c:v>
                </c:pt>
                <c:pt idx="3">
                  <c:v>0.56793532672313651</c:v>
                </c:pt>
                <c:pt idx="4">
                  <c:v>0.56825154640017084</c:v>
                </c:pt>
                <c:pt idx="5">
                  <c:v>0.56861074645547927</c:v>
                </c:pt>
                <c:pt idx="6">
                  <c:v>0.56901840299204809</c:v>
                </c:pt>
                <c:pt idx="7">
                  <c:v>0.56948082801524924</c:v>
                </c:pt>
                <c:pt idx="8">
                  <c:v>0.57000523891139643</c:v>
                </c:pt>
                <c:pt idx="9">
                  <c:v>0.5705996821636905</c:v>
                </c:pt>
                <c:pt idx="10">
                  <c:v>0.57127261041507371</c:v>
                </c:pt>
                <c:pt idx="11">
                  <c:v>0.57203153649692973</c:v>
                </c:pt>
                <c:pt idx="12">
                  <c:v>0.57287958485470314</c:v>
                </c:pt>
                <c:pt idx="13">
                  <c:v>0.57380694247783615</c:v>
                </c:pt>
                <c:pt idx="14">
                  <c:v>0.5747707372568821</c:v>
                </c:pt>
                <c:pt idx="15">
                  <c:v>0.57565137213807116</c:v>
                </c:pt>
                <c:pt idx="16">
                  <c:v>0.57616953651259561</c:v>
                </c:pt>
                <c:pt idx="17">
                  <c:v>0.57573319581967175</c:v>
                </c:pt>
                <c:pt idx="18">
                  <c:v>0.57292481722439204</c:v>
                </c:pt>
                <c:pt idx="19">
                  <c:v>0.56195062723169764</c:v>
                </c:pt>
                <c:pt idx="20">
                  <c:v>0.55663369874202995</c:v>
                </c:pt>
                <c:pt idx="21">
                  <c:v>0.54841553253954878</c:v>
                </c:pt>
                <c:pt idx="22">
                  <c:v>0.53414833677947537</c:v>
                </c:pt>
                <c:pt idx="23">
                  <c:v>0.50255884281360275</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3.7576820028211555E-2</c:v>
                </c:pt>
                <c:pt idx="2">
                  <c:v>7.2284235048009002E-2</c:v>
                </c:pt>
                <c:pt idx="3">
                  <c:v>0.11035372982225634</c:v>
                </c:pt>
                <c:pt idx="4">
                  <c:v>0.15235346398539271</c:v>
                </c:pt>
                <c:pt idx="5">
                  <c:v>0.19899557910564947</c:v>
                </c:pt>
                <c:pt idx="6">
                  <c:v>0.25118753840254604</c:v>
                </c:pt>
                <c:pt idx="7">
                  <c:v>0.31010659374382593</c:v>
                </c:pt>
                <c:pt idx="8">
                  <c:v>0.37731349340135223</c:v>
                </c:pt>
                <c:pt idx="9">
                  <c:v>0.4549303796749497</c:v>
                </c:pt>
                <c:pt idx="10">
                  <c:v>0.54593158404332864</c:v>
                </c:pt>
                <c:pt idx="11">
                  <c:v>0.65463853479254419</c:v>
                </c:pt>
                <c:pt idx="12">
                  <c:v>0.78762101959212716</c:v>
                </c:pt>
                <c:pt idx="13">
                  <c:v>0.95543708971435626</c:v>
                </c:pt>
                <c:pt idx="14">
                  <c:v>1.1763161430035167</c:v>
                </c:pt>
                <c:pt idx="15">
                  <c:v>1.4848270250202305</c:v>
                </c:pt>
                <c:pt idx="16">
                  <c:v>1.9554430202091309</c:v>
                </c:pt>
                <c:pt idx="17">
                  <c:v>2.7803675186190659</c:v>
                </c:pt>
                <c:pt idx="18">
                  <c:v>4.6132451739592728</c:v>
                </c:pt>
                <c:pt idx="19">
                  <c:v>11.212858085766589</c:v>
                </c:pt>
                <c:pt idx="20">
                  <c:v>14.911573707024603</c:v>
                </c:pt>
                <c:pt idx="21">
                  <c:v>21.471228963068341</c:v>
                </c:pt>
                <c:pt idx="22">
                  <c:v>35.68077870440527</c:v>
                </c:pt>
                <c:pt idx="23">
                  <c:v>83.783272510098044</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3.9178962040226868E-2</c:v>
                </c:pt>
                <c:pt idx="2">
                  <c:v>7.5623310148561732E-2</c:v>
                </c:pt>
                <c:pt idx="3">
                  <c:v>0.11558593774654918</c:v>
                </c:pt>
                <c:pt idx="4">
                  <c:v>0.15966173161586275</c:v>
                </c:pt>
                <c:pt idx="5">
                  <c:v>0.20859777604631807</c:v>
                </c:pt>
                <c:pt idx="6">
                  <c:v>0.26334429822031941</c:v>
                </c:pt>
                <c:pt idx="7">
                  <c:v>0.32513750741198399</c:v>
                </c:pt>
                <c:pt idx="8">
                  <c:v>0.39561632004204195</c:v>
                </c:pt>
                <c:pt idx="9">
                  <c:v>0.47701255864731446</c:v>
                </c:pt>
                <c:pt idx="10">
                  <c:v>0.57245961353517694</c:v>
                </c:pt>
                <c:pt idx="11">
                  <c:v>0.68652229529535957</c:v>
                </c:pt>
                <c:pt idx="12">
                  <c:v>0.82615465184922765</c:v>
                </c:pt>
                <c:pt idx="13">
                  <c:v>1.002591737246886</c:v>
                </c:pt>
                <c:pt idx="14">
                  <c:v>1.2353282506858458</c:v>
                </c:pt>
                <c:pt idx="15">
                  <c:v>1.5616126002375041</c:v>
                </c:pt>
                <c:pt idx="16">
                  <c:v>2.0624826799273079</c:v>
                </c:pt>
                <c:pt idx="17">
                  <c:v>2.9498560485885843</c:v>
                </c:pt>
                <c:pt idx="18">
                  <c:v>4.9568309495008442</c:v>
                </c:pt>
                <c:pt idx="19">
                  <c:v>12.40636493838055</c:v>
                </c:pt>
                <c:pt idx="20">
                  <c:v>16.675270850586877</c:v>
                </c:pt>
                <c:pt idx="21">
                  <c:v>24.362925209181579</c:v>
                </c:pt>
                <c:pt idx="22">
                  <c:v>41.399162200152659</c:v>
                </c:pt>
                <c:pt idx="23">
                  <c:v>101.48092030869337</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3.8405951589098306E-2</c:v>
                </c:pt>
                <c:pt idx="2">
                  <c:v>7.4034095945547967E-2</c:v>
                </c:pt>
                <c:pt idx="3">
                  <c:v>0.11313285289619952</c:v>
                </c:pt>
                <c:pt idx="4">
                  <c:v>0.15629200903902266</c:v>
                </c:pt>
                <c:pt idx="5">
                  <c:v>0.20425173940590244</c:v>
                </c:pt>
                <c:pt idx="6">
                  <c:v>0.25795658195783921</c:v>
                </c:pt>
                <c:pt idx="7">
                  <c:v>0.31863400918239337</c:v>
                </c:pt>
                <c:pt idx="8">
                  <c:v>0.38791471223385926</c:v>
                </c:pt>
                <c:pt idx="9">
                  <c:v>0.46802130123716246</c:v>
                </c:pt>
                <c:pt idx="10">
                  <c:v>0.56207792031990933</c:v>
                </c:pt>
                <c:pt idx="11">
                  <c:v>0.67464125166591515</c:v>
                </c:pt>
                <c:pt idx="12">
                  <c:v>0.81266751963789752</c:v>
                </c:pt>
                <c:pt idx="13">
                  <c:v>0.98739884570990843</c:v>
                </c:pt>
                <c:pt idx="14">
                  <c:v>1.218378553540675</c:v>
                </c:pt>
                <c:pt idx="15">
                  <c:v>1.5429904339299025</c:v>
                </c:pt>
                <c:pt idx="16">
                  <c:v>2.0426438580583026</c:v>
                </c:pt>
                <c:pt idx="17">
                  <c:v>2.9302572839621361</c:v>
                </c:pt>
                <c:pt idx="18">
                  <c:v>4.9412539698962563</c:v>
                </c:pt>
                <c:pt idx="19">
                  <c:v>12.400327076116961</c:v>
                </c:pt>
                <c:pt idx="20">
                  <c:v>16.671265832940268</c:v>
                </c:pt>
                <c:pt idx="21">
                  <c:v>24.360677554122308</c:v>
                </c:pt>
                <c:pt idx="22">
                  <c:v>41.398233500247883</c:v>
                </c:pt>
                <c:pt idx="23">
                  <c:v>101.48074085234143</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3.4329412891687047E-2</c:v>
                </c:pt>
                <c:pt idx="2">
                  <c:v>6.5272919849351421E-2</c:v>
                </c:pt>
                <c:pt idx="3">
                  <c:v>9.894330995358934E-2</c:v>
                </c:pt>
                <c:pt idx="4">
                  <c:v>0.13575348366790152</c:v>
                </c:pt>
                <c:pt idx="5">
                  <c:v>0.17620817837857161</c:v>
                </c:pt>
                <c:pt idx="6">
                  <c:v>0.22093251656763291</c:v>
                </c:pt>
                <c:pt idx="7">
                  <c:v>0.27071080956303667</c:v>
                </c:pt>
                <c:pt idx="8">
                  <c:v>0.3265424744879114</c:v>
                </c:pt>
                <c:pt idx="9">
                  <c:v>0.38972318471501421</c:v>
                </c:pt>
                <c:pt idx="10">
                  <c:v>0.46196614398460667</c:v>
                </c:pt>
                <c:pt idx="11">
                  <c:v>0.54558784951091899</c:v>
                </c:pt>
                <c:pt idx="12">
                  <c:v>0.64380210416473915</c:v>
                </c:pt>
                <c:pt idx="13">
                  <c:v>0.76119840991715693</c:v>
                </c:pt>
                <c:pt idx="14">
                  <c:v>0.9045469863585297</c:v>
                </c:pt>
                <c:pt idx="15">
                  <c:v>1.0841879005104624</c:v>
                </c:pt>
                <c:pt idx="16">
                  <c:v>1.3164506840180725</c:v>
                </c:pt>
                <c:pt idx="17">
                  <c:v>1.6277027135394759</c:v>
                </c:pt>
                <c:pt idx="18">
                  <c:v>2.0598782667121989</c:v>
                </c:pt>
                <c:pt idx="19">
                  <c:v>2.6722208079807093</c:v>
                </c:pt>
                <c:pt idx="20">
                  <c:v>2.8218410642448011</c:v>
                </c:pt>
                <c:pt idx="21">
                  <c:v>2.9813834866720024</c:v>
                </c:pt>
                <c:pt idx="22">
                  <c:v>3.151010647438401</c:v>
                </c:pt>
                <c:pt idx="23">
                  <c:v>3.3307345789872422</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3.9857195897785434E-2</c:v>
                </c:pt>
                <c:pt idx="2">
                  <c:v>7.7159910163009368E-2</c:v>
                </c:pt>
                <c:pt idx="3">
                  <c:v>0.11821841607917559</c:v>
                </c:pt>
                <c:pt idx="4">
                  <c:v>0.16370485831664514</c:v>
                </c:pt>
                <c:pt idx="5">
                  <c:v>0.21447121533616059</c:v>
                </c:pt>
                <c:pt idx="6">
                  <c:v>0.27161690949126088</c:v>
                </c:pt>
                <c:pt idx="7">
                  <c:v>0.3365895730937763</c:v>
                </c:pt>
                <c:pt idx="8">
                  <c:v>0.41134066074033848</c:v>
                </c:pt>
                <c:pt idx="9">
                  <c:v>0.49857469136020521</c:v>
                </c:pt>
                <c:pt idx="10">
                  <c:v>0.60216533125711769</c:v>
                </c:pt>
                <c:pt idx="11">
                  <c:v>0.72788378728702496</c:v>
                </c:pt>
                <c:pt idx="12">
                  <c:v>0.88475241684643402</c:v>
                </c:pt>
                <c:pt idx="13">
                  <c:v>1.0877440954370787</c:v>
                </c:pt>
                <c:pt idx="14">
                  <c:v>1.3636526496594534</c:v>
                </c:pt>
                <c:pt idx="15">
                  <c:v>1.7653107445951408</c:v>
                </c:pt>
                <c:pt idx="16">
                  <c:v>2.4111041238659863</c:v>
                </c:pt>
                <c:pt idx="17">
                  <c:v>3.6167909572379746</c:v>
                </c:pt>
                <c:pt idx="18">
                  <c:v>6.4775081518234403</c:v>
                </c:pt>
                <c:pt idx="19">
                  <c:v>17.554773816092116</c:v>
                </c:pt>
                <c:pt idx="20">
                  <c:v>24.109538576075821</c:v>
                </c:pt>
                <c:pt idx="21">
                  <c:v>36.216108389725207</c:v>
                </c:pt>
                <c:pt idx="22">
                  <c:v>64.082441832148007</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2.830297885260093E-2</c:v>
                </c:pt>
                <c:pt idx="2">
                  <c:v>5.2206845542503502E-2</c:v>
                </c:pt>
                <c:pt idx="3">
                  <c:v>7.7587141400944373E-2</c:v>
                </c:pt>
                <c:pt idx="4">
                  <c:v>0.1045488768485674</c:v>
                </c:pt>
                <c:pt idx="5">
                  <c:v>0.13319328879664238</c:v>
                </c:pt>
                <c:pt idx="6">
                  <c:v>0.16360881478652539</c:v>
                </c:pt>
                <c:pt idx="7">
                  <c:v>0.19585638756003843</c:v>
                </c:pt>
                <c:pt idx="8">
                  <c:v>0.22994509300881549</c:v>
                </c:pt>
                <c:pt idx="9">
                  <c:v>0.26579060423819495</c:v>
                </c:pt>
                <c:pt idx="10">
                  <c:v>0.30314481127564546</c:v>
                </c:pt>
                <c:pt idx="11">
                  <c:v>0.34146303547706192</c:v>
                </c:pt>
                <c:pt idx="12">
                  <c:v>0.3796116509029428</c:v>
                </c:pt>
                <c:pt idx="13">
                  <c:v>0.41498565805398618</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3.2448554934034694E-2</c:v>
                </c:pt>
                <c:pt idx="2">
                  <c:v>6.1123564371438406E-2</c:v>
                </c:pt>
                <c:pt idx="3">
                  <c:v>9.2044520429936924E-2</c:v>
                </c:pt>
                <c:pt idx="4">
                  <c:v>0.12550211832853883</c:v>
                </c:pt>
                <c:pt idx="5">
                  <c:v>0.16183991020998698</c:v>
                </c:pt>
                <c:pt idx="6">
                  <c:v>0.20146659550949511</c:v>
                </c:pt>
                <c:pt idx="7">
                  <c:v>0.24487340927590068</c:v>
                </c:pt>
                <c:pt idx="8">
                  <c:v>0.29265783594979689</c:v>
                </c:pt>
                <c:pt idx="9">
                  <c:v>0.3455606332140147</c:v>
                </c:pt>
                <c:pt idx="10">
                  <c:v>0.40452705311549814</c:v>
                </c:pt>
                <c:pt idx="11">
                  <c:v>0.47082692466987286</c:v>
                </c:pt>
                <c:pt idx="12">
                  <c:v>0.54631921854008592</c:v>
                </c:pt>
                <c:pt idx="13">
                  <c:v>0.63411053758784997</c:v>
                </c:pt>
                <c:pt idx="14">
                  <c:v>0.74033239566618614</c:v>
                </c:pt>
                <c:pt idx="15">
                  <c:v>0.87916367949943808</c:v>
                </c:pt>
                <c:pt idx="16">
                  <c:v>1.0874880907166968</c:v>
                </c:pt>
                <c:pt idx="17">
                  <c:v>1.4723254498473253</c:v>
                </c:pt>
                <c:pt idx="18">
                  <c:v>2.42100966900896</c:v>
                </c:pt>
                <c:pt idx="19">
                  <c:v>6.3024687136492439</c:v>
                </c:pt>
                <c:pt idx="20">
                  <c:v>8.6030045822412156</c:v>
                </c:pt>
                <c:pt idx="21">
                  <c:v>12.773970638262533</c:v>
                </c:pt>
                <c:pt idx="22">
                  <c:v>21.997898996507043</c:v>
                </c:pt>
                <c:pt idx="23">
                  <c:v>53.686091391096191</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3.4329412891687047E-2</c:v>
                </c:pt>
                <c:pt idx="2">
                  <c:v>6.5272919849351421E-2</c:v>
                </c:pt>
                <c:pt idx="3">
                  <c:v>9.894330995358934E-2</c:v>
                </c:pt>
                <c:pt idx="4">
                  <c:v>0.13575348366790152</c:v>
                </c:pt>
                <c:pt idx="5">
                  <c:v>0.17620817837857161</c:v>
                </c:pt>
                <c:pt idx="6">
                  <c:v>0.22093251656763291</c:v>
                </c:pt>
                <c:pt idx="7">
                  <c:v>0.27071080956303667</c:v>
                </c:pt>
                <c:pt idx="8">
                  <c:v>0.3265424744879114</c:v>
                </c:pt>
                <c:pt idx="9">
                  <c:v>0.38972318471501421</c:v>
                </c:pt>
                <c:pt idx="10">
                  <c:v>0.46196614398460667</c:v>
                </c:pt>
                <c:pt idx="11">
                  <c:v>0.54558784951091899</c:v>
                </c:pt>
                <c:pt idx="12">
                  <c:v>0.64380210416473915</c:v>
                </c:pt>
                <c:pt idx="13">
                  <c:v>0.76119840991715693</c:v>
                </c:pt>
                <c:pt idx="14">
                  <c:v>0.9045469863585297</c:v>
                </c:pt>
                <c:pt idx="15">
                  <c:v>1.0841879005104624</c:v>
                </c:pt>
                <c:pt idx="16">
                  <c:v>1.3164506840180725</c:v>
                </c:pt>
                <c:pt idx="17">
                  <c:v>1.6277027135394759</c:v>
                </c:pt>
                <c:pt idx="18">
                  <c:v>2.0598782667121989</c:v>
                </c:pt>
                <c:pt idx="19">
                  <c:v>2.6722208079807093</c:v>
                </c:pt>
                <c:pt idx="20">
                  <c:v>2.8218410642448011</c:v>
                </c:pt>
                <c:pt idx="21">
                  <c:v>2.9813834866720024</c:v>
                </c:pt>
                <c:pt idx="22">
                  <c:v>3.151010647438401</c:v>
                </c:pt>
                <c:pt idx="23">
                  <c:v>3.3307345789872422</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0" zoomScaleNormal="100" workbookViewId="0">
      <selection activeCell="K90" sqref="K9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999.99999999998658</v>
      </c>
      <c r="I35" s="29">
        <v>1000.0000000000002</v>
      </c>
      <c r="K35" s="120">
        <f t="array" ref="K35:L35">H35:I35-pKLE</f>
        <v>-1.3415046851150692E-11</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13763.097675999812</v>
      </c>
      <c r="I47" s="29">
        <v>382.36647900000008</v>
      </c>
      <c r="K47" s="120">
        <f t="array" ref="K47:L47">H47:I47-KL</f>
        <v>-1.9281287677586079E-10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2.1403217525954116E-2</v>
      </c>
      <c r="I71" s="40">
        <v>0.34962461301992531</v>
      </c>
      <c r="K71" s="120">
        <v>-3.1918911957973251E-16</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0.95865295566108633</v>
      </c>
      <c r="D87" s="184">
        <v>0.21889317381758619</v>
      </c>
      <c r="E87" s="62" t="s">
        <v>53</v>
      </c>
      <c r="F87" s="63">
        <f t="array" ref="F87:G87">(aKLE*KL^rhoKLE+bKLE*(alphaEY*Y)^rhoKLE)^(1/rhoKLE)</f>
        <v>14362.76855800038</v>
      </c>
      <c r="G87" s="64">
        <v>817.26651000000004</v>
      </c>
      <c r="J87">
        <v>0.85732710021334335</v>
      </c>
      <c r="K87">
        <v>6.4436442297762988E-3</v>
      </c>
      <c r="M87">
        <v>0.90771284052375456</v>
      </c>
      <c r="N87">
        <v>6.1963941181865996E-2</v>
      </c>
    </row>
    <row r="88" spans="2:14" x14ac:dyDescent="0.2">
      <c r="B88" t="s">
        <v>50</v>
      </c>
      <c r="C88" s="185">
        <f t="array" ref="C88:D88">(KLE/(alphaEY*Y))^rhoKLE*pEY*alphaEY*Y/(pEY*alphaEY*Y+pK*K+pL*Labour)</f>
        <v>4.3087989556299715E-2</v>
      </c>
      <c r="D88" s="186">
        <v>0.28154776090390315</v>
      </c>
      <c r="F88" s="129">
        <f t="array" ref="F88:G88">F87:G87-KLE</f>
        <v>3.7653080653399229E-10</v>
      </c>
      <c r="G88" s="130">
        <v>0</v>
      </c>
      <c r="J88">
        <v>1.757694977252001E-4</v>
      </c>
      <c r="K88">
        <v>0.13475758340934371</v>
      </c>
      <c r="M88">
        <v>2.214314390241483E-3</v>
      </c>
      <c r="N88">
        <v>6.1425571228765741E-2</v>
      </c>
    </row>
    <row r="89" spans="2:14" x14ac:dyDescent="0.2">
      <c r="B89" t="s">
        <v>51</v>
      </c>
      <c r="C89" s="187">
        <v>1.01</v>
      </c>
      <c r="D89" s="188">
        <v>0.5</v>
      </c>
      <c r="J89">
        <v>0.3518</v>
      </c>
      <c r="K89">
        <v>0.23739378994633001</v>
      </c>
      <c r="M89">
        <v>0.5</v>
      </c>
      <c r="N89">
        <v>0.25</v>
      </c>
    </row>
    <row r="90" spans="2:14" x14ac:dyDescent="0.2">
      <c r="B90" t="s">
        <v>52</v>
      </c>
      <c r="C90" s="189">
        <f t="array" ref="C90:D90">(sigmaKLE-1)/sigmaKLE</f>
        <v>9.9009900990099098E-3</v>
      </c>
      <c r="D90" s="190">
        <v>-1</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C39"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9406566.7897935621</v>
      </c>
      <c r="M3" s="52">
        <v>0.70443015860237934</v>
      </c>
      <c r="N3" s="53">
        <f t="array" ref="N3:N4">TRANSPOSE(pC*Consumption)</f>
        <v>4275160.3951319354</v>
      </c>
      <c r="O3" s="54">
        <f t="array" ref="O3:O4">TRANSPOSE(pG*G)</f>
        <v>2832357.2256028983</v>
      </c>
      <c r="P3" s="54">
        <f t="array" ref="P3:P4">TRANSPOSE(pI*I)</f>
        <v>11203713.059070116</v>
      </c>
      <c r="Q3" s="60">
        <f t="array" ref="Q3:Q4">TRANSPOSE(pX*X)</f>
        <v>34855.508693338437</v>
      </c>
      <c r="R3" s="9">
        <f t="array" ref="R3">SUM(L3:Q3)</f>
        <v>27752653.68272201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450603.67322593433</v>
      </c>
      <c r="M4" s="56">
        <v>5.7653428613151485</v>
      </c>
      <c r="N4" s="55">
        <v>897288.9299772589</v>
      </c>
      <c r="O4" s="57">
        <v>0</v>
      </c>
      <c r="P4" s="57">
        <v>0</v>
      </c>
      <c r="Q4" s="49">
        <v>4.2872421924740106E-5</v>
      </c>
      <c r="R4" s="11">
        <f t="array" ref="R4">SUM(L4:Q4)</f>
        <v>1347898.368588927</v>
      </c>
    </row>
    <row r="5" spans="2:18" x14ac:dyDescent="0.2">
      <c r="B5" s="12" t="s">
        <v>1</v>
      </c>
      <c r="C5" s="51">
        <v>5036295.3101960644</v>
      </c>
      <c r="D5" s="52">
        <v>74905.331803938272</v>
      </c>
      <c r="E5" s="13"/>
      <c r="F5" s="13"/>
      <c r="G5" s="13"/>
      <c r="H5" s="13"/>
      <c r="I5" s="1"/>
      <c r="K5" s="12" t="s">
        <v>1</v>
      </c>
      <c r="L5" s="51">
        <f t="array" ref="L5:M5">w*Labour</f>
        <v>4324833.8091557315</v>
      </c>
      <c r="M5" s="52">
        <v>0.24195800164391662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1976463.8639693295</v>
      </c>
      <c r="M6" s="58">
        <v>0.1105756354926361</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101986.67958774565</v>
      </c>
      <c r="M7" s="58">
        <v>0.12756852968611965</v>
      </c>
      <c r="N7" s="13"/>
      <c r="O7" s="13"/>
      <c r="P7" s="13"/>
      <c r="Q7" s="13"/>
      <c r="R7" s="1"/>
    </row>
    <row r="8" spans="2:18" x14ac:dyDescent="0.2">
      <c r="B8" s="14" t="s">
        <v>2</v>
      </c>
      <c r="C8" s="53">
        <v>6425198.1590000018</v>
      </c>
      <c r="D8" s="58">
        <v>273229.1540000001</v>
      </c>
      <c r="E8" s="13"/>
      <c r="F8" s="13"/>
      <c r="G8" s="13"/>
      <c r="H8" s="13"/>
      <c r="I8" s="1"/>
      <c r="K8" s="14" t="s">
        <v>2</v>
      </c>
      <c r="L8" s="53">
        <f t="array" ref="L8:M8">pK*kappa*Y</f>
        <v>4369327.3746556314</v>
      </c>
      <c r="M8" s="58">
        <v>0.66482975525241061</v>
      </c>
      <c r="N8" s="13"/>
      <c r="O8" s="13"/>
      <c r="P8" s="13"/>
      <c r="Q8" s="13"/>
      <c r="R8" s="1"/>
    </row>
    <row r="9" spans="2:18" x14ac:dyDescent="0.2">
      <c r="B9" s="2" t="s">
        <v>3</v>
      </c>
      <c r="C9" s="127">
        <v>1886393.7399999965</v>
      </c>
      <c r="D9" s="128">
        <v>262787.11299999768</v>
      </c>
      <c r="E9" s="13"/>
      <c r="F9" s="13"/>
      <c r="G9" s="13"/>
      <c r="H9" s="13"/>
      <c r="I9" s="1"/>
      <c r="K9" s="2" t="s">
        <v>3</v>
      </c>
      <c r="L9" s="127">
        <f t="array" ref="L9:M9">pW*M</f>
        <v>6688742.4122481756</v>
      </c>
      <c r="M9" s="128">
        <v>24640.30466964261</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434129.08120355452</v>
      </c>
      <c r="M10" s="60">
        <v>1323250.4498948737</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27752653.683839664</v>
      </c>
      <c r="M12" s="18">
        <f>SUM(M3:M11)</f>
        <v>1347898.3692694583</v>
      </c>
      <c r="N12" s="19"/>
      <c r="O12" s="20">
        <f t="array" ref="O12:P12">pY*Y</f>
        <v>20629782.190041065</v>
      </c>
      <c r="P12" s="21">
        <v>7.6147049414509222</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-1.1176541447639465E-3</v>
      </c>
      <c r="M14" s="24">
        <f t="array" ref="M14">R4-M12</f>
        <v>-6.8053137511014938E-4</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6.034942383603692E-7</v>
      </c>
    </row>
    <row r="19" spans="2:21" ht="10.5" x14ac:dyDescent="0.25">
      <c r="B19" s="96" t="s">
        <v>79</v>
      </c>
      <c r="C19" s="112" t="s">
        <v>87</v>
      </c>
      <c r="H19" s="96" t="s">
        <v>60</v>
      </c>
      <c r="K19" s="96" t="s">
        <v>59</v>
      </c>
      <c r="Q19" s="96" t="s">
        <v>42</v>
      </c>
    </row>
    <row r="21" spans="2:21" ht="10.5" x14ac:dyDescent="0.25">
      <c r="B21" t="s">
        <v>12</v>
      </c>
      <c r="C21" s="84">
        <f t="array" ref="C21:D21">ABS(C80:D80)</f>
        <v>4079.3285302631648</v>
      </c>
      <c r="D21" s="85">
        <v>23555.716678328085</v>
      </c>
      <c r="H21" s="63">
        <f t="array" ref="H21:I21">(aY^sigmaY*pKLE^(1-sigmaY)+bY^sigmaY*pMY^(1-sigmaY))^(1/(1-sigmaY))*(1+tauY)</f>
        <v>4079.32853032293</v>
      </c>
      <c r="I21" s="64">
        <v>23555.716680071459</v>
      </c>
      <c r="J21" s="113" t="s">
        <v>69</v>
      </c>
      <c r="K21" s="120">
        <f t="array" ref="K21:L21">H21:I21/pY-1</f>
        <v>1.4650725077558491E-11</v>
      </c>
      <c r="L21" s="120">
        <v>7.4010575445981885E-11</v>
      </c>
      <c r="N21" s="71">
        <f t="array" ref="N21:O35">PRICES/Calibration!PRICES-1</f>
        <v>3.0793285302631652</v>
      </c>
      <c r="O21" s="72">
        <v>22.555716678328086</v>
      </c>
      <c r="Q21" s="120">
        <f t="array" ref="Q21:R21">(pKLE*KLE+pMY*alphaMY*Y)*(1+tauY)/Y-pY</f>
        <v>5.9763806348200887E-8</v>
      </c>
      <c r="R21" s="120">
        <v>1.743406755849719E-6</v>
      </c>
      <c r="T21" s="120">
        <f t="array" ref="T21:U21">(aX^sigmaX*pD^(1-sigmaX)+bX^sigmaX*pW^(1-sigmaX))^(1/(1-sigmaX))-pY</f>
        <v>0</v>
      </c>
      <c r="U21" s="120">
        <v>-5.4569682106375694E-11</v>
      </c>
    </row>
    <row r="22" spans="2:21" x14ac:dyDescent="0.2">
      <c r="B22" t="s">
        <v>116</v>
      </c>
      <c r="C22" s="101">
        <f t="array" ref="C22:D22">Calibration!pW</f>
        <v>1000</v>
      </c>
      <c r="D22" s="102">
        <v>1000</v>
      </c>
      <c r="N22" s="73">
        <v>0</v>
      </c>
      <c r="O22" s="74">
        <v>0</v>
      </c>
    </row>
    <row r="23" spans="2:21" ht="10.5" x14ac:dyDescent="0.25">
      <c r="B23" t="s">
        <v>128</v>
      </c>
      <c r="C23" s="97">
        <f t="array" ref="C23:D23">ABS(C81:D81)</f>
        <v>3450.2215882793012</v>
      </c>
      <c r="D23" s="98">
        <v>1749.8890050876976</v>
      </c>
      <c r="H23" s="63">
        <f t="array" ref="H23:I23">(aS^sigmaS*pD^(1-sigmaS)+bS^sigmaS*pW^(1-sigmaS))^(1/(1-sigmaS))</f>
        <v>3450.2215883476943</v>
      </c>
      <c r="I23" s="64">
        <v>1749.8890052014387</v>
      </c>
      <c r="J23" s="113" t="s">
        <v>121</v>
      </c>
      <c r="K23" s="120">
        <f t="array" ref="K23:L23">(pY*Y+pW*M)/(pS*S+pW*X)-1</f>
        <v>3.4772185131259903E-11</v>
      </c>
      <c r="L23" s="120">
        <v>-3.9475755997386841E-11</v>
      </c>
      <c r="N23" s="73">
        <v>2.4502215882793013</v>
      </c>
      <c r="O23" s="74">
        <v>0.74988900508769762</v>
      </c>
      <c r="Q23" s="120">
        <f t="array" ref="Q23:R23">pS*S-pD*D-pW*M</f>
        <v>-5.4083764553070068E-4</v>
      </c>
      <c r="R23" s="120">
        <v>-1.6020676412153989E-6</v>
      </c>
    </row>
    <row r="24" spans="2:21" x14ac:dyDescent="0.2">
      <c r="B24" t="s">
        <v>77</v>
      </c>
      <c r="C24" s="116">
        <f t="array" ref="C24:D24">aX^(sigmaX/(sigmaX-1))*(pY^(1-sigmaX)-bX^sigmaX*pW^(1-sigmaX))^(1/(1-sigmaX))</f>
        <v>4245.9952908370506</v>
      </c>
      <c r="D24" s="174">
        <v>24163.562611910256</v>
      </c>
      <c r="N24" s="73">
        <v>3.2459952908370502</v>
      </c>
      <c r="O24" s="74">
        <v>23.163562611910255</v>
      </c>
    </row>
    <row r="25" spans="2:21" x14ac:dyDescent="0.2">
      <c r="B25" t="s">
        <v>13</v>
      </c>
      <c r="C25" s="33">
        <f t="array" ref="C25:D26">TRANSPOSE(pS*(1+tauTS))</f>
        <v>3505.1204188941351</v>
      </c>
      <c r="D25" s="34">
        <v>3505.1204188941351</v>
      </c>
      <c r="E25" t="s">
        <v>63</v>
      </c>
      <c r="N25" s="73">
        <v>2.4502215882793008</v>
      </c>
      <c r="O25" s="74">
        <v>2.4502215882793008</v>
      </c>
    </row>
    <row r="26" spans="2:21" x14ac:dyDescent="0.2">
      <c r="C26" s="35">
        <v>95694.590056500223</v>
      </c>
      <c r="D26" s="36">
        <v>95694.590056500223</v>
      </c>
      <c r="E26" t="s">
        <v>41</v>
      </c>
      <c r="N26" s="73">
        <v>94.145442961539089</v>
      </c>
      <c r="O26" s="74">
        <v>94.145442961539075</v>
      </c>
    </row>
    <row r="27" spans="2:21" ht="10.5" x14ac:dyDescent="0.25">
      <c r="B27" t="s">
        <v>14</v>
      </c>
      <c r="C27" s="41">
        <f t="array" ref="C27:D27">pS*(1+tauTS)</f>
        <v>3505.1204188941351</v>
      </c>
      <c r="D27" s="42">
        <v>95694.590056500223</v>
      </c>
      <c r="J27" s="96"/>
      <c r="N27" s="73">
        <v>2.4502215882793008</v>
      </c>
      <c r="O27" s="74">
        <v>94.145442961539089</v>
      </c>
    </row>
    <row r="28" spans="2:21" ht="10.5" x14ac:dyDescent="0.25">
      <c r="B28" t="s">
        <v>15</v>
      </c>
      <c r="C28" s="41">
        <f t="array" ref="C28:D28">pS*(1+tauTS)</f>
        <v>3505.1204188941351</v>
      </c>
      <c r="D28" s="42">
        <v>95694.590056500223</v>
      </c>
      <c r="J28" s="96"/>
      <c r="N28" s="73">
        <v>2.4502215882793013</v>
      </c>
      <c r="O28" s="74">
        <v>94.145442961539089</v>
      </c>
    </row>
    <row r="29" spans="2:21" ht="10.5" x14ac:dyDescent="0.25">
      <c r="B29" t="s">
        <v>29</v>
      </c>
      <c r="C29" s="41">
        <f t="array" ref="C29:D29">pS*(1+tauTS)</f>
        <v>3505.1204188941351</v>
      </c>
      <c r="D29" s="42">
        <v>95694.590056500223</v>
      </c>
      <c r="J29" s="96"/>
      <c r="N29" s="73">
        <v>2.4502215882793008</v>
      </c>
      <c r="O29" s="74">
        <v>94.145442961539089</v>
      </c>
    </row>
    <row r="30" spans="2:21" ht="10.5" x14ac:dyDescent="0.25">
      <c r="B30" t="s">
        <v>16</v>
      </c>
      <c r="C30" s="41">
        <f t="array" ref="C30:D30">pW</f>
        <v>1000</v>
      </c>
      <c r="D30" s="42">
        <v>1000</v>
      </c>
      <c r="J30" s="96"/>
      <c r="N30" s="73">
        <v>0</v>
      </c>
      <c r="O30" s="74">
        <v>0</v>
      </c>
    </row>
    <row r="31" spans="2:21" x14ac:dyDescent="0.2">
      <c r="B31" t="s">
        <v>17</v>
      </c>
      <c r="C31" s="97">
        <f>ABS(C82)</f>
        <v>4815.0897110598426</v>
      </c>
      <c r="D31" s="174">
        <f>wQ</f>
        <v>4815.0897110598426</v>
      </c>
      <c r="N31" s="73">
        <v>3.8150897110598425</v>
      </c>
      <c r="O31" s="74">
        <v>3.8150897110598425</v>
      </c>
    </row>
    <row r="32" spans="2:21" x14ac:dyDescent="0.2">
      <c r="B32" t="s">
        <v>36</v>
      </c>
      <c r="C32" s="41">
        <f t="array" ref="C32:D32">w*(1+tauL)</f>
        <v>7015.6022013971588</v>
      </c>
      <c r="D32" s="42">
        <v>7015.6022013971597</v>
      </c>
      <c r="N32" s="73">
        <v>3.8150897110598425</v>
      </c>
      <c r="O32" s="74">
        <v>3.8150897110598425</v>
      </c>
      <c r="Q32" s="120">
        <f t="array" ref="Q32:R32">bKL*(Labour/KL)^(rhoKL-1)*pKL/pL-1</f>
        <v>-6.5213501265759533E-11</v>
      </c>
      <c r="R32" s="120">
        <v>-6.0349424013672603E-7</v>
      </c>
      <c r="S32" t="s">
        <v>135</v>
      </c>
    </row>
    <row r="33" spans="2:19" x14ac:dyDescent="0.2">
      <c r="B33" t="s">
        <v>18</v>
      </c>
      <c r="C33" s="154">
        <f>ABS(C83)</f>
        <v>3450.2215882793012</v>
      </c>
      <c r="D33" s="175">
        <f>C33</f>
        <v>3450.2215882793012</v>
      </c>
      <c r="E33" t="s">
        <v>56</v>
      </c>
      <c r="N33" s="73">
        <v>2.4502215882793013</v>
      </c>
      <c r="O33" s="74">
        <v>2.4502215882793013</v>
      </c>
      <c r="Q33" s="120">
        <f t="array" ref="Q33:R33">aKL*(K/KL)^(rhoKL-1)*pKL/pK-1</f>
        <v>8.3498541414428473E-11</v>
      </c>
      <c r="R33" s="120">
        <v>3.200285010329651E-7</v>
      </c>
      <c r="S33" t="s">
        <v>135</v>
      </c>
    </row>
    <row r="34" spans="2:19" ht="10.5" x14ac:dyDescent="0.25">
      <c r="B34" t="s">
        <v>61</v>
      </c>
      <c r="C34" s="97">
        <f t="array" ref="C34:D34">ABS(C84:D84)</f>
        <v>4161.0013523414391</v>
      </c>
      <c r="D34" s="98">
        <v>3832.7384139016785</v>
      </c>
      <c r="J34" s="113" t="s">
        <v>134</v>
      </c>
      <c r="K34" s="120">
        <f t="array" ref="K34:L34">pKL*KL/(pK*K+pL*Labour)-1</f>
        <v>-4.322431301773122E-12</v>
      </c>
      <c r="L34" s="120">
        <v>1.2234657731369225E-11</v>
      </c>
      <c r="N34" s="73">
        <v>3.1610013523414393</v>
      </c>
      <c r="O34" s="74">
        <v>2.8327384139016787</v>
      </c>
      <c r="Q34" s="120">
        <f t="array" ref="Q34:R34">(aKL^sigmaKL*pK^(1-sigmaKL)+bKL^sigmaKL*pL^(1-sigmaKL))^((rhoKL-1)/rhoKL)-pKL</f>
        <v>1.7985257727559656E-8</v>
      </c>
      <c r="R34" s="120">
        <v>-4.6944478526711464E-8</v>
      </c>
      <c r="S34" t="s">
        <v>135</v>
      </c>
    </row>
    <row r="35" spans="2:19" x14ac:dyDescent="0.2">
      <c r="B35" t="s">
        <v>62</v>
      </c>
      <c r="C35" s="35">
        <f t="array" ref="C35:D35">(aKLE^sigmaKLE*pKL^(1-sigmaKLE)+bKLE^sigmaKLE*pEY^(1-sigmaKLE))^(1/(1-sigmaKLE))</f>
        <v>4732.6412210231047</v>
      </c>
      <c r="D35" s="36">
        <v>37290.242095241105</v>
      </c>
      <c r="N35" s="75">
        <v>3.7326412210231048</v>
      </c>
      <c r="O35" s="76">
        <v>36.290242095241105</v>
      </c>
      <c r="Q35" s="120">
        <f t="array" ref="Q35:R35">(pKL*KL+pEY*alphaEY*Y)/KLE-pKLE</f>
        <v>0</v>
      </c>
      <c r="R35" s="120">
        <v>0</v>
      </c>
    </row>
    <row r="37" spans="2:19" ht="10.5" x14ac:dyDescent="0.25">
      <c r="B37" t="s">
        <v>19</v>
      </c>
      <c r="C37" s="84">
        <f t="array" ref="C37:D37">ABS(C89:D89)</f>
        <v>5057.151449557362</v>
      </c>
      <c r="D37" s="85">
        <v>3.2326356465548183E-4</v>
      </c>
      <c r="H37" s="63">
        <f t="array" ref="H37:I37">(aX*D^rhoX+bX*X^rhoX)^(1/rhoX)</f>
        <v>5057.1514494570811</v>
      </c>
      <c r="I37" s="64">
        <v>3.2326367397335126E-4</v>
      </c>
      <c r="J37" s="113" t="s">
        <v>120</v>
      </c>
      <c r="K37" s="120">
        <f t="array" ref="K37:L37">H37:I37/Y-1</f>
        <v>-1.9829471398224996E-11</v>
      </c>
      <c r="L37" s="120">
        <v>3.3816947331288816E-7</v>
      </c>
      <c r="N37" s="71">
        <f t="array" ref="N37:O48">VOLUMES/Calibration!VOLUMES-1</f>
        <v>-0.81846036508472908</v>
      </c>
      <c r="O37" s="72">
        <v>-0.99999973862219194</v>
      </c>
      <c r="Q37" s="120">
        <f t="array" ref="Q37:R37">(aY*KLE^rhoY+bY*(alphaMY*Y)^rhoY)^(1/rhoY)-Y</f>
        <v>9.0949470177292824E-12</v>
      </c>
      <c r="R37" s="120">
        <v>0</v>
      </c>
    </row>
    <row r="38" spans="2:19" x14ac:dyDescent="0.2">
      <c r="B38" t="s">
        <v>3</v>
      </c>
      <c r="C38" s="41">
        <f t="array" ref="C38:D38">(bS/pW)^sigmaS*(aS^sigmaS*pD^(1-sigmaS)+bS^sigmaS*pW^(1-sigmaS))^(-1/rhoS)*S</f>
        <v>6688.7424122481752</v>
      </c>
      <c r="D38" s="42">
        <v>24.64030466964261</v>
      </c>
      <c r="N38" s="73">
        <v>2.5457827655048235</v>
      </c>
      <c r="O38" s="74">
        <v>-0.90623472974626873</v>
      </c>
      <c r="Q38" s="120">
        <f t="array" ref="Q38:R38">pD*D+pW*M-pS*S</f>
        <v>5.4083764553070068E-4</v>
      </c>
      <c r="R38" s="120">
        <v>1.6020676412153989E-6</v>
      </c>
    </row>
    <row r="39" spans="2:19" ht="10.5" x14ac:dyDescent="0.25">
      <c r="B39" t="s">
        <v>127</v>
      </c>
      <c r="C39" s="82">
        <f t="array" ref="C39:D39">ABS(C85:D85)</f>
        <v>7907.8019757719157</v>
      </c>
      <c r="D39" s="83">
        <v>14.08541870999948</v>
      </c>
      <c r="E39" t="s">
        <v>122</v>
      </c>
      <c r="H39" s="63">
        <f t="array" ref="H39:I39">MMULT(Y,TRANSPOSE(alpha))+Consumption+G+I</f>
        <v>7907.8019758230257</v>
      </c>
      <c r="I39" s="64">
        <v>14.085418702877826</v>
      </c>
      <c r="J39" s="113" t="s">
        <v>72</v>
      </c>
      <c r="K39" s="120">
        <f t="array" ref="K39:L39">H39:I39/S-1</f>
        <v>6.4632743601578113E-12</v>
      </c>
      <c r="L39" s="120">
        <v>-5.0560478026540068E-10</v>
      </c>
      <c r="N39" s="73">
        <v>-0.70213591021046229</v>
      </c>
      <c r="O39" s="74">
        <v>-0.99000000000000032</v>
      </c>
    </row>
    <row r="40" spans="2:19" x14ac:dyDescent="0.2">
      <c r="B40" t="s">
        <v>76</v>
      </c>
      <c r="C40" s="41">
        <f t="array" ref="C40:D40">(aS/pD)^sigmaS*(aS^sigmaS*pD^(1-sigmaS)+bS^sigmaS*pW^(1-sigmaS))^(-1/rhoS)*S</f>
        <v>4850.4355917169605</v>
      </c>
      <c r="D40" s="42">
        <v>3.151300479316104E-4</v>
      </c>
      <c r="F40" s="166"/>
      <c r="N40" s="75">
        <v>-0.80332321136987139</v>
      </c>
      <c r="O40" s="76">
        <v>-0.99999972495855183</v>
      </c>
    </row>
    <row r="41" spans="2:19" ht="10.5" x14ac:dyDescent="0.25">
      <c r="B41" t="s">
        <v>28</v>
      </c>
      <c r="C41" s="41">
        <f>(aU/pCQ)^sigmaU/(aU^sigmaU*pCQ^(1-sigmaU)+bU^sigmaU*pCE^(1-sigmaU))*Revenue</f>
        <v>1219.6900203733223</v>
      </c>
      <c r="D41" s="42">
        <f>(bU/pCE)^sigmaU/(aU^sigmaU*pCQ^(1-sigmaU)+bU^sigmaU*pCE^(1-sigmaU))*Revenue</f>
        <v>9.3765899352040645</v>
      </c>
      <c r="E41" t="s">
        <v>57</v>
      </c>
      <c r="H41" s="62" t="s">
        <v>67</v>
      </c>
      <c r="I41" s="94">
        <v>0.99000000000000032</v>
      </c>
      <c r="J41" s="113" t="s">
        <v>73</v>
      </c>
      <c r="K41" s="120">
        <f>Model!SE/(1-I41)/Calibration!SE-1</f>
        <v>0</v>
      </c>
      <c r="N41" s="73">
        <v>-0.81332049924482941</v>
      </c>
      <c r="O41" s="74">
        <v>-0.97531878028097496</v>
      </c>
    </row>
    <row r="42" spans="2:19" x14ac:dyDescent="0.2">
      <c r="B42" t="s">
        <v>7</v>
      </c>
      <c r="C42" s="116">
        <f t="array" ref="C42">omegaG*GDP/pG</f>
        <v>808.06274453090157</v>
      </c>
      <c r="D42" s="8">
        <v>0</v>
      </c>
      <c r="N42" s="73">
        <v>-0.75352682662690351</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34.855508693338436</v>
      </c>
      <c r="D44" s="169">
        <v>4.2872421924740107E-8</v>
      </c>
      <c r="N44" s="73">
        <v>-0.98909077015012181</v>
      </c>
      <c r="O44" s="74">
        <v>-0.99999999952894014</v>
      </c>
    </row>
    <row r="45" spans="2:19" x14ac:dyDescent="0.2">
      <c r="B45" t="s">
        <v>27</v>
      </c>
      <c r="C45" s="84">
        <f t="array" ref="C45:D45">ABS(C88:D88)</f>
        <v>898.18343347206257</v>
      </c>
      <c r="D45" s="85">
        <v>5.0249946763849515E-5</v>
      </c>
      <c r="H45" s="29"/>
      <c r="N45" s="73">
        <v>-0.82165790960397511</v>
      </c>
      <c r="O45" s="74">
        <v>-0.9999993291539393</v>
      </c>
      <c r="Q45" s="120">
        <f t="array" ref="Q45:R45">(bKL/pL)^sigmaKL*(aKL^sigmaKL*pK^(1-sigmaKL)+bKL^sigmaKL*pL^(1-sigmaKL))^(-1/rhoKL)*KL/Labour-1</f>
        <v>-1.8267054535670013E-11</v>
      </c>
      <c r="R45" s="120">
        <v>-9.0525996587764723E-8</v>
      </c>
      <c r="S45" t="s">
        <v>135</v>
      </c>
    </row>
    <row r="46" spans="2:19" x14ac:dyDescent="0.2">
      <c r="B46" t="s">
        <v>2</v>
      </c>
      <c r="C46" s="35">
        <f t="array" ref="C46:D46">(KL^rhoKL/aKL-bKL*Labour^rhoKL/aKL)^(1/rhoKL)</f>
        <v>1266.3903644619843</v>
      </c>
      <c r="D46" s="36">
        <v>1.9269190057557301E-4</v>
      </c>
      <c r="N46" s="73">
        <v>-0.80290252018327146</v>
      </c>
      <c r="O46" s="74">
        <v>-0.99999929476083438</v>
      </c>
      <c r="Q46" s="120">
        <f t="array" ref="Q46:R46">(aKL/pK)^sigmaKL*(aKL^sigmaKL*pK^(1-sigmaKL)+bKL^sigmaKL*pL^(1-sigmaKL))^(-1/rhoKL)*KL/K-1</f>
        <v>2.634625850816974E-11</v>
      </c>
      <c r="R46" s="120">
        <v>4.8002431363158848E-8</v>
      </c>
      <c r="S46" t="s">
        <v>135</v>
      </c>
    </row>
    <row r="47" spans="2:19" x14ac:dyDescent="0.2">
      <c r="B47" t="s">
        <v>35</v>
      </c>
      <c r="C47" s="41">
        <f t="array" ref="C47:D47">(aKLE/pKL)^sigmaKLE*(aKLE^sigmaKLE*pKL^(1-sigmaKLE)+bKLE^sigmaKLE*pEY^(1-sigmaKLE))^(-1/rhoKLE)*KLE</f>
        <v>2564.4368132036525</v>
      </c>
      <c r="D47" s="42">
        <v>2.6544034122217799E-4</v>
      </c>
      <c r="N47" s="73">
        <v>-0.81367299182396269</v>
      </c>
      <c r="O47" s="74">
        <v>-0.99999930579599472</v>
      </c>
      <c r="Q47" s="120">
        <f t="array" ref="Q47:R47">(aKL*K^rhoKL+bKL*Labour^rhoKL)^(1/rhoKL)-KL</f>
        <v>0</v>
      </c>
      <c r="R47" s="120">
        <v>0</v>
      </c>
    </row>
    <row r="48" spans="2:19" x14ac:dyDescent="0.2">
      <c r="B48" t="s">
        <v>53</v>
      </c>
      <c r="C48" s="35">
        <f t="array" ref="C48:D48">(aY/pKLE)^sigmaY*(aY^sigmaY*pKLE^(1-sigmaY)+bY^sigmaY*pMY^(1-sigmaY))^(-1/rhoY)*Y</f>
        <v>2349.8989679501442</v>
      </c>
      <c r="D48" s="36">
        <v>1.8188957412486616E-4</v>
      </c>
      <c r="N48" s="75">
        <v>-0.83638955411272287</v>
      </c>
      <c r="O48" s="76">
        <v>-0.99999977744154211</v>
      </c>
      <c r="Q48" s="120">
        <f t="array" ref="Q48:R48">(aKLE*KL^rhoKLE+bKLE*(alphaEY*Y)^rhoKLE)^(1/rhoKLE)-KLE</f>
        <v>-8.5492501966655254E-11</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53.686091391096191</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3835830.3127996684</v>
      </c>
      <c r="J55" s="113" t="s">
        <v>71</v>
      </c>
      <c r="K55" s="120">
        <f t="array" ref="K55">pK/pI/Calibration!pK*Calibration!pI-1</f>
        <v>0</v>
      </c>
      <c r="N55" s="77">
        <f t="array" ref="N55:N59">AGGREGATES/Calibration!AGGREGATES-1</f>
        <v>0.31147121892845653</v>
      </c>
      <c r="T55" s="113" t="s">
        <v>137</v>
      </c>
      <c r="U55" s="120">
        <f>SUM(K)/SUM(Calibration!K)-1</f>
        <v>-0.8109421065604262</v>
      </c>
      <c r="W55" s="120">
        <f>SUM(K)/SUM(Calibration!K)-1</f>
        <v>-0.8109421065604262</v>
      </c>
      <c r="Y55" s="120">
        <f>SUM(K)/SUM(Calibration!K)-1</f>
        <v>-0.8109421065604262</v>
      </c>
      <c r="AA55" s="120">
        <f>SUM(K)/SUM(Calibration!K)-1</f>
        <v>-0.8109421065604262</v>
      </c>
      <c r="AC55" s="120">
        <f>SUM(K)/SUM(Calibration!K)-1</f>
        <v>-0.8109421065604262</v>
      </c>
      <c r="AE55" s="120">
        <f>SUM(K)/SUM(Calibration!K)-1</f>
        <v>-0.8109421065604262</v>
      </c>
      <c r="AG55" s="120">
        <f t="array" ref="AG55">pK/pI/Calibration!pK*Calibration!pI*20%^sigmaw*(20%+80%*(SUM(Calibration!K)-SUM(K))/SUM(Calibration!K))^-sigmaw-1</f>
        <v>0.15551388306508995</v>
      </c>
      <c r="AI55" s="120">
        <f t="array" ref="AI55">pK/pI/Calibration!pK*Calibration!pI-1</f>
        <v>0</v>
      </c>
      <c r="AK55" s="120">
        <f>SUM(K)/SUM(Calibration!K)-1</f>
        <v>-0.8109421065604262</v>
      </c>
    </row>
    <row r="56" spans="2:38" ht="10.5" x14ac:dyDescent="0.25">
      <c r="B56" t="s">
        <v>47</v>
      </c>
      <c r="C56" s="80">
        <f>(aU*CQ^rhoU+bU*CE^rhoU)^(1/rhoU)</f>
        <v>0.15125036338528894</v>
      </c>
      <c r="J56" s="113" t="s">
        <v>74</v>
      </c>
      <c r="K56" s="120">
        <f t="array" ref="K56">w/CPI/Calibration!w*10.8%^sigmaw*(10.8%+89.2%*(SUM(Calibration!Labour)-SUM(Labour))/SUM(Calibration!Labour))^-sigmaw-1</f>
        <v>-8.0624729115186256E-11</v>
      </c>
      <c r="N56" s="78">
        <v>-0.84874963661471103</v>
      </c>
      <c r="T56" s="113" t="s">
        <v>138</v>
      </c>
      <c r="U56" s="120">
        <f>SUM(Labour)/SUM(Calibration!Labour)-1</f>
        <v>-0.82427152705737805</v>
      </c>
      <c r="W56" s="120">
        <f>SUM(Labour)/SUM(Calibration!Labour)-1</f>
        <v>-0.82427152705737805</v>
      </c>
      <c r="Y56" s="120">
        <f>SUM(Labour)/SUM(Calibration!Labour)-1</f>
        <v>-0.82427152705737805</v>
      </c>
      <c r="AA56" s="120">
        <f t="array" ref="AA56">omegaI*GDP/SUM(pI*I)-1</f>
        <v>-0.7535268266269034</v>
      </c>
      <c r="AC56" s="120">
        <f t="array" ref="AC56">w/CPI/Calibration!w-1</f>
        <v>-0.18577069301127536</v>
      </c>
      <c r="AE56" s="120">
        <f t="array" ref="AE56">w/CPI/Calibration!w-1</f>
        <v>-0.18577069301127536</v>
      </c>
      <c r="AG56" s="120">
        <f t="array" ref="AG56">w/CPI/Calibration!w*10.8%^sigmaw*(10.8%+89.2%*(SUM(Calibration!Labour)-SUM(Labour))/SUM(Calibration!Labour))^-sigmaw-1</f>
        <v>-8.0624729115186256E-11</v>
      </c>
      <c r="AI56" s="120">
        <f t="array" ref="AI56">w/CPI/Calibration!w*10.8%^sigmaw*(10.8%+89.2%*(SUM(Calibration!Labour)-SUM(Labour))/SUM(Calibration!Labour))^-sigmaw-1</f>
        <v>-8.0624729115186256E-11</v>
      </c>
      <c r="AK56" s="120">
        <f t="array" ref="AK56">w/CPI/Calibration!w-1</f>
        <v>-0.18577069301127536</v>
      </c>
    </row>
    <row r="57" spans="2:38" ht="10.5" x14ac:dyDescent="0.25">
      <c r="B57" t="s">
        <v>64</v>
      </c>
      <c r="C57" s="86">
        <f>ABS(C87)</f>
        <v>12529992.401600601</v>
      </c>
      <c r="J57" s="113" t="s">
        <v>88</v>
      </c>
      <c r="K57" s="120">
        <f t="array" ref="K57">I/SUM(K)/Calibration!I*SUM(K)-1</f>
        <v>0</v>
      </c>
      <c r="N57" s="78">
        <v>-0.14961293629643535</v>
      </c>
      <c r="Q57" s="120">
        <f t="array" ref="Q57">(SUM(pC*Consumption+pG*G+pI*I)+B)/GDP-1</f>
        <v>0</v>
      </c>
      <c r="R57" s="120">
        <f t="array" ref="R57">SUM(w*Labour,pK*K,T)/GDP-1</f>
        <v>1.4351053678751668E-10</v>
      </c>
      <c r="T57" s="113" t="s">
        <v>139</v>
      </c>
      <c r="U57" s="120">
        <f>B/GDP/Calibration!B*Calibration!GDP-1</f>
        <v>-7.9079572576917982</v>
      </c>
      <c r="W57" s="120">
        <f>B/GDP/Calibration!B*Calibration!GDP-1</f>
        <v>-7.9079572576917982</v>
      </c>
      <c r="Y57" s="120">
        <f>B/GDP/Calibration!B*Calibration!GDP-1</f>
        <v>-7.9079572576917982</v>
      </c>
      <c r="AA57" s="120">
        <f>B/GDP/Calibration!B*Calibration!GDP-1</f>
        <v>-7.9079572576917982</v>
      </c>
      <c r="AC57" s="120">
        <f>B/GDP/Calibration!B*Calibration!GDP-1</f>
        <v>-7.9079572576917982</v>
      </c>
      <c r="AE57" s="120">
        <f>B/GDP/Calibration!B*Calibration!GDP-1</f>
        <v>-7.9079572576917982</v>
      </c>
      <c r="AG57" s="120">
        <f>B/GDP/Calibration!B*Calibration!GDP-1</f>
        <v>-7.9079572576917982</v>
      </c>
      <c r="AI57" s="120">
        <f t="array" ref="AI57">I/SUM(K)/Calibration!I*SUM(K)-1</f>
        <v>0</v>
      </c>
      <c r="AK57" s="120">
        <f>B/GDP/Calibration!B*Calibration!GDP-1</f>
        <v>-7.9079572576917982</v>
      </c>
    </row>
    <row r="58" spans="2:38" ht="10.5" x14ac:dyDescent="0.25">
      <c r="B58" t="s">
        <v>54</v>
      </c>
      <c r="C58" s="117">
        <f t="array" ref="C58">GDP-SUM(pG*G,pI*I,B)</f>
        <v>5172449.325109194</v>
      </c>
      <c r="J58" s="113" t="s">
        <v>136</v>
      </c>
      <c r="K58" s="120">
        <f t="array" ref="K58:L58">bKL*(KL/Labour)^(1/sigmaKL)*pKL/pL-1</f>
        <v>-6.521427842187677E-11</v>
      </c>
      <c r="L58" s="120">
        <v>-6.034942383603692E-7</v>
      </c>
      <c r="N58" s="78">
        <v>-0.26314876622388761</v>
      </c>
      <c r="Q58" s="120">
        <f t="array" ref="Q58">SUM(pC*Consumption)-Revenue</f>
        <v>0</v>
      </c>
      <c r="T58" s="113" t="s">
        <v>140</v>
      </c>
      <c r="U58" s="120">
        <f t="array" ref="U58:V58">bKL*(KL/Labour)^(1/sigmaKL)*pKL/pL-1</f>
        <v>-6.521427842187677E-11</v>
      </c>
      <c r="V58" s="120">
        <v>-6.034942383603692E-7</v>
      </c>
      <c r="W58" s="120">
        <f t="array" ref="W58:X58">bKL*(KL/Labour)^(1/sigmaKL)*pKL/pL-1</f>
        <v>-6.521427842187677E-11</v>
      </c>
      <c r="X58" s="120">
        <v>-6.034942383603692E-7</v>
      </c>
      <c r="Y58" s="120">
        <f t="array" ref="Y58">omegaI*GDP/SUM(pI*I)-1</f>
        <v>-0.7535268266269034</v>
      </c>
      <c r="Z58" s="120">
        <f>Labour_Q/KL_Q/Calibration!Labour_Q*Calibration!KL_Q-Labour_E/KL_E/Calibration!Labour_E*Calibration!KL_E</f>
        <v>-9.2072329279611065E-3</v>
      </c>
      <c r="AA58" s="120">
        <f t="array" ref="AA58:AB58">bKL*(KL/Labour)^(1/sigmaKL)*pKL/pL-1</f>
        <v>-6.521427842187677E-11</v>
      </c>
      <c r="AB58" s="120">
        <v>-6.034942383603692E-7</v>
      </c>
      <c r="AC58" s="120">
        <f t="array" ref="AC58">omegaI*GDP/SUM(pI*I)-1</f>
        <v>-0.7535268266269034</v>
      </c>
      <c r="AD58" s="120">
        <f>Labour_Q/KL_Q/Calibration!Labour_Q*Calibration!KL_Q-Labour_E/KL_E/Calibration!Labour_E*Calibration!KL_E</f>
        <v>-9.2072329279611065E-3</v>
      </c>
      <c r="AE58" s="120">
        <f t="array" ref="AE58">omegaI*GDP/SUM(pI*I)-1</f>
        <v>-0.7535268266269034</v>
      </c>
      <c r="AF58" s="120">
        <f>Labour_Q/KL_Q/Calibration!Labour_Q*Calibration!KL_Q-Labour_E/KL_E/Calibration!Labour_E*Calibration!KL_E</f>
        <v>-9.2072329279611065E-3</v>
      </c>
      <c r="AG58" s="120">
        <f t="array" ref="AG58:AH58">bKL*(KL/Labour)^(1/sigmaKL)*pKL/pL-1</f>
        <v>-6.521427842187677E-11</v>
      </c>
      <c r="AH58" s="120">
        <v>-6.034942383603692E-7</v>
      </c>
      <c r="AI58" s="120">
        <f t="array" ref="AI58:AJ58">bKL*(KL/Labour)^(1/sigmaKL)*pKL/pL-1</f>
        <v>-6.521427842187677E-11</v>
      </c>
      <c r="AJ58" s="120">
        <v>-6.034942383603692E-7</v>
      </c>
      <c r="AK58" s="120">
        <f t="array" ref="AK58">(pI*I)/(Calibration!pI*Calibration!I)-1</f>
        <v>2.4502215882793008</v>
      </c>
      <c r="AL58" s="120">
        <f>Labour_Q/KL_Q/Calibration!Labour_Q*Calibration!KL_Q-Labour_E/KL_E/Calibration!Labour_E*Calibration!KL_E</f>
        <v>-9.2072329279611065E-3</v>
      </c>
    </row>
    <row r="59" spans="2:38" ht="10.5" x14ac:dyDescent="0.25">
      <c r="B59" t="s">
        <v>75</v>
      </c>
      <c r="C59" s="117">
        <f t="array" ref="C59">SUM(pX*X - pW*M)</f>
        <v>-6678527.2081816075</v>
      </c>
      <c r="J59" s="113" t="s">
        <v>70</v>
      </c>
      <c r="K59" s="120">
        <f t="array" ref="K59">(sL*(SUM(w*Labour))+sG*(T-SUM(pG*G))+sK*SUM(pK*K)-B)/SUM(pI*I)-1</f>
        <v>1.6437606831232188E-10</v>
      </c>
      <c r="N59" s="79">
        <v>-6.8744374885582564</v>
      </c>
      <c r="T59" s="113" t="s">
        <v>141</v>
      </c>
      <c r="U59" s="120">
        <f t="array" ref="U59">(sL*(SUM(w*Labour))+sG*(T-SUM(pG*G))+sK*SUM(pK*K)-B)/SUM(pI*I)-1</f>
        <v>1.6437606831232188E-10</v>
      </c>
      <c r="W59" s="120">
        <f t="array" ref="W59">omegaI*GDP/SUM(pI*I)-1</f>
        <v>-0.7535268266269034</v>
      </c>
      <c r="Y59" s="120">
        <f t="array" ref="Y59">(sL*(SUM(w*Labour))+sG*(T-SUM(pG*G))+sK*SUM(pK*K)-B)/SUM(pI*I)-1</f>
        <v>1.6437606831232188E-10</v>
      </c>
      <c r="AA59" s="120">
        <f t="array" ref="AA59">(sL*(SUM(w*Labour))+sG*(T-SUM(pG*G))+sK*SUM(pK*K)-B)/SUM(pI*I)-1</f>
        <v>1.6437606831232188E-10</v>
      </c>
      <c r="AC59" s="120">
        <f t="array" ref="AC59">(sL*(SUM(w*Labour))+sG*(T-SUM(pG*G))+sK*SUM(pK*K)-B)/SUM(pI*I)-1</f>
        <v>1.6437606831232188E-10</v>
      </c>
      <c r="AE59" s="120">
        <f t="array" ref="AE59">(sL*(SUM(w*Labour))+sG*(T-SUM(pG*G))+sK*SUM(pK*K)-B)/SUM(pI*I)-1</f>
        <v>1.6437606831232188E-10</v>
      </c>
      <c r="AG59" s="120">
        <f t="array" ref="AG59">(sL*(SUM(w*Labour))+sG*(T-SUM(pG*G))+sK*SUM(pK*K)-B)/SUM(pI*I)-1</f>
        <v>1.6437606831232188E-10</v>
      </c>
      <c r="AI59" s="120">
        <f t="array" ref="AI59">(sL*(SUM(w*Labour))+sG*(T-SUM(pG*G))+sK*SUM(pK*K)-B)/SUM(pI*I)-1</f>
        <v>1.6437606831232188E-10</v>
      </c>
      <c r="AK59" s="120">
        <f t="array" ref="AK59">(sL*(SUM(w*Labour))+sG*(T-SUM(pG*G))+sK*SUM(pK*K)-B)/SUM(pI*I)-1</f>
        <v>1.6437606831232188E-10</v>
      </c>
    </row>
    <row r="60" spans="2:38" ht="10.5" x14ac:dyDescent="0.25">
      <c r="B60" t="s">
        <v>161</v>
      </c>
      <c r="C60" s="232">
        <f t="array" ref="C60">SQRT(SUM(pC*Calibration!Consumption)*SUM(pC*Consumption)/SUM(Calibration!pC*Calibration!Consumption)/SUM(Calibration!pC*Consumption))</f>
        <v>5.9136777192011856</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0.36114833160716475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0.53066719463508072</v>
      </c>
      <c r="D70" s="38">
        <v>0.62169623976207511</v>
      </c>
      <c r="E70" t="s">
        <v>24</v>
      </c>
      <c r="N70" s="71">
        <f t="array" ref="N70:O73">FACTORS/Calibration!FACTORS-1</f>
        <v>0.12439572616602446</v>
      </c>
      <c r="O70" s="72">
        <v>0.95878724270387572</v>
      </c>
    </row>
    <row r="71" spans="2:15" x14ac:dyDescent="0.2">
      <c r="C71" s="39">
        <f t="array" ref="C71:D71">(bKLE/pEY)^sigmaKLE*(aKLE^sigmaKLE*pKL^(1-sigmaKLE)+bKLE^sigmaKLE*pEY^(1-sigmaKLE))^(-1/rhoKLE)*KLE/Y</f>
        <v>9.3111083726058169E-4</v>
      </c>
      <c r="D71" s="40">
        <v>0.18637214158567086</v>
      </c>
      <c r="E71" t="s">
        <v>25</v>
      </c>
      <c r="N71" s="73">
        <v>-0.95649668858752301</v>
      </c>
      <c r="O71" s="74">
        <v>-0.46693643798170059</v>
      </c>
    </row>
    <row r="72" spans="2:15" x14ac:dyDescent="0.2">
      <c r="B72" t="s">
        <v>22</v>
      </c>
      <c r="C72" s="37">
        <f t="array" ref="C72:D72">Labour/Y</f>
        <v>0.17760659185927247</v>
      </c>
      <c r="D72" s="38">
        <v>0.15544574847896453</v>
      </c>
      <c r="N72" s="73">
        <v>-1.7613478845754371E-2</v>
      </c>
      <c r="O72" s="74">
        <v>1.5665761971655936</v>
      </c>
    </row>
    <row r="73" spans="2:15" x14ac:dyDescent="0.2">
      <c r="B73" t="s">
        <v>23</v>
      </c>
      <c r="C73" s="39">
        <f t="array" ref="C73:D73">K/Y</f>
        <v>0.25041574829103208</v>
      </c>
      <c r="D73" s="40">
        <v>0.59608295410877621</v>
      </c>
      <c r="N73" s="75">
        <v>8.5699439181525783E-2</v>
      </c>
      <c r="O73" s="76">
        <v>1.6981600724401908</v>
      </c>
    </row>
    <row r="79" spans="2:15" ht="10.5" x14ac:dyDescent="0.25">
      <c r="B79" s="96" t="s">
        <v>106</v>
      </c>
    </row>
    <row r="80" spans="2:15" x14ac:dyDescent="0.2">
      <c r="B80" t="s">
        <v>12</v>
      </c>
      <c r="C80" s="84">
        <v>4079.3285302631648</v>
      </c>
      <c r="D80" s="85">
        <v>23555.716678328085</v>
      </c>
    </row>
    <row r="81" spans="2:5" x14ac:dyDescent="0.2">
      <c r="B81" t="s">
        <v>128</v>
      </c>
      <c r="C81" s="97">
        <v>3450.2215882793012</v>
      </c>
      <c r="D81" s="98">
        <v>1749.8890050876976</v>
      </c>
    </row>
    <row r="82" spans="2:5" x14ac:dyDescent="0.2">
      <c r="B82" t="s">
        <v>17</v>
      </c>
      <c r="C82" s="97">
        <v>4815.0897110598426</v>
      </c>
      <c r="D82" s="98">
        <v>1000</v>
      </c>
    </row>
    <row r="83" spans="2:5" x14ac:dyDescent="0.2">
      <c r="B83" t="s">
        <v>18</v>
      </c>
      <c r="C83" s="156">
        <v>3450.2215882793012</v>
      </c>
      <c r="D83" s="157">
        <v>1000</v>
      </c>
    </row>
    <row r="84" spans="2:5" x14ac:dyDescent="0.2">
      <c r="B84" t="s">
        <v>61</v>
      </c>
      <c r="C84" s="156">
        <v>4161.0013523414391</v>
      </c>
      <c r="D84" s="157">
        <v>3832.7384139016785</v>
      </c>
    </row>
    <row r="85" spans="2:5" x14ac:dyDescent="0.2">
      <c r="B85" t="s">
        <v>127</v>
      </c>
      <c r="C85" s="82">
        <v>7907.8019757719157</v>
      </c>
      <c r="D85" s="83">
        <v>14.08541870999948</v>
      </c>
    </row>
    <row r="86" spans="2:5" x14ac:dyDescent="0.2">
      <c r="B86" t="s">
        <v>8</v>
      </c>
      <c r="C86" s="97">
        <v>3196.3846373657216</v>
      </c>
      <c r="D86" s="224">
        <v>53.686091391096191</v>
      </c>
      <c r="E86" t="s">
        <v>164</v>
      </c>
    </row>
    <row r="87" spans="2:5" x14ac:dyDescent="0.2">
      <c r="B87" t="s">
        <v>64</v>
      </c>
      <c r="C87" s="159">
        <v>12529992.401600601</v>
      </c>
      <c r="D87" s="160">
        <v>0</v>
      </c>
    </row>
    <row r="88" spans="2:5" x14ac:dyDescent="0.2">
      <c r="B88" t="s">
        <v>27</v>
      </c>
      <c r="C88" s="159">
        <v>898.18343347206257</v>
      </c>
      <c r="D88" s="167">
        <v>5.0249946763849515E-5</v>
      </c>
    </row>
    <row r="89" spans="2:5" x14ac:dyDescent="0.2">
      <c r="B89" t="s">
        <v>19</v>
      </c>
      <c r="C89" s="158">
        <v>5057.151449557362</v>
      </c>
      <c r="D89" s="161">
        <v>3.2326356465548183E-4</v>
      </c>
    </row>
  </sheetData>
  <conditionalFormatting sqref="K21:L21">
    <cfRule type="cellIs" dxfId="87" priority="1748" stopIfTrue="1" operator="notEqual">
      <formula>0</formula>
    </cfRule>
  </conditionalFormatting>
  <conditionalFormatting sqref="Q48:R48">
    <cfRule type="cellIs" dxfId="86" priority="1737" stopIfTrue="1" operator="notEqual">
      <formula>0</formula>
    </cfRule>
  </conditionalFormatting>
  <conditionalFormatting sqref="K39:L39">
    <cfRule type="cellIs" dxfId="85" priority="1745" stopIfTrue="1" operator="notEqual">
      <formula>0</formula>
    </cfRule>
  </conditionalFormatting>
  <conditionalFormatting sqref="K41">
    <cfRule type="cellIs" dxfId="84" priority="1744" stopIfTrue="1" operator="notEqual">
      <formula>0</formula>
    </cfRule>
  </conditionalFormatting>
  <conditionalFormatting sqref="Q47:R47">
    <cfRule type="cellIs" dxfId="83" priority="1742" stopIfTrue="1" operator="notEqual">
      <formula>0</formula>
    </cfRule>
  </conditionalFormatting>
  <conditionalFormatting sqref="Q37:R37">
    <cfRule type="cellIs" dxfId="82" priority="1739" stopIfTrue="1" operator="notEqual">
      <formula>0</formula>
    </cfRule>
  </conditionalFormatting>
  <conditionalFormatting sqref="R57">
    <cfRule type="cellIs" dxfId="81" priority="1733" stopIfTrue="1" operator="notEqual">
      <formula>0</formula>
    </cfRule>
  </conditionalFormatting>
  <conditionalFormatting sqref="Q57:Q58">
    <cfRule type="cellIs" dxfId="80" priority="1735" stopIfTrue="1" operator="notEqual">
      <formula>0</formula>
    </cfRule>
  </conditionalFormatting>
  <conditionalFormatting sqref="W59">
    <cfRule type="cellIs" dxfId="79" priority="1680" stopIfTrue="1" operator="notEqual">
      <formula>0</formula>
    </cfRule>
  </conditionalFormatting>
  <conditionalFormatting sqref="K37:L37">
    <cfRule type="cellIs" dxfId="78" priority="1314" stopIfTrue="1" operator="notEqual">
      <formula>0</formula>
    </cfRule>
  </conditionalFormatting>
  <conditionalFormatting sqref="Q21:R21">
    <cfRule type="cellIs" dxfId="77" priority="1297" stopIfTrue="1" operator="notEqual">
      <formula>0</formula>
    </cfRule>
  </conditionalFormatting>
  <conditionalFormatting sqref="Q23:R23">
    <cfRule type="cellIs" dxfId="76" priority="1301" stopIfTrue="1" operator="notEqual">
      <formula>0</formula>
    </cfRule>
  </conditionalFormatting>
  <conditionalFormatting sqref="Q38:R38">
    <cfRule type="cellIs" dxfId="75" priority="1300" stopIfTrue="1" operator="notEqual">
      <formula>0</formula>
    </cfRule>
  </conditionalFormatting>
  <conditionalFormatting sqref="Q34:R34">
    <cfRule type="cellIs" dxfId="74" priority="1299" stopIfTrue="1" operator="notEqual">
      <formula>0</formula>
    </cfRule>
  </conditionalFormatting>
  <conditionalFormatting sqref="Q35:R35">
    <cfRule type="cellIs" dxfId="73" priority="1298" stopIfTrue="1" operator="notEqual">
      <formula>0</formula>
    </cfRule>
  </conditionalFormatting>
  <conditionalFormatting sqref="K23:L23">
    <cfRule type="cellIs" dxfId="72" priority="1296" stopIfTrue="1" operator="notEqual">
      <formula>0</formula>
    </cfRule>
  </conditionalFormatting>
  <conditionalFormatting sqref="K34:L34">
    <cfRule type="cellIs" dxfId="71" priority="1067" stopIfTrue="1" operator="notEqual">
      <formula>0</formula>
    </cfRule>
  </conditionalFormatting>
  <conditionalFormatting sqref="Q33:R33">
    <cfRule type="cellIs" dxfId="70" priority="1061" stopIfTrue="1" operator="notEqual">
      <formula>0</formula>
    </cfRule>
  </conditionalFormatting>
  <conditionalFormatting sqref="Q46:R46">
    <cfRule type="cellIs" dxfId="69" priority="1065" stopIfTrue="1" operator="notEqual">
      <formula>0</formula>
    </cfRule>
  </conditionalFormatting>
  <conditionalFormatting sqref="Q45:R45">
    <cfRule type="cellIs" dxfId="68" priority="1066" stopIfTrue="1" operator="notEqual">
      <formula>0</formula>
    </cfRule>
  </conditionalFormatting>
  <conditionalFormatting sqref="W58">
    <cfRule type="cellIs" dxfId="67" priority="1052" stopIfTrue="1" operator="notEqual">
      <formula>0</formula>
    </cfRule>
  </conditionalFormatting>
  <conditionalFormatting sqref="Q32:R32">
    <cfRule type="cellIs" dxfId="66" priority="1062" stopIfTrue="1" operator="notEqual">
      <formula>0</formula>
    </cfRule>
  </conditionalFormatting>
  <conditionalFormatting sqref="X58">
    <cfRule type="cellIs" dxfId="65" priority="1051" stopIfTrue="1" operator="notEqual">
      <formula>0</formula>
    </cfRule>
  </conditionalFormatting>
  <conditionalFormatting sqref="W55">
    <cfRule type="cellIs" dxfId="64" priority="1010" stopIfTrue="1" operator="notEqual">
      <formula>0</formula>
    </cfRule>
  </conditionalFormatting>
  <conditionalFormatting sqref="W56">
    <cfRule type="cellIs" dxfId="63" priority="1009" stopIfTrue="1" operator="notEqual">
      <formula>0</formula>
    </cfRule>
  </conditionalFormatting>
  <conditionalFormatting sqref="Y55">
    <cfRule type="cellIs" dxfId="62" priority="1007" stopIfTrue="1" operator="notEqual">
      <formula>0</formula>
    </cfRule>
  </conditionalFormatting>
  <conditionalFormatting sqref="Y56">
    <cfRule type="cellIs" dxfId="61" priority="1006" stopIfTrue="1" operator="notEqual">
      <formula>0</formula>
    </cfRule>
  </conditionalFormatting>
  <conditionalFormatting sqref="AA59">
    <cfRule type="cellIs" dxfId="60" priority="1003" stopIfTrue="1" operator="notEqual">
      <formula>0</formula>
    </cfRule>
  </conditionalFormatting>
  <conditionalFormatting sqref="AA55">
    <cfRule type="cellIs" dxfId="59" priority="1001" stopIfTrue="1" operator="notEqual">
      <formula>0</formula>
    </cfRule>
  </conditionalFormatting>
  <conditionalFormatting sqref="AA58">
    <cfRule type="cellIs" dxfId="58" priority="997" stopIfTrue="1" operator="notEqual">
      <formula>0</formula>
    </cfRule>
  </conditionalFormatting>
  <conditionalFormatting sqref="AB58">
    <cfRule type="cellIs" dxfId="57" priority="996" stopIfTrue="1" operator="notEqual">
      <formula>0</formula>
    </cfRule>
  </conditionalFormatting>
  <conditionalFormatting sqref="U58">
    <cfRule type="cellIs" dxfId="56" priority="974" stopIfTrue="1" operator="notEqual">
      <formula>0</formula>
    </cfRule>
  </conditionalFormatting>
  <conditionalFormatting sqref="V58">
    <cfRule type="cellIs" dxfId="55" priority="973" stopIfTrue="1" operator="notEqual">
      <formula>0</formula>
    </cfRule>
  </conditionalFormatting>
  <conditionalFormatting sqref="U57">
    <cfRule type="cellIs" dxfId="54" priority="971" stopIfTrue="1" operator="notEqual">
      <formula>0</formula>
    </cfRule>
  </conditionalFormatting>
  <conditionalFormatting sqref="U55">
    <cfRule type="cellIs" dxfId="53" priority="975" stopIfTrue="1" operator="notEqual">
      <formula>0</formula>
    </cfRule>
  </conditionalFormatting>
  <conditionalFormatting sqref="U56">
    <cfRule type="cellIs" dxfId="52" priority="972" stopIfTrue="1" operator="notEqual">
      <formula>0</formula>
    </cfRule>
  </conditionalFormatting>
  <conditionalFormatting sqref="U59">
    <cfRule type="cellIs" dxfId="51" priority="970" stopIfTrue="1" operator="notEqual">
      <formula>0</formula>
    </cfRule>
  </conditionalFormatting>
  <conditionalFormatting sqref="Z58">
    <cfRule type="cellIs" dxfId="50" priority="948" stopIfTrue="1" operator="notEqual">
      <formula>0</formula>
    </cfRule>
  </conditionalFormatting>
  <conditionalFormatting sqref="AC59">
    <cfRule type="cellIs" dxfId="49" priority="941" stopIfTrue="1" operator="notEqual">
      <formula>0</formula>
    </cfRule>
  </conditionalFormatting>
  <conditionalFormatting sqref="AC55">
    <cfRule type="cellIs" dxfId="48" priority="940" stopIfTrue="1" operator="notEqual">
      <formula>0</formula>
    </cfRule>
  </conditionalFormatting>
  <conditionalFormatting sqref="AC56">
    <cfRule type="cellIs" dxfId="47" priority="936" stopIfTrue="1" operator="notEqual">
      <formula>0</formula>
    </cfRule>
  </conditionalFormatting>
  <conditionalFormatting sqref="AD58">
    <cfRule type="cellIs" dxfId="46" priority="934" stopIfTrue="1" operator="notEqual">
      <formula>0</formula>
    </cfRule>
  </conditionalFormatting>
  <conditionalFormatting sqref="AE59">
    <cfRule type="cellIs" dxfId="45" priority="927" stopIfTrue="1" operator="notEqual">
      <formula>0</formula>
    </cfRule>
  </conditionalFormatting>
  <conditionalFormatting sqref="AE55">
    <cfRule type="cellIs" dxfId="44" priority="926" stopIfTrue="1" operator="notEqual">
      <formula>0</formula>
    </cfRule>
  </conditionalFormatting>
  <conditionalFormatting sqref="AE56">
    <cfRule type="cellIs" dxfId="43" priority="924" stopIfTrue="1" operator="notEqual">
      <formula>0</formula>
    </cfRule>
  </conditionalFormatting>
  <conditionalFormatting sqref="AF58">
    <cfRule type="cellIs" dxfId="42" priority="922" stopIfTrue="1" operator="notEqual">
      <formula>0</formula>
    </cfRule>
  </conditionalFormatting>
  <conditionalFormatting sqref="AI59">
    <cfRule type="cellIs" dxfId="41" priority="915" stopIfTrue="1" operator="notEqual">
      <formula>0</formula>
    </cfRule>
  </conditionalFormatting>
  <conditionalFormatting sqref="AI57">
    <cfRule type="cellIs" dxfId="40" priority="913" stopIfTrue="1" operator="notEqual">
      <formula>0</formula>
    </cfRule>
  </conditionalFormatting>
  <conditionalFormatting sqref="AI55">
    <cfRule type="cellIs" dxfId="39" priority="914" stopIfTrue="1" operator="notEqual">
      <formula>0</formula>
    </cfRule>
  </conditionalFormatting>
  <conditionalFormatting sqref="AI58">
    <cfRule type="cellIs" dxfId="38" priority="909" stopIfTrue="1" operator="notEqual">
      <formula>0</formula>
    </cfRule>
  </conditionalFormatting>
  <conditionalFormatting sqref="AJ58">
    <cfRule type="cellIs" dxfId="37" priority="908" stopIfTrue="1" operator="notEqual">
      <formula>0</formula>
    </cfRule>
  </conditionalFormatting>
  <conditionalFormatting sqref="W57">
    <cfRule type="cellIs" dxfId="36" priority="810" stopIfTrue="1" operator="notEqual">
      <formula>0</formula>
    </cfRule>
  </conditionalFormatting>
  <conditionalFormatting sqref="Y57">
    <cfRule type="cellIs" dxfId="35" priority="809" stopIfTrue="1" operator="notEqual">
      <formula>0</formula>
    </cfRule>
  </conditionalFormatting>
  <conditionalFormatting sqref="AA57">
    <cfRule type="cellIs" dxfId="34" priority="808" stopIfTrue="1" operator="notEqual">
      <formula>0</formula>
    </cfRule>
  </conditionalFormatting>
  <conditionalFormatting sqref="AC57">
    <cfRule type="cellIs" dxfId="33" priority="807" stopIfTrue="1" operator="notEqual">
      <formula>0</formula>
    </cfRule>
  </conditionalFormatting>
  <conditionalFormatting sqref="AE57">
    <cfRule type="cellIs" dxfId="32" priority="806" stopIfTrue="1" operator="notEqual">
      <formula>0</formula>
    </cfRule>
  </conditionalFormatting>
  <conditionalFormatting sqref="AK57">
    <cfRule type="cellIs" dxfId="31" priority="706" stopIfTrue="1" operator="notEqual">
      <formula>0</formula>
    </cfRule>
  </conditionalFormatting>
  <conditionalFormatting sqref="AK58">
    <cfRule type="cellIs" dxfId="30" priority="705" stopIfTrue="1" operator="notEqual">
      <formula>0</formula>
    </cfRule>
  </conditionalFormatting>
  <conditionalFormatting sqref="Y58">
    <cfRule type="cellIs" dxfId="29" priority="744" stopIfTrue="1" operator="notEqual">
      <formula>0</formula>
    </cfRule>
  </conditionalFormatting>
  <conditionalFormatting sqref="AA56">
    <cfRule type="cellIs" dxfId="28" priority="737" stopIfTrue="1" operator="notEqual">
      <formula>0</formula>
    </cfRule>
  </conditionalFormatting>
  <conditionalFormatting sqref="AC58">
    <cfRule type="cellIs" dxfId="27" priority="730" stopIfTrue="1" operator="notEqual">
      <formula>0</formula>
    </cfRule>
  </conditionalFormatting>
  <conditionalFormatting sqref="AE58">
    <cfRule type="cellIs" dxfId="26" priority="723" stopIfTrue="1" operator="notEqual">
      <formula>0</formula>
    </cfRule>
  </conditionalFormatting>
  <conditionalFormatting sqref="AK59">
    <cfRule type="cellIs" dxfId="25" priority="710" stopIfTrue="1" operator="notEqual">
      <formula>0</formula>
    </cfRule>
  </conditionalFormatting>
  <conditionalFormatting sqref="AK56">
    <cfRule type="cellIs" dxfId="24" priority="708" stopIfTrue="1" operator="notEqual">
      <formula>0</formula>
    </cfRule>
  </conditionalFormatting>
  <conditionalFormatting sqref="AK55">
    <cfRule type="cellIs" dxfId="23" priority="709" stopIfTrue="1" operator="notEqual">
      <formula>0</formula>
    </cfRule>
  </conditionalFormatting>
  <conditionalFormatting sqref="AL58">
    <cfRule type="cellIs" dxfId="22" priority="707" stopIfTrue="1" operator="notEqual">
      <formula>0</formula>
    </cfRule>
  </conditionalFormatting>
  <conditionalFormatting sqref="T21:U21">
    <cfRule type="cellIs" dxfId="21" priority="667" stopIfTrue="1" operator="notEqual">
      <formula>0</formula>
    </cfRule>
  </conditionalFormatting>
  <conditionalFormatting sqref="AG58">
    <cfRule type="cellIs" dxfId="20" priority="644" stopIfTrue="1" operator="notEqual">
      <formula>0</formula>
    </cfRule>
  </conditionalFormatting>
  <conditionalFormatting sqref="AH58">
    <cfRule type="cellIs" dxfId="19" priority="643" stopIfTrue="1" operator="notEqual">
      <formula>0</formula>
    </cfRule>
  </conditionalFormatting>
  <conditionalFormatting sqref="AG57">
    <cfRule type="cellIs" dxfId="18" priority="640" stopIfTrue="1" operator="notEqual">
      <formula>0</formula>
    </cfRule>
  </conditionalFormatting>
  <conditionalFormatting sqref="AG59">
    <cfRule type="cellIs" dxfId="17" priority="647" stopIfTrue="1" operator="notEqual">
      <formula>0</formula>
    </cfRule>
  </conditionalFormatting>
  <conditionalFormatting sqref="AG56">
    <cfRule type="cellIs" dxfId="16" priority="519" stopIfTrue="1" operator="notEqual">
      <formula>0</formula>
    </cfRule>
  </conditionalFormatting>
  <conditionalFormatting sqref="AG55">
    <cfRule type="cellIs" dxfId="15" priority="518" stopIfTrue="1" operator="notEqual">
      <formula>0</formula>
    </cfRule>
  </conditionalFormatting>
  <conditionalFormatting sqref="AI56">
    <cfRule type="cellIs" dxfId="14" priority="517" stopIfTrue="1" operator="notEqual">
      <formula>0</formula>
    </cfRule>
  </conditionalFormatting>
  <conditionalFormatting sqref="Y59">
    <cfRule type="cellIs" dxfId="13" priority="396"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AL2" activePane="bottomRight" state="frozen"/>
      <selection pane="topRight" activeCell="B1" sqref="B1"/>
      <selection pane="bottomLeft" activeCell="A2" sqref="A2"/>
      <selection pane="bottomRight" activeCell="AQ28"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3.2448554934034694E-2</v>
      </c>
      <c r="E2" s="227"/>
      <c r="F2" s="226">
        <v>6.1123564371438406E-2</v>
      </c>
      <c r="G2" s="227"/>
      <c r="H2" s="226">
        <v>9.2044520429936924E-2</v>
      </c>
      <c r="I2" s="227"/>
      <c r="J2" s="226">
        <v>0.12550211832853883</v>
      </c>
      <c r="K2" s="227"/>
      <c r="L2" s="226">
        <v>0.16183991020998698</v>
      </c>
      <c r="M2" s="227"/>
      <c r="N2" s="226">
        <v>0.20146659550949511</v>
      </c>
      <c r="O2" s="227"/>
      <c r="P2" s="226">
        <v>0.24487340927590068</v>
      </c>
      <c r="Q2" s="227"/>
      <c r="R2" s="226">
        <v>0.29265783594979689</v>
      </c>
      <c r="S2" s="227"/>
      <c r="T2" s="226">
        <v>0.3455606332140147</v>
      </c>
      <c r="U2" s="227"/>
      <c r="V2" s="226">
        <v>0.40452705311549814</v>
      </c>
      <c r="W2" s="227"/>
      <c r="X2" s="226">
        <v>0.47082692466987286</v>
      </c>
      <c r="Y2" s="227"/>
      <c r="Z2" s="226">
        <v>0.54631921854008592</v>
      </c>
      <c r="AA2" s="227"/>
      <c r="AB2" s="226">
        <v>0.63411053758784997</v>
      </c>
      <c r="AC2" s="227"/>
      <c r="AD2" s="226">
        <v>0.74033239566618614</v>
      </c>
      <c r="AE2" s="227"/>
      <c r="AF2" s="226">
        <v>0.87916367949943808</v>
      </c>
      <c r="AG2" s="227"/>
      <c r="AH2" s="226">
        <v>1.0874880907166968</v>
      </c>
      <c r="AI2" s="227"/>
      <c r="AJ2" s="226">
        <v>1.4723254498473253</v>
      </c>
      <c r="AK2" s="227"/>
      <c r="AL2" s="226">
        <v>2.42100966900896</v>
      </c>
      <c r="AM2" s="227"/>
      <c r="AN2" s="226">
        <v>6.3024687136492439</v>
      </c>
      <c r="AO2" s="227"/>
      <c r="AP2" s="226">
        <v>8.6030045822412156</v>
      </c>
      <c r="AQ2" s="227"/>
      <c r="AR2" s="226">
        <v>12.773970638262533</v>
      </c>
      <c r="AS2" s="227"/>
      <c r="AT2" s="226">
        <v>21.997898996507043</v>
      </c>
      <c r="AU2" s="227"/>
      <c r="AV2" s="226">
        <v>53.686091391096191</v>
      </c>
      <c r="AW2" s="227"/>
    </row>
    <row r="3" spans="1:49" x14ac:dyDescent="0.2">
      <c r="A3" t="s">
        <v>12</v>
      </c>
      <c r="B3" s="84">
        <v>1000</v>
      </c>
      <c r="C3" s="85">
        <v>1000</v>
      </c>
      <c r="D3" s="84">
        <v>999.65644957055076</v>
      </c>
      <c r="E3" s="85">
        <v>1013.0987650490615</v>
      </c>
      <c r="F3" s="84">
        <v>999.55425922190159</v>
      </c>
      <c r="G3" s="85">
        <v>1027.4606676116407</v>
      </c>
      <c r="H3" s="84">
        <v>999.74410081007102</v>
      </c>
      <c r="I3" s="85">
        <v>1043.2696382785073</v>
      </c>
      <c r="J3" s="84">
        <v>1000.292186408736</v>
      </c>
      <c r="K3" s="85">
        <v>1060.7487934586707</v>
      </c>
      <c r="L3" s="84">
        <v>1001.2861460265417</v>
      </c>
      <c r="M3" s="85">
        <v>1080.1717795519137</v>
      </c>
      <c r="N3" s="84">
        <v>1002.8447594018113</v>
      </c>
      <c r="O3" s="85">
        <v>1101.8793135115868</v>
      </c>
      <c r="P3" s="84">
        <v>1005.13186161277</v>
      </c>
      <c r="Q3" s="85">
        <v>1126.3024242020965</v>
      </c>
      <c r="R3" s="84">
        <v>1008.3789659444483</v>
      </c>
      <c r="S3" s="85">
        <v>1153.9976885072097</v>
      </c>
      <c r="T3" s="84">
        <v>1012.9217694178717</v>
      </c>
      <c r="U3" s="85">
        <v>1185.7027030487466</v>
      </c>
      <c r="V3" s="84">
        <v>1019.2613876579923</v>
      </c>
      <c r="W3" s="85">
        <v>1222.427985656728</v>
      </c>
      <c r="X3" s="84">
        <v>1028.1694532474432</v>
      </c>
      <c r="Y3" s="85">
        <v>1265.6195952476207</v>
      </c>
      <c r="Z3" s="84">
        <v>1040.8744691009363</v>
      </c>
      <c r="AA3" s="85">
        <v>1317.4694706922899</v>
      </c>
      <c r="AB3" s="84">
        <v>1059.397922525633</v>
      </c>
      <c r="AC3" s="85">
        <v>1381.5543072996443</v>
      </c>
      <c r="AD3" s="84">
        <v>1087.161126777652</v>
      </c>
      <c r="AE3" s="85">
        <v>1464.2493644678532</v>
      </c>
      <c r="AF3" s="84">
        <v>1130.063358951222</v>
      </c>
      <c r="AG3" s="85">
        <v>1578.0609888313372</v>
      </c>
      <c r="AH3" s="84">
        <v>1198.4614489104688</v>
      </c>
      <c r="AI3" s="85">
        <v>1750.0656406309411</v>
      </c>
      <c r="AJ3" s="84">
        <v>1312.0608381945926</v>
      </c>
      <c r="AK3" s="85">
        <v>2046.9792780873893</v>
      </c>
      <c r="AL3" s="84">
        <v>1519.2152547359085</v>
      </c>
      <c r="AM3" s="85">
        <v>2679.1868062643562</v>
      </c>
      <c r="AN3" s="84">
        <v>2009.2818644380798</v>
      </c>
      <c r="AO3" s="85">
        <v>4756.4818213995959</v>
      </c>
      <c r="AP3" s="84">
        <v>2208.1937535710426</v>
      </c>
      <c r="AQ3" s="85">
        <v>5846.1569160289182</v>
      </c>
      <c r="AR3" s="84">
        <v>2499.5036306535139</v>
      </c>
      <c r="AS3" s="85">
        <v>7705.613641748575</v>
      </c>
      <c r="AT3" s="84">
        <v>2987.415813080494</v>
      </c>
      <c r="AU3" s="85">
        <v>11538.66565061031</v>
      </c>
      <c r="AV3" s="84">
        <v>4079.3285302631648</v>
      </c>
      <c r="AW3" s="85">
        <v>23555.716678328085</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999.63948900586047</v>
      </c>
      <c r="E5" s="42">
        <v>1011.4288400316805</v>
      </c>
      <c r="F5" s="41">
        <v>999.53224349576442</v>
      </c>
      <c r="G5" s="42">
        <v>1023.7938958069786</v>
      </c>
      <c r="H5" s="41">
        <v>999.73147228907192</v>
      </c>
      <c r="I5" s="42">
        <v>1037.2054945354059</v>
      </c>
      <c r="J5" s="41">
        <v>1000.3065702533758</v>
      </c>
      <c r="K5" s="42">
        <v>1051.7924934361515</v>
      </c>
      <c r="L5" s="41">
        <v>1001.3491805698591</v>
      </c>
      <c r="M5" s="42">
        <v>1067.7063840999801</v>
      </c>
      <c r="N5" s="41">
        <v>1002.9832104325031</v>
      </c>
      <c r="O5" s="42">
        <v>1085.1271114654048</v>
      </c>
      <c r="P5" s="41">
        <v>1005.3790612593791</v>
      </c>
      <c r="Q5" s="42">
        <v>1104.270610434553</v>
      </c>
      <c r="R5" s="41">
        <v>1008.7766735504152</v>
      </c>
      <c r="S5" s="42">
        <v>1125.3999402220988</v>
      </c>
      <c r="T5" s="41">
        <v>1013.5224705866674</v>
      </c>
      <c r="U5" s="42">
        <v>1148.841642520407</v>
      </c>
      <c r="V5" s="41">
        <v>1020.1308259863104</v>
      </c>
      <c r="W5" s="42">
        <v>1175.0129921930884</v>
      </c>
      <c r="X5" s="41">
        <v>1029.3884465297049</v>
      </c>
      <c r="Y5" s="42">
        <v>1204.4673229223979</v>
      </c>
      <c r="Z5" s="41">
        <v>1042.5368699365235</v>
      </c>
      <c r="AA5" s="42">
        <v>1237.9784724267545</v>
      </c>
      <c r="AB5" s="41">
        <v>1061.595113523422</v>
      </c>
      <c r="AC5" s="42">
        <v>1276.7001971408197</v>
      </c>
      <c r="AD5" s="41">
        <v>1089.925074922076</v>
      </c>
      <c r="AE5" s="42">
        <v>1322.460126802679</v>
      </c>
      <c r="AF5" s="41">
        <v>1133.1906644447172</v>
      </c>
      <c r="AG5" s="42">
        <v>1378.2184985085041</v>
      </c>
      <c r="AH5" s="41">
        <v>1201.0144008567904</v>
      </c>
      <c r="AI5" s="42">
        <v>1448.3831372589077</v>
      </c>
      <c r="AJ5" s="41">
        <v>1310.9636143860928</v>
      </c>
      <c r="AK5" s="42">
        <v>1537.415625371131</v>
      </c>
      <c r="AL5" s="41">
        <v>1504.3677483317128</v>
      </c>
      <c r="AM5" s="42">
        <v>1641.95019084214</v>
      </c>
      <c r="AN5" s="41">
        <v>1933.8761745684856</v>
      </c>
      <c r="AO5" s="42">
        <v>1728.6912376860839</v>
      </c>
      <c r="AP5" s="41">
        <v>2098.900833184553</v>
      </c>
      <c r="AQ5" s="42">
        <v>1738.4287737893928</v>
      </c>
      <c r="AR5" s="41">
        <v>2332.115363419256</v>
      </c>
      <c r="AS5" s="42">
        <v>1744.9485714112018</v>
      </c>
      <c r="AT5" s="41">
        <v>2702.2425591954279</v>
      </c>
      <c r="AU5" s="42">
        <v>1748.5380902081699</v>
      </c>
      <c r="AV5" s="41">
        <v>3450.2215882793012</v>
      </c>
      <c r="AW5" s="42">
        <v>1749.8890050876976</v>
      </c>
    </row>
    <row r="6" spans="1:49" x14ac:dyDescent="0.2">
      <c r="A6" t="s">
        <v>77</v>
      </c>
      <c r="B6" s="41">
        <v>999.99999999999943</v>
      </c>
      <c r="C6" s="42">
        <v>999.99999999999909</v>
      </c>
      <c r="D6" s="41">
        <v>999.61192407269459</v>
      </c>
      <c r="E6" s="42">
        <v>1014.12482700896</v>
      </c>
      <c r="F6" s="41">
        <v>999.49648277576455</v>
      </c>
      <c r="G6" s="42">
        <v>1029.579843292237</v>
      </c>
      <c r="H6" s="41">
        <v>999.71093854579101</v>
      </c>
      <c r="I6" s="42">
        <v>1046.5558038572722</v>
      </c>
      <c r="J6" s="41">
        <v>1000.3300277408908</v>
      </c>
      <c r="K6" s="42">
        <v>1065.2838563306534</v>
      </c>
      <c r="L6" s="41">
        <v>1001.4525293700833</v>
      </c>
      <c r="M6" s="42">
        <v>1086.0472061610699</v>
      </c>
      <c r="N6" s="41">
        <v>1003.2121293402688</v>
      </c>
      <c r="O6" s="42">
        <v>1109.1981545740548</v>
      </c>
      <c r="P6" s="41">
        <v>1005.7928895363611</v>
      </c>
      <c r="Q6" s="42">
        <v>1135.1820175792859</v>
      </c>
      <c r="R6" s="41">
        <v>1009.4543494126111</v>
      </c>
      <c r="S6" s="42">
        <v>1164.573419991877</v>
      </c>
      <c r="T6" s="41">
        <v>1014.571877326382</v>
      </c>
      <c r="U6" s="42">
        <v>1198.1334632127932</v>
      </c>
      <c r="V6" s="41">
        <v>1021.704053254724</v>
      </c>
      <c r="W6" s="42">
        <v>1236.9044748654719</v>
      </c>
      <c r="X6" s="41">
        <v>1031.7076458623533</v>
      </c>
      <c r="Y6" s="42">
        <v>1282.3777206864818</v>
      </c>
      <c r="Z6" s="41">
        <v>1045.9399880853452</v>
      </c>
      <c r="AA6" s="42">
        <v>1336.8134755001827</v>
      </c>
      <c r="AB6" s="41">
        <v>1066.6204005549314</v>
      </c>
      <c r="AC6" s="42">
        <v>1403.8996161424009</v>
      </c>
      <c r="AD6" s="41">
        <v>1097.4739094314787</v>
      </c>
      <c r="AE6" s="42">
        <v>1490.2074294618428</v>
      </c>
      <c r="AF6" s="41">
        <v>1144.8541597539202</v>
      </c>
      <c r="AG6" s="42">
        <v>1608.6171292731096</v>
      </c>
      <c r="AH6" s="41">
        <v>1219.7690740241278</v>
      </c>
      <c r="AI6" s="42">
        <v>1786.9750794915055</v>
      </c>
      <c r="AJ6" s="41">
        <v>1342.9054390123574</v>
      </c>
      <c r="AK6" s="42">
        <v>2093.7821993849425</v>
      </c>
      <c r="AL6" s="41">
        <v>1564.7337586243593</v>
      </c>
      <c r="AM6" s="42">
        <v>2744.8173197496003</v>
      </c>
      <c r="AN6" s="41">
        <v>2082.6440122463009</v>
      </c>
      <c r="AO6" s="42">
        <v>4878.1176441507532</v>
      </c>
      <c r="AP6" s="41">
        <v>2291.5138832472103</v>
      </c>
      <c r="AQ6" s="42">
        <v>5996.28960662803</v>
      </c>
      <c r="AR6" s="41">
        <v>2596.7025134577307</v>
      </c>
      <c r="AS6" s="42">
        <v>7904.0449767913451</v>
      </c>
      <c r="AT6" s="41">
        <v>3106.7563712340398</v>
      </c>
      <c r="AU6" s="42">
        <v>11836.249562259678</v>
      </c>
      <c r="AV6" s="41">
        <v>4245.9952908370506</v>
      </c>
      <c r="AW6" s="42">
        <v>24163.562611910256</v>
      </c>
    </row>
    <row r="7" spans="1:49" x14ac:dyDescent="0.2">
      <c r="A7" t="s">
        <v>13</v>
      </c>
      <c r="B7" s="33">
        <v>1015.9116825427475</v>
      </c>
      <c r="C7" s="34">
        <v>1015.9116825427475</v>
      </c>
      <c r="D7" s="33">
        <v>1015.545435212116</v>
      </c>
      <c r="E7" s="34">
        <v>1015.545435212116</v>
      </c>
      <c r="F7" s="33">
        <v>1015.4364832455092</v>
      </c>
      <c r="G7" s="34">
        <v>1015.4364832455092</v>
      </c>
      <c r="H7" s="33">
        <v>1015.6388821041292</v>
      </c>
      <c r="I7" s="34">
        <v>1015.6388821041292</v>
      </c>
      <c r="J7" s="33">
        <v>1016.2231308446719</v>
      </c>
      <c r="K7" s="34">
        <v>1016.2231308446719</v>
      </c>
      <c r="L7" s="33">
        <v>1017.282330845527</v>
      </c>
      <c r="M7" s="34">
        <v>1017.282330845527</v>
      </c>
      <c r="N7" s="33">
        <v>1018.9423608726108</v>
      </c>
      <c r="O7" s="34">
        <v>1018.9423608726108</v>
      </c>
      <c r="P7" s="33">
        <v>1021.3763337172638</v>
      </c>
      <c r="Q7" s="34">
        <v>1021.3763337172638</v>
      </c>
      <c r="R7" s="33">
        <v>1024.8280077364782</v>
      </c>
      <c r="S7" s="34">
        <v>1024.8280077364782</v>
      </c>
      <c r="T7" s="33">
        <v>1029.6493183885834</v>
      </c>
      <c r="U7" s="34">
        <v>1029.6493183885834</v>
      </c>
      <c r="V7" s="33">
        <v>1036.3628238414753</v>
      </c>
      <c r="W7" s="34">
        <v>1036.3628238414753</v>
      </c>
      <c r="X7" s="33">
        <v>1045.7677487040576</v>
      </c>
      <c r="Y7" s="34">
        <v>1045.7677487040576</v>
      </c>
      <c r="Z7" s="33">
        <v>1059.125385650063</v>
      </c>
      <c r="AA7" s="34">
        <v>1059.125385650063</v>
      </c>
      <c r="AB7" s="33">
        <v>1078.4868779587387</v>
      </c>
      <c r="AC7" s="34">
        <v>1078.4868779587387</v>
      </c>
      <c r="AD7" s="33">
        <v>1107.2676167096163</v>
      </c>
      <c r="AE7" s="34">
        <v>1107.2676167096163</v>
      </c>
      <c r="AF7" s="33">
        <v>1151.2216345577665</v>
      </c>
      <c r="AG7" s="34">
        <v>1151.2216345577665</v>
      </c>
      <c r="AH7" s="33">
        <v>1220.1245607324918</v>
      </c>
      <c r="AI7" s="34">
        <v>1220.1245607324918</v>
      </c>
      <c r="AJ7" s="33">
        <v>1331.8232512432971</v>
      </c>
      <c r="AK7" s="34">
        <v>1331.8232512432971</v>
      </c>
      <c r="AL7" s="33">
        <v>1528.3047703707148</v>
      </c>
      <c r="AM7" s="34">
        <v>1528.3047703707148</v>
      </c>
      <c r="AN7" s="33">
        <v>1964.6473983352021</v>
      </c>
      <c r="AO7" s="34">
        <v>1964.6473983352021</v>
      </c>
      <c r="AP7" s="33">
        <v>2132.2978769308938</v>
      </c>
      <c r="AQ7" s="34">
        <v>2132.2978769308938</v>
      </c>
      <c r="AR7" s="33">
        <v>2369.2232427350473</v>
      </c>
      <c r="AS7" s="34">
        <v>2369.2232427350473</v>
      </c>
      <c r="AT7" s="33">
        <v>2745.239784950847</v>
      </c>
      <c r="AU7" s="34">
        <v>2745.239784950847</v>
      </c>
      <c r="AV7" s="33">
        <v>3505.1204188941351</v>
      </c>
      <c r="AW7" s="34">
        <v>3505.1204188941351</v>
      </c>
    </row>
    <row r="8" spans="1:49" x14ac:dyDescent="0.2">
      <c r="B8" s="35">
        <v>1005.7716594496609</v>
      </c>
      <c r="C8" s="36">
        <v>1005.7716594496609</v>
      </c>
      <c r="D8" s="35">
        <v>1044.2482443093154</v>
      </c>
      <c r="E8" s="36">
        <v>1044.2482443093154</v>
      </c>
      <c r="F8" s="35">
        <v>1086.3718279004222</v>
      </c>
      <c r="G8" s="36">
        <v>1086.3718279004222</v>
      </c>
      <c r="H8" s="35">
        <v>1132.6745768672129</v>
      </c>
      <c r="I8" s="36">
        <v>1132.6745768672129</v>
      </c>
      <c r="J8" s="35">
        <v>1183.7946794044442</v>
      </c>
      <c r="K8" s="36">
        <v>1183.7946794044442</v>
      </c>
      <c r="L8" s="35">
        <v>1240.5038894333509</v>
      </c>
      <c r="M8" s="36">
        <v>1240.5038894333509</v>
      </c>
      <c r="N8" s="35">
        <v>1303.7439763073924</v>
      </c>
      <c r="O8" s="36">
        <v>1303.7439763073924</v>
      </c>
      <c r="P8" s="35">
        <v>1374.677119574842</v>
      </c>
      <c r="Q8" s="36">
        <v>1374.677119574842</v>
      </c>
      <c r="R8" s="35">
        <v>1454.7570513055291</v>
      </c>
      <c r="S8" s="36">
        <v>1454.7570513055291</v>
      </c>
      <c r="T8" s="35">
        <v>1545.8360879723875</v>
      </c>
      <c r="U8" s="36">
        <v>1545.8360879723875</v>
      </c>
      <c r="V8" s="35">
        <v>1650.3375352973821</v>
      </c>
      <c r="W8" s="36">
        <v>1650.3375352973821</v>
      </c>
      <c r="X8" s="35">
        <v>1771.5629684393052</v>
      </c>
      <c r="Y8" s="36">
        <v>1771.5629684393052</v>
      </c>
      <c r="Z8" s="35">
        <v>1914.3099040523884</v>
      </c>
      <c r="AA8" s="36">
        <v>1914.3099040523884</v>
      </c>
      <c r="AB8" s="35">
        <v>2086.269245488299</v>
      </c>
      <c r="AC8" s="36">
        <v>2086.269245488299</v>
      </c>
      <c r="AD8" s="35">
        <v>2301.5202006515146</v>
      </c>
      <c r="AE8" s="36">
        <v>2301.5202006515146</v>
      </c>
      <c r="AF8" s="35">
        <v>2589.8981448114314</v>
      </c>
      <c r="AG8" s="36">
        <v>2589.8981448114314</v>
      </c>
      <c r="AH8" s="35">
        <v>3023.4825498228565</v>
      </c>
      <c r="AI8" s="36">
        <v>3023.4825498228565</v>
      </c>
      <c r="AJ8" s="35">
        <v>3800.9917775979884</v>
      </c>
      <c r="AK8" s="36">
        <v>3800.9917775979884</v>
      </c>
      <c r="AL8" s="35">
        <v>5617.1274789020681</v>
      </c>
      <c r="AM8" s="36">
        <v>5617.1274789020681</v>
      </c>
      <c r="AN8" s="35">
        <v>12623.713678762217</v>
      </c>
      <c r="AO8" s="36">
        <v>12623.713678762217</v>
      </c>
      <c r="AP8" s="35">
        <v>16694.139480599519</v>
      </c>
      <c r="AQ8" s="36">
        <v>16694.139480599519</v>
      </c>
      <c r="AR8" s="35">
        <v>24034.870387896048</v>
      </c>
      <c r="AS8" s="36">
        <v>24034.870387896048</v>
      </c>
      <c r="AT8" s="35">
        <v>40212.702390152815</v>
      </c>
      <c r="AU8" s="36">
        <v>40212.702390152815</v>
      </c>
      <c r="AV8" s="35">
        <v>95694.590056500223</v>
      </c>
      <c r="AW8" s="36">
        <v>95694.590056500223</v>
      </c>
    </row>
    <row r="9" spans="1:49" x14ac:dyDescent="0.2">
      <c r="A9" t="s">
        <v>14</v>
      </c>
      <c r="B9" s="41">
        <v>1015.9116825427475</v>
      </c>
      <c r="C9" s="42">
        <v>1005.7716594496609</v>
      </c>
      <c r="D9" s="41">
        <v>1015.545435212116</v>
      </c>
      <c r="E9" s="42">
        <v>1044.2482443093154</v>
      </c>
      <c r="F9" s="41">
        <v>1015.4364832455092</v>
      </c>
      <c r="G9" s="42">
        <v>1086.3718279004222</v>
      </c>
      <c r="H9" s="41">
        <v>1015.6388821041292</v>
      </c>
      <c r="I9" s="42">
        <v>1132.6745768672129</v>
      </c>
      <c r="J9" s="41">
        <v>1016.2231308446719</v>
      </c>
      <c r="K9" s="42">
        <v>1183.7946794044442</v>
      </c>
      <c r="L9" s="41">
        <v>1017.282330845527</v>
      </c>
      <c r="M9" s="42">
        <v>1240.5038894333509</v>
      </c>
      <c r="N9" s="41">
        <v>1018.9423608726108</v>
      </c>
      <c r="O9" s="42">
        <v>1303.7439763073924</v>
      </c>
      <c r="P9" s="41">
        <v>1021.3763337172638</v>
      </c>
      <c r="Q9" s="42">
        <v>1374.677119574842</v>
      </c>
      <c r="R9" s="41">
        <v>1024.8280077364782</v>
      </c>
      <c r="S9" s="42">
        <v>1454.7570513055291</v>
      </c>
      <c r="T9" s="41">
        <v>1029.6493183885834</v>
      </c>
      <c r="U9" s="42">
        <v>1545.8360879723875</v>
      </c>
      <c r="V9" s="41">
        <v>1036.3628238414753</v>
      </c>
      <c r="W9" s="42">
        <v>1650.3375352973821</v>
      </c>
      <c r="X9" s="41">
        <v>1045.7677487040576</v>
      </c>
      <c r="Y9" s="42">
        <v>1771.5629684393052</v>
      </c>
      <c r="Z9" s="41">
        <v>1059.125385650063</v>
      </c>
      <c r="AA9" s="42">
        <v>1914.3099040523884</v>
      </c>
      <c r="AB9" s="41">
        <v>1078.4868779587387</v>
      </c>
      <c r="AC9" s="42">
        <v>2086.269245488299</v>
      </c>
      <c r="AD9" s="41">
        <v>1107.2676167096163</v>
      </c>
      <c r="AE9" s="42">
        <v>2301.5202006515146</v>
      </c>
      <c r="AF9" s="41">
        <v>1151.2216345577665</v>
      </c>
      <c r="AG9" s="42">
        <v>2589.8981448114314</v>
      </c>
      <c r="AH9" s="41">
        <v>1220.1245607324918</v>
      </c>
      <c r="AI9" s="42">
        <v>3023.4825498228565</v>
      </c>
      <c r="AJ9" s="41">
        <v>1331.8232512432971</v>
      </c>
      <c r="AK9" s="42">
        <v>3800.9917775979884</v>
      </c>
      <c r="AL9" s="41">
        <v>1528.3047703707148</v>
      </c>
      <c r="AM9" s="42">
        <v>5617.1274789020681</v>
      </c>
      <c r="AN9" s="41">
        <v>1964.6473983352021</v>
      </c>
      <c r="AO9" s="42">
        <v>12623.713678762217</v>
      </c>
      <c r="AP9" s="41">
        <v>2132.2978769308938</v>
      </c>
      <c r="AQ9" s="42">
        <v>16694.139480599519</v>
      </c>
      <c r="AR9" s="41">
        <v>2369.2232427350473</v>
      </c>
      <c r="AS9" s="42">
        <v>24034.870387896048</v>
      </c>
      <c r="AT9" s="41">
        <v>2745.239784950847</v>
      </c>
      <c r="AU9" s="42">
        <v>40212.702390152815</v>
      </c>
      <c r="AV9" s="41">
        <v>3505.1204188941351</v>
      </c>
      <c r="AW9" s="42">
        <v>95694.590056500223</v>
      </c>
    </row>
    <row r="10" spans="1:49" x14ac:dyDescent="0.2">
      <c r="A10" t="s">
        <v>15</v>
      </c>
      <c r="B10" s="41">
        <v>1015.9116825427475</v>
      </c>
      <c r="C10" s="42">
        <v>1005.7716594496609</v>
      </c>
      <c r="D10" s="41">
        <v>1015.545435212116</v>
      </c>
      <c r="E10" s="42">
        <v>1044.2482443093154</v>
      </c>
      <c r="F10" s="41">
        <v>1015.4364832455092</v>
      </c>
      <c r="G10" s="42">
        <v>1086.3718279004222</v>
      </c>
      <c r="H10" s="41">
        <v>1015.6388821041292</v>
      </c>
      <c r="I10" s="42">
        <v>1132.6745768672129</v>
      </c>
      <c r="J10" s="41">
        <v>1016.2231308446719</v>
      </c>
      <c r="K10" s="42">
        <v>1183.7946794044442</v>
      </c>
      <c r="L10" s="41">
        <v>1017.282330845527</v>
      </c>
      <c r="M10" s="42">
        <v>1240.5038894333509</v>
      </c>
      <c r="N10" s="41">
        <v>1018.9423608726108</v>
      </c>
      <c r="O10" s="42">
        <v>1303.7439763073924</v>
      </c>
      <c r="P10" s="41">
        <v>1021.3763337172638</v>
      </c>
      <c r="Q10" s="42">
        <v>1374.677119574842</v>
      </c>
      <c r="R10" s="41">
        <v>1024.8280077364782</v>
      </c>
      <c r="S10" s="42">
        <v>1454.7570513055291</v>
      </c>
      <c r="T10" s="41">
        <v>1029.6493183885834</v>
      </c>
      <c r="U10" s="42">
        <v>1545.8360879723875</v>
      </c>
      <c r="V10" s="41">
        <v>1036.3628238414753</v>
      </c>
      <c r="W10" s="42">
        <v>1650.3375352973821</v>
      </c>
      <c r="X10" s="41">
        <v>1045.7677487040576</v>
      </c>
      <c r="Y10" s="42">
        <v>1771.5629684393052</v>
      </c>
      <c r="Z10" s="41">
        <v>1059.125385650063</v>
      </c>
      <c r="AA10" s="42">
        <v>1914.3099040523884</v>
      </c>
      <c r="AB10" s="41">
        <v>1078.4868779587387</v>
      </c>
      <c r="AC10" s="42">
        <v>2086.269245488299</v>
      </c>
      <c r="AD10" s="41">
        <v>1107.2676167096163</v>
      </c>
      <c r="AE10" s="42">
        <v>2301.5202006515146</v>
      </c>
      <c r="AF10" s="41">
        <v>1151.2216345577665</v>
      </c>
      <c r="AG10" s="42">
        <v>2589.8981448114314</v>
      </c>
      <c r="AH10" s="41">
        <v>1220.1245607324918</v>
      </c>
      <c r="AI10" s="42">
        <v>3023.4825498228565</v>
      </c>
      <c r="AJ10" s="41">
        <v>1331.8232512432971</v>
      </c>
      <c r="AK10" s="42">
        <v>3800.9917775979884</v>
      </c>
      <c r="AL10" s="41">
        <v>1528.3047703707148</v>
      </c>
      <c r="AM10" s="42">
        <v>5617.1274789020681</v>
      </c>
      <c r="AN10" s="41">
        <v>1964.6473983352021</v>
      </c>
      <c r="AO10" s="42">
        <v>12623.713678762217</v>
      </c>
      <c r="AP10" s="41">
        <v>2132.2978769308938</v>
      </c>
      <c r="AQ10" s="42">
        <v>16694.139480599519</v>
      </c>
      <c r="AR10" s="41">
        <v>2369.2232427350473</v>
      </c>
      <c r="AS10" s="42">
        <v>24034.870387896048</v>
      </c>
      <c r="AT10" s="41">
        <v>2745.239784950847</v>
      </c>
      <c r="AU10" s="42">
        <v>40212.702390152815</v>
      </c>
      <c r="AV10" s="41">
        <v>3505.1204188941351</v>
      </c>
      <c r="AW10" s="42">
        <v>95694.590056500223</v>
      </c>
    </row>
    <row r="11" spans="1:49" x14ac:dyDescent="0.2">
      <c r="A11" t="s">
        <v>29</v>
      </c>
      <c r="B11" s="41">
        <v>1015.9116825427475</v>
      </c>
      <c r="C11" s="42">
        <v>1005.7716594496609</v>
      </c>
      <c r="D11" s="41">
        <v>1015.545435212116</v>
      </c>
      <c r="E11" s="42">
        <v>1044.2482443093154</v>
      </c>
      <c r="F11" s="41">
        <v>1015.4364832455092</v>
      </c>
      <c r="G11" s="42">
        <v>1086.3718279004222</v>
      </c>
      <c r="H11" s="41">
        <v>1015.6388821041292</v>
      </c>
      <c r="I11" s="42">
        <v>1132.6745768672129</v>
      </c>
      <c r="J11" s="41">
        <v>1016.2231308446719</v>
      </c>
      <c r="K11" s="42">
        <v>1183.7946794044442</v>
      </c>
      <c r="L11" s="41">
        <v>1017.282330845527</v>
      </c>
      <c r="M11" s="42">
        <v>1240.5038894333509</v>
      </c>
      <c r="N11" s="41">
        <v>1018.9423608726108</v>
      </c>
      <c r="O11" s="42">
        <v>1303.7439763073924</v>
      </c>
      <c r="P11" s="41">
        <v>1021.3763337172638</v>
      </c>
      <c r="Q11" s="42">
        <v>1374.677119574842</v>
      </c>
      <c r="R11" s="41">
        <v>1024.8280077364782</v>
      </c>
      <c r="S11" s="42">
        <v>1454.7570513055291</v>
      </c>
      <c r="T11" s="41">
        <v>1029.6493183885834</v>
      </c>
      <c r="U11" s="42">
        <v>1545.8360879723875</v>
      </c>
      <c r="V11" s="41">
        <v>1036.3628238414753</v>
      </c>
      <c r="W11" s="42">
        <v>1650.3375352973821</v>
      </c>
      <c r="X11" s="41">
        <v>1045.7677487040576</v>
      </c>
      <c r="Y11" s="42">
        <v>1771.5629684393052</v>
      </c>
      <c r="Z11" s="41">
        <v>1059.125385650063</v>
      </c>
      <c r="AA11" s="42">
        <v>1914.3099040523884</v>
      </c>
      <c r="AB11" s="41">
        <v>1078.4868779587387</v>
      </c>
      <c r="AC11" s="42">
        <v>2086.269245488299</v>
      </c>
      <c r="AD11" s="41">
        <v>1107.2676167096163</v>
      </c>
      <c r="AE11" s="42">
        <v>2301.5202006515146</v>
      </c>
      <c r="AF11" s="41">
        <v>1151.2216345577665</v>
      </c>
      <c r="AG11" s="42">
        <v>2589.8981448114314</v>
      </c>
      <c r="AH11" s="41">
        <v>1220.1245607324918</v>
      </c>
      <c r="AI11" s="42">
        <v>3023.4825498228565</v>
      </c>
      <c r="AJ11" s="41">
        <v>1331.8232512432971</v>
      </c>
      <c r="AK11" s="42">
        <v>3800.9917775979884</v>
      </c>
      <c r="AL11" s="41">
        <v>1528.3047703707148</v>
      </c>
      <c r="AM11" s="42">
        <v>5617.1274789020681</v>
      </c>
      <c r="AN11" s="41">
        <v>1964.6473983352021</v>
      </c>
      <c r="AO11" s="42">
        <v>12623.713678762217</v>
      </c>
      <c r="AP11" s="41">
        <v>2132.2978769308938</v>
      </c>
      <c r="AQ11" s="42">
        <v>16694.139480599519</v>
      </c>
      <c r="AR11" s="41">
        <v>2369.2232427350473</v>
      </c>
      <c r="AS11" s="42">
        <v>24034.870387896048</v>
      </c>
      <c r="AT11" s="41">
        <v>2745.239784950847</v>
      </c>
      <c r="AU11" s="42">
        <v>40212.702390152815</v>
      </c>
      <c r="AV11" s="41">
        <v>3505.1204188941351</v>
      </c>
      <c r="AW11" s="42">
        <v>95694.590056500223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996.6108731491662</v>
      </c>
      <c r="E13" s="98">
        <v>996.6108731491662</v>
      </c>
      <c r="F13" s="97">
        <v>993.2959771945915</v>
      </c>
      <c r="G13" s="98">
        <v>993.2959771945915</v>
      </c>
      <c r="H13" s="97">
        <v>990.08655467809569</v>
      </c>
      <c r="I13" s="98">
        <v>990.08655467809569</v>
      </c>
      <c r="J13" s="97">
        <v>987.02592998569071</v>
      </c>
      <c r="K13" s="98">
        <v>987.02592998569071</v>
      </c>
      <c r="L13" s="97">
        <v>984.17451607834732</v>
      </c>
      <c r="M13" s="98">
        <v>984.17451607834732</v>
      </c>
      <c r="N13" s="97">
        <v>981.61831523267324</v>
      </c>
      <c r="O13" s="98">
        <v>981.61831523267324</v>
      </c>
      <c r="P13" s="97">
        <v>979.48120996969874</v>
      </c>
      <c r="Q13" s="98">
        <v>979.48120996969874</v>
      </c>
      <c r="R13" s="97">
        <v>977.94528434692518</v>
      </c>
      <c r="S13" s="98">
        <v>977.94528434692518</v>
      </c>
      <c r="T13" s="97">
        <v>977.28416610651266</v>
      </c>
      <c r="U13" s="98">
        <v>977.28416610651266</v>
      </c>
      <c r="V13" s="97">
        <v>977.91970186005199</v>
      </c>
      <c r="W13" s="98">
        <v>977.91970186005199</v>
      </c>
      <c r="X13" s="97">
        <v>980.52086262099272</v>
      </c>
      <c r="Y13" s="98">
        <v>980.52086262099272</v>
      </c>
      <c r="Z13" s="97">
        <v>986.18201531645991</v>
      </c>
      <c r="AA13" s="98">
        <v>986.18201531645991</v>
      </c>
      <c r="AB13" s="97">
        <v>996.75085964085758</v>
      </c>
      <c r="AC13" s="98">
        <v>996.75085964085758</v>
      </c>
      <c r="AD13" s="97">
        <v>1015.4351784065491</v>
      </c>
      <c r="AE13" s="98">
        <v>1015.4351784065491</v>
      </c>
      <c r="AF13" s="97">
        <v>1047.9154258736526</v>
      </c>
      <c r="AG13" s="98">
        <v>1047.9154258736526</v>
      </c>
      <c r="AH13" s="97">
        <v>1104.4621475032282</v>
      </c>
      <c r="AI13" s="98">
        <v>1104.4621475032282</v>
      </c>
      <c r="AJ13" s="97">
        <v>1205.2879628365745</v>
      </c>
      <c r="AK13" s="98">
        <v>1205.2879628365745</v>
      </c>
      <c r="AL13" s="97">
        <v>1402.3225003046739</v>
      </c>
      <c r="AM13" s="98">
        <v>1402.3225003046739</v>
      </c>
      <c r="AN13" s="97">
        <v>1918.9378564034701</v>
      </c>
      <c r="AO13" s="98">
        <v>1918.9378564034701</v>
      </c>
      <c r="AP13" s="97">
        <v>2147.6904880527736</v>
      </c>
      <c r="AQ13" s="98">
        <v>2147.6904880527736</v>
      </c>
      <c r="AR13" s="97">
        <v>2502.2773876090823</v>
      </c>
      <c r="AS13" s="98">
        <v>2502.2773876090823</v>
      </c>
      <c r="AT13" s="97">
        <v>3147.4277763125178</v>
      </c>
      <c r="AU13" s="98">
        <v>3147.4277763125178</v>
      </c>
      <c r="AV13" s="97">
        <v>4815.0897110598426</v>
      </c>
      <c r="AW13" s="98">
        <v>4815.0897110598426</v>
      </c>
    </row>
    <row r="14" spans="1:49" x14ac:dyDescent="0.2">
      <c r="A14" t="s">
        <v>36</v>
      </c>
      <c r="B14" s="41">
        <v>1457.0034251455234</v>
      </c>
      <c r="C14" s="42">
        <v>1457.0034251455236</v>
      </c>
      <c r="D14" s="41">
        <v>1452.0654557156058</v>
      </c>
      <c r="E14" s="42">
        <v>1452.065455715606</v>
      </c>
      <c r="F14" s="41">
        <v>1447.2356409557894</v>
      </c>
      <c r="G14" s="42">
        <v>1447.2356409557897</v>
      </c>
      <c r="H14" s="41">
        <v>1442.5595013565157</v>
      </c>
      <c r="I14" s="42">
        <v>1442.559501356516</v>
      </c>
      <c r="J14" s="41">
        <v>1438.1001606965967</v>
      </c>
      <c r="K14" s="42">
        <v>1438.100160696597</v>
      </c>
      <c r="L14" s="41">
        <v>1433.9456408670899</v>
      </c>
      <c r="M14" s="42">
        <v>1433.9456408670901</v>
      </c>
      <c r="N14" s="41">
        <v>1430.2212474795829</v>
      </c>
      <c r="O14" s="42">
        <v>1430.2212474795831</v>
      </c>
      <c r="P14" s="41">
        <v>1427.1074777915326</v>
      </c>
      <c r="Q14" s="42">
        <v>1427.1074777915328</v>
      </c>
      <c r="R14" s="41">
        <v>1424.8696288983826</v>
      </c>
      <c r="S14" s="42">
        <v>1424.8696288983829</v>
      </c>
      <c r="T14" s="41">
        <v>1423.9063773576754</v>
      </c>
      <c r="U14" s="42">
        <v>1423.9063773576756</v>
      </c>
      <c r="V14" s="41">
        <v>1424.8323551273847</v>
      </c>
      <c r="W14" s="42">
        <v>1424.832355127385</v>
      </c>
      <c r="X14" s="41">
        <v>1428.6222552654294</v>
      </c>
      <c r="Y14" s="42">
        <v>1428.6222552654297</v>
      </c>
      <c r="Z14" s="41">
        <v>1436.870574132997</v>
      </c>
      <c r="AA14" s="42">
        <v>1436.8705741329973</v>
      </c>
      <c r="AB14" s="41">
        <v>1452.2694165134742</v>
      </c>
      <c r="AC14" s="42">
        <v>1452.2694165134744</v>
      </c>
      <c r="AD14" s="41">
        <v>1479.4925329515975</v>
      </c>
      <c r="AE14" s="42">
        <v>1479.4925329515977</v>
      </c>
      <c r="AF14" s="41">
        <v>1526.8163647607414</v>
      </c>
      <c r="AG14" s="42">
        <v>1526.8163647607416</v>
      </c>
      <c r="AH14" s="41">
        <v>1609.2051318557835</v>
      </c>
      <c r="AI14" s="42">
        <v>1609.2051318557837</v>
      </c>
      <c r="AJ14" s="41">
        <v>1756.1086901395593</v>
      </c>
      <c r="AK14" s="42">
        <v>1756.1086901395595</v>
      </c>
      <c r="AL14" s="41">
        <v>2043.1886861025439</v>
      </c>
      <c r="AM14" s="42">
        <v>2043.1886861025444</v>
      </c>
      <c r="AN14" s="41">
        <v>2795.899029421264</v>
      </c>
      <c r="AO14" s="42">
        <v>2795.8990294212645</v>
      </c>
      <c r="AP14" s="41">
        <v>3129.1923972453519</v>
      </c>
      <c r="AQ14" s="42">
        <v>3129.1923972453524</v>
      </c>
      <c r="AR14" s="41">
        <v>3645.826724410625</v>
      </c>
      <c r="AS14" s="42">
        <v>3645.8267244106255</v>
      </c>
      <c r="AT14" s="41">
        <v>4585.8130504854962</v>
      </c>
      <c r="AU14" s="42">
        <v>4585.8130504854971</v>
      </c>
      <c r="AV14" s="41">
        <v>7015.6022013971588</v>
      </c>
      <c r="AW14" s="42">
        <v>7015.6022013971597</v>
      </c>
    </row>
    <row r="15" spans="1:49" x14ac:dyDescent="0.2">
      <c r="A15" t="s">
        <v>18</v>
      </c>
      <c r="B15" s="154">
        <v>1000</v>
      </c>
      <c r="C15" s="155">
        <v>1000</v>
      </c>
      <c r="D15" s="154">
        <v>999.63948900586047</v>
      </c>
      <c r="E15" s="155">
        <v>999.63948900586047</v>
      </c>
      <c r="F15" s="154">
        <v>999.53224349576442</v>
      </c>
      <c r="G15" s="155">
        <v>999.53224349576442</v>
      </c>
      <c r="H15" s="154">
        <v>999.73147228907192</v>
      </c>
      <c r="I15" s="155">
        <v>999.73147228907192</v>
      </c>
      <c r="J15" s="154">
        <v>1000.3065702533758</v>
      </c>
      <c r="K15" s="155">
        <v>1000.3065702533758</v>
      </c>
      <c r="L15" s="154">
        <v>1001.3491805698591</v>
      </c>
      <c r="M15" s="155">
        <v>1001.3491805698591</v>
      </c>
      <c r="N15" s="154">
        <v>1002.9832104325031</v>
      </c>
      <c r="O15" s="155">
        <v>1002.9832104325031</v>
      </c>
      <c r="P15" s="154">
        <v>1005.3790612593791</v>
      </c>
      <c r="Q15" s="155">
        <v>1005.3790612593791</v>
      </c>
      <c r="R15" s="154">
        <v>1008.7766735504152</v>
      </c>
      <c r="S15" s="155">
        <v>1008.7766735504152</v>
      </c>
      <c r="T15" s="154">
        <v>1013.5224705866674</v>
      </c>
      <c r="U15" s="155">
        <v>1013.5224705866674</v>
      </c>
      <c r="V15" s="154">
        <v>1020.1308259863104</v>
      </c>
      <c r="W15" s="155">
        <v>1020.1308259863104</v>
      </c>
      <c r="X15" s="154">
        <v>1029.3884465297049</v>
      </c>
      <c r="Y15" s="155">
        <v>1029.3884465297049</v>
      </c>
      <c r="Z15" s="154">
        <v>1042.5368699365235</v>
      </c>
      <c r="AA15" s="155">
        <v>1042.5368699365235</v>
      </c>
      <c r="AB15" s="154">
        <v>1061.595113523422</v>
      </c>
      <c r="AC15" s="155">
        <v>1061.595113523422</v>
      </c>
      <c r="AD15" s="154">
        <v>1089.925074922076</v>
      </c>
      <c r="AE15" s="155">
        <v>1089.925074922076</v>
      </c>
      <c r="AF15" s="154">
        <v>1133.1906644447172</v>
      </c>
      <c r="AG15" s="155">
        <v>1133.1906644447172</v>
      </c>
      <c r="AH15" s="154">
        <v>1201.0144008567904</v>
      </c>
      <c r="AI15" s="155">
        <v>1201.0144008567904</v>
      </c>
      <c r="AJ15" s="154">
        <v>1310.9636143860928</v>
      </c>
      <c r="AK15" s="155">
        <v>1310.9636143860928</v>
      </c>
      <c r="AL15" s="154">
        <v>1504.3677483317126</v>
      </c>
      <c r="AM15" s="155">
        <v>1504.3677483317126</v>
      </c>
      <c r="AN15" s="154">
        <v>1933.8761745684851</v>
      </c>
      <c r="AO15" s="155">
        <v>1933.8761745684851</v>
      </c>
      <c r="AP15" s="154">
        <v>2098.900833184553</v>
      </c>
      <c r="AQ15" s="155">
        <v>2098.900833184553</v>
      </c>
      <c r="AR15" s="154">
        <v>2332.115363419256</v>
      </c>
      <c r="AS15" s="155">
        <v>2332.115363419256</v>
      </c>
      <c r="AT15" s="154">
        <v>2702.2425591954279</v>
      </c>
      <c r="AU15" s="155">
        <v>2702.2425591954279</v>
      </c>
      <c r="AV15" s="154">
        <v>3450.2215882793012</v>
      </c>
      <c r="AW15" s="155">
        <v>3450.2215882793012</v>
      </c>
    </row>
    <row r="16" spans="1:49" s="29" customFormat="1" x14ac:dyDescent="0.2">
      <c r="A16" t="s">
        <v>61</v>
      </c>
      <c r="B16" s="41">
        <v>1000</v>
      </c>
      <c r="C16" s="42">
        <v>1000</v>
      </c>
      <c r="D16" s="41">
        <v>998.02441650281162</v>
      </c>
      <c r="E16" s="42">
        <v>998.77490282790882</v>
      </c>
      <c r="F16" s="41">
        <v>996.20587375228172</v>
      </c>
      <c r="G16" s="42">
        <v>997.75165425117689</v>
      </c>
      <c r="H16" s="41">
        <v>994.58572057254855</v>
      </c>
      <c r="I16" s="42">
        <v>996.9771327020552</v>
      </c>
      <c r="J16" s="41">
        <v>993.2192691477203</v>
      </c>
      <c r="K16" s="42">
        <v>996.51321717396775</v>
      </c>
      <c r="L16" s="41">
        <v>992.18128439839711</v>
      </c>
      <c r="M16" s="42">
        <v>996.44254408203437</v>
      </c>
      <c r="N16" s="41">
        <v>991.57517888246275</v>
      </c>
      <c r="O16" s="42">
        <v>996.87808524406512</v>
      </c>
      <c r="P16" s="41">
        <v>991.54619064488134</v>
      </c>
      <c r="Q16" s="42">
        <v>997.97681727205406</v>
      </c>
      <c r="R16" s="41">
        <v>992.30295163082928</v>
      </c>
      <c r="S16" s="42">
        <v>999.96197824875344</v>
      </c>
      <c r="T16" s="41">
        <v>994.15247771178883</v>
      </c>
      <c r="U16" s="42">
        <v>1003.158971729673</v>
      </c>
      <c r="V16" s="41">
        <v>997.55903926006715</v>
      </c>
      <c r="W16" s="42">
        <v>1008.0554476201713</v>
      </c>
      <c r="X16" s="41">
        <v>1003.2455758243588</v>
      </c>
      <c r="Y16" s="42">
        <v>1015.4041032123257</v>
      </c>
      <c r="Z16" s="41">
        <v>1012.3739113481233</v>
      </c>
      <c r="AA16" s="42">
        <v>1026.4039627778807</v>
      </c>
      <c r="AB16" s="41">
        <v>1026.8702969541989</v>
      </c>
      <c r="AC16" s="42">
        <v>1043.0245662800519</v>
      </c>
      <c r="AD16" s="41">
        <v>1050.0133106310593</v>
      </c>
      <c r="AE16" s="42">
        <v>1068.5833568531123</v>
      </c>
      <c r="AF16" s="41">
        <v>1087.4764018201067</v>
      </c>
      <c r="AG16" s="42">
        <v>1108.7492618635206</v>
      </c>
      <c r="AH16" s="41">
        <v>1149.2346718578642</v>
      </c>
      <c r="AI16" s="42">
        <v>1173.33264433473</v>
      </c>
      <c r="AJ16" s="41">
        <v>1254.2901937280428</v>
      </c>
      <c r="AK16" s="42">
        <v>1280.6657804335066</v>
      </c>
      <c r="AL16" s="41">
        <v>1449.6938891237471</v>
      </c>
      <c r="AM16" s="42">
        <v>1475.132138020854</v>
      </c>
      <c r="AN16" s="41">
        <v>1925.9073723404631</v>
      </c>
      <c r="AO16" s="42">
        <v>1929.6106192526574</v>
      </c>
      <c r="AP16" s="41">
        <v>2124.8715528905859</v>
      </c>
      <c r="AQ16" s="42">
        <v>2112.8094984404729</v>
      </c>
      <c r="AR16" s="41">
        <v>2422.391316264836</v>
      </c>
      <c r="AS16" s="42">
        <v>2380.5000916599415</v>
      </c>
      <c r="AT16" s="41">
        <v>2937.0649313274521</v>
      </c>
      <c r="AU16" s="42">
        <v>2828.2642283119712</v>
      </c>
      <c r="AV16" s="41">
        <v>4161.0013523414391</v>
      </c>
      <c r="AW16" s="42">
        <v>3832.7384139016785</v>
      </c>
    </row>
    <row r="17" spans="1:49" x14ac:dyDescent="0.2">
      <c r="A17" t="s">
        <v>62</v>
      </c>
      <c r="B17" s="35">
        <v>999.99999999998658</v>
      </c>
      <c r="C17" s="36">
        <v>1000.0000000000002</v>
      </c>
      <c r="D17" s="35">
        <v>999.67222143807612</v>
      </c>
      <c r="E17" s="36">
        <v>1019.6889875432975</v>
      </c>
      <c r="F17" s="35">
        <v>999.57473213812193</v>
      </c>
      <c r="G17" s="36">
        <v>1041.1857294191443</v>
      </c>
      <c r="H17" s="35">
        <v>999.75584450313988</v>
      </c>
      <c r="I17" s="36">
        <v>1064.7487041952038</v>
      </c>
      <c r="J17" s="35">
        <v>1000.2788094214573</v>
      </c>
      <c r="K17" s="36">
        <v>1090.6892266469972</v>
      </c>
      <c r="L17" s="35">
        <v>1001.2275297206494</v>
      </c>
      <c r="M17" s="36">
        <v>1119.3860648987622</v>
      </c>
      <c r="N17" s="35">
        <v>1002.716019529854</v>
      </c>
      <c r="O17" s="36">
        <v>1151.3058435211797</v>
      </c>
      <c r="P17" s="35">
        <v>1004.9020202099904</v>
      </c>
      <c r="Q17" s="36">
        <v>1187.0317693551285</v>
      </c>
      <c r="R17" s="35">
        <v>1008.0092183654148</v>
      </c>
      <c r="S17" s="36">
        <v>1227.3061264765136</v>
      </c>
      <c r="T17" s="35">
        <v>1012.3633756361766</v>
      </c>
      <c r="U17" s="36">
        <v>1273.0963904034397</v>
      </c>
      <c r="V17" s="35">
        <v>1018.4533268426228</v>
      </c>
      <c r="W17" s="36">
        <v>1325.7044383307534</v>
      </c>
      <c r="X17" s="35">
        <v>1027.0367684361224</v>
      </c>
      <c r="Y17" s="36">
        <v>1386.9613003520274</v>
      </c>
      <c r="Z17" s="35">
        <v>1039.3302005236437</v>
      </c>
      <c r="AA17" s="36">
        <v>1459.6075320618565</v>
      </c>
      <c r="AB17" s="35">
        <v>1057.357523151072</v>
      </c>
      <c r="AC17" s="36">
        <v>1548.1059406961633</v>
      </c>
      <c r="AD17" s="35">
        <v>1084.595224537898</v>
      </c>
      <c r="AE17" s="36">
        <v>1660.5281400142128</v>
      </c>
      <c r="AF17" s="35">
        <v>1127.1605757561222</v>
      </c>
      <c r="AG17" s="36">
        <v>1813.2343692155223</v>
      </c>
      <c r="AH17" s="35">
        <v>1196.090765807322</v>
      </c>
      <c r="AI17" s="36">
        <v>2043.2503929935388</v>
      </c>
      <c r="AJ17" s="35">
        <v>1313.081768504313</v>
      </c>
      <c r="AK17" s="36">
        <v>2445.9295103112563</v>
      </c>
      <c r="AL17" s="35">
        <v>1533.1143276352075</v>
      </c>
      <c r="AM17" s="36">
        <v>3333.5917417933515</v>
      </c>
      <c r="AN17" s="35">
        <v>2081.2296991781959</v>
      </c>
      <c r="AO17" s="36">
        <v>6427.033468649458</v>
      </c>
      <c r="AP17" s="35">
        <v>2313.3482312384972</v>
      </c>
      <c r="AQ17" s="36">
        <v>8111.4025823713473</v>
      </c>
      <c r="AR17" s="35">
        <v>2662.5490703766595</v>
      </c>
      <c r="AS17" s="36">
        <v>11043.620196197406</v>
      </c>
      <c r="AT17" s="35">
        <v>3270.923524018282</v>
      </c>
      <c r="AU17" s="36">
        <v>17235.857221883231</v>
      </c>
      <c r="AV17" s="35">
        <v>4732.6412210231047</v>
      </c>
      <c r="AW17" s="36">
        <v>37290.242095241105</v>
      </c>
    </row>
    <row r="18" spans="1:49" x14ac:dyDescent="0.2">
      <c r="A18" t="s">
        <v>19</v>
      </c>
      <c r="B18" s="33">
        <v>27857.010133999996</v>
      </c>
      <c r="C18" s="34">
        <v>1236.7674480000003</v>
      </c>
      <c r="D18" s="33">
        <v>27642.290799603335</v>
      </c>
      <c r="E18" s="34">
        <v>1160.1340494840224</v>
      </c>
      <c r="F18" s="33">
        <v>27403.958710020219</v>
      </c>
      <c r="G18" s="34">
        <v>1083.8046559841805</v>
      </c>
      <c r="H18" s="33">
        <v>27138.030876308825</v>
      </c>
      <c r="I18" s="34">
        <v>1007.8246955349935</v>
      </c>
      <c r="J18" s="33">
        <v>26839.595907818737</v>
      </c>
      <c r="K18" s="34">
        <v>932.24790502221538</v>
      </c>
      <c r="L18" s="33">
        <v>26502.561732687522</v>
      </c>
      <c r="M18" s="34">
        <v>857.13670763756829</v>
      </c>
      <c r="N18" s="33">
        <v>26119.272632513977</v>
      </c>
      <c r="O18" s="34">
        <v>782.5674098497642</v>
      </c>
      <c r="P18" s="33">
        <v>25680.052771659579</v>
      </c>
      <c r="Q18" s="34">
        <v>708.6316148030561</v>
      </c>
      <c r="R18" s="33">
        <v>25172.573268356475</v>
      </c>
      <c r="S18" s="34">
        <v>635.4415278979767</v>
      </c>
      <c r="T18" s="33">
        <v>24581.055658814817</v>
      </c>
      <c r="U18" s="34">
        <v>563.13409358673937</v>
      </c>
      <c r="V18" s="33">
        <v>23885.313870542002</v>
      </c>
      <c r="W18" s="34">
        <v>491.87907615118809</v>
      </c>
      <c r="X18" s="33">
        <v>23059.822991486973</v>
      </c>
      <c r="Y18" s="34">
        <v>421.88229774626041</v>
      </c>
      <c r="Z18" s="33">
        <v>22073.333734914933</v>
      </c>
      <c r="AA18" s="34">
        <v>353.39192361759439</v>
      </c>
      <c r="AB18" s="33">
        <v>20890.514072325281</v>
      </c>
      <c r="AC18" s="34">
        <v>286.70242122540589</v>
      </c>
      <c r="AD18" s="33">
        <v>19478.795042560509</v>
      </c>
      <c r="AE18" s="34">
        <v>222.17209171368759</v>
      </c>
      <c r="AF18" s="33">
        <v>17824.809226305915</v>
      </c>
      <c r="AG18" s="34">
        <v>160.33628210602353</v>
      </c>
      <c r="AH18" s="33">
        <v>15957.52770272604</v>
      </c>
      <c r="AI18" s="34">
        <v>102.38813406311652</v>
      </c>
      <c r="AJ18" s="33">
        <v>13945.521568623284</v>
      </c>
      <c r="AK18" s="34">
        <v>51.544505564088752</v>
      </c>
      <c r="AL18" s="33">
        <v>11807.041688411788</v>
      </c>
      <c r="AM18" s="34">
        <v>15.088750435355733</v>
      </c>
      <c r="AN18" s="33">
        <v>9235.8496742839743</v>
      </c>
      <c r="AO18" s="34">
        <v>0.92722661277825336</v>
      </c>
      <c r="AP18" s="33">
        <v>8556.5378654349915</v>
      </c>
      <c r="AQ18" s="34">
        <v>0.33221639035556549</v>
      </c>
      <c r="AR18" s="33">
        <v>7740.2175178510934</v>
      </c>
      <c r="AS18" s="34">
        <v>8.3764076760557554E-2</v>
      </c>
      <c r="AT18" s="33">
        <v>6675.6960712383761</v>
      </c>
      <c r="AU18" s="34">
        <v>1.1195536065625461E-2</v>
      </c>
      <c r="AV18" s="33">
        <v>5057.151449557362</v>
      </c>
      <c r="AW18" s="34">
        <v>3.2326356465548183E-4</v>
      </c>
    </row>
    <row r="19" spans="1:49" x14ac:dyDescent="0.2">
      <c r="A19" t="s">
        <v>3</v>
      </c>
      <c r="B19" s="41">
        <v>1886.3937399999918</v>
      </c>
      <c r="C19" s="42">
        <v>262.78711299999759</v>
      </c>
      <c r="D19" s="41">
        <v>1870.2344070000531</v>
      </c>
      <c r="E19" s="42">
        <v>261.25765520971606</v>
      </c>
      <c r="F19" s="41">
        <v>1853.6318384910628</v>
      </c>
      <c r="G19" s="42">
        <v>259.83445231239455</v>
      </c>
      <c r="H19" s="41">
        <v>1836.5224955662172</v>
      </c>
      <c r="I19" s="42">
        <v>258.51290668880324</v>
      </c>
      <c r="J19" s="41">
        <v>1818.8349266797402</v>
      </c>
      <c r="K19" s="42">
        <v>257.28492136157638</v>
      </c>
      <c r="L19" s="41">
        <v>1800.4901735998096</v>
      </c>
      <c r="M19" s="42">
        <v>256.13722487204825</v>
      </c>
      <c r="N19" s="41">
        <v>1781.4047298306034</v>
      </c>
      <c r="O19" s="42">
        <v>255.04956342998787</v>
      </c>
      <c r="P19" s="41">
        <v>1761.4970453522915</v>
      </c>
      <c r="Q19" s="42">
        <v>253.99171198632561</v>
      </c>
      <c r="R19" s="41">
        <v>1740.7028215769701</v>
      </c>
      <c r="S19" s="42">
        <v>252.91982400477065</v>
      </c>
      <c r="T19" s="41">
        <v>1719.0077838496741</v>
      </c>
      <c r="U19" s="42">
        <v>251.77203121148241</v>
      </c>
      <c r="V19" s="41">
        <v>1696.5166151263295</v>
      </c>
      <c r="W19" s="42">
        <v>250.4636639983085</v>
      </c>
      <c r="X19" s="41">
        <v>1673.5974888889741</v>
      </c>
      <c r="Y19" s="42">
        <v>248.88380037873853</v>
      </c>
      <c r="Z19" s="41">
        <v>1651.1865028323812</v>
      </c>
      <c r="AA19" s="42">
        <v>246.89736833702716</v>
      </c>
      <c r="AB19" s="41">
        <v>1631.4293866292087</v>
      </c>
      <c r="AC19" s="42">
        <v>244.35872559556773</v>
      </c>
      <c r="AD19" s="41">
        <v>1619.0077135258859</v>
      </c>
      <c r="AE19" s="42">
        <v>241.13246023811513</v>
      </c>
      <c r="AF19" s="41">
        <v>1623.7449444659128</v>
      </c>
      <c r="AG19" s="42">
        <v>237.03719325792466</v>
      </c>
      <c r="AH19" s="41">
        <v>1665.4277132382126</v>
      </c>
      <c r="AI19" s="42">
        <v>231.29584570692455</v>
      </c>
      <c r="AJ19" s="41">
        <v>1784.0474103599386</v>
      </c>
      <c r="AK19" s="42">
        <v>220.22187031552087</v>
      </c>
      <c r="AL19" s="41">
        <v>2076.6443534936634</v>
      </c>
      <c r="AM19" s="42">
        <v>191.00466771012466</v>
      </c>
      <c r="AN19" s="41">
        <v>2914.4267162439874</v>
      </c>
      <c r="AO19" s="42">
        <v>117.33937922017122</v>
      </c>
      <c r="AP19" s="41">
        <v>3276.5103035621496</v>
      </c>
      <c r="AQ19" s="42">
        <v>96.004515019128988</v>
      </c>
      <c r="AR19" s="41">
        <v>3814.452922889715</v>
      </c>
      <c r="AS19" s="42">
        <v>73.089643928268487</v>
      </c>
      <c r="AT19" s="41">
        <v>4718.8029258624074</v>
      </c>
      <c r="AU19" s="42">
        <v>49.128606898073841</v>
      </c>
      <c r="AV19" s="41">
        <v>6688.7424122481752</v>
      </c>
      <c r="AW19" s="42">
        <v>24.64030466964261</v>
      </c>
    </row>
    <row r="20" spans="1:49" x14ac:dyDescent="0.2">
      <c r="A20" t="s">
        <v>127</v>
      </c>
      <c r="B20" s="82">
        <v>26548.356269999993</v>
      </c>
      <c r="C20" s="83">
        <v>1408.5418709999938</v>
      </c>
      <c r="D20" s="82">
        <v>26339.924483906379</v>
      </c>
      <c r="E20" s="83">
        <v>1338.1147774499941</v>
      </c>
      <c r="F20" s="82">
        <v>26111.700404345142</v>
      </c>
      <c r="G20" s="83">
        <v>1267.6876838999945</v>
      </c>
      <c r="H20" s="82">
        <v>25860.37477285682</v>
      </c>
      <c r="I20" s="83">
        <v>1197.2605903499946</v>
      </c>
      <c r="J20" s="82">
        <v>25581.872668359269</v>
      </c>
      <c r="K20" s="83">
        <v>1126.8334967999949</v>
      </c>
      <c r="L20" s="82">
        <v>25271.146910469524</v>
      </c>
      <c r="M20" s="83">
        <v>1056.4064032499953</v>
      </c>
      <c r="N20" s="82">
        <v>24921.866495216997</v>
      </c>
      <c r="O20" s="83">
        <v>985.97930969999561</v>
      </c>
      <c r="P20" s="82">
        <v>24526.045926919611</v>
      </c>
      <c r="Q20" s="83">
        <v>915.55221614999596</v>
      </c>
      <c r="R20" s="82">
        <v>24073.534608001832</v>
      </c>
      <c r="S20" s="83">
        <v>845.12512259999642</v>
      </c>
      <c r="T20" s="82">
        <v>23551.38053467538</v>
      </c>
      <c r="U20" s="83">
        <v>774.69802904999653</v>
      </c>
      <c r="V20" s="82">
        <v>22943.077149371667</v>
      </c>
      <c r="W20" s="83">
        <v>704.27093549999688</v>
      </c>
      <c r="X20" s="82">
        <v>22227.863778492181</v>
      </c>
      <c r="Y20" s="83">
        <v>633.84384194999711</v>
      </c>
      <c r="Z20" s="82">
        <v>21380.535301640881</v>
      </c>
      <c r="AA20" s="83">
        <v>563.41674839999746</v>
      </c>
      <c r="AB20" s="82">
        <v>20373.035863309804</v>
      </c>
      <c r="AC20" s="83">
        <v>492.98965484999781</v>
      </c>
      <c r="AD20" s="82">
        <v>19180.543885855368</v>
      </c>
      <c r="AE20" s="83">
        <v>422.56256129999809</v>
      </c>
      <c r="AF20" s="82">
        <v>17795.783984583319</v>
      </c>
      <c r="AG20" s="83">
        <v>352.13546774999827</v>
      </c>
      <c r="AH20" s="82">
        <v>16249.299671029676</v>
      </c>
      <c r="AI20" s="83">
        <v>281.70837419999856</v>
      </c>
      <c r="AJ20" s="82">
        <v>14609.333587641951</v>
      </c>
      <c r="AK20" s="83">
        <v>211.28128064999879</v>
      </c>
      <c r="AL20" s="82">
        <v>12913.958540497122</v>
      </c>
      <c r="AM20" s="83">
        <v>140.85418709999902</v>
      </c>
      <c r="AN20" s="82">
        <v>10967.334868902377</v>
      </c>
      <c r="AO20" s="83">
        <v>70.427093549999285</v>
      </c>
      <c r="AP20" s="82">
        <v>10467.259440060339</v>
      </c>
      <c r="AQ20" s="83">
        <v>56.341674839999335</v>
      </c>
      <c r="AR20" s="82">
        <v>9870.4622045590731</v>
      </c>
      <c r="AS20" s="83">
        <v>42.256256129999379</v>
      </c>
      <c r="AT20" s="82">
        <v>9094.7019552509555</v>
      </c>
      <c r="AU20" s="83">
        <v>28.170837419999433</v>
      </c>
      <c r="AV20" s="82">
        <v>7907.8019757719157</v>
      </c>
      <c r="AW20" s="83">
        <v>14.08541870999948</v>
      </c>
    </row>
    <row r="21" spans="1:49" x14ac:dyDescent="0.2">
      <c r="A21" t="s">
        <v>76</v>
      </c>
      <c r="B21" s="82">
        <v>24661.962529999968</v>
      </c>
      <c r="C21" s="83">
        <v>1145.7547579999991</v>
      </c>
      <c r="D21" s="82">
        <v>24469.690338758734</v>
      </c>
      <c r="E21" s="83">
        <v>1076.9386680256821</v>
      </c>
      <c r="F21" s="82">
        <v>24258.069002852211</v>
      </c>
      <c r="G21" s="83">
        <v>1008.1942463754391</v>
      </c>
      <c r="H21" s="82">
        <v>24023.852419922834</v>
      </c>
      <c r="I21" s="83">
        <v>939.55081702358484</v>
      </c>
      <c r="J21" s="82">
        <v>23763.037925586221</v>
      </c>
      <c r="K21" s="83">
        <v>871.04493058538537</v>
      </c>
      <c r="L21" s="82">
        <v>23470.660255469393</v>
      </c>
      <c r="M21" s="83">
        <v>802.72260791183339</v>
      </c>
      <c r="N21" s="82">
        <v>23140.478730356448</v>
      </c>
      <c r="O21" s="83">
        <v>734.64180230021861</v>
      </c>
      <c r="P21" s="82">
        <v>22764.603162248302</v>
      </c>
      <c r="Q21" s="83">
        <v>666.87607934365474</v>
      </c>
      <c r="R21" s="82">
        <v>22332.973628331445</v>
      </c>
      <c r="S21" s="83">
        <v>599.5190424636794</v>
      </c>
      <c r="T21" s="82">
        <v>21832.702158120541</v>
      </c>
      <c r="U21" s="83">
        <v>532.68969772405489</v>
      </c>
      <c r="V21" s="82">
        <v>21247.271714309503</v>
      </c>
      <c r="W21" s="83">
        <v>466.53871878434899</v>
      </c>
      <c r="X21" s="82">
        <v>20555.734727932217</v>
      </c>
      <c r="Y21" s="83">
        <v>401.25492732465841</v>
      </c>
      <c r="Z21" s="82">
        <v>19732.307862741749</v>
      </c>
      <c r="AA21" s="83">
        <v>337.07054838010237</v>
      </c>
      <c r="AB21" s="82">
        <v>18747.518729331896</v>
      </c>
      <c r="AC21" s="83">
        <v>274.26553479541275</v>
      </c>
      <c r="AD21" s="82">
        <v>17573.400066807208</v>
      </c>
      <c r="AE21" s="83">
        <v>213.18487337139109</v>
      </c>
      <c r="AF21" s="82">
        <v>16196.186386840625</v>
      </c>
      <c r="AG21" s="83">
        <v>154.34527750096748</v>
      </c>
      <c r="AH21" s="82">
        <v>14634.093923150956</v>
      </c>
      <c r="AI21" s="83">
        <v>98.896621166691077</v>
      </c>
      <c r="AJ21" s="82">
        <v>12933.343516606359</v>
      </c>
      <c r="AK21" s="83">
        <v>49.959955095974621</v>
      </c>
      <c r="AL21" s="82">
        <v>11088.594645986333</v>
      </c>
      <c r="AM21" s="83">
        <v>14.671611024758606</v>
      </c>
      <c r="AN21" s="82">
        <v>8784.5261972788339</v>
      </c>
      <c r="AO21" s="83">
        <v>0.90348784151846706</v>
      </c>
      <c r="AP21" s="82">
        <v>8157.5893530622534</v>
      </c>
      <c r="AQ21" s="83">
        <v>0.32377913868175007</v>
      </c>
      <c r="AR21" s="82">
        <v>7395.7657948495353</v>
      </c>
      <c r="AS21" s="83">
        <v>8.1648054394097822E-2</v>
      </c>
      <c r="AT21" s="82">
        <v>6391.646266402905</v>
      </c>
      <c r="AU21" s="83">
        <v>1.0913538906830299E-2</v>
      </c>
      <c r="AV21" s="82">
        <v>4850.4355917169605</v>
      </c>
      <c r="AW21" s="83">
        <v>3.151300479316104E-4</v>
      </c>
    </row>
    <row r="22" spans="1:49" x14ac:dyDescent="0.2">
      <c r="A22" t="s">
        <v>28</v>
      </c>
      <c r="B22" s="41">
        <v>6533.6044688320644</v>
      </c>
      <c r="C22" s="42">
        <v>379.90788307663382</v>
      </c>
      <c r="D22" s="41">
        <v>6470.3672021984776</v>
      </c>
      <c r="E22" s="42">
        <v>367.63191851889025</v>
      </c>
      <c r="F22" s="41">
        <v>6401.4584611650453</v>
      </c>
      <c r="G22" s="42">
        <v>355.02439737252104</v>
      </c>
      <c r="H22" s="41">
        <v>6325.9509516526332</v>
      </c>
      <c r="I22" s="42">
        <v>342.05868767071178</v>
      </c>
      <c r="J22" s="41">
        <v>6242.7064850570023</v>
      </c>
      <c r="K22" s="42">
        <v>328.70447904822794</v>
      </c>
      <c r="L22" s="41">
        <v>6150.3194858681645</v>
      </c>
      <c r="M22" s="42">
        <v>314.92714516810867</v>
      </c>
      <c r="N22" s="41">
        <v>6047.0330910227585</v>
      </c>
      <c r="O22" s="42">
        <v>300.68673101301903</v>
      </c>
      <c r="P22" s="41">
        <v>5930.6387778324179</v>
      </c>
      <c r="Q22" s="42">
        <v>285.93698876002964</v>
      </c>
      <c r="R22" s="41">
        <v>5798.3390581282383</v>
      </c>
      <c r="S22" s="42">
        <v>270.62410965505728</v>
      </c>
      <c r="T22" s="41">
        <v>5646.5780188852186</v>
      </c>
      <c r="U22" s="42">
        <v>254.68542522241779</v>
      </c>
      <c r="V22" s="41">
        <v>5470.8414593052985</v>
      </c>
      <c r="W22" s="42">
        <v>238.04820583826117</v>
      </c>
      <c r="X22" s="41">
        <v>5265.4760478602675</v>
      </c>
      <c r="Y22" s="42">
        <v>220.62950066081243</v>
      </c>
      <c r="Z22" s="41">
        <v>5023.6503984993633</v>
      </c>
      <c r="AA22" s="42">
        <v>202.33816285954879</v>
      </c>
      <c r="AB22" s="41">
        <v>4737.8051914202633</v>
      </c>
      <c r="AC22" s="42">
        <v>183.08228067594533</v>
      </c>
      <c r="AD22" s="41">
        <v>4401.3161306354514</v>
      </c>
      <c r="AE22" s="42">
        <v>162.78545200210596</v>
      </c>
      <c r="AF22" s="41">
        <v>4012.3474765504111</v>
      </c>
      <c r="AG22" s="42">
        <v>141.40703550850409</v>
      </c>
      <c r="AH22" s="41">
        <v>3579.1958744682643</v>
      </c>
      <c r="AI22" s="42">
        <v>118.91877276497596</v>
      </c>
      <c r="AJ22" s="41">
        <v>3119.8311690781784</v>
      </c>
      <c r="AK22" s="42">
        <v>95.098649687659787</v>
      </c>
      <c r="AL22" s="41">
        <v>2642.5766423192299</v>
      </c>
      <c r="AM22" s="42">
        <v>69.033505232490896</v>
      </c>
      <c r="AN22" s="41">
        <v>2088.6235346186809</v>
      </c>
      <c r="AO22" s="42">
        <v>38.806778776968123</v>
      </c>
      <c r="AP22" s="41">
        <v>1945.6188246496404</v>
      </c>
      <c r="AQ22" s="42">
        <v>32.044895794458633</v>
      </c>
      <c r="AR22" s="41">
        <v>1775.1102586818181</v>
      </c>
      <c r="AS22" s="42">
        <v>24.962579416906028</v>
      </c>
      <c r="AT22" s="41">
        <v>1554.3178117713164</v>
      </c>
      <c r="AU22" s="42">
        <v>17.469487826123871</v>
      </c>
      <c r="AV22" s="41">
        <v>1219.6900203733223</v>
      </c>
      <c r="AW22" s="42">
        <v>9.3765899352040645</v>
      </c>
    </row>
    <row r="23" spans="1:49" x14ac:dyDescent="0.2">
      <c r="A23" t="s">
        <v>7</v>
      </c>
      <c r="B23" s="116">
        <v>3278.5018080150408</v>
      </c>
      <c r="C23" s="8">
        <v>0</v>
      </c>
      <c r="D23" s="116">
        <v>3257.0857134147659</v>
      </c>
      <c r="E23" s="8">
        <v>0</v>
      </c>
      <c r="F23" s="116">
        <v>3232.8283263179542</v>
      </c>
      <c r="G23" s="8">
        <v>0</v>
      </c>
      <c r="H23" s="116">
        <v>3205.2438863427928</v>
      </c>
      <c r="I23" s="8">
        <v>0</v>
      </c>
      <c r="J23" s="116">
        <v>3173.7326249114499</v>
      </c>
      <c r="K23" s="8">
        <v>0</v>
      </c>
      <c r="L23" s="116">
        <v>3137.5500991823392</v>
      </c>
      <c r="M23" s="8">
        <v>0</v>
      </c>
      <c r="N23" s="116">
        <v>3095.7599409295394</v>
      </c>
      <c r="O23" s="8">
        <v>0</v>
      </c>
      <c r="P23" s="116">
        <v>3047.178536502161</v>
      </c>
      <c r="Q23" s="8">
        <v>0</v>
      </c>
      <c r="R23" s="116">
        <v>2990.2981566996782</v>
      </c>
      <c r="S23" s="8">
        <v>0</v>
      </c>
      <c r="T23" s="116">
        <v>2923.1914922219134</v>
      </c>
      <c r="U23" s="8">
        <v>0</v>
      </c>
      <c r="V23" s="116">
        <v>2843.398710095682</v>
      </c>
      <c r="W23" s="8">
        <v>0</v>
      </c>
      <c r="X23" s="116">
        <v>2747.8243645816724</v>
      </c>
      <c r="Y23" s="8">
        <v>0</v>
      </c>
      <c r="Z23" s="116">
        <v>2632.714350785835</v>
      </c>
      <c r="AA23" s="8">
        <v>0</v>
      </c>
      <c r="AB23" s="116">
        <v>2493.9112378923851</v>
      </c>
      <c r="AC23" s="8">
        <v>0</v>
      </c>
      <c r="AD23" s="116">
        <v>2327.8106418232051</v>
      </c>
      <c r="AE23" s="8">
        <v>0</v>
      </c>
      <c r="AF23" s="116">
        <v>2133.6119747434273</v>
      </c>
      <c r="AG23" s="8">
        <v>0</v>
      </c>
      <c r="AH23" s="116">
        <v>1916.5774538535647</v>
      </c>
      <c r="AI23" s="8">
        <v>0</v>
      </c>
      <c r="AJ23" s="116">
        <v>1688.4454639390767</v>
      </c>
      <c r="AK23" s="8">
        <v>0</v>
      </c>
      <c r="AL23" s="116">
        <v>1458.2707402377639</v>
      </c>
      <c r="AM23" s="8">
        <v>0</v>
      </c>
      <c r="AN23" s="116">
        <v>1204.7032788243939</v>
      </c>
      <c r="AO23" s="8">
        <v>0</v>
      </c>
      <c r="AP23" s="116">
        <v>1140.7087508515262</v>
      </c>
      <c r="AQ23" s="8">
        <v>0</v>
      </c>
      <c r="AR23" s="116">
        <v>1064.2494653803469</v>
      </c>
      <c r="AS23" s="8">
        <v>0</v>
      </c>
      <c r="AT23" s="116">
        <v>964.12705255355854</v>
      </c>
      <c r="AU23" s="8">
        <v>0</v>
      </c>
      <c r="AV23" s="116">
        <v>808.06274453090157</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3172.599985495076</v>
      </c>
      <c r="E25" s="42">
        <v>83.17992149572477</v>
      </c>
      <c r="F25" s="41">
        <v>3145.8889458395693</v>
      </c>
      <c r="G25" s="42">
        <v>75.550006486631901</v>
      </c>
      <c r="H25" s="41">
        <v>3114.1782196653708</v>
      </c>
      <c r="I25" s="42">
        <v>68.140570239577556</v>
      </c>
      <c r="J25" s="41">
        <v>3076.5576046408846</v>
      </c>
      <c r="K25" s="42">
        <v>60.970566169129967</v>
      </c>
      <c r="L25" s="41">
        <v>3031.895799748575</v>
      </c>
      <c r="M25" s="42">
        <v>54.060286842677286</v>
      </c>
      <c r="N25" s="41">
        <v>2978.7667053302316</v>
      </c>
      <c r="O25" s="42">
        <v>47.431581212187282</v>
      </c>
      <c r="P25" s="41">
        <v>2915.363170938107</v>
      </c>
      <c r="Q25" s="42">
        <v>41.107814770840235</v>
      </c>
      <c r="R25" s="41">
        <v>2839.3758789272329</v>
      </c>
      <c r="S25" s="42">
        <v>35.113944685819554</v>
      </c>
      <c r="T25" s="41">
        <v>2747.8406964839264</v>
      </c>
      <c r="U25" s="42">
        <v>29.476377259249233</v>
      </c>
      <c r="V25" s="41">
        <v>2636.9545173685519</v>
      </c>
      <c r="W25" s="42">
        <v>24.222874866201309</v>
      </c>
      <c r="X25" s="41">
        <v>2501.8968858605399</v>
      </c>
      <c r="Y25" s="42">
        <v>19.382010604938017</v>
      </c>
      <c r="Z25" s="41">
        <v>2336.7596687671034</v>
      </c>
      <c r="AA25" s="42">
        <v>14.982676558745561</v>
      </c>
      <c r="AB25" s="41">
        <v>2134.8812567887931</v>
      </c>
      <c r="AC25" s="42">
        <v>11.053742488969499</v>
      </c>
      <c r="AD25" s="41">
        <v>1890.2406076841785</v>
      </c>
      <c r="AE25" s="42">
        <v>7.6255877001291186</v>
      </c>
      <c r="AF25" s="41">
        <v>1600.8923680166072</v>
      </c>
      <c r="AG25" s="42">
        <v>4.7380337071258207</v>
      </c>
      <c r="AH25" s="41">
        <v>1274.2666030682749</v>
      </c>
      <c r="AI25" s="42">
        <v>2.4601118703559721</v>
      </c>
      <c r="AJ25" s="41">
        <v>929.11537457749955</v>
      </c>
      <c r="AK25" s="42">
        <v>0.90525178586749322</v>
      </c>
      <c r="AL25" s="41">
        <v>586.73946772204465</v>
      </c>
      <c r="AM25" s="42">
        <v>0.15468962565857133</v>
      </c>
      <c r="AN25" s="41">
        <v>262.38436816098101</v>
      </c>
      <c r="AO25" s="42">
        <v>3.0159775898134602E-3</v>
      </c>
      <c r="AP25" s="41">
        <v>201.26421029526597</v>
      </c>
      <c r="AQ25" s="42">
        <v>7.1530955087120414E-4</v>
      </c>
      <c r="AR25" s="41">
        <v>142.09815946097621</v>
      </c>
      <c r="AS25" s="42">
        <v>1.0381431705302335E-4</v>
      </c>
      <c r="AT25" s="41">
        <v>85.792245709390301</v>
      </c>
      <c r="AU25" s="42">
        <v>6.1879617369341528E-6</v>
      </c>
      <c r="AV25" s="41">
        <v>34.855508693338436</v>
      </c>
      <c r="AW25" s="42">
        <v>4.2872421924740107E-8</v>
      </c>
    </row>
    <row r="26" spans="1:49" x14ac:dyDescent="0.2">
      <c r="A26" t="s">
        <v>27</v>
      </c>
      <c r="B26" s="33">
        <v>5036.2953101960647</v>
      </c>
      <c r="C26" s="34">
        <v>74.905331803938267</v>
      </c>
      <c r="D26" s="33">
        <v>5007.8833601529323</v>
      </c>
      <c r="E26" s="34">
        <v>70.857949507511492</v>
      </c>
      <c r="F26" s="33">
        <v>4975.6030043145802</v>
      </c>
      <c r="G26" s="34">
        <v>66.788708587622551</v>
      </c>
      <c r="H26" s="33">
        <v>4938.7428372810527</v>
      </c>
      <c r="I26" s="34">
        <v>62.6967116911175</v>
      </c>
      <c r="J26" s="33">
        <v>4896.4168782187699</v>
      </c>
      <c r="K26" s="34">
        <v>58.581062494856937</v>
      </c>
      <c r="L26" s="33">
        <v>4847.5152181823978</v>
      </c>
      <c r="M26" s="34">
        <v>54.440883213429565</v>
      </c>
      <c r="N26" s="33">
        <v>4790.6287928609636</v>
      </c>
      <c r="O26" s="34">
        <v>50.275438928029132</v>
      </c>
      <c r="P26" s="33">
        <v>4723.9582303432926</v>
      </c>
      <c r="Q26" s="34">
        <v>46.084222049916427</v>
      </c>
      <c r="R26" s="33">
        <v>4645.186241344798</v>
      </c>
      <c r="S26" s="34">
        <v>41.867158619438356</v>
      </c>
      <c r="T26" s="33">
        <v>4551.3135079585782</v>
      </c>
      <c r="U26" s="34">
        <v>37.624846301296188</v>
      </c>
      <c r="V26" s="33">
        <v>4438.4559979766927</v>
      </c>
      <c r="W26" s="34">
        <v>33.359009363205885</v>
      </c>
      <c r="X26" s="33">
        <v>4301.6334322419889</v>
      </c>
      <c r="Y26" s="34">
        <v>29.072980678067573</v>
      </c>
      <c r="Z26" s="33">
        <v>4134.6415951757363</v>
      </c>
      <c r="AA26" s="34">
        <v>24.772564830637656</v>
      </c>
      <c r="AB26" s="33">
        <v>3930.2838338929391</v>
      </c>
      <c r="AC26" s="34">
        <v>20.467457045173116</v>
      </c>
      <c r="AD26" s="33">
        <v>3681.5739224981166</v>
      </c>
      <c r="AE26" s="34">
        <v>16.174675799669711</v>
      </c>
      <c r="AF26" s="33">
        <v>3384.8012164221509</v>
      </c>
      <c r="AG26" s="34">
        <v>11.929640120256238</v>
      </c>
      <c r="AH26" s="33">
        <v>3044.0415863345447</v>
      </c>
      <c r="AI26" s="34">
        <v>7.8220662590489498</v>
      </c>
      <c r="AJ26" s="33">
        <v>2670.9135576257336</v>
      </c>
      <c r="AK26" s="34">
        <v>4.0906957441034946</v>
      </c>
      <c r="AL26" s="33">
        <v>2266.8295192157188</v>
      </c>
      <c r="AM26" s="34">
        <v>1.2823242779271014</v>
      </c>
      <c r="AN26" s="33">
        <v>1763.8105930726119</v>
      </c>
      <c r="AO26" s="34">
        <v>9.2318480945304565E-2</v>
      </c>
      <c r="AP26" s="33">
        <v>1626.3641302366323</v>
      </c>
      <c r="AQ26" s="34">
        <v>3.5068557318100962E-2</v>
      </c>
      <c r="AR26" s="33">
        <v>1458.6653433182971</v>
      </c>
      <c r="AS26" s="34">
        <v>9.5619744085006526E-3</v>
      </c>
      <c r="AT26" s="33">
        <v>1236.866093901232</v>
      </c>
      <c r="AU26" s="34">
        <v>1.4314086009791834E-3</v>
      </c>
      <c r="AV26" s="33">
        <v>898.18343347206257</v>
      </c>
      <c r="AW26" s="34">
        <v>5.0249946763849515E-5</v>
      </c>
    </row>
    <row r="27" spans="1:49" x14ac:dyDescent="0.2">
      <c r="A27" t="s">
        <v>2</v>
      </c>
      <c r="B27" s="35">
        <v>6425.1981589998923</v>
      </c>
      <c r="C27" s="36">
        <v>273.22915400000028</v>
      </c>
      <c r="D27" s="35">
        <v>6383.1376802971827</v>
      </c>
      <c r="E27" s="36">
        <v>258.34811127953861</v>
      </c>
      <c r="F27" s="35">
        <v>6335.8607387163502</v>
      </c>
      <c r="G27" s="36">
        <v>243.39390134507835</v>
      </c>
      <c r="H27" s="35">
        <v>6282.4449436000104</v>
      </c>
      <c r="I27" s="36">
        <v>228.36394010433088</v>
      </c>
      <c r="J27" s="35">
        <v>6221.7471751725825</v>
      </c>
      <c r="K27" s="36">
        <v>213.2558379302256</v>
      </c>
      <c r="L27" s="35">
        <v>6152.3423069497758</v>
      </c>
      <c r="M27" s="36">
        <v>198.06713935535902</v>
      </c>
      <c r="N27" s="35">
        <v>6072.430553861097</v>
      </c>
      <c r="O27" s="36">
        <v>182.79633706353329</v>
      </c>
      <c r="P27" s="35">
        <v>5979.7258538759443</v>
      </c>
      <c r="Q27" s="36">
        <v>167.44280112325202</v>
      </c>
      <c r="R27" s="35">
        <v>5871.3007663658827</v>
      </c>
      <c r="S27" s="36">
        <v>152.00777188294256</v>
      </c>
      <c r="T27" s="35">
        <v>5743.3903756429236</v>
      </c>
      <c r="U27" s="36">
        <v>136.4951112300906</v>
      </c>
      <c r="V27" s="35">
        <v>5591.154002944716</v>
      </c>
      <c r="W27" s="36">
        <v>120.91343949901174</v>
      </c>
      <c r="X27" s="35">
        <v>5408.4398218269689</v>
      </c>
      <c r="Y27" s="36">
        <v>105.27750131644319</v>
      </c>
      <c r="Z27" s="35">
        <v>5187.6767270128348</v>
      </c>
      <c r="AA27" s="36">
        <v>89.611775918780921</v>
      </c>
      <c r="AB27" s="35">
        <v>4920.2544918555059</v>
      </c>
      <c r="AC27" s="36">
        <v>73.955810692777661</v>
      </c>
      <c r="AD27" s="35">
        <v>4598.1753692065386</v>
      </c>
      <c r="AE27" s="36">
        <v>58.376529172203121</v>
      </c>
      <c r="AF27" s="35">
        <v>4218.0865007774109</v>
      </c>
      <c r="AG27" s="36">
        <v>43.007587576752989</v>
      </c>
      <c r="AH27" s="35">
        <v>3787.0994157119567</v>
      </c>
      <c r="AI27" s="36">
        <v>28.175800318604718</v>
      </c>
      <c r="AJ27" s="35">
        <v>3322.6548157046327</v>
      </c>
      <c r="AK27" s="36">
        <v>14.734538887229533</v>
      </c>
      <c r="AL27" s="35">
        <v>2831.668205943789</v>
      </c>
      <c r="AM27" s="36">
        <v>4.6284571839594282</v>
      </c>
      <c r="AN27" s="35">
        <v>2245.0031747127455</v>
      </c>
      <c r="AO27" s="36">
        <v>0.33635495650856101</v>
      </c>
      <c r="AP27" s="35">
        <v>2089.2338707855374</v>
      </c>
      <c r="AQ27" s="36">
        <v>0.12835985183956863</v>
      </c>
      <c r="AR27" s="35">
        <v>1900.6696047960609</v>
      </c>
      <c r="AS27" s="36">
        <v>3.5249232220854819E-2</v>
      </c>
      <c r="AT27" s="35">
        <v>1651.8380128366314</v>
      </c>
      <c r="AU27" s="36">
        <v>5.3421075312062444E-3</v>
      </c>
      <c r="AV27" s="35">
        <v>1266.3903644619843</v>
      </c>
      <c r="AW27" s="36">
        <v>1.9269190057557301E-4</v>
      </c>
    </row>
    <row r="28" spans="1:49" x14ac:dyDescent="0.2">
      <c r="A28" t="s">
        <v>35</v>
      </c>
      <c r="B28" s="41">
        <v>13763.097675999892</v>
      </c>
      <c r="C28" s="42">
        <v>382.36647900000014</v>
      </c>
      <c r="D28" s="41">
        <v>13679.636186413734</v>
      </c>
      <c r="E28" s="42">
        <v>361.58833553804624</v>
      </c>
      <c r="F28" s="41">
        <v>13585.311488958132</v>
      </c>
      <c r="G28" s="42">
        <v>340.7050745549908</v>
      </c>
      <c r="H28" s="41">
        <v>13478.16287767993</v>
      </c>
      <c r="I28" s="42">
        <v>319.71280459357234</v>
      </c>
      <c r="J28" s="41">
        <v>13355.75425239343</v>
      </c>
      <c r="K28" s="42">
        <v>298.60783187690544</v>
      </c>
      <c r="L28" s="41">
        <v>13215.040890138111</v>
      </c>
      <c r="M28" s="42">
        <v>277.38642483841159</v>
      </c>
      <c r="N28" s="41">
        <v>13052.167153783672</v>
      </c>
      <c r="O28" s="42">
        <v>256.04601180660154</v>
      </c>
      <c r="P28" s="41">
        <v>12862.222053446183</v>
      </c>
      <c r="Q28" s="42">
        <v>234.5852329348551</v>
      </c>
      <c r="R28" s="41">
        <v>12638.89826390039</v>
      </c>
      <c r="S28" s="42">
        <v>213.00523607318024</v>
      </c>
      <c r="T28" s="41">
        <v>12374.057107071252</v>
      </c>
      <c r="U28" s="42">
        <v>191.31077562043686</v>
      </c>
      <c r="V28" s="41">
        <v>12057.195404607943</v>
      </c>
      <c r="W28" s="42">
        <v>169.51301953501329</v>
      </c>
      <c r="X28" s="41">
        <v>11674.902938974161</v>
      </c>
      <c r="Y28" s="42">
        <v>147.6316180764791</v>
      </c>
      <c r="Z28" s="41">
        <v>11210.570494428986</v>
      </c>
      <c r="AA28" s="42">
        <v>125.69958272323332</v>
      </c>
      <c r="AB28" s="41">
        <v>10645.11182028089</v>
      </c>
      <c r="AC28" s="42">
        <v>103.77069979720723</v>
      </c>
      <c r="AD28" s="41">
        <v>9960.3763647269843</v>
      </c>
      <c r="AE28" s="42">
        <v>81.936850730416907</v>
      </c>
      <c r="AF28" s="41">
        <v>9147.6616105120538</v>
      </c>
      <c r="AG28" s="42">
        <v>60.383504915658207</v>
      </c>
      <c r="AH28" s="41">
        <v>8220.1211896906025</v>
      </c>
      <c r="AI28" s="42">
        <v>39.568362244312119</v>
      </c>
      <c r="AJ28" s="41">
        <v>7212.2815923656344</v>
      </c>
      <c r="AK28" s="42">
        <v>20.692479728693868</v>
      </c>
      <c r="AL28" s="41">
        <v>6133.3160170497904</v>
      </c>
      <c r="AM28" s="42">
        <v>6.4963211916193719</v>
      </c>
      <c r="AN28" s="41">
        <v>4814.8704396897347</v>
      </c>
      <c r="AO28" s="42">
        <v>0.4708628667344773</v>
      </c>
      <c r="AP28" s="41">
        <v>4458.7640936260668</v>
      </c>
      <c r="AQ28" s="42">
        <v>0.17945340703726484</v>
      </c>
      <c r="AR28" s="41">
        <v>4025.2050984910948</v>
      </c>
      <c r="AS28" s="42">
        <v>4.9177304490680154E-2</v>
      </c>
      <c r="AT28" s="41">
        <v>3450.9634248085431</v>
      </c>
      <c r="AU28" s="42">
        <v>7.4249931669597606E-3</v>
      </c>
      <c r="AV28" s="41">
        <v>2564.4368132036525</v>
      </c>
      <c r="AW28" s="42">
        <v>2.6544034122217799E-4</v>
      </c>
    </row>
    <row r="29" spans="1:49" x14ac:dyDescent="0.2">
      <c r="A29" t="s">
        <v>53</v>
      </c>
      <c r="B29" s="35">
        <v>14362.768558000087</v>
      </c>
      <c r="C29" s="36">
        <v>817.26651000000015</v>
      </c>
      <c r="D29" s="35">
        <v>14251.90422438831</v>
      </c>
      <c r="E29" s="36">
        <v>764.8887069573799</v>
      </c>
      <c r="F29" s="35">
        <v>14128.977641964877</v>
      </c>
      <c r="G29" s="36">
        <v>712.86881686765378</v>
      </c>
      <c r="H29" s="35">
        <v>13991.955694809563</v>
      </c>
      <c r="I29" s="36">
        <v>661.24585025430565</v>
      </c>
      <c r="J29" s="35">
        <v>13838.330492136345</v>
      </c>
      <c r="K29" s="36">
        <v>610.06499322963396</v>
      </c>
      <c r="L29" s="35">
        <v>13664.989810579438</v>
      </c>
      <c r="M29" s="36">
        <v>559.37786473783819</v>
      </c>
      <c r="N29" s="35">
        <v>13468.020469731784</v>
      </c>
      <c r="O29" s="36">
        <v>509.24594136441323</v>
      </c>
      <c r="P29" s="35">
        <v>13242.473014557987</v>
      </c>
      <c r="Q29" s="36">
        <v>459.74140211843388</v>
      </c>
      <c r="R29" s="35">
        <v>12982.034694443444</v>
      </c>
      <c r="S29" s="36">
        <v>410.9504521844824</v>
      </c>
      <c r="T29" s="35">
        <v>12678.615342596093</v>
      </c>
      <c r="U29" s="36">
        <v>362.97570772518515</v>
      </c>
      <c r="V29" s="35">
        <v>12321.844435637737</v>
      </c>
      <c r="W29" s="36">
        <v>315.94086744874721</v>
      </c>
      <c r="X29" s="35">
        <v>11898.568712537694</v>
      </c>
      <c r="Y29" s="36">
        <v>269.99178860006998</v>
      </c>
      <c r="Z29" s="35">
        <v>11392.602799939734</v>
      </c>
      <c r="AA29" s="36">
        <v>225.29877946918916</v>
      </c>
      <c r="AB29" s="35">
        <v>10785.464840811401</v>
      </c>
      <c r="AC29" s="36">
        <v>182.05623892652437</v>
      </c>
      <c r="AD29" s="35">
        <v>10059.678635803926</v>
      </c>
      <c r="AE29" s="36">
        <v>140.4896212109204</v>
      </c>
      <c r="AF29" s="35">
        <v>9206.8369698988481</v>
      </c>
      <c r="AG29" s="36">
        <v>100.92340842112517</v>
      </c>
      <c r="AH29" s="35">
        <v>8238.9377012826371</v>
      </c>
      <c r="AI29" s="36">
        <v>64.088742032747945</v>
      </c>
      <c r="AJ29" s="35">
        <v>7186.2440656833651</v>
      </c>
      <c r="AK29" s="36">
        <v>32.003123205150303</v>
      </c>
      <c r="AL29" s="35">
        <v>6048.8956977033367</v>
      </c>
      <c r="AM29" s="36">
        <v>9.2365681021977863</v>
      </c>
      <c r="AN29" s="35">
        <v>4646.0631713970806</v>
      </c>
      <c r="AO29" s="36">
        <v>0.5514522242339579</v>
      </c>
      <c r="AP29" s="35">
        <v>4270.3065424131564</v>
      </c>
      <c r="AQ29" s="36">
        <v>0.19575722093154393</v>
      </c>
      <c r="AR29" s="35">
        <v>3818.0897386360512</v>
      </c>
      <c r="AS29" s="36">
        <v>4.8800804485465893E-2</v>
      </c>
      <c r="AT29" s="35">
        <v>3230.2632448353597</v>
      </c>
      <c r="AU29" s="36">
        <v>6.4287049737245406E-3</v>
      </c>
      <c r="AV29" s="35">
        <v>2349.8989679501442</v>
      </c>
      <c r="AW29" s="36">
        <v>1.8188957412486616E-4</v>
      </c>
    </row>
    <row r="30" spans="1:49" x14ac:dyDescent="0.2">
      <c r="A30" t="s">
        <v>48</v>
      </c>
      <c r="B30" s="119">
        <v>2924829.9599999995</v>
      </c>
      <c r="D30" s="119">
        <v>2932310.9761181325</v>
      </c>
      <c r="F30" s="119">
        <v>2937628.6417424609</v>
      </c>
      <c r="H30" s="119">
        <v>2940430.5417489391</v>
      </c>
      <c r="J30" s="119">
        <v>2940283.1068749698</v>
      </c>
      <c r="L30" s="119">
        <v>2936650.6828404772</v>
      </c>
      <c r="N30" s="119">
        <v>2928865.5067846631</v>
      </c>
      <c r="P30" s="119">
        <v>2916093.5039210543</v>
      </c>
      <c r="R30" s="119">
        <v>2897290.8921724712</v>
      </c>
      <c r="T30" s="119">
        <v>2871158.9245708999</v>
      </c>
      <c r="V30" s="119">
        <v>2836108.5892004296</v>
      </c>
      <c r="X30" s="119">
        <v>2790278.9483013852</v>
      </c>
      <c r="Z30" s="119">
        <v>2731711.5106865102</v>
      </c>
      <c r="AB30" s="119">
        <v>2658931.9706128202</v>
      </c>
      <c r="AD30" s="119">
        <v>2572460.8367261384</v>
      </c>
      <c r="AF30" s="119">
        <v>2478068.0576046412</v>
      </c>
      <c r="AH30" s="119">
        <v>2392199.0472471891</v>
      </c>
      <c r="AJ30" s="119">
        <v>2348668.0938651497</v>
      </c>
      <c r="AL30" s="119">
        <v>2411952.1461925497</v>
      </c>
      <c r="AN30" s="119">
        <v>2743472.9788893508</v>
      </c>
      <c r="AP30" s="119">
        <v>2881959.7650138792</v>
      </c>
      <c r="AR30" s="119">
        <v>3071881.6626430536</v>
      </c>
      <c r="AT30" s="119">
        <v>3352300.7266024631</v>
      </c>
      <c r="AV30" s="119">
        <v>3835830.3127996684</v>
      </c>
    </row>
    <row r="31" spans="1:49" x14ac:dyDescent="0.2">
      <c r="A31" t="s">
        <v>47</v>
      </c>
      <c r="B31" s="80">
        <v>1</v>
      </c>
      <c r="D31" s="80">
        <v>0.98906693046785021</v>
      </c>
      <c r="F31" s="80">
        <v>0.97721824238842314</v>
      </c>
      <c r="H31" s="80">
        <v>0.96431150768065177</v>
      </c>
      <c r="J31" s="80">
        <v>0.95017307241085558</v>
      </c>
      <c r="L31" s="80">
        <v>0.93458994791108685</v>
      </c>
      <c r="N31" s="80">
        <v>0.91729780555077012</v>
      </c>
      <c r="P31" s="80">
        <v>0.89796677526049307</v>
      </c>
      <c r="R31" s="80">
        <v>0.87618214380107051</v>
      </c>
      <c r="T31" s="80">
        <v>0.85142080834275002</v>
      </c>
      <c r="V31" s="80">
        <v>0.82302390789892799</v>
      </c>
      <c r="X31" s="80">
        <v>0.7901729587319466</v>
      </c>
      <c r="Z31" s="80">
        <v>0.7518870190657444</v>
      </c>
      <c r="AB31" s="80">
        <v>0.7070896287021613</v>
      </c>
      <c r="AD31" s="80">
        <v>0.65484484329438264</v>
      </c>
      <c r="AF31" s="80">
        <v>0.59488964812411593</v>
      </c>
      <c r="AH31" s="80">
        <v>0.52833449452391534</v>
      </c>
      <c r="AJ31" s="80">
        <v>0.45744025150765083</v>
      </c>
      <c r="AL31" s="80">
        <v>0.38248784210091791</v>
      </c>
      <c r="AN31" s="80">
        <v>0.29249469737721107</v>
      </c>
      <c r="AP31" s="80">
        <v>0.2688664653420455</v>
      </c>
      <c r="AR31" s="80">
        <v>0.24071569627050157</v>
      </c>
      <c r="AT31" s="80">
        <v>0.20458729900365438</v>
      </c>
      <c r="AV31" s="80">
        <v>0.15125036338528894</v>
      </c>
    </row>
    <row r="32" spans="1:49" x14ac:dyDescent="0.2">
      <c r="A32" t="s">
        <v>64</v>
      </c>
      <c r="B32" s="86">
        <v>14734457.915000005</v>
      </c>
      <c r="D32" s="86">
        <v>14632931.062597157</v>
      </c>
      <c r="F32" s="86">
        <v>14522393.034372607</v>
      </c>
      <c r="H32" s="86">
        <v>14401349.157218359</v>
      </c>
      <c r="J32" s="86">
        <v>14267970.173470357</v>
      </c>
      <c r="L32" s="86">
        <v>14120008.270836262</v>
      </c>
      <c r="N32" s="86">
        <v>13954673.333197115</v>
      </c>
      <c r="P32" s="86">
        <v>13768495.019820081</v>
      </c>
      <c r="R32" s="86">
        <v>13557145.577267045</v>
      </c>
      <c r="T32" s="86">
        <v>13315251.7791015</v>
      </c>
      <c r="V32" s="86">
        <v>13036240.631335668</v>
      </c>
      <c r="X32" s="86">
        <v>12712383.758532604</v>
      </c>
      <c r="Z32" s="86">
        <v>12335418.80278638</v>
      </c>
      <c r="AB32" s="86">
        <v>11898675.981061213</v>
      </c>
      <c r="AD32" s="86">
        <v>11402577.391155681</v>
      </c>
      <c r="AF32" s="86">
        <v>10866186.715274399</v>
      </c>
      <c r="AH32" s="86">
        <v>10345067.409996698</v>
      </c>
      <c r="AJ32" s="86">
        <v>9948014.5294341315</v>
      </c>
      <c r="AL32" s="86">
        <v>9859409.6419000812</v>
      </c>
      <c r="AN32" s="86">
        <v>10470501.670527596</v>
      </c>
      <c r="AP32" s="86">
        <v>10760325.979921371</v>
      </c>
      <c r="AR32" s="86">
        <v>11154553.885592163</v>
      </c>
      <c r="AT32" s="86">
        <v>11708933.346249036</v>
      </c>
      <c r="AV32" s="86">
        <v>12529992.401600601</v>
      </c>
    </row>
    <row r="33" spans="1:49 16319:16321" x14ac:dyDescent="0.2">
      <c r="A33" t="s">
        <v>54</v>
      </c>
      <c r="B33" s="117">
        <v>7019665.6909999885</v>
      </c>
      <c r="D33" s="117">
        <v>6954850.8618042693</v>
      </c>
      <c r="F33" s="117">
        <v>6885962.9709704742</v>
      </c>
      <c r="H33" s="117">
        <v>6812322.9321032092</v>
      </c>
      <c r="J33" s="117">
        <v>6733101.3425826617</v>
      </c>
      <c r="L33" s="117">
        <v>6647279.6904978082</v>
      </c>
      <c r="N33" s="117">
        <v>6553596.6883553155</v>
      </c>
      <c r="P33" s="117">
        <v>6450485.1275924491</v>
      </c>
      <c r="R33" s="117">
        <v>6335992.5968961418</v>
      </c>
      <c r="T33" s="117">
        <v>6207697.1297625275</v>
      </c>
      <c r="V33" s="117">
        <v>6062636.5928597348</v>
      </c>
      <c r="X33" s="117">
        <v>5897324.0855419198</v>
      </c>
      <c r="Z33" s="117">
        <v>5708013.6148115303</v>
      </c>
      <c r="AB33" s="117">
        <v>5491619.6608396238</v>
      </c>
      <c r="AD33" s="117">
        <v>5248088.8285093382</v>
      </c>
      <c r="AF33" s="117">
        <v>4985331.0392948519</v>
      </c>
      <c r="AH33" s="117">
        <v>4726613.6284123901</v>
      </c>
      <c r="AJ33" s="117">
        <v>4516532.8764553424</v>
      </c>
      <c r="AL33" s="117">
        <v>4426432.4877330577</v>
      </c>
      <c r="AN33" s="117">
        <v>4593294.4574657772</v>
      </c>
      <c r="AP33" s="117">
        <v>4683600.8491511773</v>
      </c>
      <c r="AR33" s="117">
        <v>4805604.8441192824</v>
      </c>
      <c r="AT33" s="117">
        <v>4969470.4101926759</v>
      </c>
      <c r="AV33" s="117">
        <v>5172449.325109194</v>
      </c>
    </row>
    <row r="34" spans="1:49 16319:16321" x14ac:dyDescent="0.2">
      <c r="A34" t="s">
        <v>75</v>
      </c>
      <c r="B34" s="117">
        <v>1136879.4410000162</v>
      </c>
      <c r="D34" s="117">
        <v>1124287.8447810316</v>
      </c>
      <c r="F34" s="117">
        <v>1107972.661522744</v>
      </c>
      <c r="H34" s="117">
        <v>1087283.387649928</v>
      </c>
      <c r="J34" s="117">
        <v>1061408.3227686982</v>
      </c>
      <c r="L34" s="117">
        <v>1029328.6881193942</v>
      </c>
      <c r="N34" s="117">
        <v>989743.99328182777</v>
      </c>
      <c r="P34" s="117">
        <v>940982.2283703303</v>
      </c>
      <c r="R34" s="117">
        <v>880867.17803131149</v>
      </c>
      <c r="T34" s="117">
        <v>806537.25868201908</v>
      </c>
      <c r="V34" s="117">
        <v>714197.11311011517</v>
      </c>
      <c r="X34" s="117">
        <v>598797.60719776538</v>
      </c>
      <c r="Z34" s="117">
        <v>453658.47415644082</v>
      </c>
      <c r="AB34" s="117">
        <v>270146.88705298607</v>
      </c>
      <c r="AD34" s="117">
        <v>37726.021620306536</v>
      </c>
      <c r="AF34" s="117">
        <v>-255151.7360001046</v>
      </c>
      <c r="AH34" s="117">
        <v>-619996.84400650626</v>
      </c>
      <c r="AJ34" s="117">
        <v>-1074248.6543120923</v>
      </c>
      <c r="AL34" s="117">
        <v>-1680754.8638560849</v>
      </c>
      <c r="AN34" s="117">
        <v>-2769378.7113255877</v>
      </c>
      <c r="AP34" s="117">
        <v>-3171249.8929764614</v>
      </c>
      <c r="AR34" s="117">
        <v>-3745444.3035426904</v>
      </c>
      <c r="AT34" s="117">
        <v>-4682139.2808631286</v>
      </c>
      <c r="AV34" s="117">
        <v>-6678527.2081816075</v>
      </c>
    </row>
    <row r="35" spans="1:49 16319:16321" x14ac:dyDescent="0.2">
      <c r="A35" t="s">
        <v>78</v>
      </c>
      <c r="B35" s="233">
        <v>1</v>
      </c>
      <c r="D35" s="233">
        <v>1.0017187429850769</v>
      </c>
      <c r="F35" s="233">
        <v>1.0038237284506446</v>
      </c>
      <c r="H35" s="233">
        <v>1.0063852254804098</v>
      </c>
      <c r="J35" s="233">
        <v>1.0094927312122051</v>
      </c>
      <c r="L35" s="233">
        <v>1.0132617619109938</v>
      </c>
      <c r="N35" s="233">
        <v>1.0178447573523119</v>
      </c>
      <c r="P35" s="233">
        <v>1.0234465759839813</v>
      </c>
      <c r="R35" s="233">
        <v>1.0303492609146212</v>
      </c>
      <c r="T35" s="233">
        <v>1.038951607449367</v>
      </c>
      <c r="V35" s="233">
        <v>1.049834970795432</v>
      </c>
      <c r="X35" s="233">
        <v>1.0638758597570384</v>
      </c>
      <c r="Z35" s="233">
        <v>1.0824462060636915</v>
      </c>
      <c r="AB35" s="233">
        <v>1.107779218574789</v>
      </c>
      <c r="AD35" s="233">
        <v>1.1436489627890329</v>
      </c>
      <c r="AF35" s="233">
        <v>1.1966451432606333</v>
      </c>
      <c r="AH35" s="233">
        <v>1.2787235413237075</v>
      </c>
      <c r="AJ35" s="233">
        <v>1.413950953635404</v>
      </c>
      <c r="AL35" s="233">
        <v>1.6657951533013442</v>
      </c>
      <c r="AN35" s="233">
        <v>2.310678697999565</v>
      </c>
      <c r="AP35" s="233">
        <v>2.5949590179336499</v>
      </c>
      <c r="AR35" s="233">
        <v>3.0355262597971508</v>
      </c>
      <c r="AT35" s="233">
        <v>3.8375403316610166</v>
      </c>
      <c r="AV35" s="233">
        <v>5.9136777192011856</v>
      </c>
    </row>
    <row r="36" spans="1:49 16319:16321" x14ac:dyDescent="0.2">
      <c r="A36" t="s">
        <v>21</v>
      </c>
      <c r="B36" s="37">
        <v>0.47195767671987948</v>
      </c>
      <c r="C36" s="38">
        <v>0.3173883442817898</v>
      </c>
      <c r="D36" s="37">
        <v>0.47196328188556541</v>
      </c>
      <c r="E36" s="38">
        <v>0.31887752194680552</v>
      </c>
      <c r="F36" s="37">
        <v>0.47196495332122507</v>
      </c>
      <c r="G36" s="38">
        <v>0.32046448895601909</v>
      </c>
      <c r="H36" s="37">
        <v>0.47196184989006723</v>
      </c>
      <c r="I36" s="38">
        <v>0.32215924229491072</v>
      </c>
      <c r="J36" s="37">
        <v>0.47195292600015692</v>
      </c>
      <c r="K36" s="38">
        <v>0.32397296580355717</v>
      </c>
      <c r="L36" s="37">
        <v>0.47193687976822901</v>
      </c>
      <c r="M36" s="38">
        <v>0.32591813128923691</v>
      </c>
      <c r="N36" s="37">
        <v>0.47191207160067855</v>
      </c>
      <c r="O36" s="38">
        <v>0.32800850273671173</v>
      </c>
      <c r="P36" s="37">
        <v>0.47187644347928215</v>
      </c>
      <c r="Q36" s="38">
        <v>0.33025909482797589</v>
      </c>
      <c r="R36" s="37">
        <v>0.47182742108998366</v>
      </c>
      <c r="S36" s="38">
        <v>0.33268593510579914</v>
      </c>
      <c r="T36" s="37">
        <v>0.47176185307175039</v>
      </c>
      <c r="U36" s="38">
        <v>0.33530561258530822</v>
      </c>
      <c r="V36" s="37">
        <v>0.4716760722263475</v>
      </c>
      <c r="W36" s="38">
        <v>0.33813456538426245</v>
      </c>
      <c r="X36" s="37">
        <v>0.47156638529689943</v>
      </c>
      <c r="Y36" s="38">
        <v>0.34118846428209099</v>
      </c>
      <c r="Z36" s="37">
        <v>0.47143075105007737</v>
      </c>
      <c r="AA36" s="38">
        <v>0.3444832989417928</v>
      </c>
      <c r="AB36" s="37">
        <v>0.4712736943245146</v>
      </c>
      <c r="AC36" s="38">
        <v>0.34804399184060364</v>
      </c>
      <c r="AD36" s="37">
        <v>0.47111956927534326</v>
      </c>
      <c r="AE36" s="38">
        <v>0.35193901416344953</v>
      </c>
      <c r="AF36" s="37">
        <v>0.47104556431316902</v>
      </c>
      <c r="AG36" s="38">
        <v>0.35639224994195923</v>
      </c>
      <c r="AH36" s="37">
        <v>0.47125519653722181</v>
      </c>
      <c r="AI36" s="38">
        <v>0.36209132273954231</v>
      </c>
      <c r="AJ36" s="37">
        <v>0.47223414877162317</v>
      </c>
      <c r="AK36" s="38">
        <v>0.3709573299803996</v>
      </c>
      <c r="AL36" s="37">
        <v>0.47521349319798689</v>
      </c>
      <c r="AM36" s="38">
        <v>0.38843478727398106</v>
      </c>
      <c r="AN36" s="37">
        <v>0.48476537878685089</v>
      </c>
      <c r="AO36" s="38">
        <v>0.43490158077482316</v>
      </c>
      <c r="AP36" s="37">
        <v>0.48902913567102185</v>
      </c>
      <c r="AQ36" s="38">
        <v>0.45425369185164616</v>
      </c>
      <c r="AR36" s="37">
        <v>0.49542244001688729</v>
      </c>
      <c r="AS36" s="38">
        <v>0.48223751607000248</v>
      </c>
      <c r="AT36" s="37">
        <v>0.50629425180299326</v>
      </c>
      <c r="AU36" s="38">
        <v>0.52752362552827226</v>
      </c>
      <c r="AV36" s="37">
        <v>0.53066719463508072</v>
      </c>
      <c r="AW36" s="38">
        <v>0.62169623976207511</v>
      </c>
    </row>
    <row r="37" spans="1:49 16319:16321" x14ac:dyDescent="0.2">
      <c r="B37" s="39">
        <v>2.1403217525954241E-2</v>
      </c>
      <c r="C37" s="40">
        <v>0.34962461301992537</v>
      </c>
      <c r="D37" s="39">
        <v>2.0599802943946005E-2</v>
      </c>
      <c r="E37" s="40">
        <v>0.34569898316137682</v>
      </c>
      <c r="F37" s="39">
        <v>1.9791210985619735E-2</v>
      </c>
      <c r="G37" s="40">
        <v>0.34167208691024403</v>
      </c>
      <c r="H37" s="39">
        <v>1.8977830744649146E-2</v>
      </c>
      <c r="I37" s="40">
        <v>0.33753979802380402</v>
      </c>
      <c r="J37" s="39">
        <v>1.8160200967307541E-2</v>
      </c>
      <c r="K37" s="40">
        <v>0.33329826098443277</v>
      </c>
      <c r="L37" s="39">
        <v>1.7339048013355538E-2</v>
      </c>
      <c r="M37" s="40">
        <v>0.32894410218507053</v>
      </c>
      <c r="N37" s="39">
        <v>1.6515357427733475E-2</v>
      </c>
      <c r="O37" s="40">
        <v>0.32447486072295662</v>
      </c>
      <c r="P37" s="39">
        <v>1.5690443634552482E-2</v>
      </c>
      <c r="Q37" s="40">
        <v>0.31988947415938424</v>
      </c>
      <c r="R37" s="39">
        <v>1.4866054415588529E-2</v>
      </c>
      <c r="S37" s="40">
        <v>0.31518905156397864</v>
      </c>
      <c r="T37" s="39">
        <v>1.4044484468807371E-2</v>
      </c>
      <c r="U37" s="40">
        <v>0.3103778358769177</v>
      </c>
      <c r="V37" s="39">
        <v>1.3228682688394913E-2</v>
      </c>
      <c r="W37" s="40">
        <v>0.30546430133557662</v>
      </c>
      <c r="X37" s="39">
        <v>1.2422249250776479E-2</v>
      </c>
      <c r="Y37" s="40">
        <v>0.30046173247798247</v>
      </c>
      <c r="Z37" s="39">
        <v>1.1629031138457358E-2</v>
      </c>
      <c r="AA37" s="40">
        <v>0.29538618697570357</v>
      </c>
      <c r="AB37" s="39">
        <v>1.0851494435088316E-2</v>
      </c>
      <c r="AC37" s="40">
        <v>0.29024544001991581</v>
      </c>
      <c r="AD37" s="39">
        <v>1.0085727685426578E-2</v>
      </c>
      <c r="AE37" s="40">
        <v>0.28500107683852727</v>
      </c>
      <c r="AF37" s="39">
        <v>9.30840974975463E-3</v>
      </c>
      <c r="AG37" s="40">
        <v>0.27946135995759619</v>
      </c>
      <c r="AH37" s="39">
        <v>8.4495706739318825E-3</v>
      </c>
      <c r="AI37" s="40">
        <v>0.27303304964112624</v>
      </c>
      <c r="AJ37" s="39">
        <v>7.3543752255026311E-3</v>
      </c>
      <c r="AK37" s="40">
        <v>0.26427709707413971</v>
      </c>
      <c r="AL37" s="39">
        <v>5.7630933885427253E-3</v>
      </c>
      <c r="AM37" s="40">
        <v>0.25022601861722671</v>
      </c>
      <c r="AN37" s="39">
        <v>3.4010440415241589E-3</v>
      </c>
      <c r="AO37" s="40">
        <v>0.22516960012187237</v>
      </c>
      <c r="AP37" s="39">
        <v>2.8310954575143294E-3</v>
      </c>
      <c r="AQ37" s="40">
        <v>0.21794089705990821</v>
      </c>
      <c r="AR37" s="39">
        <v>2.2319946723056857E-3</v>
      </c>
      <c r="AS37" s="40">
        <v>0.2095463271908847</v>
      </c>
      <c r="AT37" s="39">
        <v>1.602696744338037E-3</v>
      </c>
      <c r="AU37" s="40">
        <v>0.19947545079035081</v>
      </c>
      <c r="AV37" s="39">
        <v>9.3111083726058169E-4</v>
      </c>
      <c r="AW37" s="40">
        <v>0.18637214158567086</v>
      </c>
    </row>
    <row r="38" spans="1:49 16319:16321" x14ac:dyDescent="0.2">
      <c r="A38" t="s">
        <v>22</v>
      </c>
      <c r="B38" s="37">
        <v>0.18079094942242827</v>
      </c>
      <c r="C38" s="38">
        <v>6.0565413429233668E-2</v>
      </c>
      <c r="D38" s="37">
        <v>0.18116745086209696</v>
      </c>
      <c r="E38" s="38">
        <v>6.1077381134556005E-2</v>
      </c>
      <c r="F38" s="37">
        <v>0.18156511827231947</v>
      </c>
      <c r="G38" s="38">
        <v>6.1624304914037406E-2</v>
      </c>
      <c r="H38" s="37">
        <v>0.18198604238425109</v>
      </c>
      <c r="I38" s="38">
        <v>6.2209937868049153E-2</v>
      </c>
      <c r="J38" s="37">
        <v>0.18243258561103662</v>
      </c>
      <c r="K38" s="38">
        <v>6.2838502697907334E-2</v>
      </c>
      <c r="L38" s="37">
        <v>0.18290742106653063</v>
      </c>
      <c r="M38" s="38">
        <v>6.3514819431172168E-2</v>
      </c>
      <c r="N38" s="37">
        <v>0.18341356056360694</v>
      </c>
      <c r="O38" s="38">
        <v>6.4244227775446097E-2</v>
      </c>
      <c r="P38" s="37">
        <v>0.18395438172762002</v>
      </c>
      <c r="Q38" s="38">
        <v>6.5032692709771661E-2</v>
      </c>
      <c r="R38" s="37">
        <v>0.18453362680978239</v>
      </c>
      <c r="S38" s="38">
        <v>6.5886720935494691E-2</v>
      </c>
      <c r="T38" s="37">
        <v>0.18515533145243368</v>
      </c>
      <c r="U38" s="38">
        <v>6.6813298519459718E-2</v>
      </c>
      <c r="V38" s="37">
        <v>0.18582364134015777</v>
      </c>
      <c r="W38" s="38">
        <v>6.7819533256487582E-2</v>
      </c>
      <c r="X38" s="37">
        <v>0.18654234396465352</v>
      </c>
      <c r="Y38" s="38">
        <v>6.8912539903614095E-2</v>
      </c>
      <c r="Z38" s="37">
        <v>0.18731387133587732</v>
      </c>
      <c r="AA38" s="38">
        <v>7.0099408546314329E-2</v>
      </c>
      <c r="AB38" s="37">
        <v>0.18813724833605625</v>
      </c>
      <c r="AC38" s="38">
        <v>7.1389201938694372E-2</v>
      </c>
      <c r="AD38" s="37">
        <v>0.18900419222308168</v>
      </c>
      <c r="AE38" s="38">
        <v>7.2802464409049E-2</v>
      </c>
      <c r="AF38" s="37">
        <v>0.1898927036720735</v>
      </c>
      <c r="AG38" s="38">
        <v>7.4403871435460109E-2</v>
      </c>
      <c r="AH38" s="37">
        <v>0.19075897238232764</v>
      </c>
      <c r="AI38" s="38">
        <v>7.6396218474174812E-2</v>
      </c>
      <c r="AJ38" s="37">
        <v>0.19152482354157005</v>
      </c>
      <c r="AK38" s="38">
        <v>7.9362401469100466E-2</v>
      </c>
      <c r="AL38" s="37">
        <v>0.19198962610935263</v>
      </c>
      <c r="AM38" s="38">
        <v>8.4985452136737472E-2</v>
      </c>
      <c r="AN38" s="37">
        <v>0.19097437217755003</v>
      </c>
      <c r="AO38" s="38">
        <v>9.9564097571240198E-2</v>
      </c>
      <c r="AP38" s="37">
        <v>0.19007268544985889</v>
      </c>
      <c r="AQ38" s="38">
        <v>0.10555938339034895</v>
      </c>
      <c r="AR38" s="37">
        <v>0.18845275858904603</v>
      </c>
      <c r="AS38" s="38">
        <v>0.11415364173157283</v>
      </c>
      <c r="AT38" s="37">
        <v>0.18527897026800788</v>
      </c>
      <c r="AU38" s="38">
        <v>0.12785529809279525</v>
      </c>
      <c r="AV38" s="37">
        <v>0.17760659185927247</v>
      </c>
      <c r="AW38" s="38">
        <v>0.15544574847896453</v>
      </c>
    </row>
    <row r="39" spans="1:49 16319:16321" x14ac:dyDescent="0.2">
      <c r="A39" t="s">
        <v>23</v>
      </c>
      <c r="B39" s="39">
        <v>0.23064923795098236</v>
      </c>
      <c r="C39" s="40">
        <v>0.22092201281804777</v>
      </c>
      <c r="D39" s="39">
        <v>0.2309192724500525</v>
      </c>
      <c r="E39" s="40">
        <v>0.22268815521313309</v>
      </c>
      <c r="F39" s="39">
        <v>0.23120238961678377</v>
      </c>
      <c r="G39" s="40">
        <v>0.22457358897767182</v>
      </c>
      <c r="H39" s="39">
        <v>0.2314996608351754</v>
      </c>
      <c r="I39" s="40">
        <v>0.22659093502675703</v>
      </c>
      <c r="J39" s="39">
        <v>0.23181225218670687</v>
      </c>
      <c r="K39" s="40">
        <v>0.22875442978350671</v>
      </c>
      <c r="L39" s="39">
        <v>0.23214141972402796</v>
      </c>
      <c r="M39" s="40">
        <v>0.23107998711345556</v>
      </c>
      <c r="N39" s="39">
        <v>0.23248850147159042</v>
      </c>
      <c r="O39" s="40">
        <v>0.23358541994308984</v>
      </c>
      <c r="P39" s="39">
        <v>0.23285488963150222</v>
      </c>
      <c r="Q39" s="40">
        <v>0.23629033425186366</v>
      </c>
      <c r="R39" s="39">
        <v>0.23324197744004507</v>
      </c>
      <c r="S39" s="40">
        <v>0.23921598638002167</v>
      </c>
      <c r="T39" s="39">
        <v>0.23365108705505624</v>
      </c>
      <c r="U39" s="40">
        <v>0.24238474065869411</v>
      </c>
      <c r="V39" s="39">
        <v>0.23408333812352963</v>
      </c>
      <c r="W39" s="40">
        <v>0.24581944091853741</v>
      </c>
      <c r="X39" s="39">
        <v>0.23453952026533811</v>
      </c>
      <c r="Y39" s="40">
        <v>0.24954235311328934</v>
      </c>
      <c r="Z39" s="39">
        <v>0.23502008302475508</v>
      </c>
      <c r="AA39" s="40">
        <v>0.25357618533396331</v>
      </c>
      <c r="AB39" s="39">
        <v>0.23552577379479692</v>
      </c>
      <c r="AC39" s="40">
        <v>0.25795321287026551</v>
      </c>
      <c r="AD39" s="39">
        <v>0.23606056530497296</v>
      </c>
      <c r="AE39" s="40">
        <v>0.26275365515950022</v>
      </c>
      <c r="AF39" s="39">
        <v>0.23664132654796352</v>
      </c>
      <c r="AG39" s="40">
        <v>0.26823365873180166</v>
      </c>
      <c r="AH39" s="39">
        <v>0.23732369363613906</v>
      </c>
      <c r="AI39" s="40">
        <v>0.27518618809124817</v>
      </c>
      <c r="AJ39" s="39">
        <v>0.23825963047380297</v>
      </c>
      <c r="AK39" s="40">
        <v>0.2858605146364066</v>
      </c>
      <c r="AL39" s="39">
        <v>0.23982876326446578</v>
      </c>
      <c r="AM39" s="40">
        <v>0.30674887253182326</v>
      </c>
      <c r="AN39" s="39">
        <v>0.2430748933651081</v>
      </c>
      <c r="AO39" s="40">
        <v>0.36275377763450845</v>
      </c>
      <c r="AP39" s="39">
        <v>0.24416813244352145</v>
      </c>
      <c r="AQ39" s="40">
        <v>0.38637422946588301</v>
      </c>
      <c r="AR39" s="39">
        <v>0.24555764749667414</v>
      </c>
      <c r="AS39" s="40">
        <v>0.42081562388153504</v>
      </c>
      <c r="AT39" s="39">
        <v>0.24744056577911386</v>
      </c>
      <c r="AU39" s="40">
        <v>0.47716406788313953</v>
      </c>
      <c r="AV39" s="39">
        <v>0.25041574829103208</v>
      </c>
      <c r="AW39" s="40">
        <v>0.59608295410877621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0.11366475990180602</v>
      </c>
      <c r="E42" s="135"/>
      <c r="F42" s="177">
        <f>10.8%+(1-10.8%)*(1-SUM(F26:G26)/SUM($B$26:$C$26))</f>
        <v>0.12000844362298824</v>
      </c>
      <c r="G42" s="135"/>
      <c r="H42" s="177">
        <f>10.8%+(1-10.8%)*(1-SUM(H26:I26)/SUM($B$26:$C$26))</f>
        <v>0.12715536130127664</v>
      </c>
      <c r="I42" s="135"/>
      <c r="J42" s="177">
        <f>10.8%+(1-10.8%)*(1-SUM(J26:K26)/SUM($B$26:$C$26))</f>
        <v>0.13526028956924832</v>
      </c>
      <c r="K42" s="135"/>
      <c r="L42" s="177">
        <f>10.8%+(1-10.8%)*(1-SUM(L26:M26)/SUM($B$26:$C$26))</f>
        <v>0.1445170814632491</v>
      </c>
      <c r="M42" s="135"/>
      <c r="N42" s="177">
        <f>10.8%+(1-10.8%)*(1-SUM(N26:O26)/SUM($B$26:$C$26))</f>
        <v>0.15517177328688822</v>
      </c>
      <c r="O42" s="135"/>
      <c r="P42" s="177">
        <f>10.8%+(1-10.8%)*(1-SUM(P26:Q26)/SUM($B$26:$C$26))</f>
        <v>0.16753847763843291</v>
      </c>
      <c r="Q42" s="135"/>
      <c r="R42" s="177">
        <f>10.8%+(1-10.8%)*(1-SUM(R26:S26)/SUM($B$26:$C$26))</f>
        <v>0.18202161769721889</v>
      </c>
      <c r="S42" s="135"/>
      <c r="T42" s="177">
        <f>10.8%+(1-10.8%)*(1-SUM(T26:U26)/SUM($B$26:$C$26))</f>
        <v>0.19914452616790757</v>
      </c>
      <c r="U42" s="135"/>
      <c r="V42" s="177">
        <f>10.8%+(1-10.8%)*(1-SUM(V26:W26)/SUM($B$26:$C$26))</f>
        <v>0.21958473831574021</v>
      </c>
      <c r="W42" s="135"/>
      <c r="X42" s="177">
        <f>10.8%+(1-10.8%)*(1-SUM(X26:Y26)/SUM($B$26:$C$26))</f>
        <v>0.2442108242471363</v>
      </c>
      <c r="Y42" s="162"/>
      <c r="Z42" s="177">
        <f>10.8%+(1-10.8%)*(1-SUM(Z26:AA26)/SUM($B$26:$C$26))</f>
        <v>0.27410452247988998</v>
      </c>
      <c r="AA42" s="135"/>
      <c r="AB42" s="177">
        <f>10.8%+(1-10.8%)*(1-SUM(AB26:AC26)/SUM($B$26:$C$26))</f>
        <v>0.31052009139327508</v>
      </c>
      <c r="AC42" s="135"/>
      <c r="AD42" s="177">
        <f>10.8%+(1-10.8%)*(1-SUM(AD26:AE26)/SUM($B$26:$C$26))</f>
        <v>0.35467378788108567</v>
      </c>
      <c r="AE42" s="135"/>
      <c r="AF42" s="177">
        <f>10.8%+(1-10.8%)*(1-SUM(AF26:AG26)/SUM($B$26:$C$26))</f>
        <v>0.40720700746151117</v>
      </c>
      <c r="AG42" s="135"/>
      <c r="AH42" s="177">
        <f>10.8%+(1-10.8%)*(1-SUM(AH26:AI26)/SUM($B$26:$C$26))</f>
        <v>0.46739277739481011</v>
      </c>
      <c r="AI42" s="135"/>
      <c r="AJ42" s="177">
        <f>10.8%+(1-10.8%)*(1-SUM(AJ26:AK26)/SUM($B$26:$C$26))</f>
        <v>0.53316178308503726</v>
      </c>
      <c r="AK42" s="135"/>
      <c r="AL42" s="177">
        <f>10.8%+(1-10.8%)*(1-SUM(AL26:AM26)/SUM($B$26:$C$26))</f>
        <v>0.60417211021387818</v>
      </c>
      <c r="AM42" s="135"/>
      <c r="AN42" s="177">
        <f>10.8%+(1-10.8%)*(1-SUM(AN26:AO26)/SUM($B$26:$C$26))</f>
        <v>0.69216598852004685</v>
      </c>
      <c r="AO42" s="135"/>
      <c r="AP42" s="177">
        <f>10.8%+(1-10.8%)*(1-SUM(AP26:AQ26)/SUM($B$26:$C$26))</f>
        <v>0.71616295525496554</v>
      </c>
      <c r="AQ42" s="135"/>
      <c r="AR42" s="177">
        <f>10.8%+(1-10.8%)*(1-SUM(AR26:AS26)/SUM($B$26:$C$26))</f>
        <v>0.7454339779132676</v>
      </c>
      <c r="AS42" s="135"/>
      <c r="AT42" s="177">
        <f>10.8%+(1-10.8%)*(1-SUM(AT26:AU26)/SUM($B$26:$C$26))</f>
        <v>0.78414350954834411</v>
      </c>
      <c r="AU42" s="135"/>
      <c r="AV42" s="177">
        <f>10.8%+(1-10.8%)*(1-SUM(AV26:AW26)/SUM($B$26:$C$26))</f>
        <v>0.8432502021351812</v>
      </c>
    </row>
    <row r="43" spans="1:49 16319:16321" x14ac:dyDescent="0.2">
      <c r="A43" t="s">
        <v>108</v>
      </c>
      <c r="B43" s="162">
        <f>SUM(B15:C15*B27:C27)/SUM(B15:C15*B27:C27,B13:C13*B26:C26)</f>
        <v>0.56058995943838641</v>
      </c>
      <c r="C43" s="135"/>
      <c r="D43" s="162">
        <f t="array" ref="D43">SUM(D15:E15*D27:E27)/SUM(D15:E15*D27:E27,D13:E13*D26:E26)</f>
        <v>0.56741363341696727</v>
      </c>
      <c r="E43" s="135"/>
      <c r="F43" s="162">
        <f t="array" ref="F43">SUM(F15:G15*F27:G27)/SUM(F15:G15*F27:G27,F13:G13*F26:G26)</f>
        <v>0.56765738481923655</v>
      </c>
      <c r="G43" s="135"/>
      <c r="H43" s="162">
        <f t="array" ref="H43">SUM(H15:I15*H27:I27)/SUM(H15:I15*H27:I27,H13:I13*H26:I26)</f>
        <v>0.56793532672313651</v>
      </c>
      <c r="I43" s="135"/>
      <c r="J43" s="162">
        <f t="array" ref="J43">SUM(J15:K15*J27:K27)/SUM(J15:K15*J27:K27,J13:K13*J26:K26)</f>
        <v>0.56825154640017084</v>
      </c>
      <c r="K43" s="135"/>
      <c r="L43" s="162">
        <f t="array" ref="L43">SUM(L15:M15*L27:M27)/SUM(L15:M15*L27:M27,L13:M13*L26:M26)</f>
        <v>0.56861074645547927</v>
      </c>
      <c r="M43" s="135"/>
      <c r="N43" s="162">
        <f t="array" ref="N43">SUM(N15:O15*N27:O27)/SUM(N15:O15*N27:O27,N13:O13*N26:O26)</f>
        <v>0.56901840299204809</v>
      </c>
      <c r="O43" s="135"/>
      <c r="P43" s="162">
        <f t="array" ref="P43">SUM(P15:Q15*P27:Q27)/SUM(P15:Q15*P27:Q27,P13:Q13*P26:Q26)</f>
        <v>0.56948082801524924</v>
      </c>
      <c r="Q43" s="135"/>
      <c r="R43" s="162">
        <f t="array" ref="R43">SUM(R15:S15*R27:S27)/SUM(R15:S15*R27:S27,R13:S13*R26:S26)</f>
        <v>0.57000523891139643</v>
      </c>
      <c r="S43" s="135"/>
      <c r="T43" s="162">
        <f t="array" ref="T43">SUM(T15:U15*T27:U27)/SUM(T15:U15*T27:U27,T13:U13*T26:U26)</f>
        <v>0.5705996821636905</v>
      </c>
      <c r="U43" s="135"/>
      <c r="V43" s="162">
        <f t="array" ref="V43">SUM(V15:W15*V27:W27)/SUM(V15:W15*V27:W27,V13:W13*V26:W26)</f>
        <v>0.57127261041507371</v>
      </c>
      <c r="W43" s="135"/>
      <c r="X43" s="162">
        <f t="array" ref="X43">SUM(X15:Y15*X27:Y27)/SUM(X15:Y15*X27:Y27,X13:Y13*X26:Y26)</f>
        <v>0.57203153649692973</v>
      </c>
      <c r="Y43" s="135"/>
      <c r="Z43" s="162">
        <f t="array" ref="Z43">SUM(Z15:AA15*Z27:AA27)/SUM(Z15:AA15*Z27:AA27,Z13:AA13*Z26:AA26)</f>
        <v>0.57287958485470314</v>
      </c>
      <c r="AA43" s="135"/>
      <c r="AB43" s="162">
        <f t="array" ref="AB43">SUM(AB15:AC15*AB27:AC27)/SUM(AB15:AC15*AB27:AC27,AB13:AC13*AB26:AC26)</f>
        <v>0.57380694247783615</v>
      </c>
      <c r="AC43" s="135"/>
      <c r="AD43" s="162">
        <f t="array" ref="AD43">SUM(AD15:AE15*AD27:AE27)/SUM(AD15:AE15*AD27:AE27,AD13:AE13*AD26:AE26)</f>
        <v>0.5747707372568821</v>
      </c>
      <c r="AE43" s="135"/>
      <c r="AF43" s="162">
        <f t="array" ref="AF43">SUM(AF15:AG15*AF27:AG27)/SUM(AF15:AG15*AF27:AG27,AF13:AG13*AF26:AG26)</f>
        <v>0.57565137213807116</v>
      </c>
      <c r="AG43" s="135"/>
      <c r="AH43" s="162">
        <f t="array" ref="AH43">SUM(AH15:AI15*AH27:AI27)/SUM(AH15:AI15*AH27:AI27,AH13:AI13*AH26:AI26)</f>
        <v>0.57616953651259561</v>
      </c>
      <c r="AI43" s="135"/>
      <c r="AJ43" s="162">
        <f t="array" ref="AJ43">SUM(AJ15:AK15*AJ27:AK27)/SUM(AJ15:AK15*AJ27:AK27,AJ13:AK13*AJ26:AK26)</f>
        <v>0.57573319581967175</v>
      </c>
      <c r="AK43" s="135"/>
      <c r="AL43" s="162">
        <f t="array" ref="AL43">SUM(AL15:AM15*AL27:AM27)/SUM(AL15:AM15*AL27:AM27,AL13:AM13*AL26:AM26)</f>
        <v>0.57292481722439204</v>
      </c>
      <c r="AM43" s="135"/>
      <c r="AN43" s="162">
        <f t="array" ref="AN43">SUM(AN15:AO15*AN27:AO27)/SUM(AN15:AO15*AN27:AO27,AN13:AO13*AN26:AO26)</f>
        <v>0.56195062723169764</v>
      </c>
      <c r="AO43" s="135"/>
      <c r="AP43" s="162">
        <f t="array" ref="AP43">SUM(AP15:AQ15*AP27:AQ27)/SUM(AP15:AQ15*AP27:AQ27,AP13:AQ13*AP26:AQ26)</f>
        <v>0.55663369874202995</v>
      </c>
      <c r="AQ43" s="135"/>
      <c r="AR43" s="162">
        <f t="array" ref="AR43">SUM(AR15:AS15*AR27:AS27)/SUM(AR15:AS15*AR27:AS27,AR13:AS13*AR26:AS26)</f>
        <v>0.54841553253954878</v>
      </c>
      <c r="AS43" s="135"/>
      <c r="AT43" s="162">
        <f t="array" ref="AT43">SUM(AT15:AU15*AT27:AU27)/SUM(AT15:AU15*AT27:AU27,AT13:AU13*AT26:AU26)</f>
        <v>0.53414833677947537</v>
      </c>
      <c r="AU43" s="135"/>
      <c r="AV43" s="162">
        <f t="array" ref="AV43">SUM(AV15:AW15*AV27:AW27)/SUM(AV15:AW15*AV27:AW27,AV13:AW13*AV26:AW26)</f>
        <v>0.50255884281360275</v>
      </c>
    </row>
    <row r="44" spans="1:49 16319:16321" x14ac:dyDescent="0.2">
      <c r="A44" t="s">
        <v>142</v>
      </c>
      <c r="B44" s="193">
        <f>(SUM(B11:C11*B24:C24)+B34)/B32</f>
        <v>0.29754226190682465</v>
      </c>
      <c r="D44" s="193">
        <f>(SUM(D11:E11*D24:E24)+D34)/D32</f>
        <v>0.29866618340127965</v>
      </c>
      <c r="F44" s="193">
        <f>(SUM(F11:G11*F24:G24)+F34)/F32</f>
        <v>0.29979206777317824</v>
      </c>
      <c r="H44" s="193">
        <f>(SUM(H11:I11*H24:I24)+H34)/H32</f>
        <v>0.30092013326034195</v>
      </c>
      <c r="J44" s="193">
        <f>(SUM(J11:K11*J24:K24)+J34)/J32</f>
        <v>0.30205055617158466</v>
      </c>
      <c r="L44" s="193">
        <f>(SUM(L11:M11*L24:M24)+L34)/L32</f>
        <v>0.30318355486657861</v>
      </c>
      <c r="N44" s="193">
        <f>(SUM(N11:O11*N24:O24)+N34)/N32</f>
        <v>0.3043192485082169</v>
      </c>
      <c r="P44" s="193">
        <f>(SUM(P11:Q11*P24:Q24)+P34)/P32</f>
        <v>0.30545777475162816</v>
      </c>
      <c r="R44" s="193">
        <f>(SUM(R11:S11*R24:S24)+R34)/R32</f>
        <v>0.30659932463012107</v>
      </c>
      <c r="T44" s="193">
        <f>(SUM(T11:U11*T24:U24)+T34)/T32</f>
        <v>0.30774427625054507</v>
      </c>
      <c r="V44" s="193">
        <f>(SUM(V11:W11*V24:W24)+V34)/V32</f>
        <v>0.30889360175621317</v>
      </c>
      <c r="X44" s="193">
        <f>(SUM(X11:Y11*X24:Y24)+X34)/X32</f>
        <v>0.31004992047714247</v>
      </c>
      <c r="Z44" s="193">
        <f>(SUM(Z11:AA11*Z24:AA24)+Z34)/Z32</f>
        <v>0.3112201253373878</v>
      </c>
      <c r="AB44" s="193">
        <f>(SUM(AB11:AC11*AB24:AC24)+AB34)/AB32</f>
        <v>0.31242180065056885</v>
      </c>
      <c r="AD44" s="193">
        <f>(SUM(AD11:AE11*AD24:AE24)+AD34)/AD32</f>
        <v>0.31369918382645101</v>
      </c>
      <c r="AF44" s="193">
        <f>(SUM(AF11:AG11*AF24:AG24)+AF34)/AF32</f>
        <v>0.31516073675501122</v>
      </c>
      <c r="AH44" s="193">
        <f>(SUM(AH11:AI11*AH24:AI24)+AH34)/AH32</f>
        <v>0.31705840354620529</v>
      </c>
      <c r="AJ44" s="193">
        <f>(SUM(AJ11:AK11*AJ24:AK24)+AJ34)/AJ32</f>
        <v>0.31994029725542572</v>
      </c>
      <c r="AL44" s="193">
        <f>(SUM(AL11:AM11*AL24:AM24)+AL34)/AL32</f>
        <v>0.32499867048348863</v>
      </c>
      <c r="AN44" s="193">
        <f>(SUM(AN11:AO11*AN24:AO24)+AN34)/AN32</f>
        <v>0.33526474289523711</v>
      </c>
      <c r="AP44" s="193">
        <f>(SUM(AP11:AQ11*AP24:AQ24)+AP34)/AP32</f>
        <v>0.33868809271516348</v>
      </c>
      <c r="AR44" s="193">
        <f>(SUM(AR11:AS11*AR24:AS24)+AR34)/AR32</f>
        <v>0.34313380089267659</v>
      </c>
      <c r="AT44" s="193">
        <f>(SUM(AT11:AU11*AT24:AU24)+AT34)/AT32</f>
        <v>0.34953679149177463</v>
      </c>
      <c r="AV44" s="193">
        <f>(SUM(AV11:AW11*AV24:AW24)+AV34)/AV32</f>
        <v>0.36114833160716475</v>
      </c>
    </row>
    <row r="45" spans="1:49 16319:16321" x14ac:dyDescent="0.2">
      <c r="A45" t="s">
        <v>82</v>
      </c>
      <c r="B45" s="193">
        <f>SUM(B11:C11*B24:C24)/B32</f>
        <v>0.22038438833194082</v>
      </c>
      <c r="D45" s="193">
        <f>SUM(D11:E11*D24:E24)/D32</f>
        <v>0.22183346684083652</v>
      </c>
      <c r="F45" s="193">
        <f>SUM(F11:G11*F24:G24)/F32</f>
        <v>0.22349798463548068</v>
      </c>
      <c r="H45" s="193">
        <f>SUM(H11:I11*H24:I24)/H32</f>
        <v>0.22542141603738292</v>
      </c>
      <c r="J45" s="193">
        <f>SUM(J11:K11*J24:K24)/J32</f>
        <v>0.22765957344145082</v>
      </c>
      <c r="L45" s="193">
        <f>SUM(L11:M11*L24:M24)/L32</f>
        <v>0.23028496526409309</v>
      </c>
      <c r="N45" s="193">
        <f>SUM(N11:O11*N24:O24)/N32</f>
        <v>0.23339361881774601</v>
      </c>
      <c r="P45" s="193">
        <f>SUM(P11:Q11*P24:Q24)/P32</f>
        <v>0.23711463143670788</v>
      </c>
      <c r="R45" s="193">
        <f>SUM(R11:S11*R24:S24)/R32</f>
        <v>0.24162494097310916</v>
      </c>
      <c r="T45" s="193">
        <f>SUM(T11:U11*T24:U24)/T32</f>
        <v>0.24717183856311867</v>
      </c>
      <c r="V45" s="193">
        <f>SUM(V11:W11*V24:W24)/V32</f>
        <v>0.25410809009625079</v>
      </c>
      <c r="X45" s="193">
        <f>SUM(X11:Y11*X24:Y24)/X32</f>
        <v>0.26294643315551014</v>
      </c>
      <c r="Z45" s="193">
        <f>SUM(Z11:AA11*Z24:AA24)/Z32</f>
        <v>0.27444322449523995</v>
      </c>
      <c r="AB45" s="193">
        <f>SUM(AB11:AC11*AB24:AC24)/AB32</f>
        <v>0.28971785548196599</v>
      </c>
      <c r="AD45" s="193">
        <f>SUM(AD11:AE11*AD24:AE24)/AD32</f>
        <v>0.31039063170475539</v>
      </c>
      <c r="AF45" s="193">
        <f>SUM(AF11:AG11*AF24:AG24)/AF32</f>
        <v>0.33864199496323272</v>
      </c>
      <c r="AH45" s="193">
        <f>SUM(AH11:AI11*AH24:AI24)/AH32</f>
        <v>0.37699004240700074</v>
      </c>
      <c r="AJ45" s="193">
        <f>SUM(AJ11:AK11*AJ24:AK24)/AJ32</f>
        <v>0.42792653422096405</v>
      </c>
      <c r="AL45" s="193">
        <f>SUM(AL11:AM11*AL24:AM24)/AL32</f>
        <v>0.49547083107952344</v>
      </c>
      <c r="AN45" s="193">
        <f>SUM(AN11:AO11*AN24:AO24)/AN32</f>
        <v>0.59975815481272376</v>
      </c>
      <c r="AP45" s="193">
        <f>SUM(AP11:AQ11*AP24:AQ24)/AP32</f>
        <v>0.63340499059483479</v>
      </c>
      <c r="AR45" s="193">
        <f>SUM(AR11:AS11*AR24:AS24)/AR32</f>
        <v>0.6789109500246121</v>
      </c>
      <c r="AT45" s="193">
        <f>SUM(AT11:AU11*AT24:AU24)/AT32</f>
        <v>0.74941431597721841</v>
      </c>
      <c r="AV45" s="193">
        <f>SUM(AV11:AW11*AV24:AW24)/AV32</f>
        <v>0.89415162435684603</v>
      </c>
      <c r="XCQ45" s="193"/>
    </row>
    <row r="46" spans="1:49 16319:16321" x14ac:dyDescent="0.2">
      <c r="A46" t="s">
        <v>139</v>
      </c>
      <c r="B46" s="193">
        <f>B34/B32</f>
        <v>7.7157873574883795E-2</v>
      </c>
      <c r="D46" s="193">
        <f>D34/D32</f>
        <v>7.6832716560443146E-2</v>
      </c>
      <c r="F46" s="193">
        <f>F34/F32</f>
        <v>7.6294083137697588E-2</v>
      </c>
      <c r="H46" s="193">
        <f>H34/H32</f>
        <v>7.5498717222959005E-2</v>
      </c>
      <c r="J46" s="193">
        <f>J34/J32</f>
        <v>7.4390982730133851E-2</v>
      </c>
      <c r="L46" s="193">
        <f>L34/L32</f>
        <v>7.2898589602485547E-2</v>
      </c>
      <c r="N46" s="193">
        <f>N34/N32</f>
        <v>7.0925629690470893E-2</v>
      </c>
      <c r="P46" s="193">
        <f>P34/P32</f>
        <v>6.8343143314920307E-2</v>
      </c>
      <c r="R46" s="193">
        <f>R34/R32</f>
        <v>6.4974383657011928E-2</v>
      </c>
      <c r="T46" s="193">
        <f>T34/T32</f>
        <v>6.0572437687426393E-2</v>
      </c>
      <c r="V46" s="193">
        <f>V34/V32</f>
        <v>5.4785511659962351E-2</v>
      </c>
      <c r="X46" s="193">
        <f>X34/X32</f>
        <v>4.7103487321632338E-2</v>
      </c>
      <c r="Z46" s="193">
        <f>Z34/Z32</f>
        <v>3.6776900842147846E-2</v>
      </c>
      <c r="AB46" s="193">
        <f>AB34/AB32</f>
        <v>2.2703945168602899E-2</v>
      </c>
      <c r="AD46" s="193">
        <f>AD34/AD32</f>
        <v>3.3085521216956112E-3</v>
      </c>
      <c r="AF46" s="193">
        <f>AF34/AF32</f>
        <v>-2.3481258208221518E-2</v>
      </c>
      <c r="AH46" s="193">
        <f>AH34/AH32</f>
        <v>-5.9931638860795416E-2</v>
      </c>
      <c r="AJ46" s="193">
        <f>AJ34/AJ32</f>
        <v>-0.10798623696553833</v>
      </c>
      <c r="AL46" s="193">
        <f>AL34/AL32</f>
        <v>-0.17047216059603482</v>
      </c>
      <c r="AN46" s="193">
        <f>AN34/AN32</f>
        <v>-0.26449341191748665</v>
      </c>
      <c r="AP46" s="193">
        <f>AP34/AP32</f>
        <v>-0.29471689787967137</v>
      </c>
      <c r="AR46" s="193">
        <f>AR34/AR32</f>
        <v>-0.33577714913193552</v>
      </c>
      <c r="AT46" s="193">
        <f>AT34/AT32</f>
        <v>-0.39987752448544384</v>
      </c>
      <c r="AV46" s="193">
        <f>AV34/AV32</f>
        <v>-0.53300329274968128</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0.99490089421638506</v>
      </c>
      <c r="E49" s="191"/>
      <c r="F49" s="191">
        <f>F13/F35/$B$13*$B$35</f>
        <v>0.98951235066708154</v>
      </c>
      <c r="G49" s="191"/>
      <c r="H49" s="191">
        <f>H13/H35/$B$13*$B$35</f>
        <v>0.9838047395871361</v>
      </c>
      <c r="I49" s="191"/>
      <c r="J49" s="191">
        <f>J13/J35/$B$13*$B$35</f>
        <v>0.9777444645891249</v>
      </c>
      <c r="K49" s="191"/>
      <c r="L49" s="191">
        <f>L13/L35/$B$13*$B$35</f>
        <v>0.97129345355163854</v>
      </c>
      <c r="M49" s="191"/>
      <c r="N49" s="191">
        <f>N13/N35/$B$13*$B$35</f>
        <v>0.96440867641360806</v>
      </c>
      <c r="O49" s="191"/>
      <c r="P49" s="191">
        <f>P13/P35/$B$13*$B$35</f>
        <v>0.95704185538750519</v>
      </c>
      <c r="Q49" s="191"/>
      <c r="R49" s="191">
        <f>R13/R35/$B$13*$B$35</f>
        <v>0.94913959901210776</v>
      </c>
      <c r="S49" s="191"/>
      <c r="T49" s="191">
        <f>T13/T35/$B$13*$B$35</f>
        <v>0.94064454888880888</v>
      </c>
      <c r="U49" s="191"/>
      <c r="V49" s="191">
        <f>V13/V35/$B$13*$B$35</f>
        <v>0.93149850125406697</v>
      </c>
      <c r="W49" s="191"/>
      <c r="X49" s="191">
        <f>X13/X35/$B$13*$B$35</f>
        <v>0.92164969590053314</v>
      </c>
      <c r="Y49" s="191"/>
      <c r="Z49" s="191">
        <f>Z13/Z35/$B$13*$B$35</f>
        <v>0.91106792170550843</v>
      </c>
      <c r="AA49" s="191"/>
      <c r="AB49" s="191">
        <f>AB13/AB35/$B$13*$B$35</f>
        <v>0.89977392871047468</v>
      </c>
      <c r="AC49" s="191"/>
      <c r="AD49" s="191">
        <f>AD13/AD35/$B$13*$B$35</f>
        <v>0.88789061280674175</v>
      </c>
      <c r="AE49" s="191"/>
      <c r="AF49" s="191">
        <f>AF13/AF35/$B$13*$B$35</f>
        <v>0.8757110926120335</v>
      </c>
      <c r="AG49" s="191"/>
      <c r="AH49" s="191">
        <f>AH13/AH35/$B$13*$B$35</f>
        <v>0.86372238549695612</v>
      </c>
      <c r="AI49" s="191"/>
      <c r="AJ49" s="191">
        <f>AJ13/AJ35/$B$13*$B$35</f>
        <v>0.85242558077256014</v>
      </c>
      <c r="AK49" s="191"/>
      <c r="AL49" s="191">
        <f>AL13/AL35/$B$13*$B$35</f>
        <v>0.84183370177629047</v>
      </c>
      <c r="AM49" s="191"/>
      <c r="AN49" s="191">
        <f>AN13/AN35/$B$13*$B$35</f>
        <v>0.83046503092998658</v>
      </c>
      <c r="AO49" s="191"/>
      <c r="AP49" s="191">
        <f>AP13/AP35/$B$13*$B$35</f>
        <v>0.8276394629780961</v>
      </c>
      <c r="AQ49" s="191"/>
      <c r="AR49" s="191">
        <f>AR13/AR35/$B$13*$B$35</f>
        <v>0.82433066738691207</v>
      </c>
      <c r="AS49" s="191"/>
      <c r="AT49" s="191">
        <f>AT13/AT35/$B$13*$B$35</f>
        <v>0.82016799936802365</v>
      </c>
      <c r="AU49" s="191"/>
      <c r="AV49" s="191">
        <f>AV13/AV35/$B$13*$B$35</f>
        <v>0.81422930698872464</v>
      </c>
    </row>
    <row r="51" spans="1:48 16321:16384" x14ac:dyDescent="0.2">
      <c r="A51" t="s">
        <v>166</v>
      </c>
      <c r="B51" s="29">
        <f>B30-B10*B23</f>
        <v>-405838.32800000021</v>
      </c>
      <c r="D51" s="29">
        <f>D30-D10*D23</f>
        <v>-375407.55223483127</v>
      </c>
      <c r="F51" s="29">
        <f>F30-F10*F23</f>
        <v>-345103.1848703078</v>
      </c>
      <c r="H51" s="29">
        <f>H30-H10*H23</f>
        <v>-314939.77584734932</v>
      </c>
      <c r="J51" s="29">
        <f>J30-J10*J23</f>
        <v>-284937.39767642273</v>
      </c>
      <c r="L51" s="29">
        <f>L30-L10*L23</f>
        <v>-255123.59520034725</v>
      </c>
      <c r="N51" s="29">
        <f>N30-N10*N23</f>
        <v>-225535.43612093618</v>
      </c>
      <c r="P51" s="29">
        <f>P30-P10*P23</f>
        <v>-196222.53787346045</v>
      </c>
      <c r="R51" s="29">
        <f>R30-R10*R23</f>
        <v>-167250.41029612301</v>
      </c>
      <c r="T51" s="29">
        <f>T30-T10*T23</f>
        <v>-138703.20291469945</v>
      </c>
      <c r="V51" s="29">
        <f>V30-V10*V23</f>
        <v>-110684.12730153976</v>
      </c>
      <c r="X51" s="29">
        <f>X30-X10*X23</f>
        <v>-83307.151281347964</v>
      </c>
      <c r="Z51" s="29">
        <f>Z30-Z10*Z23</f>
        <v>-56663.09139599232</v>
      </c>
      <c r="AB51" s="29">
        <f>AB30-AB10*AB23</f>
        <v>-30718.574247951154</v>
      </c>
      <c r="AD51" s="29">
        <f>AD30-AD10*AD23</f>
        <v>-5048.5047967243008</v>
      </c>
      <c r="AF51" s="29">
        <f>AF30-AF10*AF23</f>
        <v>21807.792528488673</v>
      </c>
      <c r="AH51" s="29">
        <f>AH30-AH10*AH23</f>
        <v>53735.823254310992</v>
      </c>
      <c r="AJ51" s="29">
        <f>AJ30-AJ10*AJ23</f>
        <v>99957.166534811258</v>
      </c>
      <c r="AL51" s="29">
        <f>AL30-AL10*AL23</f>
        <v>183270.01739514153</v>
      </c>
      <c r="AN51" s="29">
        <f>AN30-AN10*AN23</f>
        <v>376655.81638111779</v>
      </c>
      <c r="AP51" s="29">
        <f>AP30-AP10*AP23</f>
        <v>449628.91737667797</v>
      </c>
      <c r="AQ51" s="29"/>
      <c r="AR51" s="29">
        <f>AR30-AR10*AR23</f>
        <v>550437.0931955874</v>
      </c>
      <c r="AT51" s="29">
        <f>AT30-AT10*AT23</f>
        <v>705540.78418503795</v>
      </c>
      <c r="AV51" s="29">
        <f>AV30-AV10*AV23</f>
        <v>1003473.0871967701</v>
      </c>
      <c r="XFD51" s="29"/>
    </row>
    <row r="52" spans="1:48 16321:16384" x14ac:dyDescent="0.2">
      <c r="A52" t="s">
        <v>167</v>
      </c>
      <c r="B52" s="29">
        <f t="array" ref="B52">Calibration!sL*SUM(B13:C13*B26:C26)</f>
        <v>2049247.8195702801</v>
      </c>
      <c r="D52" s="29">
        <f t="array" ref="D52">Calibration!sL*SUM(D13:E13*D26:E26)</f>
        <v>2029332.7549395487</v>
      </c>
      <c r="F52" s="29">
        <f t="array" ref="F52">Calibration!sL*SUM(F13:G13*F26:G26)</f>
        <v>2008106.8100041391</v>
      </c>
      <c r="H52" s="29">
        <f t="array" ref="H52">Calibration!sL*SUM(H13:I13*H26:I26)</f>
        <v>1985362.1537406684</v>
      </c>
      <c r="J52" s="29">
        <f t="array" ref="J52">Calibration!sL*SUM(J13:K13*J26:K26)</f>
        <v>1960846.4777824534</v>
      </c>
      <c r="L52" s="29">
        <f t="array" ref="L52">Calibration!sL*SUM(L13:M13*L26:M26)</f>
        <v>1934252.1355720877</v>
      </c>
      <c r="N52" s="29">
        <f t="array" ref="N52">Calibration!sL*SUM(N13:O13*N26:O26)</f>
        <v>1905200.5401225481</v>
      </c>
      <c r="P52" s="29">
        <f t="array" ref="P52">Calibration!sL*SUM(P13:Q13*P26:Q26)</f>
        <v>1873224.8274849395</v>
      </c>
      <c r="R52" s="29">
        <f t="array" ref="R52">Calibration!sL*SUM(R13:S13*R26:S26)</f>
        <v>1837748.2182062049</v>
      </c>
      <c r="T52" s="29">
        <f t="array" ref="T52">Calibration!sL*SUM(T13:U13*T26:U26)</f>
        <v>1798061.8973705592</v>
      </c>
      <c r="V52" s="29">
        <f t="array" ref="V52">Calibration!sL*SUM(V13:W13*V26:W26)</f>
        <v>1753309.4634589171</v>
      </c>
      <c r="X52" s="29">
        <f t="array" ref="X52">Calibration!sL*SUM(X13:Y13*X26:Y26)</f>
        <v>1702500.0512673743</v>
      </c>
      <c r="Z52" s="29">
        <f t="array" ref="Z52">Calibration!sL*SUM(Z13:AA13*Z26:AA26)</f>
        <v>1644601.9320785946</v>
      </c>
      <c r="AB52" s="29">
        <f t="array" ref="AB52">Calibration!sL*SUM(AB13:AC13*AB26:AC26)</f>
        <v>1578839.0577932668</v>
      </c>
      <c r="AD52" s="29">
        <f t="array" ref="AD52">Calibration!sL*SUM(AD13:AE13*AD26:AE26)</f>
        <v>1505431.9815284095</v>
      </c>
      <c r="AF52" s="29">
        <f t="array" ref="AF52">Calibration!sL*SUM(AF13:AG13*AF26:AG26)</f>
        <v>1427114.838964313</v>
      </c>
      <c r="AH52" s="29">
        <f t="array" ref="AH52">Calibration!sL*SUM(AH13:AI13*AH26:AI26)</f>
        <v>1351411.2035176696</v>
      </c>
      <c r="AJ52" s="29">
        <f t="array" ref="AJ52">Calibration!sL*SUM(AJ13:AK13*AJ26:AK26)</f>
        <v>1292667.5541666227</v>
      </c>
      <c r="AL52" s="29">
        <f t="array" ref="AL52">Calibration!sL*SUM(AL13:AM13*AL26:AM26)</f>
        <v>1275216.4920613661</v>
      </c>
      <c r="AN52" s="29">
        <f t="array" ref="AN52">Calibration!sL*SUM(AN13:AO13*AN26:AO26)</f>
        <v>1357085.2795695397</v>
      </c>
      <c r="AP52" s="29">
        <f t="array" ref="AP52">Calibration!sL*SUM(AP13:AQ13*AP26:AQ26)</f>
        <v>1400458.9950690924</v>
      </c>
      <c r="AQ52" s="29"/>
      <c r="AR52" s="29">
        <f t="array" ref="AR52">Calibration!sL*SUM(AR13:AS13*AR26:AS26)</f>
        <v>1463408.3032013169</v>
      </c>
      <c r="AT52" s="29">
        <f t="array" ref="AT52">Calibration!sL*SUM(AT13:AU13*AT26:AU26)</f>
        <v>1560811.7009794058</v>
      </c>
      <c r="AV52" s="29">
        <f t="array" ref="AV52">Calibration!sL*SUM(AV13:AW13*AV26:AW26)</f>
        <v>1733967.6858743269</v>
      </c>
    </row>
    <row r="53" spans="1:48 16321:16384" x14ac:dyDescent="0.2">
      <c r="A53" t="s">
        <v>168</v>
      </c>
      <c r="B53" s="29">
        <f t="array" ref="B53">Calibration!sK*SUM(B15:C15*B27:C27)</f>
        <v>2740714.444429684</v>
      </c>
      <c r="D53" s="29">
        <f t="array" ref="D53">Calibration!sK*SUM(D15:E15*D27:E27)</f>
        <v>2716436.712694128</v>
      </c>
      <c r="F53" s="29">
        <f t="array" ref="F53">Calibration!sK*SUM(F15:G15*F27:G27)</f>
        <v>2690694.8249852853</v>
      </c>
      <c r="H53" s="29">
        <f t="array" ref="H53">Calibration!sK*SUM(H15:I15*H27:I27)</f>
        <v>2663233.5380338272</v>
      </c>
      <c r="J53" s="29">
        <f t="array" ref="J53">Calibration!sK*SUM(J15:K15*J27:K27)</f>
        <v>2633739.4901254848</v>
      </c>
      <c r="L53" s="29">
        <f t="array" ref="L53">Calibration!sK*SUM(L15:M15*L27:M27)</f>
        <v>2601825.7884678859</v>
      </c>
      <c r="N53" s="29">
        <f t="array" ref="N53">Calibration!sK*SUM(N15:O15*N27:O27)</f>
        <v>2567010.6466662236</v>
      </c>
      <c r="P53" s="29">
        <f t="array" ref="P53">Calibration!sK*SUM(P15:Q15*P27:Q27)</f>
        <v>2528691.8240028797</v>
      </c>
      <c r="R53" s="29">
        <f t="array" ref="R53">Calibration!sK*SUM(R15:S15*R27:S27)</f>
        <v>2486114.2389996899</v>
      </c>
      <c r="T53" s="29">
        <f t="array" ref="T53">Calibration!sK*SUM(T15:U15*T27:U27)</f>
        <v>2438333.9720477439</v>
      </c>
      <c r="V53" s="29">
        <f t="array" ref="V53">Calibration!sK*SUM(V15:W15*V27:W27)</f>
        <v>2384186.0209324532</v>
      </c>
      <c r="X53" s="29">
        <f t="array" ref="X53">Calibration!sK*SUM(X15:Y15*X27:Y27)</f>
        <v>2322280.7711558328</v>
      </c>
      <c r="Z53" s="29">
        <f t="array" ref="Z53">Calibration!sK*SUM(Z15:AA15*Z27:AA27)</f>
        <v>2251091.7679349091</v>
      </c>
      <c r="AB53" s="29">
        <f t="array" ref="AB53">Calibration!sK*SUM(AB15:AC15*AB27:AC27)</f>
        <v>2169285.316816526</v>
      </c>
      <c r="AD53" s="29">
        <f t="array" ref="AD53">Calibration!sK*SUM(AD15:AE15*AD27:AE27)</f>
        <v>2076596.0872332512</v>
      </c>
      <c r="AF53" s="29">
        <f t="array" ref="AF53">Calibration!sK*SUM(AF15:AG15*AF27:AG27)</f>
        <v>1975672.9399136042</v>
      </c>
      <c r="AH53" s="29">
        <f t="array" ref="AH53">Calibration!sK*SUM(AH15:AI15*AH27:AI27)</f>
        <v>1874843.5191780478</v>
      </c>
      <c r="AJ53" s="29">
        <f t="array" ref="AJ53">Calibration!sK*SUM(AJ15:AK15*AJ27:AK27)</f>
        <v>1790146.0065169132</v>
      </c>
      <c r="AL53" s="29">
        <f t="array" ref="AL53">Calibration!sK*SUM(AL15:AM15*AL27:AM27)</f>
        <v>1745808.5166111335</v>
      </c>
      <c r="AN53" s="29">
        <f t="array" ref="AN53">Calibration!sK*SUM(AN15:AO15*AN27:AO27)</f>
        <v>1776648.9550665217</v>
      </c>
      <c r="AP53" s="29">
        <f t="array" ref="AP53">Calibration!sK*SUM(AP15:AQ15*AP27:AQ27)</f>
        <v>1794306.3714119405</v>
      </c>
      <c r="AQ53" s="29"/>
      <c r="AR53" s="29">
        <f t="array" ref="AR53">Calibration!sK*SUM(AR15:AS15*AR27:AS27)</f>
        <v>1813659.0755049256</v>
      </c>
      <c r="AT53" s="29">
        <f t="array" ref="AT53">Calibration!sK*SUM(AT15:AU15*AT27:AU27)</f>
        <v>1826350.5084665292</v>
      </c>
      <c r="AV53" s="29">
        <f t="array" ref="AV53">Calibration!sK*SUM(AV15:AW15*AV27:AW27)</f>
        <v>1787745.0796590322</v>
      </c>
      <c r="XFD53" s="29"/>
    </row>
    <row r="55" spans="1:48 16321:16384" x14ac:dyDescent="0.2">
      <c r="A55" t="s">
        <v>169</v>
      </c>
      <c r="B55" s="193">
        <f>B30/B32</f>
        <v>0.19850271905982084</v>
      </c>
      <c r="D55" s="193">
        <f>D30/D32</f>
        <v>0.20039122466812775</v>
      </c>
      <c r="F55" s="193">
        <f>F30/F32</f>
        <v>0.20228268404452887</v>
      </c>
      <c r="H55" s="193">
        <f>H30/H32</f>
        <v>0.20417743571442493</v>
      </c>
      <c r="J55" s="193">
        <f>J30/J32</f>
        <v>0.20607578170734381</v>
      </c>
      <c r="L55" s="193">
        <f>L30/L32</f>
        <v>0.20797797186180778</v>
      </c>
      <c r="N55" s="193">
        <f>N30/N32</f>
        <v>0.20988420415525694</v>
      </c>
      <c r="P55" s="193">
        <f>P30/P32</f>
        <v>0.21179464420209088</v>
      </c>
      <c r="R55" s="193">
        <f>R30/R32</f>
        <v>0.21370950659633836</v>
      </c>
      <c r="T55" s="193">
        <f>T30/T32</f>
        <v>0.21562933786030464</v>
      </c>
      <c r="V55" s="193">
        <f>V30/V32</f>
        <v>0.2175557102239411</v>
      </c>
      <c r="X55" s="193">
        <f>X30/X32</f>
        <v>0.21949297640016086</v>
      </c>
      <c r="Z55" s="193">
        <f>Z30/Z32</f>
        <v>0.22145267658601578</v>
      </c>
      <c r="AB55" s="193">
        <f>AB30/AB32</f>
        <v>0.22346452452734802</v>
      </c>
      <c r="AD55" s="193">
        <f>AD30/AD32</f>
        <v>0.22560345336673157</v>
      </c>
      <c r="AF55" s="193">
        <f>AF30/AF32</f>
        <v>0.22805314527876339</v>
      </c>
      <c r="AH55" s="193">
        <f>AH30/AH32</f>
        <v>0.23124054705874098</v>
      </c>
      <c r="AJ55" s="193">
        <f>AJ30/AJ32</f>
        <v>0.23609415596608985</v>
      </c>
      <c r="AL55" s="193">
        <f>AL30/AL32</f>
        <v>0.24463454038285848</v>
      </c>
      <c r="AN55" s="193">
        <f>AN30/AN32</f>
        <v>0.26201924847705127</v>
      </c>
      <c r="AP55" s="193">
        <f>AP30/AP32</f>
        <v>0.26783201274678659</v>
      </c>
      <c r="AR55" s="193">
        <f>AR30/AR32</f>
        <v>0.27539260593925369</v>
      </c>
      <c r="AT55" s="193">
        <f>AT30/AT32</f>
        <v>0.28630282771883525</v>
      </c>
      <c r="AV55" s="193">
        <f>AV30/AV32</f>
        <v>0.30613189456600737</v>
      </c>
      <c r="XCS55" s="193"/>
      <c r="XFD55" s="193"/>
    </row>
    <row r="56" spans="1:48 16321:16384" x14ac:dyDescent="0.2">
      <c r="A56" t="s">
        <v>170</v>
      </c>
      <c r="B56" s="193">
        <f>(Model!$C$52*B5*B20+B2*C5*C20)/B32</f>
        <v>2.9221206744340551E-2</v>
      </c>
      <c r="D56" s="193">
        <f>(Model!$C$52*D5*D20+D2*E5*E20)/D32</f>
        <v>3.1632592936353475E-2</v>
      </c>
      <c r="F56" s="193">
        <f>(Model!$C$52*F5*F20+F2*G5*G20)/F32</f>
        <v>3.4058850778402053E-2</v>
      </c>
      <c r="H56" s="193">
        <f>(Model!$C$52*H5*H20+H2*I5*I20)/H32</f>
        <v>3.6501646034466977E-2</v>
      </c>
      <c r="J56" s="193">
        <f>(Model!$C$52*J5*J20+J2*K5*K20)/J32</f>
        <v>3.8962788988606778E-2</v>
      </c>
      <c r="L56" s="193">
        <f>(Model!$C$52*L5*L20+L2*M5*M20)/L32</f>
        <v>4.1444265558360914E-2</v>
      </c>
      <c r="N56" s="193">
        <f>(Model!$C$52*N5*N20+N2*O5*O20)/N32</f>
        <v>4.3948253569803933E-2</v>
      </c>
      <c r="P56" s="193">
        <f>(Model!$C$52*P5*P20+P2*Q5*Q20)/P32</f>
        <v>4.6477201523559469E-2</v>
      </c>
      <c r="R56" s="193">
        <f>(Model!$C$52*R5*R20+R2*S5*S20)/R32</f>
        <v>4.9033944064969137E-2</v>
      </c>
      <c r="T56" s="193">
        <f>(Model!$C$52*T5*T20+T2*U5*U20)/T32</f>
        <v>5.1622031280098672E-2</v>
      </c>
      <c r="V56" s="193">
        <f>(Model!$C$52*V5*V20+V2*W5*W20)/V32</f>
        <v>5.4246408893205561E-2</v>
      </c>
      <c r="X56" s="193">
        <f>(Model!$C$52*X5*X20+X2*Y5*Y20)/X32</f>
        <v>5.6915130471906022E-2</v>
      </c>
      <c r="Z56" s="193">
        <f>(Model!$C$52*Z5*Z20+Z2*AA5*AA20)/Z32</f>
        <v>5.9643520307247164E-2</v>
      </c>
      <c r="AB56" s="193">
        <f>(Model!$C$52*AB5*AB20+AB2*AC5*AC20)/AB32</f>
        <v>6.2464570809420826E-2</v>
      </c>
      <c r="AD56" s="193">
        <f>(Model!$C$52*AD5*AD20+AD2*AE5*AE20)/AD32</f>
        <v>6.5454808217239632E-2</v>
      </c>
      <c r="AF56" s="193">
        <f>(Model!$C$52*AF5*AF20+AF2*AG5*AG20)/AF32</f>
        <v>6.8796041128901406E-2</v>
      </c>
      <c r="AH56" s="193">
        <f>(Model!$C$52*AH5*AH20+AH2*AI5*AI20)/AH32</f>
        <v>7.2908699325581486E-2</v>
      </c>
      <c r="AJ56" s="193">
        <f>(Model!$C$52*AJ5*AJ20+AJ2*AK5*AK20)/AJ32</f>
        <v>7.8708837762402784E-2</v>
      </c>
      <c r="AL56" s="193">
        <f>(Model!$C$52*AL5*AL20+AL2*AM5*AM20)/AL32</f>
        <v>8.814341905315326E-2</v>
      </c>
      <c r="AN56" s="193">
        <f>(Model!$C$52*AN5*AN20+AN2*AO5*AO20)/AN32</f>
        <v>0.10551386312007066</v>
      </c>
      <c r="AP56" s="193">
        <f>(Model!$C$52*AP5*AP20+AP2*AQ5*AQ20)/AP32</f>
        <v>0.11079639346362059</v>
      </c>
      <c r="AR56" s="193">
        <f>(Model!$C$52*AR5*AR20+AR2*AS5*AS20)/AR32</f>
        <v>0.11727591969075478</v>
      </c>
      <c r="AT56" s="193">
        <f>(Model!$C$52*AT5*AT20+AT2*AU5*AU20)/AT32</f>
        <v>0.12593928315515251</v>
      </c>
      <c r="AV56" s="193">
        <f>(Model!$C$52*AV5*AV20+AV2*AW5*AW20)/AV32</f>
        <v>0.14025383853177259</v>
      </c>
      <c r="XFD56" s="193"/>
    </row>
    <row r="57" spans="1:48 16321:16384" x14ac:dyDescent="0.2">
      <c r="A57" t="s">
        <v>171</v>
      </c>
      <c r="B57" s="193">
        <f t="array" ref="B57">SUM(Model!tauL*B13:C13*B26:C26)/B32</f>
        <v>0.15852881819439493</v>
      </c>
      <c r="D57" s="193">
        <f t="array" ref="D57">SUM(Model!tauL*D13:E13*D26:E26)/D32</f>
        <v>0.15807742093905405</v>
      </c>
      <c r="F57" s="193">
        <f t="array" ref="F57">SUM(Model!tauL*F13:G13*F26:G26)/F32</f>
        <v>0.15761462957857228</v>
      </c>
      <c r="H57" s="193">
        <f t="array" ref="H57">SUM(Model!tauL*H13:I13*H26:I26)/H32</f>
        <v>0.15713917256308865</v>
      </c>
      <c r="J57" s="193">
        <f t="array" ref="J57">SUM(Model!tauL*J13:K13*J26:K26)/J32</f>
        <v>0.15664960447123594</v>
      </c>
      <c r="L57" s="193">
        <f t="array" ref="L57">SUM(Model!tauL*L13:M13*L26:M26)/L32</f>
        <v>0.15614426472706761</v>
      </c>
      <c r="N57" s="193">
        <f t="array" ref="N57">SUM(Model!tauL*N13:O13*N26:O26)/N32</f>
        <v>0.15562125900438237</v>
      </c>
      <c r="P57" s="193">
        <f t="array" ref="P57">SUM(Model!tauL*P13:Q13*P26:Q26)/P32</f>
        <v>0.15507840887786306</v>
      </c>
      <c r="R57" s="193">
        <f t="array" ref="R57">SUM(Model!tauL*R13:S13*R26:S26)/R32</f>
        <v>0.15451322379905982</v>
      </c>
      <c r="T57" s="193">
        <f t="array" ref="T57">SUM(Model!tauL*T13:U13*T26:U26)/T32</f>
        <v>0.15392287198741328</v>
      </c>
      <c r="V57" s="193">
        <f t="array" ref="V57">SUM(Model!tauL*V13:W13*V26:W26)/V32</f>
        <v>0.15330422062377869</v>
      </c>
      <c r="X57" s="193">
        <f t="array" ref="X57">SUM(Model!tauL*X13:Y13*X26:Y26)/X32</f>
        <v>0.15265394843521263</v>
      </c>
      <c r="Y57" s="193"/>
      <c r="Z57" s="193">
        <f t="array" ref="Z57">SUM(Model!tauL*Z13:AA13*Z26:AA26)/Z32</f>
        <v>0.15196892811380891</v>
      </c>
      <c r="AB57" s="193">
        <f t="array" ref="AB57">SUM(Model!tauL*AB13:AC13*AB26:AC26)/AB32</f>
        <v>0.15124712442587673</v>
      </c>
      <c r="AD57" s="193">
        <f t="array" ref="AD57">SUM(Model!tauL*AD13:AE13*AD26:AE26)/AD32</f>
        <v>0.15048943527712502</v>
      </c>
      <c r="AF57" s="193">
        <f t="array" ref="AF57">SUM(Model!tauL*AF13:AG13*AF26:AG26)/AF32</f>
        <v>0.14970270978854852</v>
      </c>
      <c r="AH57" s="193">
        <f t="array" ref="AH57">SUM(Model!tauL*AH13:AI13*AH26:AI26)/AH32</f>
        <v>0.14890253555608998</v>
      </c>
      <c r="AJ57" s="193">
        <f t="array" ref="AJ57">SUM(Model!tauL*AJ13:AK13*AJ26:AK26)/AJ32</f>
        <v>0.14811476038963575</v>
      </c>
      <c r="AL57" s="193">
        <f t="array" ref="AL57">SUM(Model!tauL*AL13:AM13*AL26:AM26)/AL32</f>
        <v>0.14742831862117689</v>
      </c>
      <c r="AN57" s="193">
        <f t="array" ref="AN57">SUM(Model!tauL*AN13:AO13*AN26:AO26)/AN32</f>
        <v>0.14773641369636159</v>
      </c>
      <c r="AP57" s="193">
        <f t="array" ref="AP57">SUM(Model!tauL*AP13:AQ13*AP26:AQ26)/AP32</f>
        <v>0.14835181775201262</v>
      </c>
      <c r="AR57" s="193">
        <f t="array" ref="AR57">SUM(Model!tauL*AR13:AS13*AR26:AS26)/AR32</f>
        <v>0.14954132076147786</v>
      </c>
      <c r="AT57" s="193">
        <f t="array" ref="AT57">SUM(Model!tauL*AT13:AU13*AT26:AU26)/AT32</f>
        <v>0.15194313451945399</v>
      </c>
      <c r="AV57" s="193">
        <f t="array" ref="AV57">SUM(Model!tauL*AV13:AW13*AV26:AW26)/AV32</f>
        <v>0.15773864110982927</v>
      </c>
      <c r="XFD57" s="193"/>
    </row>
    <row r="58" spans="1:48 16321:16384" x14ac:dyDescent="0.2">
      <c r="A58" t="s">
        <v>172</v>
      </c>
      <c r="B58" s="193">
        <f t="array" ref="B58">SUM(Model!tauY/(1+Model!tauY)*B3:C3*B18:C18)/B32</f>
        <v>1.075269412108535E-2</v>
      </c>
      <c r="D58" s="193">
        <f t="array" ref="D58">SUM(Model!tauY/(1+Model!tauY)*D3:E3*D18:E18)/D32</f>
        <v>1.0681210792720228E-2</v>
      </c>
      <c r="F58" s="193">
        <f t="array" ref="F58">SUM(Model!tauY/(1+Model!tauY)*F3:G3*F18:G18)/F32</f>
        <v>1.0609203687554532E-2</v>
      </c>
      <c r="H58" s="193">
        <f t="array" ref="H58">SUM(Model!tauY/(1+Model!tauY)*H3:I3*H18:I18)/H32</f>
        <v>1.0536617116869344E-2</v>
      </c>
      <c r="J58" s="193">
        <f t="array" ref="J58">SUM(Model!tauY/(1+Model!tauY)*J3:K3*J18:K18)/J32</f>
        <v>1.0463388247501088E-2</v>
      </c>
      <c r="L58" s="193">
        <f t="array" ref="L58">SUM(Model!tauY/(1+Model!tauY)*L3:M3*L18:M18)/L32</f>
        <v>1.0389441576379291E-2</v>
      </c>
      <c r="N58" s="193">
        <f t="array" ref="N58">SUM(Model!tauY/(1+Model!tauY)*N3:O3*N18:O18)/N32</f>
        <v>1.031469158107063E-2</v>
      </c>
      <c r="P58" s="193">
        <f t="array" ref="P58">SUM(Model!tauY/(1+Model!tauY)*P3:Q3*P18:Q18)/P32</f>
        <v>1.0239033800668346E-2</v>
      </c>
      <c r="R58" s="193">
        <f t="array" ref="R58">SUM(Model!tauY/(1+Model!tauY)*R3:S3*R18:S18)/R32</f>
        <v>1.0162338732309427E-2</v>
      </c>
      <c r="T58" s="193">
        <f t="array" ref="T58">SUM(Model!tauY/(1+Model!tauY)*T3:U3*T18:U18)/T32</f>
        <v>1.0084434592792678E-2</v>
      </c>
      <c r="V58" s="193">
        <f t="array" ref="V58">SUM(Model!tauY/(1+Model!tauY)*V3:W3*V18:W18)/V32</f>
        <v>1.0005080706956854E-2</v>
      </c>
      <c r="X58" s="193">
        <f t="array" ref="X58">SUM(Model!tauY/(1+Model!tauY)*X3:Y3*X18:Y18)/X32</f>
        <v>9.9238974930422035E-3</v>
      </c>
      <c r="Y58" s="193"/>
      <c r="Z58" s="193">
        <f t="array" ref="Z58">SUM(Model!tauY/(1+Model!tauY)*Z3:AA3*Z18:AA18)/Z32</f>
        <v>9.8402281649597328E-3</v>
      </c>
      <c r="AB58" s="193">
        <f t="array" ref="AB58">SUM(Model!tauY/(1+Model!tauY)*AB3:AC3*AB18:AC18)/AB32</f>
        <v>9.7528292920504543E-3</v>
      </c>
      <c r="AD58" s="193">
        <f t="array" ref="AD58">SUM(Model!tauY/(1+Model!tauY)*AD3:AE3*AD18:AE18)/AD32</f>
        <v>9.6592098723669046E-3</v>
      </c>
      <c r="AF58" s="193">
        <f t="array" ref="AF58">SUM(Model!tauY/(1+Model!tauY)*AF3:AG3*AF18:AG18)/AF32</f>
        <v>9.5543943613134383E-3</v>
      </c>
      <c r="AH58" s="193">
        <f t="array" ref="AH58">SUM(Model!tauY/(1+Model!tauY)*AH3:AI3*AH18:AI18)/AH32</f>
        <v>9.429312177069521E-3</v>
      </c>
      <c r="AJ58" s="193">
        <f t="array" ref="AJ58">SUM(Model!tauY/(1+Model!tauY)*AJ3:AK3*AJ18:AK18)/AJ32</f>
        <v>9.2705578140513181E-3</v>
      </c>
      <c r="AL58" s="193">
        <f t="array" ref="AL58">SUM(Model!tauY/(1+Model!tauY)*AL3:AM3*AL18:AM18)/AL32</f>
        <v>9.0628027085283523E-3</v>
      </c>
      <c r="AN58" s="193">
        <f t="array" ref="AN58">SUM(Model!tauY/(1+Model!tauY)*AN3:AO3*AN18:AO18)/AN32</f>
        <v>8.7689716606189939E-3</v>
      </c>
      <c r="AP58" s="193">
        <f t="array" ref="AP58">SUM(Model!tauY/(1+Model!tauY)*AP3:AQ3*AP18:AQ18)/AP32</f>
        <v>8.6838015311533762E-3</v>
      </c>
      <c r="AR58" s="193">
        <f t="array" ref="AR58">SUM(Model!tauY/(1+Model!tauY)*AR3:AS3*AR18:AS18)/AR32</f>
        <v>8.5753654870210534E-3</v>
      </c>
      <c r="AT58" s="193">
        <f t="array" ref="AT58">SUM(Model!tauY/(1+Model!tauY)*AT3:AU3*AT18:AU18)/AT32</f>
        <v>8.4204100442287853E-3</v>
      </c>
      <c r="AV58" s="193">
        <f t="array" ref="AV58">SUM(Model!tauY/(1+Model!tauY)*AV3:AW3*AV18:AW18)/AV32</f>
        <v>8.1394149244054907E-3</v>
      </c>
      <c r="XFD58" s="193"/>
    </row>
    <row r="59" spans="1:48 16321:16384" x14ac:dyDescent="0.2">
      <c r="A59" t="s">
        <v>173</v>
      </c>
      <c r="B59" s="193">
        <f>(B2*C5*C20)/B32</f>
        <v>5.5174232040962052E-4</v>
      </c>
      <c r="D59" s="193">
        <f>(D2*E5*E20)/D32</f>
        <v>3.0011847703746617E-3</v>
      </c>
      <c r="F59" s="193">
        <f>(F2*G5*G20)/F32</f>
        <v>5.4625483287104662E-3</v>
      </c>
      <c r="H59" s="193">
        <f>(H2*I5*I20)/H32</f>
        <v>7.9368515147388418E-3</v>
      </c>
      <c r="J59" s="193">
        <f>(J2*K5*K20)/J32</f>
        <v>1.0425062779880756E-2</v>
      </c>
      <c r="L59" s="193">
        <f>(L2*M5*M20)/L32</f>
        <v>1.2928065451408318E-2</v>
      </c>
      <c r="N59" s="193">
        <f>(N2*O5*O20)/N32</f>
        <v>1.5446560470383701E-2</v>
      </c>
      <c r="P59" s="193">
        <f>(P2*Q5*Q20)/P32</f>
        <v>1.7980997803201504E-2</v>
      </c>
      <c r="R59" s="193">
        <f>(R2*S5*S20)/R32</f>
        <v>2.0531458285017259E-2</v>
      </c>
      <c r="T59" s="193">
        <f>(T2*U5*U20)/T32</f>
        <v>2.3097634167019779E-2</v>
      </c>
      <c r="V59" s="193">
        <f>(V2*W5*W20)/V32</f>
        <v>2.5678972190303229E-2</v>
      </c>
      <c r="X59" s="193">
        <f>(X2*Y5*Y20)/X32</f>
        <v>2.8275584621671429E-2</v>
      </c>
      <c r="Z59" s="193">
        <f>(Z2*AA5*AA20)/Z32</f>
        <v>3.0891245943036411E-2</v>
      </c>
      <c r="AB59" s="193">
        <f>(AB2*AC5*AC20)/AB32</f>
        <v>3.3542317343317508E-2</v>
      </c>
      <c r="AD59" s="193">
        <f>(AD2*AE5*AE20)/AD32</f>
        <v>3.6282510372876171E-2</v>
      </c>
      <c r="AF59" s="193">
        <f>(AF2*AG5*AG20)/AF32</f>
        <v>3.9266339719182627E-2</v>
      </c>
      <c r="AH59" s="193">
        <f>(AH2*AI5*AI20)/AH32</f>
        <v>4.2891812796501103E-2</v>
      </c>
      <c r="AJ59" s="193">
        <f>(AJ2*AK5*AK20)/AJ32</f>
        <v>4.8075047224372232E-2</v>
      </c>
      <c r="AL59" s="193">
        <f>(AL2*AM5*AM20)/AL32</f>
        <v>5.6790455597720085E-2</v>
      </c>
      <c r="AN59" s="193">
        <f>(AN2*AO5*AO20)/AN32</f>
        <v>7.3282521586030838E-2</v>
      </c>
      <c r="AP59" s="193">
        <f>(AP2*AQ5*AQ20)/AP32</f>
        <v>7.8308946328998666E-2</v>
      </c>
      <c r="AR59" s="193">
        <f>(AR2*AS5*AS20)/AR32</f>
        <v>8.4439831037226853E-2</v>
      </c>
      <c r="AT59" s="193">
        <f>(AT2*AU5*AU20)/AT32</f>
        <v>9.2541966629010514E-2</v>
      </c>
      <c r="AV59" s="193">
        <f>(AV2*AW5*AW20)/AV32</f>
        <v>0.10560664424072912</v>
      </c>
      <c r="XFD59" s="193"/>
    </row>
    <row r="60" spans="1:48 16321:16384" x14ac:dyDescent="0.2">
      <c r="A60" t="s">
        <v>174</v>
      </c>
      <c r="B60" s="193">
        <f>Model!$C$52*B5*B20/B32</f>
        <v>2.8669464423930927E-2</v>
      </c>
      <c r="D60" s="193">
        <f>Model!$C$52*D5*D20/D32</f>
        <v>2.8631408165978811E-2</v>
      </c>
      <c r="F60" s="193">
        <f>Model!$C$52*F5*F20/F32</f>
        <v>2.8596302449691587E-2</v>
      </c>
      <c r="H60" s="193">
        <f>Model!$C$52*H5*H20/H32</f>
        <v>2.8564794519728133E-2</v>
      </c>
      <c r="J60" s="193">
        <f>Model!$C$52*J5*J20/J32</f>
        <v>2.8537726208726022E-2</v>
      </c>
      <c r="L60" s="193">
        <f>Model!$C$52*L5*L20/L32</f>
        <v>2.8516200106952598E-2</v>
      </c>
      <c r="N60" s="193">
        <f>Model!$C$52*N5*N20/N32</f>
        <v>2.8501693099420237E-2</v>
      </c>
      <c r="P60" s="193">
        <f>Model!$C$52*P5*P20/P32</f>
        <v>2.8496203720357969E-2</v>
      </c>
      <c r="R60" s="193">
        <f>Model!$C$52*R5*R20/R32</f>
        <v>2.8502485779951878E-2</v>
      </c>
      <c r="T60" s="193">
        <f>Model!$C$52*T5*T20/T32</f>
        <v>2.85243971130789E-2</v>
      </c>
      <c r="V60" s="193">
        <f>Model!$C$52*V5*V20/V32</f>
        <v>2.8567436702902332E-2</v>
      </c>
      <c r="X60" s="193">
        <f>Model!$C$52*X5*X20/X32</f>
        <v>2.8639545850234593E-2</v>
      </c>
      <c r="Z60" s="193">
        <f>Model!$C$52*Z5*Z20/Z32</f>
        <v>2.8752274364210746E-2</v>
      </c>
      <c r="AB60" s="193">
        <f>Model!$C$52*AB5*AB20/AB32</f>
        <v>2.8922253466103318E-2</v>
      </c>
      <c r="AD60" s="193">
        <f>Model!$C$52*AD5*AD20/AD32</f>
        <v>2.9172297844363464E-2</v>
      </c>
      <c r="AF60" s="193">
        <f>Model!$C$52*AF5*AF20/AF32</f>
        <v>2.9529701409718775E-2</v>
      </c>
      <c r="AH60" s="193">
        <f>Model!$C$52*AH5*AH20/AH32</f>
        <v>3.0016886529080383E-2</v>
      </c>
      <c r="AJ60" s="193">
        <f>Model!$C$52*AJ5*AJ20/AJ32</f>
        <v>3.0633790538030545E-2</v>
      </c>
      <c r="AL60" s="193">
        <f>Model!$C$52*AL5*AL20/AL32</f>
        <v>3.1352963455433182E-2</v>
      </c>
      <c r="AN60" s="193">
        <f>Model!$C$52*AN5*AN20/AN32</f>
        <v>3.223134153403983E-2</v>
      </c>
      <c r="AP60" s="193">
        <f>Model!$C$52*AP5*AP20/AP32</f>
        <v>3.2487447134621913E-2</v>
      </c>
      <c r="AR60" s="193">
        <f>Model!$C$52*AR5*AR20/AR32</f>
        <v>3.2836088653527926E-2</v>
      </c>
      <c r="AT60" s="193">
        <f>Model!$C$52*AT5*AT20/AT32</f>
        <v>3.3397316526141994E-2</v>
      </c>
      <c r="AV60" s="193">
        <f>Model!$C$52*AV5*AV20/AV32</f>
        <v>3.464719429104348E-2</v>
      </c>
      <c r="XFD60" s="193"/>
    </row>
    <row r="62" spans="1:48 16321:16384" x14ac:dyDescent="0.2">
      <c r="A62" t="s">
        <v>175</v>
      </c>
      <c r="B62">
        <f>B13/B15</f>
        <v>1</v>
      </c>
      <c r="D62">
        <f>D13/D15</f>
        <v>0.99697029190022668</v>
      </c>
      <c r="F62">
        <f>F13/F15</f>
        <v>0.99376081527959303</v>
      </c>
      <c r="H62">
        <f>H13/H15</f>
        <v>0.99035249176572149</v>
      </c>
      <c r="J62">
        <f>J13/J15</f>
        <v>0.98672342993376416</v>
      </c>
      <c r="L62">
        <f>L13/L15</f>
        <v>0.98284847601139713</v>
      </c>
      <c r="N62">
        <f>N13/N15</f>
        <v>0.97869865120611843</v>
      </c>
      <c r="P62">
        <f>P13/P15</f>
        <v>0.97424070951185349</v>
      </c>
      <c r="R62">
        <f>R13/R15</f>
        <v>0.96943685355552667</v>
      </c>
      <c r="T62">
        <f>T13/T15</f>
        <v>0.96424518890125988</v>
      </c>
      <c r="V62">
        <f>V13/V15</f>
        <v>0.95862185216739559</v>
      </c>
      <c r="X62">
        <f>X13/X15</f>
        <v>0.95252755743135109</v>
      </c>
      <c r="Z62">
        <f>Z13/Z15</f>
        <v>0.94594449726896002</v>
      </c>
      <c r="AB62">
        <f>AB13/AB15</f>
        <v>0.93891809310675223</v>
      </c>
      <c r="AD62">
        <f>AD13/AD15</f>
        <v>0.9316559475238676</v>
      </c>
      <c r="AF62">
        <f>AF13/AF15</f>
        <v>0.92474766934931385</v>
      </c>
      <c r="AH62">
        <f>AH13/AH15</f>
        <v>0.91960774718048099</v>
      </c>
      <c r="AJ62">
        <f>AJ13/AJ15</f>
        <v>0.91939085845719304</v>
      </c>
      <c r="AL62">
        <f>AL13/AL15</f>
        <v>0.93216735193891054</v>
      </c>
      <c r="AN62">
        <f>AN13/AN15</f>
        <v>0.99227545260577588</v>
      </c>
      <c r="AP62">
        <f>AP13/AP15</f>
        <v>1.0232453358904978</v>
      </c>
      <c r="AR62">
        <f>AR13/AR15</f>
        <v>1.0729646684117466</v>
      </c>
      <c r="AT62">
        <f>AT13/AT15</f>
        <v>1.1647465789487235</v>
      </c>
      <c r="AV62">
        <f>AV13/AV15</f>
        <v>1.3955885405787023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0.99967199709979293</v>
      </c>
      <c r="E65" s="191"/>
      <c r="F65" s="191">
        <f t="array" ref="F65">SQRT((F9:G9*$B$22:$C$22+F10:G10*$B$23:$C$23+F11:G11*$B$24:$C$24+F4:G4*($B$25:$C$25-$B$19:$C$19))/($B$9:$C$9*$B$22:$C$22+$B$10:$C$10*$B$23:$C$23+$B$11:$C$11*$B$24:$C$24+$B$4:$C$4*($B$25:$C$25-$B$19:$C$19))*(F9:G9*F22:G22+F10:G10*F23:G23+F11:G11*F24:G24+F4:G4*(F25:G25-F19:G19))/($B$9:$C$9*F22:G22+$B$10:$C$10*F23:G23+$B$11:$C$11*F24:G24+$B$4:$C$4*(F25:G25-F19:G19)))</f>
        <v>0.9995744114692674</v>
      </c>
      <c r="G65" s="191"/>
      <c r="H65" s="191">
        <f t="array" ref="H65">SQRT((H9:I9*$B$22:$C$22+H10:I10*$B$23:$C$23+H11:I11*$B$24:$C$24+H4:I4*($B$25:$C$25-$B$19:$C$19))/($B$9:$C$9*$B$22:$C$22+$B$10:$C$10*$B$23:$C$23+$B$11:$C$11*$B$24:$C$24+$B$4:$C$4*($B$25:$C$25-$B$19:$C$19))*(H9:I9*H22:I22+H10:I10*H23:I23+H11:I11*H24:I24+H4:I4*(H25:I25-H19:I19))/($B$9:$C$9*H22:I22+$B$10:$C$10*H23:I23+$B$11:$C$11*H24:I24+$B$4:$C$4*(H25:I25-H19:I19)))</f>
        <v>0.99975564363613179</v>
      </c>
      <c r="I65" s="191"/>
      <c r="J65" s="191">
        <f t="array" ref="J65">SQRT((J9:K9*$B$22:$C$22+J10:K10*$B$23:$C$23+J11:K11*$B$24:$C$24+J4:K4*($B$25:$C$25-$B$19:$C$19))/($B$9:$C$9*$B$22:$C$22+$B$10:$C$10*$B$23:$C$23+$B$11:$C$11*$B$24:$C$24+$B$4:$C$4*($B$25:$C$25-$B$19:$C$19))*(J9:K9*J22:K22+J10:K10*J23:K23+J11:K11*J24:K24+J4:K4*(J25:K25-J19:K19))/($B$9:$C$9*J22:K22+$B$10:$C$10*J23:K23+$B$11:$C$11*J24:K24+$B$4:$C$4*(J25:K25-J19:K19)))</f>
        <v>1.0002790579402876</v>
      </c>
      <c r="K65" s="191"/>
      <c r="L65" s="191">
        <f t="array" ref="L65">SQRT((L9:M9*$B$22:$C$22+L10:M10*$B$23:$C$23+L11:M11*$B$24:$C$24+L4:M4*($B$25:$C$25-$B$19:$C$19))/($B$9:$C$9*$B$22:$C$22+$B$10:$C$10*$B$23:$C$23+$B$11:$C$11*$B$24:$C$24+$B$4:$C$4*($B$25:$C$25-$B$19:$C$19))*(L9:M9*L22:M22+L10:M10*L23:M23+L11:M11*L24:M24+L4:M4*(L25:M25-L19:M19))/($B$9:$C$9*L22:M22+$B$10:$C$10*L23:M23+$B$11:$C$11*L24:M24+$B$4:$C$4*(L25:M25-L19:M19)))</f>
        <v>1.0012286978739471</v>
      </c>
      <c r="M65" s="191"/>
      <c r="N65" s="191">
        <f t="array" ref="N65">SQRT((N9:O9*$B$22:$C$22+N10:O10*$B$23:$C$23+N11:O11*$B$24:$C$24+N4:O4*($B$25:$C$25-$B$19:$C$19))/($B$9:$C$9*$B$22:$C$22+$B$10:$C$10*$B$23:$C$23+$B$11:$C$11*$B$24:$C$24+$B$4:$C$4*($B$25:$C$25-$B$19:$C$19))*(N9:O9*N22:O22+N10:O10*N23:O23+N11:O11*N24:O24+N4:O4*(N25:O25-N19:O19))/($B$9:$C$9*N22:O22+$B$10:$C$10*N23:O23+$B$11:$C$11*N24:O24+$B$4:$C$4*(N25:O25-N19:O19)))</f>
        <v>1.0027187615147792</v>
      </c>
      <c r="O65" s="191"/>
      <c r="P65" s="191">
        <f t="array" ref="P65">SQRT((P9:Q9*$B$22:$C$22+P10:Q10*$B$23:$C$23+P11:Q11*$B$24:$C$24+P4:Q4*($B$25:$C$25-$B$19:$C$19))/($B$9:$C$9*$B$22:$C$22+$B$10:$C$10*$B$23:$C$23+$B$11:$C$11*$B$24:$C$24+$B$4:$C$4*($B$25:$C$25-$B$19:$C$19))*(P9:Q9*P22:Q22+P10:Q10*P23:Q23+P11:Q11*P24:Q24+P4:Q4*(P25:Q25-P19:Q19))/($B$9:$C$9*P22:Q22+$B$10:$C$10*P23:Q23+$B$11:$C$11*P24:Q24+$B$4:$C$4*(P25:Q25-P19:Q19)))</f>
        <v>1.0049072208713019</v>
      </c>
      <c r="Q65" s="191"/>
      <c r="R65" s="191">
        <f t="array" ref="R65">SQRT((R9:S9*$B$22:$C$22+R10:S10*$B$23:$C$23+R11:S11*$B$24:$C$24+R4:S4*($B$25:$C$25-$B$19:$C$19))/($B$9:$C$9*$B$22:$C$22+$B$10:$C$10*$B$23:$C$23+$B$11:$C$11*$B$24:$C$24+$B$4:$C$4*($B$25:$C$25-$B$19:$C$19))*(R9:S9*R22:S22+R10:S10*R23:S23+R11:S11*R24:S24+R4:S4*(R25:S25-R19:S19))/($B$9:$C$9*R22:S22+$B$10:$C$10*R23:S23+$B$11:$C$11*R24:S24+$B$4:$C$4*(R25:S25-R19:S19)))</f>
        <v>1.0080180684374225</v>
      </c>
      <c r="S65" s="191"/>
      <c r="T65" s="191">
        <f t="array" ref="T65">SQRT((T9:U9*$B$22:$C$22+T10:U10*$B$23:$C$23+T11:U11*$B$24:$C$24+T4:U4*($B$25:$C$25-$B$19:$C$19))/($B$9:$C$9*$B$22:$C$22+$B$10:$C$10*$B$23:$C$23+$B$11:$C$11*$B$24:$C$24+$B$4:$C$4*($B$25:$C$25-$B$19:$C$19))*(T9:U9*T22:U22+T10:U10*T23:U23+T11:U11*T24:U24+T4:U4*(T25:U25-T19:U19))/($B$9:$C$9*T22:U22+$B$10:$C$10*T23:U23+$B$11:$C$11*T24:U24+$B$4:$C$4*(T25:U25-T19:U19)))</f>
        <v>1.012377442570197</v>
      </c>
      <c r="U65" s="191"/>
      <c r="V65" s="191">
        <f t="array" ref="V65">SQRT((V9:W9*$B$22:$C$22+V10:W10*$B$23:$C$23+V11:W11*$B$24:$C$24+V4:W4*($B$25:$C$25-$B$19:$C$19))/($B$9:$C$9*$B$22:$C$22+$B$10:$C$10*$B$23:$C$23+$B$11:$C$11*$B$24:$C$24+$B$4:$C$4*($B$25:$C$25-$B$19:$C$19))*(V9:W9*V22:W22+V10:W10*V23:W23+V11:W11*V24:W24+V4:W4*(V25:W25-V19:W19))/($B$9:$C$9*V22:W22+$B$10:$C$10*V23:W23+$B$11:$C$11*V24:W24+$B$4:$C$4*(V25:W25-V19:W19)))</f>
        <v>1.0184746725570148</v>
      </c>
      <c r="W65" s="191"/>
      <c r="X65" s="191">
        <f t="array" ref="X65">SQRT((X9:Y9*$B$22:$C$22+X10:Y10*$B$23:$C$23+X11:Y11*$B$24:$C$24+X4:Y4*($B$25:$C$25-$B$19:$C$19))/($B$9:$C$9*$B$22:$C$22+$B$10:$C$10*$B$23:$C$23+$B$11:$C$11*$B$24:$C$24+$B$4:$C$4*($B$25:$C$25-$B$19:$C$19))*(X9:Y9*X22:Y22+X10:Y10*X23:Y23+X11:Y11*X24:Y24+X4:Y4*(X25:Y25-X19:Y19))/($B$9:$C$9*X22:Y22+$B$10:$C$10*X23:Y23+$B$11:$C$11*X24:Y24+$B$4:$C$4*(X25:Y25-X19:Y19)))</f>
        <v>1.0270681092895924</v>
      </c>
      <c r="Y65" s="191"/>
      <c r="Z65" s="191">
        <f t="array" ref="Z65">SQRT((Z9:AA9*$B$22:$C$22+Z10:AA10*$B$23:$C$23+Z11:AA11*$B$24:$C$24+Z4:AA4*($B$25:$C$25-$B$19:$C$19))/($B$9:$C$9*$B$22:$C$22+$B$10:$C$10*$B$23:$C$23+$B$11:$C$11*$B$24:$C$24+$B$4:$C$4*($B$25:$C$25-$B$19:$C$19))*(Z9:AA9*Z22:AA22+Z10:AA10*Z23:AA23+Z11:AA11*Z24:AA24+Z4:AA4*(Z25:AA25-Z19:AA19))/($B$9:$C$9*Z22:AA22+$B$10:$C$10*Z23:AA23+$B$11:$C$11*Z24:AA24+$B$4:$C$4*(Z25:AA25-Z19:AA19)))</f>
        <v>1.0393752501403777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1.0574221216187152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1.0846922930359697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1.1273341899365108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1.1965384058583748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1.3148247059485376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1.5426727077111118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2.1770661909560847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2.4981918610648872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3.0917420991550775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4.901862425669159</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0.99963948900586042</v>
      </c>
      <c r="E66" s="191"/>
      <c r="F66" s="191">
        <f t="array" ref="F66">SQRT((F9:G9*$B$22:$C$22)/($B$9:$C$9*$B$22:$C$22)*(F9:G9*F22:G22)/($B$9:$C$9*F22:G22))</f>
        <v>0.99953224349576442</v>
      </c>
      <c r="G66" s="191"/>
      <c r="H66" s="191">
        <f t="array" ref="H66">SQRT((H9:I9*$B$22:$C$22)/($B$9:$C$9*$B$22:$C$22)*(H9:I9*H22:I22)/($B$9:$C$9*H22:I22))</f>
        <v>0.99973147228907189</v>
      </c>
      <c r="I66" s="191"/>
      <c r="J66" s="191">
        <f t="array" ref="J66">SQRT((J9:K9*$B$22:$C$22)/($B$9:$C$9*$B$22:$C$22)*(J9:K9*J22:K22)/($B$9:$C$9*J22:K22))</f>
        <v>1.0003065702533755</v>
      </c>
      <c r="K66" s="191"/>
      <c r="L66" s="191">
        <f t="array" ref="L66">SQRT((L9:M9*$B$22:$C$22)/($B$9:$C$9*$B$22:$C$22)*(L9:M9*L22:M22)/($B$9:$C$9*L22:M22))</f>
        <v>1.0013491805698591</v>
      </c>
      <c r="M66" s="191"/>
      <c r="N66" s="191">
        <f t="array" ref="N66">SQRT((N9:O9*$B$22:$C$22)/($B$9:$C$9*$B$22:$C$22)*(N9:O9*N22:O22)/($B$9:$C$9*N22:O22))</f>
        <v>1.0029832104325032</v>
      </c>
      <c r="O66" s="191"/>
      <c r="P66" s="191">
        <f t="array" ref="P66">SQRT((P9:Q9*$B$22:$C$22)/($B$9:$C$9*$B$22:$C$22)*(P9:Q9*P22:Q22)/($B$9:$C$9*P22:Q22))</f>
        <v>1.0053790612593791</v>
      </c>
      <c r="Q66" s="191"/>
      <c r="R66" s="191">
        <f t="array" ref="R66">SQRT((R9:S9*$B$22:$C$22)/($B$9:$C$9*$B$22:$C$22)*(R9:S9*R22:S22)/($B$9:$C$9*R22:S22))</f>
        <v>1.0087766735504151</v>
      </c>
      <c r="S66" s="191"/>
      <c r="T66" s="191">
        <f t="array" ref="T66">SQRT((T9:U9*$B$22:$C$22)/($B$9:$C$9*$B$22:$C$22)*(T9:U9*T22:U22)/($B$9:$C$9*T22:U22))</f>
        <v>1.0135224705866672</v>
      </c>
      <c r="U66" s="191"/>
      <c r="V66" s="191">
        <f t="array" ref="V66">SQRT((V9:W9*$B$22:$C$22)/($B$9:$C$9*$B$22:$C$22)*(V9:W9*V22:W22)/($B$9:$C$9*V22:W22))</f>
        <v>1.0201308259863104</v>
      </c>
      <c r="W66" s="191"/>
      <c r="X66" s="191">
        <f t="array" ref="X66">SQRT((X9:Y9*$B$22:$C$22)/($B$9:$C$9*$B$22:$C$22)*(X9:Y9*X22:Y22)/($B$9:$C$9*X22:Y22))</f>
        <v>1.029388446529705</v>
      </c>
      <c r="Y66" s="191"/>
      <c r="Z66" s="191">
        <f t="array" ref="Z66">SQRT((Z9:AA9*$B$22:$C$22)/($B$9:$C$9*$B$22:$C$22)*(Z9:AA9*Z22:AA22)/($B$9:$C$9*Z22:AA22))</f>
        <v>1.0425368699365234</v>
      </c>
      <c r="AA66" s="191"/>
      <c r="AB66" s="191">
        <f t="array" ref="AB66">SQRT((AB9:AC9*$B$22:$C$22)/($B$9:$C$9*$B$22:$C$22)*(AB9:AC9*AB22:AC22)/($B$9:$C$9*AB22:AC22))</f>
        <v>1.0615951135234221</v>
      </c>
      <c r="AC66" s="191"/>
      <c r="AD66" s="191">
        <f t="array" ref="AD66">SQRT((AD9:AE9*$B$22:$C$22)/($B$9:$C$9*$B$22:$C$22)*(AD9:AE9*AD22:AE22)/($B$9:$C$9*AD22:AE22))</f>
        <v>1.0899250749220761</v>
      </c>
      <c r="AE66" s="191"/>
      <c r="AF66" s="191">
        <f t="array" ref="AF66">SQRT((AF9:AG9*$B$22:$C$22)/($B$9:$C$9*$B$22:$C$22)*(AF9:AG9*AF22:AG22)/($B$9:$C$9*AF22:AG22))</f>
        <v>1.1331906644447172</v>
      </c>
      <c r="AG66" s="191"/>
      <c r="AH66" s="191">
        <f t="array" ref="AH66">SQRT((AH9:AI9*$B$22:$C$22)/($B$9:$C$9*$B$22:$C$22)*(AH9:AI9*AH22:AI22)/($B$9:$C$9*AH22:AI22))</f>
        <v>1.2010144008567905</v>
      </c>
      <c r="AI66" s="191"/>
      <c r="AJ66" s="191">
        <f t="array" ref="AJ66">SQRT((AJ9:AK9*$B$22:$C$22)/($B$9:$C$9*$B$22:$C$22)*(AJ9:AK9*AJ22:AK22)/($B$9:$C$9*AJ22:AK22))</f>
        <v>1.3109636143860928</v>
      </c>
      <c r="AK66" s="191"/>
      <c r="AL66" s="191">
        <f t="array" ref="AL66">SQRT((AL9:AM9*$B$22:$C$22)/($B$9:$C$9*$B$22:$C$22)*(AL9:AM9*AL22:AM22)/($B$9:$C$9*AL22:AM22))</f>
        <v>1.5043677483317126</v>
      </c>
      <c r="AM66" s="191"/>
      <c r="AN66" s="191">
        <f t="array" ref="AN66">SQRT((AN9:AO9*$B$22:$C$22)/($B$9:$C$9*$B$22:$C$22)*(AN9:AO9*AN22:AO22)/($B$9:$C$9*AN22:AO22))</f>
        <v>1.9338761745684854</v>
      </c>
      <c r="AO66" s="191"/>
      <c r="AP66" s="191">
        <f t="array" ref="AP66">SQRT((AP9:AQ9*$B$22:$C$22)/($B$9:$C$9*$B$22:$C$22)*(AP9:AQ9*AP22:AQ22)/($B$9:$C$9*AP22:AQ22))</f>
        <v>2.0989008331845529</v>
      </c>
      <c r="AQ66" s="191"/>
      <c r="AR66" s="191">
        <f t="array" ref="AR66">SQRT((AR9:AS9*$B$22:$C$22)/($B$9:$C$9*$B$22:$C$22)*(AR9:AS9*AR22:AS22)/($B$9:$C$9*AR22:AS22))</f>
        <v>2.332115363419256</v>
      </c>
      <c r="AS66" s="191"/>
      <c r="AT66" s="191">
        <f t="array" ref="AT66">SQRT((AT9:AU9*$B$22:$C$22)/($B$9:$C$9*$B$22:$C$22)*(AT9:AU9*AT22:AU22)/($B$9:$C$9*AT22:AU22))</f>
        <v>2.7022425591954278</v>
      </c>
      <c r="AU66" s="191"/>
      <c r="AV66" s="191">
        <f t="array" ref="AV66">SQRT((AV9:AW9*$B$22:$C$22)/($B$9:$C$9*$B$22:$C$22)*(AV9:AW9*AV22:AW22)/($B$9:$C$9*AV22:AW22))</f>
        <v>3.4502215882793013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0.99963948900586042</v>
      </c>
      <c r="E68" s="191"/>
      <c r="F68" s="191">
        <f>F66/F67</f>
        <v>0.99953224349576442</v>
      </c>
      <c r="G68" s="191"/>
      <c r="H68" s="191">
        <f>H66/H67</f>
        <v>0.99973147228907189</v>
      </c>
      <c r="I68" s="191"/>
      <c r="J68" s="191">
        <f>J66/J67</f>
        <v>1.0003065702533755</v>
      </c>
      <c r="K68" s="191"/>
      <c r="L68" s="191">
        <f>L66/L67</f>
        <v>1.0013491805698591</v>
      </c>
      <c r="M68" s="191"/>
      <c r="N68" s="191">
        <f>N66/N67</f>
        <v>1.0029832104325032</v>
      </c>
      <c r="O68" s="191"/>
      <c r="P68" s="191">
        <f>P66/P67</f>
        <v>1.0053790612593791</v>
      </c>
      <c r="Q68" s="191"/>
      <c r="R68" s="191">
        <f>R66/R67</f>
        <v>1.0087766735504151</v>
      </c>
      <c r="S68" s="191"/>
      <c r="T68" s="191">
        <f>T66/T67</f>
        <v>1.0135224705866672</v>
      </c>
      <c r="U68" s="191"/>
      <c r="V68" s="191">
        <f>V66/V67</f>
        <v>1.0201308259863104</v>
      </c>
      <c r="W68" s="191"/>
      <c r="X68" s="191">
        <f>X66/X67</f>
        <v>1.029388446529705</v>
      </c>
      <c r="Y68" s="191"/>
      <c r="Z68" s="191">
        <f>Z66/Z67</f>
        <v>1.0425368699365234</v>
      </c>
      <c r="AA68" s="191"/>
      <c r="AB68" s="191">
        <f>AB66/AB67</f>
        <v>1.0615951135234221</v>
      </c>
      <c r="AC68" s="191"/>
      <c r="AD68" s="191">
        <f>AD66/AD67</f>
        <v>1.0899250749220761</v>
      </c>
      <c r="AE68" s="191"/>
      <c r="AF68" s="191">
        <f>AF66/AF67</f>
        <v>1.1331906644447172</v>
      </c>
      <c r="AG68" s="191"/>
      <c r="AH68" s="191">
        <f>AH66/AH67</f>
        <v>1.2010144008567905</v>
      </c>
      <c r="AI68" s="191"/>
      <c r="AJ68" s="191">
        <f>AJ66/AJ67</f>
        <v>1.3109636143860928</v>
      </c>
      <c r="AK68" s="191"/>
      <c r="AL68" s="191">
        <f>AL66/AL67</f>
        <v>1.5043677483317126</v>
      </c>
      <c r="AM68" s="191"/>
      <c r="AN68" s="191">
        <f>AN66/AN67</f>
        <v>1.9338761745684854</v>
      </c>
      <c r="AO68" s="191"/>
      <c r="AP68" s="191">
        <f>AP66/AP67</f>
        <v>2.0989008331845529</v>
      </c>
      <c r="AQ68" s="191"/>
      <c r="AR68" s="191">
        <f>AR66/AR67</f>
        <v>2.332115363419256</v>
      </c>
      <c r="AS68" s="191"/>
      <c r="AT68" s="191">
        <f>AT66/AT67</f>
        <v>2.7022425591954278</v>
      </c>
      <c r="AU68" s="191"/>
      <c r="AV68" s="191">
        <f>AV66/AV67</f>
        <v>3.4502215882793013</v>
      </c>
      <c r="XFD68" s="191"/>
    </row>
    <row r="69" spans="1:48 16384:16384" x14ac:dyDescent="0.2">
      <c r="A69" t="s">
        <v>177</v>
      </c>
      <c r="B69" s="191">
        <f>B32/B65/($B$32)</f>
        <v>1</v>
      </c>
      <c r="C69" s="191"/>
      <c r="D69" s="191">
        <f>D32/D65/($B$32)</f>
        <v>0.99343541280445213</v>
      </c>
      <c r="E69" s="191"/>
      <c r="F69" s="191">
        <f>F32/F65/($B$32)</f>
        <v>0.98602719649383674</v>
      </c>
      <c r="G69" s="191"/>
      <c r="H69" s="191">
        <f>H32/H65/($B$32)</f>
        <v>0.97763142436234052</v>
      </c>
      <c r="I69" s="191"/>
      <c r="J69" s="191">
        <f>J32/J65/($B$32)</f>
        <v>0.96807020496933516</v>
      </c>
      <c r="K69" s="191"/>
      <c r="L69" s="191">
        <f>L32/L65/($B$32)</f>
        <v>0.9571224417514399</v>
      </c>
      <c r="M69" s="191"/>
      <c r="N69" s="191">
        <f>N32/N65/($B$32)</f>
        <v>0.94450958788267658</v>
      </c>
      <c r="O69" s="191"/>
      <c r="P69" s="191">
        <f>P32/P65/($B$32)</f>
        <v>0.92987879094434955</v>
      </c>
      <c r="Q69" s="191"/>
      <c r="R69" s="191">
        <f>R32/R65/($B$32)</f>
        <v>0.9127792947684823</v>
      </c>
      <c r="S69" s="191"/>
      <c r="T69" s="191">
        <f>T32/T65/($B$32)</f>
        <v>0.89263263444098284</v>
      </c>
      <c r="U69" s="191"/>
      <c r="V69" s="191">
        <f>V32/V65/($B$32)</f>
        <v>0.86869630104189999</v>
      </c>
      <c r="W69" s="191"/>
      <c r="X69" s="191">
        <f>X32/X65/($B$32)</f>
        <v>0.84002766215822056</v>
      </c>
      <c r="Y69" s="191"/>
      <c r="Z69" s="191">
        <f>Z32/Z65/($B$32)</f>
        <v>0.8054662824437363</v>
      </c>
      <c r="AA69" s="191"/>
      <c r="AB69" s="191">
        <f>AB32/AB65/($B$32)</f>
        <v>0.76368820625469935</v>
      </c>
      <c r="AC69" s="191"/>
      <c r="AD69" s="191">
        <f>AD32/AD65/($B$32)</f>
        <v>0.71344797804209981</v>
      </c>
      <c r="AE69" s="191"/>
      <c r="AF69" s="191">
        <f>AF32/AF65/($B$32)</f>
        <v>0.65416954578133679</v>
      </c>
      <c r="AG69" s="191"/>
      <c r="AH69" s="191">
        <f>AH32/AH65/($B$32)</f>
        <v>0.58677623927779698</v>
      </c>
      <c r="AI69" s="191"/>
      <c r="AJ69" s="191">
        <f>AJ32/AJ65/($B$32)</f>
        <v>0.51349283992605677</v>
      </c>
      <c r="AK69" s="191"/>
      <c r="AL69" s="191">
        <f>AL32/AL65/($B$32)</f>
        <v>0.43375346016357408</v>
      </c>
      <c r="AM69" s="191"/>
      <c r="AN69" s="191">
        <f>AN32/AN65/($B$32)</f>
        <v>0.32640867636325088</v>
      </c>
      <c r="AO69" s="191"/>
      <c r="AP69" s="191">
        <f>AP32/AP65/($B$32)</f>
        <v>0.29232467568388476</v>
      </c>
      <c r="AQ69" s="191"/>
      <c r="AR69" s="191">
        <f>AR32/AR65/($B$32)</f>
        <v>0.24485827382702741</v>
      </c>
      <c r="AS69" s="191"/>
      <c r="AT69" s="191">
        <f>AT32/AT65/($B$32)</f>
        <v>0.16211457153532718</v>
      </c>
      <c r="AU69" s="191"/>
      <c r="AV69" s="191" t="e">
        <f>AV32/AV65/($B$32)</f>
        <v>#NUM!</v>
      </c>
    </row>
    <row r="70" spans="1:48 16384:16384" x14ac:dyDescent="0.2">
      <c r="A70" t="s">
        <v>178</v>
      </c>
      <c r="B70" s="138">
        <f>B18/$B$18</f>
        <v>1</v>
      </c>
      <c r="C70" s="138"/>
      <c r="D70" s="138">
        <f>D18/$B$18</f>
        <v>0.99229208973382999</v>
      </c>
      <c r="E70" s="138"/>
      <c r="F70" s="138">
        <f>F18/$B$18</f>
        <v>0.98373653806347217</v>
      </c>
      <c r="G70" s="138"/>
      <c r="H70" s="138">
        <f>H18/$B$18</f>
        <v>0.97419036521749169</v>
      </c>
      <c r="I70" s="138"/>
      <c r="J70" s="138">
        <f>J18/$B$18</f>
        <v>0.96347726402484646</v>
      </c>
      <c r="K70" s="138"/>
      <c r="L70" s="138">
        <f>L18/$B$18</f>
        <v>0.95137854368443708</v>
      </c>
      <c r="M70" s="138"/>
      <c r="N70" s="138">
        <f>N18/$B$18</f>
        <v>0.93761938222634034</v>
      </c>
      <c r="O70" s="138"/>
      <c r="P70" s="138">
        <f>P18/$B$18</f>
        <v>0.92185244030609725</v>
      </c>
      <c r="Q70" s="138"/>
      <c r="R70" s="138">
        <f>R18/$B$18</f>
        <v>0.9036351405721349</v>
      </c>
      <c r="S70" s="138"/>
      <c r="T70" s="138">
        <f>T18/$B$18</f>
        <v>0.88240107393338607</v>
      </c>
      <c r="U70" s="138"/>
      <c r="V70" s="138">
        <f>V18/$B$18</f>
        <v>0.85742560869407647</v>
      </c>
      <c r="W70" s="138"/>
      <c r="X70" s="138">
        <f>X18/$B$18</f>
        <v>0.82779246159450659</v>
      </c>
      <c r="Y70" s="138"/>
      <c r="Z70" s="138">
        <f>Z18/$B$18</f>
        <v>0.79237985802266775</v>
      </c>
      <c r="AA70" s="138"/>
      <c r="AB70" s="138">
        <f>AB18/$B$18</f>
        <v>0.74991946270745047</v>
      </c>
      <c r="AC70" s="138"/>
      <c r="AD70" s="138">
        <f>AD18/$B$18</f>
        <v>0.69924212788314566</v>
      </c>
      <c r="AE70" s="138"/>
      <c r="AF70" s="138">
        <f>AF18/$B$18</f>
        <v>0.63986799518554238</v>
      </c>
      <c r="AG70" s="138"/>
      <c r="AH70" s="138">
        <f>AH18/$B$18</f>
        <v>0.57283705702679066</v>
      </c>
      <c r="AI70" s="138"/>
      <c r="AJ70" s="138">
        <f>AJ18/$B$18</f>
        <v>0.50061085168657482</v>
      </c>
      <c r="AK70" s="138"/>
      <c r="AL70" s="138">
        <f>AL18/$B$18</f>
        <v>0.42384454152174339</v>
      </c>
      <c r="AM70" s="138"/>
      <c r="AN70" s="138">
        <f>AN18/$B$18</f>
        <v>0.33154490126029174</v>
      </c>
      <c r="AO70" s="138"/>
      <c r="AP70" s="138">
        <f>AP18/$B$18</f>
        <v>0.30715923296418585</v>
      </c>
      <c r="AQ70" s="138"/>
      <c r="AR70" s="138">
        <f>AR18/$B$18</f>
        <v>0.27785528599869425</v>
      </c>
      <c r="AS70" s="138"/>
      <c r="AT70" s="138">
        <f>AT18/$B$18</f>
        <v>0.23964151354098714</v>
      </c>
      <c r="AU70" s="138"/>
      <c r="AV70" s="138">
        <f>AV18/$B$18</f>
        <v>0.18153963491527092</v>
      </c>
    </row>
    <row r="71" spans="1:48 16384:16384" x14ac:dyDescent="0.2">
      <c r="A71" t="s">
        <v>179</v>
      </c>
      <c r="B71" s="138">
        <f>C18/$C$18</f>
        <v>1</v>
      </c>
      <c r="D71" s="138">
        <f>E18/$C$18</f>
        <v>0.93803734191104138</v>
      </c>
      <c r="E71" s="138"/>
      <c r="F71" s="138">
        <f>G18/$C$18</f>
        <v>0.87632048994887535</v>
      </c>
      <c r="G71" s="138"/>
      <c r="H71" s="138">
        <f>I18/$C$18</f>
        <v>0.81488617537983032</v>
      </c>
      <c r="I71" s="138"/>
      <c r="J71" s="138">
        <f>K18/$C$18</f>
        <v>0.75377784767036915</v>
      </c>
      <c r="K71" s="138"/>
      <c r="L71" s="138">
        <f>M18/$C$18</f>
        <v>0.69304597968167747</v>
      </c>
      <c r="M71" s="138"/>
      <c r="N71" s="138">
        <f>O18/$C$18</f>
        <v>0.63275226972966381</v>
      </c>
      <c r="O71" s="138"/>
      <c r="P71" s="138">
        <f>Q18/$C$18</f>
        <v>0.57297078440170579</v>
      </c>
      <c r="Q71" s="138"/>
      <c r="R71" s="138">
        <f>S18/$C$18</f>
        <v>0.51379224843406179</v>
      </c>
      <c r="S71" s="138"/>
      <c r="T71" s="138">
        <f>U18/$C$18</f>
        <v>0.4553273895568597</v>
      </c>
      <c r="U71" s="138"/>
      <c r="V71" s="138">
        <f>W18/$C$18</f>
        <v>0.39771347228342313</v>
      </c>
      <c r="W71" s="138"/>
      <c r="X71" s="138">
        <f>Y18/$C$18</f>
        <v>0.34111691606089256</v>
      </c>
      <c r="Y71" s="138"/>
      <c r="Z71" s="138">
        <f>AA18/$C$18</f>
        <v>0.28573837724227868</v>
      </c>
      <c r="AA71" s="138"/>
      <c r="AB71" s="138">
        <f>AC18/$C$18</f>
        <v>0.23181595027346308</v>
      </c>
      <c r="AC71" s="138"/>
      <c r="AD71" s="138">
        <f>AE18/$C$18</f>
        <v>0.17963934292818445</v>
      </c>
      <c r="AE71" s="138"/>
      <c r="AF71" s="138">
        <f>AG18/$C$18</f>
        <v>0.12964141509813049</v>
      </c>
      <c r="AG71" s="138"/>
      <c r="AH71" s="138">
        <f>AI18/$C$18</f>
        <v>8.2786892740983997E-2</v>
      </c>
      <c r="AI71" s="138"/>
      <c r="AJ71" s="138">
        <f>AK18/$C$18</f>
        <v>4.1676796755479237E-2</v>
      </c>
      <c r="AK71" s="138"/>
      <c r="AL71" s="138">
        <f>AM18/$C$18</f>
        <v>1.2200151661297386E-2</v>
      </c>
      <c r="AM71" s="138"/>
      <c r="AN71" s="138">
        <f>AO18/$C$18</f>
        <v>7.497178344058851E-4</v>
      </c>
      <c r="AO71" s="138"/>
      <c r="AP71" s="138">
        <f>AQ18/$C$18</f>
        <v>2.686166998434498E-4</v>
      </c>
      <c r="AQ71" s="138"/>
      <c r="AR71" s="138">
        <f>AS18/$C$18</f>
        <v>6.772823532509204E-5</v>
      </c>
      <c r="AS71" s="138"/>
      <c r="AT71" s="138">
        <f>AU18/$C$18</f>
        <v>9.0522564154885962E-6</v>
      </c>
      <c r="AU71" s="138"/>
      <c r="AV71" s="138">
        <f>AW18/$C$18</f>
        <v>2.6137780807397331E-7</v>
      </c>
      <c r="XFD71" s="138"/>
    </row>
    <row r="72" spans="1:48 16384:16384" x14ac:dyDescent="0.2">
      <c r="A72" t="s">
        <v>180</v>
      </c>
      <c r="B72" s="138">
        <f>C19/$C$19</f>
        <v>1</v>
      </c>
      <c r="D72" s="138">
        <f>E19/$C$19</f>
        <v>0.9941798599907693</v>
      </c>
      <c r="E72" s="138"/>
      <c r="F72" s="138">
        <f>G19/$C$19</f>
        <v>0.98876405827555525</v>
      </c>
      <c r="G72" s="138"/>
      <c r="H72" s="138">
        <f>I19/$C$19</f>
        <v>0.98373509925049341</v>
      </c>
      <c r="I72" s="138"/>
      <c r="J72" s="138">
        <f>K19/$C$19</f>
        <v>0.97906217098849413</v>
      </c>
      <c r="K72" s="138"/>
      <c r="L72" s="138">
        <f>M19/$C$19</f>
        <v>0.97469477078980882</v>
      </c>
      <c r="M72" s="138"/>
      <c r="N72" s="138">
        <f>O19/$C$19</f>
        <v>0.9705558256579736</v>
      </c>
      <c r="O72" s="138"/>
      <c r="P72" s="138">
        <f>Q19/$C$19</f>
        <v>0.96653031835061087</v>
      </c>
      <c r="Q72" s="138"/>
      <c r="R72" s="138">
        <f>S19/$C$19</f>
        <v>0.9624513969403552</v>
      </c>
      <c r="S72" s="138"/>
      <c r="T72" s="138">
        <f>U19/$C$19</f>
        <v>0.95808363027103516</v>
      </c>
      <c r="U72" s="138"/>
      <c r="V72" s="138">
        <f>W19/$C$19</f>
        <v>0.95310481986348705</v>
      </c>
      <c r="W72" s="138"/>
      <c r="X72" s="138">
        <f>Y19/$C$19</f>
        <v>0.94709286744491461</v>
      </c>
      <c r="Y72" s="138"/>
      <c r="Z72" s="138">
        <f>AA19/$C$19</f>
        <v>0.93953377514760184</v>
      </c>
      <c r="AA72" s="138"/>
      <c r="AB72" s="138">
        <f>AC19/$C$19</f>
        <v>0.92987332143479184</v>
      </c>
      <c r="AC72" s="138"/>
      <c r="AD72" s="138">
        <f>AE19/$C$19</f>
        <v>0.91759621499444433</v>
      </c>
      <c r="AE72" s="138"/>
      <c r="AF72" s="138">
        <f>AG19/$C$19</f>
        <v>0.90201224311150607</v>
      </c>
      <c r="AG72" s="138"/>
      <c r="AH72" s="138">
        <f>AI19/$C$19</f>
        <v>0.88016433936365313</v>
      </c>
      <c r="AI72" s="138"/>
      <c r="AJ72" s="138">
        <f>AK19/$C$19</f>
        <v>0.83802385817725733</v>
      </c>
      <c r="AK72" s="138"/>
      <c r="AL72" s="138">
        <f>AM19/$C$19</f>
        <v>0.72684183607636199</v>
      </c>
      <c r="AM72" s="138"/>
      <c r="AN72" s="138">
        <f>AO19/$C$19</f>
        <v>0.4465187728599625</v>
      </c>
      <c r="AO72" s="138"/>
      <c r="AP72" s="138">
        <f>AQ19/$C$19</f>
        <v>0.3653318989775951</v>
      </c>
      <c r="AQ72" s="138"/>
      <c r="AR72" s="138">
        <f>AS19/$C$19</f>
        <v>0.27813252748154799</v>
      </c>
      <c r="AS72" s="138"/>
      <c r="AT72" s="138">
        <f>AU19/$C$19</f>
        <v>0.18695211624808364</v>
      </c>
      <c r="AU72" s="138"/>
      <c r="AV72" s="138">
        <f>AW19/$C$19</f>
        <v>9.3765270253731339E-2</v>
      </c>
      <c r="XFD72" s="138"/>
    </row>
    <row r="73" spans="1:48 16384:16384" x14ac:dyDescent="0.2">
      <c r="A73" t="s">
        <v>184</v>
      </c>
      <c r="B73" s="193">
        <f t="array" ref="B73">SUM(B9:C9*B22:C22)/B32</f>
        <v>0.47641153352875065</v>
      </c>
      <c r="D73" s="193">
        <f t="array" ref="D73">SUM(D9:E9*D22:E22)/D32</f>
        <v>0.47528761203429565</v>
      </c>
      <c r="E73" s="138"/>
      <c r="F73" s="193">
        <f t="array" ref="F73">SUM(F9:G9*F22:G22)/F32</f>
        <v>0.47416172766239689</v>
      </c>
      <c r="G73" s="138"/>
      <c r="H73" s="193">
        <f t="array" ref="H73">SUM(H9:I9*H22:I22)/H32</f>
        <v>0.47303366217523324</v>
      </c>
      <c r="I73" s="138"/>
      <c r="J73" s="193">
        <f t="array" ref="J73">SUM(J9:K9*J22:K22)/J32</f>
        <v>0.47190323926399075</v>
      </c>
      <c r="K73" s="138"/>
      <c r="L73" s="193">
        <f t="array" ref="L73">SUM(L9:M9*L22:M22)/L32</f>
        <v>0.47077024056899669</v>
      </c>
      <c r="M73" s="138"/>
      <c r="N73" s="193">
        <f t="array" ref="N73">SUM(N9:O9*N22:O22)/N32</f>
        <v>0.46963454692735829</v>
      </c>
      <c r="O73" s="138"/>
      <c r="P73" s="193">
        <f t="array" ref="P73">SUM(P9:Q9*P22:Q22)/P32</f>
        <v>0.46849602068394708</v>
      </c>
      <c r="Q73" s="138"/>
      <c r="R73" s="193">
        <f t="array" ref="R73">SUM(R9:S9*R22:S22)/R32</f>
        <v>0.46735447080545428</v>
      </c>
      <c r="S73" s="138"/>
      <c r="T73" s="193">
        <f t="array" ref="T73">SUM(T9:U9*T22:U22)/T32</f>
        <v>0.46620951918503029</v>
      </c>
      <c r="U73" s="138"/>
      <c r="V73" s="193">
        <f t="array" ref="V73">SUM(V9:W9*V22:W22)/V32</f>
        <v>0.46506019367936224</v>
      </c>
      <c r="W73" s="138"/>
      <c r="X73" s="193">
        <f t="array" ref="X73">SUM(X9:Y9*X22:Y22)/X32</f>
        <v>0.46390387495843283</v>
      </c>
      <c r="Y73" s="138"/>
      <c r="Z73" s="193">
        <f t="array" ref="Z73">SUM(Z9:AA9*Z22:AA22)/Z32</f>
        <v>0.46273367009818739</v>
      </c>
      <c r="AA73" s="138"/>
      <c r="AB73" s="193">
        <f t="array" ref="AB73">SUM(AB9:AC9*AB22:AC22)/AB32</f>
        <v>0.46153199478500651</v>
      </c>
      <c r="AC73" s="138"/>
      <c r="AD73" s="193">
        <f t="array" ref="AD73">SUM(AD9:AE9*AD22:AE22)/AD32</f>
        <v>0.4602546116091244</v>
      </c>
      <c r="AE73" s="138"/>
      <c r="AF73" s="193">
        <f t="array" ref="AF73">SUM(AF9:AG9*AF22:AG22)/AF32</f>
        <v>0.45879305868056403</v>
      </c>
      <c r="AG73" s="138"/>
      <c r="AH73" s="193">
        <f t="array" ref="AH73">SUM(AH9:AI9*AH22:AI22)/AH32</f>
        <v>0.45689539188937006</v>
      </c>
      <c r="AI73" s="138"/>
      <c r="AJ73" s="193">
        <f t="array" ref="AJ73">SUM(AJ9:AK9*AJ22:AK22)/AJ32</f>
        <v>0.45401349818014936</v>
      </c>
      <c r="AK73" s="138"/>
      <c r="AL73" s="193">
        <f t="array" ref="AL73">SUM(AL9:AM9*AL22:AM22)/AL32</f>
        <v>0.44895512495208673</v>
      </c>
      <c r="AM73" s="138"/>
      <c r="AN73" s="193">
        <f t="array" ref="AN73">SUM(AN9:AO9*AN22:AO22)/AN32</f>
        <v>0.43868905254033796</v>
      </c>
      <c r="AO73" s="138"/>
      <c r="AP73" s="193">
        <f t="array" ref="AP73">SUM(AP9:AQ9*AP22:AQ22)/AP32</f>
        <v>0.43526570272041171</v>
      </c>
      <c r="AQ73" s="138"/>
      <c r="AR73" s="193">
        <f t="array" ref="AR73">SUM(AR9:AS9*AR22:AS22)/AR32</f>
        <v>0.43081999454289854</v>
      </c>
      <c r="AS73" s="138"/>
      <c r="AT73" s="193">
        <f t="array" ref="AT73">SUM(AT9:AU9*AT22:AU22)/AT32</f>
        <v>0.42441700394380072</v>
      </c>
      <c r="AU73" s="138"/>
      <c r="AV73" s="193">
        <f t="array" ref="AV73">SUM(AV9:AW9*AV22:AW22)/AV32</f>
        <v>0.41280546382841038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0.22604620456442481</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0.22183346684083652</v>
      </c>
      <c r="E75" s="138"/>
      <c r="F75" s="193">
        <f t="array" ref="F75">SUM(F11:G11*F24:G24)/F32</f>
        <v>0.22349798463548068</v>
      </c>
      <c r="G75" s="138"/>
      <c r="H75" s="193">
        <f t="array" ref="H75">SUM(H11:I11*H24:I24)/H32</f>
        <v>0.22542141603738292</v>
      </c>
      <c r="I75" s="138"/>
      <c r="J75" s="193">
        <f t="array" ref="J75">SUM(J11:K11*J24:K24)/J32</f>
        <v>0.22765957344145082</v>
      </c>
      <c r="K75" s="138"/>
      <c r="L75" s="193">
        <f t="array" ref="L75">SUM(L11:M11*L24:M24)/L32</f>
        <v>0.23028496526409309</v>
      </c>
      <c r="M75" s="138"/>
      <c r="N75" s="193">
        <f t="array" ref="N75">SUM(N11:O11*N24:O24)/N32</f>
        <v>0.23339361881774601</v>
      </c>
      <c r="O75" s="138"/>
      <c r="P75" s="193">
        <f t="array" ref="P75">SUM(P11:Q11*P24:Q24)/P32</f>
        <v>0.23711463143670788</v>
      </c>
      <c r="Q75" s="138"/>
      <c r="R75" s="193">
        <f t="array" ref="R75">SUM(R11:S11*R24:S24)/R32</f>
        <v>0.24162494097310916</v>
      </c>
      <c r="S75" s="138"/>
      <c r="T75" s="193">
        <f t="array" ref="T75">SUM(T11:U11*T24:U24)/T32</f>
        <v>0.24717183856311867</v>
      </c>
      <c r="U75" s="138"/>
      <c r="V75" s="193">
        <f t="array" ref="V75">SUM(V11:W11*V24:W24)/V32</f>
        <v>0.25410809009625079</v>
      </c>
      <c r="W75" s="138"/>
      <c r="X75" s="193">
        <f t="array" ref="X75">SUM(X11:Y11*X24:Y24)/X32</f>
        <v>0.26294643315551014</v>
      </c>
      <c r="Y75" s="138"/>
      <c r="Z75" s="193">
        <f t="array" ref="Z75">SUM(Z11:AA11*Z24:AA24)/Z32</f>
        <v>0.27444322449523995</v>
      </c>
      <c r="AA75" s="138"/>
      <c r="AB75" s="193">
        <f t="array" ref="AB75">SUM(AB11:AC11*AB24:AC24)/AB32</f>
        <v>0.28971785548196599</v>
      </c>
      <c r="AC75" s="138"/>
      <c r="AD75" s="193">
        <f t="array" ref="AD75">SUM(AD11:AE11*AD24:AE24)/AD32</f>
        <v>0.31039063170475539</v>
      </c>
      <c r="AE75" s="138"/>
      <c r="AF75" s="193">
        <f t="array" ref="AF75">SUM(AF11:AG11*AF24:AG24)/AF32</f>
        <v>0.33864199496323272</v>
      </c>
      <c r="AG75" s="138"/>
      <c r="AH75" s="193">
        <f t="array" ref="AH75">SUM(AH11:AI11*AH24:AI24)/AH32</f>
        <v>0.37699004240700074</v>
      </c>
      <c r="AI75" s="138"/>
      <c r="AJ75" s="193">
        <f t="array" ref="AJ75">SUM(AJ11:AK11*AJ24:AK24)/AJ32</f>
        <v>0.42792653422096405</v>
      </c>
      <c r="AK75" s="138"/>
      <c r="AL75" s="193">
        <f t="array" ref="AL75">SUM(AL11:AM11*AL24:AM24)/AL32</f>
        <v>0.49547083107952344</v>
      </c>
      <c r="AM75" s="138"/>
      <c r="AN75" s="193">
        <f t="array" ref="AN75">SUM(AN11:AO11*AN24:AO24)/AN32</f>
        <v>0.59975815481272376</v>
      </c>
      <c r="AO75" s="138"/>
      <c r="AP75" s="193">
        <f t="array" ref="AP75">SUM(AP11:AQ11*AP24:AQ24)/AP32</f>
        <v>0.63340499059483479</v>
      </c>
      <c r="AQ75" s="138"/>
      <c r="AR75" s="193">
        <f t="array" ref="AR75">SUM(AR11:AS11*AR24:AS24)/AR32</f>
        <v>0.6789109500246121</v>
      </c>
      <c r="AS75" s="138"/>
      <c r="AT75" s="193">
        <f t="array" ref="AT75">SUM(AT11:AU11*AT24:AU24)/AT32</f>
        <v>0.74941431597721841</v>
      </c>
      <c r="AU75" s="138"/>
      <c r="AV75" s="193">
        <f t="array" ref="AV75">SUM(AV11:AW11*AV24:AW24)/AV32</f>
        <v>0.89415162435684603</v>
      </c>
      <c r="XFD75" s="193"/>
    </row>
    <row r="76" spans="1:48 16384:16384" x14ac:dyDescent="0.2">
      <c r="A76" t="s">
        <v>187</v>
      </c>
      <c r="B76" s="193">
        <f t="array" ref="B76">SUM(B12:C12*B25:C25)/B32</f>
        <v>0.22301874374724867</v>
      </c>
      <c r="D76" s="193">
        <f t="array" ref="D76">SUM(D12:E12*D25:E25)/D32</f>
        <v>0.2224967706786245</v>
      </c>
      <c r="E76" s="138"/>
      <c r="F76" s="193">
        <f t="array" ref="F76">SUM(F12:G12*F25:G25)/F32</f>
        <v>0.22182562782190759</v>
      </c>
      <c r="G76" s="138"/>
      <c r="H76" s="193">
        <f t="array" ref="H76">SUM(H12:I12*H25:I25)/H32</f>
        <v>0.22097365706253161</v>
      </c>
      <c r="I76" s="138"/>
      <c r="J76" s="193">
        <f t="array" ref="J76">SUM(J12:K12*J25:K25)/J32</f>
        <v>0.21990010720963563</v>
      </c>
      <c r="K76" s="138"/>
      <c r="L76" s="193">
        <f t="array" ref="L76">SUM(L12:M12*L25:M25)/L32</f>
        <v>0.21855200276086562</v>
      </c>
      <c r="M76" s="138"/>
      <c r="N76" s="193">
        <f t="array" ref="N76">SUM(N12:O12*N25:O25)/N32</f>
        <v>0.21685912771195592</v>
      </c>
      <c r="O76" s="138"/>
      <c r="P76" s="193">
        <f t="array" ref="P76">SUM(P12:Q12*P25:Q25)/P32</f>
        <v>0.21472724371494747</v>
      </c>
      <c r="Q76" s="138"/>
      <c r="R76" s="193">
        <f t="array" ref="R76">SUM(R12:S12*R25:S25)/R32</f>
        <v>0.21202765783035238</v>
      </c>
      <c r="S76" s="138"/>
      <c r="T76" s="193">
        <f t="array" ref="T76">SUM(T12:U12*T25:U25)/T32</f>
        <v>0.20858164155049769</v>
      </c>
      <c r="U76" s="138"/>
      <c r="V76" s="193">
        <f t="array" ref="V76">SUM(V12:W12*V25:W25)/V32</f>
        <v>0.2041368725457543</v>
      </c>
      <c r="W76" s="138"/>
      <c r="X76" s="193">
        <f t="array" ref="X76">SUM(X12:Y12*X25:Y25)/X32</f>
        <v>0.19833250351439283</v>
      </c>
      <c r="Y76" s="138"/>
      <c r="Z76" s="193">
        <f t="array" ref="Z76">SUM(Z12:AA12*Z25:AA25)/Z32</f>
        <v>0.19064957444287395</v>
      </c>
      <c r="AA76" s="138"/>
      <c r="AB76" s="193">
        <f t="array" ref="AB76">SUM(AB12:AC12*AB25:AC25)/AB32</f>
        <v>0.18035073840933116</v>
      </c>
      <c r="AC76" s="138"/>
      <c r="AD76" s="193">
        <f t="array" ref="AD76">SUM(AD12:AE12*AD25:AE25)/AD32</f>
        <v>0.16644186049167906</v>
      </c>
      <c r="AE76" s="138"/>
      <c r="AF76" s="193">
        <f t="array" ref="AF76">SUM(AF12:AG12*AF25:AG25)/AF32</f>
        <v>0.14776392526614029</v>
      </c>
      <c r="AG76" s="138"/>
      <c r="AH76" s="193">
        <f t="array" ref="AH76">SUM(AH12:AI12*AH25:AI25)/AH32</f>
        <v>0.12341405467352468</v>
      </c>
      <c r="AI76" s="138"/>
      <c r="AJ76" s="193">
        <f t="array" ref="AJ76">SUM(AJ12:AK12*AJ25:AK25)/AJ32</f>
        <v>9.3488064740117449E-2</v>
      </c>
      <c r="AK76" s="138"/>
      <c r="AL76" s="193">
        <f t="array" ref="AL76">SUM(AL12:AM12*AL25:AM25)/AL32</f>
        <v>5.9526298091271766E-2</v>
      </c>
      <c r="AM76" s="138"/>
      <c r="AN76" s="193">
        <f t="array" ref="AN76">SUM(AN12:AO12*AN25:AO25)/AN32</f>
        <v>2.5059676450569671E-2</v>
      </c>
      <c r="AO76" s="138"/>
      <c r="AP76" s="193">
        <f t="array" ref="AP76">SUM(AP12:AQ12*AP25:AQ25)/AP32</f>
        <v>1.8704352078215344E-2</v>
      </c>
      <c r="AQ76" s="138"/>
      <c r="AR76" s="193">
        <f t="array" ref="AR76">SUM(AR12:AS12*AR25:AS25)/AR32</f>
        <v>1.2739035978734678E-2</v>
      </c>
      <c r="AS76" s="138"/>
      <c r="AT76" s="193">
        <f t="array" ref="AT76">SUM(AT12:AU12*AT25:AU25)/AT32</f>
        <v>7.3270766311805549E-3</v>
      </c>
      <c r="AU76" s="138"/>
      <c r="AV76" s="193">
        <f t="array" ref="AV76">SUM(AV12:AW12*AV25:AW25)/AV32</f>
        <v>2.7817661510918684E-3</v>
      </c>
      <c r="XFD76" s="193"/>
    </row>
    <row r="77" spans="1:48 16384:16384" x14ac:dyDescent="0.2">
      <c r="A77" t="s">
        <v>188</v>
      </c>
      <c r="B77" s="193">
        <f t="array" ref="B77">SUM(B4:C4*B19:C19)/B32</f>
        <v>0.14586087017236485</v>
      </c>
      <c r="D77" s="193">
        <f t="array" ref="D77">SUM(D4:E4*D19:E19)/D32</f>
        <v>0.14566405411818134</v>
      </c>
      <c r="E77" s="138"/>
      <c r="F77" s="193">
        <f t="array" ref="F77">SUM(F4:G4*F19:G19)/F32</f>
        <v>0.14553154468421003</v>
      </c>
      <c r="G77" s="138"/>
      <c r="H77" s="193">
        <f t="array" ref="H77">SUM(H4:I4*H19:I19)/H32</f>
        <v>0.1454749398395726</v>
      </c>
      <c r="I77" s="138"/>
      <c r="J77" s="193">
        <f t="array" ref="J77">SUM(J4:K4*J19:K19)/J32</f>
        <v>0.14550912447950176</v>
      </c>
      <c r="K77" s="138"/>
      <c r="L77" s="193">
        <f t="array" ref="L77">SUM(L4:M4*L19:M19)/L32</f>
        <v>0.14565341315838007</v>
      </c>
      <c r="M77" s="138"/>
      <c r="N77" s="193">
        <f t="array" ref="N77">SUM(N4:O4*N19:O19)/N32</f>
        <v>0.14593349802148503</v>
      </c>
      <c r="O77" s="138"/>
      <c r="P77" s="193">
        <f t="array" ref="P77">SUM(P4:Q4*P19:Q19)/P32</f>
        <v>0.1463841004000272</v>
      </c>
      <c r="Q77" s="138"/>
      <c r="R77" s="193">
        <f t="array" ref="R77">SUM(R4:S4*R19:S19)/R32</f>
        <v>0.14705327417334046</v>
      </c>
      <c r="S77" s="138"/>
      <c r="T77" s="193">
        <f t="array" ref="T77">SUM(T4:U4*T19:U19)/T32</f>
        <v>0.14800920386307126</v>
      </c>
      <c r="U77" s="138"/>
      <c r="V77" s="193">
        <f t="array" ref="V77">SUM(V4:W4*V19:W19)/V32</f>
        <v>0.14935136088579198</v>
      </c>
      <c r="W77" s="138"/>
      <c r="X77" s="193">
        <f t="array" ref="X77">SUM(X4:Y4*X19:Y19)/X32</f>
        <v>0.15122901619276047</v>
      </c>
      <c r="Y77" s="138"/>
      <c r="Z77" s="193">
        <f t="array" ref="Z77">SUM(Z4:AA4*Z19:AA19)/Z32</f>
        <v>0.15387267360072612</v>
      </c>
      <c r="AA77" s="138"/>
      <c r="AB77" s="193">
        <f t="array" ref="AB77">SUM(AB4:AC4*AB19:AC19)/AB32</f>
        <v>0.15764679324072825</v>
      </c>
      <c r="AC77" s="138"/>
      <c r="AD77" s="193">
        <f t="array" ref="AD77">SUM(AD4:AE4*AD19:AE19)/AD32</f>
        <v>0.16313330836998347</v>
      </c>
      <c r="AE77" s="138"/>
      <c r="AF77" s="193">
        <f t="array" ref="AF77">SUM(AF4:AG4*AF19:AG19)/AF32</f>
        <v>0.17124518347436182</v>
      </c>
      <c r="AG77" s="138"/>
      <c r="AH77" s="193">
        <f t="array" ref="AH77">SUM(AH4:AI4*AH19:AI19)/AH32</f>
        <v>0.18334569353432009</v>
      </c>
      <c r="AI77" s="138"/>
      <c r="AJ77" s="193">
        <f t="array" ref="AJ77">SUM(AJ4:AK4*AJ19:AK19)/AJ32</f>
        <v>0.20147430170565578</v>
      </c>
      <c r="AK77" s="138"/>
      <c r="AL77" s="193">
        <f t="array" ref="AL77">SUM(AL4:AM4*AL19:AM19)/AL32</f>
        <v>0.22999845868730659</v>
      </c>
      <c r="AM77" s="138"/>
      <c r="AN77" s="193">
        <f t="array" ref="AN77">SUM(AN4:AO4*AN19:AO19)/AN32</f>
        <v>0.28955308836805638</v>
      </c>
      <c r="AO77" s="138"/>
      <c r="AP77" s="193">
        <f t="array" ref="AP77">SUM(AP4:AQ4*AP19:AQ19)/AP32</f>
        <v>0.31342124995788673</v>
      </c>
      <c r="AQ77" s="138"/>
      <c r="AR77" s="193">
        <f t="array" ref="AR77">SUM(AR4:AS4*AR19:AS19)/AR32</f>
        <v>0.34851618511067017</v>
      </c>
      <c r="AS77" s="138"/>
      <c r="AT77" s="193">
        <f t="array" ref="AT77">SUM(AT4:AU4*AT19:AU19)/AT32</f>
        <v>0.40720460111662443</v>
      </c>
      <c r="AU77" s="138"/>
      <c r="AV77" s="193">
        <f t="array" ref="AV77">SUM(AV4:AW4*AV19:AW19)/AV32</f>
        <v>0.53578505890077321</v>
      </c>
      <c r="XFD77" s="193"/>
    </row>
    <row r="78" spans="1:48 16384:16384" x14ac:dyDescent="0.2">
      <c r="A78" t="s">
        <v>189</v>
      </c>
      <c r="B78" s="193">
        <f t="array" ref="B78">SUM(B13:C13*B26:C26)/B32</f>
        <v>0.346887593115773</v>
      </c>
      <c r="D78" s="193">
        <f t="array" ref="D78">SUM(D13:E13*D26:E26)/D32</f>
        <v>0.34589986035382025</v>
      </c>
      <c r="E78" s="138"/>
      <c r="F78" s="193">
        <f t="array" ref="F78">SUM(F13:G13*F26:G26)/F32</f>
        <v>0.34488719538236101</v>
      </c>
      <c r="G78" s="138"/>
      <c r="H78" s="193">
        <f t="array" ref="H78">SUM(H13:I13*H26:I26)/H32</f>
        <v>0.34384681583743248</v>
      </c>
      <c r="I78" s="138"/>
      <c r="J78" s="193">
        <f t="array" ref="J78">SUM(J13:K13*J26:K26)/J32</f>
        <v>0.34277555889510913</v>
      </c>
      <c r="K78" s="138"/>
      <c r="L78" s="193">
        <f t="array" ref="L78">SUM(L13:M13*L26:M26)/L32</f>
        <v>0.34166979093722688</v>
      </c>
      <c r="M78" s="138"/>
      <c r="N78" s="193">
        <f t="array" ref="N78">SUM(N13:O13*N26:O26)/N32</f>
        <v>0.34052536686093327</v>
      </c>
      <c r="O78" s="138"/>
      <c r="P78" s="193">
        <f t="array" ref="P78">SUM(P13:Q13*P26:Q26)/P32</f>
        <v>0.33933751990694933</v>
      </c>
      <c r="Q78" s="138"/>
      <c r="R78" s="193">
        <f t="array" ref="R78">SUM(R13:S13*R26:S26)/R32</f>
        <v>0.33810080033833062</v>
      </c>
      <c r="S78" s="138"/>
      <c r="T78" s="193">
        <f t="array" ref="T78">SUM(T13:U13*T26:U26)/T32</f>
        <v>0.33680901174515204</v>
      </c>
      <c r="U78" s="138"/>
      <c r="V78" s="193">
        <f t="array" ref="V78">SUM(V13:W13*V26:W26)/V32</f>
        <v>0.33545529899466747</v>
      </c>
      <c r="W78" s="138"/>
      <c r="X78" s="193">
        <f t="array" ref="X78">SUM(X13:Y13*X26:Y26)/X32</f>
        <v>0.33403239458567108</v>
      </c>
      <c r="Y78" s="138"/>
      <c r="Z78" s="193">
        <f t="array" ref="Z78">SUM(Z13:AA13*Z26:AA26)/Z32</f>
        <v>0.33253345544492918</v>
      </c>
      <c r="AA78" s="138"/>
      <c r="AB78" s="193">
        <f t="array" ref="AB78">SUM(AB13:AC13*AB26:AC26)/AB32</f>
        <v>0.33095402814041319</v>
      </c>
      <c r="AC78" s="138"/>
      <c r="AD78" s="193">
        <f t="array" ref="AD78">SUM(AD13:AE13*AD26:AE26)/AD32</f>
        <v>0.32929607744013029</v>
      </c>
      <c r="AE78" s="138"/>
      <c r="AF78" s="193">
        <f t="array" ref="AF78">SUM(AF13:AG13*AF26:AG26)/AF32</f>
        <v>0.32757459036741088</v>
      </c>
      <c r="AG78" s="138"/>
      <c r="AH78" s="193">
        <f t="array" ref="AH78">SUM(AH13:AI13*AH26:AI26)/AH32</f>
        <v>0.32582367519165756</v>
      </c>
      <c r="AI78" s="138"/>
      <c r="AJ78" s="193">
        <f t="array" ref="AJ78">SUM(AJ13:AK13*AJ26:AK26)/AJ32</f>
        <v>0.32409989124801775</v>
      </c>
      <c r="AK78" s="138"/>
      <c r="AL78" s="193">
        <f t="array" ref="AL78">SUM(AL13:AM13*AL26:AM26)/AL32</f>
        <v>0.32259784174315842</v>
      </c>
      <c r="AM78" s="138"/>
      <c r="AN78" s="193">
        <f t="array" ref="AN78">SUM(AN13:AO13*AN26:AO26)/AN32</f>
        <v>0.32327200534507583</v>
      </c>
      <c r="AO78" s="138"/>
      <c r="AP78" s="193">
        <f t="array" ref="AP78">SUM(AP13:AQ13*AP26:AQ26)/AP32</f>
        <v>0.3246186124420688</v>
      </c>
      <c r="AQ78" s="138"/>
      <c r="AR78" s="193">
        <f t="array" ref="AR78">SUM(AR13:AS13*AR26:AS26)/AR32</f>
        <v>0.32722144415845356</v>
      </c>
      <c r="AS78" s="138"/>
      <c r="AT78" s="193">
        <f t="array" ref="AT78">SUM(AT13:AU13*AT26:AU26)/AT32</f>
        <v>0.33247701474244057</v>
      </c>
      <c r="AU78" s="138"/>
      <c r="AV78" s="193">
        <f t="array" ref="AV78">SUM(AV13:AW13*AV26:AW26)/AV32</f>
        <v>0.3451585533732065</v>
      </c>
      <c r="XFD78" s="193"/>
    </row>
    <row r="79" spans="1:48 16384:16384" x14ac:dyDescent="0.2">
      <c r="A79" t="s">
        <v>190</v>
      </c>
      <c r="B79" s="193">
        <f t="array" ref="B79">SUM(B15:C15*B27:C27)/B32</f>
        <v>0.45460968782439864</v>
      </c>
      <c r="D79" s="193">
        <f t="array" ref="D79">SUM(D15:E15*D27:E27)/D32</f>
        <v>0.453708927796526</v>
      </c>
      <c r="F79" s="193">
        <f t="array" ref="F79">SUM(F15:G15*F27:G27)/F32</f>
        <v>0.45283013173831371</v>
      </c>
      <c r="H79" s="193">
        <f t="array" ref="H79">SUM(H15:I15*H27:I27)/H32</f>
        <v>0.45197574755251219</v>
      </c>
      <c r="J79" s="193">
        <f t="array" ref="J79">SUM(J15:K15*J27:K27)/J32</f>
        <v>0.45114867183951796</v>
      </c>
      <c r="L79" s="193">
        <f t="array" ref="L79">SUM(L15:M15*L27:M27)/L32</f>
        <v>0.45035223587472634</v>
      </c>
      <c r="N79" s="193">
        <f t="array" ref="N79">SUM(N15:O15*N27:O27)/N32</f>
        <v>0.44959042746763594</v>
      </c>
      <c r="P79" s="193">
        <f t="array" ref="P79">SUM(P15:Q15*P27:Q27)/P32</f>
        <v>0.44886784233640459</v>
      </c>
      <c r="R79" s="193">
        <f t="array" ref="R79">SUM(R15:S15*R27:S27)/R32</f>
        <v>0.44818971046317746</v>
      </c>
      <c r="T79" s="193">
        <f t="array" ref="T79">SUM(T15:U15*T27:U27)/T32</f>
        <v>0.44756165067607612</v>
      </c>
      <c r="V79" s="193">
        <f t="array" ref="V79">SUM(V15:W15*V27:W27)/V32</f>
        <v>0.44698899344822862</v>
      </c>
      <c r="X79" s="193">
        <f t="array" ref="X79">SUM(X15:Y15*X27:Y27)/X32</f>
        <v>0.44647463588919173</v>
      </c>
      <c r="Z79" s="193">
        <f t="array" ref="Z79">SUM(Z15:AA15*Z27:AA27)/Z32</f>
        <v>0.44601386670029924</v>
      </c>
      <c r="AB79" s="193">
        <f t="array" ref="AB79">SUM(AB15:AC15*AB27:AC27)/AB32</f>
        <v>0.44558144633338714</v>
      </c>
      <c r="AD79" s="193">
        <f t="array" ref="AD79">SUM(AD15:AE15*AD27:AE27)/AD32</f>
        <v>0.44510048058569596</v>
      </c>
      <c r="AF79" s="193">
        <f t="array" ref="AF79">SUM(AF15:AG15*AF27:AG27)/AF32</f>
        <v>0.44437226855820466</v>
      </c>
      <c r="AH79" s="193">
        <f t="array" ref="AH79">SUM(AH15:AI15*AH27:AI27)/AH32</f>
        <v>0.44293577761096187</v>
      </c>
      <c r="AJ79" s="193">
        <f t="array" ref="AJ79">SUM(AJ15:AK15*AJ27:AK27)/AJ32</f>
        <v>0.43980595303355374</v>
      </c>
      <c r="AL79" s="193">
        <f t="array" ref="AL79">SUM(AL15:AM15*AL27:AM27)/AL32</f>
        <v>0.43276761790860596</v>
      </c>
      <c r="AN79" s="193">
        <f t="array" ref="AN79">SUM(AN15:AO15*AN27:AO27)/AN32</f>
        <v>0.41470874623578369</v>
      </c>
      <c r="AP79" s="193">
        <f t="array" ref="AP79">SUM(AP15:AQ15*AP27:AQ27)/AP32</f>
        <v>0.40754937488809906</v>
      </c>
      <c r="AR79" s="193">
        <f t="array" ref="AR79">SUM(AR15:AS15*AR27:AS27)/AR32</f>
        <v>0.3973859498881781</v>
      </c>
      <c r="AT79" s="193">
        <f t="array" ref="AT79">SUM(AT15:AU15*AT27:AU27)/AT32</f>
        <v>0.38122015753759653</v>
      </c>
      <c r="AV79" s="193">
        <f t="array" ref="AV79">SUM(AV15:AW15*AV27:AW27)/AV32</f>
        <v>0.34870955220429667</v>
      </c>
      <c r="XFD79" s="193"/>
    </row>
    <row r="80" spans="1:48 16384:16384" x14ac:dyDescent="0.2">
      <c r="A80" t="s">
        <v>169</v>
      </c>
      <c r="B80" s="236">
        <f>B55</f>
        <v>0.19850271905982084</v>
      </c>
      <c r="D80" s="236">
        <f>D55</f>
        <v>0.20039122466812775</v>
      </c>
      <c r="F80" s="236">
        <f>F55</f>
        <v>0.20228268404452887</v>
      </c>
      <c r="H80" s="236">
        <f>H55</f>
        <v>0.20417743571442493</v>
      </c>
      <c r="J80" s="236">
        <f>J55</f>
        <v>0.20607578170734381</v>
      </c>
      <c r="L80" s="236">
        <f>L55</f>
        <v>0.20797797186180778</v>
      </c>
      <c r="N80" s="236">
        <f>N55</f>
        <v>0.20988420415525694</v>
      </c>
      <c r="P80" s="236">
        <f>P55</f>
        <v>0.21179464420209088</v>
      </c>
      <c r="R80" s="236">
        <f>R55</f>
        <v>0.21370950659633836</v>
      </c>
      <c r="T80" s="236">
        <f>T55</f>
        <v>0.21562933786030464</v>
      </c>
      <c r="V80" s="236">
        <f>V55</f>
        <v>0.2175557102239411</v>
      </c>
      <c r="X80" s="236">
        <f>X55</f>
        <v>0.21949297640016086</v>
      </c>
      <c r="Z80" s="236">
        <f>Z55</f>
        <v>0.22145267658601578</v>
      </c>
      <c r="AB80" s="236">
        <f>AB55</f>
        <v>0.22346452452734802</v>
      </c>
      <c r="AD80" s="236">
        <f>AD55</f>
        <v>0.22560345336673157</v>
      </c>
      <c r="AF80" s="236">
        <f>AF55</f>
        <v>0.22805314527876339</v>
      </c>
      <c r="AH80" s="236">
        <f>AH55</f>
        <v>0.23124054705874098</v>
      </c>
      <c r="AJ80" s="236">
        <f>AJ55</f>
        <v>0.23609415596608985</v>
      </c>
      <c r="AL80" s="236">
        <f>AL55</f>
        <v>0.24463454038285848</v>
      </c>
      <c r="AN80" s="236">
        <f>AN55</f>
        <v>0.26201924847705127</v>
      </c>
      <c r="AP80" s="236">
        <f>AP55</f>
        <v>0.26783201274678659</v>
      </c>
      <c r="AR80" s="236">
        <f>AR55</f>
        <v>0.27539260593925369</v>
      </c>
      <c r="AT80" s="236">
        <f>AT55</f>
        <v>0.28630282771883525</v>
      </c>
      <c r="AV80" s="236">
        <f>AV55</f>
        <v>0.30613189456600737</v>
      </c>
      <c r="XFD80" s="236"/>
    </row>
    <row r="81" spans="1:48 16384:16384" x14ac:dyDescent="0.2">
      <c r="A81" t="s">
        <v>191</v>
      </c>
      <c r="B81" s="236">
        <f>B51/B$32</f>
        <v>-2.7543485504603994E-2</v>
      </c>
      <c r="D81" s="236">
        <f>D51/D$32</f>
        <v>-2.565497989629709E-2</v>
      </c>
      <c r="F81" s="236">
        <f>F51/F$32</f>
        <v>-2.3763520519895973E-2</v>
      </c>
      <c r="H81" s="236">
        <f>H51/H$32</f>
        <v>-2.1868768849999911E-2</v>
      </c>
      <c r="J81" s="236">
        <f>J51/J$32</f>
        <v>-1.9970422857081022E-2</v>
      </c>
      <c r="L81" s="236">
        <f>L51/L$32</f>
        <v>-1.8068232702617069E-2</v>
      </c>
      <c r="N81" s="236">
        <f>N51/N$32</f>
        <v>-1.61620004091679E-2</v>
      </c>
      <c r="P81" s="236">
        <f>P51/P$32</f>
        <v>-1.4251560362333963E-2</v>
      </c>
      <c r="R81" s="236">
        <f>R51/R$32</f>
        <v>-1.2336697968086483E-2</v>
      </c>
      <c r="T81" s="236">
        <f>T51/T$32</f>
        <v>-1.0416866704120183E-2</v>
      </c>
      <c r="V81" s="236">
        <f>V51/V$32</f>
        <v>-8.4904943404837466E-3</v>
      </c>
      <c r="X81" s="236">
        <f>X51/X$32</f>
        <v>-6.553228164263989E-3</v>
      </c>
      <c r="Z81" s="236">
        <f>Z51/Z$32</f>
        <v>-4.5935279784090509E-3</v>
      </c>
      <c r="AB81" s="236">
        <f>AB51/AB$32</f>
        <v>-2.581680037076818E-3</v>
      </c>
      <c r="AD81" s="236">
        <f>AD51/AD$32</f>
        <v>-4.4275119769326309E-4</v>
      </c>
      <c r="AF81" s="236">
        <f>AF51/AF$32</f>
        <v>2.0069407143385324E-3</v>
      </c>
      <c r="AH81" s="236">
        <f>AH51/AH$32</f>
        <v>5.1943424943161533E-3</v>
      </c>
      <c r="AJ81" s="236">
        <f>AJ51/AJ$32</f>
        <v>1.0047951401664978E-2</v>
      </c>
      <c r="AL81" s="236">
        <f>AL51/AL$32</f>
        <v>1.8588335818433666E-2</v>
      </c>
      <c r="AN81" s="236">
        <f>AN51/AN$32</f>
        <v>3.597304391262645E-2</v>
      </c>
      <c r="AP81" s="236">
        <f>AP51/AP$32</f>
        <v>4.1785808182361737E-2</v>
      </c>
      <c r="AR81" s="236">
        <f>AR51/AR$32</f>
        <v>4.9346401374828833E-2</v>
      </c>
      <c r="AT81" s="236">
        <f>AT51/AT$32</f>
        <v>6.0256623154410417E-2</v>
      </c>
      <c r="AV81" s="236">
        <f>AV51/AV$32</f>
        <v>8.0085690001582513E-2</v>
      </c>
      <c r="XFD81" s="236"/>
    </row>
    <row r="82" spans="1:48 16384:16384" x14ac:dyDescent="0.2">
      <c r="A82" t="s">
        <v>192</v>
      </c>
      <c r="B82" s="236">
        <f>B52/B$32</f>
        <v>0.13907860278212886</v>
      </c>
      <c r="D82" s="236">
        <f>D52/D$32</f>
        <v>0.13868258835214989</v>
      </c>
      <c r="F82" s="236">
        <f>F52/F$32</f>
        <v>0.13827657778240904</v>
      </c>
      <c r="H82" s="236">
        <f>H52/H$32</f>
        <v>0.13785945553202211</v>
      </c>
      <c r="J82" s="236">
        <f>J52/J$32</f>
        <v>0.13742995352123885</v>
      </c>
      <c r="L82" s="236">
        <f>L52/L$32</f>
        <v>0.13698661491347208</v>
      </c>
      <c r="N82" s="236">
        <f>N52/N$32</f>
        <v>0.13652777780116285</v>
      </c>
      <c r="P82" s="236">
        <f>P52/P$32</f>
        <v>0.13605153103432052</v>
      </c>
      <c r="R82" s="236">
        <f>R52/R$32</f>
        <v>0.13555568963482892</v>
      </c>
      <c r="T82" s="236">
        <f>T52/T$32</f>
        <v>0.13503776925890698</v>
      </c>
      <c r="V82" s="236">
        <f>V52/V$32</f>
        <v>0.13449502145921008</v>
      </c>
      <c r="X82" s="236">
        <f>X52/X$32</f>
        <v>0.13392453245636557</v>
      </c>
      <c r="Z82" s="236">
        <f>Z52/Z$32</f>
        <v>0.13332355863808243</v>
      </c>
      <c r="AB82" s="236">
        <f>AB52/AB$32</f>
        <v>0.13269031447753182</v>
      </c>
      <c r="AD82" s="236">
        <f>AD52/AD$32</f>
        <v>0.13202558771458864</v>
      </c>
      <c r="AF82" s="236">
        <f>AF52/AF$32</f>
        <v>0.13133538713799606</v>
      </c>
      <c r="AH82" s="236">
        <f>AH52/AH$32</f>
        <v>0.13063338787060655</v>
      </c>
      <c r="AJ82" s="236">
        <f>AJ52/AJ$32</f>
        <v>0.12994226640319884</v>
      </c>
      <c r="AL82" s="236">
        <f>AL52/AL$32</f>
        <v>0.12934004553802164</v>
      </c>
      <c r="AN82" s="236">
        <f>AN52/AN$32</f>
        <v>0.1296103398168082</v>
      </c>
      <c r="AP82" s="236">
        <f>AP52/AP$32</f>
        <v>0.13015023872718454</v>
      </c>
      <c r="AR82" s="236">
        <f>AR52/AR$32</f>
        <v>0.13119379925104274</v>
      </c>
      <c r="AT82" s="236">
        <f>AT52/AT$32</f>
        <v>0.13330092971102384</v>
      </c>
      <c r="AV82" s="236">
        <f>AV52/AV$32</f>
        <v>0.13838537409271109</v>
      </c>
    </row>
    <row r="83" spans="1:48 16384:16384" x14ac:dyDescent="0.2">
      <c r="A83" t="s">
        <v>193</v>
      </c>
      <c r="B83" s="236">
        <f>B53/B$32</f>
        <v>0.18600714462929618</v>
      </c>
      <c r="D83" s="236">
        <f>D53/D$32</f>
        <v>0.18563859154899862</v>
      </c>
      <c r="F83" s="236">
        <f>F53/F$32</f>
        <v>0.18527902520037587</v>
      </c>
      <c r="H83" s="236">
        <f>H53/H$32</f>
        <v>0.18492944716217369</v>
      </c>
      <c r="J83" s="236">
        <f>J53/J$32</f>
        <v>0.18459104260132383</v>
      </c>
      <c r="L83" s="236">
        <f>L53/L$32</f>
        <v>0.18426517453546731</v>
      </c>
      <c r="N83" s="236">
        <f>N53/N$32</f>
        <v>0.18395347460835926</v>
      </c>
      <c r="P83" s="236">
        <f>P53/P$32</f>
        <v>0.18365782319438448</v>
      </c>
      <c r="R83" s="236">
        <f>R53/R$32</f>
        <v>0.18338036018204801</v>
      </c>
      <c r="T83" s="236">
        <f>T53/T$32</f>
        <v>0.18312338455925767</v>
      </c>
      <c r="V83" s="236">
        <f>V53/V$32</f>
        <v>0.18288907733119791</v>
      </c>
      <c r="X83" s="236">
        <f>X53/X$32</f>
        <v>0.18267862387312753</v>
      </c>
      <c r="Z83" s="236">
        <f>Z53/Z$32</f>
        <v>0.18249009651998377</v>
      </c>
      <c r="AB83" s="236">
        <f>AB53/AB$32</f>
        <v>0.18231316831127398</v>
      </c>
      <c r="AD83" s="236">
        <f>AD53/AD$32</f>
        <v>0.18211637737656985</v>
      </c>
      <c r="AF83" s="236">
        <f>AF53/AF$32</f>
        <v>0.18181842367354473</v>
      </c>
      <c r="AH83" s="236">
        <f>AH53/AH$32</f>
        <v>0.18123067205597321</v>
      </c>
      <c r="AJ83" s="236">
        <f>AJ53/AJ$32</f>
        <v>0.179950079608372</v>
      </c>
      <c r="AL83" s="236">
        <f>AL53/AL$32</f>
        <v>0.17707028919783127</v>
      </c>
      <c r="AN83" s="236">
        <f>AN53/AN$32</f>
        <v>0.16968135921007865</v>
      </c>
      <c r="AP83" s="236">
        <f>AP53/AP$32</f>
        <v>0.16675204587296827</v>
      </c>
      <c r="AR83" s="236">
        <f>AR53/AR$32</f>
        <v>0.16259360025572583</v>
      </c>
      <c r="AT83" s="236">
        <f>AT53/AT$32</f>
        <v>0.15597923862566027</v>
      </c>
      <c r="AV83" s="236">
        <f>AV53/AV$32</f>
        <v>0.14267726765984812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9"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3.7576820028211555E-2</v>
      </c>
      <c r="E2" s="227"/>
      <c r="F2" s="226">
        <v>7.2284235048009002E-2</v>
      </c>
      <c r="G2" s="227"/>
      <c r="H2" s="226">
        <v>0.11035372982225634</v>
      </c>
      <c r="I2" s="227"/>
      <c r="J2" s="226">
        <v>0.15235346398539271</v>
      </c>
      <c r="K2" s="227"/>
      <c r="L2" s="226">
        <v>0.19899557910564947</v>
      </c>
      <c r="M2" s="227"/>
      <c r="N2" s="226">
        <v>0.25118753840254604</v>
      </c>
      <c r="O2" s="227"/>
      <c r="P2" s="226">
        <v>0.31010659374382593</v>
      </c>
      <c r="Q2" s="227"/>
      <c r="R2" s="226">
        <v>0.37731349340135223</v>
      </c>
      <c r="S2" s="227"/>
      <c r="T2" s="226">
        <v>0.4549303796749497</v>
      </c>
      <c r="U2" s="227"/>
      <c r="V2" s="226">
        <v>0.54593158404332864</v>
      </c>
      <c r="W2" s="227"/>
      <c r="X2" s="226">
        <v>0.65463853479254419</v>
      </c>
      <c r="Y2" s="227"/>
      <c r="Z2" s="226">
        <v>0.78762101959212716</v>
      </c>
      <c r="AA2" s="227"/>
      <c r="AB2" s="226">
        <v>0.95543708971435626</v>
      </c>
      <c r="AC2" s="227"/>
      <c r="AD2" s="226">
        <v>1.1763161430035167</v>
      </c>
      <c r="AE2" s="227"/>
      <c r="AF2" s="226">
        <v>1.4848270250202305</v>
      </c>
      <c r="AG2" s="227"/>
      <c r="AH2" s="226">
        <v>1.9554430202091309</v>
      </c>
      <c r="AI2" s="227"/>
      <c r="AJ2" s="226">
        <v>2.7803675186190659</v>
      </c>
      <c r="AK2" s="227"/>
      <c r="AL2" s="226">
        <v>4.6132451739592728</v>
      </c>
      <c r="AM2" s="227"/>
      <c r="AN2" s="226">
        <v>11.212858085766589</v>
      </c>
      <c r="AO2" s="227"/>
      <c r="AP2" s="226">
        <v>14.911573707024603</v>
      </c>
      <c r="AQ2" s="227"/>
      <c r="AR2" s="226">
        <v>21.471228963068341</v>
      </c>
      <c r="AS2" s="227"/>
      <c r="AT2" s="226">
        <v>35.68077870440527</v>
      </c>
      <c r="AU2" s="227"/>
      <c r="AV2" s="226">
        <v>83.783272510098044</v>
      </c>
      <c r="AW2" s="227"/>
    </row>
    <row r="3" spans="1:49" x14ac:dyDescent="0.2">
      <c r="A3" t="s">
        <v>12</v>
      </c>
      <c r="B3" s="84">
        <v>1000</v>
      </c>
      <c r="C3" s="85">
        <v>1000</v>
      </c>
      <c r="D3" s="84">
        <v>999.23655039027551</v>
      </c>
      <c r="E3" s="85">
        <v>1014.3278693511626</v>
      </c>
      <c r="F3" s="84">
        <v>998.47142848583485</v>
      </c>
      <c r="G3" s="85">
        <v>1030.0962880519025</v>
      </c>
      <c r="H3" s="84">
        <v>997.70382830068229</v>
      </c>
      <c r="I3" s="85">
        <v>1047.5370689766883</v>
      </c>
      <c r="J3" s="84">
        <v>996.93280099691435</v>
      </c>
      <c r="K3" s="85">
        <v>1066.9364558660541</v>
      </c>
      <c r="L3" s="84">
        <v>996.15726347901284</v>
      </c>
      <c r="M3" s="85">
        <v>1088.6526802336914</v>
      </c>
      <c r="N3" s="84">
        <v>995.37603772677926</v>
      </c>
      <c r="O3" s="85">
        <v>1113.1410748317821</v>
      </c>
      <c r="P3" s="84">
        <v>994.58791871733229</v>
      </c>
      <c r="Q3" s="85">
        <v>1140.9900462046953</v>
      </c>
      <c r="R3" s="84">
        <v>993.79184915577105</v>
      </c>
      <c r="S3" s="85">
        <v>1172.9752874159713</v>
      </c>
      <c r="T3" s="84">
        <v>992.98727206626688</v>
      </c>
      <c r="U3" s="85">
        <v>1210.1434212819147</v>
      </c>
      <c r="V3" s="84">
        <v>992.17483014268714</v>
      </c>
      <c r="W3" s="85">
        <v>1253.9460836664016</v>
      </c>
      <c r="X3" s="84">
        <v>991.35776006549736</v>
      </c>
      <c r="Y3" s="85">
        <v>1306.4634725726064</v>
      </c>
      <c r="Z3" s="84">
        <v>990.54468534894522</v>
      </c>
      <c r="AA3" s="85">
        <v>1370.8014085347454</v>
      </c>
      <c r="AB3" s="84">
        <v>989.75539262432051</v>
      </c>
      <c r="AC3" s="85">
        <v>1451.8357205356538</v>
      </c>
      <c r="AD3" s="84">
        <v>989.03308886351624</v>
      </c>
      <c r="AE3" s="85">
        <v>1557.735076316379</v>
      </c>
      <c r="AF3" s="84">
        <v>988.47138484737343</v>
      </c>
      <c r="AG3" s="85">
        <v>1703.4056923850583</v>
      </c>
      <c r="AH3" s="84">
        <v>988.27533782003616</v>
      </c>
      <c r="AI3" s="85">
        <v>1919.4240435080187</v>
      </c>
      <c r="AJ3" s="84">
        <v>988.89445588494505</v>
      </c>
      <c r="AK3" s="85">
        <v>2279.9578283671917</v>
      </c>
      <c r="AL3" s="84">
        <v>991.22149473359104</v>
      </c>
      <c r="AM3" s="85">
        <v>3018.5741412116058</v>
      </c>
      <c r="AN3" s="84">
        <v>996.12279729020759</v>
      </c>
      <c r="AO3" s="85">
        <v>5363.9377084233256</v>
      </c>
      <c r="AP3" s="84">
        <v>997.26185457472354</v>
      </c>
      <c r="AQ3" s="85">
        <v>6587.9931850631128</v>
      </c>
      <c r="AR3" s="84">
        <v>998.27232244659069</v>
      </c>
      <c r="AS3" s="85">
        <v>8687.0780593427498</v>
      </c>
      <c r="AT3" s="84">
        <v>998.89659089781219</v>
      </c>
      <c r="AU3" s="85">
        <v>13068.783893014721</v>
      </c>
      <c r="AV3" s="84">
        <v>998.32130467189779</v>
      </c>
      <c r="AW3" s="85">
        <v>27261.980893536453</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999.19878909054808</v>
      </c>
      <c r="E5" s="42">
        <v>1012.4938281284144</v>
      </c>
      <c r="F5" s="41">
        <v>998.39556502205551</v>
      </c>
      <c r="G5" s="42">
        <v>1026.0443142879512</v>
      </c>
      <c r="H5" s="41">
        <v>997.58947895439519</v>
      </c>
      <c r="I5" s="42">
        <v>1040.7901558000931</v>
      </c>
      <c r="J5" s="41">
        <v>996.77953079767622</v>
      </c>
      <c r="K5" s="42">
        <v>1056.8958810614206</v>
      </c>
      <c r="L5" s="41">
        <v>995.96457801895019</v>
      </c>
      <c r="M5" s="42">
        <v>1074.558155095644</v>
      </c>
      <c r="N5" s="41">
        <v>995.14337677214735</v>
      </c>
      <c r="O5" s="42">
        <v>1094.0141815695658</v>
      </c>
      <c r="P5" s="41">
        <v>994.31465307389885</v>
      </c>
      <c r="Q5" s="42">
        <v>1115.5523432495052</v>
      </c>
      <c r="R5" s="41">
        <v>993.47728658040683</v>
      </c>
      <c r="S5" s="42">
        <v>1139.5264837068228</v>
      </c>
      <c r="T5" s="41">
        <v>992.63068184624819</v>
      </c>
      <c r="U5" s="42">
        <v>1166.375026980342</v>
      </c>
      <c r="V5" s="41">
        <v>991.77550546677253</v>
      </c>
      <c r="W5" s="42">
        <v>1196.6461609406592</v>
      </c>
      <c r="X5" s="41">
        <v>990.91515671826653</v>
      </c>
      <c r="Y5" s="42">
        <v>1231.0309861513138</v>
      </c>
      <c r="Z5" s="41">
        <v>990.05871471511614</v>
      </c>
      <c r="AA5" s="42">
        <v>1270.4063652719228</v>
      </c>
      <c r="AB5" s="41">
        <v>989.22703590836579</v>
      </c>
      <c r="AC5" s="42">
        <v>1315.8829698970546</v>
      </c>
      <c r="AD5" s="41">
        <v>988.46569482775271</v>
      </c>
      <c r="AE5" s="42">
        <v>1368.8417023838253</v>
      </c>
      <c r="AF5" s="41">
        <v>987.8734685719852</v>
      </c>
      <c r="AG5" s="42">
        <v>1430.8883800289684</v>
      </c>
      <c r="AH5" s="41">
        <v>987.66673464924236</v>
      </c>
      <c r="AI5" s="42">
        <v>1503.4657984910946</v>
      </c>
      <c r="AJ5" s="41">
        <v>988.31954211949801</v>
      </c>
      <c r="AK5" s="42">
        <v>1586.2436499071885</v>
      </c>
      <c r="AL5" s="41">
        <v>990.77164426174909</v>
      </c>
      <c r="AM5" s="42">
        <v>1671.742829297855</v>
      </c>
      <c r="AN5" s="41">
        <v>995.92835392891436</v>
      </c>
      <c r="AO5" s="42">
        <v>1735.0555772859334</v>
      </c>
      <c r="AP5" s="41">
        <v>997.12522703939294</v>
      </c>
      <c r="AQ5" s="42">
        <v>1741.9031981296489</v>
      </c>
      <c r="AR5" s="41">
        <v>998.18650128829381</v>
      </c>
      <c r="AS5" s="42">
        <v>1746.4893238893123</v>
      </c>
      <c r="AT5" s="41">
        <v>998.84193194944578</v>
      </c>
      <c r="AU5" s="42">
        <v>1749.014831785149</v>
      </c>
      <c r="AV5" s="41">
        <v>998.23793484082864</v>
      </c>
      <c r="AW5" s="42">
        <v>1749.9529665291143</v>
      </c>
    </row>
    <row r="6" spans="1:49" x14ac:dyDescent="0.2">
      <c r="A6" t="s">
        <v>77</v>
      </c>
      <c r="B6" s="41">
        <v>999.99999999999943</v>
      </c>
      <c r="C6" s="42">
        <v>999.99999999999909</v>
      </c>
      <c r="D6" s="41">
        <v>999.13755730138087</v>
      </c>
      <c r="E6" s="42">
        <v>1015.4487593696306</v>
      </c>
      <c r="F6" s="41">
        <v>998.27305371123907</v>
      </c>
      <c r="G6" s="42">
        <v>1032.4125969054405</v>
      </c>
      <c r="H6" s="41">
        <v>997.40557653764176</v>
      </c>
      <c r="I6" s="42">
        <v>1051.1320440625927</v>
      </c>
      <c r="J6" s="41">
        <v>996.53405085177985</v>
      </c>
      <c r="K6" s="42">
        <v>1071.9037694012738</v>
      </c>
      <c r="L6" s="41">
        <v>995.65724902708496</v>
      </c>
      <c r="M6" s="42">
        <v>1095.0986417642498</v>
      </c>
      <c r="N6" s="41">
        <v>994.77383504599516</v>
      </c>
      <c r="O6" s="42">
        <v>1121.1875631308208</v>
      </c>
      <c r="P6" s="41">
        <v>993.88244119241983</v>
      </c>
      <c r="Q6" s="42">
        <v>1150.7784355644299</v>
      </c>
      <c r="R6" s="41">
        <v>992.98186567614084</v>
      </c>
      <c r="S6" s="42">
        <v>1184.671872585953</v>
      </c>
      <c r="T6" s="41">
        <v>992.07147177971297</v>
      </c>
      <c r="U6" s="42">
        <v>1223.9471257232717</v>
      </c>
      <c r="V6" s="41">
        <v>991.15198002294699</v>
      </c>
      <c r="W6" s="42">
        <v>1270.0997901484916</v>
      </c>
      <c r="X6" s="41">
        <v>990.22704819386308</v>
      </c>
      <c r="Y6" s="42">
        <v>1325.27130901743</v>
      </c>
      <c r="Z6" s="41">
        <v>989.30643719351986</v>
      </c>
      <c r="AA6" s="42">
        <v>1392.6565743036124</v>
      </c>
      <c r="AB6" s="41">
        <v>988.41256011613052</v>
      </c>
      <c r="AC6" s="42">
        <v>1477.2678039146585</v>
      </c>
      <c r="AD6" s="41">
        <v>987.59438068906945</v>
      </c>
      <c r="AE6" s="42">
        <v>1587.4969664433186</v>
      </c>
      <c r="AF6" s="41">
        <v>986.95800728311929</v>
      </c>
      <c r="AG6" s="42">
        <v>1738.649229233876</v>
      </c>
      <c r="AH6" s="41">
        <v>986.73587606707292</v>
      </c>
      <c r="AI6" s="42">
        <v>1962.1039559531637</v>
      </c>
      <c r="AJ6" s="41">
        <v>987.4373277620615</v>
      </c>
      <c r="AK6" s="42">
        <v>2333.9449134550082</v>
      </c>
      <c r="AL6" s="41">
        <v>990.07277464692731</v>
      </c>
      <c r="AM6" s="42">
        <v>3093.7090358258347</v>
      </c>
      <c r="AN6" s="41">
        <v>995.61827832808638</v>
      </c>
      <c r="AO6" s="42">
        <v>5501.4876205827868</v>
      </c>
      <c r="AP6" s="41">
        <v>996.906015969794</v>
      </c>
      <c r="AQ6" s="42">
        <v>6757.4266068450297</v>
      </c>
      <c r="AR6" s="41">
        <v>998.04805751800018</v>
      </c>
      <c r="AS6" s="42">
        <v>8910.9279429727612</v>
      </c>
      <c r="AT6" s="41">
        <v>998.75346173279468</v>
      </c>
      <c r="AU6" s="42">
        <v>13405.896511346404</v>
      </c>
      <c r="AV6" s="41">
        <v>998.10341008376326</v>
      </c>
      <c r="AW6" s="42">
        <v>27965.484133788821</v>
      </c>
    </row>
    <row r="7" spans="1:49" x14ac:dyDescent="0.2">
      <c r="A7" t="s">
        <v>13</v>
      </c>
      <c r="B7" s="33">
        <v>1015.9116825427475</v>
      </c>
      <c r="C7" s="34">
        <v>1015.9116825427475</v>
      </c>
      <c r="D7" s="33">
        <v>1015.0977230196545</v>
      </c>
      <c r="E7" s="34">
        <v>1015.0977230196545</v>
      </c>
      <c r="F7" s="33">
        <v>1014.2817183047734</v>
      </c>
      <c r="G7" s="34">
        <v>1014.2817183047734</v>
      </c>
      <c r="H7" s="33">
        <v>1013.4628060515024</v>
      </c>
      <c r="I7" s="34">
        <v>1013.4628060515024</v>
      </c>
      <c r="J7" s="33">
        <v>1012.6399702568376</v>
      </c>
      <c r="K7" s="34">
        <v>1012.6399702568376</v>
      </c>
      <c r="L7" s="33">
        <v>1011.8120502082091</v>
      </c>
      <c r="M7" s="34">
        <v>1011.8120502082091</v>
      </c>
      <c r="N7" s="33">
        <v>1010.9777822678635</v>
      </c>
      <c r="O7" s="34">
        <v>1010.9777822678635</v>
      </c>
      <c r="P7" s="33">
        <v>1010.1358721812128</v>
      </c>
      <c r="Q7" s="34">
        <v>1010.1358721812128</v>
      </c>
      <c r="R7" s="33">
        <v>1009.2851817779044</v>
      </c>
      <c r="S7" s="34">
        <v>1009.2851817779044</v>
      </c>
      <c r="T7" s="33">
        <v>1008.4251061379766</v>
      </c>
      <c r="U7" s="34">
        <v>1008.4251061379766</v>
      </c>
      <c r="V7" s="33">
        <v>1007.5563224634327</v>
      </c>
      <c r="W7" s="34">
        <v>1007.5563224634327</v>
      </c>
      <c r="X7" s="33">
        <v>1006.6822841187644</v>
      </c>
      <c r="Y7" s="34">
        <v>1006.6822841187644</v>
      </c>
      <c r="Z7" s="33">
        <v>1005.8122146823437</v>
      </c>
      <c r="AA7" s="34">
        <v>1005.8122146823437</v>
      </c>
      <c r="AB7" s="33">
        <v>1004.9673024664428</v>
      </c>
      <c r="AC7" s="34">
        <v>1004.9673024664428</v>
      </c>
      <c r="AD7" s="33">
        <v>1004.1938471682482</v>
      </c>
      <c r="AE7" s="34">
        <v>1004.1938471682482</v>
      </c>
      <c r="AF7" s="33">
        <v>1003.5921975963054</v>
      </c>
      <c r="AG7" s="34">
        <v>1003.5921975963054</v>
      </c>
      <c r="AH7" s="33">
        <v>1003.3821741890131</v>
      </c>
      <c r="AI7" s="34">
        <v>1003.3821741890131</v>
      </c>
      <c r="AJ7" s="33">
        <v>1004.045368924497</v>
      </c>
      <c r="AK7" s="34">
        <v>1004.045368924497</v>
      </c>
      <c r="AL7" s="33">
        <v>1006.536488137598</v>
      </c>
      <c r="AM7" s="34">
        <v>1006.536488137598</v>
      </c>
      <c r="AN7" s="33">
        <v>1011.7752497319523</v>
      </c>
      <c r="AO7" s="34">
        <v>1011.7752497319523</v>
      </c>
      <c r="AP7" s="33">
        <v>1012.9911671074087</v>
      </c>
      <c r="AQ7" s="34">
        <v>1012.9911671074087</v>
      </c>
      <c r="AR7" s="33">
        <v>1014.0693280152489</v>
      </c>
      <c r="AS7" s="34">
        <v>1014.0693280152489</v>
      </c>
      <c r="AT7" s="33">
        <v>1014.7351876810098</v>
      </c>
      <c r="AU7" s="34">
        <v>1014.7351876810098</v>
      </c>
      <c r="AV7" s="33">
        <v>1014.1215799621438</v>
      </c>
      <c r="AW7" s="34">
        <v>1014.1215799621438</v>
      </c>
    </row>
    <row r="8" spans="1:49" x14ac:dyDescent="0.2">
      <c r="B8" s="35">
        <v>1005.7716594496609</v>
      </c>
      <c r="C8" s="36">
        <v>1005.7716594496609</v>
      </c>
      <c r="D8" s="35">
        <v>1050.5401264876709</v>
      </c>
      <c r="E8" s="36">
        <v>1050.5401264876709</v>
      </c>
      <c r="F8" s="35">
        <v>1100.2111426716149</v>
      </c>
      <c r="G8" s="36">
        <v>1100.2111426716149</v>
      </c>
      <c r="H8" s="35">
        <v>1155.6452314549206</v>
      </c>
      <c r="I8" s="36">
        <v>1155.6452314549206</v>
      </c>
      <c r="J8" s="35">
        <v>1217.9176296130217</v>
      </c>
      <c r="K8" s="36">
        <v>1217.9176296130217</v>
      </c>
      <c r="L8" s="35">
        <v>1288.3904774516</v>
      </c>
      <c r="M8" s="36">
        <v>1288.3904774516</v>
      </c>
      <c r="N8" s="35">
        <v>1368.8169108155009</v>
      </c>
      <c r="O8" s="36">
        <v>1368.8169108155009</v>
      </c>
      <c r="P8" s="35">
        <v>1461.4924805575524</v>
      </c>
      <c r="Q8" s="36">
        <v>1461.4924805575524</v>
      </c>
      <c r="R8" s="35">
        <v>1569.4852020976032</v>
      </c>
      <c r="S8" s="36">
        <v>1569.4852020976032</v>
      </c>
      <c r="T8" s="35">
        <v>1696.9944608478888</v>
      </c>
      <c r="U8" s="36">
        <v>1696.9944608478888</v>
      </c>
      <c r="V8" s="35">
        <v>1849.9330951223615</v>
      </c>
      <c r="W8" s="36">
        <v>1849.9330951223615</v>
      </c>
      <c r="X8" s="35">
        <v>2036.9113072096306</v>
      </c>
      <c r="Y8" s="36">
        <v>2036.9113072096306</v>
      </c>
      <c r="Z8" s="35">
        <v>2271.0051219837228</v>
      </c>
      <c r="AA8" s="36">
        <v>2271.0051219837228</v>
      </c>
      <c r="AB8" s="35">
        <v>2573.1263650601804</v>
      </c>
      <c r="AC8" s="36">
        <v>2573.1263650601804</v>
      </c>
      <c r="AD8" s="35">
        <v>2979.032294114334</v>
      </c>
      <c r="AE8" s="36">
        <v>2979.032294114334</v>
      </c>
      <c r="AF8" s="35">
        <v>3555.5101164833986</v>
      </c>
      <c r="AG8" s="36">
        <v>3555.5101164833986</v>
      </c>
      <c r="AH8" s="35">
        <v>4443.4075002736536</v>
      </c>
      <c r="AI8" s="36">
        <v>4443.4075002736536</v>
      </c>
      <c r="AJ8" s="35">
        <v>5996.5839707248888</v>
      </c>
      <c r="AK8" s="36">
        <v>5996.5839707248888</v>
      </c>
      <c r="AL8" s="35">
        <v>9383.9023686572054</v>
      </c>
      <c r="AM8" s="36">
        <v>9383.9023686572054</v>
      </c>
      <c r="AN8" s="35">
        <v>21189.987536310928</v>
      </c>
      <c r="AO8" s="36">
        <v>21189.987536310928</v>
      </c>
      <c r="AP8" s="35">
        <v>27716.421127541787</v>
      </c>
      <c r="AQ8" s="36">
        <v>27716.421127541787</v>
      </c>
      <c r="AR8" s="35">
        <v>39245.761478671164</v>
      </c>
      <c r="AS8" s="36">
        <v>39245.761478671164</v>
      </c>
      <c r="AT8" s="35">
        <v>64155.225995433662</v>
      </c>
      <c r="AU8" s="36">
        <v>64155.225995433662</v>
      </c>
      <c r="AV8" s="35">
        <v>148366.73924109238</v>
      </c>
      <c r="AW8" s="36">
        <v>148366.73924109238</v>
      </c>
    </row>
    <row r="9" spans="1:49" x14ac:dyDescent="0.2">
      <c r="A9" t="s">
        <v>14</v>
      </c>
      <c r="B9" s="41">
        <v>1015.9116825427475</v>
      </c>
      <c r="C9" s="42">
        <v>1005.7716594496609</v>
      </c>
      <c r="D9" s="41">
        <v>1015.0977230196545</v>
      </c>
      <c r="E9" s="42">
        <v>1050.5401264876709</v>
      </c>
      <c r="F9" s="41">
        <v>1014.2817183047734</v>
      </c>
      <c r="G9" s="42">
        <v>1100.2111426716149</v>
      </c>
      <c r="H9" s="41">
        <v>1013.4628060515024</v>
      </c>
      <c r="I9" s="42">
        <v>1155.6452314549206</v>
      </c>
      <c r="J9" s="41">
        <v>1012.6399702568376</v>
      </c>
      <c r="K9" s="42">
        <v>1217.9176296130217</v>
      </c>
      <c r="L9" s="41">
        <v>1011.8120502082091</v>
      </c>
      <c r="M9" s="42">
        <v>1288.3904774516</v>
      </c>
      <c r="N9" s="41">
        <v>1010.9777822678635</v>
      </c>
      <c r="O9" s="42">
        <v>1368.8169108155009</v>
      </c>
      <c r="P9" s="41">
        <v>1010.1358721812128</v>
      </c>
      <c r="Q9" s="42">
        <v>1461.4924805575524</v>
      </c>
      <c r="R9" s="41">
        <v>1009.2851817779044</v>
      </c>
      <c r="S9" s="42">
        <v>1569.4852020976032</v>
      </c>
      <c r="T9" s="41">
        <v>1008.4251061379766</v>
      </c>
      <c r="U9" s="42">
        <v>1696.9944608478888</v>
      </c>
      <c r="V9" s="41">
        <v>1007.5563224634327</v>
      </c>
      <c r="W9" s="42">
        <v>1849.9330951223615</v>
      </c>
      <c r="X9" s="41">
        <v>1006.6822841187644</v>
      </c>
      <c r="Y9" s="42">
        <v>2036.9113072096306</v>
      </c>
      <c r="Z9" s="41">
        <v>1005.8122146823437</v>
      </c>
      <c r="AA9" s="42">
        <v>2271.0051219837228</v>
      </c>
      <c r="AB9" s="41">
        <v>1004.9673024664428</v>
      </c>
      <c r="AC9" s="42">
        <v>2573.1263650601804</v>
      </c>
      <c r="AD9" s="41">
        <v>1004.1938471682482</v>
      </c>
      <c r="AE9" s="42">
        <v>2979.032294114334</v>
      </c>
      <c r="AF9" s="41">
        <v>1003.5921975963054</v>
      </c>
      <c r="AG9" s="42">
        <v>3555.5101164833986</v>
      </c>
      <c r="AH9" s="41">
        <v>1003.3821741890131</v>
      </c>
      <c r="AI9" s="42">
        <v>4443.4075002736536</v>
      </c>
      <c r="AJ9" s="41">
        <v>1004.045368924497</v>
      </c>
      <c r="AK9" s="42">
        <v>5996.5839707248888</v>
      </c>
      <c r="AL9" s="41">
        <v>1006.536488137598</v>
      </c>
      <c r="AM9" s="42">
        <v>9383.9023686572054</v>
      </c>
      <c r="AN9" s="41">
        <v>1011.7752497319523</v>
      </c>
      <c r="AO9" s="42">
        <v>21189.987536310928</v>
      </c>
      <c r="AP9" s="41">
        <v>1012.9911671074087</v>
      </c>
      <c r="AQ9" s="42">
        <v>27716.421127541787</v>
      </c>
      <c r="AR9" s="41">
        <v>1014.0693280152489</v>
      </c>
      <c r="AS9" s="42">
        <v>39245.761478671164</v>
      </c>
      <c r="AT9" s="41">
        <v>1014.7351876810098</v>
      </c>
      <c r="AU9" s="42">
        <v>64155.225995433662</v>
      </c>
      <c r="AV9" s="41">
        <v>1014.1215799621438</v>
      </c>
      <c r="AW9" s="42">
        <v>148366.73924109238</v>
      </c>
    </row>
    <row r="10" spans="1:49" x14ac:dyDescent="0.2">
      <c r="A10" t="s">
        <v>15</v>
      </c>
      <c r="B10" s="41">
        <v>1015.9116825427475</v>
      </c>
      <c r="C10" s="42">
        <v>1005.7716594496609</v>
      </c>
      <c r="D10" s="41">
        <v>1015.0977230196545</v>
      </c>
      <c r="E10" s="42">
        <v>1050.5401264876709</v>
      </c>
      <c r="F10" s="41">
        <v>1014.2817183047734</v>
      </c>
      <c r="G10" s="42">
        <v>1100.2111426716149</v>
      </c>
      <c r="H10" s="41">
        <v>1013.4628060515024</v>
      </c>
      <c r="I10" s="42">
        <v>1155.6452314549206</v>
      </c>
      <c r="J10" s="41">
        <v>1012.6399702568376</v>
      </c>
      <c r="K10" s="42">
        <v>1217.9176296130217</v>
      </c>
      <c r="L10" s="41">
        <v>1011.8120502082091</v>
      </c>
      <c r="M10" s="42">
        <v>1288.3904774516</v>
      </c>
      <c r="N10" s="41">
        <v>1010.9777822678635</v>
      </c>
      <c r="O10" s="42">
        <v>1368.8169108155009</v>
      </c>
      <c r="P10" s="41">
        <v>1010.1358721812128</v>
      </c>
      <c r="Q10" s="42">
        <v>1461.4924805575524</v>
      </c>
      <c r="R10" s="41">
        <v>1009.2851817779044</v>
      </c>
      <c r="S10" s="42">
        <v>1569.4852020976032</v>
      </c>
      <c r="T10" s="41">
        <v>1008.4251061379766</v>
      </c>
      <c r="U10" s="42">
        <v>1696.9944608478888</v>
      </c>
      <c r="V10" s="41">
        <v>1007.5563224634327</v>
      </c>
      <c r="W10" s="42">
        <v>1849.9330951223615</v>
      </c>
      <c r="X10" s="41">
        <v>1006.6822841187644</v>
      </c>
      <c r="Y10" s="42">
        <v>2036.9113072096306</v>
      </c>
      <c r="Z10" s="41">
        <v>1005.8122146823437</v>
      </c>
      <c r="AA10" s="42">
        <v>2271.0051219837228</v>
      </c>
      <c r="AB10" s="41">
        <v>1004.9673024664428</v>
      </c>
      <c r="AC10" s="42">
        <v>2573.1263650601804</v>
      </c>
      <c r="AD10" s="41">
        <v>1004.1938471682482</v>
      </c>
      <c r="AE10" s="42">
        <v>2979.032294114334</v>
      </c>
      <c r="AF10" s="41">
        <v>1003.5921975963054</v>
      </c>
      <c r="AG10" s="42">
        <v>3555.5101164833986</v>
      </c>
      <c r="AH10" s="41">
        <v>1003.3821741890131</v>
      </c>
      <c r="AI10" s="42">
        <v>4443.4075002736536</v>
      </c>
      <c r="AJ10" s="41">
        <v>1004.045368924497</v>
      </c>
      <c r="AK10" s="42">
        <v>5996.5839707248888</v>
      </c>
      <c r="AL10" s="41">
        <v>1006.536488137598</v>
      </c>
      <c r="AM10" s="42">
        <v>9383.9023686572054</v>
      </c>
      <c r="AN10" s="41">
        <v>1011.7752497319523</v>
      </c>
      <c r="AO10" s="42">
        <v>21189.987536310928</v>
      </c>
      <c r="AP10" s="41">
        <v>1012.9911671074087</v>
      </c>
      <c r="AQ10" s="42">
        <v>27716.421127541787</v>
      </c>
      <c r="AR10" s="41">
        <v>1014.0693280152489</v>
      </c>
      <c r="AS10" s="42">
        <v>39245.761478671164</v>
      </c>
      <c r="AT10" s="41">
        <v>1014.7351876810098</v>
      </c>
      <c r="AU10" s="42">
        <v>64155.225995433662</v>
      </c>
      <c r="AV10" s="41">
        <v>1014.1215799621438</v>
      </c>
      <c r="AW10" s="42">
        <v>148366.73924109238</v>
      </c>
    </row>
    <row r="11" spans="1:49" x14ac:dyDescent="0.2">
      <c r="A11" t="s">
        <v>29</v>
      </c>
      <c r="B11" s="41">
        <v>1015.9116825427475</v>
      </c>
      <c r="C11" s="42">
        <v>1005.7716594496609</v>
      </c>
      <c r="D11" s="41">
        <v>1015.0977230196545</v>
      </c>
      <c r="E11" s="42">
        <v>1050.5401264876709</v>
      </c>
      <c r="F11" s="41">
        <v>1014.2817183047734</v>
      </c>
      <c r="G11" s="42">
        <v>1100.2111426716149</v>
      </c>
      <c r="H11" s="41">
        <v>1013.4628060515024</v>
      </c>
      <c r="I11" s="42">
        <v>1155.6452314549206</v>
      </c>
      <c r="J11" s="41">
        <v>1012.6399702568376</v>
      </c>
      <c r="K11" s="42">
        <v>1217.9176296130217</v>
      </c>
      <c r="L11" s="41">
        <v>1011.8120502082091</v>
      </c>
      <c r="M11" s="42">
        <v>1288.3904774516</v>
      </c>
      <c r="N11" s="41">
        <v>1010.9777822678635</v>
      </c>
      <c r="O11" s="42">
        <v>1368.8169108155009</v>
      </c>
      <c r="P11" s="41">
        <v>1010.1358721812128</v>
      </c>
      <c r="Q11" s="42">
        <v>1461.4924805575524</v>
      </c>
      <c r="R11" s="41">
        <v>1009.2851817779044</v>
      </c>
      <c r="S11" s="42">
        <v>1569.4852020976032</v>
      </c>
      <c r="T11" s="41">
        <v>1008.4251061379766</v>
      </c>
      <c r="U11" s="42">
        <v>1696.9944608478888</v>
      </c>
      <c r="V11" s="41">
        <v>1007.5563224634327</v>
      </c>
      <c r="W11" s="42">
        <v>1849.9330951223615</v>
      </c>
      <c r="X11" s="41">
        <v>1006.6822841187644</v>
      </c>
      <c r="Y11" s="42">
        <v>2036.9113072096306</v>
      </c>
      <c r="Z11" s="41">
        <v>1005.8122146823437</v>
      </c>
      <c r="AA11" s="42">
        <v>2271.0051219837228</v>
      </c>
      <c r="AB11" s="41">
        <v>1004.9673024664428</v>
      </c>
      <c r="AC11" s="42">
        <v>2573.1263650601804</v>
      </c>
      <c r="AD11" s="41">
        <v>1004.1938471682482</v>
      </c>
      <c r="AE11" s="42">
        <v>2979.032294114334</v>
      </c>
      <c r="AF11" s="41">
        <v>1003.5921975963054</v>
      </c>
      <c r="AG11" s="42">
        <v>3555.5101164833986</v>
      </c>
      <c r="AH11" s="41">
        <v>1003.3821741890131</v>
      </c>
      <c r="AI11" s="42">
        <v>4443.4075002736536</v>
      </c>
      <c r="AJ11" s="41">
        <v>1004.045368924497</v>
      </c>
      <c r="AK11" s="42">
        <v>5996.5839707248888</v>
      </c>
      <c r="AL11" s="41">
        <v>1006.536488137598</v>
      </c>
      <c r="AM11" s="42">
        <v>9383.9023686572054</v>
      </c>
      <c r="AN11" s="41">
        <v>1011.7752497319523</v>
      </c>
      <c r="AO11" s="42">
        <v>21189.987536310928</v>
      </c>
      <c r="AP11" s="41">
        <v>1012.9911671074087</v>
      </c>
      <c r="AQ11" s="42">
        <v>27716.421127541787</v>
      </c>
      <c r="AR11" s="41">
        <v>1014.0693280152489</v>
      </c>
      <c r="AS11" s="42">
        <v>39245.761478671164</v>
      </c>
      <c r="AT11" s="41">
        <v>1014.7351876810098</v>
      </c>
      <c r="AU11" s="42">
        <v>64155.225995433662</v>
      </c>
      <c r="AV11" s="41">
        <v>1014.1215799621438</v>
      </c>
      <c r="AW11" s="42">
        <v>148366.73924109238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999.61619624858588</v>
      </c>
      <c r="E13" s="98">
        <v>999.61619624858588</v>
      </c>
      <c r="F13" s="97">
        <v>999.12116438869361</v>
      </c>
      <c r="G13" s="98">
        <v>999.12116438869361</v>
      </c>
      <c r="H13" s="97">
        <v>998.5018625482428</v>
      </c>
      <c r="I13" s="98">
        <v>998.5018625482428</v>
      </c>
      <c r="J13" s="97">
        <v>997.74286740307286</v>
      </c>
      <c r="K13" s="98">
        <v>997.74286740307286</v>
      </c>
      <c r="L13" s="97">
        <v>996.82576851996475</v>
      </c>
      <c r="M13" s="98">
        <v>996.82576851996475</v>
      </c>
      <c r="N13" s="97">
        <v>995.7282876842379</v>
      </c>
      <c r="O13" s="98">
        <v>995.7282876842379</v>
      </c>
      <c r="P13" s="97">
        <v>994.42321977349354</v>
      </c>
      <c r="Q13" s="98">
        <v>994.42321977349354</v>
      </c>
      <c r="R13" s="97">
        <v>992.87686425976017</v>
      </c>
      <c r="S13" s="98">
        <v>992.87686425976017</v>
      </c>
      <c r="T13" s="97">
        <v>991.04679301623594</v>
      </c>
      <c r="U13" s="98">
        <v>991.04679301623594</v>
      </c>
      <c r="V13" s="97">
        <v>988.87863614109892</v>
      </c>
      <c r="W13" s="98">
        <v>988.87863614109892</v>
      </c>
      <c r="X13" s="97">
        <v>986.3011696082458</v>
      </c>
      <c r="Y13" s="98">
        <v>986.3011696082458</v>
      </c>
      <c r="Z13" s="97">
        <v>983.21857845173668</v>
      </c>
      <c r="AA13" s="98">
        <v>983.21857845173668</v>
      </c>
      <c r="AB13" s="97">
        <v>979.49773415227821</v>
      </c>
      <c r="AC13" s="98">
        <v>979.49773415227821</v>
      </c>
      <c r="AD13" s="97">
        <v>974.9457873770159</v>
      </c>
      <c r="AE13" s="98">
        <v>974.9457873770159</v>
      </c>
      <c r="AF13" s="97">
        <v>969.26722425712705</v>
      </c>
      <c r="AG13" s="98">
        <v>969.26722425712705</v>
      </c>
      <c r="AH13" s="97">
        <v>961.97176526996316</v>
      </c>
      <c r="AI13" s="98">
        <v>961.97176526996316</v>
      </c>
      <c r="AJ13" s="97">
        <v>952.13723208356487</v>
      </c>
      <c r="AK13" s="98">
        <v>952.13723208356487</v>
      </c>
      <c r="AL13" s="97">
        <v>937.60331818342809</v>
      </c>
      <c r="AM13" s="98">
        <v>937.60331818342809</v>
      </c>
      <c r="AN13" s="97">
        <v>910.75464747371529</v>
      </c>
      <c r="AO13" s="98">
        <v>910.75464747371529</v>
      </c>
      <c r="AP13" s="97">
        <v>901.55562705490786</v>
      </c>
      <c r="AQ13" s="98">
        <v>901.55562705490786</v>
      </c>
      <c r="AR13" s="97">
        <v>889.38383381255926</v>
      </c>
      <c r="AS13" s="98">
        <v>889.38383381255926</v>
      </c>
      <c r="AT13" s="97">
        <v>871.8322308827494</v>
      </c>
      <c r="AU13" s="98">
        <v>871.8322308827494</v>
      </c>
      <c r="AV13" s="97">
        <v>841.51043034821055</v>
      </c>
      <c r="AW13" s="98">
        <v>841.51043034821055</v>
      </c>
    </row>
    <row r="14" spans="1:49" x14ac:dyDescent="0.2">
      <c r="A14" t="s">
        <v>36</v>
      </c>
      <c r="B14" s="41">
        <v>1457.0034251455234</v>
      </c>
      <c r="C14" s="42">
        <v>1457.0034251455236</v>
      </c>
      <c r="D14" s="41">
        <v>1456.4442217651292</v>
      </c>
      <c r="E14" s="42">
        <v>1456.4442217651294</v>
      </c>
      <c r="F14" s="41">
        <v>1455.7229586497101</v>
      </c>
      <c r="G14" s="42">
        <v>1455.7229586497103</v>
      </c>
      <c r="H14" s="41">
        <v>1454.8206337469742</v>
      </c>
      <c r="I14" s="42">
        <v>1454.8206337469744</v>
      </c>
      <c r="J14" s="41">
        <v>1453.7147752207929</v>
      </c>
      <c r="K14" s="42">
        <v>1453.7147752207929</v>
      </c>
      <c r="L14" s="41">
        <v>1452.3785590069072</v>
      </c>
      <c r="M14" s="42">
        <v>1452.3785590069074</v>
      </c>
      <c r="N14" s="41">
        <v>1450.7795256702216</v>
      </c>
      <c r="O14" s="42">
        <v>1450.7795256702218</v>
      </c>
      <c r="P14" s="41">
        <v>1448.8780372542196</v>
      </c>
      <c r="Q14" s="42">
        <v>1448.8780372542199</v>
      </c>
      <c r="R14" s="41">
        <v>1446.6249919742174</v>
      </c>
      <c r="S14" s="42">
        <v>1446.6249919742177</v>
      </c>
      <c r="T14" s="41">
        <v>1443.9585719041422</v>
      </c>
      <c r="U14" s="42">
        <v>1443.9585719041424</v>
      </c>
      <c r="V14" s="41">
        <v>1440.7995599108149</v>
      </c>
      <c r="W14" s="42">
        <v>1440.7995599108151</v>
      </c>
      <c r="X14" s="41">
        <v>1437.0441823442497</v>
      </c>
      <c r="Y14" s="42">
        <v>1437.04418234425</v>
      </c>
      <c r="Z14" s="41">
        <v>1432.5528364708928</v>
      </c>
      <c r="AA14" s="42">
        <v>1432.552836470893</v>
      </c>
      <c r="AB14" s="41">
        <v>1427.1315535821486</v>
      </c>
      <c r="AC14" s="42">
        <v>1427.1315535821489</v>
      </c>
      <c r="AD14" s="41">
        <v>1420.4993515395113</v>
      </c>
      <c r="AE14" s="42">
        <v>1420.4993515395115</v>
      </c>
      <c r="AF14" s="41">
        <v>1412.2256656239281</v>
      </c>
      <c r="AG14" s="42">
        <v>1412.2256656239283</v>
      </c>
      <c r="AH14" s="41">
        <v>1401.5961568916216</v>
      </c>
      <c r="AI14" s="42">
        <v>1401.5961568916218</v>
      </c>
      <c r="AJ14" s="41">
        <v>1387.2672083543321</v>
      </c>
      <c r="AK14" s="42">
        <v>1387.2672083543323</v>
      </c>
      <c r="AL14" s="41">
        <v>1366.0912460210627</v>
      </c>
      <c r="AM14" s="42">
        <v>1366.0912460210627</v>
      </c>
      <c r="AN14" s="41">
        <v>1326.9726408364068</v>
      </c>
      <c r="AO14" s="42">
        <v>1326.972640836407</v>
      </c>
      <c r="AP14" s="41">
        <v>1313.5696365782208</v>
      </c>
      <c r="AQ14" s="42">
        <v>1313.569636578221</v>
      </c>
      <c r="AR14" s="41">
        <v>1295.8352921339556</v>
      </c>
      <c r="AS14" s="42">
        <v>1295.8352921339558</v>
      </c>
      <c r="AT14" s="41">
        <v>1270.2625465484286</v>
      </c>
      <c r="AU14" s="42">
        <v>1270.2625465484286</v>
      </c>
      <c r="AV14" s="41">
        <v>1226.0835793130261</v>
      </c>
      <c r="AW14" s="42">
        <v>1226.0835793130263</v>
      </c>
    </row>
    <row r="15" spans="1:49" x14ac:dyDescent="0.2">
      <c r="A15" t="s">
        <v>18</v>
      </c>
      <c r="B15" s="154">
        <v>1000</v>
      </c>
      <c r="C15" s="155">
        <v>1000</v>
      </c>
      <c r="D15" s="154">
        <v>994.75552931908476</v>
      </c>
      <c r="E15" s="155">
        <v>994.75552931908476</v>
      </c>
      <c r="F15" s="154">
        <v>989.40904756311511</v>
      </c>
      <c r="G15" s="155">
        <v>989.40904756311511</v>
      </c>
      <c r="H15" s="154">
        <v>983.94743123590285</v>
      </c>
      <c r="I15" s="155">
        <v>983.94743123590285</v>
      </c>
      <c r="J15" s="154">
        <v>978.35520924257537</v>
      </c>
      <c r="K15" s="155">
        <v>978.35520924257537</v>
      </c>
      <c r="L15" s="154">
        <v>972.61402435519847</v>
      </c>
      <c r="M15" s="155">
        <v>972.61402435519847</v>
      </c>
      <c r="N15" s="154">
        <v>966.70200857687178</v>
      </c>
      <c r="O15" s="155">
        <v>966.70200857687178</v>
      </c>
      <c r="P15" s="154">
        <v>960.59279318564199</v>
      </c>
      <c r="Q15" s="155">
        <v>960.59279318564199</v>
      </c>
      <c r="R15" s="154">
        <v>954.25430785436129</v>
      </c>
      <c r="S15" s="155">
        <v>954.25430785436129</v>
      </c>
      <c r="T15" s="154">
        <v>947.64715917302885</v>
      </c>
      <c r="U15" s="155">
        <v>947.64715917302885</v>
      </c>
      <c r="V15" s="154">
        <v>940.72233389044322</v>
      </c>
      <c r="W15" s="155">
        <v>940.72233389044322</v>
      </c>
      <c r="X15" s="154">
        <v>933.41810653484924</v>
      </c>
      <c r="Y15" s="155">
        <v>933.41810653484924</v>
      </c>
      <c r="Z15" s="154">
        <v>925.65532792484339</v>
      </c>
      <c r="AA15" s="155">
        <v>925.65532792484339</v>
      </c>
      <c r="AB15" s="154">
        <v>917.33067701374728</v>
      </c>
      <c r="AC15" s="155">
        <v>917.33067701374728</v>
      </c>
      <c r="AD15" s="154">
        <v>908.30553318561294</v>
      </c>
      <c r="AE15" s="155">
        <v>908.30553318561294</v>
      </c>
      <c r="AF15" s="154">
        <v>898.38601420648831</v>
      </c>
      <c r="AG15" s="155">
        <v>898.38601420648831</v>
      </c>
      <c r="AH15" s="154">
        <v>887.2778020357614</v>
      </c>
      <c r="AI15" s="155">
        <v>887.2778020357614</v>
      </c>
      <c r="AJ15" s="154">
        <v>874.44299597919417</v>
      </c>
      <c r="AK15" s="155">
        <v>874.44299597919417</v>
      </c>
      <c r="AL15" s="154">
        <v>858.43926117925832</v>
      </c>
      <c r="AM15" s="155">
        <v>858.43926117925832</v>
      </c>
      <c r="AN15" s="154">
        <v>832.78754700719435</v>
      </c>
      <c r="AO15" s="155">
        <v>832.78754700719435</v>
      </c>
      <c r="AP15" s="154">
        <v>824.3211671724481</v>
      </c>
      <c r="AQ15" s="155">
        <v>824.3211671724481</v>
      </c>
      <c r="AR15" s="154">
        <v>813.16662473298823</v>
      </c>
      <c r="AS15" s="155">
        <v>813.16662473298823</v>
      </c>
      <c r="AT15" s="154">
        <v>797.11055664112848</v>
      </c>
      <c r="AU15" s="155">
        <v>797.11055664112848</v>
      </c>
      <c r="AV15" s="154">
        <v>769.38598264680729</v>
      </c>
      <c r="AW15" s="155">
        <v>769.38598264680729</v>
      </c>
    </row>
    <row r="16" spans="1:49" s="29" customFormat="1" x14ac:dyDescent="0.2">
      <c r="A16" t="s">
        <v>61</v>
      </c>
      <c r="B16" s="41">
        <v>1000</v>
      </c>
      <c r="C16" s="42">
        <v>1000</v>
      </c>
      <c r="D16" s="41">
        <v>997.34614589373746</v>
      </c>
      <c r="E16" s="42">
        <v>996.1425273231614</v>
      </c>
      <c r="F16" s="41">
        <v>994.58359422292449</v>
      </c>
      <c r="G16" s="42">
        <v>992.17968606169336</v>
      </c>
      <c r="H16" s="41">
        <v>991.69925793516325</v>
      </c>
      <c r="I16" s="42">
        <v>988.09837250598218</v>
      </c>
      <c r="J16" s="41">
        <v>988.6776831973209</v>
      </c>
      <c r="K16" s="42">
        <v>983.88312524280877</v>
      </c>
      <c r="L16" s="41">
        <v>985.5004746162183</v>
      </c>
      <c r="M16" s="42">
        <v>979.51556724804675</v>
      </c>
      <c r="N16" s="41">
        <v>982.14553329943999</v>
      </c>
      <c r="O16" s="42">
        <v>974.97370781619509</v>
      </c>
      <c r="P16" s="41">
        <v>978.58603133949839</v>
      </c>
      <c r="Q16" s="42">
        <v>970.23093345151767</v>
      </c>
      <c r="R16" s="41">
        <v>974.78901555719642</v>
      </c>
      <c r="S16" s="42">
        <v>965.25470230920507</v>
      </c>
      <c r="T16" s="41">
        <v>970.71346256417587</v>
      </c>
      <c r="U16" s="42">
        <v>960.00474899023948</v>
      </c>
      <c r="V16" s="41">
        <v>966.30749745386197</v>
      </c>
      <c r="W16" s="42">
        <v>954.43052846204398</v>
      </c>
      <c r="X16" s="41">
        <v>961.50434057325083</v>
      </c>
      <c r="Y16" s="42">
        <v>948.46760760056645</v>
      </c>
      <c r="Z16" s="41">
        <v>956.21600114403759</v>
      </c>
      <c r="AA16" s="42">
        <v>942.03209769974671</v>
      </c>
      <c r="AB16" s="41">
        <v>950.32338156091691</v>
      </c>
      <c r="AC16" s="42">
        <v>935.01221675666841</v>
      </c>
      <c r="AD16" s="41">
        <v>943.65921244707556</v>
      </c>
      <c r="AE16" s="42">
        <v>927.25397387205896</v>
      </c>
      <c r="AF16" s="41">
        <v>935.97599957781176</v>
      </c>
      <c r="AG16" s="42">
        <v>918.53471432989591</v>
      </c>
      <c r="AH16" s="41">
        <v>926.8761699909312</v>
      </c>
      <c r="AI16" s="42">
        <v>908.50469198846884</v>
      </c>
      <c r="AJ16" s="41">
        <v>915.6194901390071</v>
      </c>
      <c r="AK16" s="42">
        <v>896.51737377666984</v>
      </c>
      <c r="AL16" s="41">
        <v>900.38561570731349</v>
      </c>
      <c r="AM16" s="42">
        <v>880.92747184272355</v>
      </c>
      <c r="AN16" s="41">
        <v>874.09594262063354</v>
      </c>
      <c r="AO16" s="42">
        <v>854.9341932084144</v>
      </c>
      <c r="AP16" s="41">
        <v>865.24120477768531</v>
      </c>
      <c r="AQ16" s="42">
        <v>846.25962668175043</v>
      </c>
      <c r="AR16" s="41">
        <v>853.54761774131214</v>
      </c>
      <c r="AS16" s="42">
        <v>834.81609716779224</v>
      </c>
      <c r="AT16" s="41">
        <v>836.69916342084264</v>
      </c>
      <c r="AU16" s="42">
        <v>818.33521050851311</v>
      </c>
      <c r="AV16" s="41">
        <v>807.59853641913219</v>
      </c>
      <c r="AW16" s="42">
        <v>789.8728933876788</v>
      </c>
    </row>
    <row r="17" spans="1:49" x14ac:dyDescent="0.2">
      <c r="A17" t="s">
        <v>62</v>
      </c>
      <c r="B17" s="35">
        <v>999.99999999998658</v>
      </c>
      <c r="C17" s="36">
        <v>1000.0000000000002</v>
      </c>
      <c r="D17" s="35">
        <v>999.27166979777041</v>
      </c>
      <c r="E17" s="36">
        <v>1021.7388775416568</v>
      </c>
      <c r="F17" s="35">
        <v>998.54198082700486</v>
      </c>
      <c r="G17" s="36">
        <v>1045.6900224884059</v>
      </c>
      <c r="H17" s="35">
        <v>997.81017498369408</v>
      </c>
      <c r="I17" s="36">
        <v>1072.2173124337735</v>
      </c>
      <c r="J17" s="35">
        <v>997.07535003567921</v>
      </c>
      <c r="K17" s="36">
        <v>1101.7714236221609</v>
      </c>
      <c r="L17" s="35">
        <v>996.3364735147178</v>
      </c>
      <c r="M17" s="36">
        <v>1134.9181229378039</v>
      </c>
      <c r="N17" s="35">
        <v>995.59243374230198</v>
      </c>
      <c r="O17" s="36">
        <v>1172.3788295788502</v>
      </c>
      <c r="P17" s="35">
        <v>994.84208924877146</v>
      </c>
      <c r="Q17" s="36">
        <v>1215.0889494979931</v>
      </c>
      <c r="R17" s="35">
        <v>994.08443927258747</v>
      </c>
      <c r="S17" s="36">
        <v>1264.2859869141828</v>
      </c>
      <c r="T17" s="35">
        <v>993.31896108865146</v>
      </c>
      <c r="U17" s="36">
        <v>1321.6458603848694</v>
      </c>
      <c r="V17" s="35">
        <v>992.54628125774195</v>
      </c>
      <c r="W17" s="36">
        <v>1389.5020883096404</v>
      </c>
      <c r="X17" s="35">
        <v>991.76947938195121</v>
      </c>
      <c r="Y17" s="36">
        <v>1471.2127050768929</v>
      </c>
      <c r="Z17" s="35">
        <v>990.99675968897714</v>
      </c>
      <c r="AA17" s="36">
        <v>1571.8138562215634</v>
      </c>
      <c r="AB17" s="35">
        <v>990.24691043781888</v>
      </c>
      <c r="AC17" s="36">
        <v>1699.250974583884</v>
      </c>
      <c r="AD17" s="35">
        <v>989.56094122391721</v>
      </c>
      <c r="AE17" s="36">
        <v>1866.9092124609342</v>
      </c>
      <c r="AF17" s="35">
        <v>989.02763892287794</v>
      </c>
      <c r="AG17" s="36">
        <v>2099.3722275134323</v>
      </c>
      <c r="AH17" s="35">
        <v>988.84153854320527</v>
      </c>
      <c r="AI17" s="36">
        <v>2447.4678791198048</v>
      </c>
      <c r="AJ17" s="35">
        <v>989.42930177322762</v>
      </c>
      <c r="AK17" s="36">
        <v>3035.7734212380424</v>
      </c>
      <c r="AL17" s="35">
        <v>991.63995733839556</v>
      </c>
      <c r="AM17" s="36">
        <v>4262.3714936980168</v>
      </c>
      <c r="AN17" s="35">
        <v>996.3036419754053</v>
      </c>
      <c r="AO17" s="36">
        <v>8266.3972078984516</v>
      </c>
      <c r="AP17" s="35">
        <v>997.38892188327327</v>
      </c>
      <c r="AQ17" s="36">
        <v>10393.335035245918</v>
      </c>
      <c r="AR17" s="35">
        <v>998.35213569837674</v>
      </c>
      <c r="AS17" s="36">
        <v>14074.225443114574</v>
      </c>
      <c r="AT17" s="35">
        <v>998.94742236730303</v>
      </c>
      <c r="AU17" s="36">
        <v>21839.412903310669</v>
      </c>
      <c r="AV17" s="35">
        <v>998.39883806139585</v>
      </c>
      <c r="AW17" s="36">
        <v>47320.104131491469</v>
      </c>
    </row>
    <row r="18" spans="1:49" x14ac:dyDescent="0.2">
      <c r="A18" t="s">
        <v>19</v>
      </c>
      <c r="B18" s="33">
        <v>27857.010133999996</v>
      </c>
      <c r="C18" s="34">
        <v>1236.7674480000003</v>
      </c>
      <c r="D18" s="33">
        <v>27844.806966399701</v>
      </c>
      <c r="E18" s="34">
        <v>1158.7504224795232</v>
      </c>
      <c r="F18" s="33">
        <v>27829.527684926674</v>
      </c>
      <c r="G18" s="34">
        <v>1081.0129617848654</v>
      </c>
      <c r="H18" s="33">
        <v>27810.819888455815</v>
      </c>
      <c r="I18" s="34">
        <v>1003.5865158931211</v>
      </c>
      <c r="J18" s="33">
        <v>27788.266764473407</v>
      </c>
      <c r="K18" s="34">
        <v>926.50815088251159</v>
      </c>
      <c r="L18" s="33">
        <v>27761.369746710108</v>
      </c>
      <c r="M18" s="34">
        <v>849.82255353559276</v>
      </c>
      <c r="N18" s="33">
        <v>27729.523854465438</v>
      </c>
      <c r="O18" s="34">
        <v>773.58612353537058</v>
      </c>
      <c r="P18" s="33">
        <v>27691.985184184905</v>
      </c>
      <c r="Q18" s="34">
        <v>697.87022799147428</v>
      </c>
      <c r="R18" s="33">
        <v>27647.822901284453</v>
      </c>
      <c r="S18" s="34">
        <v>622.76801370162548</v>
      </c>
      <c r="T18" s="33">
        <v>27595.848461333855</v>
      </c>
      <c r="U18" s="34">
        <v>548.40492545532527</v>
      </c>
      <c r="V18" s="33">
        <v>27534.508297866643</v>
      </c>
      <c r="W18" s="34">
        <v>474.95418594453201</v>
      </c>
      <c r="X18" s="33">
        <v>27461.713751384799</v>
      </c>
      <c r="Y18" s="34">
        <v>402.66349842008395</v>
      </c>
      <c r="Z18" s="33">
        <v>27374.557677555553</v>
      </c>
      <c r="AA18" s="34">
        <v>331.8971767238873</v>
      </c>
      <c r="AB18" s="33">
        <v>27268.823291533325</v>
      </c>
      <c r="AC18" s="34">
        <v>263.21141319782333</v>
      </c>
      <c r="AD18" s="33">
        <v>27138.069991752243</v>
      </c>
      <c r="AE18" s="34">
        <v>197.48411036217067</v>
      </c>
      <c r="AF18" s="33">
        <v>26971.806996406103</v>
      </c>
      <c r="AG18" s="34">
        <v>136.14930566343472</v>
      </c>
      <c r="AH18" s="33">
        <v>26751.516713143505</v>
      </c>
      <c r="AI18" s="34">
        <v>81.602232916993984</v>
      </c>
      <c r="AJ18" s="33">
        <v>26441.052892962347</v>
      </c>
      <c r="AK18" s="34">
        <v>37.771907324095437</v>
      </c>
      <c r="AL18" s="33">
        <v>25960.151549412993</v>
      </c>
      <c r="AM18" s="34">
        <v>10.039054190695023</v>
      </c>
      <c r="AN18" s="33">
        <v>25081.023517629194</v>
      </c>
      <c r="AO18" s="34">
        <v>0.58156491614864647</v>
      </c>
      <c r="AP18" s="33">
        <v>24796.694722944234</v>
      </c>
      <c r="AQ18" s="34">
        <v>0.20761677372126291</v>
      </c>
      <c r="AR18" s="33">
        <v>24433.828166184365</v>
      </c>
      <c r="AS18" s="34">
        <v>5.2033497157453673E-2</v>
      </c>
      <c r="AT18" s="33">
        <v>23931.923781906607</v>
      </c>
      <c r="AU18" s="34">
        <v>6.810627347152421E-3</v>
      </c>
      <c r="AV18" s="33">
        <v>23104.650989163409</v>
      </c>
      <c r="AW18" s="34">
        <v>1.8020805924655499E-4</v>
      </c>
    </row>
    <row r="19" spans="1:49" x14ac:dyDescent="0.2">
      <c r="A19" t="s">
        <v>3</v>
      </c>
      <c r="B19" s="41">
        <v>1886.3937399999918</v>
      </c>
      <c r="C19" s="42">
        <v>262.78711299999759</v>
      </c>
      <c r="D19" s="41">
        <v>1881.9434537865993</v>
      </c>
      <c r="E19" s="42">
        <v>262.35976268397502</v>
      </c>
      <c r="F19" s="41">
        <v>1877.2831833464695</v>
      </c>
      <c r="G19" s="42">
        <v>262.12657381299158</v>
      </c>
      <c r="H19" s="41">
        <v>1872.3866143160535</v>
      </c>
      <c r="I19" s="42">
        <v>262.10523972700429</v>
      </c>
      <c r="J19" s="41">
        <v>1867.2226391402244</v>
      </c>
      <c r="K19" s="42">
        <v>262.31485730591692</v>
      </c>
      <c r="L19" s="41">
        <v>1861.7542889010379</v>
      </c>
      <c r="M19" s="42">
        <v>262.77560575102603</v>
      </c>
      <c r="N19" s="41">
        <v>1855.9373365748447</v>
      </c>
      <c r="O19" s="42">
        <v>263.50808846089171</v>
      </c>
      <c r="P19" s="41">
        <v>1849.7185333608913</v>
      </c>
      <c r="Q19" s="42">
        <v>264.53143091568012</v>
      </c>
      <c r="R19" s="41">
        <v>1843.0333396367291</v>
      </c>
      <c r="S19" s="42">
        <v>265.8600445797278</v>
      </c>
      <c r="T19" s="41">
        <v>1835.8030063326351</v>
      </c>
      <c r="U19" s="42">
        <v>267.49743491735143</v>
      </c>
      <c r="V19" s="41">
        <v>1827.9308830864538</v>
      </c>
      <c r="W19" s="42">
        <v>269.42449297128456</v>
      </c>
      <c r="X19" s="41">
        <v>1819.2978205933177</v>
      </c>
      <c r="Y19" s="42">
        <v>271.5767165282287</v>
      </c>
      <c r="Z19" s="41">
        <v>1809.756521585741</v>
      </c>
      <c r="AA19" s="42">
        <v>273.80082467761321</v>
      </c>
      <c r="AB19" s="41">
        <v>1799.1257136069082</v>
      </c>
      <c r="AC19" s="42">
        <v>275.76628811010215</v>
      </c>
      <c r="AD19" s="41">
        <v>1787.1853686385136</v>
      </c>
      <c r="AE19" s="42">
        <v>276.78241602831946</v>
      </c>
      <c r="AF19" s="41">
        <v>1773.6763864830291</v>
      </c>
      <c r="AG19" s="42">
        <v>275.40201375169818</v>
      </c>
      <c r="AH19" s="41">
        <v>1758.3042004820854</v>
      </c>
      <c r="AI19" s="42">
        <v>268.53956831521407</v>
      </c>
      <c r="AJ19" s="41">
        <v>1740.6636810861889</v>
      </c>
      <c r="AK19" s="42">
        <v>249.55995837507118</v>
      </c>
      <c r="AL19" s="41">
        <v>1719.2226281463459</v>
      </c>
      <c r="AM19" s="42">
        <v>205.24942482020293</v>
      </c>
      <c r="AN19" s="41">
        <v>1681.8559085876843</v>
      </c>
      <c r="AO19" s="42">
        <v>119.07693085545</v>
      </c>
      <c r="AP19" s="41">
        <v>1667.5931095240592</v>
      </c>
      <c r="AQ19" s="42">
        <v>96.774317830713755</v>
      </c>
      <c r="AR19" s="41">
        <v>1647.3926122383837</v>
      </c>
      <c r="AS19" s="42">
        <v>73.348131939952907</v>
      </c>
      <c r="AT19" s="41">
        <v>1616.0975949940232</v>
      </c>
      <c r="AU19" s="42">
        <v>49.182208782836803</v>
      </c>
      <c r="AV19" s="41">
        <v>1557.9687273818959</v>
      </c>
      <c r="AW19" s="42">
        <v>24.643907445051852</v>
      </c>
    </row>
    <row r="20" spans="1:49" x14ac:dyDescent="0.2">
      <c r="A20" t="s">
        <v>127</v>
      </c>
      <c r="B20" s="82">
        <v>26548.356269999993</v>
      </c>
      <c r="C20" s="83">
        <v>1408.5418709999938</v>
      </c>
      <c r="D20" s="82">
        <v>26528.217074414362</v>
      </c>
      <c r="E20" s="83">
        <v>1338.1147774499941</v>
      </c>
      <c r="F20" s="82">
        <v>26505.121171403411</v>
      </c>
      <c r="G20" s="83">
        <v>1267.6876838999945</v>
      </c>
      <c r="H20" s="82">
        <v>26478.726745034637</v>
      </c>
      <c r="I20" s="83">
        <v>1197.2605903499946</v>
      </c>
      <c r="J20" s="82">
        <v>26448.629494686724</v>
      </c>
      <c r="K20" s="83">
        <v>1126.8334967999949</v>
      </c>
      <c r="L20" s="82">
        <v>26414.346341300603</v>
      </c>
      <c r="M20" s="83">
        <v>1056.4064032499953</v>
      </c>
      <c r="N20" s="82">
        <v>26375.292553291023</v>
      </c>
      <c r="O20" s="83">
        <v>985.97930969999561</v>
      </c>
      <c r="P20" s="82">
        <v>26330.751802464492</v>
      </c>
      <c r="Q20" s="83">
        <v>915.55221614999596</v>
      </c>
      <c r="R20" s="82">
        <v>26279.832756203399</v>
      </c>
      <c r="S20" s="83">
        <v>845.12512259999642</v>
      </c>
      <c r="T20" s="82">
        <v>26221.406144354161</v>
      </c>
      <c r="U20" s="83">
        <v>774.69802904999653</v>
      </c>
      <c r="V20" s="82">
        <v>26154.011167596123</v>
      </c>
      <c r="W20" s="83">
        <v>704.27086507290335</v>
      </c>
      <c r="X20" s="82">
        <v>26075.710289406532</v>
      </c>
      <c r="Y20" s="83">
        <v>633.84384194999734</v>
      </c>
      <c r="Z20" s="82">
        <v>25983.852311518076</v>
      </c>
      <c r="AA20" s="83">
        <v>563.41674839999757</v>
      </c>
      <c r="AB20" s="82">
        <v>25874.67161305698</v>
      </c>
      <c r="AC20" s="83">
        <v>492.98965484999775</v>
      </c>
      <c r="AD20" s="82">
        <v>25742.557282868318</v>
      </c>
      <c r="AE20" s="83">
        <v>422.56256129999798</v>
      </c>
      <c r="AF20" s="82">
        <v>25578.615365135825</v>
      </c>
      <c r="AG20" s="83">
        <v>352.13546774999827</v>
      </c>
      <c r="AH20" s="82">
        <v>25367.545665638092</v>
      </c>
      <c r="AI20" s="83">
        <v>281.70837419999856</v>
      </c>
      <c r="AJ20" s="82">
        <v>25079.876457063478</v>
      </c>
      <c r="AK20" s="83">
        <v>211.28128064999879</v>
      </c>
      <c r="AL20" s="82">
        <v>24648.487328743329</v>
      </c>
      <c r="AM20" s="83">
        <v>140.85418709999902</v>
      </c>
      <c r="AN20" s="82">
        <v>23863.705574208921</v>
      </c>
      <c r="AO20" s="83">
        <v>70.427093549999285</v>
      </c>
      <c r="AP20" s="82">
        <v>23604.563545023706</v>
      </c>
      <c r="AQ20" s="83">
        <v>56.341674839999335</v>
      </c>
      <c r="AR20" s="82">
        <v>23269.06965182181</v>
      </c>
      <c r="AS20" s="83">
        <v>42.256256129999379</v>
      </c>
      <c r="AT20" s="82">
        <v>22797.086260640859</v>
      </c>
      <c r="AU20" s="83">
        <v>28.170837419999433</v>
      </c>
      <c r="AV20" s="82">
        <v>22003.708702545555</v>
      </c>
      <c r="AW20" s="83">
        <v>14.08541870999948</v>
      </c>
    </row>
    <row r="21" spans="1:49" x14ac:dyDescent="0.2">
      <c r="A21" t="s">
        <v>76</v>
      </c>
      <c r="B21" s="82">
        <v>24661.962529999968</v>
      </c>
      <c r="C21" s="83">
        <v>1145.7547579999991</v>
      </c>
      <c r="D21" s="82">
        <v>24646.274923214027</v>
      </c>
      <c r="E21" s="83">
        <v>1075.852619822675</v>
      </c>
      <c r="F21" s="82">
        <v>24627.843206954207</v>
      </c>
      <c r="G21" s="83">
        <v>1005.9710368238862</v>
      </c>
      <c r="H21" s="82">
        <v>24606.351899287805</v>
      </c>
      <c r="I21" s="83">
        <v>936.1257793167506</v>
      </c>
      <c r="J21" s="82">
        <v>24581.427837512932</v>
      </c>
      <c r="K21" s="83">
        <v>866.33787694721605</v>
      </c>
      <c r="L21" s="82">
        <v>24552.624954414245</v>
      </c>
      <c r="M21" s="83">
        <v>796.63556349708313</v>
      </c>
      <c r="N21" s="82">
        <v>24519.402801798406</v>
      </c>
      <c r="O21" s="83">
        <v>727.05701582031406</v>
      </c>
      <c r="P21" s="82">
        <v>24481.09836924234</v>
      </c>
      <c r="Q21" s="83">
        <v>657.65484905276685</v>
      </c>
      <c r="R21" s="82">
        <v>24436.884939759428</v>
      </c>
      <c r="S21" s="83">
        <v>588.50257853920073</v>
      </c>
      <c r="T21" s="82">
        <v>24385.712059945363</v>
      </c>
      <c r="U21" s="83">
        <v>519.70464733877009</v>
      </c>
      <c r="V21" s="82">
        <v>24326.215604341687</v>
      </c>
      <c r="W21" s="83">
        <v>451.41221098319608</v>
      </c>
      <c r="X21" s="82">
        <v>24256.577086213936</v>
      </c>
      <c r="Y21" s="83">
        <v>383.84947860504764</v>
      </c>
      <c r="Z21" s="82">
        <v>24174.29221337834</v>
      </c>
      <c r="AA21" s="83">
        <v>317.35564141298596</v>
      </c>
      <c r="AB21" s="82">
        <v>24075.775593626353</v>
      </c>
      <c r="AC21" s="83">
        <v>252.45957574465587</v>
      </c>
      <c r="AD21" s="82">
        <v>23955.633876820186</v>
      </c>
      <c r="AE21" s="83">
        <v>190.00913696503329</v>
      </c>
      <c r="AF21" s="82">
        <v>23805.226688639923</v>
      </c>
      <c r="AG21" s="83">
        <v>131.40346814983326</v>
      </c>
      <c r="AH21" s="82">
        <v>23609.536612795848</v>
      </c>
      <c r="AI21" s="83">
        <v>78.996497924851695</v>
      </c>
      <c r="AJ21" s="82">
        <v>23339.474503769172</v>
      </c>
      <c r="AK21" s="83">
        <v>36.669087629774388</v>
      </c>
      <c r="AL21" s="82">
        <v>22929.425262918874</v>
      </c>
      <c r="AM21" s="83">
        <v>9.7690355798739201</v>
      </c>
      <c r="AN21" s="82">
        <v>22181.879926576567</v>
      </c>
      <c r="AO21" s="83">
        <v>0.56675410955563343</v>
      </c>
      <c r="AP21" s="82">
        <v>21936.985356838395</v>
      </c>
      <c r="AQ21" s="83">
        <v>0.20235893002553834</v>
      </c>
      <c r="AR21" s="82">
        <v>21621.682893118625</v>
      </c>
      <c r="AS21" s="83">
        <v>5.0720664648035332E-2</v>
      </c>
      <c r="AT21" s="82">
        <v>21180.99100422674</v>
      </c>
      <c r="AU21" s="83">
        <v>6.6391454748889276E-3</v>
      </c>
      <c r="AV21" s="82">
        <v>20445.745200864294</v>
      </c>
      <c r="AW21" s="83">
        <v>1.7567412783355715E-4</v>
      </c>
    </row>
    <row r="22" spans="1:49" x14ac:dyDescent="0.2">
      <c r="A22" t="s">
        <v>28</v>
      </c>
      <c r="B22" s="41">
        <v>6533.6044688320644</v>
      </c>
      <c r="C22" s="42">
        <v>379.90788307663382</v>
      </c>
      <c r="D22" s="41">
        <v>6512.2297713203179</v>
      </c>
      <c r="E22" s="42">
        <v>368.55792660250466</v>
      </c>
      <c r="F22" s="41">
        <v>6489.7067142153956</v>
      </c>
      <c r="G22" s="42">
        <v>356.90233954866005</v>
      </c>
      <c r="H22" s="41">
        <v>6465.8946256489635</v>
      </c>
      <c r="I22" s="42">
        <v>344.91842080906088</v>
      </c>
      <c r="J22" s="41">
        <v>6440.6257701966915</v>
      </c>
      <c r="K22" s="42">
        <v>332.58042936740986</v>
      </c>
      <c r="L22" s="41">
        <v>6413.6984858886753</v>
      </c>
      <c r="M22" s="42">
        <v>319.8588939687362</v>
      </c>
      <c r="N22" s="41">
        <v>6384.8674181419246</v>
      </c>
      <c r="O22" s="42">
        <v>306.71962133706393</v>
      </c>
      <c r="P22" s="41">
        <v>6353.829485170766</v>
      </c>
      <c r="Q22" s="42">
        <v>293.12258148484557</v>
      </c>
      <c r="R22" s="41">
        <v>6320.2044435278203</v>
      </c>
      <c r="S22" s="42">
        <v>279.02020939330379</v>
      </c>
      <c r="T22" s="41">
        <v>6283.5057179745836</v>
      </c>
      <c r="U22" s="42">
        <v>264.35500993808131</v>
      </c>
      <c r="V22" s="41">
        <v>6243.0967474013532</v>
      </c>
      <c r="W22" s="42">
        <v>249.0560799882077</v>
      </c>
      <c r="X22" s="41">
        <v>6198.1211863793696</v>
      </c>
      <c r="Y22" s="42">
        <v>233.03406670916124</v>
      </c>
      <c r="Z22" s="41">
        <v>6147.3877160196816</v>
      </c>
      <c r="AA22" s="42">
        <v>216.17269234105166</v>
      </c>
      <c r="AB22" s="41">
        <v>6089.1688471488642</v>
      </c>
      <c r="AC22" s="42">
        <v>198.31582861316389</v>
      </c>
      <c r="AD22" s="41">
        <v>6020.8240019393816</v>
      </c>
      <c r="AE22" s="42">
        <v>179.2448664191877</v>
      </c>
      <c r="AF22" s="41">
        <v>5938.0309618995616</v>
      </c>
      <c r="AG22" s="42">
        <v>158.63908252995469</v>
      </c>
      <c r="AH22" s="41">
        <v>5833.05350285235</v>
      </c>
      <c r="AI22" s="42">
        <v>136.00396457831386</v>
      </c>
      <c r="AJ22" s="41">
        <v>5690.2672229303535</v>
      </c>
      <c r="AK22" s="42">
        <v>110.54746051615699</v>
      </c>
      <c r="AL22" s="41">
        <v>5472.2727988052457</v>
      </c>
      <c r="AM22" s="42">
        <v>81.022900997881933</v>
      </c>
      <c r="AN22" s="41">
        <v>5056.7323349945564</v>
      </c>
      <c r="AO22" s="42">
        <v>45.698239898239756</v>
      </c>
      <c r="AP22" s="41">
        <v>4913.5511022426608</v>
      </c>
      <c r="AQ22" s="42">
        <v>37.723608594671205</v>
      </c>
      <c r="AR22" s="41">
        <v>4723.2467216550876</v>
      </c>
      <c r="AS22" s="42">
        <v>29.349200593066204</v>
      </c>
      <c r="AT22" s="41">
        <v>4445.1754707966411</v>
      </c>
      <c r="AU22" s="42">
        <v>20.474838669985459</v>
      </c>
      <c r="AV22" s="41">
        <v>3948.4612488840071</v>
      </c>
      <c r="AW22" s="42">
        <v>10.901731006973415</v>
      </c>
    </row>
    <row r="23" spans="1:49" x14ac:dyDescent="0.2">
      <c r="A23" t="s">
        <v>7</v>
      </c>
      <c r="B23" s="116">
        <v>3278.5018080150408</v>
      </c>
      <c r="C23" s="8">
        <v>0</v>
      </c>
      <c r="D23" s="116">
        <v>3281.7853137366883</v>
      </c>
      <c r="E23" s="8">
        <v>0</v>
      </c>
      <c r="F23" s="116">
        <v>3284.8018721933672</v>
      </c>
      <c r="G23" s="8">
        <v>0</v>
      </c>
      <c r="H23" s="116">
        <v>3287.5219348965579</v>
      </c>
      <c r="I23" s="8">
        <v>0</v>
      </c>
      <c r="J23" s="116">
        <v>3289.910758336765</v>
      </c>
      <c r="K23" s="8">
        <v>0</v>
      </c>
      <c r="L23" s="116">
        <v>3291.9271339540446</v>
      </c>
      <c r="M23" s="8">
        <v>0</v>
      </c>
      <c r="N23" s="116">
        <v>3293.5215198318178</v>
      </c>
      <c r="O23" s="8">
        <v>0</v>
      </c>
      <c r="P23" s="116">
        <v>3294.6338375939672</v>
      </c>
      <c r="Q23" s="8">
        <v>0</v>
      </c>
      <c r="R23" s="116">
        <v>3295.1902349497695</v>
      </c>
      <c r="S23" s="8">
        <v>0</v>
      </c>
      <c r="T23" s="116">
        <v>3295.0985140935995</v>
      </c>
      <c r="U23" s="8">
        <v>0</v>
      </c>
      <c r="V23" s="116">
        <v>3294.2417122060306</v>
      </c>
      <c r="W23" s="8">
        <v>0</v>
      </c>
      <c r="X23" s="116">
        <v>3292.4684249406278</v>
      </c>
      <c r="Y23" s="8">
        <v>0</v>
      </c>
      <c r="Z23" s="116">
        <v>3289.5781507926081</v>
      </c>
      <c r="AA23" s="8">
        <v>0</v>
      </c>
      <c r="AB23" s="116">
        <v>3285.2981293734033</v>
      </c>
      <c r="AC23" s="8">
        <v>0</v>
      </c>
      <c r="AD23" s="116">
        <v>3279.2451977180904</v>
      </c>
      <c r="AE23" s="8">
        <v>0</v>
      </c>
      <c r="AF23" s="116">
        <v>3270.8589898754426</v>
      </c>
      <c r="AG23" s="8">
        <v>0</v>
      </c>
      <c r="AH23" s="116">
        <v>3259.2767936688711</v>
      </c>
      <c r="AI23" s="8">
        <v>0</v>
      </c>
      <c r="AJ23" s="116">
        <v>3243.0591942546407</v>
      </c>
      <c r="AK23" s="8">
        <v>0</v>
      </c>
      <c r="AL23" s="116">
        <v>3219.3625286207675</v>
      </c>
      <c r="AM23" s="8">
        <v>0</v>
      </c>
      <c r="AN23" s="116">
        <v>3179.7989809388832</v>
      </c>
      <c r="AO23" s="8">
        <v>0</v>
      </c>
      <c r="AP23" s="116">
        <v>3167.7546865880249</v>
      </c>
      <c r="AQ23" s="8">
        <v>0</v>
      </c>
      <c r="AR23" s="116">
        <v>3153.0533241841194</v>
      </c>
      <c r="AS23" s="8">
        <v>0</v>
      </c>
      <c r="AT23" s="116">
        <v>3134.3952560657558</v>
      </c>
      <c r="AU23" s="8">
        <v>0</v>
      </c>
      <c r="AV23" s="116">
        <v>3109.2389710046036</v>
      </c>
      <c r="AW23" s="8">
        <v>0</v>
      </c>
    </row>
    <row r="24" spans="1:49" x14ac:dyDescent="0.2">
      <c r="A24" t="s">
        <v>8</v>
      </c>
      <c r="B24" s="97">
        <v>3196.3846373657216</v>
      </c>
      <c r="C24" s="8">
        <v>0</v>
      </c>
      <c r="D24" s="97">
        <v>3222.5706345456838</v>
      </c>
      <c r="E24" s="8">
        <v>0</v>
      </c>
      <c r="F24" s="97">
        <v>3248.6796014784654</v>
      </c>
      <c r="G24" s="8">
        <v>0</v>
      </c>
      <c r="H24" s="97">
        <v>3274.7070138513882</v>
      </c>
      <c r="I24" s="8">
        <v>0</v>
      </c>
      <c r="J24" s="97">
        <v>3300.648246140539</v>
      </c>
      <c r="K24" s="8">
        <v>0</v>
      </c>
      <c r="L24" s="97">
        <v>3326.4984450525913</v>
      </c>
      <c r="M24" s="8">
        <v>0</v>
      </c>
      <c r="N24" s="97">
        <v>3352.2523621426121</v>
      </c>
      <c r="O24" s="8">
        <v>0</v>
      </c>
      <c r="P24" s="97">
        <v>3377.9053357242451</v>
      </c>
      <c r="Q24" s="8">
        <v>0</v>
      </c>
      <c r="R24" s="97">
        <v>3403.4539977864115</v>
      </c>
      <c r="S24" s="8">
        <v>0</v>
      </c>
      <c r="T24" s="97">
        <v>3428.8983254094837</v>
      </c>
      <c r="U24" s="8">
        <v>0</v>
      </c>
      <c r="V24" s="97">
        <v>3454.2454799603288</v>
      </c>
      <c r="W24" s="8">
        <v>0</v>
      </c>
      <c r="X24" s="97">
        <v>3479.5175857479594</v>
      </c>
      <c r="Y24" s="8">
        <v>0</v>
      </c>
      <c r="Z24" s="97">
        <v>3504.7681894988505</v>
      </c>
      <c r="AA24" s="8">
        <v>0</v>
      </c>
      <c r="AB24" s="97">
        <v>3530.1166773592176</v>
      </c>
      <c r="AC24" s="8">
        <v>0</v>
      </c>
      <c r="AD24" s="97">
        <v>3555.82646338118</v>
      </c>
      <c r="AE24" s="8">
        <v>0</v>
      </c>
      <c r="AF24" s="97">
        <v>3582.4908533015282</v>
      </c>
      <c r="AG24" s="8">
        <v>0</v>
      </c>
      <c r="AH24" s="97">
        <v>3611.505714514798</v>
      </c>
      <c r="AI24" s="8">
        <v>0</v>
      </c>
      <c r="AJ24" s="97">
        <v>3646.3484080531089</v>
      </c>
      <c r="AK24" s="8">
        <v>0</v>
      </c>
      <c r="AL24" s="97">
        <v>3696.1596977182694</v>
      </c>
      <c r="AM24" s="8">
        <v>0</v>
      </c>
      <c r="AN24" s="97">
        <v>3788.0422085251266</v>
      </c>
      <c r="AO24" s="8">
        <v>0</v>
      </c>
      <c r="AP24" s="97">
        <v>3819.0172537728813</v>
      </c>
      <c r="AQ24" s="8">
        <v>0</v>
      </c>
      <c r="AR24" s="97">
        <v>3860.3075975966685</v>
      </c>
      <c r="AS24" s="8">
        <v>0</v>
      </c>
      <c r="AT24" s="97">
        <v>3922.2224166849123</v>
      </c>
      <c r="AU24" s="8">
        <v>0</v>
      </c>
      <c r="AV24" s="97">
        <v>4040.9534134599435</v>
      </c>
      <c r="AW24" s="8">
        <v>0</v>
      </c>
    </row>
    <row r="25" spans="1:49" x14ac:dyDescent="0.2">
      <c r="A25" t="s">
        <v>0</v>
      </c>
      <c r="B25" s="41">
        <v>3195.0476040000012</v>
      </c>
      <c r="C25" s="42">
        <v>91.012690000004397</v>
      </c>
      <c r="D25" s="41">
        <v>3198.529935606698</v>
      </c>
      <c r="E25" s="42">
        <v>82.879494552791456</v>
      </c>
      <c r="F25" s="41">
        <v>3201.6760172133127</v>
      </c>
      <c r="G25" s="42">
        <v>74.970284973403494</v>
      </c>
      <c r="H25" s="41">
        <v>3204.4488684287739</v>
      </c>
      <c r="I25" s="42">
        <v>67.302302435608709</v>
      </c>
      <c r="J25" s="41">
        <v>3206.8047613181993</v>
      </c>
      <c r="K25" s="42">
        <v>59.894375318237344</v>
      </c>
      <c r="L25" s="41">
        <v>3208.6910989803155</v>
      </c>
      <c r="M25" s="42">
        <v>52.767128974995757</v>
      </c>
      <c r="N25" s="41">
        <v>3210.0432243881714</v>
      </c>
      <c r="O25" s="42">
        <v>45.943297063364035</v>
      </c>
      <c r="P25" s="41">
        <v>3210.7800995022362</v>
      </c>
      <c r="Q25" s="42">
        <v>39.44798863795328</v>
      </c>
      <c r="R25" s="41">
        <v>3210.7974477447792</v>
      </c>
      <c r="S25" s="42">
        <v>33.309067791410001</v>
      </c>
      <c r="T25" s="41">
        <v>3209.9570303447676</v>
      </c>
      <c r="U25" s="42">
        <v>27.557610851538925</v>
      </c>
      <c r="V25" s="41">
        <v>3208.0693310769852</v>
      </c>
      <c r="W25" s="42">
        <v>22.228384349973904</v>
      </c>
      <c r="X25" s="41">
        <v>3204.8643047946457</v>
      </c>
      <c r="Y25" s="42">
        <v>17.360475793384122</v>
      </c>
      <c r="Z25" s="41">
        <v>3199.939720039964</v>
      </c>
      <c r="AA25" s="42">
        <v>12.99775596630405</v>
      </c>
      <c r="AB25" s="41">
        <v>3192.6659120278728</v>
      </c>
      <c r="AC25" s="42">
        <v>9.1893261679445768</v>
      </c>
      <c r="AD25" s="41">
        <v>3181.9997872575605</v>
      </c>
      <c r="AE25" s="42">
        <v>5.9890627597898414</v>
      </c>
      <c r="AF25" s="41">
        <v>3166.1003180400958</v>
      </c>
      <c r="AG25" s="42">
        <v>3.4529727190054005</v>
      </c>
      <c r="AH25" s="41">
        <v>3141.4874236978299</v>
      </c>
      <c r="AI25" s="42">
        <v>1.6299492637006283</v>
      </c>
      <c r="AJ25" s="41">
        <v>3101.1422782366544</v>
      </c>
      <c r="AK25" s="42">
        <v>0.53472340290113196</v>
      </c>
      <c r="AL25" s="41">
        <v>3030.4605312020672</v>
      </c>
      <c r="AM25" s="42">
        <v>8.1077996542555583E-2</v>
      </c>
      <c r="AN25" s="41">
        <v>2899.0942027035808</v>
      </c>
      <c r="AO25" s="42">
        <v>1.4874577964335289E-3</v>
      </c>
      <c r="AP25" s="41">
        <v>2859.6850922531612</v>
      </c>
      <c r="AQ25" s="42">
        <v>3.520222060359335E-4</v>
      </c>
      <c r="AR25" s="41">
        <v>2812.1357779705572</v>
      </c>
      <c r="AS25" s="42">
        <v>5.073988428711155E-5</v>
      </c>
      <c r="AT25" s="41">
        <v>2750.9289909701351</v>
      </c>
      <c r="AU25" s="42">
        <v>2.9344767279669821E-6</v>
      </c>
      <c r="AV25" s="41">
        <v>2658.8973128040848</v>
      </c>
      <c r="AW25" s="42">
        <v>1.7843222706875194E-8</v>
      </c>
    </row>
    <row r="26" spans="1:49" x14ac:dyDescent="0.2">
      <c r="A26" t="s">
        <v>27</v>
      </c>
      <c r="B26" s="33">
        <v>5036.2953101960647</v>
      </c>
      <c r="C26" s="34">
        <v>74.905331803938267</v>
      </c>
      <c r="D26" s="33">
        <v>5040.3423870353417</v>
      </c>
      <c r="E26" s="34">
        <v>70.858254964660091</v>
      </c>
      <c r="F26" s="33">
        <v>5044.4087209297459</v>
      </c>
      <c r="G26" s="34">
        <v>66.791921070262077</v>
      </c>
      <c r="H26" s="33">
        <v>5048.4961247835481</v>
      </c>
      <c r="I26" s="34">
        <v>62.704517216455102</v>
      </c>
      <c r="J26" s="33">
        <v>5052.606649595773</v>
      </c>
      <c r="K26" s="34">
        <v>58.593992404234605</v>
      </c>
      <c r="L26" s="33">
        <v>5056.7425967284325</v>
      </c>
      <c r="M26" s="34">
        <v>54.458045271570029</v>
      </c>
      <c r="N26" s="33">
        <v>5060.9064871806549</v>
      </c>
      <c r="O26" s="34">
        <v>50.294154819347135</v>
      </c>
      <c r="P26" s="33">
        <v>5065.1010326090327</v>
      </c>
      <c r="Q26" s="34">
        <v>46.09960939097121</v>
      </c>
      <c r="R26" s="33">
        <v>5069.3290076588291</v>
      </c>
      <c r="S26" s="34">
        <v>41.871634341175167</v>
      </c>
      <c r="T26" s="33">
        <v>5073.59297535728</v>
      </c>
      <c r="U26" s="34">
        <v>37.607666642721348</v>
      </c>
      <c r="V26" s="33">
        <v>5077.8947607421687</v>
      </c>
      <c r="W26" s="34">
        <v>33.305881257834045</v>
      </c>
      <c r="X26" s="33">
        <v>5082.2343423631382</v>
      </c>
      <c r="Y26" s="34">
        <v>28.96629963686269</v>
      </c>
      <c r="Z26" s="33">
        <v>5086.607782331931</v>
      </c>
      <c r="AA26" s="34">
        <v>24.592859668069252</v>
      </c>
      <c r="AB26" s="33">
        <v>5091.0029110688047</v>
      </c>
      <c r="AC26" s="34">
        <v>20.197730931198368</v>
      </c>
      <c r="AD26" s="33">
        <v>5095.3906547797142</v>
      </c>
      <c r="AE26" s="34">
        <v>15.809987220290038</v>
      </c>
      <c r="AF26" s="33">
        <v>5099.7068085563806</v>
      </c>
      <c r="AG26" s="34">
        <v>11.493833443626539</v>
      </c>
      <c r="AH26" s="33">
        <v>5103.8138605743898</v>
      </c>
      <c r="AI26" s="34">
        <v>7.3867814256128908</v>
      </c>
      <c r="AJ26" s="33">
        <v>5107.4265897979931</v>
      </c>
      <c r="AK26" s="34">
        <v>3.7740522020108003</v>
      </c>
      <c r="AL26" s="33">
        <v>5110.0263829308042</v>
      </c>
      <c r="AM26" s="34">
        <v>1.1742590692063759</v>
      </c>
      <c r="AN26" s="33">
        <v>5111.1073911083731</v>
      </c>
      <c r="AO26" s="34">
        <v>9.3250891631313143E-2</v>
      </c>
      <c r="AP26" s="33">
        <v>5111.1634295063604</v>
      </c>
      <c r="AQ26" s="34">
        <v>3.721249364036687E-2</v>
      </c>
      <c r="AR26" s="33">
        <v>5111.1898162760845</v>
      </c>
      <c r="AS26" s="34">
        <v>1.0825723917922702E-2</v>
      </c>
      <c r="AT26" s="33">
        <v>5111.1988784432979</v>
      </c>
      <c r="AU26" s="34">
        <v>1.7635567125481152E-3</v>
      </c>
      <c r="AV26" s="33">
        <v>5111.200573008291</v>
      </c>
      <c r="AW26" s="34">
        <v>6.899171748714594E-5</v>
      </c>
    </row>
    <row r="27" spans="1:49" x14ac:dyDescent="0.2">
      <c r="A27" t="s">
        <v>2</v>
      </c>
      <c r="B27" s="35">
        <v>6425.1981589998923</v>
      </c>
      <c r="C27" s="36">
        <v>273.22915400000028</v>
      </c>
      <c r="D27" s="35">
        <v>6439.7714735387826</v>
      </c>
      <c r="E27" s="36">
        <v>258.65587875058367</v>
      </c>
      <c r="F27" s="35">
        <v>6454.4358827720134</v>
      </c>
      <c r="G27" s="36">
        <v>243.99143192321515</v>
      </c>
      <c r="H27" s="35">
        <v>6469.1982583089521</v>
      </c>
      <c r="I27" s="36">
        <v>229.22905756304044</v>
      </c>
      <c r="J27" s="35">
        <v>6484.0663507515383</v>
      </c>
      <c r="K27" s="36">
        <v>214.36099114012956</v>
      </c>
      <c r="L27" s="35">
        <v>6499.0489028290322</v>
      </c>
      <c r="M27" s="36">
        <v>199.37841477495732</v>
      </c>
      <c r="N27" s="35">
        <v>6514.1554660104493</v>
      </c>
      <c r="O27" s="36">
        <v>184.27185471339931</v>
      </c>
      <c r="P27" s="35">
        <v>6529.3963546776149</v>
      </c>
      <c r="Q27" s="36">
        <v>169.03098765388248</v>
      </c>
      <c r="R27" s="35">
        <v>6544.7821853708392</v>
      </c>
      <c r="S27" s="36">
        <v>153.64516251984969</v>
      </c>
      <c r="T27" s="35">
        <v>6560.3228267174782</v>
      </c>
      <c r="U27" s="36">
        <v>138.10449488722426</v>
      </c>
      <c r="V27" s="35">
        <v>6576.0256334930264</v>
      </c>
      <c r="W27" s="36">
        <v>122.40170304214962</v>
      </c>
      <c r="X27" s="35">
        <v>6591.8910894069813</v>
      </c>
      <c r="Y27" s="36">
        <v>106.53622499190148</v>
      </c>
      <c r="Z27" s="35">
        <v>6607.9054719179576</v>
      </c>
      <c r="AA27" s="36">
        <v>90.521845437170626</v>
      </c>
      <c r="AB27" s="35">
        <v>6624.0246442271646</v>
      </c>
      <c r="AC27" s="36">
        <v>74.402669504784299</v>
      </c>
      <c r="AD27" s="35">
        <v>6640.1422029218693</v>
      </c>
      <c r="AE27" s="36">
        <v>58.285164165704273</v>
      </c>
      <c r="AF27" s="35">
        <v>6656.0214142529894</v>
      </c>
      <c r="AG27" s="36">
        <v>42.405898406949568</v>
      </c>
      <c r="AH27" s="35">
        <v>6671.1541870181236</v>
      </c>
      <c r="AI27" s="36">
        <v>27.273128251433842</v>
      </c>
      <c r="AJ27" s="35">
        <v>6684.4839538604447</v>
      </c>
      <c r="AK27" s="36">
        <v>13.943359454336317</v>
      </c>
      <c r="AL27" s="35">
        <v>6694.0869638337945</v>
      </c>
      <c r="AM27" s="36">
        <v>4.3403488065820239</v>
      </c>
      <c r="AN27" s="35">
        <v>6698.0825685468635</v>
      </c>
      <c r="AO27" s="36">
        <v>0.34474450730513456</v>
      </c>
      <c r="AP27" s="35">
        <v>6698.2897387904222</v>
      </c>
      <c r="AQ27" s="36">
        <v>0.13757437570176784</v>
      </c>
      <c r="AR27" s="35">
        <v>6698.3872902891608</v>
      </c>
      <c r="AS27" s="36">
        <v>4.002283021429319E-2</v>
      </c>
      <c r="AT27" s="35">
        <v>6698.4207930916746</v>
      </c>
      <c r="AU27" s="36">
        <v>6.5198984203272553E-3</v>
      </c>
      <c r="AV27" s="35">
        <v>6698.4270579378408</v>
      </c>
      <c r="AW27" s="36">
        <v>2.5506358339680188E-4</v>
      </c>
    </row>
    <row r="28" spans="1:49" x14ac:dyDescent="0.2">
      <c r="A28" t="s">
        <v>35</v>
      </c>
      <c r="B28" s="41">
        <v>13763.097675999892</v>
      </c>
      <c r="C28" s="42">
        <v>382.36647900000014</v>
      </c>
      <c r="D28" s="41">
        <v>13783.555368817424</v>
      </c>
      <c r="E28" s="42">
        <v>361.89646729149382</v>
      </c>
      <c r="F28" s="41">
        <v>13804.10749492851</v>
      </c>
      <c r="G28" s="42">
        <v>341.30699104789102</v>
      </c>
      <c r="H28" s="41">
        <v>13824.763133260529</v>
      </c>
      <c r="I28" s="42">
        <v>320.58869505926168</v>
      </c>
      <c r="J28" s="41">
        <v>13845.53253549814</v>
      </c>
      <c r="K28" s="42">
        <v>299.730869712296</v>
      </c>
      <c r="L28" s="41">
        <v>13866.427247987296</v>
      </c>
      <c r="M28" s="42">
        <v>278.72138923926047</v>
      </c>
      <c r="N28" s="41">
        <v>13887.459876598714</v>
      </c>
      <c r="O28" s="42">
        <v>257.54715244142614</v>
      </c>
      <c r="P28" s="41">
        <v>13908.643991336405</v>
      </c>
      <c r="Q28" s="42">
        <v>236.1939330549389</v>
      </c>
      <c r="R28" s="41">
        <v>13929.993478268674</v>
      </c>
      <c r="S28" s="42">
        <v>214.64708789988509</v>
      </c>
      <c r="T28" s="41">
        <v>13951.521102165636</v>
      </c>
      <c r="U28" s="42">
        <v>192.8930508637203</v>
      </c>
      <c r="V28" s="41">
        <v>13973.236008011942</v>
      </c>
      <c r="W28" s="42">
        <v>170.92193716783524</v>
      </c>
      <c r="X28" s="41">
        <v>13995.137854728342</v>
      </c>
      <c r="Y28" s="42">
        <v>148.73327529207688</v>
      </c>
      <c r="Z28" s="41">
        <v>14017.206674238119</v>
      </c>
      <c r="AA28" s="42">
        <v>126.34664963993144</v>
      </c>
      <c r="AB28" s="41">
        <v>14039.380871896918</v>
      </c>
      <c r="AC28" s="42">
        <v>103.8239592715162</v>
      </c>
      <c r="AD28" s="41">
        <v>14061.513785926954</v>
      </c>
      <c r="AE28" s="42">
        <v>81.314090675036979</v>
      </c>
      <c r="AF28" s="41">
        <v>14083.28140570012</v>
      </c>
      <c r="AG28" s="42">
        <v>59.147195839867166</v>
      </c>
      <c r="AH28" s="41">
        <v>14103.990737726877</v>
      </c>
      <c r="AI28" s="42">
        <v>38.031862751763157</v>
      </c>
      <c r="AJ28" s="41">
        <v>14122.204410839508</v>
      </c>
      <c r="AK28" s="42">
        <v>19.439993454129279</v>
      </c>
      <c r="AL28" s="41">
        <v>14135.309531976187</v>
      </c>
      <c r="AM28" s="42">
        <v>6.0505217831807965</v>
      </c>
      <c r="AN28" s="41">
        <v>14140.758264169062</v>
      </c>
      <c r="AO28" s="42">
        <v>0.4805519743805135</v>
      </c>
      <c r="AP28" s="41">
        <v>14141.04071392586</v>
      </c>
      <c r="AQ28" s="42">
        <v>0.19176936554956614</v>
      </c>
      <c r="AR28" s="41">
        <v>14141.17371057225</v>
      </c>
      <c r="AS28" s="42">
        <v>5.5789035491049917E-2</v>
      </c>
      <c r="AT28" s="41">
        <v>14141.21938627234</v>
      </c>
      <c r="AU28" s="42">
        <v>9.0882804555313147E-3</v>
      </c>
      <c r="AV28" s="41">
        <v>14141.227927353784</v>
      </c>
      <c r="AW28" s="42">
        <v>3.5554069524345683E-4</v>
      </c>
    </row>
    <row r="29" spans="1:49" x14ac:dyDescent="0.2">
      <c r="A29" t="s">
        <v>53</v>
      </c>
      <c r="B29" s="35">
        <v>14362.768558000087</v>
      </c>
      <c r="C29" s="36">
        <v>817.26651000000015</v>
      </c>
      <c r="D29" s="35">
        <v>14356.123560250257</v>
      </c>
      <c r="E29" s="36">
        <v>763.76370420092189</v>
      </c>
      <c r="F29" s="35">
        <v>14347.889238666387</v>
      </c>
      <c r="G29" s="36">
        <v>710.59599979431266</v>
      </c>
      <c r="H29" s="35">
        <v>14337.883586398842</v>
      </c>
      <c r="I29" s="36">
        <v>657.79531947608734</v>
      </c>
      <c r="J29" s="35">
        <v>14325.891375206558</v>
      </c>
      <c r="K29" s="36">
        <v>605.39853921068914</v>
      </c>
      <c r="L29" s="35">
        <v>14311.655195575093</v>
      </c>
      <c r="M29" s="36">
        <v>553.44898405819811</v>
      </c>
      <c r="N29" s="35">
        <v>14294.862702818586</v>
      </c>
      <c r="O29" s="36">
        <v>501.99930015412991</v>
      </c>
      <c r="P29" s="35">
        <v>14275.129973844181</v>
      </c>
      <c r="Q29" s="36">
        <v>451.11384042781339</v>
      </c>
      <c r="R29" s="35">
        <v>14251.976836694274</v>
      </c>
      <c r="S29" s="36">
        <v>400.87335656870863</v>
      </c>
      <c r="T29" s="35">
        <v>14224.790567907568</v>
      </c>
      <c r="U29" s="36">
        <v>351.38208351435077</v>
      </c>
      <c r="V29" s="35">
        <v>14192.770920679921</v>
      </c>
      <c r="W29" s="36">
        <v>302.77795848204772</v>
      </c>
      <c r="X29" s="35">
        <v>14154.843301918481</v>
      </c>
      <c r="Y29" s="36">
        <v>255.24988252787929</v>
      </c>
      <c r="Z29" s="35">
        <v>14109.51407481207</v>
      </c>
      <c r="AA29" s="36">
        <v>209.06431742574654</v>
      </c>
      <c r="AB29" s="35">
        <v>14054.620524683991</v>
      </c>
      <c r="AC29" s="36">
        <v>164.61194867806503</v>
      </c>
      <c r="AD29" s="35">
        <v>13986.865951142976</v>
      </c>
      <c r="AE29" s="36">
        <v>122.48628219458794</v>
      </c>
      <c r="AF29" s="35">
        <v>13900.892173509397</v>
      </c>
      <c r="AG29" s="36">
        <v>83.62210847456268</v>
      </c>
      <c r="AH29" s="35">
        <v>13787.259486226978</v>
      </c>
      <c r="AI29" s="36">
        <v>49.526378782940142</v>
      </c>
      <c r="AJ29" s="35">
        <v>13627.55762260855</v>
      </c>
      <c r="AK29" s="36">
        <v>22.58003876439961</v>
      </c>
      <c r="AL29" s="35">
        <v>13380.815077195582</v>
      </c>
      <c r="AM29" s="36">
        <v>5.879239432392005</v>
      </c>
      <c r="AN29" s="35">
        <v>12929.857205312093</v>
      </c>
      <c r="AO29" s="36">
        <v>0.33031817124280544</v>
      </c>
      <c r="AP29" s="35">
        <v>12783.76335495483</v>
      </c>
      <c r="AQ29" s="36">
        <v>0.11696002964328328</v>
      </c>
      <c r="AR29" s="35">
        <v>12597.108520722053</v>
      </c>
      <c r="AS29" s="36">
        <v>2.9041289737532363E-2</v>
      </c>
      <c r="AT29" s="35">
        <v>12338.597617952084</v>
      </c>
      <c r="AU29" s="36">
        <v>3.7601983166684924E-3</v>
      </c>
      <c r="AV29" s="35">
        <v>11911.856787140499</v>
      </c>
      <c r="AW29" s="36">
        <v>9.8181342768043049E-5</v>
      </c>
    </row>
    <row r="30" spans="1:49" x14ac:dyDescent="0.2">
      <c r="A30" t="s">
        <v>48</v>
      </c>
      <c r="B30" s="119">
        <v>2924829.9599999995</v>
      </c>
      <c r="D30" s="119">
        <v>2964861.2058518277</v>
      </c>
      <c r="F30" s="119">
        <v>3004892.836328086</v>
      </c>
      <c r="H30" s="119">
        <v>3044937.598062152</v>
      </c>
      <c r="J30" s="119">
        <v>3085010.6308271913</v>
      </c>
      <c r="L30" s="119">
        <v>3125130.7786323428</v>
      </c>
      <c r="N30" s="119">
        <v>3165322.704162566</v>
      </c>
      <c r="P30" s="119">
        <v>3205619.2508239886</v>
      </c>
      <c r="R30" s="119">
        <v>3246066.3070707559</v>
      </c>
      <c r="T30" s="119">
        <v>3286730.7212896412</v>
      </c>
      <c r="V30" s="119">
        <v>3327714.7606245684</v>
      </c>
      <c r="X30" s="119">
        <v>3369180.5877810093</v>
      </c>
      <c r="Z30" s="119">
        <v>3411401.2357511763</v>
      </c>
      <c r="AB30" s="119">
        <v>3454857.2409064779</v>
      </c>
      <c r="AD30" s="119">
        <v>3500446.5727283908</v>
      </c>
      <c r="AF30" s="119">
        <v>3549955.0471566673</v>
      </c>
      <c r="AH30" s="119">
        <v>3607200.6742064152</v>
      </c>
      <c r="AJ30" s="119">
        <v>3680967.4644303434</v>
      </c>
      <c r="AL30" s="119">
        <v>3792676.571938944</v>
      </c>
      <c r="AN30" s="119">
        <v>3999257.2756817592</v>
      </c>
      <c r="AP30" s="119">
        <v>4066116.4470822504</v>
      </c>
      <c r="AR30" s="119">
        <v>4152203.885771458</v>
      </c>
      <c r="AT30" s="119">
        <v>4274994.7340674242</v>
      </c>
      <c r="AV30" s="119">
        <v>4494318.3854475217</v>
      </c>
    </row>
    <row r="31" spans="1:49" x14ac:dyDescent="0.2">
      <c r="A31" t="s">
        <v>47</v>
      </c>
      <c r="B31" s="80">
        <v>1</v>
      </c>
      <c r="D31" s="80">
        <v>0.99524971926380668</v>
      </c>
      <c r="F31" s="80">
        <v>0.99022176356011471</v>
      </c>
      <c r="H31" s="80">
        <v>0.98488146215198646</v>
      </c>
      <c r="J31" s="80">
        <v>0.97918743201020997</v>
      </c>
      <c r="L31" s="80">
        <v>0.97308981323910526</v>
      </c>
      <c r="N31" s="80">
        <v>0.96652778434678599</v>
      </c>
      <c r="P31" s="80">
        <v>0.95942607436847283</v>
      </c>
      <c r="R31" s="80">
        <v>0.9516900363256775</v>
      </c>
      <c r="T31" s="80">
        <v>0.94319831521355812</v>
      </c>
      <c r="V31" s="80">
        <v>0.93379179789809041</v>
      </c>
      <c r="X31" s="80">
        <v>0.9232560875181447</v>
      </c>
      <c r="Z31" s="80">
        <v>0.91129239280442631</v>
      </c>
      <c r="AB31" s="80">
        <v>0.89746689008893432</v>
      </c>
      <c r="AD31" s="80">
        <v>0.8811157532223346</v>
      </c>
      <c r="AF31" s="80">
        <v>0.86115197006480271</v>
      </c>
      <c r="AH31" s="80">
        <v>0.83563014956050363</v>
      </c>
      <c r="AJ31" s="80">
        <v>0.80062674515837196</v>
      </c>
      <c r="AL31" s="80">
        <v>0.74679341304192881</v>
      </c>
      <c r="AN31" s="80">
        <v>0.64415709552961908</v>
      </c>
      <c r="AP31" s="80">
        <v>0.60917515428444147</v>
      </c>
      <c r="AR31" s="80">
        <v>0.56327812913658903</v>
      </c>
      <c r="AT31" s="80">
        <v>0.49790165615541859</v>
      </c>
      <c r="AV31" s="80">
        <v>0.38799637862421721</v>
      </c>
    </row>
    <row r="32" spans="1:49" x14ac:dyDescent="0.2">
      <c r="A32" t="s">
        <v>64</v>
      </c>
      <c r="B32" s="86">
        <v>14734457.915000005</v>
      </c>
      <c r="D32" s="86">
        <v>14737397.629978787</v>
      </c>
      <c r="F32" s="86">
        <v>14739086.168860942</v>
      </c>
      <c r="H32" s="86">
        <v>14739381.320364296</v>
      </c>
      <c r="J32" s="86">
        <v>14738115.77101836</v>
      </c>
      <c r="L32" s="86">
        <v>14735091.655090231</v>
      </c>
      <c r="N32" s="86">
        <v>14730072.944100559</v>
      </c>
      <c r="P32" s="86">
        <v>14722776.838782117</v>
      </c>
      <c r="R32" s="86">
        <v>14712862.273810837</v>
      </c>
      <c r="T32" s="86">
        <v>14699915.334623048</v>
      </c>
      <c r="V32" s="86">
        <v>14683431.961406687</v>
      </c>
      <c r="X32" s="86">
        <v>14662797.107321011</v>
      </c>
      <c r="Z32" s="86">
        <v>14637263.614290671</v>
      </c>
      <c r="AB32" s="86">
        <v>14605939.547785923</v>
      </c>
      <c r="AD32" s="86">
        <v>14567808.635627868</v>
      </c>
      <c r="AF32" s="86">
        <v>14521847.725787226</v>
      </c>
      <c r="AH32" s="86">
        <v>14467397.237732463</v>
      </c>
      <c r="AJ32" s="86">
        <v>14404924.742770223</v>
      </c>
      <c r="AL32" s="86">
        <v>14335148.249198696</v>
      </c>
      <c r="AN32" s="86">
        <v>14232673.865222577</v>
      </c>
      <c r="AP32" s="86">
        <v>14195803.567063231</v>
      </c>
      <c r="AR32" s="86">
        <v>14144960.636754906</v>
      </c>
      <c r="AT32" s="86">
        <v>14070491.316406343</v>
      </c>
      <c r="AV32" s="86">
        <v>13949123.117687158</v>
      </c>
    </row>
    <row r="33" spans="1:49 16319:16321" x14ac:dyDescent="0.2">
      <c r="A33" t="s">
        <v>54</v>
      </c>
      <c r="B33" s="117">
        <v>7019665.6909999885</v>
      </c>
      <c r="D33" s="117">
        <v>6997734.5034790896</v>
      </c>
      <c r="F33" s="117">
        <v>6975058.8082054174</v>
      </c>
      <c r="H33" s="117">
        <v>6951547.0391924772</v>
      </c>
      <c r="J33" s="117">
        <v>6927090.6565582342</v>
      </c>
      <c r="L33" s="117">
        <v>6901560.5675418256</v>
      </c>
      <c r="N33" s="117">
        <v>6874802.1070325598</v>
      </c>
      <c r="P33" s="117">
        <v>6846627.5374153974</v>
      </c>
      <c r="R33" s="117">
        <v>6816806.7803884577</v>
      </c>
      <c r="T33" s="117">
        <v>6785053.9081294127</v>
      </c>
      <c r="V33" s="117">
        <v>6751008.6845067525</v>
      </c>
      <c r="X33" s="117">
        <v>6714208.5185942212</v>
      </c>
      <c r="Z33" s="117">
        <v>6674046.9447003296</v>
      </c>
      <c r="AB33" s="117">
        <v>6629707.2777951807</v>
      </c>
      <c r="AD33" s="117">
        <v>6580050.6632474046</v>
      </c>
      <c r="AF33" s="117">
        <v>6523404.4052525815</v>
      </c>
      <c r="AH33" s="117">
        <v>6457102.9421270611</v>
      </c>
      <c r="AJ33" s="117">
        <v>6376193.5828616079</v>
      </c>
      <c r="AL33" s="117">
        <v>6268353.2376298364</v>
      </c>
      <c r="AN33" s="117">
        <v>6084621.7549418025</v>
      </c>
      <c r="AP33" s="117">
        <v>6022947.2879631473</v>
      </c>
      <c r="AR33" s="117">
        <v>5941531.3551441506</v>
      </c>
      <c r="AT33" s="117">
        <v>5824243.8677268112</v>
      </c>
      <c r="AV33" s="117">
        <v>5621674.0417257035</v>
      </c>
    </row>
    <row r="34" spans="1:49 16319:16321" x14ac:dyDescent="0.2">
      <c r="A34" t="s">
        <v>75</v>
      </c>
      <c r="B34" s="117">
        <v>1136879.4410000162</v>
      </c>
      <c r="D34" s="117">
        <v>1137106.2136889151</v>
      </c>
      <c r="F34" s="117">
        <v>1137236.5450272548</v>
      </c>
      <c r="H34" s="117">
        <v>1137259.3168213251</v>
      </c>
      <c r="J34" s="117">
        <v>1137161.6401902954</v>
      </c>
      <c r="L34" s="117">
        <v>1136928.3333032476</v>
      </c>
      <c r="N34" s="117">
        <v>1136541.0964157989</v>
      </c>
      <c r="P34" s="117">
        <v>1135978.1238636179</v>
      </c>
      <c r="R34" s="117">
        <v>1135213.1313197324</v>
      </c>
      <c r="T34" s="117">
        <v>1134214.1999463202</v>
      </c>
      <c r="V34" s="117">
        <v>1132942.3393692207</v>
      </c>
      <c r="X34" s="117">
        <v>1131350.2434664834</v>
      </c>
      <c r="Z34" s="117">
        <v>1129380.1297429139</v>
      </c>
      <c r="AB34" s="117">
        <v>1126963.2364788069</v>
      </c>
      <c r="AD34" s="117">
        <v>1124021.0653505172</v>
      </c>
      <c r="AF34" s="117">
        <v>1120474.8905243739</v>
      </c>
      <c r="AH34" s="117">
        <v>1116273.6041642309</v>
      </c>
      <c r="AJ34" s="117">
        <v>1111453.3621782956</v>
      </c>
      <c r="AL34" s="117">
        <v>1106069.5562320608</v>
      </c>
      <c r="AN34" s="117">
        <v>1098162.8507182428</v>
      </c>
      <c r="AP34" s="117">
        <v>1095318.0169205943</v>
      </c>
      <c r="AR34" s="117">
        <v>1091395.0845321049</v>
      </c>
      <c r="AT34" s="117">
        <v>1085649.190127752</v>
      </c>
      <c r="AV34" s="117">
        <v>1076284.6779949802</v>
      </c>
    </row>
    <row r="35" spans="1:49 16319:16321" x14ac:dyDescent="0.2">
      <c r="A35" t="s">
        <v>78</v>
      </c>
      <c r="B35" s="233">
        <v>1</v>
      </c>
      <c r="D35" s="233">
        <v>1.0016341223606944</v>
      </c>
      <c r="F35" s="233">
        <v>1.0034603969597007</v>
      </c>
      <c r="H35" s="233">
        <v>1.0055085651211193</v>
      </c>
      <c r="J35" s="233">
        <v>1.0078154000789183</v>
      </c>
      <c r="L35" s="233">
        <v>1.0104270411332874</v>
      </c>
      <c r="N35" s="233">
        <v>1.0134023635202427</v>
      </c>
      <c r="P35" s="233">
        <v>1.0168178212527907</v>
      </c>
      <c r="R35" s="233">
        <v>1.0207748290913601</v>
      </c>
      <c r="T35" s="233">
        <v>1.0254112413231964</v>
      </c>
      <c r="V35" s="233">
        <v>1.0309199008101018</v>
      </c>
      <c r="X35" s="233">
        <v>1.0375798128874316</v>
      </c>
      <c r="Z35" s="233">
        <v>1.0458118261522318</v>
      </c>
      <c r="AB35" s="233">
        <v>1.0562835041598289</v>
      </c>
      <c r="AD35" s="233">
        <v>1.0701237982021496</v>
      </c>
      <c r="AF35" s="233">
        <v>1.0894065351590674</v>
      </c>
      <c r="AH35" s="233">
        <v>1.1183881948908656</v>
      </c>
      <c r="AJ35" s="233">
        <v>1.1672742561684386</v>
      </c>
      <c r="AL35" s="233">
        <v>1.267051352533513</v>
      </c>
      <c r="AN35" s="233">
        <v>1.5658135178301507</v>
      </c>
      <c r="AP35" s="233">
        <v>1.7103509687796479</v>
      </c>
      <c r="AR35" s="233">
        <v>1.9430609682542272</v>
      </c>
      <c r="AT35" s="233">
        <v>2.3812374621333241</v>
      </c>
      <c r="AV35" s="233">
        <v>3.5414502043838372</v>
      </c>
    </row>
    <row r="36" spans="1:49 16319:16321" x14ac:dyDescent="0.2">
      <c r="A36" t="s">
        <v>21</v>
      </c>
      <c r="B36" s="37">
        <v>0.47195767671987948</v>
      </c>
      <c r="C36" s="38">
        <v>0.3173883442817898</v>
      </c>
      <c r="D36" s="37">
        <v>0.47197016233547739</v>
      </c>
      <c r="E36" s="38">
        <v>0.31906211099713139</v>
      </c>
      <c r="F36" s="37">
        <v>0.47198277978256775</v>
      </c>
      <c r="G36" s="38">
        <v>0.32087973209442155</v>
      </c>
      <c r="H36" s="37">
        <v>0.47199554504308316</v>
      </c>
      <c r="I36" s="38">
        <v>0.32286213378363066</v>
      </c>
      <c r="J36" s="37">
        <v>0.47200847542444385</v>
      </c>
      <c r="K36" s="38">
        <v>0.32503473825273593</v>
      </c>
      <c r="L36" s="37">
        <v>0.47202159044980757</v>
      </c>
      <c r="M36" s="38">
        <v>0.32742880439875305</v>
      </c>
      <c r="N36" s="37">
        <v>0.47203491357744132</v>
      </c>
      <c r="O36" s="38">
        <v>0.33008331069679914</v>
      </c>
      <c r="P36" s="37">
        <v>0.47204846847532878</v>
      </c>
      <c r="Q36" s="38">
        <v>0.33304757715111377</v>
      </c>
      <c r="R36" s="37">
        <v>0.47206227672189593</v>
      </c>
      <c r="S36" s="38">
        <v>0.33638513407458487</v>
      </c>
      <c r="T36" s="37">
        <v>0.4720763518977682</v>
      </c>
      <c r="U36" s="38">
        <v>0.3401795291683351</v>
      </c>
      <c r="V36" s="37">
        <v>0.47209068805201482</v>
      </c>
      <c r="W36" s="38">
        <v>0.3445433664475428</v>
      </c>
      <c r="X36" s="37">
        <v>0.47210523049464026</v>
      </c>
      <c r="Y36" s="38">
        <v>0.34963286893687046</v>
      </c>
      <c r="Z36" s="37">
        <v>0.47211982728125351</v>
      </c>
      <c r="AA36" s="38">
        <v>0.35567286272857573</v>
      </c>
      <c r="AB36" s="37">
        <v>0.47213411693800561</v>
      </c>
      <c r="AC36" s="38">
        <v>0.36300156620568252</v>
      </c>
      <c r="AD36" s="37">
        <v>0.47214729875884598</v>
      </c>
      <c r="AE36" s="38">
        <v>0.37215783873706659</v>
      </c>
      <c r="AF36" s="37">
        <v>0.47215761719759614</v>
      </c>
      <c r="AG36" s="38">
        <v>0.38406686817059782</v>
      </c>
      <c r="AH36" s="37">
        <v>0.47216123314952319</v>
      </c>
      <c r="AI36" s="38">
        <v>0.40048582597813048</v>
      </c>
      <c r="AJ36" s="37">
        <v>0.47214983917655989</v>
      </c>
      <c r="AK36" s="38">
        <v>0.42525680774803404</v>
      </c>
      <c r="AL36" s="37">
        <v>0.47210766803656307</v>
      </c>
      <c r="AM36" s="38">
        <v>0.46873876471261783</v>
      </c>
      <c r="AN36" s="37">
        <v>0.47202217578303507</v>
      </c>
      <c r="AO36" s="38">
        <v>0.57217706261074908</v>
      </c>
      <c r="AP36" s="37">
        <v>0.47200294361694511</v>
      </c>
      <c r="AQ36" s="38">
        <v>0.61459946355061068</v>
      </c>
      <c r="AR36" s="37">
        <v>0.47198608063485825</v>
      </c>
      <c r="AS36" s="38">
        <v>0.67681922263781547</v>
      </c>
      <c r="AT36" s="37">
        <v>0.47197575520480822</v>
      </c>
      <c r="AU36" s="38">
        <v>0.78063751344478849</v>
      </c>
      <c r="AV36" s="37">
        <v>0.47198526791460255</v>
      </c>
      <c r="AW36" s="38">
        <v>1.0099599275253552</v>
      </c>
    </row>
    <row r="37" spans="1:49 16319:16321" x14ac:dyDescent="0.2">
      <c r="B37" s="39">
        <v>2.1403217525954241E-2</v>
      </c>
      <c r="C37" s="40">
        <v>0.34962461301992537</v>
      </c>
      <c r="D37" s="39">
        <v>2.0466633283502341E-2</v>
      </c>
      <c r="E37" s="40">
        <v>0.34491238246771949</v>
      </c>
      <c r="F37" s="39">
        <v>1.9518712397638572E-2</v>
      </c>
      <c r="G37" s="40">
        <v>0.34004105777832105</v>
      </c>
      <c r="H37" s="39">
        <v>1.8559090143329914E-2</v>
      </c>
      <c r="I37" s="40">
        <v>0.3349971730350812</v>
      </c>
      <c r="J37" s="39">
        <v>1.7587380144263285E-2</v>
      </c>
      <c r="K37" s="40">
        <v>0.3297653017199903</v>
      </c>
      <c r="L37" s="39">
        <v>1.6603164667031278E-2</v>
      </c>
      <c r="M37" s="40">
        <v>0.32432758869886191</v>
      </c>
      <c r="N37" s="39">
        <v>1.5605976798953019E-2</v>
      </c>
      <c r="O37" s="40">
        <v>0.31866310426770827</v>
      </c>
      <c r="P37" s="39">
        <v>1.4595296264162968E-2</v>
      </c>
      <c r="Q37" s="40">
        <v>0.3127470792038396</v>
      </c>
      <c r="R37" s="39">
        <v>1.3570525733433533E-2</v>
      </c>
      <c r="S37" s="40">
        <v>0.30654976142452506</v>
      </c>
      <c r="T37" s="39">
        <v>1.2530958929529473E-2</v>
      </c>
      <c r="U37" s="40">
        <v>0.30003480934598131</v>
      </c>
      <c r="V37" s="39">
        <v>1.1475730823689865E-2</v>
      </c>
      <c r="W37" s="40">
        <v>0.29315693106424318</v>
      </c>
      <c r="X37" s="39">
        <v>1.0403757711245937E-2</v>
      </c>
      <c r="Y37" s="40">
        <v>0.28585842806568384</v>
      </c>
      <c r="Z37" s="39">
        <v>9.3135961336962263E-3</v>
      </c>
      <c r="AA37" s="40">
        <v>0.27806344258099758</v>
      </c>
      <c r="AB37" s="39">
        <v>8.2032835767285109E-3</v>
      </c>
      <c r="AC37" s="40">
        <v>0.26966891300571671</v>
      </c>
      <c r="AD37" s="39">
        <v>7.0700462479398353E-3</v>
      </c>
      <c r="AE37" s="40">
        <v>0.26052855313434192</v>
      </c>
      <c r="AF37" s="39">
        <v>5.9099254042347645E-3</v>
      </c>
      <c r="AG37" s="40">
        <v>0.250423733669625</v>
      </c>
      <c r="AH37" s="39">
        <v>4.7175226720251031E-3</v>
      </c>
      <c r="AI37" s="40">
        <v>0.23900720851952625</v>
      </c>
      <c r="AJ37" s="39">
        <v>3.4873435393747479E-3</v>
      </c>
      <c r="AK37" s="40">
        <v>0.2256911471724769</v>
      </c>
      <c r="AL37" s="39">
        <v>2.2237470304980926E-3</v>
      </c>
      <c r="AM37" s="40">
        <v>0.20942971251312664</v>
      </c>
      <c r="AN37" s="39">
        <v>9.8159399556232724E-4</v>
      </c>
      <c r="AO37" s="40">
        <v>0.18823617507662713</v>
      </c>
      <c r="AP37" s="39">
        <v>7.4929594615496576E-4</v>
      </c>
      <c r="AQ37" s="40">
        <v>0.18304588011703718</v>
      </c>
      <c r="AR37" s="39">
        <v>5.2786765280132602E-4</v>
      </c>
      <c r="AS37" s="40">
        <v>0.1773473872059598</v>
      </c>
      <c r="AT37" s="39">
        <v>3.2153013347615352E-4</v>
      </c>
      <c r="AU37" s="40">
        <v>0.17092442663015625</v>
      </c>
      <c r="AV37" s="39">
        <v>1.3779296139697546E-4</v>
      </c>
      <c r="AW37" s="40">
        <v>0.16326209554960497</v>
      </c>
    </row>
    <row r="38" spans="1:49 16319:16321" x14ac:dyDescent="0.2">
      <c r="A38" t="s">
        <v>22</v>
      </c>
      <c r="B38" s="37">
        <v>0.18079094942242827</v>
      </c>
      <c r="C38" s="38">
        <v>6.0565413429233668E-2</v>
      </c>
      <c r="D38" s="37">
        <v>0.18101552627452283</v>
      </c>
      <c r="E38" s="38">
        <v>6.1150575300793264E-2</v>
      </c>
      <c r="F38" s="37">
        <v>0.18126102526928448</v>
      </c>
      <c r="G38" s="38">
        <v>6.1786420173891007E-2</v>
      </c>
      <c r="H38" s="37">
        <v>0.18152992774151053</v>
      </c>
      <c r="I38" s="38">
        <v>6.2480430160674796E-2</v>
      </c>
      <c r="J38" s="37">
        <v>0.18182518155667782</v>
      </c>
      <c r="K38" s="38">
        <v>6.3241745200431354E-2</v>
      </c>
      <c r="L38" s="37">
        <v>0.18215032769871478</v>
      </c>
      <c r="M38" s="38">
        <v>6.4081666278452312E-2</v>
      </c>
      <c r="N38" s="37">
        <v>0.18250967862780915</v>
      </c>
      <c r="O38" s="38">
        <v>6.5014292900572618E-2</v>
      </c>
      <c r="P38" s="37">
        <v>0.18290855635376221</v>
      </c>
      <c r="Q38" s="38">
        <v>6.6057567068951384E-2</v>
      </c>
      <c r="R38" s="37">
        <v>0.18335364146966235</v>
      </c>
      <c r="S38" s="38">
        <v>6.723472211152498E-2</v>
      </c>
      <c r="T38" s="37">
        <v>0.18385348732676893</v>
      </c>
      <c r="U38" s="38">
        <v>6.85764567331279E-2</v>
      </c>
      <c r="V38" s="37">
        <v>0.18441930053044023</v>
      </c>
      <c r="W38" s="38">
        <v>7.0124408297611476E-2</v>
      </c>
      <c r="X38" s="37">
        <v>0.18506617570823886</v>
      </c>
      <c r="Y38" s="38">
        <v>7.1936740604789606E-2</v>
      </c>
      <c r="Z38" s="37">
        <v>0.18581515881450933</v>
      </c>
      <c r="AA38" s="38">
        <v>7.4097827257291207E-2</v>
      </c>
      <c r="AB38" s="37">
        <v>0.18669683163957815</v>
      </c>
      <c r="AC38" s="38">
        <v>7.6735771773005307E-2</v>
      </c>
      <c r="AD38" s="37">
        <v>0.18775803350526757</v>
      </c>
      <c r="AE38" s="38">
        <v>8.0057009099596607E-2</v>
      </c>
      <c r="AF38" s="37">
        <v>0.18907545976566933</v>
      </c>
      <c r="AG38" s="38">
        <v>8.4420801028832634E-2</v>
      </c>
      <c r="AH38" s="37">
        <v>0.19078596235505382</v>
      </c>
      <c r="AI38" s="38">
        <v>9.0521805121763582E-2</v>
      </c>
      <c r="AJ38" s="37">
        <v>0.19316275378570139</v>
      </c>
      <c r="AK38" s="38">
        <v>9.9916908342175745E-2</v>
      </c>
      <c r="AL38" s="37">
        <v>0.19684116147027467</v>
      </c>
      <c r="AM38" s="38">
        <v>0.11696909359198107</v>
      </c>
      <c r="AN38" s="37">
        <v>0.20378384428832533</v>
      </c>
      <c r="AO38" s="38">
        <v>0.16034476812813525</v>
      </c>
      <c r="AP38" s="37">
        <v>0.20612277106339627</v>
      </c>
      <c r="AQ38" s="38">
        <v>0.17923645076156861</v>
      </c>
      <c r="AR38" s="37">
        <v>0.20918497836330893</v>
      </c>
      <c r="AS38" s="38">
        <v>0.20805297566611747</v>
      </c>
      <c r="AT38" s="37">
        <v>0.21357242004537669</v>
      </c>
      <c r="AU38" s="38">
        <v>0.25894188929386552</v>
      </c>
      <c r="AV38" s="37">
        <v>0.22121955338799781</v>
      </c>
      <c r="AW38" s="38">
        <v>0.38284479493091728</v>
      </c>
    </row>
    <row r="39" spans="1:49 16319:16321" x14ac:dyDescent="0.2">
      <c r="A39" t="s">
        <v>23</v>
      </c>
      <c r="B39" s="39">
        <v>0.23064923795098236</v>
      </c>
      <c r="C39" s="40">
        <v>0.22092201281804777</v>
      </c>
      <c r="D39" s="39">
        <v>0.23127369786795965</v>
      </c>
      <c r="E39" s="40">
        <v>0.22321966295132417</v>
      </c>
      <c r="F39" s="39">
        <v>0.23192761141497684</v>
      </c>
      <c r="G39" s="40">
        <v>0.22570629636147913</v>
      </c>
      <c r="H39" s="39">
        <v>0.23261443870607698</v>
      </c>
      <c r="I39" s="40">
        <v>0.22840986196296467</v>
      </c>
      <c r="J39" s="39">
        <v>0.23333827927120854</v>
      </c>
      <c r="K39" s="40">
        <v>0.231364387821033</v>
      </c>
      <c r="L39" s="39">
        <v>0.23410404321275283</v>
      </c>
      <c r="M39" s="40">
        <v>0.23461181860314895</v>
      </c>
      <c r="N39" s="39">
        <v>0.23491768196955315</v>
      </c>
      <c r="O39" s="40">
        <v>0.23820470547126338</v>
      </c>
      <c r="P39" s="39">
        <v>0.2357865032517279</v>
      </c>
      <c r="Q39" s="40">
        <v>0.24220977034708449</v>
      </c>
      <c r="R39" s="39">
        <v>0.23671962196585047</v>
      </c>
      <c r="S39" s="40">
        <v>0.24671331722162382</v>
      </c>
      <c r="T39" s="39">
        <v>0.23772861471933096</v>
      </c>
      <c r="U39" s="40">
        <v>0.25182942106612183</v>
      </c>
      <c r="V39" s="39">
        <v>0.23882851156643073</v>
      </c>
      <c r="W39" s="40">
        <v>0.25771265242926911</v>
      </c>
      <c r="X39" s="39">
        <v>0.24003931979935431</v>
      </c>
      <c r="Y39" s="40">
        <v>0.26457879944398677</v>
      </c>
      <c r="Z39" s="39">
        <v>0.24138857510511633</v>
      </c>
      <c r="AA39" s="40">
        <v>0.27274063109153163</v>
      </c>
      <c r="AB39" s="39">
        <v>0.24291567602346276</v>
      </c>
      <c r="AC39" s="40">
        <v>0.28267265693704952</v>
      </c>
      <c r="AD39" s="39">
        <v>0.24467997189704097</v>
      </c>
      <c r="AE39" s="40">
        <v>0.29513850030168892</v>
      </c>
      <c r="AF39" s="39">
        <v>0.24677699255151428</v>
      </c>
      <c r="AG39" s="40">
        <v>0.311466137857348</v>
      </c>
      <c r="AH39" s="39">
        <v>0.24937480213002147</v>
      </c>
      <c r="AI39" s="40">
        <v>0.33422036721931547</v>
      </c>
      <c r="AJ39" s="39">
        <v>0.2528070262905307</v>
      </c>
      <c r="AK39" s="40">
        <v>0.36914628998471505</v>
      </c>
      <c r="AL39" s="39">
        <v>0.25786008803115634</v>
      </c>
      <c r="AM39" s="40">
        <v>0.43234638683442883</v>
      </c>
      <c r="AN39" s="39">
        <v>0.26705778429811089</v>
      </c>
      <c r="AO39" s="40">
        <v>0.59278766261928151</v>
      </c>
      <c r="AP39" s="39">
        <v>0.27012833015170101</v>
      </c>
      <c r="AQ39" s="40">
        <v>0.66263613115609388</v>
      </c>
      <c r="AR39" s="39">
        <v>0.27414399596865113</v>
      </c>
      <c r="AS39" s="40">
        <v>0.76917432809068875</v>
      </c>
      <c r="AT39" s="39">
        <v>0.27989479049552718</v>
      </c>
      <c r="AU39" s="40">
        <v>0.95731246007069792</v>
      </c>
      <c r="AV39" s="39">
        <v>0.28991682501845845</v>
      </c>
      <c r="AW39" s="40">
        <v>1.4153838871758333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0.10799999999999922</v>
      </c>
      <c r="G42" s="135"/>
      <c r="H42" s="177">
        <f>10.8%+(1-10.8%)*(1-SUM(H26:I26)/SUM($B$26:$C$26))</f>
        <v>0.10800000000000001</v>
      </c>
      <c r="I42" s="135"/>
      <c r="J42" s="177">
        <f>10.8%+(1-10.8%)*(1-SUM(J26:K26)/SUM($B$26:$C$26))</f>
        <v>0.10799999999999922</v>
      </c>
      <c r="K42" s="135"/>
      <c r="L42" s="177">
        <f>10.8%+(1-10.8%)*(1-SUM(L26:M26)/SUM($B$26:$C$26))</f>
        <v>0.10800000000000021</v>
      </c>
      <c r="M42" s="135"/>
      <c r="N42" s="177">
        <f>10.8%+(1-10.8%)*(1-SUM(N26:O26)/SUM($B$26:$C$26))</f>
        <v>0.10800000000000021</v>
      </c>
      <c r="O42" s="135"/>
      <c r="P42" s="177">
        <f>10.8%+(1-10.8%)*(1-SUM(P26:Q26)/SUM($B$26:$C$26))</f>
        <v>0.10799999999999982</v>
      </c>
      <c r="Q42" s="135"/>
      <c r="R42" s="177">
        <f>10.8%+(1-10.8%)*(1-SUM(R26:S26)/SUM($B$26:$C$26))</f>
        <v>0.10799999999999982</v>
      </c>
      <c r="S42" s="135"/>
      <c r="T42" s="177">
        <f>10.8%+(1-10.8%)*(1-SUM(T26:U26)/SUM($B$26:$C$26))</f>
        <v>0.1080000000000003</v>
      </c>
      <c r="U42" s="135"/>
      <c r="V42" s="177">
        <f>10.8%+(1-10.8%)*(1-SUM(V26:W26)/SUM($B$26:$C$26))</f>
        <v>0.10800000000000021</v>
      </c>
      <c r="W42" s="135"/>
      <c r="X42" s="177">
        <f>10.8%+(1-10.8%)*(1-SUM(X26:Y26)/SUM($B$26:$C$26))</f>
        <v>0.10800000000000051</v>
      </c>
      <c r="Y42" s="162"/>
      <c r="Z42" s="177">
        <f>10.8%+(1-10.8%)*(1-SUM(Z26:AA26)/SUM($B$26:$C$26))</f>
        <v>0.10800000000000051</v>
      </c>
      <c r="AA42" s="135"/>
      <c r="AB42" s="177">
        <f>10.8%+(1-10.8%)*(1-SUM(AB26:AC26)/SUM($B$26:$C$26))</f>
        <v>0.10800000000000001</v>
      </c>
      <c r="AC42" s="135"/>
      <c r="AD42" s="177">
        <f>10.8%+(1-10.8%)*(1-SUM(AD26:AE26)/SUM($B$26:$C$26))</f>
        <v>0.10799999999999982</v>
      </c>
      <c r="AE42" s="135"/>
      <c r="AF42" s="177">
        <f>10.8%+(1-10.8%)*(1-SUM(AF26:AG26)/SUM($B$26:$C$26))</f>
        <v>0.10799999999999942</v>
      </c>
      <c r="AG42" s="135"/>
      <c r="AH42" s="177">
        <f>10.8%+(1-10.8%)*(1-SUM(AH26:AI26)/SUM($B$26:$C$26))</f>
        <v>0.10800000000000021</v>
      </c>
      <c r="AI42" s="135"/>
      <c r="AJ42" s="177">
        <f>10.8%+(1-10.8%)*(1-SUM(AJ26:AK26)/SUM($B$26:$C$26))</f>
        <v>0.10800000000000001</v>
      </c>
      <c r="AK42" s="135"/>
      <c r="AL42" s="177">
        <f>10.8%+(1-10.8%)*(1-SUM(AL26:AM26)/SUM($B$26:$C$26))</f>
        <v>0.10799999999999882</v>
      </c>
      <c r="AM42" s="135"/>
      <c r="AN42" s="177">
        <f>10.8%+(1-10.8%)*(1-SUM(AN26:AO26)/SUM($B$26:$C$26))</f>
        <v>0.10799999999999982</v>
      </c>
      <c r="AO42" s="135"/>
      <c r="AP42" s="177">
        <f>10.8%+(1-10.8%)*(1-SUM(AP26:AQ26)/SUM($B$26:$C$26))</f>
        <v>0.10800000000000051</v>
      </c>
      <c r="AQ42" s="135"/>
      <c r="AR42" s="177">
        <f>10.8%+(1-10.8%)*(1-SUM(AR26:AS26)/SUM($B$26:$C$26))</f>
        <v>0.10800000000000021</v>
      </c>
      <c r="AS42" s="135"/>
      <c r="AT42" s="177">
        <f>10.8%+(1-10.8%)*(1-SUM(AT26:AU26)/SUM($B$26:$C$26))</f>
        <v>0.10799999999999882</v>
      </c>
      <c r="AU42" s="135"/>
      <c r="AV42" s="177">
        <f>10.8%+(1-10.8%)*(1-SUM(AV26:AW26)/SUM($B$26:$C$26))</f>
        <v>0.10799999999999903</v>
      </c>
    </row>
    <row r="43" spans="1:49 16319:16321" x14ac:dyDescent="0.2">
      <c r="A43" t="s">
        <v>108</v>
      </c>
      <c r="B43" s="162">
        <f>SUM(B15:C15*B27:C27)/SUM(B15:C15*B27:C27,B13:C13*B26:C26)</f>
        <v>0.56058995943838641</v>
      </c>
      <c r="C43" s="135"/>
      <c r="D43" s="162">
        <f t="array" ref="D43">SUM(D15:E15*D27:E27)/SUM(D15:E15*D27:E27,D13:E13*D26:E26)</f>
        <v>0.56600356220906345</v>
      </c>
      <c r="E43" s="135"/>
      <c r="F43" s="162">
        <f t="array" ref="F43">SUM(F15:G15*F27:G27)/SUM(F15:G15*F27:G27,F13:G13*F26:G26)</f>
        <v>0.56480103959572847</v>
      </c>
      <c r="G43" s="135"/>
      <c r="H43" s="162">
        <f t="array" ref="H43">SUM(H15:I15*H27:I27)/SUM(H15:I15*H27:I27,H13:I13*H26:I26)</f>
        <v>0.5635924643595468</v>
      </c>
      <c r="I43" s="135"/>
      <c r="J43" s="162">
        <f t="array" ref="J43">SUM(J15:K15*J27:K27)/SUM(J15:K15*J27:K27,J13:K13*J26:K26)</f>
        <v>0.56237724905959174</v>
      </c>
      <c r="K43" s="135"/>
      <c r="L43" s="162">
        <f t="array" ref="L43">SUM(L15:M15*L27:M27)/SUM(L15:M15*L27:M27,L13:M13*L26:M26)</f>
        <v>0.56115472134410926</v>
      </c>
      <c r="M43" s="135"/>
      <c r="N43" s="162">
        <f t="array" ref="N43">SUM(N15:O15*N27:O27)/SUM(N15:O15*N27:O27,N13:O13*N26:O26)</f>
        <v>0.55992416857217076</v>
      </c>
      <c r="O43" s="135"/>
      <c r="P43" s="162">
        <f t="array" ref="P43">SUM(P15:Q15*P27:Q27)/SUM(P15:Q15*P27:Q27,P13:Q13*P26:Q26)</f>
        <v>0.55868481073266985</v>
      </c>
      <c r="Q43" s="135"/>
      <c r="R43" s="162">
        <f t="array" ref="R43">SUM(R15:S15*R27:S27)/SUM(R15:S15*R27:S27,R13:S13*R26:S26)</f>
        <v>0.55743584713661343</v>
      </c>
      <c r="S43" s="135"/>
      <c r="T43" s="162">
        <f t="array" ref="T43">SUM(T15:U15*T27:U27)/SUM(T15:U15*T27:U27,T13:U13*T26:U26)</f>
        <v>0.55617654753870227</v>
      </c>
      <c r="U43" s="135"/>
      <c r="V43" s="162">
        <f t="array" ref="V43">SUM(V15:W15*V27:W27)/SUM(V15:W15*V27:W27,V13:W13*V26:W26)</f>
        <v>0.55490639836612954</v>
      </c>
      <c r="W43" s="135"/>
      <c r="X43" s="162">
        <f t="array" ref="X43">SUM(X15:Y15*X27:Y27)/SUM(X15:Y15*X27:Y27,X13:Y13*X26:Y26)</f>
        <v>0.55362543380089757</v>
      </c>
      <c r="Y43" s="135"/>
      <c r="Z43" s="162">
        <f t="array" ref="Z43">SUM(Z15:AA15*Z27:AA27)/SUM(Z15:AA15*Z27:AA27,Z13:AA13*Z26:AA26)</f>
        <v>0.55233484375065589</v>
      </c>
      <c r="AA43" s="135"/>
      <c r="AB43" s="162">
        <f t="array" ref="AB43">SUM(AB15:AC15*AB27:AC27)/SUM(AB15:AC15*AB27:AC27,AB13:AC13*AB26:AC26)</f>
        <v>0.55103824827604986</v>
      </c>
      <c r="AC43" s="135"/>
      <c r="AD43" s="162">
        <f t="array" ref="AD43">SUM(AD15:AE15*AD27:AE27)/SUM(AD15:AE15*AD27:AE27,AD13:AE13*AD26:AE26)</f>
        <v>0.54974424299794022</v>
      </c>
      <c r="AE43" s="135"/>
      <c r="AF43" s="162">
        <f t="array" ref="AF43">SUM(AF15:AG15*AF27:AG27)/SUM(AF15:AG15*AF27:AG27,AF13:AG13*AF26:AG26)</f>
        <v>0.54847177180848472</v>
      </c>
      <c r="AG43" s="135"/>
      <c r="AH43" s="162">
        <f t="array" ref="AH43">SUM(AH15:AI15*AH27:AI27)/SUM(AH15:AI15*AH27:AI27,AH13:AI13*AH26:AI26)</f>
        <v>0.54726135271005782</v>
      </c>
      <c r="AI43" s="135"/>
      <c r="AJ43" s="162">
        <f t="array" ref="AJ43">SUM(AJ15:AK15*AJ27:AK27)/SUM(AJ15:AK15*AJ27:AK27,AJ13:AK13*AJ26:AK26)</f>
        <v>0.54619695838143267</v>
      </c>
      <c r="AK43" s="135"/>
      <c r="AL43" s="162">
        <f t="array" ref="AL43">SUM(AL15:AM15*AL27:AM27)/SUM(AL15:AM15*AL27:AM27,AL13:AM13*AL26:AM26)</f>
        <v>0.54543120157210989</v>
      </c>
      <c r="AM43" s="135"/>
      <c r="AN43" s="162">
        <f t="array" ref="AN43">SUM(AN15:AO15*AN27:AO27)/SUM(AN15:AO15*AN27:AO27,AN13:AO13*AN26:AO26)</f>
        <v>0.54511284691077988</v>
      </c>
      <c r="AO43" s="135"/>
      <c r="AP43" s="162">
        <f t="array" ref="AP43">SUM(AP15:AQ15*AP27:AQ27)/SUM(AP15:AQ15*AP27:AQ27,AP13:AQ13*AP26:AQ26)</f>
        <v>0.54509634455195444</v>
      </c>
      <c r="AQ43" s="135"/>
      <c r="AR43" s="162">
        <f t="array" ref="AR43">SUM(AR15:AS15*AR27:AS27)/SUM(AR15:AS15*AR27:AS27,AR13:AS13*AR26:AS26)</f>
        <v>0.54508857411732081</v>
      </c>
      <c r="AS43" s="135"/>
      <c r="AT43" s="162">
        <f t="array" ref="AT43">SUM(AT15:AU15*AT27:AU27)/SUM(AT15:AU15*AT27:AU27,AT13:AU13*AT26:AU26)</f>
        <v>0.54508590546961844</v>
      </c>
      <c r="AU43" s="135"/>
      <c r="AV43" s="162">
        <f t="array" ref="AV43">SUM(AV15:AW15*AV27:AW27)/SUM(AV15:AW15*AV27:AW27,AV13:AW13*AV26:AW26)</f>
        <v>0.5450854064520535</v>
      </c>
    </row>
    <row r="44" spans="1:49 16319:16321" x14ac:dyDescent="0.2">
      <c r="A44" t="s">
        <v>142</v>
      </c>
      <c r="B44" s="193">
        <f>(SUM(B11:C11*B24:C24)+B34)/B32</f>
        <v>0.29754226190682465</v>
      </c>
      <c r="D44" s="193">
        <f>(SUM(D11:E11*D24:E24)+D34)/D32</f>
        <v>0.29912542483883481</v>
      </c>
      <c r="F44" s="193">
        <f>(SUM(F11:G11*F24:G24)+F34)/F32</f>
        <v>0.30071829573807524</v>
      </c>
      <c r="H44" s="193">
        <f>(SUM(H11:I11*H24:I24)+H34)/H32</f>
        <v>0.30232293874635668</v>
      </c>
      <c r="J44" s="193">
        <f>(SUM(J11:K11*J24:K24)+J34)/J32</f>
        <v>0.30394183704263383</v>
      </c>
      <c r="L44" s="193">
        <f>(SUM(L11:M11*L24:M24)+L34)/L32</f>
        <v>0.30557798013091197</v>
      </c>
      <c r="N44" s="193">
        <f>(SUM(N11:O11*N24:O24)+N34)/N32</f>
        <v>0.30723498602289401</v>
      </c>
      <c r="P44" s="193">
        <f>(SUM(P11:Q11*P24:Q24)+P34)/P32</f>
        <v>0.30891736838192985</v>
      </c>
      <c r="R44" s="193">
        <f>(SUM(R11:S11*R24:S24)+R34)/R32</f>
        <v>0.31063084348199793</v>
      </c>
      <c r="T44" s="193">
        <f>(SUM(T11:U11*T24:U24)+T34)/T32</f>
        <v>0.31238284392482607</v>
      </c>
      <c r="V44" s="193">
        <f>(SUM(V11:W11*V24:W24)+V34)/V32</f>
        <v>0.31418330702041319</v>
      </c>
      <c r="X44" s="193">
        <f>(SUM(X11:Y11*X24:Y24)+X34)/X32</f>
        <v>0.31604603953804089</v>
      </c>
      <c r="Z44" s="193">
        <f>(SUM(Z11:AA11*Z24:AA24)+Z34)/Z32</f>
        <v>0.31799104716722293</v>
      </c>
      <c r="AB44" s="193">
        <f>(SUM(AB11:AC11*AB24:AC24)+AB34)/AB32</f>
        <v>0.3200489126921599</v>
      </c>
      <c r="AD44" s="193">
        <f>(SUM(AD11:AE11*AD24:AE24)+AD34)/AD32</f>
        <v>0.3222694805308024</v>
      </c>
      <c r="AF44" s="193">
        <f>(SUM(AF11:AG11*AF24:AG24)+AF34)/AF32</f>
        <v>0.32474068368612324</v>
      </c>
      <c r="AH44" s="193">
        <f>(SUM(AH11:AI11*AH24:AI24)+AH34)/AH32</f>
        <v>0.32763281343569811</v>
      </c>
      <c r="AJ44" s="193">
        <f>(SUM(AJ11:AK11*AJ24:AK24)+AJ34)/AJ32</f>
        <v>0.33131395546960829</v>
      </c>
      <c r="AL44" s="193">
        <f>(SUM(AL11:AM11*AL24:AM24)+AL34)/AL32</f>
        <v>0.33668219358937701</v>
      </c>
      <c r="AN44" s="193">
        <f>(SUM(AN11:AO11*AN24:AO24)+AN34)/AN32</f>
        <v>0.34644299791709016</v>
      </c>
      <c r="AP44" s="193">
        <f>(SUM(AP11:AQ11*AP24:AQ24)+AP34)/AP32</f>
        <v>0.34967719429004734</v>
      </c>
      <c r="AR44" s="193">
        <f>(SUM(AR11:AS11*AR24:AS24)+AR34)/AR32</f>
        <v>0.35390799200609036</v>
      </c>
      <c r="AT44" s="193">
        <f>(SUM(AT11:AU11*AT24:AU24)+AT34)/AT32</f>
        <v>0.36002056902892654</v>
      </c>
      <c r="AV44" s="193">
        <f>(SUM(AV11:AW11*AV24:AW24)+AV34)/AV32</f>
        <v>0.37094107597670439</v>
      </c>
    </row>
    <row r="45" spans="1:49 16319:16321" x14ac:dyDescent="0.2">
      <c r="A45" t="s">
        <v>82</v>
      </c>
      <c r="B45" s="193">
        <f>SUM(B11:C11*B24:C24)/B32</f>
        <v>0.22038438833194082</v>
      </c>
      <c r="D45" s="193">
        <f>SUM(D11:E11*D24:E24)/D32</f>
        <v>0.22196755462056672</v>
      </c>
      <c r="F45" s="193">
        <f>SUM(F11:G11*F24:G24)/F32</f>
        <v>0.22356042231238907</v>
      </c>
      <c r="H45" s="193">
        <f>SUM(H11:I11*H24:I24)/H32</f>
        <v>0.22516506542028569</v>
      </c>
      <c r="J45" s="193">
        <f>SUM(J11:K11*J24:K24)/J32</f>
        <v>0.22678396572054413</v>
      </c>
      <c r="L45" s="193">
        <f>SUM(L11:M11*L24:M24)/L32</f>
        <v>0.22842010694520321</v>
      </c>
      <c r="N45" s="193">
        <f>SUM(N11:O11*N24:O24)/N32</f>
        <v>0.23007711309661039</v>
      </c>
      <c r="P45" s="193">
        <f>SUM(P11:Q11*P24:Q24)/P32</f>
        <v>0.23175949685383118</v>
      </c>
      <c r="R45" s="193">
        <f>SUM(R11:S11*R24:S24)/R32</f>
        <v>0.23347297234903472</v>
      </c>
      <c r="T45" s="193">
        <f>SUM(T11:U11*T24:U24)/T32</f>
        <v>0.2352249709624642</v>
      </c>
      <c r="V45" s="193">
        <f>SUM(V11:W11*V24:W24)/V32</f>
        <v>0.23702543668417309</v>
      </c>
      <c r="X45" s="193">
        <f>SUM(X11:Y11*X24:Y24)/X32</f>
        <v>0.23888816609917227</v>
      </c>
      <c r="Z45" s="193">
        <f>SUM(Z11:AA11*Z24:AA24)/Z32</f>
        <v>0.24083317398112575</v>
      </c>
      <c r="AB45" s="193">
        <f>SUM(AB11:AC11*AB24:AC24)/AB32</f>
        <v>0.24289103915778387</v>
      </c>
      <c r="AD45" s="193">
        <f>SUM(AD11:AE11*AD24:AE24)/AD32</f>
        <v>0.2451116118722626</v>
      </c>
      <c r="AF45" s="193">
        <f>SUM(AF11:AG11*AF24:AG24)/AF32</f>
        <v>0.24758281013710606</v>
      </c>
      <c r="AH45" s="193">
        <f>SUM(AH11:AI11*AH24:AI24)/AH32</f>
        <v>0.25047494005866289</v>
      </c>
      <c r="AJ45" s="193">
        <f>SUM(AJ11:AK11*AJ24:AK24)/AJ32</f>
        <v>0.25415608189334193</v>
      </c>
      <c r="AL45" s="193">
        <f>SUM(AL11:AM11*AL24:AM24)/AL32</f>
        <v>0.25952432001845749</v>
      </c>
      <c r="AN45" s="193">
        <f>SUM(AN11:AO11*AN24:AO24)/AN32</f>
        <v>0.26928512434270901</v>
      </c>
      <c r="AP45" s="193">
        <f>SUM(AP11:AQ11*AP24:AQ24)/AP32</f>
        <v>0.27251932071521673</v>
      </c>
      <c r="AR45" s="193">
        <f>SUM(AR11:AS11*AR24:AS24)/AR32</f>
        <v>0.27675011843123049</v>
      </c>
      <c r="AT45" s="193">
        <f>SUM(AT11:AU11*AT24:AU24)/AT32</f>
        <v>0.28286269545404474</v>
      </c>
      <c r="AV45" s="193">
        <f>SUM(AV11:AW11*AV24:AW24)/AV32</f>
        <v>0.29378320240182165</v>
      </c>
      <c r="XCQ45" s="193"/>
    </row>
    <row r="46" spans="1:49 16319:16321" x14ac:dyDescent="0.2">
      <c r="A46" t="s">
        <v>139</v>
      </c>
      <c r="B46" s="193">
        <f>B34/B32</f>
        <v>7.7157873574883795E-2</v>
      </c>
      <c r="D46" s="193">
        <f>D34/D32</f>
        <v>7.7157870218268101E-2</v>
      </c>
      <c r="F46" s="193">
        <f>F34/F32</f>
        <v>7.715787342568621E-2</v>
      </c>
      <c r="H46" s="193">
        <f>H34/H32</f>
        <v>7.7157873326070978E-2</v>
      </c>
      <c r="J46" s="193">
        <f>J34/J32</f>
        <v>7.7157871322089705E-2</v>
      </c>
      <c r="L46" s="193">
        <f>L34/L32</f>
        <v>7.715787318570877E-2</v>
      </c>
      <c r="N46" s="193">
        <f>N34/N32</f>
        <v>7.7157872926283594E-2</v>
      </c>
      <c r="P46" s="193">
        <f>P34/P32</f>
        <v>7.715787152809872E-2</v>
      </c>
      <c r="R46" s="193">
        <f>R34/R32</f>
        <v>7.7157871132963199E-2</v>
      </c>
      <c r="T46" s="193">
        <f>T34/T32</f>
        <v>7.7157872962361859E-2</v>
      </c>
      <c r="V46" s="193">
        <f>V34/V32</f>
        <v>7.7157870336240095E-2</v>
      </c>
      <c r="X46" s="193">
        <f>X34/X32</f>
        <v>7.7157873438868624E-2</v>
      </c>
      <c r="Z46" s="193">
        <f>Z34/Z32</f>
        <v>7.7157873186097167E-2</v>
      </c>
      <c r="AB46" s="193">
        <f>AB34/AB32</f>
        <v>7.7157873534375976E-2</v>
      </c>
      <c r="AD46" s="193">
        <f>AD34/AD32</f>
        <v>7.7157868658539824E-2</v>
      </c>
      <c r="AF46" s="193">
        <f>AF34/AF32</f>
        <v>7.7157873549017209E-2</v>
      </c>
      <c r="AH46" s="193">
        <f>AH34/AH32</f>
        <v>7.7157873377035252E-2</v>
      </c>
      <c r="AJ46" s="193">
        <f>AJ34/AJ32</f>
        <v>7.7157873576266328E-2</v>
      </c>
      <c r="AL46" s="193">
        <f>AL34/AL32</f>
        <v>7.715787357091948E-2</v>
      </c>
      <c r="AN46" s="193">
        <f>AN34/AN32</f>
        <v>7.7157873574381183E-2</v>
      </c>
      <c r="AP46" s="193">
        <f>AP34/AP32</f>
        <v>7.7157873574830615E-2</v>
      </c>
      <c r="AR46" s="193">
        <f>AR34/AR32</f>
        <v>7.7157873574859911E-2</v>
      </c>
      <c r="AT46" s="193">
        <f>AT34/AT32</f>
        <v>7.7157873574881741E-2</v>
      </c>
      <c r="AV46" s="193">
        <f>AV34/AV32</f>
        <v>7.7157873574882768E-2</v>
      </c>
      <c r="XCS46" s="193"/>
    </row>
    <row r="48" spans="1:49 16319:16321" x14ac:dyDescent="0.2">
      <c r="A48" t="s">
        <v>159</v>
      </c>
      <c r="B48" s="191">
        <f>B24/$B$24</f>
        <v>1</v>
      </c>
      <c r="C48" s="191"/>
      <c r="D48" s="191">
        <f>D24/$B$24</f>
        <v>1.0081923798762664</v>
      </c>
      <c r="E48" s="191"/>
      <c r="F48" s="191">
        <f>F24/$B$24</f>
        <v>1.0163606605730162</v>
      </c>
      <c r="G48" s="191"/>
      <c r="H48" s="191">
        <f>H24/$B$24</f>
        <v>1.0245034266433639</v>
      </c>
      <c r="I48" s="191"/>
      <c r="J48" s="191">
        <f>J24/$B$24</f>
        <v>1.0326192309761397</v>
      </c>
      <c r="K48" s="191"/>
      <c r="L48" s="191">
        <f>L24/$B$24</f>
        <v>1.0407065552017238</v>
      </c>
      <c r="M48" s="191"/>
      <c r="N48" s="191">
        <f>N24/$B$24</f>
        <v>1.0487637573259481</v>
      </c>
      <c r="O48" s="191"/>
      <c r="P48" s="191">
        <f>P24/$B$24</f>
        <v>1.0567893789240967</v>
      </c>
      <c r="Q48" s="191"/>
      <c r="R48" s="191">
        <f>R24/$B$24</f>
        <v>1.0647823663022435</v>
      </c>
      <c r="S48" s="191"/>
      <c r="T48" s="191">
        <f>T24/$B$24</f>
        <v>1.0727427122899036</v>
      </c>
      <c r="U48" s="191"/>
      <c r="V48" s="191">
        <f>V24/$B$24</f>
        <v>1.0806726573454943</v>
      </c>
      <c r="W48" s="191"/>
      <c r="X48" s="191">
        <f>X24/$B$24</f>
        <v>1.0885791231356874</v>
      </c>
      <c r="Y48" s="191"/>
      <c r="Z48" s="191">
        <f>Z24/$B$24</f>
        <v>1.0964788619392443</v>
      </c>
      <c r="AA48" s="191"/>
      <c r="AB48" s="191">
        <f>AB24/$B$24</f>
        <v>1.1044092241253352</v>
      </c>
      <c r="AC48" s="191"/>
      <c r="AD48" s="191">
        <f>AD24/$B$24</f>
        <v>1.1124526196921314</v>
      </c>
      <c r="AE48" s="191"/>
      <c r="AF48" s="191">
        <f>AF24/$B$24</f>
        <v>1.1207946663934705</v>
      </c>
      <c r="AG48" s="191"/>
      <c r="AH48" s="191">
        <f>AH24/$B$24</f>
        <v>1.1298720661763646</v>
      </c>
      <c r="AI48" s="191"/>
      <c r="AJ48" s="191">
        <f>AJ24/$B$24</f>
        <v>1.1407727234786806</v>
      </c>
      <c r="AK48" s="191"/>
      <c r="AL48" s="191">
        <f>AL24/$B$24</f>
        <v>1.1563563579020433</v>
      </c>
      <c r="AM48" s="191"/>
      <c r="AN48" s="191">
        <f>AN24/$B$24</f>
        <v>1.1851021195143197</v>
      </c>
      <c r="AO48" s="191"/>
      <c r="AP48" s="191">
        <f>AP24/$B$24</f>
        <v>1.1947927696587537</v>
      </c>
      <c r="AQ48" s="191"/>
      <c r="AR48" s="191">
        <f>AR24/$B$24</f>
        <v>1.2077105966752846</v>
      </c>
      <c r="AS48" s="191"/>
      <c r="AT48" s="191">
        <f>AT24/$B$24</f>
        <v>1.2270808621822764</v>
      </c>
      <c r="AU48" s="191"/>
      <c r="AV48" s="191">
        <f>AV24/$B$24</f>
        <v>1.2642262655818128</v>
      </c>
    </row>
    <row r="49" spans="1:48 16321:16384" x14ac:dyDescent="0.2">
      <c r="A49" t="s">
        <v>160</v>
      </c>
      <c r="B49" s="191">
        <f>B13/B35/$B$13*$B$35</f>
        <v>1</v>
      </c>
      <c r="C49" s="191"/>
      <c r="D49" s="191">
        <f>D13/D35/$B$13*$B$35</f>
        <v>0.99798536604628385</v>
      </c>
      <c r="E49" s="191"/>
      <c r="F49" s="191">
        <f>F13/F35/$B$13*$B$35</f>
        <v>0.99567573111589236</v>
      </c>
      <c r="G49" s="191"/>
      <c r="H49" s="191">
        <f>H13/H35/$B$13*$B$35</f>
        <v>0.99303168285589638</v>
      </c>
      <c r="I49" s="191"/>
      <c r="J49" s="191">
        <f>J13/J35/$B$13*$B$35</f>
        <v>0.9900055777327309</v>
      </c>
      <c r="K49" s="191"/>
      <c r="L49" s="191">
        <f>L13/L35/$B$13*$B$35</f>
        <v>0.98653908490209496</v>
      </c>
      <c r="M49" s="191"/>
      <c r="N49" s="191">
        <f>N13/N35/$B$13*$B$35</f>
        <v>0.98255966586202681</v>
      </c>
      <c r="O49" s="191"/>
      <c r="P49" s="191">
        <f>P13/P35/$B$13*$B$35</f>
        <v>0.97797579761957221</v>
      </c>
      <c r="Q49" s="191"/>
      <c r="R49" s="191">
        <f>R13/R35/$B$13*$B$35</f>
        <v>0.97266981508896222</v>
      </c>
      <c r="S49" s="191"/>
      <c r="T49" s="191">
        <f>T13/T35/$B$13*$B$35</f>
        <v>0.96648715469257351</v>
      </c>
      <c r="U49" s="191"/>
      <c r="V49" s="191">
        <f>V13/V35/$B$13*$B$35</f>
        <v>0.95921965941683096</v>
      </c>
      <c r="W49" s="191"/>
      <c r="X49" s="191">
        <f>X13/X35/$B$13*$B$35</f>
        <v>0.95057860355196677</v>
      </c>
      <c r="Y49" s="191"/>
      <c r="Z49" s="191">
        <f>Z13/Z35/$B$13*$B$35</f>
        <v>0.94014865185566965</v>
      </c>
      <c r="AA49" s="191"/>
      <c r="AB49" s="191">
        <f>AB13/AB35/$B$13*$B$35</f>
        <v>0.92730571886699464</v>
      </c>
      <c r="AC49" s="191"/>
      <c r="AD49" s="191">
        <f>AD13/AD35/$B$13*$B$35</f>
        <v>0.91105887843533939</v>
      </c>
      <c r="AE49" s="191"/>
      <c r="AF49" s="191">
        <f>AF13/AF35/$B$13*$B$35</f>
        <v>0.8897204055376825</v>
      </c>
      <c r="AG49" s="191"/>
      <c r="AH49" s="191">
        <f>AH13/AH35/$B$13*$B$35</f>
        <v>0.86014120111830594</v>
      </c>
      <c r="AI49" s="191"/>
      <c r="AJ49" s="191">
        <f>AJ13/AJ35/$B$13*$B$35</f>
        <v>0.8156928220184877</v>
      </c>
      <c r="AK49" s="191"/>
      <c r="AL49" s="191">
        <f>AL13/AL35/$B$13*$B$35</f>
        <v>0.73998841192084119</v>
      </c>
      <c r="AM49" s="191"/>
      <c r="AN49" s="191">
        <f>AN13/AN35/$B$13*$B$35</f>
        <v>0.58164949855319104</v>
      </c>
      <c r="AO49" s="191"/>
      <c r="AP49" s="191">
        <f>AP13/AP35/$B$13*$B$35</f>
        <v>0.52711732475479967</v>
      </c>
      <c r="AQ49" s="191"/>
      <c r="AR49" s="191">
        <f>AR13/AR35/$B$13*$B$35</f>
        <v>0.45772307114564692</v>
      </c>
      <c r="AS49" s="191"/>
      <c r="AT49" s="191">
        <f>AT13/AT35/$B$13*$B$35</f>
        <v>0.36612569924113519</v>
      </c>
      <c r="AU49" s="191"/>
      <c r="AV49" s="191">
        <f>AV13/AV35/$B$13*$B$35</f>
        <v>0.23761746792501395</v>
      </c>
    </row>
    <row r="51" spans="1:48 16321:16384" x14ac:dyDescent="0.2">
      <c r="A51" t="s">
        <v>166</v>
      </c>
      <c r="B51" s="29">
        <f>B30-B10*B23</f>
        <v>-405838.32800000021</v>
      </c>
      <c r="D51" s="29">
        <f>D30-D10*D23</f>
        <v>-366471.59356162697</v>
      </c>
      <c r="F51" s="29">
        <f>F30-F10*F23</f>
        <v>-326821.6508909394</v>
      </c>
      <c r="H51" s="29">
        <f>H30-H10*H23</f>
        <v>-286843.60703397822</v>
      </c>
      <c r="J51" s="29">
        <f>J30-J10*J23</f>
        <v>-246484.50164260063</v>
      </c>
      <c r="L51" s="29">
        <f>L30-L10*L23</f>
        <v>-205680.76390973292</v>
      </c>
      <c r="N51" s="29">
        <f>N30-N10*N23</f>
        <v>-164354.37780848844</v>
      </c>
      <c r="P51" s="29">
        <f>P30-P10*P23</f>
        <v>-122408.57423172984</v>
      </c>
      <c r="R51" s="29">
        <f>R30-R10*R23</f>
        <v>-79720.368203297723</v>
      </c>
      <c r="T51" s="29">
        <f>T30-T10*T23</f>
        <v>-36129.347520285752</v>
      </c>
      <c r="V51" s="29">
        <f>V30-V10*V23</f>
        <v>8580.6957686184905</v>
      </c>
      <c r="X51" s="29">
        <f>X30-X10*X23</f>
        <v>54710.953372867312</v>
      </c>
      <c r="Z51" s="29">
        <f>Z30-Z10*Z23</f>
        <v>102703.35053181462</v>
      </c>
      <c r="AB51" s="29">
        <f>AB30-AB10*AB23</f>
        <v>153240.04203203833</v>
      </c>
      <c r="AD51" s="29">
        <f>AD30-AD10*AD23</f>
        <v>207448.72182385903</v>
      </c>
      <c r="AF51" s="29">
        <f>AF30-AF10*AF23</f>
        <v>267346.48547994019</v>
      </c>
      <c r="AH51" s="29">
        <f>AH30-AH10*AH23</f>
        <v>336900.43869114807</v>
      </c>
      <c r="AJ51" s="29">
        <f>AJ30-AJ10*AJ23</f>
        <v>424788.89929096075</v>
      </c>
      <c r="AL51" s="29">
        <f>AL30-AL10*AL23</f>
        <v>552270.71833921922</v>
      </c>
      <c r="AN51" s="29">
        <f>AN30-AN10*AN23</f>
        <v>782015.36764491349</v>
      </c>
      <c r="AP51" s="29">
        <f>AP30-AP10*AP23</f>
        <v>857208.93000548333</v>
      </c>
      <c r="AQ51" s="29"/>
      <c r="AR51" s="29">
        <f>AR30-AR10*AR23</f>
        <v>954789.22011982137</v>
      </c>
      <c r="AT51" s="29">
        <f>AT30-AT10*AT23</f>
        <v>1094413.5756370728</v>
      </c>
      <c r="AV51" s="29">
        <f>AV30-AV10*AV23</f>
        <v>1341172.0476924628</v>
      </c>
      <c r="XFD51" s="29"/>
    </row>
    <row r="52" spans="1:48 16321:16384" x14ac:dyDescent="0.2">
      <c r="A52" t="s">
        <v>167</v>
      </c>
      <c r="B52" s="29">
        <f t="array" ref="B52">Calibration!sL*SUM(B13:C13*B26:C26)</f>
        <v>2049247.8195702801</v>
      </c>
      <c r="D52" s="29">
        <f t="array" ref="D52">Calibration!sL*SUM(D13:E13*D26:E26)</f>
        <v>2048461.3105695513</v>
      </c>
      <c r="F52" s="29">
        <f t="array" ref="F52">Calibration!sL*SUM(F13:G13*F26:G26)</f>
        <v>2047446.8676100518</v>
      </c>
      <c r="H52" s="29">
        <f t="array" ref="H52">Calibration!sL*SUM(H13:I13*H26:I26)</f>
        <v>2046177.76466385</v>
      </c>
      <c r="J52" s="29">
        <f t="array" ref="J52">Calibration!sL*SUM(J13:K13*J26:K26)</f>
        <v>2044622.3955175478</v>
      </c>
      <c r="L52" s="29">
        <f t="array" ref="L52">Calibration!sL*SUM(L13:M13*L26:M26)</f>
        <v>2042743.0326310066</v>
      </c>
      <c r="N52" s="29">
        <f t="array" ref="N52">Calibration!sL*SUM(N13:O13*N26:O26)</f>
        <v>2040494.0224213726</v>
      </c>
      <c r="P52" s="29">
        <f t="array" ref="P52">Calibration!sL*SUM(P13:Q13*P26:Q26)</f>
        <v>2037819.6148508897</v>
      </c>
      <c r="R52" s="29">
        <f t="array" ref="R52">Calibration!sL*SUM(R13:S13*R26:S26)</f>
        <v>2034650.7491860914</v>
      </c>
      <c r="T52" s="29">
        <f t="array" ref="T52">Calibration!sL*SUM(T13:U13*T26:U26)</f>
        <v>2030900.4796806395</v>
      </c>
      <c r="V52" s="29">
        <f t="array" ref="V52">Calibration!sL*SUM(V13:W13*V26:W26)</f>
        <v>2026457.3889317797</v>
      </c>
      <c r="X52" s="29">
        <f t="array" ref="X52">Calibration!sL*SUM(X13:Y13*X26:Y26)</f>
        <v>2021175.5212593137</v>
      </c>
      <c r="Z52" s="29">
        <f t="array" ref="Z52">Calibration!sL*SUM(Z13:AA13*Z26:AA26)</f>
        <v>2014858.5280532106</v>
      </c>
      <c r="AB52" s="29">
        <f t="array" ref="AB52">Calibration!sL*SUM(AB13:AC13*AB26:AC26)</f>
        <v>2007233.5959855861</v>
      </c>
      <c r="AD52" s="29">
        <f t="array" ref="AD52">Calibration!sL*SUM(AD13:AE13*AD26:AE26)</f>
        <v>1997905.5289815804</v>
      </c>
      <c r="AF52" s="29">
        <f t="array" ref="AF52">Calibration!sL*SUM(AF13:AG13*AF26:AG26)</f>
        <v>1986268.7458898567</v>
      </c>
      <c r="AH52" s="29">
        <f t="array" ref="AH52">Calibration!sL*SUM(AH13:AI13*AH26:AI26)</f>
        <v>1971318.5424676454</v>
      </c>
      <c r="AJ52" s="29">
        <f t="array" ref="AJ52">Calibration!sL*SUM(AJ13:AK13*AJ26:AK26)</f>
        <v>1951165.1467789274</v>
      </c>
      <c r="AL52" s="29">
        <f t="array" ref="AL52">Calibration!sL*SUM(AL13:AM13*AL26:AM26)</f>
        <v>1921381.5554092526</v>
      </c>
      <c r="AN52" s="29">
        <f t="array" ref="AN52">Calibration!sL*SUM(AN13:AO13*AN26:AO26)</f>
        <v>1866361.9754990109</v>
      </c>
      <c r="AP52" s="29">
        <f t="array" ref="AP52">Calibration!sL*SUM(AP13:AQ13*AP26:AQ26)</f>
        <v>1847510.9029635857</v>
      </c>
      <c r="AQ52" s="29"/>
      <c r="AR52" s="29">
        <f t="array" ref="AR52">Calibration!sL*SUM(AR13:AS13*AR26:AS26)</f>
        <v>1822567.8822014434</v>
      </c>
      <c r="AT52" s="29">
        <f t="array" ref="AT52">Calibration!sL*SUM(AT13:AU13*AT26:AU26)</f>
        <v>1786600.2981675698</v>
      </c>
      <c r="AV52" s="29">
        <f t="array" ref="AV52">Calibration!sL*SUM(AV13:AW13*AV26:AW26)</f>
        <v>1724463.4145367201</v>
      </c>
    </row>
    <row r="53" spans="1:48 16321:16384" x14ac:dyDescent="0.2">
      <c r="A53" t="s">
        <v>168</v>
      </c>
      <c r="B53" s="29">
        <f t="array" ref="B53">Calibration!sK*SUM(B15:C15*B27:C27)</f>
        <v>2740714.444429684</v>
      </c>
      <c r="D53" s="29">
        <f t="array" ref="D53">Calibration!sK*SUM(D15:E15*D27:E27)</f>
        <v>2726340.8638724023</v>
      </c>
      <c r="F53" s="29">
        <f t="array" ref="F53">Calibration!sK*SUM(F15:G15*F27:G27)</f>
        <v>2711687.6687919595</v>
      </c>
      <c r="H53" s="29">
        <f t="array" ref="H53">Calibration!sK*SUM(H15:I15*H27:I27)</f>
        <v>2696718.9385040007</v>
      </c>
      <c r="J53" s="29">
        <f t="array" ref="J53">Calibration!sK*SUM(J15:K15*J27:K27)</f>
        <v>2681392.2653195807</v>
      </c>
      <c r="L53" s="29">
        <f t="array" ref="L53">Calibration!sK*SUM(L15:M15*L27:M27)</f>
        <v>2665657.30723739</v>
      </c>
      <c r="N53" s="29">
        <f t="array" ref="N53">Calibration!sK*SUM(N15:O15*N27:O27)</f>
        <v>2649454.1614209064</v>
      </c>
      <c r="P53" s="29">
        <f t="array" ref="P53">Calibration!sK*SUM(P15:Q15*P27:Q27)</f>
        <v>2632710.555027267</v>
      </c>
      <c r="R53" s="29">
        <f t="array" ref="R53">Calibration!sK*SUM(R15:S15*R27:S27)</f>
        <v>2615338.5788184851</v>
      </c>
      <c r="T53" s="29">
        <f t="array" ref="T53">Calibration!sK*SUM(T15:U15*T27:U27)</f>
        <v>2597230.2607046817</v>
      </c>
      <c r="V53" s="29">
        <f t="array" ref="V53">Calibration!sK*SUM(V15:W15*V27:W27)</f>
        <v>2578251.2977499659</v>
      </c>
      <c r="X53" s="29">
        <f t="array" ref="X53">Calibration!sK*SUM(X15:Y15*X27:Y27)</f>
        <v>2558232.4878065633</v>
      </c>
      <c r="Z53" s="29">
        <f t="array" ref="Z53">Calibration!sK*SUM(Z15:AA15*Z27:AA27)</f>
        <v>2536956.9294564128</v>
      </c>
      <c r="AB53" s="29">
        <f t="array" ref="AB53">Calibration!sK*SUM(AB15:AC15*AB27:AC27)</f>
        <v>2514141.4370848034</v>
      </c>
      <c r="AD53" s="29">
        <f t="array" ref="AD53">Calibration!sK*SUM(AD15:AE15*AD27:AE27)</f>
        <v>2489406.1148583819</v>
      </c>
      <c r="AF53" s="29">
        <f t="array" ref="AF53">Calibration!sK*SUM(AF15:AG15*AF27:AG27)</f>
        <v>2462219.5256843735</v>
      </c>
      <c r="AH53" s="29">
        <f t="array" ref="AH53">Calibration!sK*SUM(AH15:AI15*AH27:AI27)</f>
        <v>2431775.089085205</v>
      </c>
      <c r="AJ53" s="29">
        <f t="array" ref="AJ53">Calibration!sK*SUM(AJ15:AK15*AJ27:AK27)</f>
        <v>2396598.5500232079</v>
      </c>
      <c r="AL53" s="29">
        <f t="array" ref="AL53">Calibration!sK*SUM(AL15:AM15*AL27:AM27)</f>
        <v>2352736.8826532639</v>
      </c>
      <c r="AN53" s="29">
        <f t="array" ref="AN53">Calibration!sK*SUM(AN15:AO15*AN27:AO27)</f>
        <v>2282432.8592422763</v>
      </c>
      <c r="AP53" s="29">
        <f t="array" ref="AP53">Calibration!sK*SUM(AP15:AQ15*AP27:AQ27)</f>
        <v>2259228.9297747309</v>
      </c>
      <c r="AQ53" s="29"/>
      <c r="AR53" s="29">
        <f t="array" ref="AR53">Calibration!sK*SUM(AR15:AS15*AR27:AS27)</f>
        <v>2228657.5141735864</v>
      </c>
      <c r="AT53" s="29">
        <f t="array" ref="AT53">Calibration!sK*SUM(AT15:AU15*AT27:AU27)</f>
        <v>2184652.4163905312</v>
      </c>
      <c r="AV53" s="29">
        <f t="array" ref="AV53">Calibration!sK*SUM(AV15:AW15*AV27:AW27)</f>
        <v>2108667.2759823133</v>
      </c>
      <c r="XFD53" s="29"/>
    </row>
    <row r="55" spans="1:48 16321:16384" x14ac:dyDescent="0.2">
      <c r="A55" t="s">
        <v>169</v>
      </c>
      <c r="B55" s="193">
        <f>B30/B32</f>
        <v>0.19850271905982084</v>
      </c>
      <c r="D55" s="193">
        <f>D30/D32</f>
        <v>0.20117942667304523</v>
      </c>
      <c r="F55" s="193">
        <f>F30/F32</f>
        <v>0.2038723976440602</v>
      </c>
      <c r="H55" s="193">
        <f>H30/H32</f>
        <v>0.20658517015603567</v>
      </c>
      <c r="J55" s="193">
        <f>J30/J32</f>
        <v>0.20932191595981922</v>
      </c>
      <c r="L55" s="193">
        <f>L30/L32</f>
        <v>0.21208763757860763</v>
      </c>
      <c r="N55" s="193">
        <f>N30/N32</f>
        <v>0.2148884609176554</v>
      </c>
      <c r="P55" s="193">
        <f>P30/P32</f>
        <v>0.21773197311392248</v>
      </c>
      <c r="R55" s="193">
        <f>R30/R32</f>
        <v>0.22062779129311996</v>
      </c>
      <c r="T55" s="193">
        <f>T30/T32</f>
        <v>0.22358841166576851</v>
      </c>
      <c r="V55" s="193">
        <f>V30/V32</f>
        <v>0.22663058400590499</v>
      </c>
      <c r="X55" s="193">
        <f>X30/X32</f>
        <v>0.22977748127598421</v>
      </c>
      <c r="Z55" s="193">
        <f>Z30/Z32</f>
        <v>0.23306277222612515</v>
      </c>
      <c r="AB55" s="193">
        <f>AB30/AB32</f>
        <v>0.23653782966876588</v>
      </c>
      <c r="AD55" s="193">
        <f>AD30/AD32</f>
        <v>0.24028641920566543</v>
      </c>
      <c r="AF55" s="193">
        <f>AF30/AF32</f>
        <v>0.24445615421602454</v>
      </c>
      <c r="AH55" s="193">
        <f>AH30/AH32</f>
        <v>0.2493330773277217</v>
      </c>
      <c r="AJ55" s="193">
        <f>AJ30/AJ32</f>
        <v>0.25553534851182108</v>
      </c>
      <c r="AL55" s="193">
        <f>AL30/AL32</f>
        <v>0.26457184160275055</v>
      </c>
      <c r="AN55" s="193">
        <f>AN30/AN32</f>
        <v>0.28099128200034934</v>
      </c>
      <c r="AP55" s="193">
        <f>AP30/AP32</f>
        <v>0.28643087570726589</v>
      </c>
      <c r="AR55" s="193">
        <f>AR30/AR32</f>
        <v>0.29354651401306719</v>
      </c>
      <c r="AT55" s="193">
        <f>AT30/AT32</f>
        <v>0.30382696935982145</v>
      </c>
      <c r="AV55" s="193">
        <f>AV30/AV32</f>
        <v>0.32219361371531896</v>
      </c>
      <c r="XCS55" s="193"/>
      <c r="XFD55" s="193"/>
    </row>
    <row r="56" spans="1:48 16321:16384" x14ac:dyDescent="0.2">
      <c r="A56" t="s">
        <v>170</v>
      </c>
      <c r="B56" s="193">
        <f>(Model!$C$52*B5*B20+B2*C5*C20)/B32</f>
        <v>2.9221206744340551E-2</v>
      </c>
      <c r="D56" s="193">
        <f>(Model!$C$52*D5*D20+D2*E5*E20)/D32</f>
        <v>3.2073551684822267E-2</v>
      </c>
      <c r="F56" s="193">
        <f>(Model!$C$52*F5*F20+F2*G5*G20)/F32</f>
        <v>3.4946860795890787E-2</v>
      </c>
      <c r="H56" s="193">
        <f>(Model!$C$52*H5*H20+H2*I5*I20)/H32</f>
        <v>3.7845343321931325E-2</v>
      </c>
      <c r="J56" s="193">
        <f>(Model!$C$52*J5*J20+J2*K5*K20)/J32</f>
        <v>4.0773976551413516E-2</v>
      </c>
      <c r="L56" s="193">
        <f>(Model!$C$52*L5*L20+L2*M5*M20)/L32</f>
        <v>4.3738747520937579E-2</v>
      </c>
      <c r="N56" s="193">
        <f>(Model!$C$52*N5*N20+N2*O5*O20)/N32</f>
        <v>4.6747011047105276E-2</v>
      </c>
      <c r="P56" s="193">
        <f>(Model!$C$52*P5*P20+P2*Q5*Q20)/P32</f>
        <v>4.980791741426481E-2</v>
      </c>
      <c r="R56" s="193">
        <f>(Model!$C$52*R5*R20+R2*S5*S20)/R32</f>
        <v>5.293312355659361E-2</v>
      </c>
      <c r="T56" s="193">
        <f>(Model!$C$52*T5*T20+T2*U5*U20)/T32</f>
        <v>5.6137863720807681E-2</v>
      </c>
      <c r="V56" s="193">
        <f>(Model!$C$52*V5*V20+V2*W5*W20)/V32</f>
        <v>5.9442684825693648E-2</v>
      </c>
      <c r="X56" s="193">
        <f>(Model!$C$52*X5*X20+X2*Y5*Y20)/X32</f>
        <v>6.2876224658576993E-2</v>
      </c>
      <c r="Z56" s="193">
        <f>(Model!$C$52*Z5*Z20+Z2*AA5*AA20)/Z32</f>
        <v>6.64803709313221E-2</v>
      </c>
      <c r="AB56" s="193">
        <f>(Model!$C$52*AB5*AB20+AB2*AC5*AC20)/AB32</f>
        <v>7.0319489710049254E-2</v>
      </c>
      <c r="AD56" s="193">
        <f>(Model!$C$52*AD5*AD20+AD2*AE5*AE20)/AD32</f>
        <v>7.4499133695883651E-2</v>
      </c>
      <c r="AF56" s="193">
        <f>(Model!$C$52*AF5*AF20+AF2*AG5*AG20)/AF32</f>
        <v>7.9206035927341087E-2</v>
      </c>
      <c r="AH56" s="193">
        <f>(Model!$C$52*AH5*AH20+AH2*AI5*AI20)/AH32</f>
        <v>8.4802283857448271E-2</v>
      </c>
      <c r="AJ56" s="193">
        <f>(Model!$C$52*AJ5*AJ20+AJ2*AK5*AK20)/AJ32</f>
        <v>9.2067412237253773E-2</v>
      </c>
      <c r="AL56" s="193">
        <f>(Model!$C$52*AL5*AL20+AL2*AM5*AM20)/AL32</f>
        <v>0.10288484580533619</v>
      </c>
      <c r="AN56" s="193">
        <f>(Model!$C$52*AN5*AN20+AN2*AO5*AO20)/AN32</f>
        <v>0.12283847612555747</v>
      </c>
      <c r="AP56" s="193">
        <f>(Model!$C$52*AP5*AP20+AP2*AQ5*AQ20)/AP32</f>
        <v>0.12947181363555021</v>
      </c>
      <c r="AR56" s="193">
        <f>(Model!$C$52*AR5*AR20+AR2*AS5*AS20)/AR32</f>
        <v>0.13815220136849168</v>
      </c>
      <c r="AT56" s="193">
        <f>(Model!$C$52*AT5*AT20+AT2*AU5*AU20)/AT32</f>
        <v>0.1506951749504179</v>
      </c>
      <c r="AV56" s="193">
        <f>(Model!$C$52*AV5*AV20+AV2*AW5*AW20)/AV32</f>
        <v>0.1731046392381487</v>
      </c>
      <c r="XFD56" s="193"/>
    </row>
    <row r="57" spans="1:48 16321:16384" x14ac:dyDescent="0.2">
      <c r="A57" t="s">
        <v>171</v>
      </c>
      <c r="B57" s="193">
        <f t="array" ref="B57">SUM(Model!tauL*B13:C13*B26:C26)/B32</f>
        <v>0.15852881819439493</v>
      </c>
      <c r="D57" s="193">
        <f t="array" ref="D57">SUM(Model!tauL*D13:E13*D26:E26)/D32</f>
        <v>0.15843636413487411</v>
      </c>
      <c r="F57" s="193">
        <f t="array" ref="F57">SUM(Model!tauL*F13:G13*F26:G26)/F32</f>
        <v>0.15833976117839746</v>
      </c>
      <c r="H57" s="193">
        <f t="array" ref="H57">SUM(Model!tauL*H13:I13*H26:I26)/H32</f>
        <v>0.15823844607949686</v>
      </c>
      <c r="J57" s="193">
        <f t="array" ref="J57">SUM(Model!tauL*J13:K13*J26:K26)/J32</f>
        <v>0.15813174113849859</v>
      </c>
      <c r="L57" s="193">
        <f t="array" ref="L57">SUM(Model!tauL*L13:M13*L26:M26)/L32</f>
        <v>0.15801881452141497</v>
      </c>
      <c r="N57" s="193">
        <f t="array" ref="N57">SUM(Model!tauL*N13:O13*N26:O26)/N32</f>
        <v>0.15789861927794252</v>
      </c>
      <c r="P57" s="193">
        <f t="array" ref="P57">SUM(Model!tauL*P13:Q13*P26:Q26)/P32</f>
        <v>0.15776981341922092</v>
      </c>
      <c r="R57" s="193">
        <f t="array" ref="R57">SUM(Model!tauL*R13:S13*R26:S26)/R32</f>
        <v>0.15763062812112691</v>
      </c>
      <c r="T57" s="193">
        <f t="array" ref="T57">SUM(Model!tauL*T13:U13*T26:U26)/T32</f>
        <v>0.15747866040893704</v>
      </c>
      <c r="V57" s="193">
        <f t="array" ref="V57">SUM(Model!tauL*V13:W13*V26:W26)/V32</f>
        <v>0.15731053351669697</v>
      </c>
      <c r="X57" s="193">
        <f t="array" ref="X57">SUM(Model!tauL*X13:Y13*X26:Y26)/X32</f>
        <v>0.15712131588610687</v>
      </c>
      <c r="Y57" s="193"/>
      <c r="Z57" s="193">
        <f t="array" ref="Z57">SUM(Model!tauL*Z13:AA13*Z26:AA26)/Z32</f>
        <v>0.15690347653627337</v>
      </c>
      <c r="AB57" s="193">
        <f t="array" ref="AB57">SUM(Model!tauL*AB13:AC13*AB26:AC26)/AB32</f>
        <v>0.15664492227736837</v>
      </c>
      <c r="AD57" s="193">
        <f t="array" ref="AD57">SUM(Model!tauL*AD13:AE13*AD26:AE26)/AD32</f>
        <v>0.15632506714999039</v>
      </c>
      <c r="AF57" s="193">
        <f t="array" ref="AF57">SUM(Model!tauL*AF13:AG13*AF26:AG26)/AF32</f>
        <v>0.15590643233869766</v>
      </c>
      <c r="AH57" s="193">
        <f t="array" ref="AH57">SUM(Model!tauL*AH13:AI13*AH26:AI26)/AH32</f>
        <v>0.15531532284432284</v>
      </c>
      <c r="AJ57" s="193">
        <f t="array" ref="AJ57">SUM(Model!tauL*AJ13:AK13*AJ26:AK26)/AJ32</f>
        <v>0.15439418489047141</v>
      </c>
      <c r="AL57" s="193">
        <f t="array" ref="AL57">SUM(Model!tauL*AL13:AM13*AL26:AM26)/AL32</f>
        <v>0.15277747629679331</v>
      </c>
      <c r="AN57" s="193">
        <f t="array" ref="AN57">SUM(Model!tauL*AN13:AO13*AN26:AO26)/AN32</f>
        <v>0.14947111800865212</v>
      </c>
      <c r="AP57" s="193">
        <f t="array" ref="AP57">SUM(Model!tauL*AP13:AQ13*AP26:AQ26)/AP32</f>
        <v>0.14834568962862937</v>
      </c>
      <c r="AR57" s="193">
        <f t="array" ref="AR57">SUM(Model!tauL*AR13:AS13*AR26:AS26)/AR32</f>
        <v>0.14686891028286117</v>
      </c>
      <c r="AT57" s="193">
        <f t="array" ref="AT57">SUM(Model!tauL*AT13:AU13*AT26:AU26)/AT32</f>
        <v>0.14473249294771642</v>
      </c>
      <c r="AV57" s="193">
        <f t="array" ref="AV57">SUM(Model!tauL*AV13:AW13*AV26:AW26)/AV32</f>
        <v>0.14091427176469304</v>
      </c>
      <c r="XFD57" s="193"/>
    </row>
    <row r="58" spans="1:48 16321:16384" x14ac:dyDescent="0.2">
      <c r="A58" t="s">
        <v>172</v>
      </c>
      <c r="B58" s="193">
        <f t="array" ref="B58">SUM(Model!tauY/(1+Model!tauY)*B3:C3*B18:C18)/B32</f>
        <v>1.075269412108535E-2</v>
      </c>
      <c r="D58" s="193">
        <f t="array" ref="D58">SUM(Model!tauY/(1+Model!tauY)*D3:E3*D18:E18)/D32</f>
        <v>1.0669510853348843E-2</v>
      </c>
      <c r="F58" s="193">
        <f t="array" ref="F58">SUM(Model!tauY/(1+Model!tauY)*F3:G3*F18:G18)/F32</f>
        <v>1.0585775669771952E-2</v>
      </c>
      <c r="H58" s="193">
        <f t="array" ref="H58">SUM(Model!tauY/(1+Model!tauY)*H3:I3*H18:I18)/H32</f>
        <v>1.0501380754607473E-2</v>
      </c>
      <c r="J58" s="193">
        <f t="array" ref="J58">SUM(Model!tauY/(1+Model!tauY)*J3:K3*J18:K18)/J32</f>
        <v>1.0416198269907109E-2</v>
      </c>
      <c r="L58" s="193">
        <f t="array" ref="L58">SUM(Model!tauY/(1+Model!tauY)*L3:M3*L18:M18)/L32</f>
        <v>1.0330075536255087E-2</v>
      </c>
      <c r="N58" s="193">
        <f t="array" ref="N58">SUM(Model!tauY/(1+Model!tauY)*N3:O3*N18:O18)/N32</f>
        <v>1.0242830592607605E-2</v>
      </c>
      <c r="P58" s="193">
        <f t="array" ref="P58">SUM(Model!tauY/(1+Model!tauY)*P3:Q3*P18:Q18)/P32</f>
        <v>1.0154242280436765E-2</v>
      </c>
      <c r="R58" s="193">
        <f t="array" ref="R58">SUM(Model!tauY/(1+Model!tauY)*R3:S3*R18:S18)/R32</f>
        <v>1.0064039615399428E-2</v>
      </c>
      <c r="T58" s="193">
        <f t="array" ref="T58">SUM(Model!tauY/(1+Model!tauY)*T3:U3*T18:U18)/T32</f>
        <v>9.9718875360237207E-3</v>
      </c>
      <c r="V58" s="193">
        <f t="array" ref="V58">SUM(Model!tauY/(1+Model!tauY)*V3:W3*V18:W18)/V32</f>
        <v>9.8773656635143467E-3</v>
      </c>
      <c r="X58" s="193">
        <f t="array" ref="X58">SUM(Model!tauY/(1+Model!tauY)*X3:Y3*X18:Y18)/X32</f>
        <v>9.7799407313003614E-3</v>
      </c>
      <c r="Y58" s="193"/>
      <c r="Z58" s="193">
        <f t="array" ref="Z58">SUM(Model!tauY/(1+Model!tauY)*Z3:AA3*Z18:AA18)/Z32</f>
        <v>9.6789247585296959E-3</v>
      </c>
      <c r="AB58" s="193">
        <f t="array" ref="AB58">SUM(Model!tauY/(1+Model!tauY)*AB3:AC3*AB18:AC18)/AB32</f>
        <v>9.5734176813482581E-3</v>
      </c>
      <c r="AD58" s="193">
        <f t="array" ref="AD58">SUM(Model!tauY/(1+Model!tauY)*AD3:AE3*AD18:AE18)/AD32</f>
        <v>9.4622183597913648E-3</v>
      </c>
      <c r="AF58" s="193">
        <f t="array" ref="AF58">SUM(Model!tauY/(1+Model!tauY)*AF3:AG3*AF18:AG18)/AF32</f>
        <v>9.343685949985794E-3</v>
      </c>
      <c r="AH58" s="193">
        <f t="array" ref="AH58">SUM(Model!tauY/(1+Model!tauY)*AH3:AI3*AH18:AI18)/AH32</f>
        <v>9.2154706259505517E-3</v>
      </c>
      <c r="AJ58" s="193">
        <f t="array" ref="AJ58">SUM(Model!tauY/(1+Model!tauY)*AJ3:AK3*AJ18:AK18)/AJ32</f>
        <v>9.0737513840959284E-3</v>
      </c>
      <c r="AL58" s="193">
        <f t="array" ref="AL58">SUM(Model!tauY/(1+Model!tauY)*AL3:AM3*AL18:AM18)/AL32</f>
        <v>8.909519500621044E-3</v>
      </c>
      <c r="AN58" s="193">
        <f t="array" ref="AN58">SUM(Model!tauY/(1+Model!tauY)*AN3:AO3*AN18:AO18)/AN32</f>
        <v>8.6816878661397437E-3</v>
      </c>
      <c r="AP58" s="193">
        <f t="array" ref="AP58">SUM(Model!tauY/(1+Model!tauY)*AP3:AQ3*AP18:AQ18)/AP32</f>
        <v>8.6133724430863534E-3</v>
      </c>
      <c r="AR58" s="193">
        <f t="array" ref="AR58">SUM(Model!tauY/(1+Model!tauY)*AR3:AS3*AR18:AS18)/AR32</f>
        <v>8.5254023617143751E-3</v>
      </c>
      <c r="AT58" s="193">
        <f t="array" ref="AT58">SUM(Model!tauY/(1+Model!tauY)*AT3:AU3*AT18:AU18)/AT32</f>
        <v>8.399301461687202E-3</v>
      </c>
      <c r="AV58" s="193">
        <f t="array" ref="AV58">SUM(Model!tauY/(1+Model!tauY)*AV3:AW3*AV18:AW18)/AV32</f>
        <v>8.1747027124771804E-3</v>
      </c>
      <c r="XFD58" s="193"/>
    </row>
    <row r="59" spans="1:48 16321:16384" x14ac:dyDescent="0.2">
      <c r="A59" t="s">
        <v>173</v>
      </c>
      <c r="B59" s="193">
        <f>(B2*C5*C20)/B32</f>
        <v>5.5174232040962052E-4</v>
      </c>
      <c r="D59" s="193">
        <f>(D2*E5*E20)/D32</f>
        <v>3.454498232322291E-3</v>
      </c>
      <c r="F59" s="193">
        <f>(F2*G5*G20)/F32</f>
        <v>6.3789826464635407E-3</v>
      </c>
      <c r="H59" s="193">
        <f>(H2*I5*I20)/H32</f>
        <v>9.3295269790735977E-3</v>
      </c>
      <c r="J59" s="193">
        <f>(J2*K5*K20)/J32</f>
        <v>1.231125489854344E-2</v>
      </c>
      <c r="L59" s="193">
        <f>(L2*M5*M20)/L32</f>
        <v>1.5330331147320285E-2</v>
      </c>
      <c r="N59" s="193">
        <f>(N2*O5*O20)/N32</f>
        <v>1.8394328820625312E-2</v>
      </c>
      <c r="P59" s="193">
        <f>(P2*Q5*Q20)/P32</f>
        <v>2.1512671341544054E-2</v>
      </c>
      <c r="R59" s="193">
        <f>(R2*S5*S20)/R32</f>
        <v>2.4697363968379481E-2</v>
      </c>
      <c r="T59" s="193">
        <f>(T2*U5*U20)/T32</f>
        <v>2.7964095046493991E-2</v>
      </c>
      <c r="V59" s="193">
        <f>(V2*W5*W20)/V32</f>
        <v>3.1334020240380851E-2</v>
      </c>
      <c r="X59" s="193">
        <f>(X2*Y5*Y20)/X32</f>
        <v>3.4836619173872464E-2</v>
      </c>
      <c r="Z59" s="193">
        <f>(Z2*AA5*AA20)/Z32</f>
        <v>3.8514992475044148E-2</v>
      </c>
      <c r="AB59" s="193">
        <f>(AB2*AC5*AC20)/AB32</f>
        <v>4.2435338405728495E-2</v>
      </c>
      <c r="AD59" s="193">
        <f>(AD2*AE5*AE20)/AD32</f>
        <v>4.6706150364905448E-2</v>
      </c>
      <c r="AF59" s="193">
        <f>(AF2*AG5*AG20)/AF32</f>
        <v>5.15192476250564E-2</v>
      </c>
      <c r="AH59" s="193">
        <f>(AH2*AI5*AI20)/AH32</f>
        <v>5.7246385334045739E-2</v>
      </c>
      <c r="AJ59" s="193">
        <f>(AJ2*AK5*AK20)/AJ32</f>
        <v>6.4687762534293564E-2</v>
      </c>
      <c r="AL59" s="193">
        <f>(AL2*AM5*AM20)/AL32</f>
        <v>7.5778076641982786E-2</v>
      </c>
      <c r="AN59" s="193">
        <f>(AN2*AO5*AO20)/AN32</f>
        <v>9.6268229431933028E-2</v>
      </c>
      <c r="AP59" s="193">
        <f>(AP2*AQ5*AQ20)/AP32</f>
        <v>0.10309017283812864</v>
      </c>
      <c r="AR59" s="193">
        <f>(AR2*AS5*AS20)/AR32</f>
        <v>0.11202426712617172</v>
      </c>
      <c r="AT59" s="193">
        <f>(AT2*AU5*AU20)/AT32</f>
        <v>0.12494483590913474</v>
      </c>
      <c r="AV59" s="193">
        <f>(AV2*AW5*AW20)/AV32</f>
        <v>0.14804936533775057</v>
      </c>
      <c r="XFD59" s="193"/>
    </row>
    <row r="60" spans="1:48 16321:16384" x14ac:dyDescent="0.2">
      <c r="A60" t="s">
        <v>174</v>
      </c>
      <c r="B60" s="193">
        <f>Model!$C$52*B5*B20/B32</f>
        <v>2.8669464423930927E-2</v>
      </c>
      <c r="D60" s="193">
        <f>Model!$C$52*D5*D20/D32</f>
        <v>2.8619053452499973E-2</v>
      </c>
      <c r="F60" s="193">
        <f>Model!$C$52*F5*F20/F32</f>
        <v>2.8567878149427246E-2</v>
      </c>
      <c r="H60" s="193">
        <f>Model!$C$52*H5*H20/H32</f>
        <v>2.8515816342857728E-2</v>
      </c>
      <c r="J60" s="193">
        <f>Model!$C$52*J5*J20/J32</f>
        <v>2.8462721652870074E-2</v>
      </c>
      <c r="L60" s="193">
        <f>Model!$C$52*L5*L20/L32</f>
        <v>2.8408416373617296E-2</v>
      </c>
      <c r="N60" s="193">
        <f>Model!$C$52*N5*N20/N32</f>
        <v>2.8352682226479967E-2</v>
      </c>
      <c r="P60" s="193">
        <f>Model!$C$52*P5*P20/P32</f>
        <v>2.8295246072720749E-2</v>
      </c>
      <c r="R60" s="193">
        <f>Model!$C$52*R5*R20/R32</f>
        <v>2.8235759588214126E-2</v>
      </c>
      <c r="T60" s="193">
        <f>Model!$C$52*T5*T20/T32</f>
        <v>2.817376867431369E-2</v>
      </c>
      <c r="V60" s="193">
        <f>Model!$C$52*V5*V20/V32</f>
        <v>2.8108664585312804E-2</v>
      </c>
      <c r="X60" s="193">
        <f>Model!$C$52*X5*X20/X32</f>
        <v>2.8039605484704536E-2</v>
      </c>
      <c r="Z60" s="193">
        <f>Model!$C$52*Z5*Z20/Z32</f>
        <v>2.7965378456277942E-2</v>
      </c>
      <c r="AB60" s="193">
        <f>Model!$C$52*AB5*AB20/AB32</f>
        <v>2.7884151304320766E-2</v>
      </c>
      <c r="AD60" s="193">
        <f>Model!$C$52*AD5*AD20/AD32</f>
        <v>2.7792983330978207E-2</v>
      </c>
      <c r="AF60" s="193">
        <f>Model!$C$52*AF5*AF20/AF32</f>
        <v>2.7686788302284684E-2</v>
      </c>
      <c r="AH60" s="193">
        <f>Model!$C$52*AH5*AH20/AH32</f>
        <v>2.7555898523402528E-2</v>
      </c>
      <c r="AJ60" s="193">
        <f>Model!$C$52*AJ5*AJ20/AJ32</f>
        <v>2.7379649702960196E-2</v>
      </c>
      <c r="AL60" s="193">
        <f>Model!$C$52*AL5*AL20/AL32</f>
        <v>2.7106769163353406E-2</v>
      </c>
      <c r="AN60" s="193">
        <f>Model!$C$52*AN5*AN20/AN32</f>
        <v>2.6570246693624431E-2</v>
      </c>
      <c r="AP60" s="193">
        <f>Model!$C$52*AP5*AP20/AP32</f>
        <v>2.6381640797421561E-2</v>
      </c>
      <c r="AR60" s="193">
        <f>Model!$C$52*AR5*AR20/AR32</f>
        <v>2.6127934242319961E-2</v>
      </c>
      <c r="AT60" s="193">
        <f>Model!$C$52*AT5*AT20/AT32</f>
        <v>2.5750339041283127E-2</v>
      </c>
      <c r="AV60" s="193">
        <f>Model!$C$52*AV5*AV20/AV32</f>
        <v>2.5055273900398117E-2</v>
      </c>
      <c r="XFD60" s="193"/>
    </row>
    <row r="62" spans="1:48 16321:16384" x14ac:dyDescent="0.2">
      <c r="A62" t="s">
        <v>175</v>
      </c>
      <c r="B62">
        <f>B13/B15</f>
        <v>1</v>
      </c>
      <c r="D62">
        <f>D13/D15</f>
        <v>1.0048862929496136</v>
      </c>
      <c r="F62">
        <f>F13/F15</f>
        <v>1.0098160784455117</v>
      </c>
      <c r="H62">
        <f>H13/H15</f>
        <v>1.0147918789666015</v>
      </c>
      <c r="J62">
        <f>J13/J15</f>
        <v>1.0198165839741449</v>
      </c>
      <c r="L62">
        <f>L13/L15</f>
        <v>1.0248934763004447</v>
      </c>
      <c r="N62">
        <f>N13/N15</f>
        <v>1.0300260875118044</v>
      </c>
      <c r="P62">
        <f>P13/P15</f>
        <v>1.0352182806573624</v>
      </c>
      <c r="R62">
        <f>R13/R15</f>
        <v>1.0404740707875257</v>
      </c>
      <c r="T62">
        <f>T13/T15</f>
        <v>1.0457972499818182</v>
      </c>
      <c r="V62">
        <f>V13/V15</f>
        <v>1.0511907717248521</v>
      </c>
      <c r="X62">
        <f>X13/X15</f>
        <v>1.0566552788114596</v>
      </c>
      <c r="Z62">
        <f>Z13/Z15</f>
        <v>1.0621864843104614</v>
      </c>
      <c r="AB62">
        <f>AB13/AB15</f>
        <v>1.0677695172485759</v>
      </c>
      <c r="AD62">
        <f>AD13/AD15</f>
        <v>1.0733676629247011</v>
      </c>
      <c r="AF62">
        <f>AF13/AF15</f>
        <v>1.0788983899234512</v>
      </c>
      <c r="AH62">
        <f>AH13/AH15</f>
        <v>1.0841832885515954</v>
      </c>
      <c r="AJ62">
        <f>AJ13/AJ15</f>
        <v>1.0888499724528862</v>
      </c>
      <c r="AL62">
        <f>AL13/AL15</f>
        <v>1.0922185885293971</v>
      </c>
      <c r="AN62">
        <f>AN13/AN15</f>
        <v>1.0936218375823616</v>
      </c>
      <c r="AP62">
        <f>AP13/AP15</f>
        <v>1.0936946216574617</v>
      </c>
      <c r="AR62">
        <f>AR13/AR15</f>
        <v>1.0937288948677619</v>
      </c>
      <c r="AT62">
        <f>AT13/AT15</f>
        <v>1.0937406657320958</v>
      </c>
      <c r="AV62">
        <f>AV13/AV15</f>
        <v>1.0937428668160603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0.99927115827391777</v>
      </c>
      <c r="E65" s="191"/>
      <c r="F65" s="191">
        <f t="array" ref="F65">SQRT((F9:G9*$B$22:$C$22+F10:G10*$B$23:$C$23+F11:G11*$B$24:$C$24+F4:G4*($B$25:$C$25-$B$19:$C$19))/($B$9:$C$9*$B$22:$C$22+$B$10:$C$10*$B$23:$C$23+$B$11:$C$11*$B$24:$C$24+$B$4:$C$4*($B$25:$C$25-$B$19:$C$19))*(F9:G9*F22:G22+F10:G10*F23:G23+F11:G11*F24:G24+F4:G4*(F25:G25-F19:G19))/($B$9:$C$9*F22:G22+$B$10:$C$10*F23:G23+$B$11:$C$11*F24:G24+$B$4:$C$4*(F25:G25-F19:G19)))</f>
        <v>0.99854084305511004</v>
      </c>
      <c r="G65" s="191"/>
      <c r="H65" s="191">
        <f t="array" ref="H65">SQRT((H9:I9*$B$22:$C$22+H10:I10*$B$23:$C$23+H11:I11*$B$24:$C$24+H4:I4*($B$25:$C$25-$B$19:$C$19))/($B$9:$C$9*$B$22:$C$22+$B$10:$C$10*$B$23:$C$23+$B$11:$C$11*$B$24:$C$24+$B$4:$C$4*($B$25:$C$25-$B$19:$C$19))*(H9:I9*H22:I22+H10:I10*H23:I23+H11:I11*H24:I24+H4:I4*(H25:I25-H19:I19))/($B$9:$C$9*H22:I22+$B$10:$C$10*H23:I23+$B$11:$C$11*H24:I24+$B$4:$C$4*(H25:I25-H19:I19)))</f>
        <v>0.99780828534795407</v>
      </c>
      <c r="I65" s="191"/>
      <c r="J65" s="191">
        <f t="array" ref="J65">SQRT((J9:K9*$B$22:$C$22+J10:K10*$B$23:$C$23+J11:K11*$B$24:$C$24+J4:K4*($B$25:$C$25-$B$19:$C$19))/($B$9:$C$9*$B$22:$C$22+$B$10:$C$10*$B$23:$C$23+$B$11:$C$11*$B$24:$C$24+$B$4:$C$4*($B$25:$C$25-$B$19:$C$19))*(J9:K9*J22:K22+J10:K10*J23:K23+J11:K11*J24:K24+J4:K4*(J25:K25-J19:K19))/($B$9:$C$9*J22:K22+$B$10:$C$10*J23:K23+$B$11:$C$11*J24:K24+$B$4:$C$4*(J25:K25-J19:K19)))</f>
        <v>0.99707258057414305</v>
      </c>
      <c r="K65" s="191"/>
      <c r="L65" s="191">
        <f t="array" ref="L65">SQRT((L9:M9*$B$22:$C$22+L10:M10*$B$23:$C$23+L11:M11*$B$24:$C$24+L4:M4*($B$25:$C$25-$B$19:$C$19))/($B$9:$C$9*$B$22:$C$22+$B$10:$C$10*$B$23:$C$23+$B$11:$C$11*$B$24:$C$24+$B$4:$C$4*($B$25:$C$25-$B$19:$C$19))*(L9:M9*L22:M22+L10:M10*L23:M23+L11:M11*L24:M24+L4:M4*(L25:M25-L19:M19))/($B$9:$C$9*L22:M22+$B$10:$C$10*L23:M23+$B$11:$C$11*L24:M24+$B$4:$C$4*(L25:M25-L19:M19)))</f>
        <v>0.99633269696854698</v>
      </c>
      <c r="M65" s="191"/>
      <c r="N65" s="191">
        <f t="array" ref="N65">SQRT((N9:O9*$B$22:$C$22+N10:O10*$B$23:$C$23+N11:O11*$B$24:$C$24+N4:O4*($B$25:$C$25-$B$19:$C$19))/($B$9:$C$9*$B$22:$C$22+$B$10:$C$10*$B$23:$C$23+$B$11:$C$11*$B$24:$C$24+$B$4:$C$4*($B$25:$C$25-$B$19:$C$19))*(N9:O9*N22:O22+N10:O10*N23:O23+N11:O11*N24:O24+N4:O4*(N25:O25-N19:O19))/($B$9:$C$9*N22:O22+$B$10:$C$10*N23:O23+$B$11:$C$11*N24:O24+$B$4:$C$4*(N25:O25-N19:O19)))</f>
        <v>0.99558751327755168</v>
      </c>
      <c r="O65" s="191"/>
      <c r="P65" s="191">
        <f t="array" ref="P65">SQRT((P9:Q9*$B$22:$C$22+P10:Q10*$B$23:$C$23+P11:Q11*$B$24:$C$24+P4:Q4*($B$25:$C$25-$B$19:$C$19))/($B$9:$C$9*$B$22:$C$22+$B$10:$C$10*$B$23:$C$23+$B$11:$C$11*$B$24:$C$24+$B$4:$C$4*($B$25:$C$25-$B$19:$C$19))*(P9:Q9*P22:Q22+P10:Q10*P23:Q23+P11:Q11*P24:Q24+P4:Q4*(P25:Q25-P19:Q19))/($B$9:$C$9*P22:Q22+$B$10:$C$10*P23:Q23+$B$11:$C$11*P24:Q24+$B$4:$C$4*(P25:Q25-P19:Q19)))</f>
        <v>0.99483588357995367</v>
      </c>
      <c r="Q65" s="191"/>
      <c r="R65" s="191">
        <f t="array" ref="R65">SQRT((R9:S9*$B$22:$C$22+R10:S10*$B$23:$C$23+R11:S11*$B$24:$C$24+R4:S4*($B$25:$C$25-$B$19:$C$19))/($B$9:$C$9*$B$22:$C$22+$B$10:$C$10*$B$23:$C$23+$B$11:$C$11*$B$24:$C$24+$B$4:$C$4*($B$25:$C$25-$B$19:$C$19))*(R9:S9*R22:S22+R10:S10*R23:S23+R11:S11*R24:S24+R4:S4*(R25:S25-R19:S19))/($B$9:$C$9*R22:S22+$B$10:$C$10*R23:S23+$B$11:$C$11*R24:S24+$B$4:$C$4*(R25:S25-R19:S19)))</f>
        <v>0.99407680390085074</v>
      </c>
      <c r="S65" s="191"/>
      <c r="T65" s="191">
        <f t="array" ref="T65">SQRT((T9:U9*$B$22:$C$22+T10:U10*$B$23:$C$23+T11:U11*$B$24:$C$24+T4:U4*($B$25:$C$25-$B$19:$C$19))/($B$9:$C$9*$B$22:$C$22+$B$10:$C$10*$B$23:$C$23+$B$11:$C$11*$B$24:$C$24+$B$4:$C$4*($B$25:$C$25-$B$19:$C$19))*(T9:U9*T22:U22+T10:U10*T23:U23+T11:U11*T24:U24+T4:U4*(T25:U25-T19:U19))/($B$9:$C$9*T22:U22+$B$10:$C$10*T23:U23+$B$11:$C$11*T24:U24+$B$4:$C$4*(T25:U25-T19:U19)))</f>
        <v>0.99330974798422567</v>
      </c>
      <c r="U65" s="191"/>
      <c r="V65" s="191">
        <f t="array" ref="V65">SQRT((V9:W9*$B$22:$C$22+V10:W10*$B$23:$C$23+V11:W11*$B$24:$C$24+V4:W4*($B$25:$C$25-$B$19:$C$19))/($B$9:$C$9*$B$22:$C$22+$B$10:$C$10*$B$23:$C$23+$B$11:$C$11*$B$24:$C$24+$B$4:$C$4*($B$25:$C$25-$B$19:$C$19))*(V9:W9*V22:W22+V10:W10*V23:W23+V11:W11*V24:W24+V4:W4*(V25:W25-V19:W19))/($B$9:$C$9*V22:W22+$B$10:$C$10*V23:W23+$B$11:$C$11*V24:W24+$B$4:$C$4*(V25:W25-V19:W19)))</f>
        <v>0.99253533289005103</v>
      </c>
      <c r="W65" s="191"/>
      <c r="X65" s="191">
        <f t="array" ref="X65">SQRT((X9:Y9*$B$22:$C$22+X10:Y10*$B$23:$C$23+X11:Y11*$B$24:$C$24+X4:Y4*($B$25:$C$25-$B$19:$C$19))/($B$9:$C$9*$B$22:$C$22+$B$10:$C$10*$B$23:$C$23+$B$11:$C$11*$B$24:$C$24+$B$4:$C$4*($B$25:$C$25-$B$19:$C$19))*(X9:Y9*X22:Y22+X10:Y10*X23:Y23+X11:Y11*X24:Y24+X4:Y4*(X25:Y25-X19:Y19))/($B$9:$C$9*X22:Y22+$B$10:$C$10*X23:Y23+$B$11:$C$11*X24:Y24+$B$4:$C$4*(X25:Y25-X19:Y19)))</f>
        <v>0.99175664539801855</v>
      </c>
      <c r="Y65" s="191"/>
      <c r="Z65" s="191">
        <f t="array" ref="Z65">SQRT((Z9:AA9*$B$22:$C$22+Z10:AA10*$B$23:$C$23+Z11:AA11*$B$24:$C$24+Z4:AA4*($B$25:$C$25-$B$19:$C$19))/($B$9:$C$9*$B$22:$C$22+$B$10:$C$10*$B$23:$C$23+$B$11:$C$11*$B$24:$C$24+$B$4:$C$4*($B$25:$C$25-$B$19:$C$19))*(Z9:AA9*Z22:AA22+Z10:AA10*Z23:AA23+Z11:AA11*Z24:AA24+Z4:AA4*(Z25:AA25-Z19:AA19))/($B$9:$C$9*Z22:AA22+$B$10:$C$10*Z23:AA23+$B$11:$C$11*Z24:AA24+$B$4:$C$4*(Z25:AA25-Z19:AA19)))</f>
        <v>0.9909818977700201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0.99022991941431104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0.98954180907141798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0.98900659054492002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0.9888192868335226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0.98940766240388189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0.9916227839856846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0.99629626093292389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0.99738374968364707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0.9983488951739381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0.99894536186173755</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0.99839569031203346</v>
      </c>
    </row>
    <row r="66" spans="1:48 16384:16384" x14ac:dyDescent="0.2">
      <c r="A66" t="s">
        <v>182</v>
      </c>
      <c r="B66" s="191">
        <f t="array" ref="B66">SQRT((B9:C9*$B$22:$C$22)/($B$9:$C$9*$B$22:$C$22)*(B9:C9*B22:C22)/($B$9:$C$9*B22:C22))</f>
        <v>1</v>
      </c>
      <c r="C66" s="191"/>
      <c r="D66" s="191">
        <f t="array" ref="D66">SQRT((D9:E9*$B$22:$C$22)/($B$9:$C$9*$B$22:$C$22)*(D9:E9*D22:E22)/($B$9:$C$9*D22:E22))</f>
        <v>0.99919878909054793</v>
      </c>
      <c r="E66" s="191"/>
      <c r="F66" s="191">
        <f t="array" ref="F66">SQRT((F9:G9*$B$22:$C$22)/($B$9:$C$9*$B$22:$C$22)*(F9:G9*F22:G22)/($B$9:$C$9*F22:G22))</f>
        <v>0.99839556502205551</v>
      </c>
      <c r="G66" s="191"/>
      <c r="H66" s="191">
        <f t="array" ref="H66">SQRT((H9:I9*$B$22:$C$22)/($B$9:$C$9*$B$22:$C$22)*(H9:I9*H22:I22)/($B$9:$C$9*H22:I22))</f>
        <v>0.99758947895439531</v>
      </c>
      <c r="I66" s="191"/>
      <c r="J66" s="191">
        <f t="array" ref="J66">SQRT((J9:K9*$B$22:$C$22)/($B$9:$C$9*$B$22:$C$22)*(J9:K9*J22:K22)/($B$9:$C$9*J22:K22))</f>
        <v>0.99677953079767623</v>
      </c>
      <c r="K66" s="191"/>
      <c r="L66" s="191">
        <f t="array" ref="L66">SQRT((L9:M9*$B$22:$C$22)/($B$9:$C$9*$B$22:$C$22)*(L9:M9*L22:M22)/($B$9:$C$9*L22:M22))</f>
        <v>0.99596457801895011</v>
      </c>
      <c r="M66" s="191"/>
      <c r="N66" s="191">
        <f t="array" ref="N66">SQRT((N9:O9*$B$22:$C$22)/($B$9:$C$9*$B$22:$C$22)*(N9:O9*N22:O22)/($B$9:$C$9*N22:O22))</f>
        <v>0.99514337677214737</v>
      </c>
      <c r="O66" s="191"/>
      <c r="P66" s="191">
        <f t="array" ref="P66">SQRT((P9:Q9*$B$22:$C$22)/($B$9:$C$9*$B$22:$C$22)*(P9:Q9*P22:Q22)/($B$9:$C$9*P22:Q22))</f>
        <v>0.99431465307389899</v>
      </c>
      <c r="Q66" s="191"/>
      <c r="R66" s="191">
        <f t="array" ref="R66">SQRT((R9:S9*$B$22:$C$22)/($B$9:$C$9*$B$22:$C$22)*(R9:S9*R22:S22)/($B$9:$C$9*R22:S22))</f>
        <v>0.99347728658040679</v>
      </c>
      <c r="S66" s="191"/>
      <c r="T66" s="191">
        <f t="array" ref="T66">SQRT((T9:U9*$B$22:$C$22)/($B$9:$C$9*$B$22:$C$22)*(T9:U9*T22:U22)/($B$9:$C$9*T22:U22))</f>
        <v>0.99263068184624814</v>
      </c>
      <c r="U66" s="191"/>
      <c r="V66" s="191">
        <f t="array" ref="V66">SQRT((V9:W9*$B$22:$C$22)/($B$9:$C$9*$B$22:$C$22)*(V9:W9*V22:W22)/($B$9:$C$9*V22:W22))</f>
        <v>0.99177550546677251</v>
      </c>
      <c r="W66" s="191"/>
      <c r="X66" s="191">
        <f t="array" ref="X66">SQRT((X9:Y9*$B$22:$C$22)/($B$9:$C$9*$B$22:$C$22)*(X9:Y9*X22:Y22)/($B$9:$C$9*X22:Y22))</f>
        <v>0.99091515671826647</v>
      </c>
      <c r="Y66" s="191"/>
      <c r="Z66" s="191">
        <f t="array" ref="Z66">SQRT((Z9:AA9*$B$22:$C$22)/($B$9:$C$9*$B$22:$C$22)*(Z9:AA9*Z22:AA22)/($B$9:$C$9*Z22:AA22))</f>
        <v>0.99005871471511608</v>
      </c>
      <c r="AA66" s="191"/>
      <c r="AB66" s="191">
        <f t="array" ref="AB66">SQRT((AB9:AC9*$B$22:$C$22)/($B$9:$C$9*$B$22:$C$22)*(AB9:AC9*AB22:AC22)/($B$9:$C$9*AB22:AC22))</f>
        <v>0.9892270359083658</v>
      </c>
      <c r="AC66" s="191"/>
      <c r="AD66" s="191">
        <f t="array" ref="AD66">SQRT((AD9:AE9*$B$22:$C$22)/($B$9:$C$9*$B$22:$C$22)*(AD9:AE9*AD22:AE22)/($B$9:$C$9*AD22:AE22))</f>
        <v>0.98846569482775271</v>
      </c>
      <c r="AE66" s="191"/>
      <c r="AF66" s="191">
        <f t="array" ref="AF66">SQRT((AF9:AG9*$B$22:$C$22)/($B$9:$C$9*$B$22:$C$22)*(AF9:AG9*AF22:AG22)/($B$9:$C$9*AF22:AG22))</f>
        <v>0.98787346857198521</v>
      </c>
      <c r="AG66" s="191"/>
      <c r="AH66" s="191">
        <f t="array" ref="AH66">SQRT((AH9:AI9*$B$22:$C$22)/($B$9:$C$9*$B$22:$C$22)*(AH9:AI9*AH22:AI22)/($B$9:$C$9*AH22:AI22))</f>
        <v>0.98766673464924237</v>
      </c>
      <c r="AI66" s="191"/>
      <c r="AJ66" s="191">
        <f t="array" ref="AJ66">SQRT((AJ9:AK9*$B$22:$C$22)/($B$9:$C$9*$B$22:$C$22)*(AJ9:AK9*AJ22:AK22)/($B$9:$C$9*AJ22:AK22))</f>
        <v>0.98831954211949802</v>
      </c>
      <c r="AK66" s="191"/>
      <c r="AL66" s="191">
        <f t="array" ref="AL66">SQRT((AL9:AM9*$B$22:$C$22)/($B$9:$C$9*$B$22:$C$22)*(AL9:AM9*AL22:AM22)/($B$9:$C$9*AL22:AM22))</f>
        <v>0.99077164426174902</v>
      </c>
      <c r="AM66" s="191"/>
      <c r="AN66" s="191">
        <f t="array" ref="AN66">SQRT((AN9:AO9*$B$22:$C$22)/($B$9:$C$9*$B$22:$C$22)*(AN9:AO9*AN22:AO22)/($B$9:$C$9*AN22:AO22))</f>
        <v>0.99592835392891432</v>
      </c>
      <c r="AO66" s="191"/>
      <c r="AP66" s="191">
        <f t="array" ref="AP66">SQRT((AP9:AQ9*$B$22:$C$22)/($B$9:$C$9*$B$22:$C$22)*(AP9:AQ9*AP22:AQ22)/($B$9:$C$9*AP22:AQ22))</f>
        <v>0.99712522703939288</v>
      </c>
      <c r="AQ66" s="191"/>
      <c r="AR66" s="191">
        <f t="array" ref="AR66">SQRT((AR9:AS9*$B$22:$C$22)/($B$9:$C$9*$B$22:$C$22)*(AR9:AS9*AR22:AS22)/($B$9:$C$9*AR22:AS22))</f>
        <v>0.99818650128829378</v>
      </c>
      <c r="AS66" s="191"/>
      <c r="AT66" s="191">
        <f t="array" ref="AT66">SQRT((AT9:AU9*$B$22:$C$22)/($B$9:$C$9*$B$22:$C$22)*(AT9:AU9*AT22:AU22)/($B$9:$C$9*AT22:AU22))</f>
        <v>0.99884193194944559</v>
      </c>
      <c r="AU66" s="191"/>
      <c r="AV66" s="191">
        <f t="array" ref="AV66">SQRT((AV9:AW9*$B$22:$C$22)/($B$9:$C$9*$B$22:$C$22)*(AV9:AW9*AV22:AW22)/($B$9:$C$9*AV22:AW22))</f>
        <v>0.99823793484082868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0.99919878909054793</v>
      </c>
      <c r="E68" s="191"/>
      <c r="F68" s="191">
        <f>F66/F67</f>
        <v>0.99839556502205551</v>
      </c>
      <c r="G68" s="191"/>
      <c r="H68" s="191">
        <f>H66/H67</f>
        <v>0.99758947895439531</v>
      </c>
      <c r="I68" s="191"/>
      <c r="J68" s="191">
        <f>J66/J67</f>
        <v>0.99677953079767623</v>
      </c>
      <c r="K68" s="191"/>
      <c r="L68" s="191">
        <f>L66/L67</f>
        <v>0.99596457801895011</v>
      </c>
      <c r="M68" s="191"/>
      <c r="N68" s="191">
        <f>N66/N67</f>
        <v>0.99514337677214737</v>
      </c>
      <c r="O68" s="191"/>
      <c r="P68" s="191">
        <f>P66/P67</f>
        <v>0.99431465307389899</v>
      </c>
      <c r="Q68" s="191"/>
      <c r="R68" s="191">
        <f>R66/R67</f>
        <v>0.99347728658040679</v>
      </c>
      <c r="S68" s="191"/>
      <c r="T68" s="191">
        <f>T66/T67</f>
        <v>0.99263068184624814</v>
      </c>
      <c r="U68" s="191"/>
      <c r="V68" s="191">
        <f>V66/V67</f>
        <v>0.99177550546677251</v>
      </c>
      <c r="W68" s="191"/>
      <c r="X68" s="191">
        <f>X66/X67</f>
        <v>0.99091515671826647</v>
      </c>
      <c r="Y68" s="191"/>
      <c r="Z68" s="191">
        <f>Z66/Z67</f>
        <v>0.99005871471511608</v>
      </c>
      <c r="AA68" s="191"/>
      <c r="AB68" s="191">
        <f>AB66/AB67</f>
        <v>0.9892270359083658</v>
      </c>
      <c r="AC68" s="191"/>
      <c r="AD68" s="191">
        <f>AD66/AD67</f>
        <v>0.98846569482775271</v>
      </c>
      <c r="AE68" s="191"/>
      <c r="AF68" s="191">
        <f>AF66/AF67</f>
        <v>0.98787346857198521</v>
      </c>
      <c r="AG68" s="191"/>
      <c r="AH68" s="191">
        <f>AH66/AH67</f>
        <v>0.98766673464924237</v>
      </c>
      <c r="AI68" s="191"/>
      <c r="AJ68" s="191">
        <f>AJ66/AJ67</f>
        <v>0.98831954211949802</v>
      </c>
      <c r="AK68" s="191"/>
      <c r="AL68" s="191">
        <f>AL66/AL67</f>
        <v>0.99077164426174902</v>
      </c>
      <c r="AM68" s="191"/>
      <c r="AN68" s="191">
        <f>AN66/AN67</f>
        <v>0.99592835392891432</v>
      </c>
      <c r="AO68" s="191"/>
      <c r="AP68" s="191">
        <f>AP66/AP67</f>
        <v>0.99712522703939288</v>
      </c>
      <c r="AQ68" s="191"/>
      <c r="AR68" s="191">
        <f>AR66/AR67</f>
        <v>0.99818650128829378</v>
      </c>
      <c r="AS68" s="191"/>
      <c r="AT68" s="191">
        <f>AT66/AT67</f>
        <v>0.99884193194944559</v>
      </c>
      <c r="AU68" s="191"/>
      <c r="AV68" s="191">
        <f>AV66/AV67</f>
        <v>0.99823793484082868</v>
      </c>
      <c r="XFD68" s="191"/>
    </row>
    <row r="69" spans="1:48 16384:16384" x14ac:dyDescent="0.2">
      <c r="A69" t="s">
        <v>177</v>
      </c>
      <c r="B69" s="191">
        <f>B32/B65/($B$32)</f>
        <v>1</v>
      </c>
      <c r="C69" s="191"/>
      <c r="D69" s="191">
        <f>D32/D65/($B$32)</f>
        <v>1.0009290317805519</v>
      </c>
      <c r="E69" s="191"/>
      <c r="F69" s="191">
        <f>F32/F65/($B$32)</f>
        <v>1.0017758591036798</v>
      </c>
      <c r="G69" s="191"/>
      <c r="H69" s="191">
        <f>H32/H65/($B$32)</f>
        <v>1.00253140504972</v>
      </c>
      <c r="I69" s="191"/>
      <c r="J69" s="191">
        <f>J32/J65/($B$32)</f>
        <v>1.0031849950639238</v>
      </c>
      <c r="K69" s="191"/>
      <c r="L69" s="191">
        <f>L32/L65/($B$32)</f>
        <v>1.0037239707108325</v>
      </c>
      <c r="M69" s="191"/>
      <c r="N69" s="191">
        <f>N32/N65/($B$32)</f>
        <v>1.0041331243349725</v>
      </c>
      <c r="O69" s="191"/>
      <c r="P69" s="191">
        <f>P32/P65/($B$32)</f>
        <v>1.0043940350125524</v>
      </c>
      <c r="Q69" s="191"/>
      <c r="R69" s="191">
        <f>R32/R65/($B$32)</f>
        <v>1.0044841006773972</v>
      </c>
      <c r="S69" s="191"/>
      <c r="T69" s="191">
        <f>T32/T65/($B$32)</f>
        <v>1.0043751830038796</v>
      </c>
      <c r="U69" s="191"/>
      <c r="V69" s="191">
        <f>V32/V65/($B$32)</f>
        <v>1.0040317269219552</v>
      </c>
      <c r="W69" s="191"/>
      <c r="X69" s="191">
        <f>X32/X65/($B$32)</f>
        <v>1.0034079631511488</v>
      </c>
      <c r="Y69" s="191"/>
      <c r="Z69" s="191">
        <f>Z32/Z65/($B$32)</f>
        <v>1.0024437454346353</v>
      </c>
      <c r="AA69" s="191"/>
      <c r="AB69" s="191">
        <f>AB32/AB65/($B$32)</f>
        <v>1.001058118149873</v>
      </c>
      <c r="AC69" s="191"/>
      <c r="AD69" s="191">
        <f>AD32/AD65/($B$32)</f>
        <v>0.99913901279360551</v>
      </c>
      <c r="AE69" s="191"/>
      <c r="AF69" s="191">
        <f>AF32/AF65/($B$32)</f>
        <v>0.99652576128428461</v>
      </c>
      <c r="AG69" s="191"/>
      <c r="AH69" s="191">
        <f>AH32/AH65/($B$32)</f>
        <v>0.99297728737602919</v>
      </c>
      <c r="AI69" s="191"/>
      <c r="AJ69" s="191">
        <f>AJ32/AJ65/($B$32)</f>
        <v>0.98810150692235255</v>
      </c>
      <c r="AK69" s="191"/>
      <c r="AL69" s="191">
        <f>AL32/AL65/($B$32)</f>
        <v>0.98111864537153559</v>
      </c>
      <c r="AM69" s="191"/>
      <c r="AN69" s="191">
        <f>AN32/AN65/($B$32)</f>
        <v>0.96953576595554158</v>
      </c>
      <c r="AO69" s="191"/>
      <c r="AP69" s="191">
        <f>AP32/AP65/($B$32)</f>
        <v>0.96596975922516826</v>
      </c>
      <c r="AQ69" s="191"/>
      <c r="AR69" s="191">
        <f>AR32/AR65/($B$32)</f>
        <v>0.96157959500641299</v>
      </c>
      <c r="AS69" s="191"/>
      <c r="AT69" s="191">
        <f>AT32/AT65/($B$32)</f>
        <v>0.95594601043471894</v>
      </c>
      <c r="AU69" s="191"/>
      <c r="AV69" s="191">
        <f>AV32/AV65/($B$32)</f>
        <v>0.94822204330285609</v>
      </c>
    </row>
    <row r="70" spans="1:48 16384:16384" x14ac:dyDescent="0.2">
      <c r="A70" t="s">
        <v>178</v>
      </c>
      <c r="B70" s="138">
        <f>B18/$B$18</f>
        <v>1</v>
      </c>
      <c r="C70" s="138"/>
      <c r="D70" s="138">
        <f>D18/$B$18</f>
        <v>0.9995619354861992</v>
      </c>
      <c r="E70" s="138"/>
      <c r="F70" s="138">
        <f>F18/$B$18</f>
        <v>0.99901344584572704</v>
      </c>
      <c r="G70" s="138"/>
      <c r="H70" s="138">
        <f>H18/$B$18</f>
        <v>0.99834188072151342</v>
      </c>
      <c r="I70" s="138"/>
      <c r="J70" s="138">
        <f>J18/$B$18</f>
        <v>0.99753227754177798</v>
      </c>
      <c r="K70" s="138"/>
      <c r="L70" s="138">
        <f>L18/$B$18</f>
        <v>0.99656673897055603</v>
      </c>
      <c r="M70" s="138"/>
      <c r="N70" s="138">
        <f>N18/$B$18</f>
        <v>0.99542354764846219</v>
      </c>
      <c r="O70" s="138"/>
      <c r="P70" s="138">
        <f>P18/$B$18</f>
        <v>0.9940759992181043</v>
      </c>
      <c r="Q70" s="138"/>
      <c r="R70" s="138">
        <f>R18/$B$18</f>
        <v>0.9924906789454685</v>
      </c>
      <c r="S70" s="138"/>
      <c r="T70" s="138">
        <f>T18/$B$18</f>
        <v>0.99062492092978105</v>
      </c>
      <c r="U70" s="138"/>
      <c r="V70" s="138">
        <f>V18/$B$18</f>
        <v>0.98842295585269091</v>
      </c>
      <c r="W70" s="138"/>
      <c r="X70" s="138">
        <f>X18/$B$18</f>
        <v>0.98580980583653055</v>
      </c>
      <c r="Y70" s="138"/>
      <c r="Z70" s="138">
        <f>Z18/$B$18</f>
        <v>0.98268111135675673</v>
      </c>
      <c r="AA70" s="138"/>
      <c r="AB70" s="138">
        <f>AB18/$B$18</f>
        <v>0.97888549992848017</v>
      </c>
      <c r="AC70" s="138"/>
      <c r="AD70" s="138">
        <f>AD18/$B$18</f>
        <v>0.97419176936830443</v>
      </c>
      <c r="AE70" s="138"/>
      <c r="AF70" s="138">
        <f>AF18/$B$18</f>
        <v>0.96822332571457526</v>
      </c>
      <c r="AG70" s="138"/>
      <c r="AH70" s="138">
        <f>AH18/$B$18</f>
        <v>0.96031543171579581</v>
      </c>
      <c r="AI70" s="138"/>
      <c r="AJ70" s="138">
        <f>AJ18/$B$18</f>
        <v>0.94917052353334042</v>
      </c>
      <c r="AK70" s="138"/>
      <c r="AL70" s="138">
        <f>AL18/$B$18</f>
        <v>0.93190731613110722</v>
      </c>
      <c r="AM70" s="138"/>
      <c r="AN70" s="138">
        <f>AN18/$B$18</f>
        <v>0.90034872360610374</v>
      </c>
      <c r="AO70" s="138"/>
      <c r="AP70" s="138">
        <f>AP18/$B$18</f>
        <v>0.89014200029598323</v>
      </c>
      <c r="AQ70" s="138"/>
      <c r="AR70" s="138">
        <f>AR18/$B$18</f>
        <v>0.87711595927383557</v>
      </c>
      <c r="AS70" s="138"/>
      <c r="AT70" s="138">
        <f>AT18/$B$18</f>
        <v>0.85909879297122604</v>
      </c>
      <c r="AU70" s="138"/>
      <c r="AV70" s="138">
        <f>AV18/$B$18</f>
        <v>0.82940167943449739</v>
      </c>
    </row>
    <row r="71" spans="1:48 16384:16384" x14ac:dyDescent="0.2">
      <c r="A71" t="s">
        <v>179</v>
      </c>
      <c r="B71" s="138">
        <f>C18/$C$18</f>
        <v>1</v>
      </c>
      <c r="D71" s="138">
        <f>E18/$C$18</f>
        <v>0.93691859722970561</v>
      </c>
      <c r="E71" s="138"/>
      <c r="F71" s="138">
        <f>G18/$C$18</f>
        <v>0.87406323923951235</v>
      </c>
      <c r="G71" s="138"/>
      <c r="H71" s="138">
        <f>I18/$C$18</f>
        <v>0.81145935520541035</v>
      </c>
      <c r="I71" s="138"/>
      <c r="J71" s="138">
        <f>K18/$C$18</f>
        <v>0.74913691525499415</v>
      </c>
      <c r="K71" s="138"/>
      <c r="L71" s="138">
        <f>M18/$C$18</f>
        <v>0.68713205130831723</v>
      </c>
      <c r="M71" s="138"/>
      <c r="N71" s="138">
        <f>O18/$C$18</f>
        <v>0.62549036586170759</v>
      </c>
      <c r="O71" s="138"/>
      <c r="P71" s="138">
        <f>Q18/$C$18</f>
        <v>0.56426956346564039</v>
      </c>
      <c r="Q71" s="138"/>
      <c r="R71" s="138">
        <f>S18/$C$18</f>
        <v>0.50354495884308348</v>
      </c>
      <c r="S71" s="138"/>
      <c r="T71" s="138">
        <f>U18/$C$18</f>
        <v>0.443417981563277</v>
      </c>
      <c r="U71" s="138"/>
      <c r="V71" s="138">
        <f>W18/$C$18</f>
        <v>0.38402869246970339</v>
      </c>
      <c r="W71" s="138"/>
      <c r="X71" s="138">
        <f>Y18/$C$18</f>
        <v>0.32557737436511497</v>
      </c>
      <c r="Y71" s="138"/>
      <c r="Z71" s="138">
        <f>AA18/$C$18</f>
        <v>0.26835859664693179</v>
      </c>
      <c r="AA71" s="138"/>
      <c r="AB71" s="138">
        <f>AC18/$C$18</f>
        <v>0.21282207388581209</v>
      </c>
      <c r="AC71" s="138"/>
      <c r="AD71" s="138">
        <f>AE18/$C$18</f>
        <v>0.15967764245535884</v>
      </c>
      <c r="AE71" s="138"/>
      <c r="AF71" s="138">
        <f>AG18/$C$18</f>
        <v>0.11008480687586361</v>
      </c>
      <c r="AG71" s="138"/>
      <c r="AH71" s="138">
        <f>AI18/$C$18</f>
        <v>6.5980256069121543E-2</v>
      </c>
      <c r="AI71" s="138"/>
      <c r="AJ71" s="138">
        <f>AK18/$C$18</f>
        <v>3.054083238136409E-2</v>
      </c>
      <c r="AK71" s="138"/>
      <c r="AL71" s="138">
        <f>AM18/$C$18</f>
        <v>8.11717207380366E-3</v>
      </c>
      <c r="AM71" s="138"/>
      <c r="AN71" s="138">
        <f>AO18/$C$18</f>
        <v>4.7022980519830621E-4</v>
      </c>
      <c r="AO71" s="138"/>
      <c r="AP71" s="138">
        <f>AQ18/$C$18</f>
        <v>1.6787050310630659E-4</v>
      </c>
      <c r="AQ71" s="138"/>
      <c r="AR71" s="138">
        <f>AS18/$C$18</f>
        <v>4.2072175526286702E-5</v>
      </c>
      <c r="AS71" s="138"/>
      <c r="AT71" s="138">
        <f>AU18/$C$18</f>
        <v>5.5067970604870087E-6</v>
      </c>
      <c r="AU71" s="138"/>
      <c r="AV71" s="138">
        <f>AW18/$C$18</f>
        <v>1.4570892817236806E-7</v>
      </c>
      <c r="XFD71" s="138"/>
    </row>
    <row r="72" spans="1:48 16384:16384" x14ac:dyDescent="0.2">
      <c r="A72" t="s">
        <v>180</v>
      </c>
      <c r="B72" s="138">
        <f>C19/$C$19</f>
        <v>1</v>
      </c>
      <c r="D72" s="138">
        <f>E19/$C$19</f>
        <v>0.9983737774994218</v>
      </c>
      <c r="E72" s="138"/>
      <c r="F72" s="138">
        <f>G19/$C$19</f>
        <v>0.99748640951428236</v>
      </c>
      <c r="G72" s="138"/>
      <c r="H72" s="138">
        <f>I19/$C$19</f>
        <v>0.99740522560178468</v>
      </c>
      <c r="I72" s="138"/>
      <c r="J72" s="138">
        <f>K19/$C$19</f>
        <v>0.99820289629620962</v>
      </c>
      <c r="K72" s="138"/>
      <c r="L72" s="138">
        <f>M19/$C$19</f>
        <v>0.99995621075615093</v>
      </c>
      <c r="M72" s="138"/>
      <c r="N72" s="138">
        <f>O19/$C$19</f>
        <v>1.0027435723641978</v>
      </c>
      <c r="O72" s="138"/>
      <c r="P72" s="138">
        <f>Q19/$C$19</f>
        <v>1.0066377604889725</v>
      </c>
      <c r="Q72" s="138"/>
      <c r="R72" s="138">
        <f>S19/$C$19</f>
        <v>1.0116936159640759</v>
      </c>
      <c r="S72" s="138"/>
      <c r="T72" s="138">
        <f>U19/$C$19</f>
        <v>1.0179244783489587</v>
      </c>
      <c r="U72" s="138"/>
      <c r="V72" s="138">
        <f>W19/$C$19</f>
        <v>1.0252576311506076</v>
      </c>
      <c r="W72" s="138"/>
      <c r="X72" s="138">
        <f>Y19/$C$19</f>
        <v>1.0334476201206686</v>
      </c>
      <c r="Y72" s="138"/>
      <c r="Z72" s="138">
        <f>AA19/$C$19</f>
        <v>1.0419111559615015</v>
      </c>
      <c r="AA72" s="138"/>
      <c r="AB72" s="138">
        <f>AC19/$C$19</f>
        <v>1.049390455117579</v>
      </c>
      <c r="AC72" s="138"/>
      <c r="AD72" s="138">
        <f>AE19/$C$19</f>
        <v>1.0532571893216165</v>
      </c>
      <c r="AE72" s="138"/>
      <c r="AF72" s="138">
        <f>AG19/$C$19</f>
        <v>1.0480042594466978</v>
      </c>
      <c r="AG72" s="138"/>
      <c r="AH72" s="138">
        <f>AI19/$C$19</f>
        <v>1.0218901728077379</v>
      </c>
      <c r="AI72" s="138"/>
      <c r="AJ72" s="138">
        <f>AK19/$C$19</f>
        <v>0.94966589314854821</v>
      </c>
      <c r="AK72" s="138"/>
      <c r="AL72" s="138">
        <f>AM19/$C$19</f>
        <v>0.78104828839230334</v>
      </c>
      <c r="AM72" s="138"/>
      <c r="AN72" s="138">
        <f>AO19/$C$19</f>
        <v>0.45313078520502292</v>
      </c>
      <c r="AO72" s="138"/>
      <c r="AP72" s="138">
        <f>AQ19/$C$19</f>
        <v>0.36826127706922462</v>
      </c>
      <c r="AQ72" s="138"/>
      <c r="AR72" s="138">
        <f>AS19/$C$19</f>
        <v>0.27911616784630372</v>
      </c>
      <c r="AS72" s="138"/>
      <c r="AT72" s="138">
        <f>AU19/$C$19</f>
        <v>0.18715609080433582</v>
      </c>
      <c r="AU72" s="138"/>
      <c r="AV72" s="138">
        <f>AW19/$C$19</f>
        <v>9.3778980117080843E-2</v>
      </c>
      <c r="XFD72" s="138"/>
    </row>
    <row r="73" spans="1:48 16384:16384" x14ac:dyDescent="0.2">
      <c r="A73" t="s">
        <v>184</v>
      </c>
      <c r="B73" s="193">
        <f t="array" ref="B73">SUM(B9:C9*B22:C22)/B32</f>
        <v>0.47641153352875065</v>
      </c>
      <c r="D73" s="193">
        <f t="array" ref="D73">SUM(D9:E9*D22:E22)/D32</f>
        <v>0.47482837059674021</v>
      </c>
      <c r="E73" s="138"/>
      <c r="F73" s="193">
        <f t="array" ref="F73">SUM(F9:G9*F22:G22)/F32</f>
        <v>0.47323549969750017</v>
      </c>
      <c r="G73" s="138"/>
      <c r="H73" s="193">
        <f t="array" ref="H73">SUM(H9:I9*H22:I22)/H32</f>
        <v>0.47163085668921867</v>
      </c>
      <c r="I73" s="138"/>
      <c r="J73" s="193">
        <f t="array" ref="J73">SUM(J9:K9*J22:K22)/J32</f>
        <v>0.47001195839294146</v>
      </c>
      <c r="K73" s="138"/>
      <c r="L73" s="193">
        <f t="array" ref="L73">SUM(L9:M9*L22:M22)/L32</f>
        <v>0.46837581530466332</v>
      </c>
      <c r="M73" s="138"/>
      <c r="N73" s="193">
        <f t="array" ref="N73">SUM(N9:O9*N22:O22)/N32</f>
        <v>0.46671880941268135</v>
      </c>
      <c r="O73" s="138"/>
      <c r="P73" s="193">
        <f t="array" ref="P73">SUM(P9:Q9*P22:Q22)/P32</f>
        <v>0.46503642705364528</v>
      </c>
      <c r="Q73" s="138"/>
      <c r="R73" s="193">
        <f t="array" ref="R73">SUM(R9:S9*R22:S22)/R32</f>
        <v>0.46332295195357737</v>
      </c>
      <c r="S73" s="138"/>
      <c r="T73" s="193">
        <f t="array" ref="T73">SUM(T9:U9*T22:U22)/T32</f>
        <v>0.46157095151074934</v>
      </c>
      <c r="U73" s="138"/>
      <c r="V73" s="193">
        <f t="array" ref="V73">SUM(V9:W9*V22:W22)/V32</f>
        <v>0.45977048841516205</v>
      </c>
      <c r="W73" s="138"/>
      <c r="X73" s="193">
        <f t="array" ref="X73">SUM(X9:Y9*X22:Y22)/X32</f>
        <v>0.45790775589753446</v>
      </c>
      <c r="Y73" s="138"/>
      <c r="Z73" s="193">
        <f t="array" ref="Z73">SUM(Z9:AA9*Z22:AA22)/Z32</f>
        <v>0.45596274826835226</v>
      </c>
      <c r="AA73" s="138"/>
      <c r="AB73" s="193">
        <f t="array" ref="AB73">SUM(AB9:AC9*AB22:AC22)/AB32</f>
        <v>0.45390488274341523</v>
      </c>
      <c r="AC73" s="138"/>
      <c r="AD73" s="193">
        <f t="array" ref="AD73">SUM(AD9:AE9*AD22:AE22)/AD32</f>
        <v>0.45168431490477279</v>
      </c>
      <c r="AE73" s="138"/>
      <c r="AF73" s="193">
        <f t="array" ref="AF73">SUM(AF9:AG9*AF22:AG22)/AF32</f>
        <v>0.44921311174945205</v>
      </c>
      <c r="AG73" s="138"/>
      <c r="AH73" s="193">
        <f t="array" ref="AH73">SUM(AH9:AI9*AH22:AI22)/AH32</f>
        <v>0.44632098199987708</v>
      </c>
      <c r="AI73" s="138"/>
      <c r="AJ73" s="193">
        <f t="array" ref="AJ73">SUM(AJ9:AK9*AJ22:AK22)/AJ32</f>
        <v>0.44263983996596695</v>
      </c>
      <c r="AK73" s="138"/>
      <c r="AL73" s="193">
        <f t="array" ref="AL73">SUM(AL9:AM9*AL22:AM22)/AL32</f>
        <v>0.43727160184619834</v>
      </c>
      <c r="AM73" s="138"/>
      <c r="AN73" s="193">
        <f t="array" ref="AN73">SUM(AN9:AO9*AN22:AO22)/AN32</f>
        <v>0.42751079751848503</v>
      </c>
      <c r="AO73" s="138"/>
      <c r="AP73" s="193">
        <f t="array" ref="AP73">SUM(AP9:AQ9*AP22:AQ22)/AP32</f>
        <v>0.42427660114552801</v>
      </c>
      <c r="AQ73" s="138"/>
      <c r="AR73" s="193">
        <f t="array" ref="AR73">SUM(AR9:AS9*AR22:AS22)/AR32</f>
        <v>0.42004580342948489</v>
      </c>
      <c r="AS73" s="138"/>
      <c r="AT73" s="193">
        <f t="array" ref="AT73">SUM(AT9:AU9*AT22:AU22)/AT32</f>
        <v>0.41393322640664876</v>
      </c>
      <c r="AU73" s="138"/>
      <c r="AV73" s="193">
        <f t="array" ref="AV73">SUM(AV9:AW9*AV22:AW22)/AV32</f>
        <v>0.40301271945887085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0.22604620456442481</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0.22196755462056672</v>
      </c>
      <c r="E75" s="138"/>
      <c r="F75" s="193">
        <f t="array" ref="F75">SUM(F11:G11*F24:G24)/F32</f>
        <v>0.22356042231238907</v>
      </c>
      <c r="G75" s="138"/>
      <c r="H75" s="193">
        <f t="array" ref="H75">SUM(H11:I11*H24:I24)/H32</f>
        <v>0.22516506542028569</v>
      </c>
      <c r="I75" s="138"/>
      <c r="J75" s="193">
        <f t="array" ref="J75">SUM(J11:K11*J24:K24)/J32</f>
        <v>0.22678396572054413</v>
      </c>
      <c r="K75" s="138"/>
      <c r="L75" s="193">
        <f t="array" ref="L75">SUM(L11:M11*L24:M24)/L32</f>
        <v>0.22842010694520321</v>
      </c>
      <c r="M75" s="138"/>
      <c r="N75" s="193">
        <f t="array" ref="N75">SUM(N11:O11*N24:O24)/N32</f>
        <v>0.23007711309661039</v>
      </c>
      <c r="O75" s="138"/>
      <c r="P75" s="193">
        <f t="array" ref="P75">SUM(P11:Q11*P24:Q24)/P32</f>
        <v>0.23175949685383118</v>
      </c>
      <c r="Q75" s="138"/>
      <c r="R75" s="193">
        <f t="array" ref="R75">SUM(R11:S11*R24:S24)/R32</f>
        <v>0.23347297234903472</v>
      </c>
      <c r="S75" s="138"/>
      <c r="T75" s="193">
        <f t="array" ref="T75">SUM(T11:U11*T24:U24)/T32</f>
        <v>0.2352249709624642</v>
      </c>
      <c r="U75" s="138"/>
      <c r="V75" s="193">
        <f t="array" ref="V75">SUM(V11:W11*V24:W24)/V32</f>
        <v>0.23702543668417309</v>
      </c>
      <c r="W75" s="138"/>
      <c r="X75" s="193">
        <f t="array" ref="X75">SUM(X11:Y11*X24:Y24)/X32</f>
        <v>0.23888816609917227</v>
      </c>
      <c r="Y75" s="138"/>
      <c r="Z75" s="193">
        <f t="array" ref="Z75">SUM(Z11:AA11*Z24:AA24)/Z32</f>
        <v>0.24083317398112575</v>
      </c>
      <c r="AA75" s="138"/>
      <c r="AB75" s="193">
        <f t="array" ref="AB75">SUM(AB11:AC11*AB24:AC24)/AB32</f>
        <v>0.24289103915778387</v>
      </c>
      <c r="AC75" s="138"/>
      <c r="AD75" s="193">
        <f t="array" ref="AD75">SUM(AD11:AE11*AD24:AE24)/AD32</f>
        <v>0.2451116118722626</v>
      </c>
      <c r="AE75" s="138"/>
      <c r="AF75" s="193">
        <f t="array" ref="AF75">SUM(AF11:AG11*AF24:AG24)/AF32</f>
        <v>0.24758281013710606</v>
      </c>
      <c r="AG75" s="138"/>
      <c r="AH75" s="193">
        <f t="array" ref="AH75">SUM(AH11:AI11*AH24:AI24)/AH32</f>
        <v>0.25047494005866289</v>
      </c>
      <c r="AI75" s="138"/>
      <c r="AJ75" s="193">
        <f t="array" ref="AJ75">SUM(AJ11:AK11*AJ24:AK24)/AJ32</f>
        <v>0.25415608189334193</v>
      </c>
      <c r="AK75" s="138"/>
      <c r="AL75" s="193">
        <f t="array" ref="AL75">SUM(AL11:AM11*AL24:AM24)/AL32</f>
        <v>0.25952432001845749</v>
      </c>
      <c r="AM75" s="138"/>
      <c r="AN75" s="193">
        <f t="array" ref="AN75">SUM(AN11:AO11*AN24:AO24)/AN32</f>
        <v>0.26928512434270901</v>
      </c>
      <c r="AO75" s="138"/>
      <c r="AP75" s="193">
        <f t="array" ref="AP75">SUM(AP11:AQ11*AP24:AQ24)/AP32</f>
        <v>0.27251932071521673</v>
      </c>
      <c r="AQ75" s="138"/>
      <c r="AR75" s="193">
        <f t="array" ref="AR75">SUM(AR11:AS11*AR24:AS24)/AR32</f>
        <v>0.27675011843123049</v>
      </c>
      <c r="AS75" s="138"/>
      <c r="AT75" s="193">
        <f t="array" ref="AT75">SUM(AT11:AU11*AT24:AU24)/AT32</f>
        <v>0.28286269545404474</v>
      </c>
      <c r="AU75" s="138"/>
      <c r="AV75" s="193">
        <f t="array" ref="AV75">SUM(AV11:AW11*AV24:AW24)/AV32</f>
        <v>0.29378320240182165</v>
      </c>
      <c r="XFD75" s="193"/>
    </row>
    <row r="76" spans="1:48 16384:16384" x14ac:dyDescent="0.2">
      <c r="A76" t="s">
        <v>187</v>
      </c>
      <c r="B76" s="193">
        <f t="array" ref="B76">SUM(B12:C12*B25:C25)/B32</f>
        <v>0.22301874374724867</v>
      </c>
      <c r="D76" s="193">
        <f t="array" ref="D76">SUM(D12:E12*D25:E25)/D32</f>
        <v>0.22265867506244472</v>
      </c>
      <c r="E76" s="138"/>
      <c r="F76" s="193">
        <f t="array" ref="F76">SUM(F12:G12*F25:G25)/F32</f>
        <v>0.2223100037985557</v>
      </c>
      <c r="G76" s="138"/>
      <c r="H76" s="193">
        <f t="array" ref="H76">SUM(H12:I12*H25:I25)/H32</f>
        <v>0.22197343970903649</v>
      </c>
      <c r="I76" s="138"/>
      <c r="J76" s="193">
        <f t="array" ref="J76">SUM(J12:K12*J25:K25)/J32</f>
        <v>0.22164971339553521</v>
      </c>
      <c r="K76" s="138"/>
      <c r="L76" s="193">
        <f t="array" ref="L76">SUM(L12:M12*L25:M25)/L32</f>
        <v>0.221339527727243</v>
      </c>
      <c r="M76" s="138"/>
      <c r="N76" s="193">
        <f t="array" ref="N76">SUM(N12:O12*N25:O25)/N32</f>
        <v>0.22104347573890112</v>
      </c>
      <c r="O76" s="138"/>
      <c r="P76" s="193">
        <f t="array" ref="P76">SUM(P12:Q12*P25:Q25)/P32</f>
        <v>0.2207618932033647</v>
      </c>
      <c r="Q76" s="138"/>
      <c r="R76" s="193">
        <f t="array" ref="R76">SUM(R12:S12*R25:S25)/R32</f>
        <v>0.22049458869133559</v>
      </c>
      <c r="S76" s="138"/>
      <c r="T76" s="193">
        <f t="array" ref="T76">SUM(T12:U12*T25:U25)/T32</f>
        <v>0.22024035972308723</v>
      </c>
      <c r="U76" s="138"/>
      <c r="V76" s="193">
        <f t="array" ref="V76">SUM(V12:W12*V25:W25)/V32</f>
        <v>0.21999609654727431</v>
      </c>
      <c r="W76" s="138"/>
      <c r="X76" s="193">
        <f t="array" ref="X76">SUM(X12:Y12*X25:Y25)/X32</f>
        <v>0.21975512291438584</v>
      </c>
      <c r="Y76" s="138"/>
      <c r="Z76" s="193">
        <f t="array" ref="Z76">SUM(Z12:AA12*Z25:AA25)/Z32</f>
        <v>0.21950397018670956</v>
      </c>
      <c r="AA76" s="138"/>
      <c r="AB76" s="193">
        <f t="array" ref="AB76">SUM(AB12:AC12*AB25:AC25)/AB32</f>
        <v>0.21921597222283301</v>
      </c>
      <c r="AC76" s="138"/>
      <c r="AD76" s="193">
        <f t="array" ref="AD76">SUM(AD12:AE12*AD25:AE25)/AD32</f>
        <v>0.2188379137697225</v>
      </c>
      <c r="AE76" s="138"/>
      <c r="AF76" s="193">
        <f t="array" ref="AF76">SUM(AF12:AG12*AF25:AG25)/AF32</f>
        <v>0.21826101957609395</v>
      </c>
      <c r="AG76" s="138"/>
      <c r="AH76" s="193">
        <f t="array" ref="AH76">SUM(AH12:AI12*AH25:AI25)/AH32</f>
        <v>0.21725520640049589</v>
      </c>
      <c r="AI76" s="138"/>
      <c r="AJ76" s="193">
        <f t="array" ref="AJ76">SUM(AJ12:AK12*AJ25:AK25)/AJ32</f>
        <v>0.2153205974363924</v>
      </c>
      <c r="AK76" s="138"/>
      <c r="AL76" s="193">
        <f t="array" ref="AL76">SUM(AL12:AM12*AL25:AM25)/AL32</f>
        <v>0.2114063668206578</v>
      </c>
      <c r="AM76" s="138"/>
      <c r="AN76" s="193">
        <f t="array" ref="AN76">SUM(AN12:AO12*AN25:AO25)/AN32</f>
        <v>0.20369297558663899</v>
      </c>
      <c r="AO76" s="138"/>
      <c r="AP76" s="193">
        <f t="array" ref="AP76">SUM(AP12:AQ12*AP25:AQ25)/AP32</f>
        <v>0.20144583085879983</v>
      </c>
      <c r="AQ76" s="138"/>
      <c r="AR76" s="193">
        <f t="array" ref="AR76">SUM(AR12:AS12*AR25:AS25)/AR32</f>
        <v>0.19880831774132057</v>
      </c>
      <c r="AS76" s="138"/>
      <c r="AT76" s="193">
        <f t="array" ref="AT76">SUM(AT12:AU12*AT25:AU25)/AT32</f>
        <v>0.19551051431281574</v>
      </c>
      <c r="AU76" s="138"/>
      <c r="AV76" s="193">
        <f t="array" ref="AV76">SUM(AV12:AW12*AV25:AW25)/AV32</f>
        <v>0.19061393969994495</v>
      </c>
      <c r="XFD76" s="193"/>
    </row>
    <row r="77" spans="1:48 16384:16384" x14ac:dyDescent="0.2">
      <c r="A77" t="s">
        <v>188</v>
      </c>
      <c r="B77" s="193">
        <f t="array" ref="B77">SUM(B4:C4*B19:C19)/B32</f>
        <v>0.14586087017236485</v>
      </c>
      <c r="D77" s="193">
        <f t="array" ref="D77">SUM(D4:E4*D19:E19)/D32</f>
        <v>0.14550080484417657</v>
      </c>
      <c r="E77" s="138"/>
      <c r="F77" s="193">
        <f t="array" ref="F77">SUM(F4:G4*F19:G19)/F32</f>
        <v>0.14515213037286948</v>
      </c>
      <c r="G77" s="138"/>
      <c r="H77" s="193">
        <f t="array" ref="H77">SUM(H4:I4*H19:I19)/H32</f>
        <v>0.14481556638296553</v>
      </c>
      <c r="I77" s="138"/>
      <c r="J77" s="193">
        <f t="array" ref="J77">SUM(J4:K4*J19:K19)/J32</f>
        <v>0.14449184207344548</v>
      </c>
      <c r="K77" s="138"/>
      <c r="L77" s="193">
        <f t="array" ref="L77">SUM(L4:M4*L19:M19)/L32</f>
        <v>0.14418165454153425</v>
      </c>
      <c r="M77" s="138"/>
      <c r="N77" s="193">
        <f t="array" ref="N77">SUM(N4:O4*N19:O19)/N32</f>
        <v>0.1438856028126175</v>
      </c>
      <c r="O77" s="138"/>
      <c r="P77" s="193">
        <f t="array" ref="P77">SUM(P4:Q4*P19:Q19)/P32</f>
        <v>0.14360402167526601</v>
      </c>
      <c r="Q77" s="138"/>
      <c r="R77" s="193">
        <f t="array" ref="R77">SUM(R4:S4*R19:S19)/R32</f>
        <v>0.14333671755837241</v>
      </c>
      <c r="S77" s="138"/>
      <c r="T77" s="193">
        <f t="array" ref="T77">SUM(T4:U4*T19:U19)/T32</f>
        <v>0.14308248676072538</v>
      </c>
      <c r="U77" s="138"/>
      <c r="V77" s="193">
        <f t="array" ref="V77">SUM(V4:W4*V19:W19)/V32</f>
        <v>0.14283822621103423</v>
      </c>
      <c r="W77" s="138"/>
      <c r="X77" s="193">
        <f t="array" ref="X77">SUM(X4:Y4*X19:Y19)/X32</f>
        <v>0.14259724947551722</v>
      </c>
      <c r="Y77" s="138"/>
      <c r="Z77" s="193">
        <f t="array" ref="Z77">SUM(Z4:AA4*Z19:AA19)/Z32</f>
        <v>0.14234609700061238</v>
      </c>
      <c r="AA77" s="138"/>
      <c r="AB77" s="193">
        <f t="array" ref="AB77">SUM(AB4:AC4*AB19:AC19)/AB32</f>
        <v>0.14205809868845706</v>
      </c>
      <c r="AC77" s="138"/>
      <c r="AD77" s="193">
        <f t="array" ref="AD77">SUM(AD4:AE4*AD19:AE19)/AD32</f>
        <v>0.14168004511118268</v>
      </c>
      <c r="AE77" s="138"/>
      <c r="AF77" s="193">
        <f t="array" ref="AF77">SUM(AF4:AG4*AF19:AG19)/AF32</f>
        <v>0.14110314602707674</v>
      </c>
      <c r="AG77" s="138"/>
      <c r="AH77" s="193">
        <f t="array" ref="AH77">SUM(AH4:AI4*AH19:AI19)/AH32</f>
        <v>0.14009733302346064</v>
      </c>
      <c r="AI77" s="138"/>
      <c r="AJ77" s="193">
        <f t="array" ref="AJ77">SUM(AJ4:AK4*AJ19:AK19)/AJ32</f>
        <v>0.1381627238601261</v>
      </c>
      <c r="AK77" s="138"/>
      <c r="AL77" s="193">
        <f t="array" ref="AL77">SUM(AL4:AM4*AL19:AM19)/AL32</f>
        <v>0.13424849324973828</v>
      </c>
      <c r="AM77" s="138"/>
      <c r="AN77" s="193">
        <f t="array" ref="AN77">SUM(AN4:AO4*AN19:AO19)/AN32</f>
        <v>0.12653510201225782</v>
      </c>
      <c r="AO77" s="138"/>
      <c r="AP77" s="193">
        <f t="array" ref="AP77">SUM(AP4:AQ4*AP19:AQ19)/AP32</f>
        <v>0.12428795728396923</v>
      </c>
      <c r="AQ77" s="138"/>
      <c r="AR77" s="193">
        <f t="array" ref="AR77">SUM(AR4:AS4*AR19:AS19)/AR32</f>
        <v>0.12165044416646066</v>
      </c>
      <c r="AS77" s="138"/>
      <c r="AT77" s="193">
        <f t="array" ref="AT77">SUM(AT4:AU4*AT19:AU19)/AT32</f>
        <v>0.118352640737934</v>
      </c>
      <c r="AU77" s="138"/>
      <c r="AV77" s="193">
        <f t="array" ref="AV77">SUM(AV4:AW4*AV19:AW19)/AV32</f>
        <v>0.11345606612506218</v>
      </c>
      <c r="XFD77" s="193"/>
    </row>
    <row r="78" spans="1:48 16384:16384" x14ac:dyDescent="0.2">
      <c r="A78" t="s">
        <v>189</v>
      </c>
      <c r="B78" s="193">
        <f t="array" ref="B78">SUM(B13:C13*B26:C26)/B32</f>
        <v>0.346887593115773</v>
      </c>
      <c r="D78" s="193">
        <f t="array" ref="D78">SUM(D13:E13*D26:E26)/D32</f>
        <v>0.34668528815604238</v>
      </c>
      <c r="E78" s="138"/>
      <c r="F78" s="193">
        <f t="array" ref="F78">SUM(F13:G13*F26:G26)/F32</f>
        <v>0.34647390471521616</v>
      </c>
      <c r="G78" s="138"/>
      <c r="H78" s="193">
        <f t="array" ref="H78">SUM(H13:I13*H26:I26)/H32</f>
        <v>0.34625221031791847</v>
      </c>
      <c r="I78" s="138"/>
      <c r="J78" s="193">
        <f t="array" ref="J78">SUM(J13:K13*J26:K26)/J32</f>
        <v>0.34601872204381134</v>
      </c>
      <c r="K78" s="138"/>
      <c r="L78" s="193">
        <f t="array" ref="L78">SUM(L13:M13*L26:M26)/L32</f>
        <v>0.34577161970087456</v>
      </c>
      <c r="M78" s="138"/>
      <c r="N78" s="193">
        <f t="array" ref="N78">SUM(N13:O13*N26:O26)/N32</f>
        <v>0.3455086123865766</v>
      </c>
      <c r="O78" s="138"/>
      <c r="P78" s="193">
        <f t="array" ref="P78">SUM(P13:Q13*P26:Q26)/P32</f>
        <v>0.34522676360463245</v>
      </c>
      <c r="Q78" s="138"/>
      <c r="R78" s="193">
        <f t="array" ref="R78">SUM(R13:S13*R26:S26)/R32</f>
        <v>0.34492220287174591</v>
      </c>
      <c r="S78" s="138"/>
      <c r="T78" s="193">
        <f t="array" ref="T78">SUM(T13:U13*T26:U26)/T32</f>
        <v>0.34458967207694607</v>
      </c>
      <c r="U78" s="138"/>
      <c r="V78" s="193">
        <f t="array" ref="V78">SUM(V13:W13*V26:W26)/V32</f>
        <v>0.34422178229102918</v>
      </c>
      <c r="W78" s="138"/>
      <c r="X78" s="193">
        <f t="array" ref="X78">SUM(X13:Y13*X26:Y26)/X32</f>
        <v>0.34380774243885548</v>
      </c>
      <c r="Y78" s="138"/>
      <c r="Z78" s="193">
        <f t="array" ref="Z78">SUM(Z13:AA13*Z26:AA26)/Z32</f>
        <v>0.34333107347348807</v>
      </c>
      <c r="AA78" s="138"/>
      <c r="AB78" s="193">
        <f t="array" ref="AB78">SUM(AB13:AC13*AB26:AC26)/AB32</f>
        <v>0.34276531347109274</v>
      </c>
      <c r="AC78" s="138"/>
      <c r="AD78" s="193">
        <f t="array" ref="AD78">SUM(AD13:AE13*AD26:AE26)/AD32</f>
        <v>0.34206541690625603</v>
      </c>
      <c r="AE78" s="138"/>
      <c r="AF78" s="193">
        <f t="array" ref="AF78">SUM(AF13:AG13*AF26:AG26)/AF32</f>
        <v>0.34114937385655791</v>
      </c>
      <c r="AG78" s="138"/>
      <c r="AH78" s="193">
        <f t="array" ref="AH78">SUM(AH13:AI13*AH26:AI26)/AH32</f>
        <v>0.33985592732672815</v>
      </c>
      <c r="AI78" s="138"/>
      <c r="AJ78" s="193">
        <f t="array" ref="AJ78">SUM(AJ13:AK13*AJ26:AK26)/AJ32</f>
        <v>0.33784032327833813</v>
      </c>
      <c r="AK78" s="138"/>
      <c r="AL78" s="193">
        <f t="array" ref="AL78">SUM(AL13:AM13*AL26:AM26)/AL32</f>
        <v>0.33430269422629494</v>
      </c>
      <c r="AM78" s="138"/>
      <c r="AN78" s="193">
        <f t="array" ref="AN78">SUM(AN13:AO13*AN26:AO26)/AN32</f>
        <v>0.32706782878280644</v>
      </c>
      <c r="AO78" s="138"/>
      <c r="AP78" s="193">
        <f t="array" ref="AP78">SUM(AP13:AQ13*AP26:AQ26)/AP32</f>
        <v>0.32460520308221258</v>
      </c>
      <c r="AQ78" s="138"/>
      <c r="AR78" s="193">
        <f t="array" ref="AR78">SUM(AR13:AS13*AR26:AS26)/AR32</f>
        <v>0.32137376264979589</v>
      </c>
      <c r="AS78" s="138"/>
      <c r="AT78" s="193">
        <f t="array" ref="AT78">SUM(AT13:AU13*AT26:AU26)/AT32</f>
        <v>0.31669892386830434</v>
      </c>
      <c r="AU78" s="138"/>
      <c r="AV78" s="193">
        <f t="array" ref="AV78">SUM(AV13:AW13*AV26:AW26)/AV32</f>
        <v>0.30834401672114764</v>
      </c>
      <c r="XFD78" s="193"/>
    </row>
    <row r="79" spans="1:48 16384:16384" x14ac:dyDescent="0.2">
      <c r="A79" t="s">
        <v>190</v>
      </c>
      <c r="B79" s="193">
        <f t="array" ref="B79">SUM(B15:C15*B27:C27)/B32</f>
        <v>0.45460968782439864</v>
      </c>
      <c r="D79" s="193">
        <f t="array" ref="D79">SUM(D15:E15*D27:E27)/D32</f>
        <v>0.45213529645678935</v>
      </c>
      <c r="F79" s="193">
        <f t="array" ref="F79">SUM(F15:G15*F27:G27)/F32</f>
        <v>0.44965369722887932</v>
      </c>
      <c r="H79" s="193">
        <f t="array" ref="H79">SUM(H15:I15*H27:I27)/H32</f>
        <v>0.44716261880452873</v>
      </c>
      <c r="J79" s="193">
        <f t="array" ref="J79">SUM(J15:K15*J27:K27)/J32</f>
        <v>0.44465937067474853</v>
      </c>
      <c r="L79" s="193">
        <f t="array" ref="L79">SUM(L15:M15*L27:M27)/L32</f>
        <v>0.44214074148463234</v>
      </c>
      <c r="N79" s="193">
        <f t="array" ref="N79">SUM(N15:O15*N27:O27)/N32</f>
        <v>0.43960292456279726</v>
      </c>
      <c r="P79" s="193">
        <f t="array" ref="P79">SUM(P15:Q15*P27:Q27)/P32</f>
        <v>0.43704126614022321</v>
      </c>
      <c r="R79" s="193">
        <f t="array" ref="R79">SUM(R15:S15*R27:S27)/R32</f>
        <v>0.43445000936031575</v>
      </c>
      <c r="T79" s="193">
        <f t="array" ref="T79">SUM(T15:U15*T27:U27)/T32</f>
        <v>0.43182191718442797</v>
      </c>
      <c r="V79" s="193">
        <f t="array" ref="V79">SUM(V15:W15*V27:W27)/V32</f>
        <v>0.42914764164012514</v>
      </c>
      <c r="X79" s="193">
        <f t="array" ref="X79">SUM(X15:Y15*X27:Y27)/X32</f>
        <v>0.42641477576237713</v>
      </c>
      <c r="Z79" s="193">
        <f t="array" ref="Z79">SUM(Z15:AA15*Z27:AA27)/Z32</f>
        <v>0.42360615333684876</v>
      </c>
      <c r="AB79" s="193">
        <f t="array" ref="AB79">SUM(AB15:AC15*AB27:AC27)/AB32</f>
        <v>0.42069685709226151</v>
      </c>
      <c r="AD79" s="193">
        <f t="array" ref="AD79">SUM(AD15:AE15*AD27:AE27)/AD32</f>
        <v>0.41764817161914569</v>
      </c>
      <c r="AF79" s="193">
        <f t="array" ref="AF79">SUM(AF15:AG15*AF27:AG27)/AF32</f>
        <v>0.41439447159236886</v>
      </c>
      <c r="AH79" s="193">
        <f t="array" ref="AH79">SUM(AH15:AI15*AH27:AI27)/AH32</f>
        <v>0.41081099576693508</v>
      </c>
      <c r="AJ79" s="193">
        <f t="array" ref="AJ79">SUM(AJ15:AK15*AJ27:AK27)/AJ32</f>
        <v>0.40662432833213136</v>
      </c>
      <c r="AL79" s="193">
        <f t="array" ref="AL79">SUM(AL15:AM15*AL27:AM27)/AL32</f>
        <v>0.40112546402492855</v>
      </c>
      <c r="AN79" s="193">
        <f t="array" ref="AN79">SUM(AN15:AO15*AN27:AO27)/AN32</f>
        <v>0.39194088922918885</v>
      </c>
      <c r="AP79" s="193">
        <f t="array" ref="AP79">SUM(AP15:AQ15*AP27:AQ27)/AP32</f>
        <v>0.38896392126896706</v>
      </c>
      <c r="AR79" s="193">
        <f t="array" ref="AR79">SUM(AR15:AS15*AR27:AS27)/AR32</f>
        <v>0.38507972338042229</v>
      </c>
      <c r="AT79" s="193">
        <f t="array" ref="AT79">SUM(AT15:AU15*AT27:AU27)/AT32</f>
        <v>0.37947410676782056</v>
      </c>
      <c r="AV79" s="193">
        <f t="array" ref="AV79">SUM(AV15:AW15*AV27:AW27)/AV32</f>
        <v>0.36946236956408207</v>
      </c>
      <c r="XFD79" s="193"/>
    </row>
    <row r="80" spans="1:48 16384:16384" x14ac:dyDescent="0.2">
      <c r="A80" t="s">
        <v>169</v>
      </c>
      <c r="B80" s="236">
        <f>B55</f>
        <v>0.19850271905982084</v>
      </c>
      <c r="D80" s="236">
        <f>D55</f>
        <v>0.20117942667304523</v>
      </c>
      <c r="F80" s="236">
        <f>F55</f>
        <v>0.2038723976440602</v>
      </c>
      <c r="H80" s="236">
        <f>H55</f>
        <v>0.20658517015603567</v>
      </c>
      <c r="J80" s="236">
        <f>J55</f>
        <v>0.20932191595981922</v>
      </c>
      <c r="L80" s="236">
        <f>L55</f>
        <v>0.21208763757860763</v>
      </c>
      <c r="N80" s="236">
        <f>N55</f>
        <v>0.2148884609176554</v>
      </c>
      <c r="P80" s="236">
        <f>P55</f>
        <v>0.21773197311392248</v>
      </c>
      <c r="R80" s="236">
        <f>R55</f>
        <v>0.22062779129311996</v>
      </c>
      <c r="T80" s="236">
        <f>T55</f>
        <v>0.22358841166576851</v>
      </c>
      <c r="V80" s="236">
        <f>V55</f>
        <v>0.22663058400590499</v>
      </c>
      <c r="X80" s="236">
        <f>X55</f>
        <v>0.22977748127598421</v>
      </c>
      <c r="Z80" s="236">
        <f>Z55</f>
        <v>0.23306277222612515</v>
      </c>
      <c r="AB80" s="236">
        <f>AB55</f>
        <v>0.23653782966876588</v>
      </c>
      <c r="AD80" s="236">
        <f>AD55</f>
        <v>0.24028641920566543</v>
      </c>
      <c r="AF80" s="236">
        <f>AF55</f>
        <v>0.24445615421602454</v>
      </c>
      <c r="AH80" s="236">
        <f>AH55</f>
        <v>0.2493330773277217</v>
      </c>
      <c r="AJ80" s="236">
        <f>AJ55</f>
        <v>0.25553534851182108</v>
      </c>
      <c r="AL80" s="236">
        <f>AL55</f>
        <v>0.26457184160275055</v>
      </c>
      <c r="AN80" s="236">
        <f>AN55</f>
        <v>0.28099128200034934</v>
      </c>
      <c r="AP80" s="236">
        <f>AP55</f>
        <v>0.28643087570726589</v>
      </c>
      <c r="AR80" s="236">
        <f>AR55</f>
        <v>0.29354651401306719</v>
      </c>
      <c r="AT80" s="236">
        <f>AT55</f>
        <v>0.30382696935982145</v>
      </c>
      <c r="AV80" s="236">
        <f>AV55</f>
        <v>0.32219361371531896</v>
      </c>
      <c r="XFD80" s="236"/>
    </row>
    <row r="81" spans="1:48 16384:16384" x14ac:dyDescent="0.2">
      <c r="A81" t="s">
        <v>191</v>
      </c>
      <c r="B81" s="236">
        <f>B51/B$32</f>
        <v>-2.7543485504603994E-2</v>
      </c>
      <c r="D81" s="236">
        <f>D51/D$32</f>
        <v>-2.4866777891379623E-2</v>
      </c>
      <c r="F81" s="236">
        <f>F51/F$32</f>
        <v>-2.2173806920364632E-2</v>
      </c>
      <c r="H81" s="236">
        <f>H51/H$32</f>
        <v>-1.9461034408389172E-2</v>
      </c>
      <c r="J81" s="236">
        <f>J51/J$32</f>
        <v>-1.6724288604605612E-2</v>
      </c>
      <c r="L81" s="236">
        <f>L51/L$32</f>
        <v>-1.3958566985817192E-2</v>
      </c>
      <c r="N81" s="236">
        <f>N51/N$32</f>
        <v>-1.1157743646769441E-2</v>
      </c>
      <c r="P81" s="236">
        <f>P51/P$32</f>
        <v>-8.3142314505023508E-3</v>
      </c>
      <c r="R81" s="236">
        <f>R51/R$32</f>
        <v>-5.418413271304893E-3</v>
      </c>
      <c r="T81" s="236">
        <f>T51/T$32</f>
        <v>-2.4577928986563254E-3</v>
      </c>
      <c r="V81" s="236">
        <f>V51/V$32</f>
        <v>5.8437944148014096E-4</v>
      </c>
      <c r="X81" s="236">
        <f>X51/X$32</f>
        <v>3.7312767115593925E-3</v>
      </c>
      <c r="Z81" s="236">
        <f>Z51/Z$32</f>
        <v>7.0165676617003165E-3</v>
      </c>
      <c r="AB81" s="236">
        <f>AB51/AB$32</f>
        <v>1.0491625104341035E-2</v>
      </c>
      <c r="AD81" s="236">
        <f>AD51/AD$32</f>
        <v>1.4240214641240588E-2</v>
      </c>
      <c r="AF81" s="236">
        <f>AF51/AF$32</f>
        <v>1.8409949651599682E-2</v>
      </c>
      <c r="AH81" s="236">
        <f>AH51/AH$32</f>
        <v>2.3286872763296843E-2</v>
      </c>
      <c r="AJ81" s="236">
        <f>AJ51/AJ$32</f>
        <v>2.9489143947396233E-2</v>
      </c>
      <c r="AL81" s="236">
        <f>AL51/AL$32</f>
        <v>3.8525637038325712E-2</v>
      </c>
      <c r="AN81" s="236">
        <f>AN51/AN$32</f>
        <v>5.4945077435924507E-2</v>
      </c>
      <c r="AP81" s="236">
        <f>AP51/AP$32</f>
        <v>6.0384671142841066E-2</v>
      </c>
      <c r="AR81" s="236">
        <f>AR51/AR$32</f>
        <v>6.7500309448642354E-2</v>
      </c>
      <c r="AT81" s="236">
        <f>AT51/AT$32</f>
        <v>7.7780764795396654E-2</v>
      </c>
      <c r="AV81" s="236">
        <f>AV51/AV$32</f>
        <v>9.6147409150894106E-2</v>
      </c>
      <c r="XFD81" s="236"/>
    </row>
    <row r="82" spans="1:48 16384:16384" x14ac:dyDescent="0.2">
      <c r="A82" t="s">
        <v>192</v>
      </c>
      <c r="B82" s="236">
        <f>B52/B$32</f>
        <v>0.13907860278212886</v>
      </c>
      <c r="D82" s="236">
        <f>D52/D$32</f>
        <v>0.13899749209470844</v>
      </c>
      <c r="F82" s="236">
        <f>F52/F$32</f>
        <v>0.13891274154673602</v>
      </c>
      <c r="H82" s="236">
        <f>H52/H$32</f>
        <v>0.13882385699844807</v>
      </c>
      <c r="J82" s="236">
        <f>J52/J$32</f>
        <v>0.13873024389848923</v>
      </c>
      <c r="L82" s="236">
        <f>L52/L$32</f>
        <v>0.13863117247223514</v>
      </c>
      <c r="N82" s="236">
        <f>N52/N$32</f>
        <v>0.13852572422179327</v>
      </c>
      <c r="P82" s="236">
        <f>P52/P$32</f>
        <v>0.13841272180958086</v>
      </c>
      <c r="R82" s="236">
        <f>R52/R$32</f>
        <v>0.13829061343201771</v>
      </c>
      <c r="T82" s="236">
        <f>T52/T$32</f>
        <v>0.13815729094011941</v>
      </c>
      <c r="V82" s="236">
        <f>V52/V$32</f>
        <v>0.13800979187005019</v>
      </c>
      <c r="X82" s="236">
        <f>X52/X$32</f>
        <v>0.13784378972618791</v>
      </c>
      <c r="Z82" s="236">
        <f>Z52/Z$32</f>
        <v>0.13765267751863547</v>
      </c>
      <c r="AB82" s="236">
        <f>AB52/AB$32</f>
        <v>0.13742584579503189</v>
      </c>
      <c r="AD82" s="236">
        <f>AD52/AD$32</f>
        <v>0.13714523432820144</v>
      </c>
      <c r="AF82" s="236">
        <f>AF52/AF$32</f>
        <v>0.13677796265297099</v>
      </c>
      <c r="AH82" s="236">
        <f>AH52/AH$32</f>
        <v>0.13625937755591888</v>
      </c>
      <c r="AJ82" s="236">
        <f>AJ52/AJ$32</f>
        <v>0.13545125584624867</v>
      </c>
      <c r="AL82" s="236">
        <f>AL52/AL$32</f>
        <v>0.13403290443938407</v>
      </c>
      <c r="AN82" s="236">
        <f>AN52/AN$32</f>
        <v>0.13113220981332616</v>
      </c>
      <c r="AP82" s="236">
        <f>AP52/AP$32</f>
        <v>0.13014486247542456</v>
      </c>
      <c r="AR82" s="236">
        <f>AR52/AR$32</f>
        <v>0.12884927211925926</v>
      </c>
      <c r="AT82" s="236">
        <f>AT52/AT$32</f>
        <v>0.12697497606813307</v>
      </c>
      <c r="AV82" s="236">
        <f>AV52/AV$32</f>
        <v>0.12362522002190526</v>
      </c>
    </row>
    <row r="83" spans="1:48 16384:16384" x14ac:dyDescent="0.2">
      <c r="A83" t="s">
        <v>193</v>
      </c>
      <c r="B83" s="236">
        <f>B53/B$32</f>
        <v>0.18600714462929618</v>
      </c>
      <c r="D83" s="236">
        <f>D53/D$32</f>
        <v>0.18499472785659829</v>
      </c>
      <c r="F83" s="236">
        <f>F53/F$32</f>
        <v>0.18397936193092509</v>
      </c>
      <c r="H83" s="236">
        <f>H53/H$32</f>
        <v>0.1829601175171543</v>
      </c>
      <c r="J83" s="236">
        <f>J53/J$32</f>
        <v>0.18193589377228134</v>
      </c>
      <c r="L83" s="236">
        <f>L53/L$32</f>
        <v>0.1809053767450805</v>
      </c>
      <c r="N83" s="236">
        <f>N53/N$32</f>
        <v>0.17986700890588742</v>
      </c>
      <c r="P83" s="236">
        <f>P53/P$32</f>
        <v>0.17881888612834856</v>
      </c>
      <c r="R83" s="236">
        <f>R53/R$32</f>
        <v>0.17775865294911619</v>
      </c>
      <c r="T83" s="236">
        <f>T53/T$32</f>
        <v>0.17668334827666426</v>
      </c>
      <c r="V83" s="236">
        <f>V53/V$32</f>
        <v>0.17558914731423367</v>
      </c>
      <c r="X83" s="236">
        <f>X53/X$32</f>
        <v>0.17447097365408265</v>
      </c>
      <c r="Z83" s="236">
        <f>Z53/Z$32</f>
        <v>0.17332180360402391</v>
      </c>
      <c r="AB83" s="236">
        <f>AB53/AB$32</f>
        <v>0.17213144206569825</v>
      </c>
      <c r="AD83" s="236">
        <f>AD53/AD$32</f>
        <v>0.17088404832351708</v>
      </c>
      <c r="AF83" s="236">
        <f>AF53/AF$32</f>
        <v>0.16955277125734336</v>
      </c>
      <c r="AH83" s="236">
        <f>AH53/AH$32</f>
        <v>0.16808656381832698</v>
      </c>
      <c r="AJ83" s="236">
        <f>AJ53/AJ$32</f>
        <v>0.16637355576786694</v>
      </c>
      <c r="AL83" s="236">
        <f>AL53/AL$32</f>
        <v>0.1641236520023277</v>
      </c>
      <c r="AN83" s="236">
        <f>AN53/AN$32</f>
        <v>0.16036571067783562</v>
      </c>
      <c r="AP83" s="236">
        <f>AP53/AP$32</f>
        <v>0.15914766072253497</v>
      </c>
      <c r="AR83" s="236">
        <f>AR53/AR$32</f>
        <v>0.15755841047606325</v>
      </c>
      <c r="AT83" s="236">
        <f>AT53/AT$32</f>
        <v>0.15526482816155845</v>
      </c>
      <c r="AV83" s="236">
        <f>AV53/AV$32</f>
        <v>0.15116844680427066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3.8405951589098306E-2</v>
      </c>
      <c r="E2" s="227"/>
      <c r="F2" s="226">
        <v>7.4034095945547967E-2</v>
      </c>
      <c r="G2" s="227"/>
      <c r="H2" s="226">
        <v>0.11313285289619952</v>
      </c>
      <c r="I2" s="227"/>
      <c r="J2" s="226">
        <v>0.15629200903902266</v>
      </c>
      <c r="K2" s="227"/>
      <c r="L2" s="226">
        <v>0.20425173940590244</v>
      </c>
      <c r="M2" s="227"/>
      <c r="N2" s="226">
        <v>0.25795658195783921</v>
      </c>
      <c r="O2" s="227"/>
      <c r="P2" s="226">
        <v>0.31863400918239337</v>
      </c>
      <c r="Q2" s="227"/>
      <c r="R2" s="226">
        <v>0.38791471223385926</v>
      </c>
      <c r="S2" s="227"/>
      <c r="T2" s="226">
        <v>0.46802130123716246</v>
      </c>
      <c r="U2" s="227"/>
      <c r="V2" s="226">
        <v>0.56207792031990933</v>
      </c>
      <c r="W2" s="227"/>
      <c r="X2" s="226">
        <v>0.67464125166591515</v>
      </c>
      <c r="Y2" s="227"/>
      <c r="Z2" s="226">
        <v>0.81266751963789752</v>
      </c>
      <c r="AA2" s="227"/>
      <c r="AB2" s="226">
        <v>0.98739884570990843</v>
      </c>
      <c r="AC2" s="227"/>
      <c r="AD2" s="226">
        <v>1.218378553540675</v>
      </c>
      <c r="AE2" s="227"/>
      <c r="AF2" s="226">
        <v>1.5429904339299025</v>
      </c>
      <c r="AG2" s="227"/>
      <c r="AH2" s="226">
        <v>2.0426438580583026</v>
      </c>
      <c r="AI2" s="227"/>
      <c r="AJ2" s="226">
        <v>2.9302572839621361</v>
      </c>
      <c r="AK2" s="227"/>
      <c r="AL2" s="226">
        <v>4.9412539698962563</v>
      </c>
      <c r="AM2" s="227"/>
      <c r="AN2" s="226">
        <v>12.400327076116961</v>
      </c>
      <c r="AO2" s="227"/>
      <c r="AP2" s="226">
        <v>16.671265832940268</v>
      </c>
      <c r="AQ2" s="227"/>
      <c r="AR2" s="226">
        <v>24.360677554122308</v>
      </c>
      <c r="AS2" s="227"/>
      <c r="AT2" s="226">
        <v>41.398233500247883</v>
      </c>
      <c r="AU2" s="227"/>
      <c r="AV2" s="226">
        <v>101.48074085234143</v>
      </c>
      <c r="AW2" s="227"/>
    </row>
    <row r="3" spans="1:49" x14ac:dyDescent="0.2">
      <c r="A3" t="s">
        <v>12</v>
      </c>
      <c r="B3" s="84">
        <v>1000</v>
      </c>
      <c r="C3" s="85">
        <v>1000</v>
      </c>
      <c r="D3" s="84">
        <v>999.19481950667387</v>
      </c>
      <c r="E3" s="85">
        <v>1014.6942303094348</v>
      </c>
      <c r="F3" s="84">
        <v>998.38663404592364</v>
      </c>
      <c r="G3" s="85">
        <v>1030.8734991368779</v>
      </c>
      <c r="H3" s="84">
        <v>997.57439924257051</v>
      </c>
      <c r="I3" s="85">
        <v>1048.7779972085564</v>
      </c>
      <c r="J3" s="84">
        <v>996.75688689951926</v>
      </c>
      <c r="K3" s="85">
        <v>1068.7046229758203</v>
      </c>
      <c r="L3" s="84">
        <v>995.932686403974</v>
      </c>
      <c r="M3" s="85">
        <v>1091.0253335629038</v>
      </c>
      <c r="N3" s="84">
        <v>995.10023842038322</v>
      </c>
      <c r="O3" s="85">
        <v>1116.2134603365887</v>
      </c>
      <c r="P3" s="84">
        <v>994.25789715212056</v>
      </c>
      <c r="Q3" s="85">
        <v>1144.8815203410941</v>
      </c>
      <c r="R3" s="84">
        <v>993.40410597525874</v>
      </c>
      <c r="S3" s="85">
        <v>1177.8382966696347</v>
      </c>
      <c r="T3" s="84">
        <v>992.53775939508921</v>
      </c>
      <c r="U3" s="85">
        <v>1216.1771149175968</v>
      </c>
      <c r="V3" s="84">
        <v>991.65893947620793</v>
      </c>
      <c r="W3" s="85">
        <v>1261.4177465879673</v>
      </c>
      <c r="X3" s="84">
        <v>990.77039224594273</v>
      </c>
      <c r="Y3" s="85">
        <v>1315.7446710340696</v>
      </c>
      <c r="Z3" s="84">
        <v>989.88052816655443</v>
      </c>
      <c r="AA3" s="85">
        <v>1382.4298380476225</v>
      </c>
      <c r="AB3" s="84">
        <v>989.00962663173902</v>
      </c>
      <c r="AC3" s="85">
        <v>1466.6332196901569</v>
      </c>
      <c r="AD3" s="84">
        <v>988.20305217130692</v>
      </c>
      <c r="AE3" s="85">
        <v>1577.048108294877</v>
      </c>
      <c r="AF3" s="84">
        <v>987.56029656193857</v>
      </c>
      <c r="AG3" s="85">
        <v>1729.6550724262647</v>
      </c>
      <c r="AH3" s="84">
        <v>987.29994619006663</v>
      </c>
      <c r="AI3" s="85">
        <v>1957.5468848621565</v>
      </c>
      <c r="AJ3" s="84">
        <v>987.89631101756049</v>
      </c>
      <c r="AK3" s="85">
        <v>2341.9760897620681</v>
      </c>
      <c r="AL3" s="84">
        <v>990.24671145539901</v>
      </c>
      <c r="AM3" s="85">
        <v>3142.7047567979466</v>
      </c>
      <c r="AN3" s="84">
        <v>994.93627988900028</v>
      </c>
      <c r="AO3" s="85">
        <v>5759.0182970719807</v>
      </c>
      <c r="AP3" s="84">
        <v>995.90102037248414</v>
      </c>
      <c r="AQ3" s="85">
        <v>7155.8111685275899</v>
      </c>
      <c r="AR3" s="84">
        <v>996.61847006998414</v>
      </c>
      <c r="AS3" s="85">
        <v>9589.2363672128795</v>
      </c>
      <c r="AT3" s="84">
        <v>996.70472419179919</v>
      </c>
      <c r="AU3" s="85">
        <v>14789.712854521787</v>
      </c>
      <c r="AV3" s="84">
        <v>994.84465992602611</v>
      </c>
      <c r="AW3" s="85">
        <v>32360.790886922736</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999.15498672653928</v>
      </c>
      <c r="E5" s="42">
        <v>1012.8110259105332</v>
      </c>
      <c r="F5" s="41">
        <v>998.30653198719392</v>
      </c>
      <c r="G5" s="42">
        <v>1026.7068239340335</v>
      </c>
      <c r="H5" s="41">
        <v>997.45353485654266</v>
      </c>
      <c r="I5" s="42">
        <v>1041.8297077728823</v>
      </c>
      <c r="J5" s="41">
        <v>996.59469967421239</v>
      </c>
      <c r="K5" s="42">
        <v>1058.3484229993951</v>
      </c>
      <c r="L5" s="41">
        <v>995.72853718686565</v>
      </c>
      <c r="M5" s="42">
        <v>1076.4645341203468</v>
      </c>
      <c r="N5" s="41">
        <v>994.85339962826708</v>
      </c>
      <c r="O5" s="42">
        <v>1096.4209251406953</v>
      </c>
      <c r="P5" s="41">
        <v>993.96754580990955</v>
      </c>
      <c r="Q5" s="42">
        <v>1118.5125448129584</v>
      </c>
      <c r="R5" s="41">
        <v>993.0693257285692</v>
      </c>
      <c r="S5" s="42">
        <v>1143.1007068908009</v>
      </c>
      <c r="T5" s="41">
        <v>992.15756161061995</v>
      </c>
      <c r="U5" s="42">
        <v>1170.6321811993332</v>
      </c>
      <c r="V5" s="41">
        <v>991.23232419141254</v>
      </c>
      <c r="W5" s="42">
        <v>1201.6639379027008</v>
      </c>
      <c r="X5" s="41">
        <v>990.29649030719042</v>
      </c>
      <c r="Y5" s="42">
        <v>1236.8955674808708</v>
      </c>
      <c r="Z5" s="41">
        <v>989.35891030628022</v>
      </c>
      <c r="AA5" s="42">
        <v>1277.2090912586179</v>
      </c>
      <c r="AB5" s="41">
        <v>988.4409605742087</v>
      </c>
      <c r="AC5" s="42">
        <v>1323.711652417195</v>
      </c>
      <c r="AD5" s="41">
        <v>987.59050413390594</v>
      </c>
      <c r="AE5" s="42">
        <v>1377.7570983949076</v>
      </c>
      <c r="AF5" s="41">
        <v>986.91256594345259</v>
      </c>
      <c r="AG5" s="42">
        <v>1440.8632690775896</v>
      </c>
      <c r="AH5" s="41">
        <v>986.63791082509181</v>
      </c>
      <c r="AI5" s="42">
        <v>1514.2301952894318</v>
      </c>
      <c r="AJ5" s="41">
        <v>987.26699647859425</v>
      </c>
      <c r="AK5" s="42">
        <v>1596.8903159378365</v>
      </c>
      <c r="AL5" s="41">
        <v>989.7447725156062</v>
      </c>
      <c r="AM5" s="42">
        <v>1679.9874619093969</v>
      </c>
      <c r="AN5" s="41">
        <v>994.6809964531576</v>
      </c>
      <c r="AO5" s="42">
        <v>1737.8995707300478</v>
      </c>
      <c r="AP5" s="41">
        <v>995.69525291929654</v>
      </c>
      <c r="AQ5" s="42">
        <v>1743.684270164993</v>
      </c>
      <c r="AR5" s="41">
        <v>996.44925685460578</v>
      </c>
      <c r="AS5" s="42">
        <v>1747.404928952147</v>
      </c>
      <c r="AT5" s="41">
        <v>996.53989020256063</v>
      </c>
      <c r="AU5" s="42">
        <v>1749.3414737620008</v>
      </c>
      <c r="AV5" s="41">
        <v>994.58465238739814</v>
      </c>
      <c r="AW5" s="42">
        <v>1749.9997204872502</v>
      </c>
    </row>
    <row r="6" spans="1:49" x14ac:dyDescent="0.2">
      <c r="A6" t="s">
        <v>77</v>
      </c>
      <c r="B6" s="41">
        <v>999.99999999999943</v>
      </c>
      <c r="C6" s="42">
        <v>999.99999999999909</v>
      </c>
      <c r="D6" s="41">
        <v>999.0904104320997</v>
      </c>
      <c r="E6" s="42">
        <v>1015.8433387246571</v>
      </c>
      <c r="F6" s="41">
        <v>998.17723471098839</v>
      </c>
      <c r="G6" s="42">
        <v>1033.2477397971356</v>
      </c>
      <c r="H6" s="41">
        <v>997.25928954558117</v>
      </c>
      <c r="I6" s="42">
        <v>1052.4622906721952</v>
      </c>
      <c r="J6" s="41">
        <v>996.33518279378927</v>
      </c>
      <c r="K6" s="42">
        <v>1073.7945401934485</v>
      </c>
      <c r="L6" s="41">
        <v>995.40331480297618</v>
      </c>
      <c r="M6" s="42">
        <v>1097.6293716860096</v>
      </c>
      <c r="N6" s="41">
        <v>994.4619162562833</v>
      </c>
      <c r="O6" s="42">
        <v>1124.456064402691</v>
      </c>
      <c r="P6" s="41">
        <v>993.50911837295519</v>
      </c>
      <c r="Q6" s="42">
        <v>1154.9071416329673</v>
      </c>
      <c r="R6" s="41">
        <v>992.54315147014267</v>
      </c>
      <c r="S6" s="42">
        <v>1189.8170163256766</v>
      </c>
      <c r="T6" s="41">
        <v>991.56275466156353</v>
      </c>
      <c r="U6" s="42">
        <v>1230.3126596685756</v>
      </c>
      <c r="V6" s="41">
        <v>990.56801005443162</v>
      </c>
      <c r="W6" s="42">
        <v>1277.9593129085131</v>
      </c>
      <c r="X6" s="41">
        <v>989.56201605840693</v>
      </c>
      <c r="Y6" s="42">
        <v>1335.0050798064615</v>
      </c>
      <c r="Z6" s="41">
        <v>988.55428934541033</v>
      </c>
      <c r="AA6" s="42">
        <v>1404.8148323382277</v>
      </c>
      <c r="AB6" s="41">
        <v>987.56780148340204</v>
      </c>
      <c r="AC6" s="42">
        <v>1492.6916832377153</v>
      </c>
      <c r="AD6" s="41">
        <v>986.65396976594116</v>
      </c>
      <c r="AE6" s="42">
        <v>1607.564920021146</v>
      </c>
      <c r="AF6" s="41">
        <v>985.92559728529989</v>
      </c>
      <c r="AG6" s="42">
        <v>1765.8404425897088</v>
      </c>
      <c r="AH6" s="41">
        <v>985.63053105192807</v>
      </c>
      <c r="AI6" s="42">
        <v>2001.4762871890468</v>
      </c>
      <c r="AJ6" s="41">
        <v>986.30638578463163</v>
      </c>
      <c r="AK6" s="42">
        <v>2397.8178938231836</v>
      </c>
      <c r="AL6" s="41">
        <v>988.96900303292455</v>
      </c>
      <c r="AM6" s="42">
        <v>3221.257326173527</v>
      </c>
      <c r="AN6" s="41">
        <v>994.27647444308025</v>
      </c>
      <c r="AO6" s="42">
        <v>5906.8797870778772</v>
      </c>
      <c r="AP6" s="41">
        <v>995.36750811690104</v>
      </c>
      <c r="AQ6" s="42">
        <v>7339.9863772123736</v>
      </c>
      <c r="AR6" s="41">
        <v>996.17869833054715</v>
      </c>
      <c r="AS6" s="42">
        <v>9836.4276181159221</v>
      </c>
      <c r="AT6" s="41">
        <v>996.27621192444997</v>
      </c>
      <c r="AU6" s="42">
        <v>15171.268968072898</v>
      </c>
      <c r="AV6" s="41">
        <v>994.17284612248238</v>
      </c>
      <c r="AW6" s="42">
        <v>33195.886542950742</v>
      </c>
    </row>
    <row r="7" spans="1:49" x14ac:dyDescent="0.2">
      <c r="A7" t="s">
        <v>13</v>
      </c>
      <c r="B7" s="33">
        <v>1015.9116825427475</v>
      </c>
      <c r="C7" s="34">
        <v>1015.9116825427475</v>
      </c>
      <c r="D7" s="33">
        <v>1015.0532236863351</v>
      </c>
      <c r="E7" s="34">
        <v>1015.0532236863351</v>
      </c>
      <c r="F7" s="33">
        <v>1014.1912686045252</v>
      </c>
      <c r="G7" s="34">
        <v>1014.1912686045252</v>
      </c>
      <c r="H7" s="33">
        <v>1013.3246988543212</v>
      </c>
      <c r="I7" s="34">
        <v>1013.3246988543212</v>
      </c>
      <c r="J7" s="33">
        <v>1012.4521981592131</v>
      </c>
      <c r="K7" s="34">
        <v>1012.4521981592131</v>
      </c>
      <c r="L7" s="33">
        <v>1011.5722535693374</v>
      </c>
      <c r="M7" s="34">
        <v>1011.5722535693374</v>
      </c>
      <c r="N7" s="33">
        <v>1010.6831910997251</v>
      </c>
      <c r="O7" s="34">
        <v>1010.6831910997251</v>
      </c>
      <c r="P7" s="33">
        <v>1009.7832418566306</v>
      </c>
      <c r="Q7" s="34">
        <v>1009.7832418566306</v>
      </c>
      <c r="R7" s="33">
        <v>1008.8707295825025</v>
      </c>
      <c r="S7" s="34">
        <v>1008.8707295825025</v>
      </c>
      <c r="T7" s="33">
        <v>1007.9444577633545</v>
      </c>
      <c r="U7" s="34">
        <v>1007.9444577633545</v>
      </c>
      <c r="V7" s="33">
        <v>1007.004498260056</v>
      </c>
      <c r="W7" s="34">
        <v>1007.004498260056</v>
      </c>
      <c r="X7" s="33">
        <v>1006.0537736841554</v>
      </c>
      <c r="Y7" s="34">
        <v>1006.0537736841554</v>
      </c>
      <c r="Z7" s="33">
        <v>1005.1012752079123</v>
      </c>
      <c r="AA7" s="34">
        <v>1005.1012752079123</v>
      </c>
      <c r="AB7" s="33">
        <v>1004.1687193511139</v>
      </c>
      <c r="AC7" s="34">
        <v>1004.1687193511139</v>
      </c>
      <c r="AD7" s="33">
        <v>1003.3047307179165</v>
      </c>
      <c r="AE7" s="34">
        <v>1003.3047307179165</v>
      </c>
      <c r="AF7" s="33">
        <v>1002.6160053901931</v>
      </c>
      <c r="AG7" s="34">
        <v>1002.6160053901931</v>
      </c>
      <c r="AH7" s="33">
        <v>1002.3369800467802</v>
      </c>
      <c r="AI7" s="34">
        <v>1002.3369800467802</v>
      </c>
      <c r="AJ7" s="33">
        <v>1002.9760755114934</v>
      </c>
      <c r="AK7" s="34">
        <v>1002.9760755114934</v>
      </c>
      <c r="AL7" s="33">
        <v>1005.4932771342183</v>
      </c>
      <c r="AM7" s="34">
        <v>1005.4932771342183</v>
      </c>
      <c r="AN7" s="33">
        <v>1010.5080447000239</v>
      </c>
      <c r="AO7" s="34">
        <v>1010.5080447000239</v>
      </c>
      <c r="AP7" s="33">
        <v>1011.538439693069</v>
      </c>
      <c r="AQ7" s="34">
        <v>1011.538439693069</v>
      </c>
      <c r="AR7" s="33">
        <v>1012.3044410996329</v>
      </c>
      <c r="AS7" s="34">
        <v>1012.3044410996329</v>
      </c>
      <c r="AT7" s="33">
        <v>1012.3965165766482</v>
      </c>
      <c r="AU7" s="34">
        <v>1012.3965165766482</v>
      </c>
      <c r="AV7" s="33">
        <v>1010.4101676380752</v>
      </c>
      <c r="AW7" s="34">
        <v>1010.4101676380752</v>
      </c>
    </row>
    <row r="8" spans="1:49" x14ac:dyDescent="0.2">
      <c r="B8" s="35">
        <v>1005.7716594496609</v>
      </c>
      <c r="C8" s="36">
        <v>1005.7716594496609</v>
      </c>
      <c r="D8" s="35">
        <v>1051.708997140558</v>
      </c>
      <c r="E8" s="36">
        <v>1051.708997140558</v>
      </c>
      <c r="F8" s="35">
        <v>1102.7181354451145</v>
      </c>
      <c r="G8" s="36">
        <v>1102.7181354451145</v>
      </c>
      <c r="H8" s="35">
        <v>1159.6948748452423</v>
      </c>
      <c r="I8" s="36">
        <v>1159.6948748452423</v>
      </c>
      <c r="J8" s="35">
        <v>1223.759824293252</v>
      </c>
      <c r="K8" s="36">
        <v>1223.759824293252</v>
      </c>
      <c r="L8" s="35">
        <v>1296.334287623192</v>
      </c>
      <c r="M8" s="36">
        <v>1296.334287623192</v>
      </c>
      <c r="N8" s="35">
        <v>1379.2499193770411</v>
      </c>
      <c r="O8" s="36">
        <v>1379.2499193770411</v>
      </c>
      <c r="P8" s="35">
        <v>1474.9086812875128</v>
      </c>
      <c r="Q8" s="36">
        <v>1474.9086812875128</v>
      </c>
      <c r="R8" s="35">
        <v>1586.526288658667</v>
      </c>
      <c r="S8" s="36">
        <v>1586.526288658667</v>
      </c>
      <c r="T8" s="35">
        <v>1718.5129779143431</v>
      </c>
      <c r="U8" s="36">
        <v>1718.5129779143431</v>
      </c>
      <c r="V8" s="35">
        <v>1877.0927050424837</v>
      </c>
      <c r="W8" s="36">
        <v>1877.0927050424837</v>
      </c>
      <c r="X8" s="35">
        <v>2071.3563413061879</v>
      </c>
      <c r="Y8" s="36">
        <v>2071.3563413061879</v>
      </c>
      <c r="Z8" s="35">
        <v>2315.1554355107319</v>
      </c>
      <c r="AA8" s="36">
        <v>2315.1554355107319</v>
      </c>
      <c r="AB8" s="35">
        <v>2630.7430100666888</v>
      </c>
      <c r="AC8" s="36">
        <v>2630.7430100666888</v>
      </c>
      <c r="AD8" s="35">
        <v>3056.3867990676927</v>
      </c>
      <c r="AE8" s="36">
        <v>3056.3867990676927</v>
      </c>
      <c r="AF8" s="35">
        <v>3664.1015098652774</v>
      </c>
      <c r="AG8" s="36">
        <v>3664.1015098652774</v>
      </c>
      <c r="AH8" s="35">
        <v>4607.2632033838136</v>
      </c>
      <c r="AI8" s="36">
        <v>4607.2632033838136</v>
      </c>
      <c r="AJ8" s="35">
        <v>6276.1897959032785</v>
      </c>
      <c r="AK8" s="36">
        <v>6276.1897959032785</v>
      </c>
      <c r="AL8" s="35">
        <v>9981.2321774451393</v>
      </c>
      <c r="AM8" s="36">
        <v>9981.2321774451393</v>
      </c>
      <c r="AN8" s="35">
        <v>23288.422673225901</v>
      </c>
      <c r="AO8" s="36">
        <v>23288.422673225901</v>
      </c>
      <c r="AP8" s="35">
        <v>30813.108266802028</v>
      </c>
      <c r="AQ8" s="36">
        <v>30813.108266802028</v>
      </c>
      <c r="AR8" s="35">
        <v>44315.372959639397</v>
      </c>
      <c r="AS8" s="36">
        <v>44315.372959639397</v>
      </c>
      <c r="AT8" s="35">
        <v>74168.988276229065</v>
      </c>
      <c r="AU8" s="36">
        <v>74168.988276229065</v>
      </c>
      <c r="AV8" s="35">
        <v>179341.26784692382</v>
      </c>
      <c r="AW8" s="36">
        <v>179341.26784692382</v>
      </c>
    </row>
    <row r="9" spans="1:49" x14ac:dyDescent="0.2">
      <c r="A9" t="s">
        <v>14</v>
      </c>
      <c r="B9" s="41">
        <v>1015.9116825427475</v>
      </c>
      <c r="C9" s="42">
        <v>1005.7716594496609</v>
      </c>
      <c r="D9" s="41">
        <v>1015.0532236863351</v>
      </c>
      <c r="E9" s="42">
        <v>1051.708997140558</v>
      </c>
      <c r="F9" s="41">
        <v>1014.1912686045252</v>
      </c>
      <c r="G9" s="42">
        <v>1102.7181354451145</v>
      </c>
      <c r="H9" s="41">
        <v>1013.3246988543212</v>
      </c>
      <c r="I9" s="42">
        <v>1159.6948748452423</v>
      </c>
      <c r="J9" s="41">
        <v>1012.4521981592131</v>
      </c>
      <c r="K9" s="42">
        <v>1223.759824293252</v>
      </c>
      <c r="L9" s="41">
        <v>1011.5722535693374</v>
      </c>
      <c r="M9" s="42">
        <v>1296.334287623192</v>
      </c>
      <c r="N9" s="41">
        <v>1010.6831910997251</v>
      </c>
      <c r="O9" s="42">
        <v>1379.2499193770411</v>
      </c>
      <c r="P9" s="41">
        <v>1009.7832418566306</v>
      </c>
      <c r="Q9" s="42">
        <v>1474.9086812875128</v>
      </c>
      <c r="R9" s="41">
        <v>1008.8707295825025</v>
      </c>
      <c r="S9" s="42">
        <v>1586.526288658667</v>
      </c>
      <c r="T9" s="41">
        <v>1007.9444577633545</v>
      </c>
      <c r="U9" s="42">
        <v>1718.5129779143431</v>
      </c>
      <c r="V9" s="41">
        <v>1007.004498260056</v>
      </c>
      <c r="W9" s="42">
        <v>1877.0927050424837</v>
      </c>
      <c r="X9" s="41">
        <v>1006.0537736841554</v>
      </c>
      <c r="Y9" s="42">
        <v>2071.3563413061879</v>
      </c>
      <c r="Z9" s="41">
        <v>1005.1012752079123</v>
      </c>
      <c r="AA9" s="42">
        <v>2315.1554355107319</v>
      </c>
      <c r="AB9" s="41">
        <v>1004.1687193511139</v>
      </c>
      <c r="AC9" s="42">
        <v>2630.7430100666888</v>
      </c>
      <c r="AD9" s="41">
        <v>1003.3047307179165</v>
      </c>
      <c r="AE9" s="42">
        <v>3056.3867990676927</v>
      </c>
      <c r="AF9" s="41">
        <v>1002.6160053901931</v>
      </c>
      <c r="AG9" s="42">
        <v>3664.1015098652774</v>
      </c>
      <c r="AH9" s="41">
        <v>1002.3369800467802</v>
      </c>
      <c r="AI9" s="42">
        <v>4607.2632033838136</v>
      </c>
      <c r="AJ9" s="41">
        <v>1002.9760755114934</v>
      </c>
      <c r="AK9" s="42">
        <v>6276.1897959032785</v>
      </c>
      <c r="AL9" s="41">
        <v>1005.4932771342183</v>
      </c>
      <c r="AM9" s="42">
        <v>9981.2321774451393</v>
      </c>
      <c r="AN9" s="41">
        <v>1010.5080447000239</v>
      </c>
      <c r="AO9" s="42">
        <v>23288.422673225901</v>
      </c>
      <c r="AP9" s="41">
        <v>1011.538439693069</v>
      </c>
      <c r="AQ9" s="42">
        <v>30813.108266802028</v>
      </c>
      <c r="AR9" s="41">
        <v>1012.3044410996329</v>
      </c>
      <c r="AS9" s="42">
        <v>44315.372959639397</v>
      </c>
      <c r="AT9" s="41">
        <v>1012.3965165766482</v>
      </c>
      <c r="AU9" s="42">
        <v>74168.988276229065</v>
      </c>
      <c r="AV9" s="41">
        <v>1010.4101676380752</v>
      </c>
      <c r="AW9" s="42">
        <v>179341.26784692382</v>
      </c>
    </row>
    <row r="10" spans="1:49" x14ac:dyDescent="0.2">
      <c r="A10" t="s">
        <v>15</v>
      </c>
      <c r="B10" s="41">
        <v>1015.9116825427475</v>
      </c>
      <c r="C10" s="42">
        <v>1005.7716594496609</v>
      </c>
      <c r="D10" s="41">
        <v>1015.0532236863351</v>
      </c>
      <c r="E10" s="42">
        <v>1051.708997140558</v>
      </c>
      <c r="F10" s="41">
        <v>1014.1912686045252</v>
      </c>
      <c r="G10" s="42">
        <v>1102.7181354451145</v>
      </c>
      <c r="H10" s="41">
        <v>1013.3246988543212</v>
      </c>
      <c r="I10" s="42">
        <v>1159.6948748452423</v>
      </c>
      <c r="J10" s="41">
        <v>1012.4521981592131</v>
      </c>
      <c r="K10" s="42">
        <v>1223.759824293252</v>
      </c>
      <c r="L10" s="41">
        <v>1011.5722535693374</v>
      </c>
      <c r="M10" s="42">
        <v>1296.334287623192</v>
      </c>
      <c r="N10" s="41">
        <v>1010.6831910997251</v>
      </c>
      <c r="O10" s="42">
        <v>1379.2499193770411</v>
      </c>
      <c r="P10" s="41">
        <v>1009.7832418566306</v>
      </c>
      <c r="Q10" s="42">
        <v>1474.9086812875128</v>
      </c>
      <c r="R10" s="41">
        <v>1008.8707295825025</v>
      </c>
      <c r="S10" s="42">
        <v>1586.526288658667</v>
      </c>
      <c r="T10" s="41">
        <v>1007.9444577633545</v>
      </c>
      <c r="U10" s="42">
        <v>1718.5129779143431</v>
      </c>
      <c r="V10" s="41">
        <v>1007.004498260056</v>
      </c>
      <c r="W10" s="42">
        <v>1877.0927050424837</v>
      </c>
      <c r="X10" s="41">
        <v>1006.0537736841554</v>
      </c>
      <c r="Y10" s="42">
        <v>2071.3563413061879</v>
      </c>
      <c r="Z10" s="41">
        <v>1005.1012752079123</v>
      </c>
      <c r="AA10" s="42">
        <v>2315.1554355107319</v>
      </c>
      <c r="AB10" s="41">
        <v>1004.1687193511139</v>
      </c>
      <c r="AC10" s="42">
        <v>2630.7430100666888</v>
      </c>
      <c r="AD10" s="41">
        <v>1003.3047307179165</v>
      </c>
      <c r="AE10" s="42">
        <v>3056.3867990676927</v>
      </c>
      <c r="AF10" s="41">
        <v>1002.6160053901931</v>
      </c>
      <c r="AG10" s="42">
        <v>3664.1015098652774</v>
      </c>
      <c r="AH10" s="41">
        <v>1002.3369800467802</v>
      </c>
      <c r="AI10" s="42">
        <v>4607.2632033838136</v>
      </c>
      <c r="AJ10" s="41">
        <v>1002.9760755114934</v>
      </c>
      <c r="AK10" s="42">
        <v>6276.1897959032785</v>
      </c>
      <c r="AL10" s="41">
        <v>1005.4932771342183</v>
      </c>
      <c r="AM10" s="42">
        <v>9981.2321774451393</v>
      </c>
      <c r="AN10" s="41">
        <v>1010.5080447000239</v>
      </c>
      <c r="AO10" s="42">
        <v>23288.422673225901</v>
      </c>
      <c r="AP10" s="41">
        <v>1011.538439693069</v>
      </c>
      <c r="AQ10" s="42">
        <v>30813.108266802028</v>
      </c>
      <c r="AR10" s="41">
        <v>1012.3044410996329</v>
      </c>
      <c r="AS10" s="42">
        <v>44315.372959639397</v>
      </c>
      <c r="AT10" s="41">
        <v>1012.3965165766482</v>
      </c>
      <c r="AU10" s="42">
        <v>74168.988276229065</v>
      </c>
      <c r="AV10" s="41">
        <v>1010.4101676380752</v>
      </c>
      <c r="AW10" s="42">
        <v>179341.26784692382</v>
      </c>
    </row>
    <row r="11" spans="1:49" x14ac:dyDescent="0.2">
      <c r="A11" t="s">
        <v>29</v>
      </c>
      <c r="B11" s="41">
        <v>1015.9116825427475</v>
      </c>
      <c r="C11" s="42">
        <v>1005.7716594496609</v>
      </c>
      <c r="D11" s="41">
        <v>1015.0532236863351</v>
      </c>
      <c r="E11" s="42">
        <v>1051.708997140558</v>
      </c>
      <c r="F11" s="41">
        <v>1014.1912686045252</v>
      </c>
      <c r="G11" s="42">
        <v>1102.7181354451145</v>
      </c>
      <c r="H11" s="41">
        <v>1013.3246988543212</v>
      </c>
      <c r="I11" s="42">
        <v>1159.6948748452423</v>
      </c>
      <c r="J11" s="41">
        <v>1012.4521981592131</v>
      </c>
      <c r="K11" s="42">
        <v>1223.759824293252</v>
      </c>
      <c r="L11" s="41">
        <v>1011.5722535693374</v>
      </c>
      <c r="M11" s="42">
        <v>1296.334287623192</v>
      </c>
      <c r="N11" s="41">
        <v>1010.6831910997251</v>
      </c>
      <c r="O11" s="42">
        <v>1379.2499193770411</v>
      </c>
      <c r="P11" s="41">
        <v>1009.7832418566306</v>
      </c>
      <c r="Q11" s="42">
        <v>1474.9086812875128</v>
      </c>
      <c r="R11" s="41">
        <v>1008.8707295825025</v>
      </c>
      <c r="S11" s="42">
        <v>1586.526288658667</v>
      </c>
      <c r="T11" s="41">
        <v>1007.9444577633545</v>
      </c>
      <c r="U11" s="42">
        <v>1718.5129779143431</v>
      </c>
      <c r="V11" s="41">
        <v>1007.004498260056</v>
      </c>
      <c r="W11" s="42">
        <v>1877.0927050424837</v>
      </c>
      <c r="X11" s="41">
        <v>1006.0537736841554</v>
      </c>
      <c r="Y11" s="42">
        <v>2071.3563413061879</v>
      </c>
      <c r="Z11" s="41">
        <v>1005.1012752079123</v>
      </c>
      <c r="AA11" s="42">
        <v>2315.1554355107319</v>
      </c>
      <c r="AB11" s="41">
        <v>1004.1687193511139</v>
      </c>
      <c r="AC11" s="42">
        <v>2630.7430100666888</v>
      </c>
      <c r="AD11" s="41">
        <v>1003.3047307179165</v>
      </c>
      <c r="AE11" s="42">
        <v>3056.3867990676927</v>
      </c>
      <c r="AF11" s="41">
        <v>1002.6160053901931</v>
      </c>
      <c r="AG11" s="42">
        <v>3664.1015098652774</v>
      </c>
      <c r="AH11" s="41">
        <v>1002.3369800467802</v>
      </c>
      <c r="AI11" s="42">
        <v>4607.2632033838136</v>
      </c>
      <c r="AJ11" s="41">
        <v>1002.9760755114934</v>
      </c>
      <c r="AK11" s="42">
        <v>6276.1897959032785</v>
      </c>
      <c r="AL11" s="41">
        <v>1005.4932771342183</v>
      </c>
      <c r="AM11" s="42">
        <v>9981.2321774451393</v>
      </c>
      <c r="AN11" s="41">
        <v>1010.5080447000239</v>
      </c>
      <c r="AO11" s="42">
        <v>23288.422673225901</v>
      </c>
      <c r="AP11" s="41">
        <v>1011.538439693069</v>
      </c>
      <c r="AQ11" s="42">
        <v>30813.108266802028</v>
      </c>
      <c r="AR11" s="41">
        <v>1012.3044410996329</v>
      </c>
      <c r="AS11" s="42">
        <v>44315.372959639397</v>
      </c>
      <c r="AT11" s="41">
        <v>1012.3965165766482</v>
      </c>
      <c r="AU11" s="42">
        <v>74168.988276229065</v>
      </c>
      <c r="AV11" s="41">
        <v>1010.4101676380752</v>
      </c>
      <c r="AW11" s="42">
        <v>179341.26784692382</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999.53024706699591</v>
      </c>
      <c r="E13" s="98">
        <v>999.53024706699591</v>
      </c>
      <c r="F13" s="97">
        <v>998.94643505069723</v>
      </c>
      <c r="G13" s="98">
        <v>998.94643505069723</v>
      </c>
      <c r="H13" s="97">
        <v>998.23515244215139</v>
      </c>
      <c r="I13" s="98">
        <v>998.23515244215139</v>
      </c>
      <c r="J13" s="97">
        <v>997.38053177363588</v>
      </c>
      <c r="K13" s="98">
        <v>997.38053177363588</v>
      </c>
      <c r="L13" s="97">
        <v>996.36362950456646</v>
      </c>
      <c r="M13" s="98">
        <v>996.36362950456646</v>
      </c>
      <c r="N13" s="97">
        <v>995.16152029414684</v>
      </c>
      <c r="O13" s="98">
        <v>995.16152029414684</v>
      </c>
      <c r="P13" s="97">
        <v>993.74620063034843</v>
      </c>
      <c r="Q13" s="98">
        <v>993.74620063034843</v>
      </c>
      <c r="R13" s="97">
        <v>992.08297819502093</v>
      </c>
      <c r="S13" s="98">
        <v>992.08297819502093</v>
      </c>
      <c r="T13" s="97">
        <v>990.12815790906268</v>
      </c>
      <c r="U13" s="98">
        <v>990.12815790906268</v>
      </c>
      <c r="V13" s="97">
        <v>987.82573368446867</v>
      </c>
      <c r="W13" s="98">
        <v>987.82573368446867</v>
      </c>
      <c r="X13" s="97">
        <v>985.10229059452126</v>
      </c>
      <c r="Y13" s="98">
        <v>985.10229059452126</v>
      </c>
      <c r="Z13" s="97">
        <v>981.8590287497783</v>
      </c>
      <c r="AA13" s="98">
        <v>981.8590287497783</v>
      </c>
      <c r="AB13" s="97">
        <v>977.95851506965846</v>
      </c>
      <c r="AC13" s="98">
        <v>977.95851506965846</v>
      </c>
      <c r="AD13" s="97">
        <v>973.20138163750539</v>
      </c>
      <c r="AE13" s="98">
        <v>973.20138163750539</v>
      </c>
      <c r="AF13" s="97">
        <v>967.28145503197425</v>
      </c>
      <c r="AG13" s="98">
        <v>967.28145503197425</v>
      </c>
      <c r="AH13" s="97">
        <v>959.68872081197014</v>
      </c>
      <c r="AI13" s="98">
        <v>959.68872081197014</v>
      </c>
      <c r="AJ13" s="97">
        <v>949.45742126733251</v>
      </c>
      <c r="AK13" s="98">
        <v>949.45742126733251</v>
      </c>
      <c r="AL13" s="97">
        <v>934.29991969448395</v>
      </c>
      <c r="AM13" s="98">
        <v>934.29991969448395</v>
      </c>
      <c r="AN13" s="97">
        <v>906.07136459628282</v>
      </c>
      <c r="AO13" s="98">
        <v>906.07136459628282</v>
      </c>
      <c r="AP13" s="97">
        <v>896.33641939563836</v>
      </c>
      <c r="AQ13" s="98">
        <v>896.33641939563836</v>
      </c>
      <c r="AR13" s="97">
        <v>883.41284304835858</v>
      </c>
      <c r="AS13" s="98">
        <v>883.41284304835858</v>
      </c>
      <c r="AT13" s="97">
        <v>864.68853943074112</v>
      </c>
      <c r="AU13" s="98">
        <v>864.68853943074112</v>
      </c>
      <c r="AV13" s="97">
        <v>832.05939486051977</v>
      </c>
      <c r="AW13" s="98">
        <v>832.05939486051977</v>
      </c>
    </row>
    <row r="14" spans="1:49" x14ac:dyDescent="0.2">
      <c r="A14" t="s">
        <v>36</v>
      </c>
      <c r="B14" s="41">
        <v>1457.0034251455234</v>
      </c>
      <c r="C14" s="42">
        <v>1457.0034251455236</v>
      </c>
      <c r="D14" s="41">
        <v>1456.3189935131641</v>
      </c>
      <c r="E14" s="42">
        <v>1456.3189935131643</v>
      </c>
      <c r="F14" s="41">
        <v>1455.468377405776</v>
      </c>
      <c r="G14" s="42">
        <v>1455.4683774057762</v>
      </c>
      <c r="H14" s="41">
        <v>1454.4320362088781</v>
      </c>
      <c r="I14" s="42">
        <v>1454.4320362088783</v>
      </c>
      <c r="J14" s="41">
        <v>1453.1868509676508</v>
      </c>
      <c r="K14" s="42">
        <v>1453.186850967651</v>
      </c>
      <c r="L14" s="41">
        <v>1451.7052208785785</v>
      </c>
      <c r="M14" s="42">
        <v>1451.7052208785788</v>
      </c>
      <c r="N14" s="41">
        <v>1449.9537436415981</v>
      </c>
      <c r="O14" s="42">
        <v>1449.9537436415983</v>
      </c>
      <c r="P14" s="41">
        <v>1447.8916180437679</v>
      </c>
      <c r="Q14" s="42">
        <v>1447.8916180437682</v>
      </c>
      <c r="R14" s="41">
        <v>1445.468297258717</v>
      </c>
      <c r="S14" s="42">
        <v>1445.4682972587173</v>
      </c>
      <c r="T14" s="41">
        <v>1442.6201174065318</v>
      </c>
      <c r="U14" s="42">
        <v>1442.620117406532</v>
      </c>
      <c r="V14" s="41">
        <v>1439.2654774251603</v>
      </c>
      <c r="W14" s="42">
        <v>1439.2654774251605</v>
      </c>
      <c r="X14" s="41">
        <v>1435.2974115149182</v>
      </c>
      <c r="Y14" s="42">
        <v>1435.2974115149184</v>
      </c>
      <c r="Z14" s="41">
        <v>1430.5719678984838</v>
      </c>
      <c r="AA14" s="42">
        <v>1430.571967898484</v>
      </c>
      <c r="AB14" s="41">
        <v>1424.8889061067223</v>
      </c>
      <c r="AC14" s="42">
        <v>1424.8889061067225</v>
      </c>
      <c r="AD14" s="41">
        <v>1417.9577464022009</v>
      </c>
      <c r="AE14" s="42">
        <v>1417.9577464022011</v>
      </c>
      <c r="AF14" s="41">
        <v>1409.3323930613319</v>
      </c>
      <c r="AG14" s="42">
        <v>1409.3323930613321</v>
      </c>
      <c r="AH14" s="41">
        <v>1398.2697532965663</v>
      </c>
      <c r="AI14" s="42">
        <v>1398.2697532965665</v>
      </c>
      <c r="AJ14" s="41">
        <v>1383.3627148163393</v>
      </c>
      <c r="AK14" s="42">
        <v>1383.3627148163396</v>
      </c>
      <c r="AL14" s="41">
        <v>1361.2781831080504</v>
      </c>
      <c r="AM14" s="42">
        <v>1361.2781831080506</v>
      </c>
      <c r="AN14" s="41">
        <v>1320.1490816430623</v>
      </c>
      <c r="AO14" s="42">
        <v>1320.1490816430626</v>
      </c>
      <c r="AP14" s="41">
        <v>1305.9652331421194</v>
      </c>
      <c r="AQ14" s="42">
        <v>1305.9652331421196</v>
      </c>
      <c r="AR14" s="41">
        <v>1287.1355381390031</v>
      </c>
      <c r="AS14" s="42">
        <v>1287.1355381390033</v>
      </c>
      <c r="AT14" s="41">
        <v>1259.8541636346697</v>
      </c>
      <c r="AU14" s="42">
        <v>1259.8541636346699</v>
      </c>
      <c r="AV14" s="41">
        <v>1212.3133882362888</v>
      </c>
      <c r="AW14" s="42">
        <v>1212.3133882362888</v>
      </c>
    </row>
    <row r="15" spans="1:49" x14ac:dyDescent="0.2">
      <c r="A15" t="s">
        <v>18</v>
      </c>
      <c r="B15" s="154">
        <v>1000</v>
      </c>
      <c r="C15" s="155">
        <v>1000</v>
      </c>
      <c r="D15" s="154">
        <v>994.66143323741812</v>
      </c>
      <c r="E15" s="155">
        <v>994.66143323741812</v>
      </c>
      <c r="F15" s="154">
        <v>989.21756871697005</v>
      </c>
      <c r="G15" s="155">
        <v>989.21756871697005</v>
      </c>
      <c r="H15" s="154">
        <v>983.6547993515635</v>
      </c>
      <c r="I15" s="155">
        <v>983.6547993515635</v>
      </c>
      <c r="J15" s="154">
        <v>977.95709204207708</v>
      </c>
      <c r="K15" s="155">
        <v>977.95709204207708</v>
      </c>
      <c r="L15" s="154">
        <v>972.1054291728135</v>
      </c>
      <c r="M15" s="155">
        <v>972.1054291728135</v>
      </c>
      <c r="N15" s="154">
        <v>966.07716823404451</v>
      </c>
      <c r="O15" s="155">
        <v>966.07716823404451</v>
      </c>
      <c r="P15" s="154">
        <v>959.84502762768841</v>
      </c>
      <c r="Q15" s="155">
        <v>959.84502762768841</v>
      </c>
      <c r="R15" s="154">
        <v>953.37585871943531</v>
      </c>
      <c r="S15" s="155">
        <v>953.37585871943531</v>
      </c>
      <c r="T15" s="154">
        <v>946.62900016959338</v>
      </c>
      <c r="U15" s="155">
        <v>946.62900016959338</v>
      </c>
      <c r="V15" s="154">
        <v>939.5539617358487</v>
      </c>
      <c r="W15" s="155">
        <v>939.5539617358487</v>
      </c>
      <c r="X15" s="154">
        <v>932.08724450687862</v>
      </c>
      <c r="Y15" s="155">
        <v>932.08724450687862</v>
      </c>
      <c r="Z15" s="154">
        <v>924.14774745050931</v>
      </c>
      <c r="AA15" s="155">
        <v>924.14774745050931</v>
      </c>
      <c r="AB15" s="154">
        <v>915.62992034571403</v>
      </c>
      <c r="AC15" s="155">
        <v>915.62992034571403</v>
      </c>
      <c r="AD15" s="154">
        <v>906.39273757579645</v>
      </c>
      <c r="AE15" s="155">
        <v>906.39273757579645</v>
      </c>
      <c r="AF15" s="154">
        <v>896.23961614088455</v>
      </c>
      <c r="AG15" s="155">
        <v>896.23961614088455</v>
      </c>
      <c r="AH15" s="154">
        <v>884.8716772740878</v>
      </c>
      <c r="AI15" s="155">
        <v>884.8716772740878</v>
      </c>
      <c r="AJ15" s="154">
        <v>871.73323770660375</v>
      </c>
      <c r="AK15" s="155">
        <v>871.73323770660375</v>
      </c>
      <c r="AL15" s="154">
        <v>855.28089933427748</v>
      </c>
      <c r="AM15" s="155">
        <v>855.28089933427748</v>
      </c>
      <c r="AN15" s="154">
        <v>828.48571872089587</v>
      </c>
      <c r="AO15" s="155">
        <v>828.48571872089587</v>
      </c>
      <c r="AP15" s="154">
        <v>819.54020106661585</v>
      </c>
      <c r="AQ15" s="155">
        <v>819.54020106661585</v>
      </c>
      <c r="AR15" s="154">
        <v>807.70434117396962</v>
      </c>
      <c r="AS15" s="155">
        <v>807.70434117396962</v>
      </c>
      <c r="AT15" s="154">
        <v>790.57855048684644</v>
      </c>
      <c r="AU15" s="155">
        <v>790.57855048684644</v>
      </c>
      <c r="AV15" s="154">
        <v>760.74495166594772</v>
      </c>
      <c r="AW15" s="155">
        <v>760.74495166594772</v>
      </c>
    </row>
    <row r="16" spans="1:49" s="29" customFormat="1" x14ac:dyDescent="0.2">
      <c r="A16" t="s">
        <v>61</v>
      </c>
      <c r="B16" s="41">
        <v>1000</v>
      </c>
      <c r="C16" s="42">
        <v>1000</v>
      </c>
      <c r="D16" s="41">
        <v>997.25639036698919</v>
      </c>
      <c r="E16" s="42">
        <v>996.05075533977299</v>
      </c>
      <c r="F16" s="41">
        <v>994.40103262291404</v>
      </c>
      <c r="G16" s="42">
        <v>991.99298267853328</v>
      </c>
      <c r="H16" s="41">
        <v>991.42041574001928</v>
      </c>
      <c r="I16" s="42">
        <v>987.81312677558844</v>
      </c>
      <c r="J16" s="41">
        <v>988.29858525457814</v>
      </c>
      <c r="K16" s="42">
        <v>983.49519724673269</v>
      </c>
      <c r="L16" s="41">
        <v>985.01655152529781</v>
      </c>
      <c r="M16" s="42">
        <v>979.0201922976845</v>
      </c>
      <c r="N16" s="41">
        <v>981.5515070462136</v>
      </c>
      <c r="O16" s="42">
        <v>974.36538223449975</v>
      </c>
      <c r="P16" s="41">
        <v>977.87576975560341</v>
      </c>
      <c r="Q16" s="42">
        <v>969.5032723965038</v>
      </c>
      <c r="R16" s="41">
        <v>973.95535172589473</v>
      </c>
      <c r="S16" s="42">
        <v>964.40026628170278</v>
      </c>
      <c r="T16" s="41">
        <v>969.7479595218208</v>
      </c>
      <c r="U16" s="42">
        <v>959.01482973222869</v>
      </c>
      <c r="V16" s="41">
        <v>965.20015406685548</v>
      </c>
      <c r="W16" s="42">
        <v>953.29489430376736</v>
      </c>
      <c r="X16" s="41">
        <v>960.24315839125677</v>
      </c>
      <c r="Y16" s="42">
        <v>947.17413375397723</v>
      </c>
      <c r="Z16" s="41">
        <v>954.78648088191187</v>
      </c>
      <c r="AA16" s="42">
        <v>940.56641338296242</v>
      </c>
      <c r="AB16" s="41">
        <v>948.70769645092923</v>
      </c>
      <c r="AC16" s="42">
        <v>933.35713300027294</v>
      </c>
      <c r="AD16" s="41">
        <v>941.83495967427768</v>
      </c>
      <c r="AE16" s="42">
        <v>925.38873168725866</v>
      </c>
      <c r="AF16" s="41">
        <v>933.91388284886818</v>
      </c>
      <c r="AG16" s="42">
        <v>916.43360321592411</v>
      </c>
      <c r="AH16" s="41">
        <v>924.53434841063904</v>
      </c>
      <c r="AI16" s="42">
        <v>906.13315324935377</v>
      </c>
      <c r="AJ16" s="41">
        <v>912.92477707227181</v>
      </c>
      <c r="AK16" s="42">
        <v>893.81578241890213</v>
      </c>
      <c r="AL16" s="41">
        <v>897.14994274528567</v>
      </c>
      <c r="AM16" s="42">
        <v>877.72771856522036</v>
      </c>
      <c r="AN16" s="41">
        <v>869.59194474820652</v>
      </c>
      <c r="AO16" s="42">
        <v>850.52398418008829</v>
      </c>
      <c r="AP16" s="41">
        <v>860.22802035645509</v>
      </c>
      <c r="AQ16" s="42">
        <v>841.35416516861505</v>
      </c>
      <c r="AR16" s="41">
        <v>847.8158032218231</v>
      </c>
      <c r="AS16" s="42">
        <v>829.20931118127578</v>
      </c>
      <c r="AT16" s="41">
        <v>829.84307567681117</v>
      </c>
      <c r="AU16" s="42">
        <v>811.62945462191453</v>
      </c>
      <c r="AV16" s="41">
        <v>798.52835348230144</v>
      </c>
      <c r="AW16" s="42">
        <v>781.00178102013911</v>
      </c>
    </row>
    <row r="17" spans="1:49" x14ac:dyDescent="0.2">
      <c r="A17" t="s">
        <v>62</v>
      </c>
      <c r="B17" s="35">
        <v>999.99999999998658</v>
      </c>
      <c r="C17" s="36">
        <v>1000.0000000000002</v>
      </c>
      <c r="D17" s="35">
        <v>999.23186504461535</v>
      </c>
      <c r="E17" s="36">
        <v>1022.3069552771036</v>
      </c>
      <c r="F17" s="35">
        <v>998.46112844844481</v>
      </c>
      <c r="G17" s="36">
        <v>1046.8968111205872</v>
      </c>
      <c r="H17" s="35">
        <v>997.6868054939597</v>
      </c>
      <c r="I17" s="36">
        <v>1074.1471095004549</v>
      </c>
      <c r="J17" s="35">
        <v>996.90773001481591</v>
      </c>
      <c r="K17" s="36">
        <v>1104.525951603342</v>
      </c>
      <c r="L17" s="35">
        <v>996.12255993442773</v>
      </c>
      <c r="M17" s="36">
        <v>1138.6216186445847</v>
      </c>
      <c r="N17" s="35">
        <v>995.32982330530376</v>
      </c>
      <c r="O17" s="36">
        <v>1177.1851404892118</v>
      </c>
      <c r="P17" s="35">
        <v>994.52796220347307</v>
      </c>
      <c r="Q17" s="36">
        <v>1221.1917005101568</v>
      </c>
      <c r="R17" s="35">
        <v>993.71550585642706</v>
      </c>
      <c r="S17" s="36">
        <v>1271.9335377026109</v>
      </c>
      <c r="T17" s="35">
        <v>992.89141331807764</v>
      </c>
      <c r="U17" s="36">
        <v>1331.1640394311742</v>
      </c>
      <c r="V17" s="35">
        <v>992.05578183279204</v>
      </c>
      <c r="W17" s="36">
        <v>1401.3300498369015</v>
      </c>
      <c r="X17" s="35">
        <v>991.21123547914442</v>
      </c>
      <c r="Y17" s="36">
        <v>1485.9633800879637</v>
      </c>
      <c r="Z17" s="35">
        <v>990.36577525070015</v>
      </c>
      <c r="AA17" s="36">
        <v>1590.3779414722817</v>
      </c>
      <c r="AB17" s="35">
        <v>989.53865810938476</v>
      </c>
      <c r="AC17" s="36">
        <v>1722.9954929053945</v>
      </c>
      <c r="AD17" s="35">
        <v>988.77292433000105</v>
      </c>
      <c r="AE17" s="36">
        <v>1898.0838456204779</v>
      </c>
      <c r="AF17" s="35">
        <v>988.16291472317846</v>
      </c>
      <c r="AG17" s="36">
        <v>2142.0425534114929</v>
      </c>
      <c r="AH17" s="35">
        <v>987.91587941888281</v>
      </c>
      <c r="AI17" s="36">
        <v>2509.9820682919744</v>
      </c>
      <c r="AJ17" s="35">
        <v>988.48178832190126</v>
      </c>
      <c r="AK17" s="36">
        <v>3138.6617923079207</v>
      </c>
      <c r="AL17" s="35">
        <v>990.71364491285988</v>
      </c>
      <c r="AM17" s="36">
        <v>4471.9052107399011</v>
      </c>
      <c r="AN17" s="35">
        <v>995.17371956127283</v>
      </c>
      <c r="AO17" s="36">
        <v>8952.688081407452</v>
      </c>
      <c r="AP17" s="35">
        <v>996.09239865543907</v>
      </c>
      <c r="AQ17" s="36">
        <v>11387.541440671479</v>
      </c>
      <c r="AR17" s="35">
        <v>996.77584641202839</v>
      </c>
      <c r="AS17" s="36">
        <v>15668.159287955783</v>
      </c>
      <c r="AT17" s="35">
        <v>996.85802718661228</v>
      </c>
      <c r="AU17" s="36">
        <v>24912.002830343597</v>
      </c>
      <c r="AV17" s="35">
        <v>995.08649426563045</v>
      </c>
      <c r="AW17" s="36">
        <v>56540.176122516175</v>
      </c>
    </row>
    <row r="18" spans="1:49" x14ac:dyDescent="0.2">
      <c r="A18" t="s">
        <v>19</v>
      </c>
      <c r="B18" s="33">
        <v>27857.010133999996</v>
      </c>
      <c r="C18" s="34">
        <v>1236.7674480000003</v>
      </c>
      <c r="D18" s="33">
        <v>27843.506846252309</v>
      </c>
      <c r="E18" s="34">
        <v>1158.3381581664212</v>
      </c>
      <c r="F18" s="33">
        <v>27826.878948876489</v>
      </c>
      <c r="G18" s="34">
        <v>1080.1904040086895</v>
      </c>
      <c r="H18" s="33">
        <v>27806.769041187436</v>
      </c>
      <c r="I18" s="34">
        <v>1002.3555226168016</v>
      </c>
      <c r="J18" s="33">
        <v>27782.754202939577</v>
      </c>
      <c r="K18" s="34">
        <v>924.870650604665</v>
      </c>
      <c r="L18" s="33">
        <v>27754.328338840554</v>
      </c>
      <c r="M18" s="34">
        <v>847.78076379453182</v>
      </c>
      <c r="N18" s="33">
        <v>27720.876958786142</v>
      </c>
      <c r="O18" s="34">
        <v>771.14296806184586</v>
      </c>
      <c r="P18" s="33">
        <v>27681.643749200008</v>
      </c>
      <c r="Q18" s="34">
        <v>695.03001845690744</v>
      </c>
      <c r="R18" s="33">
        <v>27635.681267686447</v>
      </c>
      <c r="S18" s="34">
        <v>619.53751555273652</v>
      </c>
      <c r="T18" s="33">
        <v>27581.777748207132</v>
      </c>
      <c r="U18" s="34">
        <v>544.7952167130253</v>
      </c>
      <c r="V18" s="33">
        <v>27518.346184004262</v>
      </c>
      <c r="W18" s="34">
        <v>470.98369654518854</v>
      </c>
      <c r="X18" s="33">
        <v>27443.246769997713</v>
      </c>
      <c r="Y18" s="34">
        <v>398.36247569845807</v>
      </c>
      <c r="Z18" s="33">
        <v>27353.492422492953</v>
      </c>
      <c r="AA18" s="34">
        <v>327.31637320558497</v>
      </c>
      <c r="AB18" s="33">
        <v>27244.732242144688</v>
      </c>
      <c r="AC18" s="34">
        <v>258.43541296936553</v>
      </c>
      <c r="AD18" s="33">
        <v>27110.289871170527</v>
      </c>
      <c r="AE18" s="34">
        <v>192.65429214925271</v>
      </c>
      <c r="AF18" s="33">
        <v>26939.234941190174</v>
      </c>
      <c r="AG18" s="34">
        <v>131.50109775699775</v>
      </c>
      <c r="AH18" s="33">
        <v>26712.180301819735</v>
      </c>
      <c r="AI18" s="34">
        <v>77.518851649820405</v>
      </c>
      <c r="AJ18" s="33">
        <v>26391.19776950089</v>
      </c>
      <c r="AK18" s="34">
        <v>34.813474520032756</v>
      </c>
      <c r="AL18" s="33">
        <v>25892.465839270008</v>
      </c>
      <c r="AM18" s="34">
        <v>8.7089716511164408</v>
      </c>
      <c r="AN18" s="33">
        <v>24980.284969284141</v>
      </c>
      <c r="AO18" s="34">
        <v>0.44045843030190673</v>
      </c>
      <c r="AP18" s="33">
        <v>24685.19755229064</v>
      </c>
      <c r="AQ18" s="34">
        <v>0.14974959027363433</v>
      </c>
      <c r="AR18" s="33">
        <v>24308.227542394616</v>
      </c>
      <c r="AS18" s="34">
        <v>3.5117791817944638E-2</v>
      </c>
      <c r="AT18" s="33">
        <v>23785.830037144267</v>
      </c>
      <c r="AU18" s="34">
        <v>4.1553199190587555E-3</v>
      </c>
      <c r="AV18" s="33">
        <v>22922.032969167234</v>
      </c>
      <c r="AW18" s="34">
        <v>9.0776336723267419E-5</v>
      </c>
    </row>
    <row r="19" spans="1:49" x14ac:dyDescent="0.2">
      <c r="A19" t="s">
        <v>3</v>
      </c>
      <c r="B19" s="41">
        <v>1886.3937399999918</v>
      </c>
      <c r="C19" s="42">
        <v>262.78711299999759</v>
      </c>
      <c r="D19" s="41">
        <v>1881.6575703061658</v>
      </c>
      <c r="E19" s="42">
        <v>262.68868801099609</v>
      </c>
      <c r="F19" s="41">
        <v>1876.7026604768803</v>
      </c>
      <c r="G19" s="42">
        <v>262.80424322609429</v>
      </c>
      <c r="H19" s="41">
        <v>1871.5013528973125</v>
      </c>
      <c r="I19" s="42">
        <v>263.15398370694072</v>
      </c>
      <c r="J19" s="41">
        <v>1866.0209570623376</v>
      </c>
      <c r="K19" s="42">
        <v>263.75987986764341</v>
      </c>
      <c r="L19" s="41">
        <v>1860.2226351883974</v>
      </c>
      <c r="M19" s="42">
        <v>264.64534088487852</v>
      </c>
      <c r="N19" s="41">
        <v>1854.0599530907346</v>
      </c>
      <c r="O19" s="42">
        <v>265.83453984500841</v>
      </c>
      <c r="P19" s="41">
        <v>1847.477044188774</v>
      </c>
      <c r="Q19" s="42">
        <v>267.35043946144646</v>
      </c>
      <c r="R19" s="41">
        <v>1840.406279722298</v>
      </c>
      <c r="S19" s="42">
        <v>269.21134614738673</v>
      </c>
      <c r="T19" s="41">
        <v>1832.7652624690375</v>
      </c>
      <c r="U19" s="42">
        <v>271.42422925356777</v>
      </c>
      <c r="V19" s="41">
        <v>1824.4531087109704</v>
      </c>
      <c r="W19" s="42">
        <v>273.97200093493979</v>
      </c>
      <c r="X19" s="41">
        <v>1815.3457900751093</v>
      </c>
      <c r="Y19" s="42">
        <v>276.78892592145678</v>
      </c>
      <c r="Z19" s="41">
        <v>1805.290782913266</v>
      </c>
      <c r="AA19" s="42">
        <v>279.71265607798136</v>
      </c>
      <c r="AB19" s="41">
        <v>1794.1016183951781</v>
      </c>
      <c r="AC19" s="42">
        <v>282.38763456330713</v>
      </c>
      <c r="AD19" s="41">
        <v>1781.5544245177946</v>
      </c>
      <c r="AE19" s="42">
        <v>284.06384266683614</v>
      </c>
      <c r="AF19" s="41">
        <v>1767.3901417044146</v>
      </c>
      <c r="AG19" s="42">
        <v>283.16213573150816</v>
      </c>
      <c r="AH19" s="41">
        <v>1751.3201573754295</v>
      </c>
      <c r="AI19" s="42">
        <v>276.31321590093501</v>
      </c>
      <c r="AJ19" s="41">
        <v>1732.9323055000257</v>
      </c>
      <c r="AK19" s="42">
        <v>256.32778853575229</v>
      </c>
      <c r="AL19" s="41">
        <v>1710.4688049651872</v>
      </c>
      <c r="AM19" s="42">
        <v>209.32843177473035</v>
      </c>
      <c r="AN19" s="41">
        <v>1670.0649156883896</v>
      </c>
      <c r="AO19" s="42">
        <v>119.8595849092269</v>
      </c>
      <c r="AP19" s="41">
        <v>1654.3825344921529</v>
      </c>
      <c r="AQ19" s="42">
        <v>97.170727579235006</v>
      </c>
      <c r="AR19" s="41">
        <v>1632.0831364952935</v>
      </c>
      <c r="AS19" s="42">
        <v>73.502065547871709</v>
      </c>
      <c r="AT19" s="41">
        <v>1597.3576476442684</v>
      </c>
      <c r="AU19" s="42">
        <v>49.218959659932587</v>
      </c>
      <c r="AV19" s="41">
        <v>1532.1031986099017</v>
      </c>
      <c r="AW19" s="42">
        <v>24.646541217947895</v>
      </c>
    </row>
    <row r="20" spans="1:49" x14ac:dyDescent="0.2">
      <c r="A20" t="s">
        <v>127</v>
      </c>
      <c r="B20" s="82">
        <v>26548.356269999993</v>
      </c>
      <c r="C20" s="83">
        <v>1408.5418709999938</v>
      </c>
      <c r="D20" s="82">
        <v>26526.512869200884</v>
      </c>
      <c r="E20" s="83">
        <v>1338.1147774499941</v>
      </c>
      <c r="F20" s="82">
        <v>26501.651260963135</v>
      </c>
      <c r="G20" s="83">
        <v>1267.6876838999945</v>
      </c>
      <c r="H20" s="82">
        <v>26473.422356903688</v>
      </c>
      <c r="I20" s="83">
        <v>1197.2605903499946</v>
      </c>
      <c r="J20" s="82">
        <v>26441.41310367416</v>
      </c>
      <c r="K20" s="83">
        <v>1126.8334967999949</v>
      </c>
      <c r="L20" s="82">
        <v>26405.129823717103</v>
      </c>
      <c r="M20" s="83">
        <v>1056.4064032499953</v>
      </c>
      <c r="N20" s="82">
        <v>26363.974764355276</v>
      </c>
      <c r="O20" s="83">
        <v>985.97930969999561</v>
      </c>
      <c r="P20" s="82">
        <v>26317.215243847932</v>
      </c>
      <c r="Q20" s="83">
        <v>915.55221614999596</v>
      </c>
      <c r="R20" s="82">
        <v>26263.939064007005</v>
      </c>
      <c r="S20" s="83">
        <v>845.12512259999642</v>
      </c>
      <c r="T20" s="82">
        <v>26202.989453406502</v>
      </c>
      <c r="U20" s="83">
        <v>774.69802904999653</v>
      </c>
      <c r="V20" s="82">
        <v>26132.868576194651</v>
      </c>
      <c r="W20" s="83">
        <v>704.27093549999688</v>
      </c>
      <c r="X20" s="82">
        <v>26051.586313904991</v>
      </c>
      <c r="Y20" s="83">
        <v>633.84384194999723</v>
      </c>
      <c r="Z20" s="82">
        <v>25956.415436218394</v>
      </c>
      <c r="AA20" s="83">
        <v>563.41674839999746</v>
      </c>
      <c r="AB20" s="82">
        <v>25843.472048929649</v>
      </c>
      <c r="AC20" s="83">
        <v>492.98965484999781</v>
      </c>
      <c r="AD20" s="82">
        <v>25706.951236503559</v>
      </c>
      <c r="AE20" s="83">
        <v>422.56256129999804</v>
      </c>
      <c r="AF20" s="82">
        <v>25537.616530631534</v>
      </c>
      <c r="AG20" s="83">
        <v>352.13546774999827</v>
      </c>
      <c r="AH20" s="82">
        <v>25319.506645054735</v>
      </c>
      <c r="AI20" s="83">
        <v>281.70837419999856</v>
      </c>
      <c r="AJ20" s="82">
        <v>25021.748248375443</v>
      </c>
      <c r="AK20" s="83">
        <v>211.28128064999879</v>
      </c>
      <c r="AL20" s="82">
        <v>24573.895964702166</v>
      </c>
      <c r="AM20" s="83">
        <v>140.85418709999902</v>
      </c>
      <c r="AN20" s="82">
        <v>23755.873369884674</v>
      </c>
      <c r="AO20" s="83">
        <v>70.42709354999927</v>
      </c>
      <c r="AP20" s="82">
        <v>23484.880458983516</v>
      </c>
      <c r="AQ20" s="83">
        <v>56.341674839999328</v>
      </c>
      <c r="AR20" s="82">
        <v>23133.278845225246</v>
      </c>
      <c r="AS20" s="83">
        <v>42.256256129999379</v>
      </c>
      <c r="AT20" s="82">
        <v>22636.958811962108</v>
      </c>
      <c r="AU20" s="83">
        <v>28.170837419999433</v>
      </c>
      <c r="AV20" s="82">
        <v>21797.65644119569</v>
      </c>
      <c r="AW20" s="83">
        <v>14.08541870999948</v>
      </c>
    </row>
    <row r="21" spans="1:49" x14ac:dyDescent="0.2">
      <c r="A21" t="s">
        <v>76</v>
      </c>
      <c r="B21" s="82">
        <v>24661.962529999968</v>
      </c>
      <c r="C21" s="83">
        <v>1145.7547579999991</v>
      </c>
      <c r="D21" s="82">
        <v>24644.856747706435</v>
      </c>
      <c r="E21" s="83">
        <v>1075.5287615999553</v>
      </c>
      <c r="F21" s="82">
        <v>24624.954413905489</v>
      </c>
      <c r="G21" s="83">
        <v>1005.3149082442229</v>
      </c>
      <c r="H21" s="82">
        <v>24601.93413477877</v>
      </c>
      <c r="I21" s="83">
        <v>935.12868221568908</v>
      </c>
      <c r="J21" s="82">
        <v>24575.415599709679</v>
      </c>
      <c r="K21" s="83">
        <v>864.99097520890587</v>
      </c>
      <c r="L21" s="82">
        <v>24544.944039274356</v>
      </c>
      <c r="M21" s="83">
        <v>794.93016746909711</v>
      </c>
      <c r="N21" s="82">
        <v>24509.968225435827</v>
      </c>
      <c r="O21" s="83">
        <v>724.98504777650408</v>
      </c>
      <c r="P21" s="82">
        <v>24469.81145388963</v>
      </c>
      <c r="Q21" s="83">
        <v>655.20958241966377</v>
      </c>
      <c r="R21" s="82">
        <v>24423.629281671278</v>
      </c>
      <c r="S21" s="83">
        <v>585.67982263855697</v>
      </c>
      <c r="T21" s="82">
        <v>24370.347461048179</v>
      </c>
      <c r="U21" s="83">
        <v>516.50466411273521</v>
      </c>
      <c r="V21" s="82">
        <v>24308.569127460541</v>
      </c>
      <c r="W21" s="83">
        <v>447.84288471573433</v>
      </c>
      <c r="X21" s="82">
        <v>24236.428151365395</v>
      </c>
      <c r="Y21" s="83">
        <v>379.93092339688798</v>
      </c>
      <c r="Z21" s="82">
        <v>24151.34946641701</v>
      </c>
      <c r="AA21" s="83">
        <v>313.12906921883814</v>
      </c>
      <c r="AB21" s="82">
        <v>24049.634549181203</v>
      </c>
      <c r="AC21" s="83">
        <v>248.00065558080087</v>
      </c>
      <c r="AD21" s="82">
        <v>23925.699617349735</v>
      </c>
      <c r="AE21" s="83">
        <v>185.45112883926609</v>
      </c>
      <c r="AF21" s="82">
        <v>23770.560964389759</v>
      </c>
      <c r="AG21" s="83">
        <v>126.97462780124449</v>
      </c>
      <c r="AH21" s="82">
        <v>23568.532274696725</v>
      </c>
      <c r="AI21" s="83">
        <v>75.073638841318157</v>
      </c>
      <c r="AJ21" s="82">
        <v>23289.126244523006</v>
      </c>
      <c r="AK21" s="83">
        <v>33.807924441766453</v>
      </c>
      <c r="AL21" s="82">
        <v>22863.624842737874</v>
      </c>
      <c r="AM21" s="83">
        <v>8.4764528067964555</v>
      </c>
      <c r="AN21" s="82">
        <v>22085.859862855159</v>
      </c>
      <c r="AO21" s="83">
        <v>0.4292673379008286</v>
      </c>
      <c r="AP21" s="82">
        <v>21830.531212540751</v>
      </c>
      <c r="AQ21" s="83">
        <v>0.14596275258292338</v>
      </c>
      <c r="AR21" s="82">
        <v>21501.218017746221</v>
      </c>
      <c r="AS21" s="83">
        <v>3.4232415700746054E-2</v>
      </c>
      <c r="AT21" s="82">
        <v>21039.621894473054</v>
      </c>
      <c r="AU21" s="83">
        <v>4.0507216741161277E-3</v>
      </c>
      <c r="AV21" s="82">
        <v>20265.602137894773</v>
      </c>
      <c r="AW21" s="83">
        <v>8.849250730038042E-5</v>
      </c>
    </row>
    <row r="22" spans="1:49" x14ac:dyDescent="0.2">
      <c r="A22" t="s">
        <v>28</v>
      </c>
      <c r="B22" s="41">
        <v>6533.6044688320644</v>
      </c>
      <c r="C22" s="42">
        <v>379.90788307663382</v>
      </c>
      <c r="D22" s="41">
        <v>6533.982676325275</v>
      </c>
      <c r="E22" s="42">
        <v>369.52839008323463</v>
      </c>
      <c r="F22" s="41">
        <v>6533.343455478027</v>
      </c>
      <c r="G22" s="42">
        <v>358.78412338248131</v>
      </c>
      <c r="H22" s="41">
        <v>6531.5634221814416</v>
      </c>
      <c r="I22" s="42">
        <v>347.64988901852604</v>
      </c>
      <c r="J22" s="41">
        <v>6528.4956372053257</v>
      </c>
      <c r="K22" s="42">
        <v>336.09717879769914</v>
      </c>
      <c r="L22" s="41">
        <v>6523.9634304679576</v>
      </c>
      <c r="M22" s="42">
        <v>324.0934253375172</v>
      </c>
      <c r="N22" s="41">
        <v>6517.7516953051681</v>
      </c>
      <c r="O22" s="42">
        <v>311.60092704322142</v>
      </c>
      <c r="P22" s="41">
        <v>6509.5951127780945</v>
      </c>
      <c r="Q22" s="42">
        <v>298.57565045486444</v>
      </c>
      <c r="R22" s="41">
        <v>6499.1613783283028</v>
      </c>
      <c r="S22" s="42">
        <v>284.96538994885935</v>
      </c>
      <c r="T22" s="41">
        <v>6486.026536920418</v>
      </c>
      <c r="U22" s="42">
        <v>270.70719180659887</v>
      </c>
      <c r="V22" s="41">
        <v>6469.6385017811863</v>
      </c>
      <c r="W22" s="42">
        <v>255.72362279131139</v>
      </c>
      <c r="X22" s="41">
        <v>6449.2595099175824</v>
      </c>
      <c r="Y22" s="42">
        <v>239.91715669155306</v>
      </c>
      <c r="Z22" s="41">
        <v>6423.8730216542253</v>
      </c>
      <c r="AA22" s="42">
        <v>223.16136547156228</v>
      </c>
      <c r="AB22" s="41">
        <v>6392.0235683570863</v>
      </c>
      <c r="AC22" s="42">
        <v>205.28658586421938</v>
      </c>
      <c r="AD22" s="41">
        <v>6351.5233109320079</v>
      </c>
      <c r="AE22" s="42">
        <v>186.05563689520056</v>
      </c>
      <c r="AF22" s="41">
        <v>6298.8648218535154</v>
      </c>
      <c r="AG22" s="42">
        <v>165.12096005578269</v>
      </c>
      <c r="AH22" s="41">
        <v>6227.9088565989196</v>
      </c>
      <c r="AI22" s="42">
        <v>141.94769909619509</v>
      </c>
      <c r="AJ22" s="41">
        <v>6126.457854895084</v>
      </c>
      <c r="AK22" s="42">
        <v>115.6831383746876</v>
      </c>
      <c r="AL22" s="41">
        <v>5964.9828168349741</v>
      </c>
      <c r="AM22" s="42">
        <v>85.001407808772896</v>
      </c>
      <c r="AN22" s="41">
        <v>5640.2193207428763</v>
      </c>
      <c r="AO22" s="42">
        <v>48.08147398360088</v>
      </c>
      <c r="AP22" s="41">
        <v>5523.3034213856863</v>
      </c>
      <c r="AQ22" s="42">
        <v>39.717093834988376</v>
      </c>
      <c r="AR22" s="41">
        <v>5364.3321551424788</v>
      </c>
      <c r="AS22" s="42">
        <v>30.918985260344243</v>
      </c>
      <c r="AT22" s="41">
        <v>5125.4506894922561</v>
      </c>
      <c r="AU22" s="42">
        <v>21.578849124455424</v>
      </c>
      <c r="AV22" s="41">
        <v>4680.7746538595447</v>
      </c>
      <c r="AW22" s="42">
        <v>11.486411084619718</v>
      </c>
    </row>
    <row r="23" spans="1:49" x14ac:dyDescent="0.2">
      <c r="A23" t="s">
        <v>7</v>
      </c>
      <c r="B23" s="116">
        <v>3278.5018080150408</v>
      </c>
      <c r="C23" s="8">
        <v>0</v>
      </c>
      <c r="D23" s="116">
        <v>3281.8872391636319</v>
      </c>
      <c r="E23" s="8">
        <v>0</v>
      </c>
      <c r="F23" s="116">
        <v>3285.0138883853074</v>
      </c>
      <c r="G23" s="8">
        <v>0</v>
      </c>
      <c r="H23" s="116">
        <v>3287.8534370047059</v>
      </c>
      <c r="I23" s="8">
        <v>0</v>
      </c>
      <c r="J23" s="116">
        <v>3290.3726430033053</v>
      </c>
      <c r="K23" s="8">
        <v>0</v>
      </c>
      <c r="L23" s="116">
        <v>3292.5321620504724</v>
      </c>
      <c r="M23" s="8">
        <v>0</v>
      </c>
      <c r="N23" s="116">
        <v>3294.2847955510683</v>
      </c>
      <c r="O23" s="8">
        <v>0</v>
      </c>
      <c r="P23" s="116">
        <v>3295.5734672351978</v>
      </c>
      <c r="Q23" s="8">
        <v>0</v>
      </c>
      <c r="R23" s="116">
        <v>3296.3282661949333</v>
      </c>
      <c r="S23" s="8">
        <v>0</v>
      </c>
      <c r="T23" s="116">
        <v>3296.4622687966557</v>
      </c>
      <c r="U23" s="8">
        <v>0</v>
      </c>
      <c r="V23" s="116">
        <v>3295.8658282572683</v>
      </c>
      <c r="W23" s="8">
        <v>0</v>
      </c>
      <c r="X23" s="116">
        <v>3294.3980497801003</v>
      </c>
      <c r="Y23" s="8">
        <v>0</v>
      </c>
      <c r="Z23" s="116">
        <v>3291.8742889833838</v>
      </c>
      <c r="AA23" s="8">
        <v>0</v>
      </c>
      <c r="AB23" s="116">
        <v>3288.0470504231189</v>
      </c>
      <c r="AC23" s="8">
        <v>0</v>
      </c>
      <c r="AD23" s="116">
        <v>3282.5765280202822</v>
      </c>
      <c r="AE23" s="8">
        <v>0</v>
      </c>
      <c r="AF23" s="116">
        <v>3274.9839238322243</v>
      </c>
      <c r="AG23" s="8">
        <v>0</v>
      </c>
      <c r="AH23" s="116">
        <v>3264.5778375381401</v>
      </c>
      <c r="AI23" s="8">
        <v>0</v>
      </c>
      <c r="AJ23" s="116">
        <v>3250.3332646048248</v>
      </c>
      <c r="AK23" s="8">
        <v>0</v>
      </c>
      <c r="AL23" s="116">
        <v>3230.6015054740419</v>
      </c>
      <c r="AM23" s="8">
        <v>0</v>
      </c>
      <c r="AN23" s="116">
        <v>3201.9196708691652</v>
      </c>
      <c r="AO23" s="8">
        <v>0</v>
      </c>
      <c r="AP23" s="116">
        <v>3194.7236205040549</v>
      </c>
      <c r="AQ23" s="8">
        <v>0</v>
      </c>
      <c r="AR23" s="116">
        <v>3187.4704279019529</v>
      </c>
      <c r="AS23" s="8">
        <v>0</v>
      </c>
      <c r="AT23" s="116">
        <v>3181.9999851370758</v>
      </c>
      <c r="AU23" s="8">
        <v>0</v>
      </c>
      <c r="AV23" s="116">
        <v>3188.2648180346318</v>
      </c>
      <c r="AW23" s="8">
        <v>0</v>
      </c>
    </row>
    <row r="24" spans="1:49" x14ac:dyDescent="0.2">
      <c r="A24" t="s">
        <v>8</v>
      </c>
      <c r="B24" s="97">
        <v>3196.3846373657216</v>
      </c>
      <c r="C24" s="8">
        <v>0</v>
      </c>
      <c r="D24" s="97">
        <v>3199.6852735530006</v>
      </c>
      <c r="E24" s="8">
        <v>0</v>
      </c>
      <c r="F24" s="97">
        <v>3202.7336085654383</v>
      </c>
      <c r="G24" s="8">
        <v>0</v>
      </c>
      <c r="H24" s="97">
        <v>3205.5020345293915</v>
      </c>
      <c r="I24" s="8">
        <v>0</v>
      </c>
      <c r="J24" s="97">
        <v>3207.9581419722026</v>
      </c>
      <c r="K24" s="8">
        <v>0</v>
      </c>
      <c r="L24" s="97">
        <v>3210.0635707635624</v>
      </c>
      <c r="M24" s="8">
        <v>0</v>
      </c>
      <c r="N24" s="97">
        <v>3211.7723057259532</v>
      </c>
      <c r="O24" s="8">
        <v>0</v>
      </c>
      <c r="P24" s="97">
        <v>3213.0286998852343</v>
      </c>
      <c r="Q24" s="8">
        <v>0</v>
      </c>
      <c r="R24" s="97">
        <v>3213.7645932511928</v>
      </c>
      <c r="S24" s="8">
        <v>0</v>
      </c>
      <c r="T24" s="97">
        <v>3213.8952395282422</v>
      </c>
      <c r="U24" s="8">
        <v>0</v>
      </c>
      <c r="V24" s="97">
        <v>3213.3137381541483</v>
      </c>
      <c r="W24" s="8">
        <v>0</v>
      </c>
      <c r="X24" s="97">
        <v>3211.8827233650313</v>
      </c>
      <c r="Y24" s="8">
        <v>0</v>
      </c>
      <c r="Z24" s="97">
        <v>3209.4221755883423</v>
      </c>
      <c r="AA24" s="8">
        <v>0</v>
      </c>
      <c r="AB24" s="97">
        <v>3205.6907985389862</v>
      </c>
      <c r="AC24" s="8">
        <v>0</v>
      </c>
      <c r="AD24" s="97">
        <v>3200.3572971914609</v>
      </c>
      <c r="AE24" s="8">
        <v>0</v>
      </c>
      <c r="AF24" s="97">
        <v>3192.9548661966219</v>
      </c>
      <c r="AG24" s="8">
        <v>0</v>
      </c>
      <c r="AH24" s="97">
        <v>3182.8094228631026</v>
      </c>
      <c r="AI24" s="8">
        <v>0</v>
      </c>
      <c r="AJ24" s="97">
        <v>3168.921636067701</v>
      </c>
      <c r="AK24" s="8">
        <v>0</v>
      </c>
      <c r="AL24" s="97">
        <v>3149.6841015313394</v>
      </c>
      <c r="AM24" s="8">
        <v>0</v>
      </c>
      <c r="AN24" s="97">
        <v>3121.7206655260907</v>
      </c>
      <c r="AO24" s="8">
        <v>0</v>
      </c>
      <c r="AP24" s="97">
        <v>3114.7048558106794</v>
      </c>
      <c r="AQ24" s="8">
        <v>0</v>
      </c>
      <c r="AR24" s="97">
        <v>3107.6333351092039</v>
      </c>
      <c r="AS24" s="8">
        <v>0</v>
      </c>
      <c r="AT24" s="97">
        <v>3102.2999114183945</v>
      </c>
      <c r="AU24" s="8">
        <v>0</v>
      </c>
      <c r="AV24" s="97">
        <v>3108.4078280223962</v>
      </c>
      <c r="AW24" s="8">
        <v>0</v>
      </c>
    </row>
    <row r="25" spans="1:49" x14ac:dyDescent="0.2">
      <c r="A25" t="s">
        <v>0</v>
      </c>
      <c r="B25" s="41">
        <v>3195.0476040000012</v>
      </c>
      <c r="C25" s="42">
        <v>91.012690000004397</v>
      </c>
      <c r="D25" s="41">
        <v>3198.6477541326058</v>
      </c>
      <c r="E25" s="42">
        <v>82.790191288388172</v>
      </c>
      <c r="F25" s="41">
        <v>3201.9151081119398</v>
      </c>
      <c r="G25" s="42">
        <v>74.800322275104122</v>
      </c>
      <c r="H25" s="41">
        <v>3204.8135645885459</v>
      </c>
      <c r="I25" s="42">
        <v>67.060773313166635</v>
      </c>
      <c r="J25" s="41">
        <v>3207.3003946019471</v>
      </c>
      <c r="K25" s="42">
        <v>59.590842639334859</v>
      </c>
      <c r="L25" s="41">
        <v>3209.3241236830436</v>
      </c>
      <c r="M25" s="42">
        <v>52.411645255636401</v>
      </c>
      <c r="N25" s="41">
        <v>3210.8213023531603</v>
      </c>
      <c r="O25" s="42">
        <v>45.546425253367111</v>
      </c>
      <c r="P25" s="41">
        <v>3211.7120997657926</v>
      </c>
      <c r="Q25" s="42">
        <v>39.020818605956691</v>
      </c>
      <c r="R25" s="41">
        <v>3211.8932655502458</v>
      </c>
      <c r="S25" s="42">
        <v>32.86322441286999</v>
      </c>
      <c r="T25" s="41">
        <v>3211.2270259058919</v>
      </c>
      <c r="U25" s="42">
        <v>27.105257451976758</v>
      </c>
      <c r="V25" s="41">
        <v>3209.5230451129105</v>
      </c>
      <c r="W25" s="42">
        <v>21.78220822344986</v>
      </c>
      <c r="X25" s="41">
        <v>3206.5076632932924</v>
      </c>
      <c r="Y25" s="42">
        <v>16.933591857014118</v>
      </c>
      <c r="Z25" s="41">
        <v>3201.7694179287096</v>
      </c>
      <c r="AA25" s="42">
        <v>12.603623961259398</v>
      </c>
      <c r="AB25" s="41">
        <v>3194.6577442412099</v>
      </c>
      <c r="AC25" s="42">
        <v>8.8414377473353483</v>
      </c>
      <c r="AD25" s="41">
        <v>3184.0846890560033</v>
      </c>
      <c r="AE25" s="42">
        <v>5.7003655951331957</v>
      </c>
      <c r="AF25" s="41">
        <v>3168.1143310724519</v>
      </c>
      <c r="AG25" s="42">
        <v>3.2346274915388706</v>
      </c>
      <c r="AH25" s="41">
        <v>3143.0691925010246</v>
      </c>
      <c r="AI25" s="42">
        <v>1.488664699435267</v>
      </c>
      <c r="AJ25" s="41">
        <v>3101.5529855007544</v>
      </c>
      <c r="AK25" s="42">
        <v>0.46708547339605744</v>
      </c>
      <c r="AL25" s="41">
        <v>3028.512882366701</v>
      </c>
      <c r="AM25" s="42">
        <v>6.488937868204564E-2</v>
      </c>
      <c r="AN25" s="41">
        <v>2894.34091842321</v>
      </c>
      <c r="AO25" s="42">
        <v>9.7728653418021195E-4</v>
      </c>
      <c r="AP25" s="41">
        <v>2854.611976527714</v>
      </c>
      <c r="AQ25" s="42">
        <v>2.1520968123013332E-4</v>
      </c>
      <c r="AR25" s="41">
        <v>2806.9731659746135</v>
      </c>
      <c r="AS25" s="42">
        <v>2.8104318405032237E-5</v>
      </c>
      <c r="AT25" s="41">
        <v>2746.1743654965521</v>
      </c>
      <c r="AU25" s="42">
        <v>1.3979733301603988E-6</v>
      </c>
      <c r="AV25" s="41">
        <v>2656.3507382077005</v>
      </c>
      <c r="AW25" s="42">
        <v>6.378936858878889E-9</v>
      </c>
    </row>
    <row r="26" spans="1:49" x14ac:dyDescent="0.2">
      <c r="A26" t="s">
        <v>27</v>
      </c>
      <c r="B26" s="33">
        <v>5036.2953101960647</v>
      </c>
      <c r="C26" s="34">
        <v>74.905331803938267</v>
      </c>
      <c r="D26" s="33">
        <v>5040.3495379172</v>
      </c>
      <c r="E26" s="34">
        <v>70.851104082801442</v>
      </c>
      <c r="F26" s="33">
        <v>5044.4242225222779</v>
      </c>
      <c r="G26" s="34">
        <v>66.776419477726463</v>
      </c>
      <c r="H26" s="33">
        <v>5048.521334493541</v>
      </c>
      <c r="I26" s="34">
        <v>62.679307506463751</v>
      </c>
      <c r="J26" s="33">
        <v>5052.6431038739984</v>
      </c>
      <c r="K26" s="34">
        <v>58.557538126013419</v>
      </c>
      <c r="L26" s="33">
        <v>5056.7920344253989</v>
      </c>
      <c r="M26" s="34">
        <v>54.408607574605234</v>
      </c>
      <c r="N26" s="33">
        <v>5060.9708712030006</v>
      </c>
      <c r="O26" s="34">
        <v>50.229770797004804</v>
      </c>
      <c r="P26" s="33">
        <v>5065.1825664835815</v>
      </c>
      <c r="Q26" s="34">
        <v>46.018075516424958</v>
      </c>
      <c r="R26" s="33">
        <v>5069.4301402273823</v>
      </c>
      <c r="S26" s="34">
        <v>41.770501772622275</v>
      </c>
      <c r="T26" s="33">
        <v>5073.7163746418391</v>
      </c>
      <c r="U26" s="34">
        <v>37.484267358164992</v>
      </c>
      <c r="V26" s="33">
        <v>5078.0432274185314</v>
      </c>
      <c r="W26" s="34">
        <v>33.157414581474207</v>
      </c>
      <c r="X26" s="33">
        <v>5082.4106362147922</v>
      </c>
      <c r="Y26" s="34">
        <v>28.790005785210507</v>
      </c>
      <c r="Z26" s="33">
        <v>5086.8141736915204</v>
      </c>
      <c r="AA26" s="34">
        <v>24.386468308490144</v>
      </c>
      <c r="AB26" s="33">
        <v>5091.2403429231881</v>
      </c>
      <c r="AC26" s="34">
        <v>19.960299076814675</v>
      </c>
      <c r="AD26" s="33">
        <v>5095.6570087371856</v>
      </c>
      <c r="AE26" s="34">
        <v>15.543633262817897</v>
      </c>
      <c r="AF26" s="33">
        <v>5099.9934747774132</v>
      </c>
      <c r="AG26" s="34">
        <v>11.207167222588136</v>
      </c>
      <c r="AH26" s="33">
        <v>5104.0992238947565</v>
      </c>
      <c r="AI26" s="34">
        <v>7.1014181052472747</v>
      </c>
      <c r="AJ26" s="33">
        <v>5107.6665367158921</v>
      </c>
      <c r="AK26" s="34">
        <v>3.5341052841103076</v>
      </c>
      <c r="AL26" s="33">
        <v>5110.1581498116893</v>
      </c>
      <c r="AM26" s="34">
        <v>1.0424921883190013</v>
      </c>
      <c r="AN26" s="33">
        <v>5111.1271770989306</v>
      </c>
      <c r="AO26" s="34">
        <v>7.3464901071499916E-2</v>
      </c>
      <c r="AP26" s="33">
        <v>5111.1725506776911</v>
      </c>
      <c r="AQ26" s="34">
        <v>2.8091322310844061E-2</v>
      </c>
      <c r="AR26" s="33">
        <v>5111.1929299123058</v>
      </c>
      <c r="AS26" s="34">
        <v>7.7120876940609193E-3</v>
      </c>
      <c r="AT26" s="33">
        <v>5111.1994912733689</v>
      </c>
      <c r="AU26" s="34">
        <v>1.1507266305763404E-3</v>
      </c>
      <c r="AV26" s="33">
        <v>5111.2006038841</v>
      </c>
      <c r="AW26" s="34">
        <v>3.8115903141634304E-5</v>
      </c>
    </row>
    <row r="27" spans="1:49" x14ac:dyDescent="0.2">
      <c r="A27" t="s">
        <v>2</v>
      </c>
      <c r="B27" s="35">
        <v>6425.1981589998923</v>
      </c>
      <c r="C27" s="36">
        <v>273.22915400000028</v>
      </c>
      <c r="D27" s="35">
        <v>6439.7972421566292</v>
      </c>
      <c r="E27" s="36">
        <v>258.63010543884195</v>
      </c>
      <c r="F27" s="35">
        <v>6454.4918281020673</v>
      </c>
      <c r="G27" s="36">
        <v>243.93548655893375</v>
      </c>
      <c r="H27" s="35">
        <v>6469.2893762418362</v>
      </c>
      <c r="I27" s="36">
        <v>229.13793954027511</v>
      </c>
      <c r="J27" s="35">
        <v>6484.1983086137825</v>
      </c>
      <c r="K27" s="36">
        <v>214.22903320131221</v>
      </c>
      <c r="L27" s="35">
        <v>6499.2281287049191</v>
      </c>
      <c r="M27" s="36">
        <v>199.1991887753133</v>
      </c>
      <c r="N27" s="35">
        <v>6514.3892312666267</v>
      </c>
      <c r="O27" s="36">
        <v>184.03808934274488</v>
      </c>
      <c r="P27" s="35">
        <v>6529.6928339924152</v>
      </c>
      <c r="Q27" s="36">
        <v>168.7345050184943</v>
      </c>
      <c r="R27" s="35">
        <v>6545.1505032377408</v>
      </c>
      <c r="S27" s="36">
        <v>153.27684684891128</v>
      </c>
      <c r="T27" s="35">
        <v>6560.772933681943</v>
      </c>
      <c r="U27" s="36">
        <v>137.65439037416232</v>
      </c>
      <c r="V27" s="35">
        <v>6576.5679918854894</v>
      </c>
      <c r="W27" s="36">
        <v>121.85932151207503</v>
      </c>
      <c r="X27" s="35">
        <v>6592.5361369056855</v>
      </c>
      <c r="Y27" s="36">
        <v>105.89117613305011</v>
      </c>
      <c r="Z27" s="35">
        <v>6608.6618460600885</v>
      </c>
      <c r="AA27" s="36">
        <v>89.765471384668487</v>
      </c>
      <c r="AB27" s="35">
        <v>6624.8961538159401</v>
      </c>
      <c r="AC27" s="36">
        <v>73.531161510954263</v>
      </c>
      <c r="AD27" s="35">
        <v>6641.1213550898292</v>
      </c>
      <c r="AE27" s="36">
        <v>57.305958524293885</v>
      </c>
      <c r="AF27" s="35">
        <v>6657.0769397159338</v>
      </c>
      <c r="AG27" s="36">
        <v>41.350372470168956</v>
      </c>
      <c r="AH27" s="35">
        <v>6672.2064584332411</v>
      </c>
      <c r="AI27" s="36">
        <v>26.220860120088162</v>
      </c>
      <c r="AJ27" s="35">
        <v>6685.3698882254657</v>
      </c>
      <c r="AK27" s="36">
        <v>13.057425090033357</v>
      </c>
      <c r="AL27" s="35">
        <v>6694.5739162765703</v>
      </c>
      <c r="AM27" s="36">
        <v>3.8533971017447342</v>
      </c>
      <c r="AN27" s="35">
        <v>6698.1557155663477</v>
      </c>
      <c r="AO27" s="36">
        <v>0.27159755746101394</v>
      </c>
      <c r="AP27" s="35">
        <v>6698.3234594178011</v>
      </c>
      <c r="AQ27" s="36">
        <v>0.10385360953888248</v>
      </c>
      <c r="AR27" s="35">
        <v>6698.3988013392154</v>
      </c>
      <c r="AS27" s="36">
        <v>2.8511691365161129E-2</v>
      </c>
      <c r="AT27" s="35">
        <v>6698.423058753041</v>
      </c>
      <c r="AU27" s="36">
        <v>4.2542566248467573E-3</v>
      </c>
      <c r="AV27" s="35">
        <v>6698.4271721001569</v>
      </c>
      <c r="AW27" s="36">
        <v>1.4091520500689479E-4</v>
      </c>
    </row>
    <row r="28" spans="1:49" x14ac:dyDescent="0.2">
      <c r="A28" t="s">
        <v>35</v>
      </c>
      <c r="B28" s="41">
        <v>13763.097675999892</v>
      </c>
      <c r="C28" s="42">
        <v>382.36647900000014</v>
      </c>
      <c r="D28" s="41">
        <v>13783.591513036385</v>
      </c>
      <c r="E28" s="42">
        <v>361.86027467405512</v>
      </c>
      <c r="F28" s="41">
        <v>13804.185837927633</v>
      </c>
      <c r="G28" s="42">
        <v>341.22845801942793</v>
      </c>
      <c r="H28" s="41">
        <v>13824.890521066363</v>
      </c>
      <c r="I28" s="42">
        <v>320.46084245001271</v>
      </c>
      <c r="J28" s="41">
        <v>13845.716715649558</v>
      </c>
      <c r="K28" s="42">
        <v>299.54579095238836</v>
      </c>
      <c r="L28" s="41">
        <v>13866.676987143823</v>
      </c>
      <c r="M28" s="42">
        <v>278.47012218979762</v>
      </c>
      <c r="N28" s="41">
        <v>13887.785068050996</v>
      </c>
      <c r="O28" s="42">
        <v>257.21956566154796</v>
      </c>
      <c r="P28" s="41">
        <v>13909.055732029019</v>
      </c>
      <c r="Q28" s="42">
        <v>235.77863836291365</v>
      </c>
      <c r="R28" s="41">
        <v>13930.504114298292</v>
      </c>
      <c r="S28" s="42">
        <v>214.13140249322703</v>
      </c>
      <c r="T28" s="41">
        <v>13952.144061535309</v>
      </c>
      <c r="U28" s="42">
        <v>192.2631333753412</v>
      </c>
      <c r="V28" s="41">
        <v>13973.985359064822</v>
      </c>
      <c r="W28" s="42">
        <v>170.16322168374495</v>
      </c>
      <c r="X28" s="41">
        <v>13996.027521915827</v>
      </c>
      <c r="Y28" s="42">
        <v>147.83135473257425</v>
      </c>
      <c r="Z28" s="41">
        <v>14018.248047760597</v>
      </c>
      <c r="AA28" s="42">
        <v>125.28956431056768</v>
      </c>
      <c r="AB28" s="41">
        <v>14040.578642274371</v>
      </c>
      <c r="AC28" s="42">
        <v>102.6065338632763</v>
      </c>
      <c r="AD28" s="41">
        <v>14062.857147235369</v>
      </c>
      <c r="AE28" s="42">
        <v>79.94685615377503</v>
      </c>
      <c r="AF28" s="41">
        <v>14084.727008635626</v>
      </c>
      <c r="AG28" s="42">
        <v>57.674080878067436</v>
      </c>
      <c r="AH28" s="41">
        <v>14105.429511622573</v>
      </c>
      <c r="AI28" s="42">
        <v>36.563935992206453</v>
      </c>
      <c r="AJ28" s="41">
        <v>14123.414007765497</v>
      </c>
      <c r="AK28" s="42">
        <v>18.204580015458696</v>
      </c>
      <c r="AL28" s="41">
        <v>14135.973706397255</v>
      </c>
      <c r="AM28" s="42">
        <v>5.3716644820092689</v>
      </c>
      <c r="AN28" s="41">
        <v>14140.857991369843</v>
      </c>
      <c r="AO28" s="42">
        <v>0.37858934641210717</v>
      </c>
      <c r="AP28" s="41">
        <v>14141.086687080036</v>
      </c>
      <c r="AQ28" s="42">
        <v>0.14476483670769053</v>
      </c>
      <c r="AR28" s="41">
        <v>14141.189404078979</v>
      </c>
      <c r="AS28" s="42">
        <v>3.9743305568028464E-2</v>
      </c>
      <c r="AT28" s="41">
        <v>14141.222475121416</v>
      </c>
      <c r="AU28" s="42">
        <v>5.9301344292019597E-3</v>
      </c>
      <c r="AV28" s="41">
        <v>14141.228082989506</v>
      </c>
      <c r="AW28" s="42">
        <v>1.9642586513061384E-4</v>
      </c>
    </row>
    <row r="29" spans="1:49" x14ac:dyDescent="0.2">
      <c r="A29" t="s">
        <v>53</v>
      </c>
      <c r="B29" s="35">
        <v>14362.768558000087</v>
      </c>
      <c r="C29" s="36">
        <v>817.26651000000015</v>
      </c>
      <c r="D29" s="35">
        <v>14355.433862407781</v>
      </c>
      <c r="E29" s="36">
        <v>763.43993908257437</v>
      </c>
      <c r="F29" s="35">
        <v>14346.483937281924</v>
      </c>
      <c r="G29" s="36">
        <v>709.95610155498946</v>
      </c>
      <c r="H29" s="35">
        <v>14335.734081929872</v>
      </c>
      <c r="I29" s="36">
        <v>656.84723394580999</v>
      </c>
      <c r="J29" s="35">
        <v>14322.965774869697</v>
      </c>
      <c r="K29" s="36">
        <v>604.15068452209903</v>
      </c>
      <c r="L29" s="35">
        <v>14307.917556515131</v>
      </c>
      <c r="M29" s="36">
        <v>551.91043854105544</v>
      </c>
      <c r="N29" s="35">
        <v>14290.271982862501</v>
      </c>
      <c r="O29" s="36">
        <v>500.18012247503395</v>
      </c>
      <c r="P29" s="35">
        <v>14269.63850655559</v>
      </c>
      <c r="Q29" s="36">
        <v>449.02556060635823</v>
      </c>
      <c r="R29" s="35">
        <v>14245.528131186162</v>
      </c>
      <c r="S29" s="36">
        <v>398.52971057107351</v>
      </c>
      <c r="T29" s="35">
        <v>14217.315888029178</v>
      </c>
      <c r="U29" s="36">
        <v>348.80024373190702</v>
      </c>
      <c r="V29" s="35">
        <v>14184.184020963228</v>
      </c>
      <c r="W29" s="36">
        <v>299.98048729462835</v>
      </c>
      <c r="X29" s="35">
        <v>14145.03132295304</v>
      </c>
      <c r="Y29" s="36">
        <v>252.26750328031838</v>
      </c>
      <c r="Z29" s="35">
        <v>14098.322938371641</v>
      </c>
      <c r="AA29" s="36">
        <v>205.94125328524879</v>
      </c>
      <c r="AB29" s="35">
        <v>14041.827439298115</v>
      </c>
      <c r="AC29" s="36">
        <v>161.41383746305314</v>
      </c>
      <c r="AD29" s="35">
        <v>13972.128112041757</v>
      </c>
      <c r="AE29" s="36">
        <v>119.31352808623889</v>
      </c>
      <c r="AF29" s="35">
        <v>13883.643941287046</v>
      </c>
      <c r="AG29" s="36">
        <v>80.630811085054162</v>
      </c>
      <c r="AH29" s="35">
        <v>13766.495611592756</v>
      </c>
      <c r="AI29" s="36">
        <v>46.956696054813314</v>
      </c>
      <c r="AJ29" s="35">
        <v>13601.369697455846</v>
      </c>
      <c r="AK29" s="36">
        <v>20.76425262695842</v>
      </c>
      <c r="AL29" s="35">
        <v>13345.466427464175</v>
      </c>
      <c r="AM29" s="36">
        <v>5.0865858807418611</v>
      </c>
      <c r="AN29" s="35">
        <v>12877.409507577971</v>
      </c>
      <c r="AO29" s="36">
        <v>0.24941285583345202</v>
      </c>
      <c r="AP29" s="35">
        <v>12725.705053201234</v>
      </c>
      <c r="AQ29" s="36">
        <v>8.4104922499496457E-2</v>
      </c>
      <c r="AR29" s="35">
        <v>12531.670035834262</v>
      </c>
      <c r="AS29" s="36">
        <v>1.9542088363389953E-2</v>
      </c>
      <c r="AT29" s="35">
        <v>12262.392578006122</v>
      </c>
      <c r="AU29" s="36">
        <v>2.2878260817342107E-3</v>
      </c>
      <c r="AV29" s="35">
        <v>11816.337907518331</v>
      </c>
      <c r="AW29" s="36">
        <v>4.934350542681337E-5</v>
      </c>
    </row>
    <row r="30" spans="1:49" x14ac:dyDescent="0.2">
      <c r="A30" t="s">
        <v>48</v>
      </c>
      <c r="B30" s="119">
        <v>2924829.9599999995</v>
      </c>
      <c r="D30" s="119">
        <v>2965742.4326724051</v>
      </c>
      <c r="F30" s="119">
        <v>3006705.3886255799</v>
      </c>
      <c r="H30" s="119">
        <v>3047738.4706048281</v>
      </c>
      <c r="J30" s="119">
        <v>3088865.2603586558</v>
      </c>
      <c r="L30" s="119">
        <v>3130115.0170271103</v>
      </c>
      <c r="N30" s="119">
        <v>3171525.4901502458</v>
      </c>
      <c r="P30" s="119">
        <v>3213146.3519942537</v>
      </c>
      <c r="R30" s="119">
        <v>3255045.7359364564</v>
      </c>
      <c r="T30" s="119">
        <v>3297320.6645920635</v>
      </c>
      <c r="V30" s="119">
        <v>3340115.824161062</v>
      </c>
      <c r="X30" s="119">
        <v>3383656.5381707298</v>
      </c>
      <c r="Z30" s="119">
        <v>3428312.1537663662</v>
      </c>
      <c r="AB30" s="119">
        <v>3474722.0718244524</v>
      </c>
      <c r="AD30" s="119">
        <v>3524062.9427799797</v>
      </c>
      <c r="AF30" s="119">
        <v>3578652.7513644709</v>
      </c>
      <c r="AH30" s="119">
        <v>3643422.7282622252</v>
      </c>
      <c r="AJ30" s="119">
        <v>3729749.941935352</v>
      </c>
      <c r="AL30" s="119">
        <v>3865852.4422781672</v>
      </c>
      <c r="AN30" s="119">
        <v>4133071.6066384614</v>
      </c>
      <c r="AP30" s="119">
        <v>4225143.4540612549</v>
      </c>
      <c r="AR30" s="119">
        <v>4348824.0059004081</v>
      </c>
      <c r="AT30" s="119">
        <v>4536041.342165608</v>
      </c>
      <c r="AV30" s="119">
        <v>4902695.6162931845</v>
      </c>
    </row>
    <row r="31" spans="1:49" x14ac:dyDescent="0.2">
      <c r="A31" t="s">
        <v>47</v>
      </c>
      <c r="B31" s="80">
        <v>1</v>
      </c>
      <c r="D31" s="80">
        <v>0.99853520414348329</v>
      </c>
      <c r="F31" s="80">
        <v>0.99679900553654277</v>
      </c>
      <c r="H31" s="80">
        <v>0.99475754866618604</v>
      </c>
      <c r="J31" s="80">
        <v>0.99237041860692343</v>
      </c>
      <c r="L31" s="80">
        <v>0.98958887165487164</v>
      </c>
      <c r="N31" s="80">
        <v>0.9863533570741515</v>
      </c>
      <c r="P31" s="80">
        <v>0.98259015042132314</v>
      </c>
      <c r="R31" s="80">
        <v>0.97820650616152349</v>
      </c>
      <c r="T31" s="80">
        <v>0.97308351718849651</v>
      </c>
      <c r="V31" s="80">
        <v>0.96706538134101683</v>
      </c>
      <c r="X31" s="80">
        <v>0.95994241003334058</v>
      </c>
      <c r="Z31" s="80">
        <v>0.95142310813916009</v>
      </c>
      <c r="AB31" s="80">
        <v>0.9410855134246624</v>
      </c>
      <c r="AD31" s="80">
        <v>0.9282865521861775</v>
      </c>
      <c r="AF31" s="80">
        <v>0.91197780070108081</v>
      </c>
      <c r="AH31" s="80">
        <v>0.89028815504404357</v>
      </c>
      <c r="AJ31" s="80">
        <v>0.85943257892062341</v>
      </c>
      <c r="AL31" s="80">
        <v>0.81022165203502483</v>
      </c>
      <c r="AN31" s="80">
        <v>0.71173774576219528</v>
      </c>
      <c r="AP31" s="80">
        <v>0.67689681806677859</v>
      </c>
      <c r="AR31" s="80">
        <v>0.63029710614583145</v>
      </c>
      <c r="AT31" s="80">
        <v>0.56232182027382049</v>
      </c>
      <c r="AV31" s="80">
        <v>0.44420811034680352</v>
      </c>
    </row>
    <row r="32" spans="1:49" x14ac:dyDescent="0.2">
      <c r="A32" t="s">
        <v>64</v>
      </c>
      <c r="B32" s="86">
        <v>14734457.915000005</v>
      </c>
      <c r="D32" s="86">
        <v>14737209.272357626</v>
      </c>
      <c r="F32" s="86">
        <v>14738723.037906349</v>
      </c>
      <c r="H32" s="86">
        <v>14738858.811409019</v>
      </c>
      <c r="J32" s="86">
        <v>14737451.670957733</v>
      </c>
      <c r="L32" s="86">
        <v>14734307.021579139</v>
      </c>
      <c r="N32" s="86">
        <v>14729193.422975317</v>
      </c>
      <c r="P32" s="86">
        <v>14721834.706023578</v>
      </c>
      <c r="R32" s="86">
        <v>14711899.760792913</v>
      </c>
      <c r="T32" s="86">
        <v>14698989.883338751</v>
      </c>
      <c r="V32" s="86">
        <v>14682625.267307898</v>
      </c>
      <c r="X32" s="86">
        <v>14662230.654947273</v>
      </c>
      <c r="Z32" s="86">
        <v>14637127.184050305</v>
      </c>
      <c r="AB32" s="86">
        <v>14606544.720146215</v>
      </c>
      <c r="AD32" s="86">
        <v>14569696.340854475</v>
      </c>
      <c r="AF32" s="86">
        <v>14526018.279125446</v>
      </c>
      <c r="AH32" s="86">
        <v>14475832.925887613</v>
      </c>
      <c r="AJ32" s="86">
        <v>14421859.053637337</v>
      </c>
      <c r="AL32" s="86">
        <v>14370283.726343349</v>
      </c>
      <c r="AN32" s="86">
        <v>14313735.513194092</v>
      </c>
      <c r="AP32" s="86">
        <v>14296129.203152526</v>
      </c>
      <c r="AR32" s="86">
        <v>14274473.116045013</v>
      </c>
      <c r="AT32" s="86">
        <v>14251270.915639665</v>
      </c>
      <c r="AV32" s="86">
        <v>14251312.891859733</v>
      </c>
    </row>
    <row r="33" spans="1:49 16319:16321" x14ac:dyDescent="0.2">
      <c r="A33" t="s">
        <v>54</v>
      </c>
      <c r="B33" s="117">
        <v>7019665.6909999885</v>
      </c>
      <c r="D33" s="117">
        <v>7020976.5116640367</v>
      </c>
      <c r="F33" s="117">
        <v>7021697.6469039693</v>
      </c>
      <c r="H33" s="117">
        <v>7021762.3323652111</v>
      </c>
      <c r="J33" s="117">
        <v>7021091.9830322936</v>
      </c>
      <c r="L33" s="117">
        <v>7019593.8092206847</v>
      </c>
      <c r="N33" s="117">
        <v>7017157.6357088443</v>
      </c>
      <c r="P33" s="117">
        <v>7013651.8750320869</v>
      </c>
      <c r="R33" s="117">
        <v>7008918.7639402291</v>
      </c>
      <c r="T33" s="117">
        <v>7002768.3231293652</v>
      </c>
      <c r="V33" s="117">
        <v>6994972.0202587098</v>
      </c>
      <c r="X33" s="117">
        <v>6985255.7913222089</v>
      </c>
      <c r="Z33" s="117">
        <v>6973296.2141058492</v>
      </c>
      <c r="AB33" s="117">
        <v>6958726.3715220205</v>
      </c>
      <c r="AD33" s="117">
        <v>6941171.3776218295</v>
      </c>
      <c r="AF33" s="117">
        <v>6920362.645230378</v>
      </c>
      <c r="AH33" s="117">
        <v>6896453.7661808515</v>
      </c>
      <c r="AJ33" s="117">
        <v>6870739.9887145134</v>
      </c>
      <c r="AL33" s="117">
        <v>6846168.9072977575</v>
      </c>
      <c r="AN33" s="117">
        <v>6819228.6863649925</v>
      </c>
      <c r="AP33" s="117">
        <v>6810840.8372000959</v>
      </c>
      <c r="AR33" s="117">
        <v>6800523.6275300421</v>
      </c>
      <c r="AT33" s="117">
        <v>6789469.8316535912</v>
      </c>
      <c r="AV33" s="117">
        <v>6789489.8296089377</v>
      </c>
    </row>
    <row r="34" spans="1:49 16319:16321" x14ac:dyDescent="0.2">
      <c r="A34" t="s">
        <v>75</v>
      </c>
      <c r="B34" s="117">
        <v>1136879.4410000162</v>
      </c>
      <c r="D34" s="117">
        <v>1137091.6871038319</v>
      </c>
      <c r="F34" s="117">
        <v>1137208.5266840693</v>
      </c>
      <c r="H34" s="117">
        <v>1137219.0012974592</v>
      </c>
      <c r="J34" s="117">
        <v>1137110.400311301</v>
      </c>
      <c r="L34" s="117">
        <v>1136867.7928654044</v>
      </c>
      <c r="N34" s="117">
        <v>1136473.2346707846</v>
      </c>
      <c r="P34" s="117">
        <v>1135905.4347215288</v>
      </c>
      <c r="R34" s="117">
        <v>1135138.8640934313</v>
      </c>
      <c r="T34" s="117">
        <v>1134142.7916352632</v>
      </c>
      <c r="V34" s="117">
        <v>1132880.1436904506</v>
      </c>
      <c r="X34" s="117">
        <v>1131306.5391537403</v>
      </c>
      <c r="Z34" s="117">
        <v>1129369.6028987216</v>
      </c>
      <c r="AB34" s="117">
        <v>1127009.9290300598</v>
      </c>
      <c r="AD34" s="117">
        <v>1124166.787466506</v>
      </c>
      <c r="AF34" s="117">
        <v>1120796.6811280679</v>
      </c>
      <c r="AH34" s="117">
        <v>1116924.4839240955</v>
      </c>
      <c r="AJ34" s="117">
        <v>1112759.9769383725</v>
      </c>
      <c r="AL34" s="117">
        <v>1108780.5350054654</v>
      </c>
      <c r="AN34" s="117">
        <v>1104417.395112128</v>
      </c>
      <c r="AP34" s="117">
        <v>1103058.9296660074</v>
      </c>
      <c r="AR34" s="117">
        <v>1101387.9920357664</v>
      </c>
      <c r="AT34" s="117">
        <v>1099597.7595903245</v>
      </c>
      <c r="AV34" s="117">
        <v>1099600.9983862299</v>
      </c>
    </row>
    <row r="35" spans="1:49 16319:16321" x14ac:dyDescent="0.2">
      <c r="A35" t="s">
        <v>78</v>
      </c>
      <c r="B35" s="233">
        <v>1</v>
      </c>
      <c r="D35" s="233">
        <v>1.0016543108355707</v>
      </c>
      <c r="F35" s="233">
        <v>1.0035048146764778</v>
      </c>
      <c r="H35" s="233">
        <v>1.0055820877282295</v>
      </c>
      <c r="J35" s="233">
        <v>1.0079239980328676</v>
      </c>
      <c r="L35" s="233">
        <v>1.0105781387396398</v>
      </c>
      <c r="N35" s="233">
        <v>1.0136053536932141</v>
      </c>
      <c r="P35" s="233">
        <v>1.0170848221083828</v>
      </c>
      <c r="R35" s="233">
        <v>1.021121826559575</v>
      </c>
      <c r="T35" s="233">
        <v>1.0258598651213426</v>
      </c>
      <c r="V35" s="233">
        <v>1.0315002865548943</v>
      </c>
      <c r="X35" s="233">
        <v>1.0383355178580762</v>
      </c>
      <c r="Z35" s="233">
        <v>1.0468083868421956</v>
      </c>
      <c r="AB35" s="233">
        <v>1.057624895666901</v>
      </c>
      <c r="AD35" s="233">
        <v>1.071986054587353</v>
      </c>
      <c r="AF35" s="233">
        <v>1.0921139836169087</v>
      </c>
      <c r="AH35" s="233">
        <v>1.1226090803707767</v>
      </c>
      <c r="AJ35" s="233">
        <v>1.1746138146848146</v>
      </c>
      <c r="AL35" s="233">
        <v>1.2823338032534541</v>
      </c>
      <c r="AN35" s="233">
        <v>1.6116425287749556</v>
      </c>
      <c r="AP35" s="233">
        <v>1.7732884167682814</v>
      </c>
      <c r="AR35" s="233">
        <v>2.0359201503617426</v>
      </c>
      <c r="AT35" s="233">
        <v>2.5368925866225562</v>
      </c>
      <c r="AV35" s="233">
        <v>3.8941079504135496</v>
      </c>
    </row>
    <row r="36" spans="1:49 16319:16321" x14ac:dyDescent="0.2">
      <c r="A36" t="s">
        <v>21</v>
      </c>
      <c r="B36" s="37">
        <v>0.47195767671987948</v>
      </c>
      <c r="C36" s="38">
        <v>0.3173883442817898</v>
      </c>
      <c r="D36" s="37">
        <v>0.47197084775371284</v>
      </c>
      <c r="E36" s="38">
        <v>0.31910733672135932</v>
      </c>
      <c r="F36" s="37">
        <v>0.47198418467045111</v>
      </c>
      <c r="G36" s="38">
        <v>0.32097446644419797</v>
      </c>
      <c r="H36" s="37">
        <v>0.47199770799890234</v>
      </c>
      <c r="I36" s="38">
        <v>0.32301135269633624</v>
      </c>
      <c r="J36" s="37">
        <v>0.47201144069132106</v>
      </c>
      <c r="K36" s="38">
        <v>0.32524427732182076</v>
      </c>
      <c r="L36" s="37">
        <v>0.47202540890585448</v>
      </c>
      <c r="M36" s="38">
        <v>0.32770557666780725</v>
      </c>
      <c r="N36" s="37">
        <v>0.47203964392047304</v>
      </c>
      <c r="O36" s="38">
        <v>0.33043560105533631</v>
      </c>
      <c r="P36" s="37">
        <v>0.47205417851625747</v>
      </c>
      <c r="Q36" s="38">
        <v>0.33348545156921083</v>
      </c>
      <c r="R36" s="37">
        <v>0.47206904499954605</v>
      </c>
      <c r="S36" s="38">
        <v>0.33692102163202697</v>
      </c>
      <c r="T36" s="37">
        <v>0.47208426853572533</v>
      </c>
      <c r="U36" s="38">
        <v>0.34082907547577895</v>
      </c>
      <c r="V36" s="37">
        <v>0.47209985525484927</v>
      </c>
      <c r="W36" s="38">
        <v>0.34532672665057224</v>
      </c>
      <c r="X36" s="37">
        <v>0.47211576263318789</v>
      </c>
      <c r="Y36" s="38">
        <v>0.35057682756500713</v>
      </c>
      <c r="Z36" s="37">
        <v>0.47213184360671201</v>
      </c>
      <c r="AA36" s="38">
        <v>0.35681426113099513</v>
      </c>
      <c r="AB36" s="37">
        <v>0.47214772776740621</v>
      </c>
      <c r="AC36" s="38">
        <v>0.36439360624431649</v>
      </c>
      <c r="AD36" s="37">
        <v>0.47216256823475283</v>
      </c>
      <c r="AE36" s="38">
        <v>0.37388219737442019</v>
      </c>
      <c r="AF36" s="37">
        <v>0.47217448411447382</v>
      </c>
      <c r="AG36" s="38">
        <v>0.38625957886037054</v>
      </c>
      <c r="AH36" s="37">
        <v>0.47217933346258467</v>
      </c>
      <c r="AI36" s="38">
        <v>0.40339917449171181</v>
      </c>
      <c r="AJ36" s="37">
        <v>0.47216824489871551</v>
      </c>
      <c r="AK36" s="38">
        <v>0.42943033211310411</v>
      </c>
      <c r="AL36" s="37">
        <v>0.47212520793982971</v>
      </c>
      <c r="AM36" s="38">
        <v>0.47556961835002626</v>
      </c>
      <c r="AN36" s="37">
        <v>0.47204246253563625</v>
      </c>
      <c r="AO36" s="38">
        <v>0.58684525438617041</v>
      </c>
      <c r="AP36" s="37">
        <v>0.4720259479741678</v>
      </c>
      <c r="AQ36" s="38">
        <v>0.63296154553276007</v>
      </c>
      <c r="AR36" s="37">
        <v>0.47201377752928247</v>
      </c>
      <c r="AS36" s="38">
        <v>0.7010614171607773</v>
      </c>
      <c r="AT36" s="37">
        <v>0.47201232070986049</v>
      </c>
      <c r="AU36" s="38">
        <v>0.81583764847129503</v>
      </c>
      <c r="AV36" s="37">
        <v>0.47204403982607757</v>
      </c>
      <c r="AW36" s="38">
        <v>1.0737991468799108</v>
      </c>
    </row>
    <row r="37" spans="1:49 16319:16321" x14ac:dyDescent="0.2">
      <c r="B37" s="39">
        <v>2.1403217525954241E-2</v>
      </c>
      <c r="C37" s="40">
        <v>0.34962461301992537</v>
      </c>
      <c r="D37" s="39">
        <v>2.0442809205040331E-2</v>
      </c>
      <c r="E37" s="40">
        <v>0.34479298005002168</v>
      </c>
      <c r="F37" s="39">
        <v>1.9472247542292088E-2</v>
      </c>
      <c r="G37" s="40">
        <v>0.33980275836825174</v>
      </c>
      <c r="H37" s="39">
        <v>1.8491246823766409E-2</v>
      </c>
      <c r="I37" s="40">
        <v>0.33464060744590812</v>
      </c>
      <c r="J37" s="39">
        <v>1.7499506866920894E-2</v>
      </c>
      <c r="K37" s="40">
        <v>0.32929124140246568</v>
      </c>
      <c r="L37" s="39">
        <v>1.6496705671279772E-2</v>
      </c>
      <c r="M37" s="40">
        <v>0.32373696990700457</v>
      </c>
      <c r="N37" s="39">
        <v>1.5482483041243233E-2</v>
      </c>
      <c r="O37" s="40">
        <v>0.31795705579888556</v>
      </c>
      <c r="P37" s="39">
        <v>1.4456437210772964E-2</v>
      </c>
      <c r="Q37" s="40">
        <v>0.31192694840568375</v>
      </c>
      <c r="R37" s="39">
        <v>1.3418102787288038E-2</v>
      </c>
      <c r="S37" s="40">
        <v>0.3056171390452877</v>
      </c>
      <c r="T37" s="39">
        <v>1.2366920798334997E-2</v>
      </c>
      <c r="U37" s="40">
        <v>0.29899154901016572</v>
      </c>
      <c r="V37" s="39">
        <v>1.1302192362720421E-2</v>
      </c>
      <c r="W37" s="40">
        <v>0.29200516126948589</v>
      </c>
      <c r="X37" s="39">
        <v>1.022300863704621E-2</v>
      </c>
      <c r="Y37" s="40">
        <v>0.28460044150248426</v>
      </c>
      <c r="Z37" s="39">
        <v>9.1281357053468026E-3</v>
      </c>
      <c r="AA37" s="40">
        <v>0.27670165362224136</v>
      </c>
      <c r="AB37" s="39">
        <v>8.0158349141697515E-3</v>
      </c>
      <c r="AC37" s="40">
        <v>0.26820547285443752</v>
      </c>
      <c r="AD37" s="39">
        <v>6.8835952117955752E-3</v>
      </c>
      <c r="AE37" s="40">
        <v>0.25896470478926004</v>
      </c>
      <c r="AF37" s="39">
        <v>5.7277976541866013E-3</v>
      </c>
      <c r="AG37" s="40">
        <v>0.24875853347386293</v>
      </c>
      <c r="AH37" s="39">
        <v>4.5436363845118774E-3</v>
      </c>
      <c r="AI37" s="40">
        <v>0.2372356968182506</v>
      </c>
      <c r="AJ37" s="39">
        <v>3.3271215487762538E-3</v>
      </c>
      <c r="AK37" s="40">
        <v>0.22380469828846541</v>
      </c>
      <c r="AL37" s="39">
        <v>2.0873331221046105E-3</v>
      </c>
      <c r="AM37" s="40">
        <v>0.20743868905527918</v>
      </c>
      <c r="AN37" s="39">
        <v>8.9124544569324103E-4</v>
      </c>
      <c r="AO37" s="40">
        <v>0.18629304302127825</v>
      </c>
      <c r="AP37" s="39">
        <v>6.7236453287065423E-4</v>
      </c>
      <c r="AQ37" s="40">
        <v>0.18116697854626965</v>
      </c>
      <c r="AR37" s="39">
        <v>4.6614279871027658E-4</v>
      </c>
      <c r="AS37" s="40">
        <v>0.17557052037701221</v>
      </c>
      <c r="AT37" s="39">
        <v>2.7710972201726183E-4</v>
      </c>
      <c r="AU37" s="40">
        <v>0.16931199406591141</v>
      </c>
      <c r="AV37" s="39">
        <v>1.1338404964078612E-4</v>
      </c>
      <c r="AW37" s="40">
        <v>0.16194660419001625</v>
      </c>
    </row>
    <row r="38" spans="1:49 16319:16321" x14ac:dyDescent="0.2">
      <c r="A38" t="s">
        <v>22</v>
      </c>
      <c r="B38" s="37">
        <v>0.18079094942242827</v>
      </c>
      <c r="C38" s="38">
        <v>6.0565413429233668E-2</v>
      </c>
      <c r="D38" s="37">
        <v>0.18102423540789089</v>
      </c>
      <c r="E38" s="38">
        <v>6.1166166014037238E-2</v>
      </c>
      <c r="F38" s="37">
        <v>0.1812788358978342</v>
      </c>
      <c r="G38" s="38">
        <v>6.1819119323697755E-2</v>
      </c>
      <c r="H38" s="37">
        <v>0.18155727934502791</v>
      </c>
      <c r="I38" s="38">
        <v>6.2532011938069523E-2</v>
      </c>
      <c r="J38" s="37">
        <v>0.18186257082242047</v>
      </c>
      <c r="K38" s="38">
        <v>6.3314300316189592E-2</v>
      </c>
      <c r="L38" s="37">
        <v>0.1821983213821361</v>
      </c>
      <c r="M38" s="38">
        <v>6.4177685904408782E-2</v>
      </c>
      <c r="N38" s="37">
        <v>0.18256893094426163</v>
      </c>
      <c r="O38" s="38">
        <v>6.5136781216134185E-2</v>
      </c>
      <c r="P38" s="37">
        <v>0.18297983358123246</v>
      </c>
      <c r="Q38" s="38">
        <v>6.6210198544508075E-2</v>
      </c>
      <c r="R38" s="37">
        <v>0.18343785670139826</v>
      </c>
      <c r="S38" s="38">
        <v>6.7422070050682292E-2</v>
      </c>
      <c r="T38" s="37">
        <v>0.18395175325389027</v>
      </c>
      <c r="U38" s="38">
        <v>6.880432538362409E-2</v>
      </c>
      <c r="V38" s="37">
        <v>0.1845330091228474</v>
      </c>
      <c r="W38" s="38">
        <v>7.0400344692808106E-2</v>
      </c>
      <c r="X38" s="37">
        <v>0.18519713351742076</v>
      </c>
      <c r="Y38" s="38">
        <v>7.2270877759589E-2</v>
      </c>
      <c r="Z38" s="37">
        <v>0.1859658026522639</v>
      </c>
      <c r="AA38" s="38">
        <v>7.4504272638916194E-2</v>
      </c>
      <c r="AB38" s="37">
        <v>0.18687063237302012</v>
      </c>
      <c r="AC38" s="38">
        <v>7.7235154607780993E-2</v>
      </c>
      <c r="AD38" s="37">
        <v>0.18796025542153943</v>
      </c>
      <c r="AE38" s="38">
        <v>8.0681479189552485E-2</v>
      </c>
      <c r="AF38" s="37">
        <v>0.18931471090069849</v>
      </c>
      <c r="AG38" s="38">
        <v>8.5224894801243234E-2</v>
      </c>
      <c r="AH38" s="37">
        <v>0.19107759704463531</v>
      </c>
      <c r="AI38" s="38">
        <v>9.1608917754959121E-2</v>
      </c>
      <c r="AJ38" s="37">
        <v>0.19353674590012698</v>
      </c>
      <c r="AK38" s="38">
        <v>0.10151544288050518</v>
      </c>
      <c r="AL38" s="37">
        <v>0.19736081459114369</v>
      </c>
      <c r="AM38" s="38">
        <v>0.11970324741904054</v>
      </c>
      <c r="AN38" s="37">
        <v>0.20460643997390715</v>
      </c>
      <c r="AO38" s="38">
        <v>0.1667919059266145</v>
      </c>
      <c r="AP38" s="37">
        <v>0.20705414813273004</v>
      </c>
      <c r="AQ38" s="38">
        <v>0.1875886422093935</v>
      </c>
      <c r="AR38" s="37">
        <v>0.21026596534026024</v>
      </c>
      <c r="AS38" s="38">
        <v>0.2196062820248329</v>
      </c>
      <c r="AT38" s="37">
        <v>0.21488421817912817</v>
      </c>
      <c r="AU38" s="38">
        <v>0.27692852848668215</v>
      </c>
      <c r="AV38" s="37">
        <v>0.22298199338423655</v>
      </c>
      <c r="AW38" s="38">
        <v>0.41988809548275802</v>
      </c>
    </row>
    <row r="39" spans="1:49 16319:16321" x14ac:dyDescent="0.2">
      <c r="A39" t="s">
        <v>23</v>
      </c>
      <c r="B39" s="39">
        <v>0.23064923795098236</v>
      </c>
      <c r="C39" s="40">
        <v>0.22092201281804777</v>
      </c>
      <c r="D39" s="39">
        <v>0.23128542240444888</v>
      </c>
      <c r="E39" s="40">
        <v>0.22327685884771134</v>
      </c>
      <c r="F39" s="39">
        <v>0.23195169821093672</v>
      </c>
      <c r="G39" s="40">
        <v>0.225826378066002</v>
      </c>
      <c r="H39" s="39">
        <v>0.2326516024446966</v>
      </c>
      <c r="I39" s="40">
        <v>0.22859946832245276</v>
      </c>
      <c r="J39" s="39">
        <v>0.23338932710737931</v>
      </c>
      <c r="K39" s="40">
        <v>0.23163134548734229</v>
      </c>
      <c r="L39" s="39">
        <v>0.23416989412817571</v>
      </c>
      <c r="M39" s="40">
        <v>0.23496545012855613</v>
      </c>
      <c r="N39" s="39">
        <v>0.23499939200884079</v>
      </c>
      <c r="O39" s="40">
        <v>0.23865625048140876</v>
      </c>
      <c r="P39" s="39">
        <v>0.23588529977310765</v>
      </c>
      <c r="Q39" s="40">
        <v>0.24277297460204017</v>
      </c>
      <c r="R39" s="39">
        <v>0.23683695147008316</v>
      </c>
      <c r="S39" s="40">
        <v>0.24740527086912784</v>
      </c>
      <c r="T39" s="39">
        <v>0.23786620984241691</v>
      </c>
      <c r="U39" s="40">
        <v>0.25267180428765168</v>
      </c>
      <c r="V39" s="39">
        <v>0.23898848963926062</v>
      </c>
      <c r="W39" s="40">
        <v>0.25873363007244399</v>
      </c>
      <c r="X39" s="39">
        <v>0.24022435071760406</v>
      </c>
      <c r="Y39" s="40">
        <v>0.26581614131047027</v>
      </c>
      <c r="Z39" s="39">
        <v>0.24160212319454108</v>
      </c>
      <c r="AA39" s="40">
        <v>0.27424681052630223</v>
      </c>
      <c r="AB39" s="39">
        <v>0.24316246145990505</v>
      </c>
      <c r="AC39" s="40">
        <v>0.28452432530858501</v>
      </c>
      <c r="AD39" s="39">
        <v>0.24496681469098172</v>
      </c>
      <c r="AE39" s="40">
        <v>0.29745487569982576</v>
      </c>
      <c r="AF39" s="39">
        <v>0.24711455073793659</v>
      </c>
      <c r="AG39" s="40">
        <v>0.31444887666702781</v>
      </c>
      <c r="AH39" s="39">
        <v>0.249781424917183</v>
      </c>
      <c r="AI39" s="40">
        <v>0.33825140029856093</v>
      </c>
      <c r="AJ39" s="39">
        <v>0.25331816867938611</v>
      </c>
      <c r="AK39" s="40">
        <v>0.37506813870358469</v>
      </c>
      <c r="AL39" s="39">
        <v>0.25855296895374069</v>
      </c>
      <c r="AM39" s="40">
        <v>0.44246292858821634</v>
      </c>
      <c r="AN39" s="39">
        <v>0.26813768232838125</v>
      </c>
      <c r="AO39" s="40">
        <v>0.6166247227345627</v>
      </c>
      <c r="AP39" s="39">
        <v>0.27134980164646227</v>
      </c>
      <c r="AQ39" s="40">
        <v>0.69351514985191565</v>
      </c>
      <c r="AR39" s="39">
        <v>0.27556097167746657</v>
      </c>
      <c r="AS39" s="40">
        <v>0.81188736219434232</v>
      </c>
      <c r="AT39" s="39">
        <v>0.28161401339758563</v>
      </c>
      <c r="AU39" s="40">
        <v>1.0238096482858563</v>
      </c>
      <c r="AV39" s="39">
        <v>0.29222657436669386</v>
      </c>
      <c r="AW39" s="40">
        <v>1.5523341224539191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0.10799999999999982</v>
      </c>
      <c r="G42" s="135"/>
      <c r="H42" s="177">
        <f>10.8%+(1-10.8%)*(1-SUM(H26:I26)/SUM($B$26:$C$26))</f>
        <v>0.10799999999999982</v>
      </c>
      <c r="I42" s="135"/>
      <c r="J42" s="177">
        <f>10.8%+(1-10.8%)*(1-SUM(J26:K26)/SUM($B$26:$C$26))</f>
        <v>0.10799999999999862</v>
      </c>
      <c r="K42" s="135"/>
      <c r="L42" s="177">
        <f>10.8%+(1-10.8%)*(1-SUM(L26:M26)/SUM($B$26:$C$26))</f>
        <v>0.10799999999999982</v>
      </c>
      <c r="M42" s="135"/>
      <c r="N42" s="177">
        <f>10.8%+(1-10.8%)*(1-SUM(N26:O26)/SUM($B$26:$C$26))</f>
        <v>0.10799999999999961</v>
      </c>
      <c r="O42" s="135"/>
      <c r="P42" s="177">
        <f>10.8%+(1-10.8%)*(1-SUM(P26:Q26)/SUM($B$26:$C$26))</f>
        <v>0.10799999999999961</v>
      </c>
      <c r="Q42" s="135"/>
      <c r="R42" s="177">
        <f>10.8%+(1-10.8%)*(1-SUM(R26:S26)/SUM($B$26:$C$26))</f>
        <v>0.10799999999999982</v>
      </c>
      <c r="S42" s="135"/>
      <c r="T42" s="177">
        <f>10.8%+(1-10.8%)*(1-SUM(T26:U26)/SUM($B$26:$C$26))</f>
        <v>0.10799999999999982</v>
      </c>
      <c r="U42" s="135"/>
      <c r="V42" s="177">
        <f>10.8%+(1-10.8%)*(1-SUM(V26:W26)/SUM($B$26:$C$26))</f>
        <v>0.10799999999999961</v>
      </c>
      <c r="W42" s="135"/>
      <c r="X42" s="177">
        <f>10.8%+(1-10.8%)*(1-SUM(X26:Y26)/SUM($B$26:$C$26))</f>
        <v>0.10800000000000021</v>
      </c>
      <c r="Y42" s="162"/>
      <c r="Z42" s="177">
        <f>10.8%+(1-10.8%)*(1-SUM(Z26:AA26)/SUM($B$26:$C$26))</f>
        <v>0.10799999999999882</v>
      </c>
      <c r="AA42" s="135"/>
      <c r="AB42" s="177">
        <f>10.8%+(1-10.8%)*(1-SUM(AB26:AC26)/SUM($B$26:$C$26))</f>
        <v>0.10800000000000021</v>
      </c>
      <c r="AC42" s="135"/>
      <c r="AD42" s="177">
        <f>10.8%+(1-10.8%)*(1-SUM(AD26:AE26)/SUM($B$26:$C$26))</f>
        <v>0.10800000000000001</v>
      </c>
      <c r="AE42" s="135"/>
      <c r="AF42" s="177">
        <f>10.8%+(1-10.8%)*(1-SUM(AF26:AG26)/SUM($B$26:$C$26))</f>
        <v>0.1080000000000003</v>
      </c>
      <c r="AG42" s="135"/>
      <c r="AH42" s="177">
        <f>10.8%+(1-10.8%)*(1-SUM(AH26:AI26)/SUM($B$26:$C$26))</f>
        <v>0.10800000000000001</v>
      </c>
      <c r="AI42" s="135"/>
      <c r="AJ42" s="177">
        <f>10.8%+(1-10.8%)*(1-SUM(AJ26:AK26)/SUM($B$26:$C$26))</f>
        <v>0.10800000000000021</v>
      </c>
      <c r="AK42" s="135"/>
      <c r="AL42" s="177">
        <f>10.8%+(1-10.8%)*(1-SUM(AL26:AM26)/SUM($B$26:$C$26))</f>
        <v>0.10799999999999922</v>
      </c>
      <c r="AM42" s="135"/>
      <c r="AN42" s="177">
        <f>10.8%+(1-10.8%)*(1-SUM(AN26:AO26)/SUM($B$26:$C$26))</f>
        <v>0.10800000000000021</v>
      </c>
      <c r="AO42" s="135"/>
      <c r="AP42" s="177">
        <f>10.8%+(1-10.8%)*(1-SUM(AP26:AQ26)/SUM($B$26:$C$26))</f>
        <v>0.1080000000000003</v>
      </c>
      <c r="AQ42" s="135"/>
      <c r="AR42" s="177">
        <f>10.8%+(1-10.8%)*(1-SUM(AR26:AS26)/SUM($B$26:$C$26))</f>
        <v>0.10800000000000061</v>
      </c>
      <c r="AS42" s="135"/>
      <c r="AT42" s="177">
        <f>10.8%+(1-10.8%)*(1-SUM(AT26:AU26)/SUM($B$26:$C$26))</f>
        <v>0.10800000000000061</v>
      </c>
      <c r="AU42" s="135"/>
      <c r="AV42" s="177">
        <f>10.8%+(1-10.8%)*(1-SUM(AV26:AW26)/SUM($B$26:$C$26))</f>
        <v>0.10800000000000001</v>
      </c>
    </row>
    <row r="43" spans="1:49 16319:16321" x14ac:dyDescent="0.2">
      <c r="A43" t="s">
        <v>108</v>
      </c>
      <c r="B43" s="162">
        <f>SUM(B15:C15*B27:C27)/SUM(B15:C15*B27:C27,B13:C13*B26:C26)</f>
        <v>0.56058995943838641</v>
      </c>
      <c r="C43" s="135"/>
      <c r="D43" s="162">
        <f t="array" ref="D43">SUM(D15:E15*D27:E27)/SUM(D15:E15*D27:E27,D13:E13*D26:E26)</f>
        <v>0.56600144685748954</v>
      </c>
      <c r="E43" s="135"/>
      <c r="F43" s="162">
        <f t="array" ref="F43">SUM(F15:G15*F27:G27)/SUM(F15:G15*F27:G27,F13:G13*F26:G26)</f>
        <v>0.56479645567366277</v>
      </c>
      <c r="G43" s="135"/>
      <c r="H43" s="162">
        <f t="array" ref="H43">SUM(H15:I15*H27:I27)/SUM(H15:I15*H27:I27,H13:I13*H26:I26)</f>
        <v>0.56358501081887524</v>
      </c>
      <c r="I43" s="135"/>
      <c r="J43" s="162">
        <f t="array" ref="J43">SUM(J15:K15*J27:K27)/SUM(J15:K15*J27:K27,J13:K13*J26:K26)</f>
        <v>0.56236647276045992</v>
      </c>
      <c r="K43" s="135"/>
      <c r="L43" s="162">
        <f t="array" ref="L43">SUM(L15:M15*L27:M27)/SUM(L15:M15*L27:M27,L13:M13*L26:M26)</f>
        <v>0.56114010959501581</v>
      </c>
      <c r="M43" s="135"/>
      <c r="N43" s="162">
        <f t="array" ref="N43">SUM(N15:O15*N27:O27)/SUM(N15:O15*N27:O27,N13:O13*N26:O26)</f>
        <v>0.55990514298399563</v>
      </c>
      <c r="O43" s="135"/>
      <c r="P43" s="162">
        <f t="array" ref="P43">SUM(P15:Q15*P27:Q27)/SUM(P15:Q15*P27:Q27,P13:Q13*P26:Q26)</f>
        <v>0.55866072264405475</v>
      </c>
      <c r="Q43" s="135"/>
      <c r="R43" s="162">
        <f t="array" ref="R43">SUM(R15:S15*R27:S27)/SUM(R15:S15*R27:S27,R13:S13*R26:S26)</f>
        <v>0.55740597560522931</v>
      </c>
      <c r="S43" s="135"/>
      <c r="T43" s="162">
        <f t="array" ref="T43">SUM(T15:U15*T27:U27)/SUM(T15:U15*T27:U27,T13:U13*T26:U26)</f>
        <v>0.55614010797540259</v>
      </c>
      <c r="U43" s="135"/>
      <c r="V43" s="162">
        <f t="array" ref="V43">SUM(V15:W15*V27:W27)/SUM(V15:W15*V27:W27,V13:W13*V26:W26)</f>
        <v>0.55486256818503443</v>
      </c>
      <c r="W43" s="135"/>
      <c r="X43" s="162">
        <f t="array" ref="X43">SUM(X15:Y15*X27:Y27)/SUM(X15:Y15*X27:Y27,X13:Y13*X26:Y26)</f>
        <v>0.5535734031667513</v>
      </c>
      <c r="Y43" s="135"/>
      <c r="Z43" s="162">
        <f t="array" ref="Z43">SUM(Z15:AA15*Z27:AA27)/SUM(Z15:AA15*Z27:AA27,Z13:AA13*Z26:AA26)</f>
        <v>0.55227394765692672</v>
      </c>
      <c r="AA43" s="135"/>
      <c r="AB43" s="162">
        <f t="array" ref="AB43">SUM(AB15:AC15*AB27:AC27)/SUM(AB15:AC15*AB27:AC27,AB13:AC13*AB26:AC26)</f>
        <v>0.55096821580059174</v>
      </c>
      <c r="AC43" s="135"/>
      <c r="AD43" s="162">
        <f t="array" ref="AD43">SUM(AD15:AE15*AD27:AE27)/SUM(AD15:AE15*AD27:AE27,AD13:AE13*AD26:AE26)</f>
        <v>0.54966570517948643</v>
      </c>
      <c r="AE43" s="135"/>
      <c r="AF43" s="162">
        <f t="array" ref="AF43">SUM(AF15:AG15*AF27:AG27)/SUM(AF15:AG15*AF27:AG27,AF13:AG13*AF26:AG26)</f>
        <v>0.54838727305781376</v>
      </c>
      <c r="AG43" s="135"/>
      <c r="AH43" s="162">
        <f t="array" ref="AH43">SUM(AH15:AI15*AH27:AI27)/SUM(AH15:AI15*AH27:AI27,AH13:AI13*AH26:AI26)</f>
        <v>0.54717726662617061</v>
      </c>
      <c r="AI43" s="135"/>
      <c r="AJ43" s="162">
        <f t="array" ref="AJ43">SUM(AJ15:AK15*AJ27:AK27)/SUM(AJ15:AK15*AJ27:AK27,AJ13:AK13*AJ26:AK26)</f>
        <v>0.54612627583812434</v>
      </c>
      <c r="AK43" s="135"/>
      <c r="AL43" s="162">
        <f t="array" ref="AL43">SUM(AL15:AM15*AL27:AM27)/SUM(AL15:AM15*AL27:AM27,AL13:AM13*AL26:AM26)</f>
        <v>0.54539239495110581</v>
      </c>
      <c r="AM43" s="135"/>
      <c r="AN43" s="162">
        <f t="array" ref="AN43">SUM(AN15:AO15*AN27:AO27)/SUM(AN15:AO15*AN27:AO27,AN13:AO13*AN26:AO26)</f>
        <v>0.54510702026701752</v>
      </c>
      <c r="AO43" s="135"/>
      <c r="AP43" s="162">
        <f t="array" ref="AP43">SUM(AP15:AQ15*AP27:AQ27)/SUM(AP15:AQ15*AP27:AQ27,AP13:AQ13*AP26:AQ26)</f>
        <v>0.54509365852079983</v>
      </c>
      <c r="AQ43" s="135"/>
      <c r="AR43" s="162">
        <f t="array" ref="AR43">SUM(AR15:AS15*AR27:AS27)/SUM(AR15:AS15*AR27:AS27,AR13:AS13*AR26:AS26)</f>
        <v>0.5450876572043688</v>
      </c>
      <c r="AS43" s="135"/>
      <c r="AT43" s="162">
        <f t="array" ref="AT43">SUM(AT15:AU15*AT27:AU27)/SUM(AT15:AU15*AT27:AU27,AT13:AU13*AT26:AU26)</f>
        <v>0.54508572500330588</v>
      </c>
      <c r="AU43" s="135"/>
      <c r="AV43" s="162">
        <f t="array" ref="AV43">SUM(AV15:AW15*AV27:AW27)/SUM(AV15:AW15*AV27:AW27,AV13:AW13*AV26:AW26)</f>
        <v>0.54508539736022155</v>
      </c>
    </row>
    <row r="44" spans="1:49 16319:16321" x14ac:dyDescent="0.2">
      <c r="A44" t="s">
        <v>142</v>
      </c>
      <c r="B44" s="193">
        <f>(SUM(B11:C11*B24:C24)+B34)/B32</f>
        <v>0.29754226190682465</v>
      </c>
      <c r="D44" s="193">
        <f>(SUM(D11:E11*D24:E24)+D34)/D32</f>
        <v>0.29754225903748766</v>
      </c>
      <c r="F44" s="193">
        <f>(SUM(F11:G11*F24:G24)+F34)/F32</f>
        <v>0.29754226176030713</v>
      </c>
      <c r="H44" s="193">
        <f>(SUM(H11:I11*H24:I24)+H34)/H32</f>
        <v>0.29754226166541492</v>
      </c>
      <c r="J44" s="193">
        <f>(SUM(J11:K11*J24:K24)+J34)/J32</f>
        <v>0.2975422597242578</v>
      </c>
      <c r="L44" s="193">
        <f>(SUM(L11:M11*L24:M24)+L34)/L32</f>
        <v>0.29754226152765983</v>
      </c>
      <c r="N44" s="193">
        <f>(SUM(N11:O11*N24:O24)+N34)/N32</f>
        <v>0.29754226126676331</v>
      </c>
      <c r="P44" s="193">
        <f>(SUM(P11:Q11*P24:Q24)+P34)/P32</f>
        <v>0.29754226011502266</v>
      </c>
      <c r="R44" s="193">
        <f>(SUM(R11:S11*R24:S24)+R34)/R32</f>
        <v>0.2975422593388613</v>
      </c>
      <c r="T44" s="193">
        <f>(SUM(T11:U11*T24:U24)+T34)/T32</f>
        <v>0.2975422611255219</v>
      </c>
      <c r="V44" s="193">
        <f>(SUM(V11:W11*V24:W24)+V34)/V32</f>
        <v>0.29754226187736299</v>
      </c>
      <c r="X44" s="193">
        <f>(SUM(X11:Y11*X24:Y24)+X34)/X32</f>
        <v>0.29754226190365168</v>
      </c>
      <c r="Z44" s="193">
        <f>(SUM(Z11:AA11*Z24:AA24)+Z34)/Z32</f>
        <v>0.29754226150393942</v>
      </c>
      <c r="AB44" s="193">
        <f>(SUM(AB11:AC11*AB24:AC24)+AB34)/AB32</f>
        <v>0.29754226178079285</v>
      </c>
      <c r="AD44" s="193">
        <f>(SUM(AD11:AE11*AD24:AE24)+AD34)/AD32</f>
        <v>0.29754226185005456</v>
      </c>
      <c r="AF44" s="193">
        <f>(SUM(AF11:AG11*AF24:AG24)+AF34)/AF32</f>
        <v>0.29754226185136812</v>
      </c>
      <c r="AH44" s="193">
        <f>(SUM(AH11:AI11*AH24:AI24)+AH34)/AH32</f>
        <v>0.29754226170975445</v>
      </c>
      <c r="AJ44" s="193">
        <f>(SUM(AJ11:AK11*AJ24:AK24)+AJ34)/AJ32</f>
        <v>0.29754226186274885</v>
      </c>
      <c r="AL44" s="193">
        <f>(SUM(AL11:AM11*AL24:AM24)+AL34)/AL32</f>
        <v>0.29754226190771016</v>
      </c>
      <c r="AN44" s="193">
        <f>(SUM(AN11:AO11*AN24:AO24)+AN34)/AN32</f>
        <v>0.29754226190687649</v>
      </c>
      <c r="AP44" s="193">
        <f>(SUM(AP11:AQ11*AP24:AQ24)+AP34)/AP32</f>
        <v>0.29754226190675154</v>
      </c>
      <c r="AR44" s="193">
        <f>(SUM(AR11:AS11*AR24:AS24)+AR34)/AR32</f>
        <v>0.2975422619068166</v>
      </c>
      <c r="AT44" s="193">
        <f>(SUM(AT11:AU11*AT24:AU24)+AT34)/AT32</f>
        <v>0.29754226190682337</v>
      </c>
      <c r="AV44" s="193">
        <f>(SUM(AV11:AW11*AV24:AW24)+AV34)/AV32</f>
        <v>0.29754226190682531</v>
      </c>
    </row>
    <row r="45" spans="1:49 16319:16321" x14ac:dyDescent="0.2">
      <c r="A45" t="s">
        <v>82</v>
      </c>
      <c r="B45" s="193">
        <f>SUM(B11:C11*B24:C24)/B32</f>
        <v>0.22038438833194082</v>
      </c>
      <c r="D45" s="193">
        <f>SUM(D11:E11*D24:E24)/D32</f>
        <v>0.22038438836541555</v>
      </c>
      <c r="F45" s="193">
        <f>SUM(F11:G11*F24:G24)/F32</f>
        <v>0.22038438832993629</v>
      </c>
      <c r="H45" s="193">
        <f>SUM(H11:I11*H24:I24)/H32</f>
        <v>0.22038438832876533</v>
      </c>
      <c r="J45" s="193">
        <f>SUM(J11:K11*J24:K24)/J32</f>
        <v>0.22038438835683946</v>
      </c>
      <c r="L45" s="193">
        <f>SUM(L11:M11*L24:M24)/L32</f>
        <v>0.2203843883273523</v>
      </c>
      <c r="N45" s="193">
        <f>SUM(N11:O11*N24:O24)/N32</f>
        <v>0.2203843883245791</v>
      </c>
      <c r="P45" s="193">
        <f>SUM(P11:Q11*P24:Q24)/P32</f>
        <v>0.22038438832769972</v>
      </c>
      <c r="R45" s="193">
        <f>SUM(R11:S11*R24:S24)/R32</f>
        <v>0.22038438832627008</v>
      </c>
      <c r="T45" s="193">
        <f>SUM(T11:U11*T24:U24)/T32</f>
        <v>0.22038438833041171</v>
      </c>
      <c r="V45" s="193">
        <f>SUM(V11:W11*V24:W24)/V32</f>
        <v>0.22038438833189405</v>
      </c>
      <c r="X45" s="193">
        <f>SUM(X11:Y11*X24:Y24)/X32</f>
        <v>0.22038438833193708</v>
      </c>
      <c r="Z45" s="193">
        <f>SUM(Z11:AA11*Z24:AA24)/Z32</f>
        <v>0.22038438832993532</v>
      </c>
      <c r="AB45" s="193">
        <f>SUM(AB11:AC11*AB24:AC24)/AB32</f>
        <v>0.22038438833276103</v>
      </c>
      <c r="AD45" s="193">
        <f>SUM(AD11:AE11*AD24:AE24)/AD32</f>
        <v>0.22038438833183568</v>
      </c>
      <c r="AF45" s="193">
        <f>SUM(AF11:AG11*AF24:AG24)/AF32</f>
        <v>0.22038438833149904</v>
      </c>
      <c r="AH45" s="193">
        <f>SUM(AH11:AI11*AH24:AI24)/AH32</f>
        <v>0.22038438833262658</v>
      </c>
      <c r="AJ45" s="193">
        <f>SUM(AJ11:AK11*AJ24:AK24)/AJ32</f>
        <v>0.22038438833203208</v>
      </c>
      <c r="AL45" s="193">
        <f>SUM(AL11:AM11*AL24:AM24)/AL32</f>
        <v>0.22038438833191787</v>
      </c>
      <c r="AN45" s="193">
        <f>SUM(AN11:AO11*AN24:AO24)/AN32</f>
        <v>0.22038438833193863</v>
      </c>
      <c r="AP45" s="193">
        <f>SUM(AP11:AQ11*AP24:AQ24)/AP32</f>
        <v>0.22038438833194041</v>
      </c>
      <c r="AR45" s="193">
        <f>SUM(AR11:AS11*AR24:AS24)/AR32</f>
        <v>0.22038438833194063</v>
      </c>
      <c r="AT45" s="193">
        <f>SUM(AT11:AU11*AT24:AU24)/AT32</f>
        <v>0.22038438833194091</v>
      </c>
      <c r="AV45" s="193">
        <f>SUM(AV11:AW11*AV24:AW24)/AV32</f>
        <v>0.22038438833194116</v>
      </c>
      <c r="XCQ45" s="193"/>
    </row>
    <row r="46" spans="1:49 16319:16321" x14ac:dyDescent="0.2">
      <c r="A46" t="s">
        <v>139</v>
      </c>
      <c r="B46" s="193">
        <f>B34/B32</f>
        <v>7.7157873574883795E-2</v>
      </c>
      <c r="D46" s="193">
        <f>D34/D32</f>
        <v>7.7157870672072124E-2</v>
      </c>
      <c r="F46" s="193">
        <f>F34/F32</f>
        <v>7.7157873430370866E-2</v>
      </c>
      <c r="H46" s="193">
        <f>H34/H32</f>
        <v>7.7157873336649613E-2</v>
      </c>
      <c r="J46" s="193">
        <f>J34/J32</f>
        <v>7.7157871367418321E-2</v>
      </c>
      <c r="L46" s="193">
        <f>L34/L32</f>
        <v>7.715787320030755E-2</v>
      </c>
      <c r="N46" s="193">
        <f>N34/N32</f>
        <v>7.7157872942184194E-2</v>
      </c>
      <c r="P46" s="193">
        <f>P34/P32</f>
        <v>7.7157871787322974E-2</v>
      </c>
      <c r="R46" s="193">
        <f>R34/R32</f>
        <v>7.7157871012591223E-2</v>
      </c>
      <c r="T46" s="193">
        <f>T34/T32</f>
        <v>7.7157872795110216E-2</v>
      </c>
      <c r="V46" s="193">
        <f>V34/V32</f>
        <v>7.7157873545468991E-2</v>
      </c>
      <c r="X46" s="193">
        <f>X34/X32</f>
        <v>7.7157873571714622E-2</v>
      </c>
      <c r="Z46" s="193">
        <f>Z34/Z32</f>
        <v>7.7157873174004132E-2</v>
      </c>
      <c r="AB46" s="193">
        <f>AB34/AB32</f>
        <v>7.7157873448031877E-2</v>
      </c>
      <c r="AD46" s="193">
        <f>AD34/AD32</f>
        <v>7.7157873518218872E-2</v>
      </c>
      <c r="AF46" s="193">
        <f>AF34/AF32</f>
        <v>7.7157873519869108E-2</v>
      </c>
      <c r="AH46" s="193">
        <f>AH34/AH32</f>
        <v>7.7157873377127914E-2</v>
      </c>
      <c r="AJ46" s="193">
        <f>AJ34/AJ32</f>
        <v>7.7157873530716778E-2</v>
      </c>
      <c r="AL46" s="193">
        <f>AL34/AL32</f>
        <v>7.7157873575792291E-2</v>
      </c>
      <c r="AN46" s="193">
        <f>AN34/AN32</f>
        <v>7.7157873574937863E-2</v>
      </c>
      <c r="AP46" s="193">
        <f>AP34/AP32</f>
        <v>7.7157873574811089E-2</v>
      </c>
      <c r="AR46" s="193">
        <f>AR34/AR32</f>
        <v>7.7157873574875926E-2</v>
      </c>
      <c r="AT46" s="193">
        <f>AT34/AT32</f>
        <v>7.7157873574882449E-2</v>
      </c>
      <c r="AV46" s="193">
        <f>AV34/AV32</f>
        <v>7.7157873574884142E-2</v>
      </c>
      <c r="XCS46" s="193"/>
    </row>
    <row r="48" spans="1:49 16319:16321" x14ac:dyDescent="0.2">
      <c r="A48" t="s">
        <v>159</v>
      </c>
      <c r="B48" s="191">
        <f>B24/$B$24</f>
        <v>1</v>
      </c>
      <c r="C48" s="191"/>
      <c r="D48" s="191">
        <f>D24/$B$24</f>
        <v>1.0010326154583196</v>
      </c>
      <c r="E48" s="191"/>
      <c r="F48" s="191">
        <f>F24/$B$24</f>
        <v>1.0019862976205984</v>
      </c>
      <c r="G48" s="191"/>
      <c r="H48" s="191">
        <f>H24/$B$24</f>
        <v>1.002852409267986</v>
      </c>
      <c r="I48" s="191"/>
      <c r="J48" s="191">
        <f>J24/$B$24</f>
        <v>1.0036208109847566</v>
      </c>
      <c r="K48" s="191"/>
      <c r="L48" s="191">
        <f>L24/$B$24</f>
        <v>1.0042795016713364</v>
      </c>
      <c r="M48" s="191"/>
      <c r="N48" s="191">
        <f>N24/$B$24</f>
        <v>1.0048140853201302</v>
      </c>
      <c r="O48" s="191"/>
      <c r="P48" s="191">
        <f>P24/$B$24</f>
        <v>1.0052071525826223</v>
      </c>
      <c r="Q48" s="191"/>
      <c r="R48" s="191">
        <f>R24/$B$24</f>
        <v>1.0054373793698981</v>
      </c>
      <c r="S48" s="191"/>
      <c r="T48" s="191">
        <f>T24/$B$24</f>
        <v>1.0054782525099832</v>
      </c>
      <c r="U48" s="191"/>
      <c r="V48" s="191">
        <f>V24/$B$24</f>
        <v>1.0052963277918827</v>
      </c>
      <c r="W48" s="191"/>
      <c r="X48" s="191">
        <f>X24/$B$24</f>
        <v>1.0048486298607924</v>
      </c>
      <c r="Y48" s="191"/>
      <c r="Z48" s="191">
        <f>Z24/$B$24</f>
        <v>1.0040788389701953</v>
      </c>
      <c r="AA48" s="191"/>
      <c r="AB48" s="191">
        <f>AB24/$B$24</f>
        <v>1.0029114647419073</v>
      </c>
      <c r="AC48" s="191"/>
      <c r="AD48" s="191">
        <f>AD24/$B$24</f>
        <v>1.0012428603802244</v>
      </c>
      <c r="AE48" s="191"/>
      <c r="AF48" s="191">
        <f>AF24/$B$24</f>
        <v>0.99892698421553971</v>
      </c>
      <c r="AG48" s="191"/>
      <c r="AH48" s="191">
        <f>AH24/$B$24</f>
        <v>0.99575294714411877</v>
      </c>
      <c r="AI48" s="191"/>
      <c r="AJ48" s="191">
        <f>AJ24/$B$24</f>
        <v>0.99140810496428422</v>
      </c>
      <c r="AK48" s="191"/>
      <c r="AL48" s="191">
        <f>AL24/$B$24</f>
        <v>0.98538957568233398</v>
      </c>
      <c r="AM48" s="191"/>
      <c r="AN48" s="191">
        <f>AN24/$B$24</f>
        <v>0.97664111791590746</v>
      </c>
      <c r="AO48" s="191"/>
      <c r="AP48" s="191">
        <f>AP24/$B$24</f>
        <v>0.97444619755701301</v>
      </c>
      <c r="AQ48" s="191"/>
      <c r="AR48" s="191">
        <f>AR24/$B$24</f>
        <v>0.97223384782325151</v>
      </c>
      <c r="AS48" s="191"/>
      <c r="AT48" s="191">
        <f>AT24/$B$24</f>
        <v>0.97056526775674079</v>
      </c>
      <c r="AU48" s="191"/>
      <c r="AV48" s="191">
        <f>AV24/$B$24</f>
        <v>0.97247615061251491</v>
      </c>
    </row>
    <row r="49" spans="1:48 16321:16384" x14ac:dyDescent="0.2">
      <c r="A49" t="s">
        <v>160</v>
      </c>
      <c r="B49" s="191">
        <f>B13/B35/$B$13*$B$35</f>
        <v>1</v>
      </c>
      <c r="C49" s="191"/>
      <c r="D49" s="191">
        <f>D13/D35/$B$13*$B$35</f>
        <v>0.9978794442897142</v>
      </c>
      <c r="E49" s="191"/>
      <c r="F49" s="191">
        <f>F13/F35/$B$13*$B$35</f>
        <v>0.99545754085170968</v>
      </c>
      <c r="G49" s="191"/>
      <c r="H49" s="191">
        <f>H13/H35/$B$13*$B$35</f>
        <v>0.99269384829370211</v>
      </c>
      <c r="I49" s="191"/>
      <c r="J49" s="191">
        <f>J13/J35/$B$13*$B$35</f>
        <v>0.98953942332972622</v>
      </c>
      <c r="K49" s="191"/>
      <c r="L49" s="191">
        <f>L13/L35/$B$13*$B$35</f>
        <v>0.98593427990357962</v>
      </c>
      <c r="M49" s="191"/>
      <c r="N49" s="191">
        <f>N13/N35/$B$13*$B$35</f>
        <v>0.98180373324601666</v>
      </c>
      <c r="O49" s="191"/>
      <c r="P49" s="191">
        <f>P13/P35/$B$13*$B$35</f>
        <v>0.97705341681369873</v>
      </c>
      <c r="Q49" s="191"/>
      <c r="R49" s="191">
        <f>R13/R35/$B$13*$B$35</f>
        <v>0.97156181798366459</v>
      </c>
      <c r="S49" s="191"/>
      <c r="T49" s="191">
        <f>T13/T35/$B$13*$B$35</f>
        <v>0.96516901730232574</v>
      </c>
      <c r="U49" s="191"/>
      <c r="V49" s="191">
        <f>V13/V35/$B$13*$B$35</f>
        <v>0.95765919463164251</v>
      </c>
      <c r="W49" s="191"/>
      <c r="X49" s="191">
        <f>X13/X35/$B$13*$B$35</f>
        <v>0.94873215223017049</v>
      </c>
      <c r="Y49" s="191"/>
      <c r="Z49" s="191">
        <f>Z13/Z35/$B$13*$B$35</f>
        <v>0.93795487415959311</v>
      </c>
      <c r="AA49" s="191"/>
      <c r="AB49" s="191">
        <f>AB13/AB35/$B$13*$B$35</f>
        <v>0.92467425745778453</v>
      </c>
      <c r="AC49" s="191"/>
      <c r="AD49" s="191">
        <f>AD13/AD35/$B$13*$B$35</f>
        <v>0.90784891974376158</v>
      </c>
      <c r="AE49" s="191"/>
      <c r="AF49" s="191">
        <f>AF13/AF35/$B$13*$B$35</f>
        <v>0.88569642870837628</v>
      </c>
      <c r="AG49" s="191"/>
      <c r="AH49" s="191">
        <f>AH13/AH35/$B$13*$B$35</f>
        <v>0.85487347073212971</v>
      </c>
      <c r="AI49" s="191"/>
      <c r="AJ49" s="191">
        <f>AJ13/AJ35/$B$13*$B$35</f>
        <v>0.8083145365714105</v>
      </c>
      <c r="AK49" s="191"/>
      <c r="AL49" s="191">
        <f>AL13/AL35/$B$13*$B$35</f>
        <v>0.72859337976121252</v>
      </c>
      <c r="AM49" s="191"/>
      <c r="AN49" s="191">
        <f>AN13/AN35/$B$13*$B$35</f>
        <v>0.56220368252816411</v>
      </c>
      <c r="AO49" s="191"/>
      <c r="AP49" s="191">
        <f>AP13/AP35/$B$13*$B$35</f>
        <v>0.50546567096465966</v>
      </c>
      <c r="AQ49" s="191"/>
      <c r="AR49" s="191">
        <f>AR13/AR35/$B$13*$B$35</f>
        <v>0.43391330592773675</v>
      </c>
      <c r="AS49" s="191"/>
      <c r="AT49" s="191">
        <f>AT13/AT35/$B$13*$B$35</f>
        <v>0.34084554623651914</v>
      </c>
      <c r="AU49" s="191"/>
      <c r="AV49" s="191">
        <f>AV13/AV35/$B$13*$B$35</f>
        <v>0.21367137363825678</v>
      </c>
    </row>
    <row r="51" spans="1:48 16321:16384" x14ac:dyDescent="0.2">
      <c r="A51" t="s">
        <v>166</v>
      </c>
      <c r="B51" s="29">
        <f>B30-B10*B23</f>
        <v>-405838.32800000021</v>
      </c>
      <c r="D51" s="29">
        <f>D30-D10*D23</f>
        <v>-365547.78921568533</v>
      </c>
      <c r="F51" s="29">
        <f>F30-F10*F23</f>
        <v>-324927.01421939954</v>
      </c>
      <c r="H51" s="29">
        <f>H30-H10*H23</f>
        <v>-283924.62332511041</v>
      </c>
      <c r="J51" s="29">
        <f>J30-J10*J23</f>
        <v>-242479.75481298054</v>
      </c>
      <c r="L51" s="29">
        <f>L30-L10*L23</f>
        <v>-200519.16208780883</v>
      </c>
      <c r="N51" s="29">
        <f>N30-N10*N23</f>
        <v>-157952.77940861369</v>
      </c>
      <c r="P51" s="29">
        <f>P30-P10*P23</f>
        <v>-114668.50752720097</v>
      </c>
      <c r="R51" s="29">
        <f>R30-R10*R23</f>
        <v>-70523.366923051421</v>
      </c>
      <c r="T51" s="29">
        <f>T30-T10*T23</f>
        <v>-25330.209467539098</v>
      </c>
      <c r="V51" s="29">
        <f>V30-V10*V23</f>
        <v>21164.109444387723</v>
      </c>
      <c r="X51" s="29">
        <f>X30-X10*X23</f>
        <v>69314.948171737604</v>
      </c>
      <c r="Z51" s="29">
        <f>Z30-Z10*Z23</f>
        <v>119645.10808502743</v>
      </c>
      <c r="AB51" s="29">
        <f>AB30-AB10*AB23</f>
        <v>172968.07603486162</v>
      </c>
      <c r="AD51" s="29">
        <f>AD30-AD10*AD23</f>
        <v>230638.38327363692</v>
      </c>
      <c r="AF51" s="29">
        <f>AF30-AF10*AF23</f>
        <v>295101.45193470595</v>
      </c>
      <c r="AH51" s="29">
        <f>AH30-AH10*AH23</f>
        <v>371215.63745659729</v>
      </c>
      <c r="AJ51" s="29">
        <f>AJ30-AJ10*AJ23</f>
        <v>469743.44009754434</v>
      </c>
      <c r="AL51" s="29">
        <f>AL30-AL10*AL23</f>
        <v>617504.34742433345</v>
      </c>
      <c r="AN51" s="29">
        <f>AN30-AN10*AN23</f>
        <v>897506.02074191719</v>
      </c>
      <c r="AP51" s="29">
        <f>AP30-AP10*AP23</f>
        <v>993557.70772599103</v>
      </c>
      <c r="AQ51" s="29"/>
      <c r="AR51" s="29">
        <f>AR30-AR10*AR23</f>
        <v>1122133.535861514</v>
      </c>
      <c r="AT51" s="29">
        <f>AT30-AT10*AT23</f>
        <v>1314595.641465886</v>
      </c>
      <c r="AV51" s="29">
        <f>AV30-AV10*AV23</f>
        <v>1681240.4270282346</v>
      </c>
      <c r="XFD51" s="29"/>
    </row>
    <row r="52" spans="1:48 16321:16384" x14ac:dyDescent="0.2">
      <c r="A52" t="s">
        <v>167</v>
      </c>
      <c r="B52" s="29">
        <f t="array" ref="B52">Calibration!sL*SUM(B13:C13*B26:C26)</f>
        <v>2049247.8195702801</v>
      </c>
      <c r="D52" s="29">
        <f t="array" ref="D52">Calibration!sL*SUM(D13:E13*D26:E26)</f>
        <v>2048285.1793965844</v>
      </c>
      <c r="F52" s="29">
        <f t="array" ref="F52">Calibration!sL*SUM(F13:G13*F26:G26)</f>
        <v>2047088.8038951464</v>
      </c>
      <c r="H52" s="29">
        <f t="array" ref="H52">Calibration!sL*SUM(H13:I13*H26:I26)</f>
        <v>2045631.2095604856</v>
      </c>
      <c r="J52" s="29">
        <f t="array" ref="J52">Calibration!sL*SUM(J13:K13*J26:K26)</f>
        <v>2043879.8800189733</v>
      </c>
      <c r="L52" s="29">
        <f t="array" ref="L52">Calibration!sL*SUM(L13:M13*L26:M26)</f>
        <v>2041795.9952613635</v>
      </c>
      <c r="N52" s="29">
        <f t="array" ref="N52">Calibration!sL*SUM(N13:O13*N26:O26)</f>
        <v>2039332.5755830265</v>
      </c>
      <c r="P52" s="29">
        <f t="array" ref="P52">Calibration!sL*SUM(P13:Q13*P26:Q26)</f>
        <v>2036432.2348479929</v>
      </c>
      <c r="R52" s="29">
        <f t="array" ref="R52">Calibration!sL*SUM(R13:S13*R26:S26)</f>
        <v>2033023.879898937</v>
      </c>
      <c r="T52" s="29">
        <f t="array" ref="T52">Calibration!sL*SUM(T13:U13*T26:U26)</f>
        <v>2029017.9686902852</v>
      </c>
      <c r="V52" s="29">
        <f t="array" ref="V52">Calibration!sL*SUM(V13:W13*V26:W26)</f>
        <v>2024299.7308683109</v>
      </c>
      <c r="X52" s="29">
        <f t="array" ref="X52">Calibration!sL*SUM(X13:Y13*X26:Y26)</f>
        <v>2018718.7210545114</v>
      </c>
      <c r="Z52" s="29">
        <f t="array" ref="Z52">Calibration!sL*SUM(Z13:AA13*Z26:AA26)</f>
        <v>2012072.4737908791</v>
      </c>
      <c r="AB52" s="29">
        <f t="array" ref="AB52">Calibration!sL*SUM(AB13:AC13*AB26:AC26)</f>
        <v>2004079.3546366866</v>
      </c>
      <c r="AD52" s="29">
        <f t="array" ref="AD52">Calibration!sL*SUM(AD13:AE13*AD26:AE26)</f>
        <v>1994330.8093234422</v>
      </c>
      <c r="AF52" s="29">
        <f t="array" ref="AF52">Calibration!sL*SUM(AF13:AG13*AF26:AG26)</f>
        <v>1982199.4126350407</v>
      </c>
      <c r="AH52" s="29">
        <f t="array" ref="AH52">Calibration!sL*SUM(AH13:AI13*AH26:AI26)</f>
        <v>1966640.0185901215</v>
      </c>
      <c r="AJ52" s="29">
        <f t="array" ref="AJ52">Calibration!sL*SUM(AJ13:AK13*AJ26:AK26)</f>
        <v>1945673.5503069018</v>
      </c>
      <c r="AL52" s="29">
        <f t="array" ref="AL52">Calibration!sL*SUM(AL13:AM13*AL26:AM26)</f>
        <v>1914612.0732586114</v>
      </c>
      <c r="AN52" s="29">
        <f t="array" ref="AN52">Calibration!sL*SUM(AN13:AO13*AN26:AO26)</f>
        <v>1856764.7682740004</v>
      </c>
      <c r="AP52" s="29">
        <f t="array" ref="AP52">Calibration!sL*SUM(AP13:AQ13*AP26:AQ26)</f>
        <v>1836815.4530479438</v>
      </c>
      <c r="AQ52" s="29"/>
      <c r="AR52" s="29">
        <f t="array" ref="AR52">Calibration!sL*SUM(AR13:AS13*AR26:AS26)</f>
        <v>1810331.8423972297</v>
      </c>
      <c r="AT52" s="29">
        <f t="array" ref="AT52">Calibration!sL*SUM(AT13:AU13*AT26:AU26)</f>
        <v>1771961.1040358553</v>
      </c>
      <c r="AV52" s="29">
        <f t="array" ref="AV52">Calibration!sL*SUM(AV13:AW13*AV26:AW26)</f>
        <v>1705095.900670887</v>
      </c>
    </row>
    <row r="53" spans="1:48 16321:16384" x14ac:dyDescent="0.2">
      <c r="A53" t="s">
        <v>168</v>
      </c>
      <c r="B53" s="29">
        <f t="array" ref="B53">Calibration!sK*SUM(B15:C15*B27:C27)</f>
        <v>2740714.444429684</v>
      </c>
      <c r="D53" s="29">
        <f t="array" ref="D53">Calibration!sK*SUM(D15:E15*D27:E27)</f>
        <v>2726082.97147041</v>
      </c>
      <c r="F53" s="29">
        <f t="array" ref="F53">Calibration!sK*SUM(F15:G15*F27:G27)</f>
        <v>2711162.8799385405</v>
      </c>
      <c r="H53" s="29">
        <f t="array" ref="H53">Calibration!sK*SUM(H15:I15*H27:I27)</f>
        <v>2695916.9180351729</v>
      </c>
      <c r="J53" s="29">
        <f t="array" ref="J53">Calibration!sK*SUM(J15:K15*J27:K27)</f>
        <v>2680301.1397222532</v>
      </c>
      <c r="L53" s="29">
        <f t="array" ref="L53">Calibration!sK*SUM(L15:M15*L27:M27)</f>
        <v>2664263.3930244781</v>
      </c>
      <c r="N53" s="29">
        <f t="array" ref="N53">Calibration!sK*SUM(N15:O15*N27:O27)</f>
        <v>2647741.6524206325</v>
      </c>
      <c r="P53" s="29">
        <f t="array" ref="P53">Calibration!sK*SUM(P15:Q15*P27:Q27)</f>
        <v>2630661.1418484743</v>
      </c>
      <c r="R53" s="29">
        <f t="array" ref="R53">Calibration!sK*SUM(R15:S15*R27:S27)</f>
        <v>2612931.0014297599</v>
      </c>
      <c r="T53" s="29">
        <f t="array" ref="T53">Calibration!sK*SUM(T15:U15*T27:U27)</f>
        <v>2594439.7785631348</v>
      </c>
      <c r="V53" s="29">
        <f t="array" ref="V53">Calibration!sK*SUM(V15:W15*V27:W27)</f>
        <v>2575049.1144034504</v>
      </c>
      <c r="X53" s="29">
        <f t="array" ref="X53">Calibration!sK*SUM(X15:Y15*X27:Y27)</f>
        <v>2554584.9745034785</v>
      </c>
      <c r="Z53" s="29">
        <f t="array" ref="Z53">Calibration!sK*SUM(Z15:AA15*Z27:AA27)</f>
        <v>2532825.0819054688</v>
      </c>
      <c r="AB53" s="29">
        <f t="array" ref="AB53">Calibration!sK*SUM(AB15:AC15*AB27:AC27)</f>
        <v>2509480.1493152813</v>
      </c>
      <c r="AD53" s="29">
        <f t="array" ref="AD53">Calibration!sK*SUM(AD15:AE15*AD27:AE27)</f>
        <v>2484163.6684279414</v>
      </c>
      <c r="AF53" s="29">
        <f t="array" ref="AF53">Calibration!sK*SUM(AF15:AG15*AF27:AG27)</f>
        <v>2456336.8613290186</v>
      </c>
      <c r="AH53" s="29">
        <f t="array" ref="AH53">Calibration!sK*SUM(AH15:AI15*AH27:AI27)</f>
        <v>2425180.5893824482</v>
      </c>
      <c r="AJ53" s="29">
        <f t="array" ref="AJ53">Calibration!sK*SUM(AJ15:AK15*AJ27:AK27)</f>
        <v>2389171.8763845135</v>
      </c>
      <c r="AL53" s="29">
        <f t="array" ref="AL53">Calibration!sK*SUM(AL15:AM15*AL27:AM27)</f>
        <v>2344080.7149826917</v>
      </c>
      <c r="AN53" s="29">
        <f t="array" ref="AN53">Calibration!sK*SUM(AN15:AO15*AN27:AO27)</f>
        <v>2270642.776344073</v>
      </c>
      <c r="AP53" s="29">
        <f t="array" ref="AP53">Calibration!sK*SUM(AP15:AQ15*AP27:AQ27)</f>
        <v>2246125.6668632855</v>
      </c>
      <c r="AQ53" s="29"/>
      <c r="AR53" s="29">
        <f t="array" ref="AR53">Calibration!sK*SUM(AR15:AS15*AR27:AS27)</f>
        <v>2213686.9546942017</v>
      </c>
      <c r="AT53" s="29">
        <f t="array" ref="AT53">Calibration!sK*SUM(AT15:AU15*AT27:AU27)</f>
        <v>2166750.0527787437</v>
      </c>
      <c r="AV53" s="29">
        <f t="array" ref="AV53">Calibration!sK*SUM(AV15:AW15*AV27:AW27)</f>
        <v>2084984.6775626396</v>
      </c>
      <c r="XFD53" s="29"/>
    </row>
    <row r="55" spans="1:48 16321:16384" x14ac:dyDescent="0.2">
      <c r="A55" t="s">
        <v>169</v>
      </c>
      <c r="B55" s="193">
        <f>B30/B32</f>
        <v>0.19850271905982084</v>
      </c>
      <c r="D55" s="193">
        <f>D30/D32</f>
        <v>0.20124179401015946</v>
      </c>
      <c r="F55" s="193">
        <f>F30/F32</f>
        <v>0.20400039955243543</v>
      </c>
      <c r="H55" s="193">
        <f>H30/H32</f>
        <v>0.20678252703293706</v>
      </c>
      <c r="J55" s="193">
        <f>J30/J32</f>
        <v>0.20959290176643691</v>
      </c>
      <c r="L55" s="193">
        <f>L30/L32</f>
        <v>0.21243720606899927</v>
      </c>
      <c r="N55" s="193">
        <f>N30/N32</f>
        <v>0.21532241441022459</v>
      </c>
      <c r="P55" s="193">
        <f>P30/P32</f>
        <v>0.21825719525838477</v>
      </c>
      <c r="R55" s="193">
        <f>R30/R32</f>
        <v>0.22125257708804716</v>
      </c>
      <c r="T55" s="193">
        <f>T30/T32</f>
        <v>0.22432294264856689</v>
      </c>
      <c r="V55" s="193">
        <f>V30/V32</f>
        <v>0.22748764361630283</v>
      </c>
      <c r="X55" s="193">
        <f>X30/X32</f>
        <v>0.23077365360017912</v>
      </c>
      <c r="Z55" s="193">
        <f>Z30/Z32</f>
        <v>0.23422028863027905</v>
      </c>
      <c r="AB55" s="193">
        <f>AB30/AB32</f>
        <v>0.23788802474495621</v>
      </c>
      <c r="AD55" s="193">
        <f>AD30/AD32</f>
        <v>0.24187621075521348</v>
      </c>
      <c r="AF55" s="193">
        <f>AF30/AF32</f>
        <v>0.24636157566365993</v>
      </c>
      <c r="AH55" s="193">
        <f>AH30/AH32</f>
        <v>0.2516900234283978</v>
      </c>
      <c r="AJ55" s="193">
        <f>AJ30/AJ32</f>
        <v>0.25861783339192124</v>
      </c>
      <c r="AL55" s="193">
        <f>AL30/AL32</f>
        <v>0.26901712700295227</v>
      </c>
      <c r="AN55" s="193">
        <f>AN30/AN32</f>
        <v>0.28874863607956747</v>
      </c>
      <c r="AP55" s="193">
        <f>AP30/AP32</f>
        <v>0.29554457671867873</v>
      </c>
      <c r="AR55" s="193">
        <f>AR30/AR32</f>
        <v>0.30465740980745382</v>
      </c>
      <c r="AT55" s="193">
        <f>AT30/AT32</f>
        <v>0.31829030330113606</v>
      </c>
      <c r="AV55" s="193">
        <f>AV30/AV32</f>
        <v>0.34401711993100481</v>
      </c>
      <c r="XCS55" s="193"/>
      <c r="XFD55" s="193"/>
    </row>
    <row r="56" spans="1:48 16321:16384" x14ac:dyDescent="0.2">
      <c r="A56" t="s">
        <v>170</v>
      </c>
      <c r="B56" s="193">
        <f>(Model!$C$52*B5*B20+B2*C5*C20)/B32</f>
        <v>2.9221206744340551E-2</v>
      </c>
      <c r="D56" s="193">
        <f>(Model!$C$52*D5*D20+D2*E5*E20)/D32</f>
        <v>3.214819907022707E-2</v>
      </c>
      <c r="F56" s="193">
        <f>(Model!$C$52*F5*F20+F2*G5*G20)/F32</f>
        <v>3.510007972291334E-2</v>
      </c>
      <c r="H56" s="193">
        <f>(Model!$C$52*H5*H20+H2*I5*I20)/H32</f>
        <v>3.8081601465994007E-2</v>
      </c>
      <c r="J56" s="193">
        <f>(Model!$C$52*J5*J20+J2*K5*K20)/J32</f>
        <v>4.1098406256824545E-2</v>
      </c>
      <c r="L56" s="193">
        <f>(Model!$C$52*L5*L20+L2*M5*M20)/L32</f>
        <v>4.4157299186032131E-2</v>
      </c>
      <c r="N56" s="193">
        <f>(Model!$C$52*N5*N20+N2*O5*O20)/N32</f>
        <v>4.7266658763056059E-2</v>
      </c>
      <c r="P56" s="193">
        <f>(Model!$C$52*P5*P20+P2*Q5*Q20)/P32</f>
        <v>5.0436943797881266E-2</v>
      </c>
      <c r="R56" s="193">
        <f>(Model!$C$52*R5*R20+R2*S5*S20)/R32</f>
        <v>5.3681524476241235E-2</v>
      </c>
      <c r="T56" s="193">
        <f>(Model!$C$52*T5*T20+T2*U5*U20)/T32</f>
        <v>5.7017934797790368E-2</v>
      </c>
      <c r="V56" s="193">
        <f>(Model!$C$52*V5*V20+V2*W5*W20)/V32</f>
        <v>6.0469908182616321E-2</v>
      </c>
      <c r="X56" s="193">
        <f>(Model!$C$52*X5*X20+X2*Y5*Y20)/X32</f>
        <v>6.4070745639831839E-2</v>
      </c>
      <c r="Z56" s="193">
        <f>(Model!$C$52*Z5*Z20+Z2*AA5*AA20)/Z32</f>
        <v>6.7869309676422851E-2</v>
      </c>
      <c r="AB56" s="193">
        <f>(Model!$C$52*AB5*AB20+AB2*AC5*AC20)/AB32</f>
        <v>7.19412326708357E-2</v>
      </c>
      <c r="AD56" s="193">
        <f>(Model!$C$52*AD5*AD20+AD2*AE5*AE20)/AD32</f>
        <v>7.6411401875502633E-2</v>
      </c>
      <c r="AF56" s="193">
        <f>(Model!$C$52*AF5*AF20+AF2*AG5*AG20)/AF32</f>
        <v>8.150268228311687E-2</v>
      </c>
      <c r="AH56" s="193">
        <f>(Model!$C$52*AH5*AH20+AH2*AI5*AI20)/AH32</f>
        <v>8.7651328530314238E-2</v>
      </c>
      <c r="AJ56" s="193">
        <f>(Model!$C$52*AJ5*AJ20+AJ2*AK5*AK20)/AJ32</f>
        <v>9.580713570339093E-2</v>
      </c>
      <c r="AL56" s="193">
        <f>(Model!$C$52*AL5*AL20+AL2*AM5*AM20)/AL32</f>
        <v>0.1082975966277851</v>
      </c>
      <c r="AN56" s="193">
        <f>(Model!$C$52*AN5*AN20+AN2*AO5*AO20)/AN32</f>
        <v>0.1323013170682743</v>
      </c>
      <c r="AP56" s="193">
        <f>(Model!$C$52*AP5*AP20+AP2*AQ5*AQ20)/AP32</f>
        <v>0.14059018028689751</v>
      </c>
      <c r="AR56" s="193">
        <f>(Model!$C$52*AR5*AR20+AR2*AS5*AS20)/AR32</f>
        <v>0.15170755100493563</v>
      </c>
      <c r="AT56" s="193">
        <f>(Model!$C$52*AT5*AT20+AT2*AU5*AU20)/AT32</f>
        <v>0.16834062789306625</v>
      </c>
      <c r="AV56" s="193">
        <f>(Model!$C$52*AV5*AV20+AV2*AW5*AW20)/AV32</f>
        <v>0.19972942400735996</v>
      </c>
      <c r="XFD56" s="193"/>
    </row>
    <row r="57" spans="1:48 16321:16384" x14ac:dyDescent="0.2">
      <c r="A57" t="s">
        <v>171</v>
      </c>
      <c r="B57" s="193">
        <f t="array" ref="B57">SUM(Model!tauL*B13:C13*B26:C26)/B32</f>
        <v>0.15852881819439493</v>
      </c>
      <c r="D57" s="193">
        <f t="array" ref="D57">SUM(Model!tauL*D13:E13*D26:E26)/D32</f>
        <v>0.15842476624616222</v>
      </c>
      <c r="F57" s="193">
        <f t="array" ref="F57">SUM(Model!tauL*F13:G13*F26:G26)/F32</f>
        <v>0.15831597071545386</v>
      </c>
      <c r="H57" s="193">
        <f t="array" ref="H57">SUM(Model!tauL*H13:I13*H26:I26)/H32</f>
        <v>0.15820178719548952</v>
      </c>
      <c r="J57" s="193">
        <f t="array" ref="J57">SUM(Model!tauL*J13:K13*J26:K26)/J32</f>
        <v>0.15808143791122012</v>
      </c>
      <c r="L57" s="193">
        <f t="array" ref="L57">SUM(Model!tauL*L13:M13*L26:M26)/L32</f>
        <v>0.1579539662606218</v>
      </c>
      <c r="N57" s="193">
        <f t="array" ref="N57">SUM(Model!tauL*N13:O13*N26:O26)/N32</f>
        <v>0.157818166765614</v>
      </c>
      <c r="P57" s="193">
        <f t="array" ref="P57">SUM(Model!tauL*P13:Q13*P26:Q26)/P32</f>
        <v>0.1576724909222815</v>
      </c>
      <c r="R57" s="193">
        <f t="array" ref="R57">SUM(Model!tauL*R13:S13*R26:S26)/R32</f>
        <v>0.15751489417073386</v>
      </c>
      <c r="T57" s="193">
        <f t="array" ref="T57">SUM(Model!tauL*T13:U13*T26:U26)/T32</f>
        <v>0.15734259375910101</v>
      </c>
      <c r="V57" s="193">
        <f t="array" ref="V57">SUM(Model!tauL*V13:W13*V26:W26)/V32</f>
        <v>0.15715167185866688</v>
      </c>
      <c r="X57" s="193">
        <f t="array" ref="X57">SUM(Model!tauL*X13:Y13*X26:Y26)/X32</f>
        <v>0.15693639291489347</v>
      </c>
      <c r="Y57" s="193"/>
      <c r="Z57" s="193">
        <f t="array" ref="Z57">SUM(Model!tauL*Z13:AA13*Z26:AA26)/Z32</f>
        <v>0.15668797803094184</v>
      </c>
      <c r="AB57" s="193">
        <f t="array" ref="AB57">SUM(Model!tauL*AB13:AC13*AB26:AC26)/AB32</f>
        <v>0.15639228478500056</v>
      </c>
      <c r="AD57" s="193">
        <f t="array" ref="AD57">SUM(Model!tauL*AD13:AE13*AD26:AE26)/AD32</f>
        <v>0.15602514726024691</v>
      </c>
      <c r="AF57" s="193">
        <f t="array" ref="AF57">SUM(Model!tauL*AF13:AG13*AF26:AG26)/AF32</f>
        <v>0.15554235130622363</v>
      </c>
      <c r="AH57" s="193">
        <f t="array" ref="AH57">SUM(Model!tauL*AH13:AI13*AH26:AI26)/AH32</f>
        <v>0.15485641940474662</v>
      </c>
      <c r="AJ57" s="193">
        <f t="array" ref="AJ57">SUM(Model!tauL*AJ13:AK13*AJ26:AK26)/AJ32</f>
        <v>0.15377885796183388</v>
      </c>
      <c r="AL57" s="193">
        <f t="array" ref="AL57">SUM(Model!tauL*AL13:AM13*AL26:AM26)/AL32</f>
        <v>0.15186697880423791</v>
      </c>
      <c r="AN57" s="193">
        <f t="array" ref="AN57">SUM(Model!tauL*AN13:AO13*AN26:AO26)/AN32</f>
        <v>0.14786037448131628</v>
      </c>
      <c r="AP57" s="193">
        <f t="array" ref="AP57">SUM(Model!tauL*AP13:AQ13*AP26:AQ26)/AP32</f>
        <v>0.14645188400654768</v>
      </c>
      <c r="AR57" s="193">
        <f t="array" ref="AR57">SUM(Model!tauL*AR13:AS13*AR26:AS26)/AR32</f>
        <v>0.14455928996901588</v>
      </c>
      <c r="AT57" s="193">
        <f t="array" ref="AT57">SUM(Model!tauL*AT13:AU13*AT26:AU26)/AT32</f>
        <v>0.14172566110654095</v>
      </c>
      <c r="AV57" s="193">
        <f t="array" ref="AV57">SUM(Model!tauL*AV13:AW13*AV26:AW26)/AV32</f>
        <v>0.13637722151026818</v>
      </c>
      <c r="XFD57" s="193"/>
    </row>
    <row r="58" spans="1:48 16321:16384" x14ac:dyDescent="0.2">
      <c r="A58" t="s">
        <v>172</v>
      </c>
      <c r="B58" s="193">
        <f t="array" ref="B58">SUM(Model!tauY/(1+Model!tauY)*B3:C3*B18:C18)/B32</f>
        <v>1.075269412108535E-2</v>
      </c>
      <c r="D58" s="193">
        <f t="array" ref="D58">SUM(Model!tauY/(1+Model!tauY)*D3:E3*D18:E18)/D32</f>
        <v>1.0668828693770159E-2</v>
      </c>
      <c r="F58" s="193">
        <f t="array" ref="F58">SUM(Model!tauY/(1+Model!tauY)*F3:G3*F18:G18)/F32</f>
        <v>1.058434911406818E-2</v>
      </c>
      <c r="H58" s="193">
        <f t="array" ref="H58">SUM(Model!tauY/(1+Model!tauY)*H3:I3*H18:I18)/H32</f>
        <v>1.0499138371453547E-2</v>
      </c>
      <c r="J58" s="193">
        <f t="array" ref="J58">SUM(Model!tauY/(1+Model!tauY)*J3:K3*J18:K18)/J32</f>
        <v>1.0413057598392271E-2</v>
      </c>
      <c r="L58" s="193">
        <f t="array" ref="L58">SUM(Model!tauY/(1+Model!tauY)*L3:M3*L18:M18)/L32</f>
        <v>1.0325940622345353E-2</v>
      </c>
      <c r="N58" s="193">
        <f t="array" ref="N58">SUM(Model!tauY/(1+Model!tauY)*N3:O3*N18:O18)/N32</f>
        <v>1.0237588881554547E-2</v>
      </c>
      <c r="P58" s="193">
        <f t="array" ref="P58">SUM(Model!tauY/(1+Model!tauY)*P3:Q3*P18:Q18)/P32</f>
        <v>1.0147760538222009E-2</v>
      </c>
      <c r="R58" s="193">
        <f t="array" ref="R58">SUM(Model!tauY/(1+Model!tauY)*R3:S3*R18:S18)/R32</f>
        <v>1.0056158441072084E-2</v>
      </c>
      <c r="T58" s="193">
        <f t="array" ref="T58">SUM(Model!tauY/(1+Model!tauY)*T3:U3*T18:U18)/T32</f>
        <v>9.9624140916755016E-3</v>
      </c>
      <c r="V58" s="193">
        <f t="array" ref="V58">SUM(Model!tauY/(1+Model!tauY)*V3:W3*V18:W18)/V32</f>
        <v>9.8660635750195957E-3</v>
      </c>
      <c r="X58" s="193">
        <f t="array" ref="X58">SUM(Model!tauY/(1+Model!tauY)*X3:Y3*X18:Y18)/X32</f>
        <v>9.7665150454538455E-3</v>
      </c>
      <c r="Y58" s="193"/>
      <c r="Z58" s="193">
        <f t="array" ref="Z58">SUM(Model!tauY/(1+Model!tauY)*Z3:AA3*Z18:AA18)/Z32</f>
        <v>9.6630009229143818E-3</v>
      </c>
      <c r="AB58" s="193">
        <f t="array" ref="AB58">SUM(Model!tauY/(1+Model!tauY)*AB3:AC3*AB18:AC18)/AB32</f>
        <v>9.5545072891199366E-3</v>
      </c>
      <c r="AD58" s="193">
        <f t="array" ref="AD58">SUM(Model!tauY/(1+Model!tauY)*AD3:AE3*AD18:AE18)/AD32</f>
        <v>9.4396616194639647E-3</v>
      </c>
      <c r="AF58" s="193">
        <f t="array" ref="AF58">SUM(Model!tauY/(1+Model!tauY)*AF3:AG3*AF18:AG18)/AF32</f>
        <v>9.3165420743194696E-3</v>
      </c>
      <c r="AH58" s="193">
        <f t="array" ref="AH58">SUM(Model!tauY/(1+Model!tauY)*AH3:AI3*AH18:AI18)/AH32</f>
        <v>9.1822754933369201E-3</v>
      </c>
      <c r="AJ58" s="193">
        <f t="array" ref="AJ58">SUM(Model!tauY/(1+Model!tauY)*AJ3:AK3*AJ18:AK18)/AJ32</f>
        <v>9.0318397266964789E-3</v>
      </c>
      <c r="AL58" s="193">
        <f t="array" ref="AL58">SUM(Model!tauY/(1+Model!tauY)*AL3:AM3*AL18:AM18)/AL32</f>
        <v>8.8525515709293057E-3</v>
      </c>
      <c r="AN58" s="193">
        <f t="array" ref="AN58">SUM(Model!tauY/(1+Model!tauY)*AN3:AO3*AN18:AO18)/AN32</f>
        <v>8.5869445299768324E-3</v>
      </c>
      <c r="AP58" s="193">
        <f t="array" ref="AP58">SUM(Model!tauY/(1+Model!tauY)*AP3:AQ3*AP18:AQ18)/AP32</f>
        <v>8.5025124252335518E-3</v>
      </c>
      <c r="AR58" s="193">
        <f t="array" ref="AR58">SUM(Model!tauY/(1+Model!tauY)*AR3:AS3*AR18:AS18)/AR32</f>
        <v>8.3905688335023394E-3</v>
      </c>
      <c r="AT58" s="193">
        <f t="array" ref="AT58">SUM(Model!tauY/(1+Model!tauY)*AT3:AU3*AT18:AU18)/AT32</f>
        <v>8.224014301528899E-3</v>
      </c>
      <c r="AV58" s="193">
        <f t="array" ref="AV58">SUM(Model!tauY/(1+Model!tauY)*AV3:AW3*AV18:AW18)/AV32</f>
        <v>7.910474413376653E-3</v>
      </c>
      <c r="XFD58" s="193"/>
    </row>
    <row r="59" spans="1:48 16321:16384" x14ac:dyDescent="0.2">
      <c r="A59" t="s">
        <v>173</v>
      </c>
      <c r="B59" s="193">
        <f>(B2*C5*C20)/B32</f>
        <v>5.5174232040962052E-4</v>
      </c>
      <c r="D59" s="193">
        <f>(D2*E5*E20)/D32</f>
        <v>3.5318729044141644E-3</v>
      </c>
      <c r="F59" s="193">
        <f>(F2*G5*G20)/F32</f>
        <v>6.5377850707866473E-3</v>
      </c>
      <c r="H59" s="193">
        <f>(H2*I5*I20)/H32</f>
        <v>9.5743721624852209E-3</v>
      </c>
      <c r="J59" s="193">
        <f>(J2*K5*K20)/J32</f>
        <v>1.2647444883422714E-2</v>
      </c>
      <c r="L59" s="193">
        <f>(L2*M5*M20)/L32</f>
        <v>1.5764013546156596E-2</v>
      </c>
      <c r="N59" s="193">
        <f>(N2*O5*O20)/N32</f>
        <v>1.8932709245661147E-2</v>
      </c>
      <c r="P59" s="193">
        <f>(P2*Q5*Q20)/P32</f>
        <v>2.2164307580702983E-2</v>
      </c>
      <c r="R59" s="193">
        <f>(R2*S5*S20)/R32</f>
        <v>2.5472583775635039E-2</v>
      </c>
      <c r="T59" s="193">
        <f>(T2*U5*U20)/T32</f>
        <v>2.8875601435072989E-2</v>
      </c>
      <c r="V59" s="193">
        <f>(V2*W5*W20)/V32</f>
        <v>3.2397806321209921E-2</v>
      </c>
      <c r="X59" s="193">
        <f>(X2*Y5*Y20)/X32</f>
        <v>3.6073489449543014E-2</v>
      </c>
      <c r="Z59" s="193">
        <f>(Z2*AA5*AA20)/Z32</f>
        <v>3.9952946158002087E-2</v>
      </c>
      <c r="AB59" s="193">
        <f>(AB2*AC5*AC20)/AB32</f>
        <v>4.4113987957536467E-2</v>
      </c>
      <c r="AD59" s="193">
        <f>(AD2*AE5*AE20)/AD32</f>
        <v>4.8685027415536444E-2</v>
      </c>
      <c r="AF59" s="193">
        <f>(AF2*AG5*AG20)/AF32</f>
        <v>5.389508830265563E-2</v>
      </c>
      <c r="AH59" s="193">
        <f>(AH2*AI5*AI20)/AH32</f>
        <v>6.0192273875927724E-2</v>
      </c>
      <c r="AJ59" s="193">
        <f>(AJ2*AK5*AK20)/AJ32</f>
        <v>6.8552076607809112E-2</v>
      </c>
      <c r="AL59" s="193">
        <f>(AL2*AM5*AM20)/AL32</f>
        <v>8.1366874766812952E-2</v>
      </c>
      <c r="AN59" s="193">
        <f>(AN2*AO5*AO20)/AN32</f>
        <v>0.10603386552670864</v>
      </c>
      <c r="AP59" s="193">
        <f>(AP2*AQ5*AQ20)/AP32</f>
        <v>0.11456388028749991</v>
      </c>
      <c r="AR59" s="193">
        <f>(AR2*AS5*AS20)/AR32</f>
        <v>0.12601256420571297</v>
      </c>
      <c r="AT59" s="193">
        <f>(AT2*AU5*AU20)/AT32</f>
        <v>0.14315369542566239</v>
      </c>
      <c r="AV59" s="193">
        <f>(AV2*AW5*AW20)/AV32</f>
        <v>0.17552399486151599</v>
      </c>
      <c r="XFD59" s="193"/>
    </row>
    <row r="60" spans="1:48 16321:16384" x14ac:dyDescent="0.2">
      <c r="A60" t="s">
        <v>174</v>
      </c>
      <c r="B60" s="193">
        <f>Model!$C$52*B5*B20/B32</f>
        <v>2.8669464423930927E-2</v>
      </c>
      <c r="D60" s="193">
        <f>Model!$C$52*D5*D20/D32</f>
        <v>2.8616326165812906E-2</v>
      </c>
      <c r="F60" s="193">
        <f>Model!$C$52*F5*F20/F32</f>
        <v>2.8562294652126691E-2</v>
      </c>
      <c r="H60" s="193">
        <f>Model!$C$52*H5*H20/H32</f>
        <v>2.8507229303508786E-2</v>
      </c>
      <c r="J60" s="193">
        <f>Model!$C$52*J5*J20/J32</f>
        <v>2.8450961373401834E-2</v>
      </c>
      <c r="L60" s="193">
        <f>Model!$C$52*L5*L20/L32</f>
        <v>2.8393285639875539E-2</v>
      </c>
      <c r="N60" s="193">
        <f>Model!$C$52*N5*N20/N32</f>
        <v>2.8333949517394916E-2</v>
      </c>
      <c r="P60" s="193">
        <f>Model!$C$52*P5*P20/P32</f>
        <v>2.8272636217178286E-2</v>
      </c>
      <c r="R60" s="193">
        <f>Model!$C$52*R5*R20/R32</f>
        <v>2.8208940700606203E-2</v>
      </c>
      <c r="T60" s="193">
        <f>Model!$C$52*T5*T20/T32</f>
        <v>2.8142333362717372E-2</v>
      </c>
      <c r="V60" s="193">
        <f>Model!$C$52*V5*V20/V32</f>
        <v>2.80721018614064E-2</v>
      </c>
      <c r="X60" s="193">
        <f>Model!$C$52*X5*X20/X32</f>
        <v>2.7997256190288825E-2</v>
      </c>
      <c r="Z60" s="193">
        <f>Model!$C$52*Z5*Z20/Z32</f>
        <v>2.7916363518420775E-2</v>
      </c>
      <c r="AB60" s="193">
        <f>Model!$C$52*AB5*AB20/AB32</f>
        <v>2.7827244713299247E-2</v>
      </c>
      <c r="AD60" s="193">
        <f>Model!$C$52*AD5*AD20/AD32</f>
        <v>2.7726374459966188E-2</v>
      </c>
      <c r="AF60" s="193">
        <f>Model!$C$52*AF5*AF20/AF32</f>
        <v>2.7607593980461229E-2</v>
      </c>
      <c r="AH60" s="193">
        <f>Model!$C$52*AH5*AH20/AH32</f>
        <v>2.745905465438651E-2</v>
      </c>
      <c r="AJ60" s="193">
        <f>Model!$C$52*AJ5*AJ20/AJ32</f>
        <v>2.7255059095581811E-2</v>
      </c>
      <c r="AL60" s="193">
        <f>Model!$C$52*AL5*AL20/AL32</f>
        <v>2.6930721860972142E-2</v>
      </c>
      <c r="AN60" s="193">
        <f>Model!$C$52*AN5*AN20/AN32</f>
        <v>2.6267451541565668E-2</v>
      </c>
      <c r="AP60" s="193">
        <f>Model!$C$52*AP5*AP20/AP32</f>
        <v>2.6026299999397602E-2</v>
      </c>
      <c r="AR60" s="193">
        <f>Model!$C$52*AR5*AR20/AR32</f>
        <v>2.5694986799222653E-2</v>
      </c>
      <c r="AT60" s="193">
        <f>Model!$C$52*AT5*AT20/AT32</f>
        <v>2.5186932467403861E-2</v>
      </c>
      <c r="AV60" s="193">
        <f>Model!$C$52*AV5*AV20/AV32</f>
        <v>2.4205429145843976E-2</v>
      </c>
      <c r="XFD60" s="193"/>
    </row>
    <row r="62" spans="1:48 16321:16384" x14ac:dyDescent="0.2">
      <c r="A62" t="s">
        <v>175</v>
      </c>
      <c r="B62">
        <f>B13/B15</f>
        <v>1</v>
      </c>
      <c r="D62">
        <f>D13/D15</f>
        <v>1.0048949458246619</v>
      </c>
      <c r="F62">
        <f>F13/F15</f>
        <v>1.0098349105812441</v>
      </c>
      <c r="H62">
        <f>H13/H15</f>
        <v>1.0148226319845126</v>
      </c>
      <c r="J62">
        <f>J13/J15</f>
        <v>1.0198612391991562</v>
      </c>
      <c r="L62">
        <f>L13/L15</f>
        <v>1.0249542895284462</v>
      </c>
      <c r="N62">
        <f>N13/N15</f>
        <v>1.0301056199405556</v>
      </c>
      <c r="P62">
        <f>P13/P15</f>
        <v>1.0353194234765675</v>
      </c>
      <c r="R62">
        <f>R13/R15</f>
        <v>1.0406000625268366</v>
      </c>
      <c r="T62">
        <f>T13/T15</f>
        <v>1.0459516428629128</v>
      </c>
      <c r="V62">
        <f>V13/V15</f>
        <v>1.0513773278752789</v>
      </c>
      <c r="X62">
        <f>X13/X15</f>
        <v>1.0568777723330935</v>
      </c>
      <c r="Z62">
        <f>Z13/Z15</f>
        <v>1.0624481112013526</v>
      </c>
      <c r="AB62">
        <f>AB13/AB15</f>
        <v>1.0680718195626582</v>
      </c>
      <c r="AD62">
        <f>AD13/AD15</f>
        <v>1.0737082737891224</v>
      </c>
      <c r="AF62">
        <f>AF13/AF15</f>
        <v>1.0792665684618903</v>
      </c>
      <c r="AH62">
        <f>AH13/AH15</f>
        <v>1.0845512919662676</v>
      </c>
      <c r="AJ62">
        <f>AJ13/AJ15</f>
        <v>1.0891605140182667</v>
      </c>
      <c r="AL62">
        <f>AL13/AL15</f>
        <v>1.0923895534457888</v>
      </c>
      <c r="AN62">
        <f>AN13/AN15</f>
        <v>1.0936475356451187</v>
      </c>
      <c r="AP62">
        <f>AP13/AP15</f>
        <v>1.0937064688578715</v>
      </c>
      <c r="AR62">
        <f>AR13/AR15</f>
        <v>1.0937329391647808</v>
      </c>
      <c r="AT62">
        <f>AT13/AT15</f>
        <v>1.0937414617412236</v>
      </c>
      <c r="AV62">
        <f>AV13/AV15</f>
        <v>1.0937429069209086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0.99923132577155316</v>
      </c>
      <c r="E65" s="191"/>
      <c r="F65" s="191">
        <f t="array" ref="F65">SQRT((F9:G9*$B$22:$C$22+F10:G10*$B$23:$C$23+F11:G11*$B$24:$C$24+F4:G4*($B$25:$C$25-$B$19:$C$19))/($B$9:$C$9*$B$22:$C$22+$B$10:$C$10*$B$23:$C$23+$B$11:$C$11*$B$24:$C$24+$B$4:$C$4*($B$25:$C$25-$B$19:$C$19))*(F9:G9*F22:G22+F10:G10*F23:G23+F11:G11*F24:G24+F4:G4*(F25:G25-F19:G19))/($B$9:$C$9*F22:G22+$B$10:$C$10*F23:G23+$B$11:$C$11*F24:G24+$B$4:$C$4*(F25:G25-F19:G19)))</f>
        <v>0.99845992639056325</v>
      </c>
      <c r="G65" s="191"/>
      <c r="H65" s="191">
        <f t="array" ref="H65">SQRT((H9:I9*$B$22:$C$22+H10:I10*$B$23:$C$23+H11:I11*$B$24:$C$24+H4:I4*($B$25:$C$25-$B$19:$C$19))/($B$9:$C$9*$B$22:$C$22+$B$10:$C$10*$B$23:$C$23+$B$11:$C$11*$B$24:$C$24+$B$4:$C$4*($B$25:$C$25-$B$19:$C$19))*(H9:I9*H22:I22+H10:I10*H23:I23+H11:I11*H24:I24+H4:I4*(H25:I25-H19:I19))/($B$9:$C$9*H22:I22+$B$10:$C$10*H23:I23+$B$11:$C$11*H24:I24+$B$4:$C$4*(H25:I25-H19:I19)))</f>
        <v>0.99768480638365953</v>
      </c>
      <c r="I65" s="191"/>
      <c r="J65" s="191">
        <f t="array" ref="J65">SQRT((J9:K9*$B$22:$C$22+J10:K10*$B$23:$C$23+J11:K11*$B$24:$C$24+J4:K4*($B$25:$C$25-$B$19:$C$19))/($B$9:$C$9*$B$22:$C$22+$B$10:$C$10*$B$23:$C$23+$B$11:$C$11*$B$24:$C$24+$B$4:$C$4*($B$25:$C$25-$B$19:$C$19))*(J9:K9*J22:K22+J10:K10*J23:K23+J11:K11*J24:K24+J4:K4*(J25:K25-J19:K19))/($B$9:$C$9*J22:K22+$B$10:$C$10*J23:K23+$B$11:$C$11*J24:K24+$B$4:$C$4*(J25:K25-J19:K19)))</f>
        <v>0.99690479592412351</v>
      </c>
      <c r="K65" s="191"/>
      <c r="L65" s="191">
        <f t="array" ref="L65">SQRT((L9:M9*$B$22:$C$22+L10:M10*$B$23:$C$23+L11:M11*$B$24:$C$24+L4:M4*($B$25:$C$25-$B$19:$C$19))/($B$9:$C$9*$B$22:$C$22+$B$10:$C$10*$B$23:$C$23+$B$11:$C$11*$B$24:$C$24+$B$4:$C$4*($B$25:$C$25-$B$19:$C$19))*(L9:M9*L22:M22+L10:M10*L23:M23+L11:M11*L24:M24+L4:M4*(L25:M25-L19:M19))/($B$9:$C$9*L22:M22+$B$10:$C$10*L23:M23+$B$11:$C$11*L24:M24+$B$4:$C$4*(L25:M25-L19:M19)))</f>
        <v>0.99611855244012526</v>
      </c>
      <c r="M65" s="191"/>
      <c r="N65" s="191">
        <f t="array" ref="N65">SQRT((N9:O9*$B$22:$C$22+N10:O10*$B$23:$C$23+N11:O11*$B$24:$C$24+N4:O4*($B$25:$C$25-$B$19:$C$19))/($B$9:$C$9*$B$22:$C$22+$B$10:$C$10*$B$23:$C$23+$B$11:$C$11*$B$24:$C$24+$B$4:$C$4*($B$25:$C$25-$B$19:$C$19))*(N9:O9*N22:O22+N10:O10*N23:O23+N11:O11*N24:O24+N4:O4*(N25:O25-N19:O19))/($B$9:$C$9*N22:O22+$B$10:$C$10*N23:O23+$B$11:$C$11*N24:O24+$B$4:$C$4*(N25:O25-N19:O19)))</f>
        <v>0.99532459301878295</v>
      </c>
      <c r="O65" s="191"/>
      <c r="P65" s="191">
        <f t="array" ref="P65">SQRT((P9:Q9*$B$22:$C$22+P10:Q10*$B$23:$C$23+P11:Q11*$B$24:$C$24+P4:Q4*($B$25:$C$25-$B$19:$C$19))/($B$9:$C$9*$B$22:$C$22+$B$10:$C$10*$B$23:$C$23+$B$11:$C$11*$B$24:$C$24+$B$4:$C$4*($B$25:$C$25-$B$19:$C$19))*(P9:Q9*P22:Q22+P10:Q10*P23:Q23+P11:Q11*P24:Q24+P4:Q4*(P25:Q25-P19:Q19))/($B$9:$C$9*P22:Q22+$B$10:$C$10*P23:Q23+$B$11:$C$11*P24:Q24+$B$4:$C$4*(P25:Q25-P19:Q19)))</f>
        <v>0.9945213539195199</v>
      </c>
      <c r="Q65" s="191"/>
      <c r="R65" s="191">
        <f t="array" ref="R65">SQRT((R9:S9*$B$22:$C$22+R10:S10*$B$23:$C$23+R11:S11*$B$24:$C$24+R4:S4*($B$25:$C$25-$B$19:$C$19))/($B$9:$C$9*$B$22:$C$22+$B$10:$C$10*$B$23:$C$23+$B$11:$C$11*$B$24:$C$24+$B$4:$C$4*($B$25:$C$25-$B$19:$C$19))*(R9:S9*R22:S22+R10:S10*R23:S23+R11:S11*R24:S24+R4:S4*(R25:S25-R19:S19))/($B$9:$C$9*R22:S22+$B$10:$C$10*R23:S23+$B$11:$C$11*R24:S24+$B$4:$C$4*(R25:S25-R19:S19)))</f>
        <v>0.99370735813143707</v>
      </c>
      <c r="S65" s="191"/>
      <c r="T65" s="191">
        <f t="array" ref="T65">SQRT((T9:U9*$B$22:$C$22+T10:U10*$B$23:$C$23+T11:U11*$B$24:$C$24+T4:U4*($B$25:$C$25-$B$19:$C$19))/($B$9:$C$9*$B$22:$C$22+$B$10:$C$10*$B$23:$C$23+$B$11:$C$11*$B$24:$C$24+$B$4:$C$4*($B$25:$C$25-$B$19:$C$19))*(T9:U9*T22:U22+T10:U10*T23:U23+T11:U11*T24:U24+T4:U4*(T25:U25-T19:U19))/($B$9:$C$9*T22:U22+$B$10:$C$10*T23:U23+$B$11:$C$11*T24:U24+$B$4:$C$4*(T25:U25-T19:U19)))</f>
        <v>0.99288156010003581</v>
      </c>
      <c r="U65" s="191"/>
      <c r="V65" s="191">
        <f t="array" ref="V65">SQRT((V9:W9*$B$22:$C$22+V10:W10*$B$23:$C$23+V11:W11*$B$24:$C$24+V4:W4*($B$25:$C$25-$B$19:$C$19))/($B$9:$C$9*$B$22:$C$22+$B$10:$C$10*$B$23:$C$23+$B$11:$C$11*$B$24:$C$24+$B$4:$C$4*($B$25:$C$25-$B$19:$C$19))*(V9:W9*V22:W22+V10:W10*V23:W23+V11:W11*V24:W24+V4:W4*(V25:W25-V19:W19))/($B$9:$C$9*V22:W22+$B$10:$C$10*V23:W23+$B$11:$C$11*V24:W24+$B$4:$C$4*(V25:W25-V19:W19)))</f>
        <v>0.9920440465509518</v>
      </c>
      <c r="W65" s="191"/>
      <c r="X65" s="191">
        <f t="array" ref="X65">SQRT((X9:Y9*$B$22:$C$22+X10:Y10*$B$23:$C$23+X11:Y11*$B$24:$C$24+X4:Y4*($B$25:$C$25-$B$19:$C$19))/($B$9:$C$9*$B$22:$C$22+$B$10:$C$10*$B$23:$C$23+$B$11:$C$11*$B$24:$C$24+$B$4:$C$4*($B$25:$C$25-$B$19:$C$19))*(X9:Y9*X22:Y22+X10:Y10*X23:Y23+X11:Y11*X24:Y24+X4:Y4*(X25:Y25-X19:Y19))/($B$9:$C$9*X22:Y22+$B$10:$C$10*X23:Y23+$B$11:$C$11*X24:Y24+$B$4:$C$4*(X25:Y25-X19:Y19)))</f>
        <v>0.99119744061719173</v>
      </c>
      <c r="Y65" s="191"/>
      <c r="Z65" s="191">
        <f t="array" ref="Z65">SQRT((Z9:AA9*$B$22:$C$22+Z10:AA10*$B$23:$C$23+Z11:AA11*$B$24:$C$24+Z4:AA4*($B$25:$C$25-$B$19:$C$19))/($B$9:$C$9*$B$22:$C$22+$B$10:$C$10*$B$23:$C$23+$B$11:$C$11*$B$24:$C$24+$B$4:$C$4*($B$25:$C$25-$B$19:$C$19))*(Z9:AA9*Z22:AA22+Z10:AA10*Z23:AA23+Z11:AA11*Z24:AA24+Z4:AA4*(Z25:AA25-Z19:AA19))/($B$9:$C$9*Z22:AA22+$B$10:$C$10*Z23:AA23+$B$11:$C$11*Z24:AA24+$B$4:$C$4*(Z25:AA25-Z19:AA19)))</f>
        <v>0.99034975411795323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0.98952028376599455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0.98875216890336892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0.98813998996457564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0.98789154365729448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0.98845798558588394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0.99069441010623671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0.99516399584947746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0.9960845794881753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0.99676942812035452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0.99685177622265508</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0.99507658323847625</v>
      </c>
    </row>
    <row r="66" spans="1:48 16384:16384" x14ac:dyDescent="0.2">
      <c r="A66" t="s">
        <v>182</v>
      </c>
      <c r="B66" s="191">
        <f t="array" ref="B66">SQRT((B9:C9*$B$22:$C$22)/($B$9:$C$9*$B$22:$C$22)*(B9:C9*B22:C22)/($B$9:$C$9*B22:C22))</f>
        <v>1</v>
      </c>
      <c r="C66" s="191"/>
      <c r="D66" s="191">
        <f t="array" ref="D66">SQRT((D9:E9*$B$22:$C$22)/($B$9:$C$9*$B$22:$C$22)*(D9:E9*D22:E22)/($B$9:$C$9*D22:E22))</f>
        <v>0.99915498672653935</v>
      </c>
      <c r="E66" s="191"/>
      <c r="F66" s="191">
        <f t="array" ref="F66">SQRT((F9:G9*$B$22:$C$22)/($B$9:$C$9*$B$22:$C$22)*(F9:G9*F22:G22)/($B$9:$C$9*F22:G22))</f>
        <v>0.99830653198719377</v>
      </c>
      <c r="G66" s="191"/>
      <c r="H66" s="191">
        <f t="array" ref="H66">SQRT((H9:I9*$B$22:$C$22)/($B$9:$C$9*$B$22:$C$22)*(H9:I9*H22:I22)/($B$9:$C$9*H22:I22))</f>
        <v>0.99745353485654276</v>
      </c>
      <c r="I66" s="191"/>
      <c r="J66" s="191">
        <f t="array" ref="J66">SQRT((J9:K9*$B$22:$C$22)/($B$9:$C$9*$B$22:$C$22)*(J9:K9*J22:K22)/($B$9:$C$9*J22:K22))</f>
        <v>0.99659469967421233</v>
      </c>
      <c r="K66" s="191"/>
      <c r="L66" s="191">
        <f t="array" ref="L66">SQRT((L9:M9*$B$22:$C$22)/($B$9:$C$9*$B$22:$C$22)*(L9:M9*L22:M22)/($B$9:$C$9*L22:M22))</f>
        <v>0.9957285371868656</v>
      </c>
      <c r="M66" s="191"/>
      <c r="N66" s="191">
        <f t="array" ref="N66">SQRT((N9:O9*$B$22:$C$22)/($B$9:$C$9*$B$22:$C$22)*(N9:O9*N22:O22)/($B$9:$C$9*N22:O22))</f>
        <v>0.99485339962826702</v>
      </c>
      <c r="O66" s="191"/>
      <c r="P66" s="191">
        <f t="array" ref="P66">SQRT((P9:Q9*$B$22:$C$22)/($B$9:$C$9*$B$22:$C$22)*(P9:Q9*P22:Q22)/($B$9:$C$9*P22:Q22))</f>
        <v>0.99396754580990954</v>
      </c>
      <c r="Q66" s="191"/>
      <c r="R66" s="191">
        <f t="array" ref="R66">SQRT((R9:S9*$B$22:$C$22)/($B$9:$C$9*$B$22:$C$22)*(R9:S9*R22:S22)/($B$9:$C$9*R22:S22))</f>
        <v>0.99306932572856921</v>
      </c>
      <c r="S66" s="191"/>
      <c r="T66" s="191">
        <f t="array" ref="T66">SQRT((T9:U9*$B$22:$C$22)/($B$9:$C$9*$B$22:$C$22)*(T9:U9*T22:U22)/($B$9:$C$9*T22:U22))</f>
        <v>0.99215756161061996</v>
      </c>
      <c r="U66" s="191"/>
      <c r="V66" s="191">
        <f t="array" ref="V66">SQRT((V9:W9*$B$22:$C$22)/($B$9:$C$9*$B$22:$C$22)*(V9:W9*V22:W22)/($B$9:$C$9*V22:W22))</f>
        <v>0.99123232419141238</v>
      </c>
      <c r="W66" s="191"/>
      <c r="X66" s="191">
        <f t="array" ref="X66">SQRT((X9:Y9*$B$22:$C$22)/($B$9:$C$9*$B$22:$C$22)*(X9:Y9*X22:Y22)/($B$9:$C$9*X22:Y22))</f>
        <v>0.99029649030719047</v>
      </c>
      <c r="Y66" s="191"/>
      <c r="Z66" s="191">
        <f t="array" ref="Z66">SQRT((Z9:AA9*$B$22:$C$22)/($B$9:$C$9*$B$22:$C$22)*(Z9:AA9*Z22:AA22)/($B$9:$C$9*Z22:AA22))</f>
        <v>0.9893589103062802</v>
      </c>
      <c r="AA66" s="191"/>
      <c r="AB66" s="191">
        <f t="array" ref="AB66">SQRT((AB9:AC9*$B$22:$C$22)/($B$9:$C$9*$B$22:$C$22)*(AB9:AC9*AB22:AC22)/($B$9:$C$9*AB22:AC22))</f>
        <v>0.98844096057420872</v>
      </c>
      <c r="AC66" s="191"/>
      <c r="AD66" s="191">
        <f t="array" ref="AD66">SQRT((AD9:AE9*$B$22:$C$22)/($B$9:$C$9*$B$22:$C$22)*(AD9:AE9*AD22:AE22)/($B$9:$C$9*AD22:AE22))</f>
        <v>0.98759050413390592</v>
      </c>
      <c r="AE66" s="191"/>
      <c r="AF66" s="191">
        <f t="array" ref="AF66">SQRT((AF9:AG9*$B$22:$C$22)/($B$9:$C$9*$B$22:$C$22)*(AF9:AG9*AF22:AG22)/($B$9:$C$9*AF22:AG22))</f>
        <v>0.98691256594345256</v>
      </c>
      <c r="AG66" s="191"/>
      <c r="AH66" s="191">
        <f t="array" ref="AH66">SQRT((AH9:AI9*$B$22:$C$22)/($B$9:$C$9*$B$22:$C$22)*(AH9:AI9*AH22:AI22)/($B$9:$C$9*AH22:AI22))</f>
        <v>0.98663791082509178</v>
      </c>
      <c r="AI66" s="191"/>
      <c r="AJ66" s="191">
        <f t="array" ref="AJ66">SQRT((AJ9:AK9*$B$22:$C$22)/($B$9:$C$9*$B$22:$C$22)*(AJ9:AK9*AJ22:AK22)/($B$9:$C$9*AJ22:AK22))</f>
        <v>0.98726699647859417</v>
      </c>
      <c r="AK66" s="191"/>
      <c r="AL66" s="191">
        <f t="array" ref="AL66">SQRT((AL9:AM9*$B$22:$C$22)/($B$9:$C$9*$B$22:$C$22)*(AL9:AM9*AL22:AM22)/($B$9:$C$9*AL22:AM22))</f>
        <v>0.98974477251560611</v>
      </c>
      <c r="AM66" s="191"/>
      <c r="AN66" s="191">
        <f t="array" ref="AN66">SQRT((AN9:AO9*$B$22:$C$22)/($B$9:$C$9*$B$22:$C$22)*(AN9:AO9*AN22:AO22)/($B$9:$C$9*AN22:AO22))</f>
        <v>0.99468099645315755</v>
      </c>
      <c r="AO66" s="191"/>
      <c r="AP66" s="191">
        <f t="array" ref="AP66">SQRT((AP9:AQ9*$B$22:$C$22)/($B$9:$C$9*$B$22:$C$22)*(AP9:AQ9*AP22:AQ22)/($B$9:$C$9*AP22:AQ22))</f>
        <v>0.9956952529192965</v>
      </c>
      <c r="AQ66" s="191"/>
      <c r="AR66" s="191">
        <f t="array" ref="AR66">SQRT((AR9:AS9*$B$22:$C$22)/($B$9:$C$9*$B$22:$C$22)*(AR9:AS9*AR22:AS22)/($B$9:$C$9*AR22:AS22))</f>
        <v>0.99644925685460572</v>
      </c>
      <c r="AS66" s="191"/>
      <c r="AT66" s="191">
        <f t="array" ref="AT66">SQRT((AT9:AU9*$B$22:$C$22)/($B$9:$C$9*$B$22:$C$22)*(AT9:AU9*AT22:AU22)/($B$9:$C$9*AT22:AU22))</f>
        <v>0.99653989020256062</v>
      </c>
      <c r="AU66" s="191"/>
      <c r="AV66" s="191">
        <f t="array" ref="AV66">SQRT((AV9:AW9*$B$22:$C$22)/($B$9:$C$9*$B$22:$C$22)*(AV9:AW9*AV22:AW22)/($B$9:$C$9*AV22:AW22))</f>
        <v>0.99458465238739802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0.99915498672653935</v>
      </c>
      <c r="E68" s="191"/>
      <c r="F68" s="191">
        <f>F66/F67</f>
        <v>0.99830653198719377</v>
      </c>
      <c r="G68" s="191"/>
      <c r="H68" s="191">
        <f>H66/H67</f>
        <v>0.99745353485654276</v>
      </c>
      <c r="I68" s="191"/>
      <c r="J68" s="191">
        <f>J66/J67</f>
        <v>0.99659469967421233</v>
      </c>
      <c r="K68" s="191"/>
      <c r="L68" s="191">
        <f>L66/L67</f>
        <v>0.9957285371868656</v>
      </c>
      <c r="M68" s="191"/>
      <c r="N68" s="191">
        <f>N66/N67</f>
        <v>0.99485339962826702</v>
      </c>
      <c r="O68" s="191"/>
      <c r="P68" s="191">
        <f>P66/P67</f>
        <v>0.99396754580990954</v>
      </c>
      <c r="Q68" s="191"/>
      <c r="R68" s="191">
        <f>R66/R67</f>
        <v>0.99306932572856921</v>
      </c>
      <c r="S68" s="191"/>
      <c r="T68" s="191">
        <f>T66/T67</f>
        <v>0.99215756161061996</v>
      </c>
      <c r="U68" s="191"/>
      <c r="V68" s="191">
        <f>V66/V67</f>
        <v>0.99123232419141238</v>
      </c>
      <c r="W68" s="191"/>
      <c r="X68" s="191">
        <f>X66/X67</f>
        <v>0.99029649030719047</v>
      </c>
      <c r="Y68" s="191"/>
      <c r="Z68" s="191">
        <f>Z66/Z67</f>
        <v>0.9893589103062802</v>
      </c>
      <c r="AA68" s="191"/>
      <c r="AB68" s="191">
        <f>AB66/AB67</f>
        <v>0.98844096057420872</v>
      </c>
      <c r="AC68" s="191"/>
      <c r="AD68" s="191">
        <f>AD66/AD67</f>
        <v>0.98759050413390592</v>
      </c>
      <c r="AE68" s="191"/>
      <c r="AF68" s="191">
        <f>AF66/AF67</f>
        <v>0.98691256594345256</v>
      </c>
      <c r="AG68" s="191"/>
      <c r="AH68" s="191">
        <f>AH66/AH67</f>
        <v>0.98663791082509178</v>
      </c>
      <c r="AI68" s="191"/>
      <c r="AJ68" s="191">
        <f>AJ66/AJ67</f>
        <v>0.98726699647859417</v>
      </c>
      <c r="AK68" s="191"/>
      <c r="AL68" s="191">
        <f>AL66/AL67</f>
        <v>0.98974477251560611</v>
      </c>
      <c r="AM68" s="191"/>
      <c r="AN68" s="191">
        <f>AN66/AN67</f>
        <v>0.99468099645315755</v>
      </c>
      <c r="AO68" s="191"/>
      <c r="AP68" s="191">
        <f>AP66/AP67</f>
        <v>0.9956952529192965</v>
      </c>
      <c r="AQ68" s="191"/>
      <c r="AR68" s="191">
        <f>AR66/AR67</f>
        <v>0.99644925685460572</v>
      </c>
      <c r="AS68" s="191"/>
      <c r="AT68" s="191">
        <f>AT66/AT67</f>
        <v>0.99653989020256062</v>
      </c>
      <c r="AU68" s="191"/>
      <c r="AV68" s="191">
        <f>AV66/AV67</f>
        <v>0.99458465238739802</v>
      </c>
      <c r="XFD68" s="191"/>
    </row>
    <row r="69" spans="1:48 16384:16384" x14ac:dyDescent="0.2">
      <c r="A69" t="s">
        <v>177</v>
      </c>
      <c r="B69" s="191">
        <f>B32/B65/($B$32)</f>
        <v>1</v>
      </c>
      <c r="C69" s="191"/>
      <c r="D69" s="191">
        <f>D32/D65/($B$32)</f>
        <v>1.0009561386467527</v>
      </c>
      <c r="E69" s="191"/>
      <c r="F69" s="191">
        <f>F32/F65/($B$32)</f>
        <v>1.0018323614663802</v>
      </c>
      <c r="G69" s="191"/>
      <c r="H69" s="191">
        <f>H32/H65/($B$32)</f>
        <v>1.0026199398625515</v>
      </c>
      <c r="I69" s="191"/>
      <c r="J69" s="191">
        <f>J32/J65/($B$32)</f>
        <v>1.0033086255442885</v>
      </c>
      <c r="K69" s="191"/>
      <c r="L69" s="191">
        <f>L32/L65/($B$32)</f>
        <v>1.0038862911419189</v>
      </c>
      <c r="M69" s="191"/>
      <c r="N69" s="191">
        <f>N32/N65/($B$32)</f>
        <v>1.0043383995733608</v>
      </c>
      <c r="O69" s="191"/>
      <c r="P69" s="191">
        <f>P32/P65/($B$32)</f>
        <v>1.0046473940098002</v>
      </c>
      <c r="Q69" s="191"/>
      <c r="R69" s="191">
        <f>R32/R65/($B$32)</f>
        <v>1.0047918154660469</v>
      </c>
      <c r="S69" s="191"/>
      <c r="T69" s="191">
        <f>T32/T65/($B$32)</f>
        <v>1.0047450686557451</v>
      </c>
      <c r="U69" s="191"/>
      <c r="V69" s="191">
        <f>V32/V65/($B$32)</f>
        <v>1.0044737619896311</v>
      </c>
      <c r="W69" s="191"/>
      <c r="X69" s="191">
        <f>X32/X65/($B$32)</f>
        <v>1.003935271283114</v>
      </c>
      <c r="Y69" s="191"/>
      <c r="Z69" s="191">
        <f>Z32/Z65/($B$32)</f>
        <v>1.0030742592337447</v>
      </c>
      <c r="AA69" s="191"/>
      <c r="AB69" s="191">
        <f>AB32/AB65/($B$32)</f>
        <v>1.0018175350623928</v>
      </c>
      <c r="AC69" s="191"/>
      <c r="AD69" s="191">
        <f>AD32/AD65/($B$32)</f>
        <v>1.0000665205524204</v>
      </c>
      <c r="AE69" s="191"/>
      <c r="AF69" s="191">
        <f>AF32/AF65/($B$32)</f>
        <v>0.9976861610667449</v>
      </c>
      <c r="AG69" s="191"/>
      <c r="AH69" s="191">
        <f>AH32/AH65/($B$32)</f>
        <v>0.99448933820002539</v>
      </c>
      <c r="AI69" s="191"/>
      <c r="AJ69" s="191">
        <f>AJ32/AJ65/($B$32)</f>
        <v>0.99021356126944349</v>
      </c>
      <c r="AK69" s="191"/>
      <c r="AL69" s="191">
        <f>AL32/AL65/($B$32)</f>
        <v>0.98444502308080917</v>
      </c>
      <c r="AM69" s="191"/>
      <c r="AN69" s="191">
        <f>AN32/AN65/($B$32)</f>
        <v>0.97616710853420519</v>
      </c>
      <c r="AO69" s="191"/>
      <c r="AP69" s="191">
        <f>AP32/AP65/($B$32)</f>
        <v>0.97406532849984417</v>
      </c>
      <c r="AQ69" s="191"/>
      <c r="AR69" s="191">
        <f>AR32/AR65/($B$32)</f>
        <v>0.97192155760559551</v>
      </c>
      <c r="AS69" s="191"/>
      <c r="AT69" s="191">
        <f>AT32/AT65/($B$32)</f>
        <v>0.97026160602304756</v>
      </c>
      <c r="AU69" s="191"/>
      <c r="AV69" s="191">
        <f>AV32/AV65/($B$32)</f>
        <v>0.97199539262013135</v>
      </c>
    </row>
    <row r="70" spans="1:48 16384:16384" x14ac:dyDescent="0.2">
      <c r="A70" t="s">
        <v>178</v>
      </c>
      <c r="B70" s="138">
        <f>B18/$B$18</f>
        <v>1</v>
      </c>
      <c r="C70" s="138"/>
      <c r="D70" s="138">
        <f>D18/$B$18</f>
        <v>0.99951526428418791</v>
      </c>
      <c r="E70" s="138"/>
      <c r="F70" s="138">
        <f>F18/$B$18</f>
        <v>0.99891836256013955</v>
      </c>
      <c r="G70" s="138"/>
      <c r="H70" s="138">
        <f>H18/$B$18</f>
        <v>0.99819646499854486</v>
      </c>
      <c r="I70" s="138"/>
      <c r="J70" s="138">
        <f>J18/$B$18</f>
        <v>0.99733438977466615</v>
      </c>
      <c r="K70" s="138"/>
      <c r="L70" s="138">
        <f>L18/$B$18</f>
        <v>0.99631396927862992</v>
      </c>
      <c r="M70" s="138"/>
      <c r="N70" s="138">
        <f>N18/$B$18</f>
        <v>0.99511314478621304</v>
      </c>
      <c r="O70" s="138"/>
      <c r="P70" s="138">
        <f>P18/$B$18</f>
        <v>0.99370476644993744</v>
      </c>
      <c r="Q70" s="138"/>
      <c r="R70" s="138">
        <f>R18/$B$18</f>
        <v>0.99205482335509465</v>
      </c>
      <c r="S70" s="138"/>
      <c r="T70" s="138">
        <f>T18/$B$18</f>
        <v>0.99011981600075105</v>
      </c>
      <c r="U70" s="138"/>
      <c r="V70" s="138">
        <f>V18/$B$18</f>
        <v>0.98784277464212178</v>
      </c>
      <c r="W70" s="138"/>
      <c r="X70" s="138">
        <f>X18/$B$18</f>
        <v>0.9851468853975367</v>
      </c>
      <c r="Y70" s="138"/>
      <c r="Z70" s="138">
        <f>Z18/$B$18</f>
        <v>0.98192491911066615</v>
      </c>
      <c r="AA70" s="138"/>
      <c r="AB70" s="138">
        <f>AB18/$B$18</f>
        <v>0.9780206889070262</v>
      </c>
      <c r="AC70" s="138"/>
      <c r="AD70" s="138">
        <f>AD18/$B$18</f>
        <v>0.97319452951922925</v>
      </c>
      <c r="AE70" s="138"/>
      <c r="AF70" s="138">
        <f>AF18/$B$18</f>
        <v>0.96705406687957296</v>
      </c>
      <c r="AG70" s="138"/>
      <c r="AH70" s="138">
        <f>AH18/$B$18</f>
        <v>0.9589033486841082</v>
      </c>
      <c r="AI70" s="138"/>
      <c r="AJ70" s="138">
        <f>AJ18/$B$18</f>
        <v>0.94738084390793775</v>
      </c>
      <c r="AK70" s="138"/>
      <c r="AL70" s="138">
        <f>AL18/$B$18</f>
        <v>0.92947756111370239</v>
      </c>
      <c r="AM70" s="138"/>
      <c r="AN70" s="138">
        <f>AN18/$B$18</f>
        <v>0.89673245079504205</v>
      </c>
      <c r="AO70" s="138"/>
      <c r="AP70" s="138">
        <f>AP18/$B$18</f>
        <v>0.88613951869019492</v>
      </c>
      <c r="AQ70" s="138"/>
      <c r="AR70" s="138">
        <f>AR18/$B$18</f>
        <v>0.87260719745102777</v>
      </c>
      <c r="AS70" s="138"/>
      <c r="AT70" s="138">
        <f>AT18/$B$18</f>
        <v>0.85385437714700119</v>
      </c>
      <c r="AU70" s="138"/>
      <c r="AV70" s="138">
        <f>AV18/$B$18</f>
        <v>0.82284612953457159</v>
      </c>
    </row>
    <row r="71" spans="1:48 16384:16384" x14ac:dyDescent="0.2">
      <c r="A71" t="s">
        <v>179</v>
      </c>
      <c r="B71" s="138">
        <f>C18/$C$18</f>
        <v>1</v>
      </c>
      <c r="D71" s="138">
        <f>E18/$C$18</f>
        <v>0.93658525702596018</v>
      </c>
      <c r="E71" s="138"/>
      <c r="F71" s="138">
        <f>G18/$C$18</f>
        <v>0.87339815238142426</v>
      </c>
      <c r="G71" s="138"/>
      <c r="H71" s="138">
        <f>I18/$C$18</f>
        <v>0.81046402396645345</v>
      </c>
      <c r="I71" s="138"/>
      <c r="J71" s="138">
        <f>K18/$C$18</f>
        <v>0.74781289894093717</v>
      </c>
      <c r="K71" s="138"/>
      <c r="L71" s="138">
        <f>M18/$C$18</f>
        <v>0.68548114293070528</v>
      </c>
      <c r="M71" s="138"/>
      <c r="N71" s="138">
        <f>O18/$C$18</f>
        <v>0.62351492943065046</v>
      </c>
      <c r="O71" s="138"/>
      <c r="P71" s="138">
        <f>Q18/$C$18</f>
        <v>0.5619730852237852</v>
      </c>
      <c r="Q71" s="138"/>
      <c r="R71" s="138">
        <f>S18/$C$18</f>
        <v>0.50093290905626775</v>
      </c>
      <c r="S71" s="138"/>
      <c r="T71" s="138">
        <f>U18/$C$18</f>
        <v>0.44049931746992843</v>
      </c>
      <c r="U71" s="138"/>
      <c r="V71" s="138">
        <f>W18/$C$18</f>
        <v>0.3808183157689225</v>
      </c>
      <c r="W71" s="138"/>
      <c r="X71" s="138">
        <f>Y18/$C$18</f>
        <v>0.32209974182507589</v>
      </c>
      <c r="Y71" s="138"/>
      <c r="Z71" s="138">
        <f>AA18/$C$18</f>
        <v>0.26465474470151551</v>
      </c>
      <c r="AA71" s="138"/>
      <c r="AB71" s="138">
        <f>AC18/$C$18</f>
        <v>0.20896039379697959</v>
      </c>
      <c r="AC71" s="138"/>
      <c r="AD71" s="138">
        <f>AE18/$C$18</f>
        <v>0.15577244732693893</v>
      </c>
      <c r="AE71" s="138"/>
      <c r="AF71" s="138">
        <f>AG18/$C$18</f>
        <v>0.10632645447586014</v>
      </c>
      <c r="AG71" s="138"/>
      <c r="AH71" s="138">
        <f>AI18/$C$18</f>
        <v>6.2678599582466035E-2</v>
      </c>
      <c r="AI71" s="138"/>
      <c r="AJ71" s="138">
        <f>AK18/$C$18</f>
        <v>2.8148763598468147E-2</v>
      </c>
      <c r="AK71" s="138"/>
      <c r="AL71" s="138">
        <f>AM18/$C$18</f>
        <v>7.0417212752485374E-3</v>
      </c>
      <c r="AM71" s="138"/>
      <c r="AN71" s="138">
        <f>AO18/$C$18</f>
        <v>3.5613682347007133E-4</v>
      </c>
      <c r="AO71" s="138"/>
      <c r="AP71" s="138">
        <f>AQ18/$C$18</f>
        <v>1.2108144543729477E-4</v>
      </c>
      <c r="AQ71" s="138"/>
      <c r="AR71" s="138">
        <f>AS18/$C$18</f>
        <v>2.8394822223639759E-5</v>
      </c>
      <c r="AS71" s="138"/>
      <c r="AT71" s="138">
        <f>AU18/$C$18</f>
        <v>3.3598231630193702E-6</v>
      </c>
      <c r="AU71" s="138"/>
      <c r="AV71" s="138">
        <f>AW18/$C$18</f>
        <v>7.3398064341088151E-8</v>
      </c>
      <c r="XFD71" s="138"/>
    </row>
    <row r="72" spans="1:48 16384:16384" x14ac:dyDescent="0.2">
      <c r="A72" t="s">
        <v>180</v>
      </c>
      <c r="B72" s="138">
        <f>C19/$C$19</f>
        <v>1</v>
      </c>
      <c r="D72" s="138">
        <f>E19/$C$19</f>
        <v>0.99962545732217278</v>
      </c>
      <c r="E72" s="138"/>
      <c r="F72" s="138">
        <f>G19/$C$19</f>
        <v>1.0000651867053187</v>
      </c>
      <c r="G72" s="138"/>
      <c r="H72" s="138">
        <f>I19/$C$19</f>
        <v>1.0013960757160232</v>
      </c>
      <c r="I72" s="138"/>
      <c r="J72" s="138">
        <f>K19/$C$19</f>
        <v>1.0037017297254063</v>
      </c>
      <c r="K72" s="138"/>
      <c r="L72" s="138">
        <f>M19/$C$19</f>
        <v>1.0070712291164785</v>
      </c>
      <c r="M72" s="138"/>
      <c r="N72" s="138">
        <f>O19/$C$19</f>
        <v>1.0115965612248681</v>
      </c>
      <c r="O72" s="138"/>
      <c r="P72" s="138">
        <f>Q19/$C$19</f>
        <v>1.0173651074794101</v>
      </c>
      <c r="Q72" s="138"/>
      <c r="R72" s="138">
        <f>S19/$C$19</f>
        <v>1.0244465304026884</v>
      </c>
      <c r="S72" s="138"/>
      <c r="T72" s="138">
        <f>U19/$C$19</f>
        <v>1.0328673508946775</v>
      </c>
      <c r="U72" s="138"/>
      <c r="V72" s="138">
        <f>W19/$C$19</f>
        <v>1.042562543525269</v>
      </c>
      <c r="W72" s="138"/>
      <c r="X72" s="138">
        <f>Y19/$C$19</f>
        <v>1.053281961819259</v>
      </c>
      <c r="Y72" s="138"/>
      <c r="Z72" s="138">
        <f>AA19/$C$19</f>
        <v>1.0644078124104355</v>
      </c>
      <c r="AA72" s="138"/>
      <c r="AB72" s="138">
        <f>AC19/$C$19</f>
        <v>1.0745870729334803</v>
      </c>
      <c r="AC72" s="138"/>
      <c r="AD72" s="138">
        <f>AE19/$C$19</f>
        <v>1.0809656509557939</v>
      </c>
      <c r="AE72" s="138"/>
      <c r="AF72" s="138">
        <f>AG19/$C$19</f>
        <v>1.0775343299711608</v>
      </c>
      <c r="AG72" s="138"/>
      <c r="AH72" s="138">
        <f>AI19/$C$19</f>
        <v>1.0514717131541285</v>
      </c>
      <c r="AI72" s="138"/>
      <c r="AJ72" s="138">
        <f>AK19/$C$19</f>
        <v>0.97541993444615616</v>
      </c>
      <c r="AK72" s="138"/>
      <c r="AL72" s="138">
        <f>AM19/$C$19</f>
        <v>0.79657038499727451</v>
      </c>
      <c r="AM72" s="138"/>
      <c r="AN72" s="138">
        <f>AO19/$C$19</f>
        <v>0.45610906692075115</v>
      </c>
      <c r="AO72" s="138"/>
      <c r="AP72" s="138">
        <f>AQ19/$C$19</f>
        <v>0.36976975952103064</v>
      </c>
      <c r="AQ72" s="138"/>
      <c r="AR72" s="138">
        <f>AS19/$C$19</f>
        <v>0.27970194089339678</v>
      </c>
      <c r="AS72" s="138"/>
      <c r="AT72" s="138">
        <f>AU19/$C$19</f>
        <v>0.18729594118237083</v>
      </c>
      <c r="AU72" s="138"/>
      <c r="AV72" s="138">
        <f>AW19/$C$19</f>
        <v>9.3789002575434974E-2</v>
      </c>
      <c r="XFD72" s="138"/>
    </row>
    <row r="73" spans="1:48 16384:16384" x14ac:dyDescent="0.2">
      <c r="A73" t="s">
        <v>184</v>
      </c>
      <c r="B73" s="193">
        <f t="array" ref="B73">SUM(B9:C9*B22:C22)/B32</f>
        <v>0.47641153352875065</v>
      </c>
      <c r="D73" s="193">
        <f t="array" ref="D73">SUM(D9:E9*D22:E22)/D32</f>
        <v>0.47641153639808775</v>
      </c>
      <c r="E73" s="138"/>
      <c r="F73" s="193">
        <f t="array" ref="F73">SUM(F9:G9*F22:G22)/F32</f>
        <v>0.47641153367526823</v>
      </c>
      <c r="G73" s="138"/>
      <c r="H73" s="193">
        <f t="array" ref="H73">SUM(H9:I9*H22:I22)/H32</f>
        <v>0.47641153377016021</v>
      </c>
      <c r="I73" s="138"/>
      <c r="J73" s="193">
        <f t="array" ref="J73">SUM(J9:K9*J22:K22)/J32</f>
        <v>0.4764115357113175</v>
      </c>
      <c r="K73" s="138"/>
      <c r="L73" s="193">
        <f t="array" ref="L73">SUM(L9:M9*L22:M22)/L32</f>
        <v>0.47641153390791552</v>
      </c>
      <c r="M73" s="138"/>
      <c r="N73" s="193">
        <f t="array" ref="N73">SUM(N9:O9*N22:O22)/N32</f>
        <v>0.47641153416881193</v>
      </c>
      <c r="O73" s="138"/>
      <c r="P73" s="193">
        <f t="array" ref="P73">SUM(P9:Q9*P22:Q22)/P32</f>
        <v>0.47641153532055258</v>
      </c>
      <c r="Q73" s="138"/>
      <c r="R73" s="193">
        <f t="array" ref="R73">SUM(R9:S9*R22:S22)/R32</f>
        <v>0.47641153609671394</v>
      </c>
      <c r="S73" s="138"/>
      <c r="T73" s="193">
        <f t="array" ref="T73">SUM(T9:U9*T22:U22)/T32</f>
        <v>0.47641153431005334</v>
      </c>
      <c r="U73" s="138"/>
      <c r="V73" s="193">
        <f t="array" ref="V73">SUM(V9:W9*V22:W22)/V32</f>
        <v>0.4764115335582122</v>
      </c>
      <c r="W73" s="138"/>
      <c r="X73" s="193">
        <f t="array" ref="X73">SUM(X9:Y9*X22:Y22)/X32</f>
        <v>0.47641153353192345</v>
      </c>
      <c r="Y73" s="138"/>
      <c r="Z73" s="193">
        <f t="array" ref="Z73">SUM(Z9:AA9*Z22:AA22)/Z32</f>
        <v>0.47641153393163588</v>
      </c>
      <c r="AA73" s="138"/>
      <c r="AB73" s="193">
        <f t="array" ref="AB73">SUM(AB9:AC9*AB22:AC22)/AB32</f>
        <v>0.47641153365478239</v>
      </c>
      <c r="AC73" s="138"/>
      <c r="AD73" s="193">
        <f t="array" ref="AD73">SUM(AD9:AE9*AD22:AE22)/AD32</f>
        <v>0.4764115335855208</v>
      </c>
      <c r="AE73" s="138"/>
      <c r="AF73" s="193">
        <f t="array" ref="AF73">SUM(AF9:AG9*AF22:AG22)/AF32</f>
        <v>0.47641153358420718</v>
      </c>
      <c r="AG73" s="138"/>
      <c r="AH73" s="193">
        <f t="array" ref="AH73">SUM(AH9:AI9*AH22:AI22)/AH32</f>
        <v>0.47641153372582085</v>
      </c>
      <c r="AI73" s="138"/>
      <c r="AJ73" s="193">
        <f t="array" ref="AJ73">SUM(AJ9:AK9*AJ22:AK22)/AJ32</f>
        <v>0.4764115335728264</v>
      </c>
      <c r="AK73" s="138"/>
      <c r="AL73" s="193">
        <f t="array" ref="AL73">SUM(AL9:AM9*AL22:AM22)/AL32</f>
        <v>0.47641153352786508</v>
      </c>
      <c r="AM73" s="138"/>
      <c r="AN73" s="193">
        <f t="array" ref="AN73">SUM(AN9:AO9*AN22:AO22)/AN32</f>
        <v>0.47641153352869869</v>
      </c>
      <c r="AO73" s="138"/>
      <c r="AP73" s="193">
        <f t="array" ref="AP73">SUM(AP9:AQ9*AP22:AQ22)/AP32</f>
        <v>0.47641153352882398</v>
      </c>
      <c r="AQ73" s="138"/>
      <c r="AR73" s="193">
        <f t="array" ref="AR73">SUM(AR9:AS9*AR22:AS22)/AR32</f>
        <v>0.47641153352875876</v>
      </c>
      <c r="AS73" s="138"/>
      <c r="AT73" s="193">
        <f t="array" ref="AT73">SUM(AT9:AU9*AT22:AU22)/AT32</f>
        <v>0.47641153352875165</v>
      </c>
      <c r="AU73" s="138"/>
      <c r="AV73" s="193">
        <f t="array" ref="AV73">SUM(AV9:AW9*AV22:AW22)/AV32</f>
        <v>0.47641153352874971</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0.22038438836541555</v>
      </c>
      <c r="E75" s="138"/>
      <c r="F75" s="193">
        <f t="array" ref="F75">SUM(F11:G11*F24:G24)/F32</f>
        <v>0.22038438832993629</v>
      </c>
      <c r="G75" s="138"/>
      <c r="H75" s="193">
        <f t="array" ref="H75">SUM(H11:I11*H24:I24)/H32</f>
        <v>0.22038438832876533</v>
      </c>
      <c r="I75" s="138"/>
      <c r="J75" s="193">
        <f t="array" ref="J75">SUM(J11:K11*J24:K24)/J32</f>
        <v>0.22038438835683946</v>
      </c>
      <c r="K75" s="138"/>
      <c r="L75" s="193">
        <f t="array" ref="L75">SUM(L11:M11*L24:M24)/L32</f>
        <v>0.2203843883273523</v>
      </c>
      <c r="M75" s="138"/>
      <c r="N75" s="193">
        <f t="array" ref="N75">SUM(N11:O11*N24:O24)/N32</f>
        <v>0.2203843883245791</v>
      </c>
      <c r="O75" s="138"/>
      <c r="P75" s="193">
        <f t="array" ref="P75">SUM(P11:Q11*P24:Q24)/P32</f>
        <v>0.22038438832769972</v>
      </c>
      <c r="Q75" s="138"/>
      <c r="R75" s="193">
        <f t="array" ref="R75">SUM(R11:S11*R24:S24)/R32</f>
        <v>0.22038438832627008</v>
      </c>
      <c r="S75" s="138"/>
      <c r="T75" s="193">
        <f t="array" ref="T75">SUM(T11:U11*T24:U24)/T32</f>
        <v>0.22038438833041171</v>
      </c>
      <c r="U75" s="138"/>
      <c r="V75" s="193">
        <f t="array" ref="V75">SUM(V11:W11*V24:W24)/V32</f>
        <v>0.22038438833189405</v>
      </c>
      <c r="W75" s="138"/>
      <c r="X75" s="193">
        <f t="array" ref="X75">SUM(X11:Y11*X24:Y24)/X32</f>
        <v>0.22038438833193708</v>
      </c>
      <c r="Y75" s="138"/>
      <c r="Z75" s="193">
        <f t="array" ref="Z75">SUM(Z11:AA11*Z24:AA24)/Z32</f>
        <v>0.22038438832993532</v>
      </c>
      <c r="AA75" s="138"/>
      <c r="AB75" s="193">
        <f t="array" ref="AB75">SUM(AB11:AC11*AB24:AC24)/AB32</f>
        <v>0.22038438833276103</v>
      </c>
      <c r="AC75" s="138"/>
      <c r="AD75" s="193">
        <f t="array" ref="AD75">SUM(AD11:AE11*AD24:AE24)/AD32</f>
        <v>0.22038438833183568</v>
      </c>
      <c r="AE75" s="138"/>
      <c r="AF75" s="193">
        <f t="array" ref="AF75">SUM(AF11:AG11*AF24:AG24)/AF32</f>
        <v>0.22038438833149904</v>
      </c>
      <c r="AG75" s="138"/>
      <c r="AH75" s="193">
        <f t="array" ref="AH75">SUM(AH11:AI11*AH24:AI24)/AH32</f>
        <v>0.22038438833262658</v>
      </c>
      <c r="AI75" s="138"/>
      <c r="AJ75" s="193">
        <f t="array" ref="AJ75">SUM(AJ11:AK11*AJ24:AK24)/AJ32</f>
        <v>0.22038438833203208</v>
      </c>
      <c r="AK75" s="138"/>
      <c r="AL75" s="193">
        <f t="array" ref="AL75">SUM(AL11:AM11*AL24:AM24)/AL32</f>
        <v>0.22038438833191787</v>
      </c>
      <c r="AM75" s="138"/>
      <c r="AN75" s="193">
        <f t="array" ref="AN75">SUM(AN11:AO11*AN24:AO24)/AN32</f>
        <v>0.22038438833193863</v>
      </c>
      <c r="AO75" s="138"/>
      <c r="AP75" s="193">
        <f t="array" ref="AP75">SUM(AP11:AQ11*AP24:AQ24)/AP32</f>
        <v>0.22038438833194041</v>
      </c>
      <c r="AQ75" s="138"/>
      <c r="AR75" s="193">
        <f t="array" ref="AR75">SUM(AR11:AS11*AR24:AS24)/AR32</f>
        <v>0.22038438833194063</v>
      </c>
      <c r="AS75" s="138"/>
      <c r="AT75" s="193">
        <f t="array" ref="AT75">SUM(AT11:AU11*AT24:AU24)/AT32</f>
        <v>0.22038438833194091</v>
      </c>
      <c r="AU75" s="138"/>
      <c r="AV75" s="193">
        <f t="array" ref="AV75">SUM(AV11:AW11*AV24:AW24)/AV32</f>
        <v>0.22038438833194116</v>
      </c>
      <c r="XFD75" s="193"/>
    </row>
    <row r="76" spans="1:48 16384:16384" x14ac:dyDescent="0.2">
      <c r="A76" t="s">
        <v>187</v>
      </c>
      <c r="B76" s="193">
        <f t="array" ref="B76">SUM(B12:C12*B25:C25)/B32</f>
        <v>0.22301874374724867</v>
      </c>
      <c r="D76" s="193">
        <f t="array" ref="D76">SUM(D12:E12*D25:E25)/D32</f>
        <v>0.22266345579932426</v>
      </c>
      <c r="E76" s="138"/>
      <c r="F76" s="193">
        <f t="array" ref="F76">SUM(F12:G12*F25:G25)/F32</f>
        <v>0.22232017129026022</v>
      </c>
      <c r="G76" s="138"/>
      <c r="H76" s="193">
        <f t="array" ref="H76">SUM(H12:I12*H25:I25)/H32</f>
        <v>0.22198966553428329</v>
      </c>
      <c r="I76" s="138"/>
      <c r="J76" s="193">
        <f t="array" ref="J76">SUM(J12:K12*J25:K25)/J32</f>
        <v>0.22167273624918213</v>
      </c>
      <c r="K76" s="138"/>
      <c r="L76" s="193">
        <f t="array" ref="L76">SUM(L12:M12*L25:M25)/L32</f>
        <v>0.2213701509111832</v>
      </c>
      <c r="M76" s="138"/>
      <c r="N76" s="193">
        <f t="array" ref="N76">SUM(N12:O12*N25:O25)/N32</f>
        <v>0.22108255585313216</v>
      </c>
      <c r="O76" s="138"/>
      <c r="P76" s="193">
        <f t="array" ref="P76">SUM(P12:Q12*P25:Q25)/P32</f>
        <v>0.22081031225283904</v>
      </c>
      <c r="Q76" s="138"/>
      <c r="R76" s="193">
        <f t="array" ref="R76">SUM(R12:S12*R25:S25)/R32</f>
        <v>0.22055319453782335</v>
      </c>
      <c r="S76" s="138"/>
      <c r="T76" s="193">
        <f t="array" ref="T76">SUM(T12:U12*T25:U25)/T32</f>
        <v>0.22030985183740454</v>
      </c>
      <c r="U76" s="138"/>
      <c r="V76" s="193">
        <f t="array" ref="V76">SUM(V12:W12*V25:W25)/V32</f>
        <v>0.22007680469317256</v>
      </c>
      <c r="W76" s="138"/>
      <c r="X76" s="193">
        <f t="array" ref="X76">SUM(X12:Y12*X25:Y25)/X32</f>
        <v>0.21984657935132573</v>
      </c>
      <c r="Y76" s="138"/>
      <c r="Z76" s="193">
        <f t="array" ref="Z76">SUM(Z12:AA12*Z25:AA25)/Z32</f>
        <v>0.21960409317154719</v>
      </c>
      <c r="AA76" s="138"/>
      <c r="AB76" s="193">
        <f t="array" ref="AB76">SUM(AB12:AC12*AB25:AC25)/AB32</f>
        <v>0.21931943819472163</v>
      </c>
      <c r="AC76" s="138"/>
      <c r="AD76" s="193">
        <f t="array" ref="AD76">SUM(AD12:AE12*AD25:AE25)/AD32</f>
        <v>0.21893284389920675</v>
      </c>
      <c r="AE76" s="138"/>
      <c r="AF76" s="193">
        <f t="array" ref="AF76">SUM(AF12:AG12*AF25:AG25)/AF32</f>
        <v>0.21832197217604804</v>
      </c>
      <c r="AG76" s="138"/>
      <c r="AH76" s="193">
        <f t="array" ref="AH76">SUM(AH12:AI12*AH25:AI25)/AH32</f>
        <v>0.21722811207477691</v>
      </c>
      <c r="AI76" s="138"/>
      <c r="AJ76" s="193">
        <f t="array" ref="AJ76">SUM(AJ12:AK12*AJ25:AK25)/AJ32</f>
        <v>0.21509155369201793</v>
      </c>
      <c r="AK76" s="138"/>
      <c r="AL76" s="193">
        <f t="array" ref="AL76">SUM(AL12:AM12*AL25:AM25)/AL32</f>
        <v>0.2107528166749727</v>
      </c>
      <c r="AM76" s="138"/>
      <c r="AN76" s="193">
        <f t="array" ref="AN76">SUM(AN12:AO12*AN25:AO25)/AN32</f>
        <v>0.20220730591548258</v>
      </c>
      <c r="AO76" s="138"/>
      <c r="AP76" s="193">
        <f t="array" ref="AP76">SUM(AP12:AQ12*AP25:AQ25)/AP32</f>
        <v>0.1996772798547391</v>
      </c>
      <c r="AQ76" s="138"/>
      <c r="AR76" s="193">
        <f t="array" ref="AR76">SUM(AR12:AS12*AR25:AS25)/AR32</f>
        <v>0.19664285828692299</v>
      </c>
      <c r="AS76" s="138"/>
      <c r="AT76" s="193">
        <f t="array" ref="AT76">SUM(AT12:AU12*AT25:AU25)/AT32</f>
        <v>0.19269680459732275</v>
      </c>
      <c r="AU76" s="138"/>
      <c r="AV76" s="193">
        <f t="array" ref="AV76">SUM(AV12:AW12*AV25:AW25)/AV32</f>
        <v>0.18639340518103226</v>
      </c>
      <c r="XFD76" s="193"/>
    </row>
    <row r="77" spans="1:48 16384:16384" x14ac:dyDescent="0.2">
      <c r="A77" t="s">
        <v>188</v>
      </c>
      <c r="B77" s="193">
        <f t="array" ref="B77">SUM(B4:C4*B19:C19)/B32</f>
        <v>0.14586087017236485</v>
      </c>
      <c r="D77" s="193">
        <f t="array" ref="D77">SUM(D4:E4*D19:E19)/D32</f>
        <v>0.14550558512725212</v>
      </c>
      <c r="E77" s="138"/>
      <c r="F77" s="193">
        <f t="array" ref="F77">SUM(F4:G4*F19:G19)/F32</f>
        <v>0.14516229785988935</v>
      </c>
      <c r="G77" s="138"/>
      <c r="H77" s="193">
        <f t="array" ref="H77">SUM(H4:I4*H19:I19)/H32</f>
        <v>0.1448317921976337</v>
      </c>
      <c r="I77" s="138"/>
      <c r="J77" s="193">
        <f t="array" ref="J77">SUM(J4:K4*J19:K19)/J32</f>
        <v>0.14451486488176382</v>
      </c>
      <c r="K77" s="138"/>
      <c r="L77" s="193">
        <f t="array" ref="L77">SUM(L4:M4*L19:M19)/L32</f>
        <v>0.14421227771087564</v>
      </c>
      <c r="M77" s="138"/>
      <c r="N77" s="193">
        <f t="array" ref="N77">SUM(N4:O4*N19:O19)/N32</f>
        <v>0.14392468291094801</v>
      </c>
      <c r="O77" s="138"/>
      <c r="P77" s="193">
        <f t="array" ref="P77">SUM(P4:Q4*P19:Q19)/P32</f>
        <v>0.14365244046551609</v>
      </c>
      <c r="Q77" s="138"/>
      <c r="R77" s="193">
        <f t="array" ref="R77">SUM(R4:S4*R19:S19)/R32</f>
        <v>0.14339532352523213</v>
      </c>
      <c r="S77" s="138"/>
      <c r="T77" s="193">
        <f t="array" ref="T77">SUM(T4:U4*T19:U19)/T32</f>
        <v>0.14315197904229432</v>
      </c>
      <c r="U77" s="138"/>
      <c r="V77" s="193">
        <f t="array" ref="V77">SUM(V4:W4*V19:W19)/V32</f>
        <v>0.14291893114770357</v>
      </c>
      <c r="W77" s="138"/>
      <c r="X77" s="193">
        <f t="array" ref="X77">SUM(X4:Y4*X19:Y19)/X32</f>
        <v>0.14268870577961112</v>
      </c>
      <c r="Y77" s="138"/>
      <c r="Z77" s="193">
        <f t="array" ref="Z77">SUM(Z4:AA4*Z19:AA19)/Z32</f>
        <v>0.14244621999754303</v>
      </c>
      <c r="AA77" s="138"/>
      <c r="AB77" s="193">
        <f t="array" ref="AB77">SUM(AB4:AC4*AB19:AC19)/AB32</f>
        <v>0.14216156474668973</v>
      </c>
      <c r="AC77" s="138"/>
      <c r="AD77" s="193">
        <f t="array" ref="AD77">SUM(AD4:AE4*AD19:AE19)/AD32</f>
        <v>0.14177497038098788</v>
      </c>
      <c r="AE77" s="138"/>
      <c r="AF77" s="193">
        <f t="array" ref="AF77">SUM(AF4:AG4*AF19:AG19)/AF32</f>
        <v>0.14116409865617893</v>
      </c>
      <c r="AG77" s="138"/>
      <c r="AH77" s="193">
        <f t="array" ref="AH77">SUM(AH4:AI4*AH19:AI19)/AH32</f>
        <v>0.14007023869764898</v>
      </c>
      <c r="AI77" s="138"/>
      <c r="AJ77" s="193">
        <f t="array" ref="AJ77">SUM(AJ4:AK4*AJ19:AK19)/AJ32</f>
        <v>0.13793368016130117</v>
      </c>
      <c r="AK77" s="138"/>
      <c r="AL77" s="193">
        <f t="array" ref="AL77">SUM(AL4:AM4*AL19:AM19)/AL32</f>
        <v>0.13359494309918041</v>
      </c>
      <c r="AM77" s="138"/>
      <c r="AN77" s="193">
        <f t="array" ref="AN77">SUM(AN4:AO4*AN19:AO19)/AN32</f>
        <v>0.12504943234054472</v>
      </c>
      <c r="AO77" s="138"/>
      <c r="AP77" s="193">
        <f t="array" ref="AP77">SUM(AP4:AQ4*AP19:AQ19)/AP32</f>
        <v>0.12251940627992802</v>
      </c>
      <c r="AQ77" s="138"/>
      <c r="AR77" s="193">
        <f t="array" ref="AR77">SUM(AR4:AS4*AR19:AS19)/AR32</f>
        <v>0.11948498471204706</v>
      </c>
      <c r="AS77" s="138"/>
      <c r="AT77" s="193">
        <f t="array" ref="AT77">SUM(AT4:AU4*AT19:AU19)/AT32</f>
        <v>0.11553893102244031</v>
      </c>
      <c r="AU77" s="138"/>
      <c r="AV77" s="193">
        <f t="array" ref="AV77">SUM(AV4:AW4*AV19:AW19)/AV32</f>
        <v>0.1092355316061481</v>
      </c>
      <c r="XFD77" s="193"/>
    </row>
    <row r="78" spans="1:48 16384:16384" x14ac:dyDescent="0.2">
      <c r="A78" t="s">
        <v>189</v>
      </c>
      <c r="B78" s="193">
        <f t="array" ref="B78">SUM(B13:C13*B26:C26)/B32</f>
        <v>0.346887593115773</v>
      </c>
      <c r="D78" s="193">
        <f t="array" ref="D78">SUM(D13:E13*D26:E26)/D32</f>
        <v>0.34665991003396779</v>
      </c>
      <c r="E78" s="138"/>
      <c r="F78" s="193">
        <f t="array" ref="F78">SUM(F13:G13*F26:G26)/F32</f>
        <v>0.34642184719959468</v>
      </c>
      <c r="G78" s="138"/>
      <c r="H78" s="193">
        <f t="array" ref="H78">SUM(H13:I13*H26:I26)/H32</f>
        <v>0.34617199454273989</v>
      </c>
      <c r="I78" s="138"/>
      <c r="J78" s="193">
        <f t="array" ref="J78">SUM(J13:K13*J26:K26)/J32</f>
        <v>0.34590865016139066</v>
      </c>
      <c r="K78" s="138"/>
      <c r="L78" s="193">
        <f t="array" ref="L78">SUM(L13:M13*L26:M26)/L32</f>
        <v>0.34562972085017651</v>
      </c>
      <c r="M78" s="138"/>
      <c r="N78" s="193">
        <f t="array" ref="N78">SUM(N13:O13*N26:O26)/N32</f>
        <v>0.34533256882125124</v>
      </c>
      <c r="O78" s="138"/>
      <c r="P78" s="193">
        <f t="array" ref="P78">SUM(P13:Q13*P26:Q26)/P32</f>
        <v>0.34501380568881718</v>
      </c>
      <c r="Q78" s="138"/>
      <c r="R78" s="193">
        <f t="array" ref="R78">SUM(R13:S13*R26:S26)/R32</f>
        <v>0.34466895761355942</v>
      </c>
      <c r="S78" s="138"/>
      <c r="T78" s="193">
        <f t="array" ref="T78">SUM(T13:U13*T26:U26)/T32</f>
        <v>0.34429193546853287</v>
      </c>
      <c r="U78" s="138"/>
      <c r="V78" s="193">
        <f t="array" ref="V78">SUM(V13:W13*V26:W26)/V32</f>
        <v>0.343874166388633</v>
      </c>
      <c r="W78" s="138"/>
      <c r="X78" s="193">
        <f t="array" ref="X78">SUM(X13:Y13*X26:Y26)/X32</f>
        <v>0.34340310002035618</v>
      </c>
      <c r="Y78" s="138"/>
      <c r="Z78" s="193">
        <f t="array" ref="Z78">SUM(Z13:AA13*Z26:AA26)/Z32</f>
        <v>0.3428595266677657</v>
      </c>
      <c r="AA78" s="138"/>
      <c r="AB78" s="193">
        <f t="array" ref="AB78">SUM(AB13:AC13*AB26:AC26)/AB32</f>
        <v>0.3422125003443916</v>
      </c>
      <c r="AC78" s="138"/>
      <c r="AD78" s="193">
        <f t="array" ref="AD78">SUM(AD13:AE13*AD26:AE26)/AD32</f>
        <v>0.34140914197867089</v>
      </c>
      <c r="AE78" s="138"/>
      <c r="AF78" s="193">
        <f t="array" ref="AF78">SUM(AF13:AG13*AF26:AG26)/AF32</f>
        <v>0.34035270360762476</v>
      </c>
      <c r="AG78" s="138"/>
      <c r="AH78" s="193">
        <f t="array" ref="AH78">SUM(AH13:AI13*AH26:AI26)/AH32</f>
        <v>0.33885176977707726</v>
      </c>
      <c r="AI78" s="138"/>
      <c r="AJ78" s="193">
        <f t="array" ref="AJ78">SUM(AJ13:AK13*AJ26:AK26)/AJ32</f>
        <v>0.3364938849481624</v>
      </c>
      <c r="AK78" s="138"/>
      <c r="AL78" s="193">
        <f t="array" ref="AL78">SUM(AL13:AM13*AL26:AM26)/AL32</f>
        <v>0.33231037328851309</v>
      </c>
      <c r="AM78" s="138"/>
      <c r="AN78" s="193">
        <f t="array" ref="AN78">SUM(AN13:AO13*AN26:AO26)/AN32</f>
        <v>0.32354325229451658</v>
      </c>
      <c r="AO78" s="138"/>
      <c r="AP78" s="193">
        <f t="array" ref="AP78">SUM(AP13:AQ13*AP26:AQ26)/AP32</f>
        <v>0.3204612393439133</v>
      </c>
      <c r="AQ78" s="138"/>
      <c r="AR78" s="193">
        <f t="array" ref="AR78">SUM(AR13:AS13*AR26:AS26)/AR32</f>
        <v>0.31631992675543713</v>
      </c>
      <c r="AS78" s="138"/>
      <c r="AT78" s="193">
        <f t="array" ref="AT78">SUM(AT13:AU13*AT26:AU26)/AT32</f>
        <v>0.31011947243373789</v>
      </c>
      <c r="AU78" s="138"/>
      <c r="AV78" s="193">
        <f t="array" ref="AV78">SUM(AV13:AW13*AV26:AW26)/AV32</f>
        <v>0.29841619122841728</v>
      </c>
      <c r="XFD78" s="193"/>
    </row>
    <row r="79" spans="1:48 16384:16384" x14ac:dyDescent="0.2">
      <c r="A79" t="s">
        <v>190</v>
      </c>
      <c r="B79" s="193">
        <f t="array" ref="B79">SUM(B15:C15*B27:C27)/B32</f>
        <v>0.45460968782439864</v>
      </c>
      <c r="D79" s="193">
        <f t="array" ref="D79">SUM(D15:E15*D27:E27)/D32</f>
        <v>0.45209830591827843</v>
      </c>
      <c r="F79" s="193">
        <f t="array" ref="F79">SUM(F15:G15*F27:G27)/F32</f>
        <v>0.44957775279408169</v>
      </c>
      <c r="H79" s="193">
        <f t="array" ref="H79">SUM(H15:I15*H27:I27)/H32</f>
        <v>0.44704547764419417</v>
      </c>
      <c r="J79" s="193">
        <f t="array" ref="J79">SUM(J15:K15*J27:K27)/J32</f>
        <v>0.44449845676955624</v>
      </c>
      <c r="L79" s="193">
        <f t="array" ref="L79">SUM(L15:M15*L27:M27)/L32</f>
        <v>0.44193307175596952</v>
      </c>
      <c r="N79" s="193">
        <f t="array" ref="N79">SUM(N15:O15*N27:O27)/N32</f>
        <v>0.43934501446778268</v>
      </c>
      <c r="P79" s="193">
        <f t="array" ref="P79">SUM(P15:Q15*P27:Q27)/P32</f>
        <v>0.43672900169462703</v>
      </c>
      <c r="R79" s="193">
        <f t="array" ref="R79">SUM(R15:S15*R27:S27)/R32</f>
        <v>0.43407846918435139</v>
      </c>
      <c r="T79" s="193">
        <f t="array" ref="T79">SUM(T15:U15*T27:U27)/T32</f>
        <v>0.4313851231142985</v>
      </c>
      <c r="V79" s="193">
        <f t="array" ref="V79">SUM(V15:W15*V27:W27)/V32</f>
        <v>0.42863819004598464</v>
      </c>
      <c r="X79" s="193">
        <f t="array" ref="X79">SUM(X15:Y15*X27:Y27)/X32</f>
        <v>0.42582324638531216</v>
      </c>
      <c r="Z79" s="193">
        <f t="array" ref="Z79">SUM(Z15:AA15*Z27:AA27)/Z32</f>
        <v>0.4229201836561875</v>
      </c>
      <c r="AB79" s="193">
        <f t="array" ref="AB79">SUM(AB15:AC15*AB27:AC27)/AB32</f>
        <v>0.41989947565867064</v>
      </c>
      <c r="AD79" s="193">
        <f t="array" ref="AD79">SUM(AD15:AE15*AD27:AE27)/AD32</f>
        <v>0.41671464718276485</v>
      </c>
      <c r="AF79" s="193">
        <f t="array" ref="AF79">SUM(AF15:AG15*AF27:AG27)/AF32</f>
        <v>0.41328571998621572</v>
      </c>
      <c r="AH79" s="193">
        <f t="array" ref="AH79">SUM(AH15:AI15*AH27:AI27)/AH32</f>
        <v>0.40945820850605141</v>
      </c>
      <c r="AJ79" s="193">
        <f t="array" ref="AJ79">SUM(AJ15:AK15*AJ27:AK27)/AJ32</f>
        <v>0.4048882815774123</v>
      </c>
      <c r="AL79" s="193">
        <f t="array" ref="AL79">SUM(AL15:AM15*AL27:AM27)/AL32</f>
        <v>0.3986724998483589</v>
      </c>
      <c r="AN79" s="193">
        <f t="array" ref="AN79">SUM(AN15:AO15*AN27:AO27)/AN32</f>
        <v>0.38770811167340641</v>
      </c>
      <c r="AP79" s="193">
        <f t="array" ref="AP79">SUM(AP15:AQ15*AP27:AQ27)/AP32</f>
        <v>0.38399418394581847</v>
      </c>
      <c r="AR79" s="193">
        <f t="array" ref="AR79">SUM(AR15:AS15*AR27:AS27)/AR32</f>
        <v>0.37902266344889918</v>
      </c>
      <c r="AT79" s="193">
        <f t="array" ref="AT79">SUM(AT15:AU15*AT27:AU27)/AT32</f>
        <v>0.37159022426899041</v>
      </c>
      <c r="AV79" s="193">
        <f t="array" ref="AV79">SUM(AV15:AW15*AV27:AW27)/AV32</f>
        <v>0.35756668884790421</v>
      </c>
      <c r="XFD79" s="193"/>
    </row>
    <row r="80" spans="1:48 16384:16384" x14ac:dyDescent="0.2">
      <c r="A80" t="s">
        <v>169</v>
      </c>
      <c r="B80" s="236">
        <f>B55</f>
        <v>0.19850271905982084</v>
      </c>
      <c r="D80" s="236">
        <f>D55</f>
        <v>0.20124179401015946</v>
      </c>
      <c r="F80" s="236">
        <f>F55</f>
        <v>0.20400039955243543</v>
      </c>
      <c r="H80" s="236">
        <f>H55</f>
        <v>0.20678252703293706</v>
      </c>
      <c r="J80" s="236">
        <f>J55</f>
        <v>0.20959290176643691</v>
      </c>
      <c r="L80" s="236">
        <f>L55</f>
        <v>0.21243720606899927</v>
      </c>
      <c r="N80" s="236">
        <f>N55</f>
        <v>0.21532241441022459</v>
      </c>
      <c r="P80" s="236">
        <f>P55</f>
        <v>0.21825719525838477</v>
      </c>
      <c r="R80" s="236">
        <f>R55</f>
        <v>0.22125257708804716</v>
      </c>
      <c r="T80" s="236">
        <f>T55</f>
        <v>0.22432294264856689</v>
      </c>
      <c r="V80" s="236">
        <f>V55</f>
        <v>0.22748764361630283</v>
      </c>
      <c r="X80" s="236">
        <f>X55</f>
        <v>0.23077365360017912</v>
      </c>
      <c r="Z80" s="236">
        <f>Z55</f>
        <v>0.23422028863027905</v>
      </c>
      <c r="AB80" s="236">
        <f>AB55</f>
        <v>0.23788802474495621</v>
      </c>
      <c r="AD80" s="236">
        <f>AD55</f>
        <v>0.24187621075521348</v>
      </c>
      <c r="AF80" s="236">
        <f>AF55</f>
        <v>0.24636157566365993</v>
      </c>
      <c r="AH80" s="236">
        <f>AH55</f>
        <v>0.2516900234283978</v>
      </c>
      <c r="AJ80" s="236">
        <f>AJ55</f>
        <v>0.25861783339192124</v>
      </c>
      <c r="AL80" s="236">
        <f>AL55</f>
        <v>0.26901712700295227</v>
      </c>
      <c r="AN80" s="236">
        <f>AN55</f>
        <v>0.28874863607956747</v>
      </c>
      <c r="AP80" s="236">
        <f>AP55</f>
        <v>0.29554457671867873</v>
      </c>
      <c r="AR80" s="236">
        <f>AR55</f>
        <v>0.30465740980745382</v>
      </c>
      <c r="AT80" s="236">
        <f>AT55</f>
        <v>0.31829030330113606</v>
      </c>
      <c r="AV80" s="236">
        <f>AV55</f>
        <v>0.34401711993100481</v>
      </c>
      <c r="XFD80" s="236"/>
    </row>
    <row r="81" spans="1:48 16384:16384" x14ac:dyDescent="0.2">
      <c r="A81" t="s">
        <v>191</v>
      </c>
      <c r="B81" s="236">
        <f>B51/B$32</f>
        <v>-2.7543485504603994E-2</v>
      </c>
      <c r="D81" s="236">
        <f>D51/D$32</f>
        <v>-2.4804410554265396E-2</v>
      </c>
      <c r="F81" s="236">
        <f>F51/F$32</f>
        <v>-2.2045805011989408E-2</v>
      </c>
      <c r="H81" s="236">
        <f>H51/H$32</f>
        <v>-1.9263677531487767E-2</v>
      </c>
      <c r="J81" s="236">
        <f>J51/J$32</f>
        <v>-1.6453302797987915E-2</v>
      </c>
      <c r="L81" s="236">
        <f>L51/L$32</f>
        <v>-1.3608998495425564E-2</v>
      </c>
      <c r="N81" s="236">
        <f>N51/N$32</f>
        <v>-1.0723790154200243E-2</v>
      </c>
      <c r="P81" s="236">
        <f>P51/P$32</f>
        <v>-7.7890093060400461E-3</v>
      </c>
      <c r="R81" s="236">
        <f>R51/R$32</f>
        <v>-4.7936274763777003E-3</v>
      </c>
      <c r="T81" s="236">
        <f>T51/T$32</f>
        <v>-1.7232619158579594E-3</v>
      </c>
      <c r="V81" s="236">
        <f>V51/V$32</f>
        <v>1.4414390518779632E-3</v>
      </c>
      <c r="X81" s="236">
        <f>X51/X$32</f>
        <v>4.7274490357542987E-3</v>
      </c>
      <c r="Z81" s="236">
        <f>Z51/Z$32</f>
        <v>8.1740840658542334E-3</v>
      </c>
      <c r="AB81" s="236">
        <f>AB51/AB$32</f>
        <v>1.1841820180531386E-2</v>
      </c>
      <c r="AD81" s="236">
        <f>AD51/AD$32</f>
        <v>1.5830006190788639E-2</v>
      </c>
      <c r="AF81" s="236">
        <f>AF51/AF$32</f>
        <v>2.0315371099235105E-2</v>
      </c>
      <c r="AH81" s="236">
        <f>AH51/AH$32</f>
        <v>2.5643818863972937E-2</v>
      </c>
      <c r="AJ81" s="236">
        <f>AJ51/AJ$32</f>
        <v>3.2571628827496438E-2</v>
      </c>
      <c r="AL81" s="236">
        <f>AL51/AL$32</f>
        <v>4.2970922438527466E-2</v>
      </c>
      <c r="AN81" s="236">
        <f>AN51/AN$32</f>
        <v>6.2702431515142612E-2</v>
      </c>
      <c r="AP81" s="236">
        <f>AP51/AP$32</f>
        <v>6.9498372154253862E-2</v>
      </c>
      <c r="AR81" s="236">
        <f>AR51/AR$32</f>
        <v>7.8611205243028989E-2</v>
      </c>
      <c r="AT81" s="236">
        <f>AT51/AT$32</f>
        <v>9.2244098736711216E-2</v>
      </c>
      <c r="AV81" s="236">
        <f>AV51/AV$32</f>
        <v>0.11797091536657997</v>
      </c>
      <c r="XFD81" s="236"/>
    </row>
    <row r="82" spans="1:48 16384:16384" x14ac:dyDescent="0.2">
      <c r="A82" t="s">
        <v>192</v>
      </c>
      <c r="B82" s="236">
        <f>B52/B$32</f>
        <v>0.13907860278212886</v>
      </c>
      <c r="D82" s="236">
        <f>D52/D$32</f>
        <v>0.13898731717398652</v>
      </c>
      <c r="F82" s="236">
        <f>F52/F$32</f>
        <v>0.13889186998291933</v>
      </c>
      <c r="H82" s="236">
        <f>H52/H$32</f>
        <v>0.13879169586569406</v>
      </c>
      <c r="J82" s="236">
        <f>J52/J$32</f>
        <v>0.13868611247402646</v>
      </c>
      <c r="L82" s="236">
        <f>L52/L$32</f>
        <v>0.13857428057329399</v>
      </c>
      <c r="N82" s="236">
        <f>N52/N$32</f>
        <v>0.13845514258791494</v>
      </c>
      <c r="P82" s="236">
        <f>P52/P$32</f>
        <v>0.13832734000299349</v>
      </c>
      <c r="R82" s="236">
        <f>R52/R$32</f>
        <v>0.1381890791097509</v>
      </c>
      <c r="T82" s="236">
        <f>T52/T$32</f>
        <v>0.13803791857766834</v>
      </c>
      <c r="V82" s="236">
        <f>V52/V$32</f>
        <v>0.13787042126421253</v>
      </c>
      <c r="X82" s="236">
        <f>X52/X$32</f>
        <v>0.13768155532141782</v>
      </c>
      <c r="Z82" s="236">
        <f>Z52/Z$32</f>
        <v>0.13746361895272605</v>
      </c>
      <c r="AB82" s="236">
        <f>AB52/AB$32</f>
        <v>0.13720420489813318</v>
      </c>
      <c r="AD82" s="236">
        <f>AD52/AD$32</f>
        <v>0.13688211220512506</v>
      </c>
      <c r="AF82" s="236">
        <f>AF52/AF$32</f>
        <v>0.13645855144513705</v>
      </c>
      <c r="AH82" s="236">
        <f>AH52/AH$32</f>
        <v>0.1358567778903495</v>
      </c>
      <c r="AJ82" s="236">
        <f>AJ52/AJ$32</f>
        <v>0.13491142460001948</v>
      </c>
      <c r="AL82" s="236">
        <f>AL52/AL$32</f>
        <v>0.13323411769169027</v>
      </c>
      <c r="AN82" s="236">
        <f>AN52/AN$32</f>
        <v>0.12971909160697254</v>
      </c>
      <c r="AP82" s="236">
        <f>AP52/AP$32</f>
        <v>0.12848341162465826</v>
      </c>
      <c r="AR82" s="236">
        <f>AR52/AR$32</f>
        <v>0.1268230237067281</v>
      </c>
      <c r="AT82" s="236">
        <f>AT52/AT$32</f>
        <v>0.12433705839464923</v>
      </c>
      <c r="AV82" s="236">
        <f>AV52/AV$32</f>
        <v>0.11964482947005028</v>
      </c>
    </row>
    <row r="83" spans="1:48 16384:16384" x14ac:dyDescent="0.2">
      <c r="A83" t="s">
        <v>193</v>
      </c>
      <c r="B83" s="236">
        <f>B53/B$32</f>
        <v>0.18600714462929618</v>
      </c>
      <c r="D83" s="236">
        <f>D53/D$32</f>
        <v>0.18497959288558691</v>
      </c>
      <c r="F83" s="236">
        <f>F53/F$32</f>
        <v>0.18394828866556029</v>
      </c>
      <c r="H83" s="236">
        <f>H53/H$32</f>
        <v>0.18291218828613273</v>
      </c>
      <c r="J83" s="236">
        <f>J53/J$32</f>
        <v>0.18187005457695049</v>
      </c>
      <c r="L83" s="236">
        <f>L53/L$32</f>
        <v>0.18082040703526331</v>
      </c>
      <c r="N83" s="236">
        <f>N53/N$32</f>
        <v>0.17976148295334052</v>
      </c>
      <c r="P83" s="236">
        <f>P53/P$32</f>
        <v>0.17869112066392884</v>
      </c>
      <c r="R83" s="236">
        <f>R53/R$32</f>
        <v>0.17760663435141114</v>
      </c>
      <c r="T83" s="236">
        <f>T53/T$32</f>
        <v>0.1765046305327363</v>
      </c>
      <c r="V83" s="236">
        <f>V53/V$32</f>
        <v>0.17538070117045174</v>
      </c>
      <c r="X83" s="236">
        <f>X53/X$32</f>
        <v>0.17422894473710385</v>
      </c>
      <c r="Z83" s="236">
        <f>Z53/Z$32</f>
        <v>0.17304113369086677</v>
      </c>
      <c r="AB83" s="236">
        <f>AB53/AB$32</f>
        <v>0.17180518715381449</v>
      </c>
      <c r="AD83" s="236">
        <f>AD53/AD$32</f>
        <v>0.17050208942667994</v>
      </c>
      <c r="AF83" s="236">
        <f>AF53/AF$32</f>
        <v>0.16909911677991532</v>
      </c>
      <c r="AH83" s="236">
        <f>AH53/AH$32</f>
        <v>0.16753306022518519</v>
      </c>
      <c r="AJ83" s="236">
        <f>AJ53/AJ$32</f>
        <v>0.16566323852554504</v>
      </c>
      <c r="AL83" s="236">
        <f>AL53/AL$32</f>
        <v>0.16312000233409202</v>
      </c>
      <c r="AN83" s="236">
        <f>AN53/AN$32</f>
        <v>0.1586338363071641</v>
      </c>
      <c r="AP83" s="236">
        <f>AP53/AP$32</f>
        <v>0.15711425344197216</v>
      </c>
      <c r="AR83" s="236">
        <f>AR53/AR$32</f>
        <v>0.15508011656177623</v>
      </c>
      <c r="AT83" s="236">
        <f>AT53/AT$32</f>
        <v>0.15203907536421216</v>
      </c>
      <c r="AV83" s="236">
        <f>AV53/AV$32</f>
        <v>0.14630123507803766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9" activePane="bottomLeft" state="frozen"/>
      <selection pane="bottomLeft" activeCell="F39" sqref="F3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3.9178962040226868E-2</v>
      </c>
      <c r="E2" s="227"/>
      <c r="F2" s="226">
        <v>7.5623310148561732E-2</v>
      </c>
      <c r="G2" s="227"/>
      <c r="H2" s="226">
        <v>0.11558593774654918</v>
      </c>
      <c r="I2" s="227"/>
      <c r="J2" s="226">
        <v>0.15966173161586275</v>
      </c>
      <c r="K2" s="227"/>
      <c r="L2" s="226">
        <v>0.20859777604631807</v>
      </c>
      <c r="M2" s="227"/>
      <c r="N2" s="226">
        <v>0.26334429822031941</v>
      </c>
      <c r="O2" s="227"/>
      <c r="P2" s="226">
        <v>0.32513750741198399</v>
      </c>
      <c r="Q2" s="227"/>
      <c r="R2" s="226">
        <v>0.39561632004204195</v>
      </c>
      <c r="S2" s="227"/>
      <c r="T2" s="226">
        <v>0.47701255864731446</v>
      </c>
      <c r="U2" s="227"/>
      <c r="V2" s="226">
        <v>0.57245961353517694</v>
      </c>
      <c r="W2" s="227"/>
      <c r="X2" s="226">
        <v>0.68652229529535957</v>
      </c>
      <c r="Y2" s="227"/>
      <c r="Z2" s="226">
        <v>0.82615465184922765</v>
      </c>
      <c r="AA2" s="227"/>
      <c r="AB2" s="226">
        <v>1.002591737246886</v>
      </c>
      <c r="AC2" s="227"/>
      <c r="AD2" s="226">
        <v>1.2353282506858458</v>
      </c>
      <c r="AE2" s="227"/>
      <c r="AF2" s="226">
        <v>1.5616126002375041</v>
      </c>
      <c r="AG2" s="227"/>
      <c r="AH2" s="226">
        <v>2.0624826799273079</v>
      </c>
      <c r="AI2" s="227"/>
      <c r="AJ2" s="226">
        <v>2.9498560485885843</v>
      </c>
      <c r="AK2" s="227"/>
      <c r="AL2" s="226">
        <v>4.9568309495008442</v>
      </c>
      <c r="AM2" s="227"/>
      <c r="AN2" s="226">
        <v>12.40636493838055</v>
      </c>
      <c r="AO2" s="227"/>
      <c r="AP2" s="226">
        <v>16.675270850586877</v>
      </c>
      <c r="AQ2" s="227"/>
      <c r="AR2" s="226">
        <v>24.362925209181579</v>
      </c>
      <c r="AS2" s="227"/>
      <c r="AT2" s="226">
        <v>41.399162200152659</v>
      </c>
      <c r="AU2" s="227"/>
      <c r="AV2" s="226">
        <v>101.48092030869337</v>
      </c>
      <c r="AW2" s="227"/>
    </row>
    <row r="3" spans="1:49" x14ac:dyDescent="0.2">
      <c r="A3" t="s">
        <v>12</v>
      </c>
      <c r="B3" s="84">
        <v>1000</v>
      </c>
      <c r="C3" s="85">
        <v>1000</v>
      </c>
      <c r="D3" s="84">
        <v>999.25609325164362</v>
      </c>
      <c r="E3" s="85">
        <v>1013.9826460432872</v>
      </c>
      <c r="F3" s="84">
        <v>998.50543965418103</v>
      </c>
      <c r="G3" s="85">
        <v>1029.4276690888337</v>
      </c>
      <c r="H3" s="84">
        <v>997.7470227689688</v>
      </c>
      <c r="I3" s="85">
        <v>1046.572035009121</v>
      </c>
      <c r="J3" s="84">
        <v>996.97962165729916</v>
      </c>
      <c r="K3" s="85">
        <v>1065.7086727049029</v>
      </c>
      <c r="L3" s="84">
        <v>996.20182475119361</v>
      </c>
      <c r="M3" s="85">
        <v>1087.2051371477305</v>
      </c>
      <c r="N3" s="84">
        <v>995.41197772041119</v>
      </c>
      <c r="O3" s="85">
        <v>1111.5279612530155</v>
      </c>
      <c r="P3" s="84">
        <v>994.60831418440023</v>
      </c>
      <c r="Q3" s="85">
        <v>1139.2820205415458</v>
      </c>
      <c r="R3" s="84">
        <v>993.78902393572798</v>
      </c>
      <c r="S3" s="85">
        <v>1171.2649771682429</v>
      </c>
      <c r="T3" s="84">
        <v>992.95259568717836</v>
      </c>
      <c r="U3" s="85">
        <v>1208.5548582954007</v>
      </c>
      <c r="V3" s="84">
        <v>992.0984630392893</v>
      </c>
      <c r="W3" s="85">
        <v>1252.649355350236</v>
      </c>
      <c r="X3" s="84">
        <v>991.22837473519121</v>
      </c>
      <c r="Y3" s="85">
        <v>1305.6991682470864</v>
      </c>
      <c r="Z3" s="84">
        <v>990.34912609849971</v>
      </c>
      <c r="AA3" s="85">
        <v>1370.9217270480051</v>
      </c>
      <c r="AB3" s="84">
        <v>989.47856038043267</v>
      </c>
      <c r="AC3" s="85">
        <v>1453.3874342757747</v>
      </c>
      <c r="AD3" s="84">
        <v>988.65814036515212</v>
      </c>
      <c r="AE3" s="85">
        <v>1561.6242116958269</v>
      </c>
      <c r="AF3" s="84">
        <v>987.98124525656215</v>
      </c>
      <c r="AG3" s="85">
        <v>1711.2865813428577</v>
      </c>
      <c r="AH3" s="84">
        <v>987.657270903209</v>
      </c>
      <c r="AI3" s="85">
        <v>1934.7530069666088</v>
      </c>
      <c r="AJ3" s="84">
        <v>988.1498921474448</v>
      </c>
      <c r="AK3" s="85">
        <v>2311.5008322678354</v>
      </c>
      <c r="AL3" s="84">
        <v>990.36203076670461</v>
      </c>
      <c r="AM3" s="85">
        <v>3096.0923764850481</v>
      </c>
      <c r="AN3" s="84">
        <v>994.9497939571163</v>
      </c>
      <c r="AO3" s="85">
        <v>5665.156925862153</v>
      </c>
      <c r="AP3" s="84">
        <v>995.90683934042363</v>
      </c>
      <c r="AQ3" s="85">
        <v>7039.3412056537809</v>
      </c>
      <c r="AR3" s="84">
        <v>996.62030084261119</v>
      </c>
      <c r="AS3" s="85">
        <v>9435.8184080151532</v>
      </c>
      <c r="AT3" s="84">
        <v>996.70504902491234</v>
      </c>
      <c r="AU3" s="85">
        <v>14563.724280896222</v>
      </c>
      <c r="AV3" s="84">
        <v>994.84467402207019</v>
      </c>
      <c r="AW3" s="85">
        <v>31921.482175104411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999.21930177042884</v>
      </c>
      <c r="E5" s="42">
        <v>1012.1948321747814</v>
      </c>
      <c r="F5" s="41">
        <v>998.43127541966965</v>
      </c>
      <c r="G5" s="42">
        <v>1025.4739414829098</v>
      </c>
      <c r="H5" s="41">
        <v>997.63484606177508</v>
      </c>
      <c r="I5" s="42">
        <v>1039.9808034221405</v>
      </c>
      <c r="J5" s="41">
        <v>996.82872246092029</v>
      </c>
      <c r="K5" s="42">
        <v>1055.8857489433299</v>
      </c>
      <c r="L5" s="41">
        <v>996.0114113176611</v>
      </c>
      <c r="M5" s="42">
        <v>1073.3927723246566</v>
      </c>
      <c r="N5" s="41">
        <v>995.18116180562038</v>
      </c>
      <c r="O5" s="42">
        <v>1092.747503683664</v>
      </c>
      <c r="P5" s="41">
        <v>994.33610284618953</v>
      </c>
      <c r="Q5" s="42">
        <v>1114.2492494321164</v>
      </c>
      <c r="R5" s="41">
        <v>993.47431429605012</v>
      </c>
      <c r="S5" s="42">
        <v>1138.2650163011958</v>
      </c>
      <c r="T5" s="41">
        <v>992.59418757110154</v>
      </c>
      <c r="U5" s="42">
        <v>1165.2495144662116</v>
      </c>
      <c r="V5" s="41">
        <v>991.69510613032332</v>
      </c>
      <c r="W5" s="42">
        <v>1195.7711437567743</v>
      </c>
      <c r="X5" s="41">
        <v>990.77889036208535</v>
      </c>
      <c r="Y5" s="42">
        <v>1230.5443801401661</v>
      </c>
      <c r="Z5" s="41">
        <v>989.85268007148647</v>
      </c>
      <c r="AA5" s="42">
        <v>1270.4772622698758</v>
      </c>
      <c r="AB5" s="41">
        <v>988.93527022381193</v>
      </c>
      <c r="AC5" s="42">
        <v>1316.7106347275567</v>
      </c>
      <c r="AD5" s="41">
        <v>988.07038813703377</v>
      </c>
      <c r="AE5" s="42">
        <v>1370.6549881131084</v>
      </c>
      <c r="AF5" s="41">
        <v>987.35657754706256</v>
      </c>
      <c r="AG5" s="42">
        <v>1433.9194790745914</v>
      </c>
      <c r="AH5" s="41">
        <v>987.01486051227812</v>
      </c>
      <c r="AI5" s="42">
        <v>1507.8605278239031</v>
      </c>
      <c r="AJ5" s="41">
        <v>987.53444146521133</v>
      </c>
      <c r="AK5" s="42">
        <v>1591.767070653987</v>
      </c>
      <c r="AL5" s="41">
        <v>989.86627653097821</v>
      </c>
      <c r="AM5" s="42">
        <v>1677.0279927436982</v>
      </c>
      <c r="AN5" s="41">
        <v>994.69520701474323</v>
      </c>
      <c r="AO5" s="42">
        <v>1737.2932824728746</v>
      </c>
      <c r="AP5" s="41">
        <v>995.70136928833551</v>
      </c>
      <c r="AQ5" s="42">
        <v>1743.3644612607191</v>
      </c>
      <c r="AR5" s="41">
        <v>996.45118061217659</v>
      </c>
      <c r="AS5" s="42">
        <v>1747.2732564313851</v>
      </c>
      <c r="AT5" s="41">
        <v>996.54023152158379</v>
      </c>
      <c r="AU5" s="42">
        <v>1749.3070942946731</v>
      </c>
      <c r="AV5" s="41">
        <v>994.58466721055277</v>
      </c>
      <c r="AW5" s="42">
        <v>1749.9968105818061</v>
      </c>
    </row>
    <row r="6" spans="1:49" x14ac:dyDescent="0.2">
      <c r="A6" t="s">
        <v>77</v>
      </c>
      <c r="B6" s="41">
        <v>999.99999999999943</v>
      </c>
      <c r="C6" s="42">
        <v>999.99999999999909</v>
      </c>
      <c r="D6" s="41">
        <v>999.15963633043145</v>
      </c>
      <c r="E6" s="42">
        <v>1015.0769259721486</v>
      </c>
      <c r="F6" s="41">
        <v>998.3114862505679</v>
      </c>
      <c r="G6" s="42">
        <v>1031.6940675957853</v>
      </c>
      <c r="H6" s="41">
        <v>997.45439591536001</v>
      </c>
      <c r="I6" s="42">
        <v>1050.0974008192904</v>
      </c>
      <c r="J6" s="41">
        <v>996.58697930698941</v>
      </c>
      <c r="K6" s="42">
        <v>1070.5906148341401</v>
      </c>
      <c r="L6" s="41">
        <v>995.70763364757545</v>
      </c>
      <c r="M6" s="42">
        <v>1093.5543296398303</v>
      </c>
      <c r="N6" s="41">
        <v>994.81448017032119</v>
      </c>
      <c r="O6" s="42">
        <v>1119.471075254409</v>
      </c>
      <c r="P6" s="41">
        <v>993.9055116214937</v>
      </c>
      <c r="Q6" s="42">
        <v>1148.9658229109471</v>
      </c>
      <c r="R6" s="41">
        <v>992.97866922892695</v>
      </c>
      <c r="S6" s="42">
        <v>1182.8618534746936</v>
      </c>
      <c r="T6" s="41">
        <v>992.03223041844603</v>
      </c>
      <c r="U6" s="42">
        <v>1222.2707400742968</v>
      </c>
      <c r="V6" s="41">
        <v>991.06554026539015</v>
      </c>
      <c r="W6" s="42">
        <v>1268.7353802977791</v>
      </c>
      <c r="X6" s="41">
        <v>990.08056401437318</v>
      </c>
      <c r="Y6" s="42">
        <v>1324.4695269784509</v>
      </c>
      <c r="Z6" s="41">
        <v>989.08498337021285</v>
      </c>
      <c r="AA6" s="42">
        <v>1392.7824056168583</v>
      </c>
      <c r="AB6" s="41">
        <v>988.09900124829358</v>
      </c>
      <c r="AC6" s="42">
        <v>1478.8855600342781</v>
      </c>
      <c r="AD6" s="41">
        <v>987.16959970514768</v>
      </c>
      <c r="AE6" s="42">
        <v>1591.5389018798235</v>
      </c>
      <c r="AF6" s="41">
        <v>986.40263200089771</v>
      </c>
      <c r="AG6" s="42">
        <v>1746.8141814855064</v>
      </c>
      <c r="AH6" s="41">
        <v>986.03549708506102</v>
      </c>
      <c r="AI6" s="42">
        <v>1977.9372367966828</v>
      </c>
      <c r="AJ6" s="41">
        <v>986.59373352885893</v>
      </c>
      <c r="AK6" s="42">
        <v>2366.4338125564655</v>
      </c>
      <c r="AL6" s="41">
        <v>989.09959714406807</v>
      </c>
      <c r="AM6" s="42">
        <v>3173.3645952412858</v>
      </c>
      <c r="AN6" s="41">
        <v>994.29175954723064</v>
      </c>
      <c r="AO6" s="42">
        <v>5810.5708230235659</v>
      </c>
      <c r="AP6" s="41">
        <v>995.3740879963126</v>
      </c>
      <c r="AQ6" s="42">
        <v>7220.4943303522286</v>
      </c>
      <c r="AR6" s="41">
        <v>996.18076811221545</v>
      </c>
      <c r="AS6" s="42">
        <v>9679.0415024478079</v>
      </c>
      <c r="AT6" s="41">
        <v>996.2765791565663</v>
      </c>
      <c r="AU6" s="42">
        <v>14939.444815910872</v>
      </c>
      <c r="AV6" s="41">
        <v>994.17286206624726</v>
      </c>
      <c r="AW6" s="42">
        <v>32745.240132269439</v>
      </c>
    </row>
    <row r="7" spans="1:49" x14ac:dyDescent="0.2">
      <c r="A7" t="s">
        <v>13</v>
      </c>
      <c r="B7" s="33">
        <v>1015.9116825427475</v>
      </c>
      <c r="C7" s="34">
        <v>1015.9116825427475</v>
      </c>
      <c r="D7" s="33">
        <v>1015.1185620907856</v>
      </c>
      <c r="E7" s="34">
        <v>1015.1185620907856</v>
      </c>
      <c r="F7" s="33">
        <v>1014.3179969148979</v>
      </c>
      <c r="G7" s="34">
        <v>1014.3179969148979</v>
      </c>
      <c r="H7" s="33">
        <v>1013.5088950258928</v>
      </c>
      <c r="I7" s="34">
        <v>1013.5088950258928</v>
      </c>
      <c r="J7" s="33">
        <v>1012.689944642211</v>
      </c>
      <c r="K7" s="34">
        <v>1012.689944642211</v>
      </c>
      <c r="L7" s="33">
        <v>1011.8596287035016</v>
      </c>
      <c r="M7" s="34">
        <v>1011.8596287035016</v>
      </c>
      <c r="N7" s="33">
        <v>1011.016168524794</v>
      </c>
      <c r="O7" s="34">
        <v>1011.016168524794</v>
      </c>
      <c r="P7" s="33">
        <v>1010.1576632554708</v>
      </c>
      <c r="Q7" s="34">
        <v>1010.1576632554708</v>
      </c>
      <c r="R7" s="33">
        <v>1009.2821621995025</v>
      </c>
      <c r="S7" s="34">
        <v>1009.2821621995025</v>
      </c>
      <c r="T7" s="33">
        <v>1008.3880311775092</v>
      </c>
      <c r="U7" s="34">
        <v>1008.3880311775092</v>
      </c>
      <c r="V7" s="33">
        <v>1007.4746438382653</v>
      </c>
      <c r="W7" s="34">
        <v>1007.4746438382653</v>
      </c>
      <c r="X7" s="33">
        <v>1006.5438495355825</v>
      </c>
      <c r="Y7" s="34">
        <v>1006.5438495355825</v>
      </c>
      <c r="Z7" s="33">
        <v>1005.6029016808717</v>
      </c>
      <c r="AA7" s="34">
        <v>1005.6029016808717</v>
      </c>
      <c r="AB7" s="33">
        <v>1004.6708942989394</v>
      </c>
      <c r="AC7" s="34">
        <v>1004.6708942989394</v>
      </c>
      <c r="AD7" s="33">
        <v>1003.7922504829595</v>
      </c>
      <c r="AE7" s="34">
        <v>1003.7922504829595</v>
      </c>
      <c r="AF7" s="33">
        <v>1003.067081965485</v>
      </c>
      <c r="AG7" s="34">
        <v>1003.067081965485</v>
      </c>
      <c r="AH7" s="33">
        <v>1002.7199276377237</v>
      </c>
      <c r="AI7" s="34">
        <v>1002.7199276377237</v>
      </c>
      <c r="AJ7" s="33">
        <v>1003.2477759978352</v>
      </c>
      <c r="AK7" s="34">
        <v>1003.2477759978352</v>
      </c>
      <c r="AL7" s="33">
        <v>1005.6167144829105</v>
      </c>
      <c r="AM7" s="34">
        <v>1005.6167144829105</v>
      </c>
      <c r="AN7" s="33">
        <v>1010.5224813755543</v>
      </c>
      <c r="AO7" s="34">
        <v>1010.5224813755543</v>
      </c>
      <c r="AP7" s="33">
        <v>1011.5446533838305</v>
      </c>
      <c r="AQ7" s="34">
        <v>1011.5446533838305</v>
      </c>
      <c r="AR7" s="33">
        <v>1012.3063954674234</v>
      </c>
      <c r="AS7" s="34">
        <v>1012.3063954674234</v>
      </c>
      <c r="AT7" s="33">
        <v>1012.3968633266313</v>
      </c>
      <c r="AU7" s="34">
        <v>1012.3968633266313</v>
      </c>
      <c r="AV7" s="33">
        <v>1010.4101826970912</v>
      </c>
      <c r="AW7" s="34">
        <v>1010.4101826970912</v>
      </c>
    </row>
    <row r="8" spans="1:49" x14ac:dyDescent="0.2">
      <c r="B8" s="35">
        <v>1005.7716594496609</v>
      </c>
      <c r="C8" s="36">
        <v>1005.7716594496609</v>
      </c>
      <c r="D8" s="35">
        <v>1051.851575081871</v>
      </c>
      <c r="E8" s="36">
        <v>1051.851575081871</v>
      </c>
      <c r="F8" s="35">
        <v>1103.0236754089399</v>
      </c>
      <c r="G8" s="36">
        <v>1103.0236754089399</v>
      </c>
      <c r="H8" s="35">
        <v>1160.1879598240982</v>
      </c>
      <c r="I8" s="36">
        <v>1160.1879598240982</v>
      </c>
      <c r="J8" s="35">
        <v>1224.470296008134</v>
      </c>
      <c r="K8" s="36">
        <v>1224.470296008134</v>
      </c>
      <c r="L8" s="35">
        <v>1297.3001174557717</v>
      </c>
      <c r="M8" s="36">
        <v>1297.3001174557717</v>
      </c>
      <c r="N8" s="35">
        <v>1380.5163281732443</v>
      </c>
      <c r="O8" s="36">
        <v>1380.5163281732443</v>
      </c>
      <c r="P8" s="35">
        <v>1476.5334730281486</v>
      </c>
      <c r="Q8" s="36">
        <v>1476.5334730281486</v>
      </c>
      <c r="R8" s="35">
        <v>1588.5812332828698</v>
      </c>
      <c r="S8" s="36">
        <v>1588.5812332828698</v>
      </c>
      <c r="T8" s="35">
        <v>1721.0881668242801</v>
      </c>
      <c r="U8" s="36">
        <v>1721.0881668242801</v>
      </c>
      <c r="V8" s="35">
        <v>1880.3018305882938</v>
      </c>
      <c r="W8" s="36">
        <v>1880.3018305882938</v>
      </c>
      <c r="X8" s="35">
        <v>2075.3405324567984</v>
      </c>
      <c r="Y8" s="36">
        <v>2075.3405324567984</v>
      </c>
      <c r="Z8" s="35">
        <v>2320.0879625628049</v>
      </c>
      <c r="AA8" s="36">
        <v>2320.0879625628049</v>
      </c>
      <c r="AB8" s="35">
        <v>2636.8338374505079</v>
      </c>
      <c r="AC8" s="36">
        <v>2636.8338374505079</v>
      </c>
      <c r="AD8" s="35">
        <v>3063.8638168727034</v>
      </c>
      <c r="AE8" s="36">
        <v>3063.8638168727034</v>
      </c>
      <c r="AF8" s="35">
        <v>3673.1462053234718</v>
      </c>
      <c r="AG8" s="36">
        <v>3673.1462053234718</v>
      </c>
      <c r="AH8" s="35">
        <v>4617.7967502067522</v>
      </c>
      <c r="AI8" s="36">
        <v>4617.7967502067522</v>
      </c>
      <c r="AJ8" s="35">
        <v>6287.2507919667833</v>
      </c>
      <c r="AK8" s="36">
        <v>6287.2507919667833</v>
      </c>
      <c r="AL8" s="35">
        <v>9989.7722503549394</v>
      </c>
      <c r="AM8" s="36">
        <v>9989.7722503549394</v>
      </c>
      <c r="AN8" s="35">
        <v>23290.787749828403</v>
      </c>
      <c r="AO8" s="36">
        <v>23290.787749828403</v>
      </c>
      <c r="AP8" s="35">
        <v>30814.439044070681</v>
      </c>
      <c r="AQ8" s="36">
        <v>30814.439044070681</v>
      </c>
      <c r="AR8" s="35">
        <v>44315.960922872364</v>
      </c>
      <c r="AS8" s="36">
        <v>44315.960922872364</v>
      </c>
      <c r="AT8" s="35">
        <v>74169.155228877586</v>
      </c>
      <c r="AU8" s="36">
        <v>74169.155228877586</v>
      </c>
      <c r="AV8" s="35">
        <v>179341.28368570164</v>
      </c>
      <c r="AW8" s="36">
        <v>179341.28368570164</v>
      </c>
    </row>
    <row r="9" spans="1:49" x14ac:dyDescent="0.2">
      <c r="A9" t="s">
        <v>14</v>
      </c>
      <c r="B9" s="41">
        <v>1015.9116825427475</v>
      </c>
      <c r="C9" s="42">
        <v>1005.7716594496609</v>
      </c>
      <c r="D9" s="41">
        <v>1015.1185620907856</v>
      </c>
      <c r="E9" s="42">
        <v>1051.851575081871</v>
      </c>
      <c r="F9" s="41">
        <v>1014.3179969148979</v>
      </c>
      <c r="G9" s="42">
        <v>1103.0236754089399</v>
      </c>
      <c r="H9" s="41">
        <v>1013.5088950258928</v>
      </c>
      <c r="I9" s="42">
        <v>1160.1879598240982</v>
      </c>
      <c r="J9" s="41">
        <v>1012.689944642211</v>
      </c>
      <c r="K9" s="42">
        <v>1224.470296008134</v>
      </c>
      <c r="L9" s="41">
        <v>1011.8596287035016</v>
      </c>
      <c r="M9" s="42">
        <v>1297.3001174557717</v>
      </c>
      <c r="N9" s="41">
        <v>1011.016168524794</v>
      </c>
      <c r="O9" s="42">
        <v>1380.5163281732443</v>
      </c>
      <c r="P9" s="41">
        <v>1010.1576632554708</v>
      </c>
      <c r="Q9" s="42">
        <v>1476.5334730281486</v>
      </c>
      <c r="R9" s="41">
        <v>1009.2821621995025</v>
      </c>
      <c r="S9" s="42">
        <v>1588.5812332828698</v>
      </c>
      <c r="T9" s="41">
        <v>1008.3880311775092</v>
      </c>
      <c r="U9" s="42">
        <v>1721.0881668242801</v>
      </c>
      <c r="V9" s="41">
        <v>1007.4746438382653</v>
      </c>
      <c r="W9" s="42">
        <v>1880.3018305882938</v>
      </c>
      <c r="X9" s="41">
        <v>1006.5438495355825</v>
      </c>
      <c r="Y9" s="42">
        <v>2075.3405324567984</v>
      </c>
      <c r="Z9" s="41">
        <v>1005.6029016808717</v>
      </c>
      <c r="AA9" s="42">
        <v>2320.0879625628049</v>
      </c>
      <c r="AB9" s="41">
        <v>1004.6708942989394</v>
      </c>
      <c r="AC9" s="42">
        <v>2636.8338374505079</v>
      </c>
      <c r="AD9" s="41">
        <v>1003.7922504829595</v>
      </c>
      <c r="AE9" s="42">
        <v>3063.8638168727034</v>
      </c>
      <c r="AF9" s="41">
        <v>1003.067081965485</v>
      </c>
      <c r="AG9" s="42">
        <v>3673.1462053234718</v>
      </c>
      <c r="AH9" s="41">
        <v>1002.7199276377237</v>
      </c>
      <c r="AI9" s="42">
        <v>4617.7967502067522</v>
      </c>
      <c r="AJ9" s="41">
        <v>1003.2477759978352</v>
      </c>
      <c r="AK9" s="42">
        <v>6287.2507919667833</v>
      </c>
      <c r="AL9" s="41">
        <v>1005.6167144829105</v>
      </c>
      <c r="AM9" s="42">
        <v>9989.7722503549394</v>
      </c>
      <c r="AN9" s="41">
        <v>1010.5224813755543</v>
      </c>
      <c r="AO9" s="42">
        <v>23290.787749828403</v>
      </c>
      <c r="AP9" s="41">
        <v>1011.5446533838305</v>
      </c>
      <c r="AQ9" s="42">
        <v>30814.439044070681</v>
      </c>
      <c r="AR9" s="41">
        <v>1012.3063954674234</v>
      </c>
      <c r="AS9" s="42">
        <v>44315.960922872364</v>
      </c>
      <c r="AT9" s="41">
        <v>1012.3968633266313</v>
      </c>
      <c r="AU9" s="42">
        <v>74169.155228877586</v>
      </c>
      <c r="AV9" s="41">
        <v>1010.4101826970912</v>
      </c>
      <c r="AW9" s="42">
        <v>179341.28368570164</v>
      </c>
    </row>
    <row r="10" spans="1:49" x14ac:dyDescent="0.2">
      <c r="A10" t="s">
        <v>15</v>
      </c>
      <c r="B10" s="41">
        <v>1015.9116825427475</v>
      </c>
      <c r="C10" s="42">
        <v>1005.7716594496609</v>
      </c>
      <c r="D10" s="41">
        <v>1015.1185620907856</v>
      </c>
      <c r="E10" s="42">
        <v>1051.851575081871</v>
      </c>
      <c r="F10" s="41">
        <v>1014.3179969148979</v>
      </c>
      <c r="G10" s="42">
        <v>1103.0236754089399</v>
      </c>
      <c r="H10" s="41">
        <v>1013.5088950258928</v>
      </c>
      <c r="I10" s="42">
        <v>1160.1879598240982</v>
      </c>
      <c r="J10" s="41">
        <v>1012.689944642211</v>
      </c>
      <c r="K10" s="42">
        <v>1224.470296008134</v>
      </c>
      <c r="L10" s="41">
        <v>1011.8596287035016</v>
      </c>
      <c r="M10" s="42">
        <v>1297.3001174557717</v>
      </c>
      <c r="N10" s="41">
        <v>1011.016168524794</v>
      </c>
      <c r="O10" s="42">
        <v>1380.5163281732443</v>
      </c>
      <c r="P10" s="41">
        <v>1010.1576632554708</v>
      </c>
      <c r="Q10" s="42">
        <v>1476.5334730281486</v>
      </c>
      <c r="R10" s="41">
        <v>1009.2821621995025</v>
      </c>
      <c r="S10" s="42">
        <v>1588.5812332828698</v>
      </c>
      <c r="T10" s="41">
        <v>1008.3880311775092</v>
      </c>
      <c r="U10" s="42">
        <v>1721.0881668242801</v>
      </c>
      <c r="V10" s="41">
        <v>1007.4746438382653</v>
      </c>
      <c r="W10" s="42">
        <v>1880.3018305882938</v>
      </c>
      <c r="X10" s="41">
        <v>1006.5438495355825</v>
      </c>
      <c r="Y10" s="42">
        <v>2075.3405324567984</v>
      </c>
      <c r="Z10" s="41">
        <v>1005.6029016808717</v>
      </c>
      <c r="AA10" s="42">
        <v>2320.0879625628049</v>
      </c>
      <c r="AB10" s="41">
        <v>1004.6708942989394</v>
      </c>
      <c r="AC10" s="42">
        <v>2636.8338374505079</v>
      </c>
      <c r="AD10" s="41">
        <v>1003.7922504829595</v>
      </c>
      <c r="AE10" s="42">
        <v>3063.8638168727034</v>
      </c>
      <c r="AF10" s="41">
        <v>1003.067081965485</v>
      </c>
      <c r="AG10" s="42">
        <v>3673.1462053234718</v>
      </c>
      <c r="AH10" s="41">
        <v>1002.7199276377237</v>
      </c>
      <c r="AI10" s="42">
        <v>4617.7967502067522</v>
      </c>
      <c r="AJ10" s="41">
        <v>1003.2477759978352</v>
      </c>
      <c r="AK10" s="42">
        <v>6287.2507919667833</v>
      </c>
      <c r="AL10" s="41">
        <v>1005.6167144829105</v>
      </c>
      <c r="AM10" s="42">
        <v>9989.7722503549394</v>
      </c>
      <c r="AN10" s="41">
        <v>1010.5224813755543</v>
      </c>
      <c r="AO10" s="42">
        <v>23290.787749828403</v>
      </c>
      <c r="AP10" s="41">
        <v>1011.5446533838305</v>
      </c>
      <c r="AQ10" s="42">
        <v>30814.439044070681</v>
      </c>
      <c r="AR10" s="41">
        <v>1012.3063954674234</v>
      </c>
      <c r="AS10" s="42">
        <v>44315.960922872364</v>
      </c>
      <c r="AT10" s="41">
        <v>1012.3968633266313</v>
      </c>
      <c r="AU10" s="42">
        <v>74169.155228877586</v>
      </c>
      <c r="AV10" s="41">
        <v>1010.4101826970912</v>
      </c>
      <c r="AW10" s="42">
        <v>179341.28368570164</v>
      </c>
    </row>
    <row r="11" spans="1:49" x14ac:dyDescent="0.2">
      <c r="A11" t="s">
        <v>29</v>
      </c>
      <c r="B11" s="41">
        <v>1015.9116825427475</v>
      </c>
      <c r="C11" s="42">
        <v>1005.7716594496609</v>
      </c>
      <c r="D11" s="41">
        <v>1015.1185620907856</v>
      </c>
      <c r="E11" s="42">
        <v>1051.851575081871</v>
      </c>
      <c r="F11" s="41">
        <v>1014.3179969148979</v>
      </c>
      <c r="G11" s="42">
        <v>1103.0236754089399</v>
      </c>
      <c r="H11" s="41">
        <v>1013.5088950258928</v>
      </c>
      <c r="I11" s="42">
        <v>1160.1879598240982</v>
      </c>
      <c r="J11" s="41">
        <v>1012.689944642211</v>
      </c>
      <c r="K11" s="42">
        <v>1224.470296008134</v>
      </c>
      <c r="L11" s="41">
        <v>1011.8596287035016</v>
      </c>
      <c r="M11" s="42">
        <v>1297.3001174557717</v>
      </c>
      <c r="N11" s="41">
        <v>1011.016168524794</v>
      </c>
      <c r="O11" s="42">
        <v>1380.5163281732443</v>
      </c>
      <c r="P11" s="41">
        <v>1010.1576632554708</v>
      </c>
      <c r="Q11" s="42">
        <v>1476.5334730281486</v>
      </c>
      <c r="R11" s="41">
        <v>1009.2821621995025</v>
      </c>
      <c r="S11" s="42">
        <v>1588.5812332828698</v>
      </c>
      <c r="T11" s="41">
        <v>1008.3880311775092</v>
      </c>
      <c r="U11" s="42">
        <v>1721.0881668242801</v>
      </c>
      <c r="V11" s="41">
        <v>1007.4746438382653</v>
      </c>
      <c r="W11" s="42">
        <v>1880.3018305882938</v>
      </c>
      <c r="X11" s="41">
        <v>1006.5438495355825</v>
      </c>
      <c r="Y11" s="42">
        <v>2075.3405324567984</v>
      </c>
      <c r="Z11" s="41">
        <v>1005.6029016808717</v>
      </c>
      <c r="AA11" s="42">
        <v>2320.0879625628049</v>
      </c>
      <c r="AB11" s="41">
        <v>1004.6708942989394</v>
      </c>
      <c r="AC11" s="42">
        <v>2636.8338374505079</v>
      </c>
      <c r="AD11" s="41">
        <v>1003.7922504829595</v>
      </c>
      <c r="AE11" s="42">
        <v>3063.8638168727034</v>
      </c>
      <c r="AF11" s="41">
        <v>1003.067081965485</v>
      </c>
      <c r="AG11" s="42">
        <v>3673.1462053234718</v>
      </c>
      <c r="AH11" s="41">
        <v>1002.7199276377237</v>
      </c>
      <c r="AI11" s="42">
        <v>4617.7967502067522</v>
      </c>
      <c r="AJ11" s="41">
        <v>1003.2477759978352</v>
      </c>
      <c r="AK11" s="42">
        <v>6287.2507919667833</v>
      </c>
      <c r="AL11" s="41">
        <v>1005.6167144829105</v>
      </c>
      <c r="AM11" s="42">
        <v>9989.7722503549394</v>
      </c>
      <c r="AN11" s="41">
        <v>1010.5224813755543</v>
      </c>
      <c r="AO11" s="42">
        <v>23290.787749828403</v>
      </c>
      <c r="AP11" s="41">
        <v>1011.5446533838305</v>
      </c>
      <c r="AQ11" s="42">
        <v>30814.439044070681</v>
      </c>
      <c r="AR11" s="41">
        <v>1012.3063954674234</v>
      </c>
      <c r="AS11" s="42">
        <v>44315.960922872364</v>
      </c>
      <c r="AT11" s="41">
        <v>1012.3968633266313</v>
      </c>
      <c r="AU11" s="42">
        <v>74169.155228877586</v>
      </c>
      <c r="AV11" s="41">
        <v>1010.4101826970912</v>
      </c>
      <c r="AW11" s="42">
        <v>179341.28368570164</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1004.3365247326421</v>
      </c>
      <c r="E13" s="98">
        <v>1004.3365247326421</v>
      </c>
      <c r="F13" s="97">
        <v>1008.6131915404675</v>
      </c>
      <c r="G13" s="98">
        <v>1008.6131915404675</v>
      </c>
      <c r="H13" s="97">
        <v>1012.8258672110137</v>
      </c>
      <c r="I13" s="98">
        <v>1012.8258672110137</v>
      </c>
      <c r="J13" s="97">
        <v>1016.9697857174793</v>
      </c>
      <c r="K13" s="98">
        <v>1016.9697857174793</v>
      </c>
      <c r="L13" s="97">
        <v>1021.0393711264182</v>
      </c>
      <c r="M13" s="98">
        <v>1021.0393711264182</v>
      </c>
      <c r="N13" s="97">
        <v>1025.0284597411785</v>
      </c>
      <c r="O13" s="98">
        <v>1025.0284597411785</v>
      </c>
      <c r="P13" s="97">
        <v>1028.930035035964</v>
      </c>
      <c r="Q13" s="98">
        <v>1028.930035035964</v>
      </c>
      <c r="R13" s="97">
        <v>1032.7367265578132</v>
      </c>
      <c r="S13" s="98">
        <v>1032.7367265578132</v>
      </c>
      <c r="T13" s="97">
        <v>1036.441327188086</v>
      </c>
      <c r="U13" s="98">
        <v>1036.441327188086</v>
      </c>
      <c r="V13" s="97">
        <v>1040.0382490115601</v>
      </c>
      <c r="W13" s="98">
        <v>1040.0382490115601</v>
      </c>
      <c r="X13" s="97">
        <v>1043.526579802689</v>
      </c>
      <c r="Y13" s="98">
        <v>1043.526579802689</v>
      </c>
      <c r="Z13" s="97">
        <v>1046.9174164394558</v>
      </c>
      <c r="AA13" s="98">
        <v>1046.9174164394558</v>
      </c>
      <c r="AB13" s="97">
        <v>1050.2479860103647</v>
      </c>
      <c r="AC13" s="98">
        <v>1050.2479860103647</v>
      </c>
      <c r="AD13" s="97">
        <v>1053.6165276901634</v>
      </c>
      <c r="AE13" s="98">
        <v>1053.6165276901634</v>
      </c>
      <c r="AF13" s="97">
        <v>1057.2626585157102</v>
      </c>
      <c r="AG13" s="98">
        <v>1057.2626585157102</v>
      </c>
      <c r="AH13" s="97">
        <v>1061.768603662563</v>
      </c>
      <c r="AI13" s="98">
        <v>1061.768603662563</v>
      </c>
      <c r="AJ13" s="97">
        <v>1068.5781165807095</v>
      </c>
      <c r="AK13" s="98">
        <v>1068.5781165807095</v>
      </c>
      <c r="AL13" s="97">
        <v>1081.2864884497844</v>
      </c>
      <c r="AM13" s="98">
        <v>1081.2864884497844</v>
      </c>
      <c r="AN13" s="97">
        <v>1109.1511772835322</v>
      </c>
      <c r="AO13" s="98">
        <v>1109.1511772835322</v>
      </c>
      <c r="AP13" s="97">
        <v>1118.9438507391346</v>
      </c>
      <c r="AQ13" s="98">
        <v>1118.9438507391346</v>
      </c>
      <c r="AR13" s="97">
        <v>1132.209519838794</v>
      </c>
      <c r="AS13" s="98">
        <v>1132.209519838794</v>
      </c>
      <c r="AT13" s="97">
        <v>1152.7299929222891</v>
      </c>
      <c r="AU13" s="98">
        <v>1152.7299929222891</v>
      </c>
      <c r="AV13" s="97">
        <v>1194.9399360562225</v>
      </c>
      <c r="AW13" s="98">
        <v>1194.9399360562225</v>
      </c>
    </row>
    <row r="14" spans="1:49" x14ac:dyDescent="0.2">
      <c r="A14" t="s">
        <v>36</v>
      </c>
      <c r="B14" s="41">
        <v>1457.0034251455234</v>
      </c>
      <c r="C14" s="42">
        <v>1457.0034251455236</v>
      </c>
      <c r="D14" s="41">
        <v>1463.3217565342111</v>
      </c>
      <c r="E14" s="42">
        <v>1463.3217565342113</v>
      </c>
      <c r="F14" s="41">
        <v>1469.5528747214189</v>
      </c>
      <c r="G14" s="42">
        <v>1469.5528747214191</v>
      </c>
      <c r="H14" s="41">
        <v>1475.6907576024319</v>
      </c>
      <c r="I14" s="42">
        <v>1475.6907576024321</v>
      </c>
      <c r="J14" s="41">
        <v>1481.7284610598763</v>
      </c>
      <c r="K14" s="42">
        <v>1481.7284610598765</v>
      </c>
      <c r="L14" s="41">
        <v>1487.6578609396224</v>
      </c>
      <c r="M14" s="42">
        <v>1487.6578609396227</v>
      </c>
      <c r="N14" s="41">
        <v>1493.4699767145371</v>
      </c>
      <c r="O14" s="42">
        <v>1493.4699767145373</v>
      </c>
      <c r="P14" s="41">
        <v>1499.1545852825029</v>
      </c>
      <c r="Q14" s="42">
        <v>1499.1545852825031</v>
      </c>
      <c r="R14" s="41">
        <v>1504.7009478683094</v>
      </c>
      <c r="S14" s="42">
        <v>1504.7009478683099</v>
      </c>
      <c r="T14" s="41">
        <v>1510.0985636754133</v>
      </c>
      <c r="U14" s="42">
        <v>1510.0985636754135</v>
      </c>
      <c r="V14" s="41">
        <v>1515.3392910921957</v>
      </c>
      <c r="W14" s="42">
        <v>1515.3392910921959</v>
      </c>
      <c r="X14" s="41">
        <v>1520.421801002911</v>
      </c>
      <c r="Y14" s="42">
        <v>1520.4218010029113</v>
      </c>
      <c r="Z14" s="41">
        <v>1525.3622615967893</v>
      </c>
      <c r="AA14" s="42">
        <v>1525.3622615967895</v>
      </c>
      <c r="AB14" s="41">
        <v>1530.214912869289</v>
      </c>
      <c r="AC14" s="42">
        <v>1530.2149128692893</v>
      </c>
      <c r="AD14" s="41">
        <v>1535.122889634501</v>
      </c>
      <c r="AE14" s="42">
        <v>1535.1228896345012</v>
      </c>
      <c r="AF14" s="41">
        <v>1540.4353147358515</v>
      </c>
      <c r="AG14" s="42">
        <v>1540.4353147358518</v>
      </c>
      <c r="AH14" s="41">
        <v>1547.0004922483338</v>
      </c>
      <c r="AI14" s="42">
        <v>1547.0004922483342</v>
      </c>
      <c r="AJ14" s="41">
        <v>1556.921975893646</v>
      </c>
      <c r="AK14" s="42">
        <v>1556.9219758936463</v>
      </c>
      <c r="AL14" s="41">
        <v>1575.4381172349113</v>
      </c>
      <c r="AM14" s="42">
        <v>1575.4381172349115</v>
      </c>
      <c r="AN14" s="41">
        <v>1616.0370643062959</v>
      </c>
      <c r="AO14" s="42">
        <v>1616.0370643062961</v>
      </c>
      <c r="AP14" s="41">
        <v>1630.3050230724402</v>
      </c>
      <c r="AQ14" s="42">
        <v>1630.3050230724405</v>
      </c>
      <c r="AR14" s="41">
        <v>1649.6331483874912</v>
      </c>
      <c r="AS14" s="42">
        <v>1649.6331483874915</v>
      </c>
      <c r="AT14" s="41">
        <v>1679.5315479557501</v>
      </c>
      <c r="AU14" s="42">
        <v>1679.5315479557503</v>
      </c>
      <c r="AV14" s="41">
        <v>1741.0315796770888</v>
      </c>
      <c r="AW14" s="42">
        <v>1741.031579677089</v>
      </c>
    </row>
    <row r="15" spans="1:49" x14ac:dyDescent="0.2">
      <c r="A15" t="s">
        <v>18</v>
      </c>
      <c r="B15" s="154">
        <v>1000</v>
      </c>
      <c r="C15" s="155">
        <v>1000</v>
      </c>
      <c r="D15" s="154">
        <v>989.29789981239128</v>
      </c>
      <c r="E15" s="155">
        <v>989.29789981239128</v>
      </c>
      <c r="F15" s="154">
        <v>978.43524764352549</v>
      </c>
      <c r="G15" s="155">
        <v>978.43524764352549</v>
      </c>
      <c r="H15" s="154">
        <v>967.38831230301582</v>
      </c>
      <c r="I15" s="155">
        <v>967.38831230301582</v>
      </c>
      <c r="J15" s="154">
        <v>956.12890318402094</v>
      </c>
      <c r="K15" s="155">
        <v>956.12890318402094</v>
      </c>
      <c r="L15" s="154">
        <v>944.62335319487818</v>
      </c>
      <c r="M15" s="155">
        <v>944.62335319487818</v>
      </c>
      <c r="N15" s="154">
        <v>932.83047703717853</v>
      </c>
      <c r="O15" s="155">
        <v>932.83047703717853</v>
      </c>
      <c r="P15" s="154">
        <v>920.69977648413112</v>
      </c>
      <c r="Q15" s="155">
        <v>920.69977648413112</v>
      </c>
      <c r="R15" s="154">
        <v>908.16769581313235</v>
      </c>
      <c r="S15" s="155">
        <v>908.16769581313235</v>
      </c>
      <c r="T15" s="154">
        <v>895.15283540153075</v>
      </c>
      <c r="U15" s="155">
        <v>895.15283540153075</v>
      </c>
      <c r="V15" s="154">
        <v>881.54819440927258</v>
      </c>
      <c r="W15" s="155">
        <v>881.54819440927258</v>
      </c>
      <c r="X15" s="154">
        <v>867.20900437420426</v>
      </c>
      <c r="Y15" s="155">
        <v>867.20900437420426</v>
      </c>
      <c r="Z15" s="154">
        <v>851.93024887421564</v>
      </c>
      <c r="AA15" s="155">
        <v>851.93024887421564</v>
      </c>
      <c r="AB15" s="154">
        <v>835.40993474689469</v>
      </c>
      <c r="AC15" s="155">
        <v>835.40993474689469</v>
      </c>
      <c r="AD15" s="154">
        <v>817.17190236290878</v>
      </c>
      <c r="AE15" s="155">
        <v>817.17190236290878</v>
      </c>
      <c r="AF15" s="154">
        <v>796.40576289891021</v>
      </c>
      <c r="AG15" s="155">
        <v>796.40576289891021</v>
      </c>
      <c r="AH15" s="154">
        <v>771.58687577032322</v>
      </c>
      <c r="AI15" s="155">
        <v>771.58687577032322</v>
      </c>
      <c r="AJ15" s="154">
        <v>739.4648612160081</v>
      </c>
      <c r="AK15" s="155">
        <v>739.4648612160081</v>
      </c>
      <c r="AL15" s="154">
        <v>691.95007784496204</v>
      </c>
      <c r="AM15" s="155">
        <v>691.95007784496204</v>
      </c>
      <c r="AN15" s="154">
        <v>602.72008682225737</v>
      </c>
      <c r="AO15" s="155">
        <v>602.72008682225737</v>
      </c>
      <c r="AP15" s="154">
        <v>572.05878770508366</v>
      </c>
      <c r="AQ15" s="155">
        <v>572.05878770508366</v>
      </c>
      <c r="AR15" s="154">
        <v>531.10378820767562</v>
      </c>
      <c r="AS15" s="155">
        <v>531.10378820767562</v>
      </c>
      <c r="AT15" s="154">
        <v>470.34612117731962</v>
      </c>
      <c r="AU15" s="155">
        <v>470.34612117731962</v>
      </c>
      <c r="AV15" s="154">
        <v>357.30925546910208</v>
      </c>
      <c r="AW15" s="155">
        <v>357.30925546910208</v>
      </c>
    </row>
    <row r="16" spans="1:49" s="29" customFormat="1" x14ac:dyDescent="0.2">
      <c r="A16" t="s">
        <v>61</v>
      </c>
      <c r="B16" s="41">
        <v>1000</v>
      </c>
      <c r="C16" s="42">
        <v>1000</v>
      </c>
      <c r="D16" s="41">
        <v>997.31137243609464</v>
      </c>
      <c r="E16" s="42">
        <v>993.58805188323447</v>
      </c>
      <c r="F16" s="41">
        <v>994.50677907114482</v>
      </c>
      <c r="G16" s="42">
        <v>987.03969334425744</v>
      </c>
      <c r="H16" s="41">
        <v>991.57271019801817</v>
      </c>
      <c r="I16" s="42">
        <v>980.33666188047812</v>
      </c>
      <c r="J16" s="41">
        <v>988.49319146245148</v>
      </c>
      <c r="K16" s="42">
        <v>973.45729532343398</v>
      </c>
      <c r="L16" s="41">
        <v>985.24919802376644</v>
      </c>
      <c r="M16" s="42">
        <v>966.37579044871802</v>
      </c>
      <c r="N16" s="41">
        <v>981.81781536401047</v>
      </c>
      <c r="O16" s="42">
        <v>959.06069756915497</v>
      </c>
      <c r="P16" s="41">
        <v>978.17122314945698</v>
      </c>
      <c r="Q16" s="42">
        <v>951.47369807897985</v>
      </c>
      <c r="R16" s="41">
        <v>974.27519533061934</v>
      </c>
      <c r="S16" s="42">
        <v>943.56692117003138</v>
      </c>
      <c r="T16" s="41">
        <v>970.08708997231292</v>
      </c>
      <c r="U16" s="42">
        <v>935.27971483373744</v>
      </c>
      <c r="V16" s="41">
        <v>965.55293676838858</v>
      </c>
      <c r="W16" s="42">
        <v>926.53346888882231</v>
      </c>
      <c r="X16" s="41">
        <v>960.60327756693857</v>
      </c>
      <c r="Y16" s="42">
        <v>917.2236579023205</v>
      </c>
      <c r="Z16" s="41">
        <v>955.14640244156476</v>
      </c>
      <c r="AA16" s="42">
        <v>907.20603332622306</v>
      </c>
      <c r="AB16" s="41">
        <v>949.05839120685675</v>
      </c>
      <c r="AC16" s="42">
        <v>896.27379740271078</v>
      </c>
      <c r="AD16" s="41">
        <v>942.16504912082735</v>
      </c>
      <c r="AE16" s="42">
        <v>884.11241375285829</v>
      </c>
      <c r="AF16" s="41">
        <v>934.20866592301388</v>
      </c>
      <c r="AG16" s="42">
        <v>870.20722914978069</v>
      </c>
      <c r="AH16" s="41">
        <v>924.77470216627114</v>
      </c>
      <c r="AI16" s="42">
        <v>853.62764669979219</v>
      </c>
      <c r="AJ16" s="41">
        <v>913.08783846097901</v>
      </c>
      <c r="AK16" s="42">
        <v>832.44775020654765</v>
      </c>
      <c r="AL16" s="41">
        <v>897.22073995358983</v>
      </c>
      <c r="AM16" s="42">
        <v>801.87581966310847</v>
      </c>
      <c r="AN16" s="41">
        <v>869.59993782697791</v>
      </c>
      <c r="AO16" s="42">
        <v>745.62478192533911</v>
      </c>
      <c r="AP16" s="41">
        <v>860.23144602655441</v>
      </c>
      <c r="AQ16" s="42">
        <v>726.36107935362531</v>
      </c>
      <c r="AR16" s="41">
        <v>847.81687785097836</v>
      </c>
      <c r="AS16" s="42">
        <v>700.68314549974764</v>
      </c>
      <c r="AT16" s="41">
        <v>829.84326628870383</v>
      </c>
      <c r="AU16" s="42">
        <v>662.82684308235014</v>
      </c>
      <c r="AV16" s="41">
        <v>798.5283617837971</v>
      </c>
      <c r="AW16" s="42">
        <v>593.53410570938115</v>
      </c>
    </row>
    <row r="17" spans="1:49" x14ac:dyDescent="0.2">
      <c r="A17" t="s">
        <v>62</v>
      </c>
      <c r="B17" s="35">
        <v>999.99999999998658</v>
      </c>
      <c r="C17" s="36">
        <v>1000.0000000000002</v>
      </c>
      <c r="D17" s="35">
        <v>999.29031007719482</v>
      </c>
      <c r="E17" s="36">
        <v>1021.2138227461624</v>
      </c>
      <c r="F17" s="35">
        <v>998.57441701482185</v>
      </c>
      <c r="G17" s="36">
        <v>1044.6722546929504</v>
      </c>
      <c r="H17" s="35">
        <v>997.85135711412784</v>
      </c>
      <c r="I17" s="36">
        <v>1070.7470533169446</v>
      </c>
      <c r="J17" s="35">
        <v>997.11996541660574</v>
      </c>
      <c r="K17" s="36">
        <v>1099.8992161605167</v>
      </c>
      <c r="L17" s="35">
        <v>996.37893333730415</v>
      </c>
      <c r="M17" s="36">
        <v>1132.7089683265719</v>
      </c>
      <c r="N17" s="35">
        <v>995.62665742801096</v>
      </c>
      <c r="O17" s="36">
        <v>1169.9154105827029</v>
      </c>
      <c r="P17" s="35">
        <v>994.86150261499756</v>
      </c>
      <c r="Q17" s="36">
        <v>1212.4799893778561</v>
      </c>
      <c r="R17" s="35">
        <v>994.08174907155228</v>
      </c>
      <c r="S17" s="36">
        <v>1261.6753478070746</v>
      </c>
      <c r="T17" s="35">
        <v>993.28597612631302</v>
      </c>
      <c r="U17" s="36">
        <v>1319.2280106240116</v>
      </c>
      <c r="V17" s="35">
        <v>992.47366734840716</v>
      </c>
      <c r="W17" s="36">
        <v>1387.5463310528337</v>
      </c>
      <c r="X17" s="35">
        <v>991.64653598839482</v>
      </c>
      <c r="Y17" s="36">
        <v>1470.1033709197675</v>
      </c>
      <c r="Z17" s="35">
        <v>990.81094844027257</v>
      </c>
      <c r="AA17" s="36">
        <v>1572.119865098181</v>
      </c>
      <c r="AB17" s="35">
        <v>989.98397604170657</v>
      </c>
      <c r="AC17" s="36">
        <v>1701.8628657159836</v>
      </c>
      <c r="AD17" s="35">
        <v>989.2049360357322</v>
      </c>
      <c r="AE17" s="36">
        <v>1873.3167873987886</v>
      </c>
      <c r="AF17" s="35">
        <v>988.5623985766415</v>
      </c>
      <c r="AG17" s="36">
        <v>2112.3206625229741</v>
      </c>
      <c r="AH17" s="35">
        <v>988.25493768040178</v>
      </c>
      <c r="AI17" s="36">
        <v>2472.7494910023465</v>
      </c>
      <c r="AJ17" s="35">
        <v>988.72246589736847</v>
      </c>
      <c r="AK17" s="36">
        <v>3088.2547858815101</v>
      </c>
      <c r="AL17" s="35">
        <v>990.82320934371103</v>
      </c>
      <c r="AM17" s="36">
        <v>4393.3728356728388</v>
      </c>
      <c r="AN17" s="35">
        <v>995.18658564942996</v>
      </c>
      <c r="AO17" s="36">
        <v>8789.7475793428821</v>
      </c>
      <c r="AP17" s="35">
        <v>996.09794096743315</v>
      </c>
      <c r="AQ17" s="36">
        <v>11183.691463665769</v>
      </c>
      <c r="AR17" s="35">
        <v>996.77759069452543</v>
      </c>
      <c r="AS17" s="36">
        <v>15397.140663122264</v>
      </c>
      <c r="AT17" s="35">
        <v>996.85833674418052</v>
      </c>
      <c r="AU17" s="36">
        <v>24508.486964873435</v>
      </c>
      <c r="AV17" s="35">
        <v>995.08650768419579</v>
      </c>
      <c r="AW17" s="36">
        <v>55745.594618049297</v>
      </c>
    </row>
    <row r="18" spans="1:49" x14ac:dyDescent="0.2">
      <c r="A18" t="s">
        <v>19</v>
      </c>
      <c r="B18" s="33">
        <v>27857.010133999996</v>
      </c>
      <c r="C18" s="34">
        <v>1236.7674480000003</v>
      </c>
      <c r="D18" s="33">
        <v>27842.244566919169</v>
      </c>
      <c r="E18" s="34">
        <v>1159.1389009700142</v>
      </c>
      <c r="F18" s="33">
        <v>27824.434543474519</v>
      </c>
      <c r="G18" s="34">
        <v>1081.7211164029718</v>
      </c>
      <c r="H18" s="33">
        <v>27803.223847534729</v>
      </c>
      <c r="I18" s="34">
        <v>1004.5447425732749</v>
      </c>
      <c r="J18" s="33">
        <v>27778.191247172374</v>
      </c>
      <c r="K18" s="34">
        <v>927.64588769904663</v>
      </c>
      <c r="L18" s="33">
        <v>27748.831859392238</v>
      </c>
      <c r="M18" s="34">
        <v>851.06988704668413</v>
      </c>
      <c r="N18" s="33">
        <v>27714.535641947303</v>
      </c>
      <c r="O18" s="34">
        <v>774.87008231323307</v>
      </c>
      <c r="P18" s="33">
        <v>27674.549840259133</v>
      </c>
      <c r="Q18" s="34">
        <v>699.11821471550525</v>
      </c>
      <c r="R18" s="33">
        <v>27627.933918061557</v>
      </c>
      <c r="S18" s="34">
        <v>623.90575906903825</v>
      </c>
      <c r="T18" s="33">
        <v>27573.485939641418</v>
      </c>
      <c r="U18" s="34">
        <v>549.35706909423891</v>
      </c>
      <c r="V18" s="33">
        <v>27509.632706638986</v>
      </c>
      <c r="W18" s="34">
        <v>475.64536665503158</v>
      </c>
      <c r="X18" s="33">
        <v>27434.258151076418</v>
      </c>
      <c r="Y18" s="34">
        <v>403.01843991503694</v>
      </c>
      <c r="Z18" s="33">
        <v>27344.40188122564</v>
      </c>
      <c r="AA18" s="34">
        <v>331.84962112586959</v>
      </c>
      <c r="AB18" s="33">
        <v>27235.763851165833</v>
      </c>
      <c r="AC18" s="34">
        <v>262.70774099360796</v>
      </c>
      <c r="AD18" s="33">
        <v>27101.737519235929</v>
      </c>
      <c r="AE18" s="34">
        <v>196.50404172656016</v>
      </c>
      <c r="AF18" s="33">
        <v>26931.498563838762</v>
      </c>
      <c r="AG18" s="34">
        <v>134.73868659377501</v>
      </c>
      <c r="AH18" s="33">
        <v>26705.805313757435</v>
      </c>
      <c r="AI18" s="34">
        <v>79.935318311930388</v>
      </c>
      <c r="AJ18" s="33">
        <v>26386.861739168915</v>
      </c>
      <c r="AK18" s="34">
        <v>36.234249229884263</v>
      </c>
      <c r="AL18" s="33">
        <v>25890.622072064943</v>
      </c>
      <c r="AM18" s="34">
        <v>9.182428211057676</v>
      </c>
      <c r="AN18" s="33">
        <v>24980.094601850004</v>
      </c>
      <c r="AO18" s="34">
        <v>0.4697442787135348</v>
      </c>
      <c r="AP18" s="33">
        <v>24685.118992706601</v>
      </c>
      <c r="AQ18" s="34">
        <v>0.15979498460564456</v>
      </c>
      <c r="AR18" s="33">
        <v>24308.204162838018</v>
      </c>
      <c r="AS18" s="34">
        <v>3.7447056515951725E-2</v>
      </c>
      <c r="AT18" s="33">
        <v>23785.826204520101</v>
      </c>
      <c r="AU18" s="34">
        <v>4.4189598869492711E-3</v>
      </c>
      <c r="AV18" s="33">
        <v>22922.032823381862</v>
      </c>
      <c r="AW18" s="34">
        <v>9.5876896866628898E-5</v>
      </c>
    </row>
    <row r="19" spans="1:49" x14ac:dyDescent="0.2">
      <c r="A19" t="s">
        <v>3</v>
      </c>
      <c r="B19" s="41">
        <v>1886.3937399999918</v>
      </c>
      <c r="C19" s="42">
        <v>262.78711299999759</v>
      </c>
      <c r="D19" s="41">
        <v>1881.8629979326029</v>
      </c>
      <c r="E19" s="42">
        <v>262.04999091166246</v>
      </c>
      <c r="F19" s="41">
        <v>1877.1007932744694</v>
      </c>
      <c r="G19" s="42">
        <v>261.54422623300985</v>
      </c>
      <c r="H19" s="41">
        <v>1872.0796145515051</v>
      </c>
      <c r="I19" s="42">
        <v>261.2909446007514</v>
      </c>
      <c r="J19" s="41">
        <v>1866.7668494228174</v>
      </c>
      <c r="K19" s="42">
        <v>261.31346172292069</v>
      </c>
      <c r="L19" s="41">
        <v>1861.1236617006966</v>
      </c>
      <c r="M19" s="42">
        <v>261.63757047989992</v>
      </c>
      <c r="N19" s="41">
        <v>1855.103387741555</v>
      </c>
      <c r="O19" s="42">
        <v>262.28982073795146</v>
      </c>
      <c r="P19" s="41">
        <v>1848.6497436180289</v>
      </c>
      <c r="Q19" s="42">
        <v>263.2975866052725</v>
      </c>
      <c r="R19" s="41">
        <v>1841.6942761900739</v>
      </c>
      <c r="S19" s="42">
        <v>264.68475708567405</v>
      </c>
      <c r="T19" s="41">
        <v>1834.153240068641</v>
      </c>
      <c r="U19" s="42">
        <v>266.46642494293349</v>
      </c>
      <c r="V19" s="41">
        <v>1825.9235328362661</v>
      </c>
      <c r="W19" s="42">
        <v>268.63720882279409</v>
      </c>
      <c r="X19" s="41">
        <v>1816.8779512280889</v>
      </c>
      <c r="Y19" s="42">
        <v>271.14832157016735</v>
      </c>
      <c r="Z19" s="41">
        <v>1806.8581561539579</v>
      </c>
      <c r="AA19" s="42">
        <v>273.86192782608123</v>
      </c>
      <c r="AB19" s="41">
        <v>1795.6697582079098</v>
      </c>
      <c r="AC19" s="42">
        <v>276.46076265407766</v>
      </c>
      <c r="AD19" s="41">
        <v>1783.0756797105496</v>
      </c>
      <c r="AE19" s="42">
        <v>278.251756613623</v>
      </c>
      <c r="AF19" s="41">
        <v>1768.7964289553499</v>
      </c>
      <c r="AG19" s="42">
        <v>277.74313016002361</v>
      </c>
      <c r="AH19" s="41">
        <v>1752.5127709940725</v>
      </c>
      <c r="AI19" s="42">
        <v>271.69326502168775</v>
      </c>
      <c r="AJ19" s="41">
        <v>1733.777414977465</v>
      </c>
      <c r="AK19" s="42">
        <v>253.05413188065342</v>
      </c>
      <c r="AL19" s="41">
        <v>1710.8520960628559</v>
      </c>
      <c r="AM19" s="42">
        <v>207.85727211014117</v>
      </c>
      <c r="AN19" s="41">
        <v>1670.1095164526498</v>
      </c>
      <c r="AO19" s="42">
        <v>119.69241799886029</v>
      </c>
      <c r="AP19" s="41">
        <v>1654.4016818617106</v>
      </c>
      <c r="AQ19" s="42">
        <v>97.099459389911544</v>
      </c>
      <c r="AR19" s="41">
        <v>1632.0891345986104</v>
      </c>
      <c r="AS19" s="42">
        <v>73.479913588647008</v>
      </c>
      <c r="AT19" s="41">
        <v>1597.3587042552354</v>
      </c>
      <c r="AU19" s="42">
        <v>49.215090751003494</v>
      </c>
      <c r="AV19" s="41">
        <v>1532.1032437312986</v>
      </c>
      <c r="AW19" s="42">
        <v>24.646377292133575</v>
      </c>
    </row>
    <row r="20" spans="1:49" x14ac:dyDescent="0.2">
      <c r="A20" t="s">
        <v>127</v>
      </c>
      <c r="B20" s="82">
        <v>26548.356269999993</v>
      </c>
      <c r="C20" s="83">
        <v>1408.5418709999938</v>
      </c>
      <c r="D20" s="82">
        <v>26525.993831558713</v>
      </c>
      <c r="E20" s="83">
        <v>1338.1147774499941</v>
      </c>
      <c r="F20" s="82">
        <v>26500.65025719261</v>
      </c>
      <c r="G20" s="83">
        <v>1267.6876838999945</v>
      </c>
      <c r="H20" s="82">
        <v>26471.977475512893</v>
      </c>
      <c r="I20" s="83">
        <v>1197.2605903499943</v>
      </c>
      <c r="J20" s="82">
        <v>26439.563693844822</v>
      </c>
      <c r="K20" s="83">
        <v>1126.8334967999951</v>
      </c>
      <c r="L20" s="82">
        <v>26402.915929719798</v>
      </c>
      <c r="M20" s="83">
        <v>1056.4064032499953</v>
      </c>
      <c r="N20" s="82">
        <v>26361.439155651911</v>
      </c>
      <c r="O20" s="83">
        <v>985.97930969999561</v>
      </c>
      <c r="P20" s="82">
        <v>26314.402232936169</v>
      </c>
      <c r="Q20" s="83">
        <v>915.55221614999596</v>
      </c>
      <c r="R20" s="82">
        <v>26260.896170321841</v>
      </c>
      <c r="S20" s="83">
        <v>845.12512259999642</v>
      </c>
      <c r="T20" s="82">
        <v>26199.768409562399</v>
      </c>
      <c r="U20" s="83">
        <v>774.69802904999653</v>
      </c>
      <c r="V20" s="82">
        <v>26129.526290365669</v>
      </c>
      <c r="W20" s="83">
        <v>704.27086507290335</v>
      </c>
      <c r="X20" s="82">
        <v>26048.190256715025</v>
      </c>
      <c r="Y20" s="83">
        <v>633.8438419500003</v>
      </c>
      <c r="Z20" s="82">
        <v>25953.039303087684</v>
      </c>
      <c r="AA20" s="83">
        <v>563.41674839999746</v>
      </c>
      <c r="AB20" s="82">
        <v>25840.209278047994</v>
      </c>
      <c r="AC20" s="83">
        <v>492.98965484999781</v>
      </c>
      <c r="AD20" s="82">
        <v>25703.916346275615</v>
      </c>
      <c r="AE20" s="83">
        <v>422.56256129999809</v>
      </c>
      <c r="AF20" s="82">
        <v>25534.954947295486</v>
      </c>
      <c r="AG20" s="83">
        <v>352.13546774999827</v>
      </c>
      <c r="AH20" s="82">
        <v>25317.39975669844</v>
      </c>
      <c r="AI20" s="83">
        <v>281.70837419999856</v>
      </c>
      <c r="AJ20" s="82">
        <v>25020.393155127535</v>
      </c>
      <c r="AK20" s="83">
        <v>211.28128064999879</v>
      </c>
      <c r="AL20" s="82">
        <v>24573.368845967441</v>
      </c>
      <c r="AM20" s="83">
        <v>140.85418709999902</v>
      </c>
      <c r="AN20" s="82">
        <v>23755.829011777751</v>
      </c>
      <c r="AO20" s="83">
        <v>70.427093549999285</v>
      </c>
      <c r="AP20" s="82">
        <v>23484.8637394412</v>
      </c>
      <c r="AQ20" s="83">
        <v>56.341674839999335</v>
      </c>
      <c r="AR20" s="82">
        <v>23133.274539955866</v>
      </c>
      <c r="AS20" s="83">
        <v>42.256256129999379</v>
      </c>
      <c r="AT20" s="82">
        <v>22636.958279221828</v>
      </c>
      <c r="AU20" s="83">
        <v>28.170837419999433</v>
      </c>
      <c r="AV20" s="82">
        <v>21797.656433411757</v>
      </c>
      <c r="AW20" s="83">
        <v>14.08541870999948</v>
      </c>
    </row>
    <row r="21" spans="1:49" x14ac:dyDescent="0.2">
      <c r="A21" t="s">
        <v>76</v>
      </c>
      <c r="B21" s="82">
        <v>24661.962529999968</v>
      </c>
      <c r="C21" s="83">
        <v>1145.7547579999991</v>
      </c>
      <c r="D21" s="82">
        <v>24644.132070264619</v>
      </c>
      <c r="E21" s="83">
        <v>1076.1577346727959</v>
      </c>
      <c r="F21" s="82">
        <v>24623.554452242162</v>
      </c>
      <c r="G21" s="83">
        <v>1006.5352979409186</v>
      </c>
      <c r="H21" s="82">
        <v>24599.909187831781</v>
      </c>
      <c r="I21" s="83">
        <v>936.90084468945884</v>
      </c>
      <c r="J21" s="82">
        <v>24572.817183323899</v>
      </c>
      <c r="K21" s="83">
        <v>867.2726710196132</v>
      </c>
      <c r="L21" s="82">
        <v>24541.824396864387</v>
      </c>
      <c r="M21" s="83">
        <v>797.6755046972703</v>
      </c>
      <c r="N21" s="82">
        <v>24506.382590832898</v>
      </c>
      <c r="O21" s="83">
        <v>728.14443505701126</v>
      </c>
      <c r="P21" s="82">
        <v>24465.817059043595</v>
      </c>
      <c r="Q21" s="83">
        <v>658.72787641854609</v>
      </c>
      <c r="R21" s="82">
        <v>24419.287433603138</v>
      </c>
      <c r="S21" s="83">
        <v>589.49541548586456</v>
      </c>
      <c r="T21" s="82">
        <v>24365.725082119181</v>
      </c>
      <c r="U21" s="83">
        <v>520.5475894168386</v>
      </c>
      <c r="V21" s="82">
        <v>24303.740606784162</v>
      </c>
      <c r="W21" s="83">
        <v>452.0324041926624</v>
      </c>
      <c r="X21" s="82">
        <v>24231.481719230407</v>
      </c>
      <c r="Y21" s="83">
        <v>384.17282718158151</v>
      </c>
      <c r="Z21" s="82">
        <v>24146.385553876986</v>
      </c>
      <c r="AA21" s="83">
        <v>317.31176814996383</v>
      </c>
      <c r="AB21" s="82">
        <v>24044.781501451027</v>
      </c>
      <c r="AC21" s="83">
        <v>251.98972555333694</v>
      </c>
      <c r="AD21" s="82">
        <v>23921.120472318249</v>
      </c>
      <c r="AE21" s="83">
        <v>189.08474245048004</v>
      </c>
      <c r="AF21" s="82">
        <v>23766.470744370388</v>
      </c>
      <c r="AG21" s="83">
        <v>130.06010343500216</v>
      </c>
      <c r="AH21" s="82">
        <v>23565.21351116478</v>
      </c>
      <c r="AI21" s="83">
        <v>77.395632209638663</v>
      </c>
      <c r="AJ21" s="82">
        <v>23286.913127388056</v>
      </c>
      <c r="AK21" s="83">
        <v>35.18224837724307</v>
      </c>
      <c r="AL21" s="82">
        <v>22862.709772215319</v>
      </c>
      <c r="AM21" s="83">
        <v>8.936612784938287</v>
      </c>
      <c r="AN21" s="82">
        <v>22085.770629562659</v>
      </c>
      <c r="AO21" s="83">
        <v>0.45780343841097931</v>
      </c>
      <c r="AP21" s="82">
        <v>21830.495251078279</v>
      </c>
      <c r="AQ21" s="83">
        <v>0.15575309751869745</v>
      </c>
      <c r="AR21" s="82">
        <v>21501.207690202311</v>
      </c>
      <c r="AS21" s="83">
        <v>3.6502855089908519E-2</v>
      </c>
      <c r="AT21" s="82">
        <v>21039.620301031711</v>
      </c>
      <c r="AU21" s="83">
        <v>4.3077259094101974E-3</v>
      </c>
      <c r="AV21" s="82">
        <v>20265.602084721737</v>
      </c>
      <c r="AW21" s="83">
        <v>9.3464778205045026E-5</v>
      </c>
    </row>
    <row r="22" spans="1:49" x14ac:dyDescent="0.2">
      <c r="A22" t="s">
        <v>28</v>
      </c>
      <c r="B22" s="41">
        <v>6533.6044688320644</v>
      </c>
      <c r="C22" s="42">
        <v>379.90788307663382</v>
      </c>
      <c r="D22" s="41">
        <v>6533.9517470746141</v>
      </c>
      <c r="E22" s="42">
        <v>369.5105939105527</v>
      </c>
      <c r="F22" s="41">
        <v>6533.2834231686165</v>
      </c>
      <c r="G22" s="42">
        <v>358.74754161928303</v>
      </c>
      <c r="H22" s="41">
        <v>6531.4761950996226</v>
      </c>
      <c r="I22" s="42">
        <v>347.59364713240529</v>
      </c>
      <c r="J22" s="41">
        <v>6528.3832559733792</v>
      </c>
      <c r="K22" s="42">
        <v>336.02054698537006</v>
      </c>
      <c r="L22" s="41">
        <v>6523.8282084829661</v>
      </c>
      <c r="M22" s="42">
        <v>323.99563915138145</v>
      </c>
      <c r="N22" s="41">
        <v>6517.5960820031314</v>
      </c>
      <c r="O22" s="42">
        <v>311.4816764180847</v>
      </c>
      <c r="P22" s="41">
        <v>6509.4219082325008</v>
      </c>
      <c r="Q22" s="42">
        <v>298.43473059823623</v>
      </c>
      <c r="R22" s="41">
        <v>6498.9736681439936</v>
      </c>
      <c r="S22" s="42">
        <v>284.80307542888073</v>
      </c>
      <c r="T22" s="41">
        <v>6485.8279083667258</v>
      </c>
      <c r="U22" s="42">
        <v>270.52435397530638</v>
      </c>
      <c r="V22" s="41">
        <v>6469.4329528238814</v>
      </c>
      <c r="W22" s="42">
        <v>255.5219299309488</v>
      </c>
      <c r="X22" s="41">
        <v>6449.052988391375</v>
      </c>
      <c r="Y22" s="42">
        <v>239.69961752223261</v>
      </c>
      <c r="Z22" s="41">
        <v>6423.6696112076206</v>
      </c>
      <c r="AA22" s="42">
        <v>222.93262011809207</v>
      </c>
      <c r="AB22" s="41">
        <v>6391.8311371811997</v>
      </c>
      <c r="AC22" s="42">
        <v>205.05355442442902</v>
      </c>
      <c r="AD22" s="41">
        <v>6351.3502703536269</v>
      </c>
      <c r="AE22" s="42">
        <v>185.82853374427245</v>
      </c>
      <c r="AF22" s="41">
        <v>6298.7211612467909</v>
      </c>
      <c r="AG22" s="42">
        <v>164.91430239530501</v>
      </c>
      <c r="AH22" s="41">
        <v>6227.805035571374</v>
      </c>
      <c r="AI22" s="42">
        <v>141.78076640489539</v>
      </c>
      <c r="AJ22" s="41">
        <v>6126.4013731451687</v>
      </c>
      <c r="AK22" s="42">
        <v>115.57697861233348</v>
      </c>
      <c r="AL22" s="41">
        <v>5964.9679493400608</v>
      </c>
      <c r="AM22" s="42">
        <v>84.963224194661947</v>
      </c>
      <c r="AN22" s="41">
        <v>5640.2194947484286</v>
      </c>
      <c r="AO22" s="42">
        <v>48.078916099667275</v>
      </c>
      <c r="AP22" s="41">
        <v>5523.3037250210391</v>
      </c>
      <c r="AQ22" s="42">
        <v>39.716198524700992</v>
      </c>
      <c r="AR22" s="41">
        <v>5364.3323341512969</v>
      </c>
      <c r="AS22" s="42">
        <v>30.918772470352419</v>
      </c>
      <c r="AT22" s="41">
        <v>5125.4507379738097</v>
      </c>
      <c r="AU22" s="42">
        <v>21.578824207207742</v>
      </c>
      <c r="AV22" s="41">
        <v>4680.774656813458</v>
      </c>
      <c r="AW22" s="42">
        <v>11.486410577488023</v>
      </c>
    </row>
    <row r="23" spans="1:49" x14ac:dyDescent="0.2">
      <c r="A23" t="s">
        <v>7</v>
      </c>
      <c r="B23" s="116">
        <v>3278.5018080150408</v>
      </c>
      <c r="C23" s="8">
        <v>0</v>
      </c>
      <c r="D23" s="116">
        <v>3281.87674982717</v>
      </c>
      <c r="E23" s="8">
        <v>0</v>
      </c>
      <c r="F23" s="116">
        <v>3284.9946377539436</v>
      </c>
      <c r="G23" s="8">
        <v>0</v>
      </c>
      <c r="H23" s="116">
        <v>3287.8273758222235</v>
      </c>
      <c r="I23" s="8">
        <v>0</v>
      </c>
      <c r="J23" s="116">
        <v>3290.3419829322943</v>
      </c>
      <c r="K23" s="8">
        <v>0</v>
      </c>
      <c r="L23" s="116">
        <v>3292.4992368398675</v>
      </c>
      <c r="M23" s="8">
        <v>0</v>
      </c>
      <c r="N23" s="116">
        <v>3294.252444168937</v>
      </c>
      <c r="O23" s="8">
        <v>0</v>
      </c>
      <c r="P23" s="116">
        <v>3295.5447275318188</v>
      </c>
      <c r="Q23" s="8">
        <v>0</v>
      </c>
      <c r="R23" s="116">
        <v>3296.306611127513</v>
      </c>
      <c r="S23" s="8">
        <v>0</v>
      </c>
      <c r="T23" s="116">
        <v>3296.4516440615553</v>
      </c>
      <c r="U23" s="8">
        <v>0</v>
      </c>
      <c r="V23" s="116">
        <v>3295.870598612511</v>
      </c>
      <c r="W23" s="8">
        <v>0</v>
      </c>
      <c r="X23" s="116">
        <v>3294.4234926322783</v>
      </c>
      <c r="Y23" s="8">
        <v>0</v>
      </c>
      <c r="Z23" s="116">
        <v>3291.9250760979808</v>
      </c>
      <c r="AA23" s="8">
        <v>0</v>
      </c>
      <c r="AB23" s="116">
        <v>3288.1285116172662</v>
      </c>
      <c r="AC23" s="8">
        <v>0</v>
      </c>
      <c r="AD23" s="116">
        <v>3282.6924783745521</v>
      </c>
      <c r="AE23" s="8">
        <v>0</v>
      </c>
      <c r="AF23" s="116">
        <v>3275.1343805895776</v>
      </c>
      <c r="AG23" s="8">
        <v>0</v>
      </c>
      <c r="AH23" s="116">
        <v>3264.7530995553238</v>
      </c>
      <c r="AI23" s="8">
        <v>0</v>
      </c>
      <c r="AJ23" s="116">
        <v>3250.502941069366</v>
      </c>
      <c r="AK23" s="8">
        <v>0</v>
      </c>
      <c r="AL23" s="116">
        <v>3230.7078398685021</v>
      </c>
      <c r="AM23" s="8">
        <v>0</v>
      </c>
      <c r="AN23" s="116">
        <v>3201.9376634042674</v>
      </c>
      <c r="AO23" s="8">
        <v>0</v>
      </c>
      <c r="AP23" s="116">
        <v>3194.7320897136151</v>
      </c>
      <c r="AQ23" s="8">
        <v>0</v>
      </c>
      <c r="AR23" s="116">
        <v>3187.473373804386</v>
      </c>
      <c r="AS23" s="8">
        <v>0</v>
      </c>
      <c r="AT23" s="116">
        <v>3182.0005735318232</v>
      </c>
      <c r="AU23" s="8">
        <v>0</v>
      </c>
      <c r="AV23" s="116">
        <v>3188.2648477426296</v>
      </c>
      <c r="AW23" s="8">
        <v>0</v>
      </c>
    </row>
    <row r="24" spans="1:49" x14ac:dyDescent="0.2">
      <c r="A24" t="s">
        <v>8</v>
      </c>
      <c r="B24" s="97">
        <v>3196.3846373657216</v>
      </c>
      <c r="C24" s="8">
        <v>0</v>
      </c>
      <c r="D24" s="97">
        <v>3199.6750468259538</v>
      </c>
      <c r="E24" s="8">
        <v>0</v>
      </c>
      <c r="F24" s="97">
        <v>3202.7148410870009</v>
      </c>
      <c r="G24" s="8">
        <v>0</v>
      </c>
      <c r="H24" s="97">
        <v>3205.4766276036685</v>
      </c>
      <c r="I24" s="8">
        <v>0</v>
      </c>
      <c r="J24" s="97">
        <v>3207.9282498206462</v>
      </c>
      <c r="K24" s="8">
        <v>0</v>
      </c>
      <c r="L24" s="97">
        <v>3210.0314722493545</v>
      </c>
      <c r="M24" s="8">
        <v>0</v>
      </c>
      <c r="N24" s="97">
        <v>3211.7407646677698</v>
      </c>
      <c r="O24" s="8">
        <v>0</v>
      </c>
      <c r="P24" s="97">
        <v>3213.0006799820662</v>
      </c>
      <c r="Q24" s="8">
        <v>0</v>
      </c>
      <c r="R24" s="97">
        <v>3213.7434805627818</v>
      </c>
      <c r="S24" s="8">
        <v>0</v>
      </c>
      <c r="T24" s="97">
        <v>3213.8848809167189</v>
      </c>
      <c r="U24" s="8">
        <v>0</v>
      </c>
      <c r="V24" s="97">
        <v>3213.3183894366889</v>
      </c>
      <c r="W24" s="8">
        <v>0</v>
      </c>
      <c r="X24" s="97">
        <v>3211.9075279777981</v>
      </c>
      <c r="Y24" s="8">
        <v>0</v>
      </c>
      <c r="Z24" s="97">
        <v>3209.4716906523199</v>
      </c>
      <c r="AA24" s="8">
        <v>0</v>
      </c>
      <c r="AB24" s="97">
        <v>3205.7702193445889</v>
      </c>
      <c r="AC24" s="8">
        <v>0</v>
      </c>
      <c r="AD24" s="97">
        <v>3200.4703433869768</v>
      </c>
      <c r="AE24" s="8">
        <v>0</v>
      </c>
      <c r="AF24" s="97">
        <v>3193.1015544301472</v>
      </c>
      <c r="AG24" s="8">
        <v>0</v>
      </c>
      <c r="AH24" s="97">
        <v>3182.980295055977</v>
      </c>
      <c r="AI24" s="8">
        <v>0</v>
      </c>
      <c r="AJ24" s="97">
        <v>3169.0870626195292</v>
      </c>
      <c r="AK24" s="8">
        <v>0</v>
      </c>
      <c r="AL24" s="97">
        <v>3149.7877725466456</v>
      </c>
      <c r="AM24" s="8">
        <v>0</v>
      </c>
      <c r="AN24" s="97">
        <v>3121.7382073993726</v>
      </c>
      <c r="AO24" s="8">
        <v>0</v>
      </c>
      <c r="AP24" s="97">
        <v>3114.7131128905817</v>
      </c>
      <c r="AQ24" s="8">
        <v>0</v>
      </c>
      <c r="AR24" s="97">
        <v>3107.6362072251377</v>
      </c>
      <c r="AS24" s="8">
        <v>0</v>
      </c>
      <c r="AT24" s="97">
        <v>3102.3004850755515</v>
      </c>
      <c r="AU24" s="8">
        <v>0</v>
      </c>
      <c r="AV24" s="97">
        <v>3108.40785698629</v>
      </c>
      <c r="AW24" s="8">
        <v>0</v>
      </c>
    </row>
    <row r="25" spans="1:49" x14ac:dyDescent="0.2">
      <c r="A25" t="s">
        <v>0</v>
      </c>
      <c r="B25" s="41">
        <v>3195.0476040000012</v>
      </c>
      <c r="C25" s="42">
        <v>91.012690000004397</v>
      </c>
      <c r="D25" s="41">
        <v>3198.1104958702986</v>
      </c>
      <c r="E25" s="42">
        <v>82.963743723003475</v>
      </c>
      <c r="F25" s="41">
        <v>3200.8720037960061</v>
      </c>
      <c r="G25" s="42">
        <v>75.116879503548105</v>
      </c>
      <c r="H25" s="41">
        <v>3203.2962568077837</v>
      </c>
      <c r="I25" s="42">
        <v>67.490856219139431</v>
      </c>
      <c r="J25" s="41">
        <v>3205.3409496724644</v>
      </c>
      <c r="K25" s="42">
        <v>60.106180087455336</v>
      </c>
      <c r="L25" s="41">
        <v>3206.955034572743</v>
      </c>
      <c r="M25" s="42">
        <v>52.985390261554819</v>
      </c>
      <c r="N25" s="41">
        <v>3208.0764772544862</v>
      </c>
      <c r="O25" s="42">
        <v>46.15322078987748</v>
      </c>
      <c r="P25" s="41">
        <v>3208.6269414077874</v>
      </c>
      <c r="Q25" s="42">
        <v>39.637114817389786</v>
      </c>
      <c r="R25" s="41">
        <v>3208.5059426991156</v>
      </c>
      <c r="S25" s="42">
        <v>33.467447017415907</v>
      </c>
      <c r="T25" s="41">
        <v>3207.5798370167236</v>
      </c>
      <c r="U25" s="42">
        <v>27.67807520347456</v>
      </c>
      <c r="V25" s="41">
        <v>3205.6645116390255</v>
      </c>
      <c r="W25" s="42">
        <v>22.306844343384942</v>
      </c>
      <c r="X25" s="41">
        <v>3202.4960357741129</v>
      </c>
      <c r="Y25" s="42">
        <v>17.396126910187274</v>
      </c>
      <c r="Z25" s="41">
        <v>3197.6771527867054</v>
      </c>
      <c r="AA25" s="42">
        <v>12.993612533248983</v>
      </c>
      <c r="AB25" s="41">
        <v>3190.5798195228253</v>
      </c>
      <c r="AC25" s="42">
        <v>9.1521677688777885</v>
      </c>
      <c r="AD25" s="41">
        <v>3180.1504950642516</v>
      </c>
      <c r="AE25" s="42">
        <v>5.9296945779848551</v>
      </c>
      <c r="AF25" s="41">
        <v>3164.5061921241313</v>
      </c>
      <c r="AG25" s="42">
        <v>3.3857955077899753</v>
      </c>
      <c r="AH25" s="41">
        <v>3140.0457750437431</v>
      </c>
      <c r="AI25" s="42">
        <v>1.5714535659532567</v>
      </c>
      <c r="AJ25" s="41">
        <v>3099.4520169452808</v>
      </c>
      <c r="AK25" s="42">
        <v>0.4990511533615577</v>
      </c>
      <c r="AL25" s="41">
        <v>3027.5920277748332</v>
      </c>
      <c r="AM25" s="42">
        <v>7.0492615788295174E-2</v>
      </c>
      <c r="AN25" s="41">
        <v>2894.2402369153688</v>
      </c>
      <c r="AO25" s="42">
        <v>1.0770888129983756E-3</v>
      </c>
      <c r="AP25" s="41">
        <v>2854.5695337188154</v>
      </c>
      <c r="AQ25" s="42">
        <v>2.3730834794019099E-4</v>
      </c>
      <c r="AR25" s="41">
        <v>2806.9601535452257</v>
      </c>
      <c r="AS25" s="42">
        <v>3.0950840145409175E-5</v>
      </c>
      <c r="AT25" s="41">
        <v>2746.1721330098335</v>
      </c>
      <c r="AU25" s="42">
        <v>1.5331656036350154E-6</v>
      </c>
      <c r="AV25" s="41">
        <v>2656.3506460370177</v>
      </c>
      <c r="AW25" s="42">
        <v>6.9240752242592334E-9</v>
      </c>
    </row>
    <row r="26" spans="1:49" x14ac:dyDescent="0.2">
      <c r="A26" t="s">
        <v>27</v>
      </c>
      <c r="B26" s="33">
        <v>5036.2953101960647</v>
      </c>
      <c r="C26" s="34">
        <v>74.905331803938267</v>
      </c>
      <c r="D26" s="33">
        <v>5040.2514725111987</v>
      </c>
      <c r="E26" s="34">
        <v>70.949169488801047</v>
      </c>
      <c r="F26" s="33">
        <v>5044.2351542149554</v>
      </c>
      <c r="G26" s="34">
        <v>66.965487785051067</v>
      </c>
      <c r="H26" s="33">
        <v>5048.2485135392726</v>
      </c>
      <c r="I26" s="34">
        <v>62.952128460733483</v>
      </c>
      <c r="J26" s="33">
        <v>5052.2940191603875</v>
      </c>
      <c r="K26" s="34">
        <v>58.906622839614727</v>
      </c>
      <c r="L26" s="33">
        <v>5056.3744485579828</v>
      </c>
      <c r="M26" s="34">
        <v>54.826193442012254</v>
      </c>
      <c r="N26" s="33">
        <v>5060.4929669330058</v>
      </c>
      <c r="O26" s="34">
        <v>50.707675066998895</v>
      </c>
      <c r="P26" s="33">
        <v>5064.6530006909798</v>
      </c>
      <c r="Q26" s="34">
        <v>46.54764130902393</v>
      </c>
      <c r="R26" s="33">
        <v>5068.8582343191019</v>
      </c>
      <c r="S26" s="34">
        <v>42.342407680902589</v>
      </c>
      <c r="T26" s="33">
        <v>5073.1123223753493</v>
      </c>
      <c r="U26" s="34">
        <v>38.088319624652478</v>
      </c>
      <c r="V26" s="33">
        <v>5077.4183832517365</v>
      </c>
      <c r="W26" s="34">
        <v>33.78225874827173</v>
      </c>
      <c r="X26" s="33">
        <v>5081.7779415826717</v>
      </c>
      <c r="Y26" s="34">
        <v>29.422700417331413</v>
      </c>
      <c r="Z26" s="33">
        <v>5086.18858871679</v>
      </c>
      <c r="AA26" s="34">
        <v>25.012053283216563</v>
      </c>
      <c r="AB26" s="33">
        <v>5090.6397400695469</v>
      </c>
      <c r="AC26" s="34">
        <v>20.560901930458325</v>
      </c>
      <c r="AD26" s="33">
        <v>5095.1030017825542</v>
      </c>
      <c r="AE26" s="34">
        <v>16.097640217448816</v>
      </c>
      <c r="AF26" s="33">
        <v>5099.5124546056941</v>
      </c>
      <c r="AG26" s="34">
        <v>11.68818739431048</v>
      </c>
      <c r="AH26" s="33">
        <v>5103.7225219145403</v>
      </c>
      <c r="AI26" s="34">
        <v>7.478120085460688</v>
      </c>
      <c r="AJ26" s="33">
        <v>5107.4258616672078</v>
      </c>
      <c r="AK26" s="34">
        <v>3.7747803327930756</v>
      </c>
      <c r="AL26" s="33">
        <v>5110.0628737840343</v>
      </c>
      <c r="AM26" s="34">
        <v>1.1377682159698455</v>
      </c>
      <c r="AN26" s="33">
        <v>5111.1179062107412</v>
      </c>
      <c r="AO26" s="34">
        <v>8.2735789262724138E-2</v>
      </c>
      <c r="AP26" s="33">
        <v>5111.168742885111</v>
      </c>
      <c r="AQ26" s="34">
        <v>3.1899114895628709E-2</v>
      </c>
      <c r="AR26" s="33">
        <v>5111.1917946785898</v>
      </c>
      <c r="AS26" s="34">
        <v>8.8473214098367895E-3</v>
      </c>
      <c r="AT26" s="33">
        <v>5111.1993022350516</v>
      </c>
      <c r="AU26" s="34">
        <v>1.3397649484973879E-3</v>
      </c>
      <c r="AV26" s="33">
        <v>5111.2005962683033</v>
      </c>
      <c r="AW26" s="34">
        <v>4.57317005397808E-5</v>
      </c>
    </row>
    <row r="27" spans="1:49" x14ac:dyDescent="0.2">
      <c r="A27" t="s">
        <v>2</v>
      </c>
      <c r="B27" s="35">
        <v>6425.1981589998923</v>
      </c>
      <c r="C27" s="36">
        <v>273.22915400000028</v>
      </c>
      <c r="D27" s="35">
        <v>6439.3885768209429</v>
      </c>
      <c r="E27" s="36">
        <v>259.03876473193026</v>
      </c>
      <c r="F27" s="35">
        <v>6453.7046555275774</v>
      </c>
      <c r="G27" s="36">
        <v>244.72273412059738</v>
      </c>
      <c r="H27" s="35">
        <v>6468.1547513246196</v>
      </c>
      <c r="I27" s="36">
        <v>230.27268273025331</v>
      </c>
      <c r="J27" s="35">
        <v>6482.7483867229075</v>
      </c>
      <c r="K27" s="36">
        <v>215.67895523068898</v>
      </c>
      <c r="L27" s="35">
        <v>6497.4963754674854</v>
      </c>
      <c r="M27" s="36">
        <v>200.93111279114905</v>
      </c>
      <c r="N27" s="35">
        <v>6512.4108661019645</v>
      </c>
      <c r="O27" s="36">
        <v>186.01645406584589</v>
      </c>
      <c r="P27" s="35">
        <v>6527.5051842535277</v>
      </c>
      <c r="Q27" s="36">
        <v>170.92213758394089</v>
      </c>
      <c r="R27" s="35">
        <v>6542.7936316635651</v>
      </c>
      <c r="S27" s="36">
        <v>155.63368980952572</v>
      </c>
      <c r="T27" s="35">
        <v>6558.2905250790336</v>
      </c>
      <c r="U27" s="36">
        <v>140.13679712415419</v>
      </c>
      <c r="V27" s="35">
        <v>6574.008348541216</v>
      </c>
      <c r="W27" s="36">
        <v>124.41902796122386</v>
      </c>
      <c r="X27" s="35">
        <v>6589.9545355246146</v>
      </c>
      <c r="Y27" s="36">
        <v>108.47322792261124</v>
      </c>
      <c r="Z27" s="35">
        <v>6606.1197352829458</v>
      </c>
      <c r="AA27" s="36">
        <v>92.307583432630452</v>
      </c>
      <c r="AB27" s="35">
        <v>6622.4678710619492</v>
      </c>
      <c r="AC27" s="36">
        <v>75.959447304826767</v>
      </c>
      <c r="AD27" s="35">
        <v>6638.8947666905842</v>
      </c>
      <c r="AE27" s="36">
        <v>59.532562331190988</v>
      </c>
      <c r="AF27" s="35">
        <v>6655.157382101489</v>
      </c>
      <c r="AG27" s="36">
        <v>43.269938543062736</v>
      </c>
      <c r="AH27" s="35">
        <v>6670.7159286507549</v>
      </c>
      <c r="AI27" s="36">
        <v>27.71138786596233</v>
      </c>
      <c r="AJ27" s="35">
        <v>6684.4271603831212</v>
      </c>
      <c r="AK27" s="36">
        <v>14.00015324925797</v>
      </c>
      <c r="AL27" s="35">
        <v>6694.2048893987867</v>
      </c>
      <c r="AM27" s="36">
        <v>4.2224292259640972</v>
      </c>
      <c r="AN27" s="35">
        <v>6698.1201923631606</v>
      </c>
      <c r="AO27" s="36">
        <v>0.30712015393462511</v>
      </c>
      <c r="AP27" s="35">
        <v>6698.3089000509044</v>
      </c>
      <c r="AQ27" s="36">
        <v>0.11841284031369664</v>
      </c>
      <c r="AR27" s="35">
        <v>6698.3944706685597</v>
      </c>
      <c r="AS27" s="36">
        <v>3.2842364487395581E-2</v>
      </c>
      <c r="AT27" s="35">
        <v>6698.422340216599</v>
      </c>
      <c r="AU27" s="36">
        <v>4.9733805894758079E-3</v>
      </c>
      <c r="AV27" s="35">
        <v>6698.4271432425285</v>
      </c>
      <c r="AW27" s="36">
        <v>1.6976208944609005E-4</v>
      </c>
    </row>
    <row r="28" spans="1:49" x14ac:dyDescent="0.2">
      <c r="A28" t="s">
        <v>35</v>
      </c>
      <c r="B28" s="41">
        <v>13763.097675999892</v>
      </c>
      <c r="C28" s="42">
        <v>382.36647900000014</v>
      </c>
      <c r="D28" s="41">
        <v>13783.040692601156</v>
      </c>
      <c r="E28" s="42">
        <v>362.41173525056354</v>
      </c>
      <c r="F28" s="41">
        <v>13803.12599539994</v>
      </c>
      <c r="G28" s="42">
        <v>342.2908707367427</v>
      </c>
      <c r="H28" s="41">
        <v>13823.364465690229</v>
      </c>
      <c r="I28" s="42">
        <v>321.9924253228105</v>
      </c>
      <c r="J28" s="41">
        <v>13843.768537074744</v>
      </c>
      <c r="K28" s="42">
        <v>301.50321411475181</v>
      </c>
      <c r="L28" s="41">
        <v>13864.352305714507</v>
      </c>
      <c r="M28" s="42">
        <v>280.80881900800028</v>
      </c>
      <c r="N28" s="41">
        <v>13885.131677174615</v>
      </c>
      <c r="O28" s="42">
        <v>259.89200424476354</v>
      </c>
      <c r="P28" s="41">
        <v>13906.12401212322</v>
      </c>
      <c r="Q28" s="42">
        <v>238.73500964244172</v>
      </c>
      <c r="R28" s="41">
        <v>13927.34791227497</v>
      </c>
      <c r="S28" s="42">
        <v>217.31807731951289</v>
      </c>
      <c r="T28" s="41">
        <v>13948.821843076634</v>
      </c>
      <c r="U28" s="42">
        <v>195.62165735086182</v>
      </c>
      <c r="V28" s="41">
        <v>13970.561576858607</v>
      </c>
      <c r="W28" s="42">
        <v>173.62886926619996</v>
      </c>
      <c r="X28" s="41">
        <v>13992.575501070925</v>
      </c>
      <c r="Y28" s="42">
        <v>151.33044867000848</v>
      </c>
      <c r="Z28" s="41">
        <v>14014.849791276041</v>
      </c>
      <c r="AA28" s="42">
        <v>128.73819213214549</v>
      </c>
      <c r="AB28" s="41">
        <v>14037.332604543708</v>
      </c>
      <c r="AC28" s="42">
        <v>105.90499898197034</v>
      </c>
      <c r="AD28" s="41">
        <v>14059.87997703277</v>
      </c>
      <c r="AE28" s="42">
        <v>82.976092763300315</v>
      </c>
      <c r="AF28" s="41">
        <v>14082.158778804247</v>
      </c>
      <c r="AG28" s="42">
        <v>60.290608806454301</v>
      </c>
      <c r="AH28" s="41">
        <v>14103.433069738147</v>
      </c>
      <c r="AI28" s="42">
        <v>38.600434372771353</v>
      </c>
      <c r="AJ28" s="41">
        <v>14122.149067824768</v>
      </c>
      <c r="AK28" s="42">
        <v>19.496310298432</v>
      </c>
      <c r="AL28" s="41">
        <v>14135.47732807487</v>
      </c>
      <c r="AM28" s="42">
        <v>5.8789575969586831</v>
      </c>
      <c r="AN28" s="41">
        <v>14140.810072937385</v>
      </c>
      <c r="AO28" s="42">
        <v>0.42757641246111888</v>
      </c>
      <c r="AP28" s="41">
        <v>14141.067035498072</v>
      </c>
      <c r="AQ28" s="42">
        <v>0.16485518452177045</v>
      </c>
      <c r="AR28" s="41">
        <v>14141.183554810745</v>
      </c>
      <c r="AS28" s="42">
        <v>4.572329072332422E-2</v>
      </c>
      <c r="AT28" s="41">
        <v>14141.221503588067</v>
      </c>
      <c r="AU28" s="42">
        <v>6.9239610027960119E-3</v>
      </c>
      <c r="AV28" s="41">
        <v>14141.228043935122</v>
      </c>
      <c r="AW28" s="42">
        <v>2.3634343605496703E-4</v>
      </c>
    </row>
    <row r="29" spans="1:49" x14ac:dyDescent="0.2">
      <c r="A29" t="s">
        <v>53</v>
      </c>
      <c r="B29" s="35">
        <v>14362.768558000087</v>
      </c>
      <c r="C29" s="36">
        <v>817.26651000000015</v>
      </c>
      <c r="D29" s="35">
        <v>14354.811527077887</v>
      </c>
      <c r="E29" s="36">
        <v>764.06618702551839</v>
      </c>
      <c r="F29" s="35">
        <v>14345.279290876757</v>
      </c>
      <c r="G29" s="36">
        <v>711.14225704856915</v>
      </c>
      <c r="H29" s="35">
        <v>14333.987768173683</v>
      </c>
      <c r="I29" s="36">
        <v>658.52720982711935</v>
      </c>
      <c r="J29" s="35">
        <v>14320.719307307023</v>
      </c>
      <c r="K29" s="36">
        <v>606.25850310500482</v>
      </c>
      <c r="L29" s="35">
        <v>14305.212874900362</v>
      </c>
      <c r="M29" s="36">
        <v>554.38118834569332</v>
      </c>
      <c r="N29" s="35">
        <v>14287.153439533184</v>
      </c>
      <c r="O29" s="36">
        <v>502.94746704670337</v>
      </c>
      <c r="P29" s="35">
        <v>14266.152013491916</v>
      </c>
      <c r="Q29" s="36">
        <v>452.02359616817807</v>
      </c>
      <c r="R29" s="35">
        <v>14241.72303642209</v>
      </c>
      <c r="S29" s="36">
        <v>401.69117436920089</v>
      </c>
      <c r="T29" s="35">
        <v>14213.246334556719</v>
      </c>
      <c r="U29" s="36">
        <v>352.05591907000115</v>
      </c>
      <c r="V29" s="35">
        <v>14179.910883753706</v>
      </c>
      <c r="W29" s="36">
        <v>303.25825876378315</v>
      </c>
      <c r="X29" s="35">
        <v>14140.626972886721</v>
      </c>
      <c r="Y29" s="36">
        <v>255.48999499013567</v>
      </c>
      <c r="Z29" s="35">
        <v>14093.873089874573</v>
      </c>
      <c r="AA29" s="36">
        <v>209.02654111293597</v>
      </c>
      <c r="AB29" s="35">
        <v>14037.442054094434</v>
      </c>
      <c r="AC29" s="36">
        <v>164.2700616524767</v>
      </c>
      <c r="AD29" s="35">
        <v>13967.951082010843</v>
      </c>
      <c r="AE29" s="36">
        <v>121.83862894257302</v>
      </c>
      <c r="AF29" s="35">
        <v>13879.870342454489</v>
      </c>
      <c r="AG29" s="36">
        <v>82.711325353666055</v>
      </c>
      <c r="AH29" s="35">
        <v>13763.390420087591</v>
      </c>
      <c r="AI29" s="36">
        <v>48.475272404115238</v>
      </c>
      <c r="AJ29" s="35">
        <v>13599.260696870057</v>
      </c>
      <c r="AK29" s="36">
        <v>21.635067255294299</v>
      </c>
      <c r="AL29" s="35">
        <v>13344.570885004032</v>
      </c>
      <c r="AM29" s="36">
        <v>5.3683243441739394</v>
      </c>
      <c r="AN29" s="35">
        <v>12877.317270773367</v>
      </c>
      <c r="AO29" s="36">
        <v>0.26617642956031801</v>
      </c>
      <c r="AP29" s="35">
        <v>12725.667038224252</v>
      </c>
      <c r="AQ29" s="36">
        <v>8.9798730018427128E-2</v>
      </c>
      <c r="AR29" s="35">
        <v>12531.658746627203</v>
      </c>
      <c r="AS29" s="36">
        <v>2.0847892876660366E-2</v>
      </c>
      <c r="AT29" s="35">
        <v>12262.390734386025</v>
      </c>
      <c r="AU29" s="36">
        <v>2.4337742825792878E-3</v>
      </c>
      <c r="AV29" s="35">
        <v>11816.337838021051</v>
      </c>
      <c r="AW29" s="36">
        <v>5.2124871773863531E-5</v>
      </c>
    </row>
    <row r="30" spans="1:49" x14ac:dyDescent="0.2">
      <c r="A30" t="s">
        <v>48</v>
      </c>
      <c r="B30" s="119">
        <v>2924829.9599999995</v>
      </c>
      <c r="D30" s="119">
        <v>2978005.3197928756</v>
      </c>
      <c r="F30" s="119">
        <v>3031276.7991387895</v>
      </c>
      <c r="H30" s="119">
        <v>3084684.9845545874</v>
      </c>
      <c r="J30" s="119">
        <v>3138278.5126409442</v>
      </c>
      <c r="L30" s="119">
        <v>3192118.1170682684</v>
      </c>
      <c r="N30" s="119">
        <v>3246278.0706587988</v>
      </c>
      <c r="P30" s="119">
        <v>3300856.6072317576</v>
      </c>
      <c r="R30" s="119">
        <v>3355982.8413959756</v>
      </c>
      <c r="T30" s="119">
        <v>3411835.405750866</v>
      </c>
      <c r="V30" s="119">
        <v>3468671.2693621931</v>
      </c>
      <c r="X30" s="119">
        <v>3526876.4442946105</v>
      </c>
      <c r="Z30" s="119">
        <v>3587060.4115524935</v>
      </c>
      <c r="AB30" s="119">
        <v>3650250.4703248283</v>
      </c>
      <c r="AD30" s="119">
        <v>3718278.8513601283</v>
      </c>
      <c r="AF30" s="119">
        <v>3794673.4515425186</v>
      </c>
      <c r="AH30" s="119">
        <v>3886809.9488432631</v>
      </c>
      <c r="AJ30" s="119">
        <v>4011550.1357567254</v>
      </c>
      <c r="AL30" s="119">
        <v>4210871.447240131</v>
      </c>
      <c r="AN30" s="119">
        <v>4607649.5380669311</v>
      </c>
      <c r="AP30" s="119">
        <v>4745214.1838606801</v>
      </c>
      <c r="AR30" s="119">
        <v>4930003.7217153441</v>
      </c>
      <c r="AT30" s="119">
        <v>5208864.8504233621</v>
      </c>
      <c r="AV30" s="119">
        <v>5750325.3927347213</v>
      </c>
    </row>
    <row r="31" spans="1:49" x14ac:dyDescent="0.2">
      <c r="A31" t="s">
        <v>47</v>
      </c>
      <c r="B31" s="80">
        <v>1</v>
      </c>
      <c r="D31" s="80">
        <v>0.9985280771584587</v>
      </c>
      <c r="F31" s="80">
        <v>0.99678463547503082</v>
      </c>
      <c r="H31" s="80">
        <v>0.99473578571044585</v>
      </c>
      <c r="J31" s="80">
        <v>0.99234107987103914</v>
      </c>
      <c r="L31" s="80">
        <v>0.98955171397195596</v>
      </c>
      <c r="N31" s="80">
        <v>0.98630812460883499</v>
      </c>
      <c r="P31" s="80">
        <v>0.98253651995375801</v>
      </c>
      <c r="R31" s="80">
        <v>0.97814412115678584</v>
      </c>
      <c r="T31" s="80">
        <v>0.97301201495539302</v>
      </c>
      <c r="V31" s="80">
        <v>0.96698439429945349</v>
      </c>
      <c r="X31" s="80">
        <v>0.95985189392553305</v>
      </c>
      <c r="Z31" s="80">
        <v>0.9513229057803837</v>
      </c>
      <c r="AB31" s="80">
        <v>0.94097640619690759</v>
      </c>
      <c r="AD31" s="80">
        <v>0.9281704239389551</v>
      </c>
      <c r="AF31" s="80">
        <v>0.91185894208210827</v>
      </c>
      <c r="AH31" s="80">
        <v>0.89017535055036556</v>
      </c>
      <c r="AJ31" s="80">
        <v>0.8593420957661615</v>
      </c>
      <c r="AL31" s="80">
        <v>0.81017476421075962</v>
      </c>
      <c r="AN31" s="80">
        <v>0.71173154653269655</v>
      </c>
      <c r="AP31" s="80">
        <v>0.6768941067813008</v>
      </c>
      <c r="AR31" s="80">
        <v>0.63029624894295455</v>
      </c>
      <c r="AT31" s="80">
        <v>0.56232167127540467</v>
      </c>
      <c r="AV31" s="80">
        <v>0.44420810459162086</v>
      </c>
    </row>
    <row r="32" spans="1:49" x14ac:dyDescent="0.2">
      <c r="A32" t="s">
        <v>64</v>
      </c>
      <c r="B32" s="86">
        <v>14734457.915000005</v>
      </c>
      <c r="D32" s="86">
        <v>14738110.793159712</v>
      </c>
      <c r="F32" s="86">
        <v>14740478.333902339</v>
      </c>
      <c r="H32" s="86">
        <v>14741421.10515175</v>
      </c>
      <c r="J32" s="86">
        <v>14740774.997617692</v>
      </c>
      <c r="L32" s="86">
        <v>14738345.471073084</v>
      </c>
      <c r="N32" s="86">
        <v>14733901.375052229</v>
      </c>
      <c r="P32" s="86">
        <v>14727165.039254768</v>
      </c>
      <c r="R32" s="86">
        <v>14717802.8056786</v>
      </c>
      <c r="T32" s="86">
        <v>14705411.177473238</v>
      </c>
      <c r="V32" s="86">
        <v>14689501.484320568</v>
      </c>
      <c r="X32" s="86">
        <v>14669486.314376371</v>
      </c>
      <c r="Z32" s="86">
        <v>14644658.223830845</v>
      </c>
      <c r="AB32" s="86">
        <v>14614211.367547385</v>
      </c>
      <c r="AD32" s="86">
        <v>14577290.854586925</v>
      </c>
      <c r="AF32" s="86">
        <v>14533221.172694026</v>
      </c>
      <c r="AH32" s="86">
        <v>14482140.932422241</v>
      </c>
      <c r="AJ32" s="86">
        <v>14426518.918050835</v>
      </c>
      <c r="AL32" s="86">
        <v>14372520.917318905</v>
      </c>
      <c r="AN32" s="86">
        <v>14314020.441387</v>
      </c>
      <c r="AP32" s="86">
        <v>14296254.920849713</v>
      </c>
      <c r="AR32" s="86">
        <v>14274513.867206613</v>
      </c>
      <c r="AT32" s="86">
        <v>14251278.432011997</v>
      </c>
      <c r="AV32" s="86">
        <v>14251313.237051966</v>
      </c>
    </row>
    <row r="33" spans="1:49 16319:16321" x14ac:dyDescent="0.2">
      <c r="A33" t="s">
        <v>54</v>
      </c>
      <c r="B33" s="117">
        <v>7019665.6909999885</v>
      </c>
      <c r="D33" s="117">
        <v>7021406.0024752077</v>
      </c>
      <c r="F33" s="117">
        <v>7022533.9869665205</v>
      </c>
      <c r="H33" s="117">
        <v>7022983.1856977018</v>
      </c>
      <c r="J33" s="117">
        <v>7022675.256726807</v>
      </c>
      <c r="L33" s="117">
        <v>7021517.9694872461</v>
      </c>
      <c r="N33" s="117">
        <v>7019400.5590409534</v>
      </c>
      <c r="P33" s="117">
        <v>7016191.2932065409</v>
      </c>
      <c r="R33" s="117">
        <v>7011731.0166695667</v>
      </c>
      <c r="T33" s="117">
        <v>7005827.4995387457</v>
      </c>
      <c r="V33" s="117">
        <v>6998248.0125863915</v>
      </c>
      <c r="X33" s="117">
        <v>6988712.9526526853</v>
      </c>
      <c r="Z33" s="117">
        <v>6976884.0888681905</v>
      </c>
      <c r="AB33" s="117">
        <v>6962378.8555954751</v>
      </c>
      <c r="AD33" s="117">
        <v>6944789.5021654023</v>
      </c>
      <c r="AF33" s="117">
        <v>6923794.1993729509</v>
      </c>
      <c r="AH33" s="117">
        <v>6899458.9769563274</v>
      </c>
      <c r="AJ33" s="117">
        <v>6872960.0027914913</v>
      </c>
      <c r="AL33" s="117">
        <v>6847234.7305717338</v>
      </c>
      <c r="AN33" s="117">
        <v>6819364.4294551145</v>
      </c>
      <c r="AP33" s="117">
        <v>6810900.7305616364</v>
      </c>
      <c r="AR33" s="117">
        <v>6800543.0418533664</v>
      </c>
      <c r="AT33" s="117">
        <v>6789473.4125409024</v>
      </c>
      <c r="AV33" s="117">
        <v>6789489.9940625206</v>
      </c>
    </row>
    <row r="34" spans="1:49 16319:16321" x14ac:dyDescent="0.2">
      <c r="A34" t="s">
        <v>75</v>
      </c>
      <c r="B34" s="117">
        <v>1136879.4410000162</v>
      </c>
      <c r="D34" s="117">
        <v>1137161.2507490369</v>
      </c>
      <c r="F34" s="117">
        <v>1137343.8637920748</v>
      </c>
      <c r="H34" s="117">
        <v>1137416.5538746666</v>
      </c>
      <c r="J34" s="117">
        <v>1137366.8186141816</v>
      </c>
      <c r="L34" s="117">
        <v>1137179.1926537012</v>
      </c>
      <c r="N34" s="117">
        <v>1136836.4895648572</v>
      </c>
      <c r="P34" s="117">
        <v>1136316.7260018759</v>
      </c>
      <c r="R34" s="117">
        <v>1135594.3564407837</v>
      </c>
      <c r="T34" s="117">
        <v>1134638.2472086237</v>
      </c>
      <c r="V34" s="117">
        <v>1133410.6143233504</v>
      </c>
      <c r="X34" s="117">
        <v>1131865.8898860437</v>
      </c>
      <c r="Z34" s="117">
        <v>1129950.6813399151</v>
      </c>
      <c r="AB34" s="117">
        <v>1127601.466429716</v>
      </c>
      <c r="AD34" s="117">
        <v>1124752.7533180639</v>
      </c>
      <c r="AF34" s="117">
        <v>1121352.4285165477</v>
      </c>
      <c r="AH34" s="117">
        <v>1117411.1925939361</v>
      </c>
      <c r="AJ34" s="117">
        <v>1113119.5212405238</v>
      </c>
      <c r="AL34" s="117">
        <v>1108953.1522176242</v>
      </c>
      <c r="AN34" s="117">
        <v>1104439.3795526715</v>
      </c>
      <c r="AP34" s="117">
        <v>1103068.6297755414</v>
      </c>
      <c r="AR34" s="117">
        <v>1101391.1363088081</v>
      </c>
      <c r="AT34" s="117">
        <v>1099598.33953676</v>
      </c>
      <c r="AV34" s="117">
        <v>1099601.0250205095</v>
      </c>
    </row>
    <row r="35" spans="1:49 16319:16321" x14ac:dyDescent="0.2">
      <c r="A35" t="s">
        <v>78</v>
      </c>
      <c r="B35" s="233">
        <v>1</v>
      </c>
      <c r="D35" s="233">
        <v>1.0017227359687551</v>
      </c>
      <c r="F35" s="233">
        <v>1.0036388241637491</v>
      </c>
      <c r="H35" s="233">
        <v>1.0057789891743305</v>
      </c>
      <c r="J35" s="233">
        <v>1.008181256651181</v>
      </c>
      <c r="L35" s="233">
        <v>1.0108934776491061</v>
      </c>
      <c r="N35" s="233">
        <v>1.0139765763047544</v>
      </c>
      <c r="P35" s="233">
        <v>1.017509985805672</v>
      </c>
      <c r="R35" s="233">
        <v>1.0215991005277509</v>
      </c>
      <c r="T35" s="233">
        <v>1.0263874814418914</v>
      </c>
      <c r="V35" s="233">
        <v>1.0320764027099045</v>
      </c>
      <c r="X35" s="233">
        <v>1.0389578685801921</v>
      </c>
      <c r="Z35" s="233">
        <v>1.0474736465848633</v>
      </c>
      <c r="AB35" s="233">
        <v>1.0583277484032858</v>
      </c>
      <c r="AD35" s="233">
        <v>1.072716654706072</v>
      </c>
      <c r="AF35" s="233">
        <v>1.092853036148135</v>
      </c>
      <c r="AH35" s="233">
        <v>1.1233172657473844</v>
      </c>
      <c r="AJ35" s="233">
        <v>1.1752115666566629</v>
      </c>
      <c r="AL35" s="233">
        <v>1.2826898685115775</v>
      </c>
      <c r="AN35" s="233">
        <v>1.6117106870890765</v>
      </c>
      <c r="AP35" s="233">
        <v>1.773322746925001</v>
      </c>
      <c r="AR35" s="233">
        <v>2.0359333133623756</v>
      </c>
      <c r="AT35" s="233">
        <v>2.5368956447593396</v>
      </c>
      <c r="AV35" s="233">
        <v>3.8941081558877868</v>
      </c>
    </row>
    <row r="36" spans="1:49 16319:16321" x14ac:dyDescent="0.2">
      <c r="A36" t="s">
        <v>21</v>
      </c>
      <c r="B36" s="37">
        <v>0.47195767671987948</v>
      </c>
      <c r="C36" s="38">
        <v>0.3173883442817898</v>
      </c>
      <c r="D36" s="37">
        <v>0.47196984131961378</v>
      </c>
      <c r="E36" s="38">
        <v>0.31902180745176079</v>
      </c>
      <c r="F36" s="37">
        <v>0.471982217559754</v>
      </c>
      <c r="G36" s="38">
        <v>0.32080280313381676</v>
      </c>
      <c r="H36" s="37">
        <v>0.47199482530920023</v>
      </c>
      <c r="I36" s="38">
        <v>0.3227528631324319</v>
      </c>
      <c r="J36" s="37">
        <v>0.47200768716426411</v>
      </c>
      <c r="K36" s="38">
        <v>0.3248981649995335</v>
      </c>
      <c r="L36" s="37">
        <v>0.47202083592554805</v>
      </c>
      <c r="M36" s="38">
        <v>0.32727097206460132</v>
      </c>
      <c r="N36" s="37">
        <v>0.47203429819167247</v>
      </c>
      <c r="O36" s="38">
        <v>0.32991142792425987</v>
      </c>
      <c r="P36" s="37">
        <v>0.47204811602754032</v>
      </c>
      <c r="Q36" s="38">
        <v>0.33287048271978847</v>
      </c>
      <c r="R36" s="37">
        <v>0.47206232562481271</v>
      </c>
      <c r="S36" s="38">
        <v>0.33621373663597887</v>
      </c>
      <c r="T36" s="37">
        <v>0.47207696126497367</v>
      </c>
      <c r="U36" s="38">
        <v>0.34002754336567698</v>
      </c>
      <c r="V36" s="37">
        <v>0.47209204219925854</v>
      </c>
      <c r="W36" s="38">
        <v>0.34442839400462216</v>
      </c>
      <c r="X36" s="37">
        <v>0.47210755167099505</v>
      </c>
      <c r="Y36" s="38">
        <v>0.34957807960866216</v>
      </c>
      <c r="Z36" s="37">
        <v>0.4721233567370029</v>
      </c>
      <c r="AA36" s="38">
        <v>0.35570969909256855</v>
      </c>
      <c r="AB36" s="37">
        <v>0.47213915701603448</v>
      </c>
      <c r="AC36" s="38">
        <v>0.36317480394998114</v>
      </c>
      <c r="AD36" s="37">
        <v>0.47215417974161056</v>
      </c>
      <c r="AE36" s="38">
        <v>0.37253493205133736</v>
      </c>
      <c r="AF36" s="37">
        <v>0.47216667143593916</v>
      </c>
      <c r="AG36" s="38">
        <v>0.3847583251623044</v>
      </c>
      <c r="AH36" s="37">
        <v>0.47217268131460249</v>
      </c>
      <c r="AI36" s="38">
        <v>0.40169517661189819</v>
      </c>
      <c r="AJ36" s="37">
        <v>0.47216355074091859</v>
      </c>
      <c r="AK36" s="38">
        <v>0.42742567341299748</v>
      </c>
      <c r="AL36" s="37">
        <v>0.47212312360869385</v>
      </c>
      <c r="AM36" s="38">
        <v>0.47306853032187607</v>
      </c>
      <c r="AN36" s="37">
        <v>0.47204223000436046</v>
      </c>
      <c r="AO36" s="38">
        <v>0.58347687095718215</v>
      </c>
      <c r="AP36" s="37">
        <v>0.47202584888196436</v>
      </c>
      <c r="AQ36" s="38">
        <v>0.62933515588420652</v>
      </c>
      <c r="AR36" s="37">
        <v>0.47201374659371048</v>
      </c>
      <c r="AS36" s="38">
        <v>0.69711465968448527</v>
      </c>
      <c r="AT36" s="37">
        <v>0.47201231523615084</v>
      </c>
      <c r="AU36" s="38">
        <v>0.81145256602971472</v>
      </c>
      <c r="AV36" s="37">
        <v>0.4720440395831017</v>
      </c>
      <c r="AW36" s="38">
        <v>1.0686744460152997</v>
      </c>
    </row>
    <row r="37" spans="1:49 16319:16321" x14ac:dyDescent="0.2">
      <c r="B37" s="39">
        <v>2.1403217525954241E-2</v>
      </c>
      <c r="C37" s="40">
        <v>0.34962461301992537</v>
      </c>
      <c r="D37" s="39">
        <v>2.0441258510014264E-2</v>
      </c>
      <c r="E37" s="40">
        <v>0.34462965887458441</v>
      </c>
      <c r="F37" s="39">
        <v>1.9469106064192557E-2</v>
      </c>
      <c r="G37" s="40">
        <v>0.33948049761363913</v>
      </c>
      <c r="H37" s="39">
        <v>1.8486493376598467E-2</v>
      </c>
      <c r="I37" s="40">
        <v>0.33416406482071154</v>
      </c>
      <c r="J37" s="39">
        <v>1.7493141599967222E-2</v>
      </c>
      <c r="K37" s="40">
        <v>0.3286653930584304</v>
      </c>
      <c r="L37" s="39">
        <v>1.6488734784435039E-2</v>
      </c>
      <c r="M37" s="40">
        <v>0.32296706769132932</v>
      </c>
      <c r="N37" s="39">
        <v>1.5472960392133011E-2</v>
      </c>
      <c r="O37" s="40">
        <v>0.31704888346520588</v>
      </c>
      <c r="P37" s="39">
        <v>1.4445434095130967E-2</v>
      </c>
      <c r="Q37" s="40">
        <v>0.31088671875342816</v>
      </c>
      <c r="R37" s="39">
        <v>1.340573776144994E-2</v>
      </c>
      <c r="S37" s="40">
        <v>0.30445171802976084</v>
      </c>
      <c r="T37" s="39">
        <v>1.2353365710323314E-2</v>
      </c>
      <c r="U37" s="40">
        <v>0.29770857546607754</v>
      </c>
      <c r="V37" s="39">
        <v>1.1287683945930152E-2</v>
      </c>
      <c r="W37" s="40">
        <v>0.29061322078889296</v>
      </c>
      <c r="X37" s="39">
        <v>1.0207877374073053E-2</v>
      </c>
      <c r="Y37" s="40">
        <v>0.2831093885613713</v>
      </c>
      <c r="Z37" s="39">
        <v>9.1128229146128035E-3</v>
      </c>
      <c r="AA37" s="40">
        <v>0.27512290541053597</v>
      </c>
      <c r="AB37" s="39">
        <v>8.0009041133596737E-3</v>
      </c>
      <c r="AC37" s="40">
        <v>0.26655233332665845</v>
      </c>
      <c r="AD37" s="39">
        <v>6.8697724000677234E-3</v>
      </c>
      <c r="AE37" s="40">
        <v>0.25725299420709302</v>
      </c>
      <c r="AF37" s="39">
        <v>5.7159735886793701E-3</v>
      </c>
      <c r="AG37" s="40">
        <v>0.24700715027794182</v>
      </c>
      <c r="AH37" s="39">
        <v>4.5347992369111799E-3</v>
      </c>
      <c r="AI37" s="40">
        <v>0.23546710382244876</v>
      </c>
      <c r="AJ37" s="39">
        <v>3.3220571940108562E-3</v>
      </c>
      <c r="AK37" s="40">
        <v>0.22204509844078543</v>
      </c>
      <c r="AL37" s="39">
        <v>2.0857723718047381E-3</v>
      </c>
      <c r="AM37" s="40">
        <v>0.20572093100724964</v>
      </c>
      <c r="AN37" s="39">
        <v>8.911660833446299E-4</v>
      </c>
      <c r="AO37" s="40">
        <v>0.18470567863621723</v>
      </c>
      <c r="AP37" s="39">
        <v>6.7233911478449841E-4</v>
      </c>
      <c r="AQ37" s="40">
        <v>0.17963813803936343</v>
      </c>
      <c r="AR37" s="39">
        <v>4.6613740457077471E-4</v>
      </c>
      <c r="AS37" s="40">
        <v>0.17412473677351512</v>
      </c>
      <c r="AT37" s="39">
        <v>2.7710918191373412E-4</v>
      </c>
      <c r="AU37" s="40">
        <v>0.16798978004261939</v>
      </c>
      <c r="AV37" s="39">
        <v>1.1338404112549587E-4</v>
      </c>
      <c r="AW37" s="40">
        <v>0.1608319058624359</v>
      </c>
    </row>
    <row r="38" spans="1:49 16319:16321" x14ac:dyDescent="0.2">
      <c r="A38" t="s">
        <v>22</v>
      </c>
      <c r="B38" s="37">
        <v>0.18079094942242827</v>
      </c>
      <c r="C38" s="38">
        <v>6.0565413429233668E-2</v>
      </c>
      <c r="D38" s="37">
        <v>0.18102892029401199</v>
      </c>
      <c r="E38" s="38">
        <v>6.1208513862685408E-2</v>
      </c>
      <c r="F38" s="37">
        <v>0.18128796638557193</v>
      </c>
      <c r="G38" s="38">
        <v>6.190642557457899E-2</v>
      </c>
      <c r="H38" s="37">
        <v>0.18157061717815481</v>
      </c>
      <c r="I38" s="38">
        <v>6.2667321616231092E-2</v>
      </c>
      <c r="J38" s="37">
        <v>0.18187987742631284</v>
      </c>
      <c r="K38" s="38">
        <v>6.350119546773178E-2</v>
      </c>
      <c r="L38" s="37">
        <v>0.18221936239260231</v>
      </c>
      <c r="M38" s="38">
        <v>6.4420318796927251E-2</v>
      </c>
      <c r="N38" s="37">
        <v>0.18259346042492239</v>
      </c>
      <c r="O38" s="38">
        <v>6.5440228271067574E-2</v>
      </c>
      <c r="P38" s="37">
        <v>0.18300760192757506</v>
      </c>
      <c r="Q38" s="38">
        <v>6.6580501450624816E-2</v>
      </c>
      <c r="R38" s="37">
        <v>0.18346859556535183</v>
      </c>
      <c r="S38" s="38">
        <v>6.786667227448559E-2</v>
      </c>
      <c r="T38" s="37">
        <v>0.18398516362713199</v>
      </c>
      <c r="U38" s="38">
        <v>6.9332537556040172E-2</v>
      </c>
      <c r="V38" s="37">
        <v>0.18456874497006234</v>
      </c>
      <c r="W38" s="38">
        <v>7.1024046730119375E-2</v>
      </c>
      <c r="X38" s="37">
        <v>0.18523474969135559</v>
      </c>
      <c r="Y38" s="38">
        <v>7.3005841676957048E-2</v>
      </c>
      <c r="Z38" s="37">
        <v>0.18600474827752259</v>
      </c>
      <c r="AA38" s="38">
        <v>7.5371649358398893E-2</v>
      </c>
      <c r="AB38" s="37">
        <v>0.18691011450562423</v>
      </c>
      <c r="AC38" s="38">
        <v>7.8265306734751294E-2</v>
      </c>
      <c r="AD38" s="37">
        <v>0.18799912729455875</v>
      </c>
      <c r="AE38" s="38">
        <v>8.192014818631084E-2</v>
      </c>
      <c r="AF38" s="37">
        <v>0.18935123281453298</v>
      </c>
      <c r="AG38" s="38">
        <v>8.6747078287539719E-2</v>
      </c>
      <c r="AH38" s="37">
        <v>0.19110910388032257</v>
      </c>
      <c r="AI38" s="38">
        <v>9.3552139947437662E-2</v>
      </c>
      <c r="AJ38" s="37">
        <v>0.19355942787564218</v>
      </c>
      <c r="AK38" s="38">
        <v>0.10417713663237207</v>
      </c>
      <c r="AL38" s="37">
        <v>0.19737118944305357</v>
      </c>
      <c r="AM38" s="38">
        <v>0.12390711801043222</v>
      </c>
      <c r="AN38" s="37">
        <v>0.20460762810050434</v>
      </c>
      <c r="AO38" s="38">
        <v>0.17612942405452711</v>
      </c>
      <c r="AP38" s="37">
        <v>0.20705465282120955</v>
      </c>
      <c r="AQ38" s="38">
        <v>0.19962525716531102</v>
      </c>
      <c r="AR38" s="37">
        <v>0.21026612087175472</v>
      </c>
      <c r="AS38" s="38">
        <v>0.23626213200677071</v>
      </c>
      <c r="AT38" s="37">
        <v>0.21488424485602914</v>
      </c>
      <c r="AU38" s="38">
        <v>0.3031855872813376</v>
      </c>
      <c r="AV38" s="37">
        <v>0.22298199447016623</v>
      </c>
      <c r="AW38" s="38">
        <v>0.47698352819445772</v>
      </c>
    </row>
    <row r="39" spans="1:49 16319:16321" x14ac:dyDescent="0.2">
      <c r="A39" t="s">
        <v>23</v>
      </c>
      <c r="B39" s="39">
        <v>0.23064923795098236</v>
      </c>
      <c r="C39" s="40">
        <v>0.22092201281804777</v>
      </c>
      <c r="D39" s="39">
        <v>0.2312812302666114</v>
      </c>
      <c r="E39" s="40">
        <v>0.22347517153911076</v>
      </c>
      <c r="F39" s="39">
        <v>0.23194378471353777</v>
      </c>
      <c r="G39" s="40">
        <v>0.22623459079209768</v>
      </c>
      <c r="H39" s="39">
        <v>0.23264045877536396</v>
      </c>
      <c r="I39" s="40">
        <v>0.22923088735737068</v>
      </c>
      <c r="J39" s="39">
        <v>0.23337546815193758</v>
      </c>
      <c r="K39" s="40">
        <v>0.23250138667208867</v>
      </c>
      <c r="L39" s="39">
        <v>0.23415387027429974</v>
      </c>
      <c r="M39" s="40">
        <v>0.23609237719408027</v>
      </c>
      <c r="N39" s="39">
        <v>0.23498177816283208</v>
      </c>
      <c r="O39" s="40">
        <v>0.24006147393189806</v>
      </c>
      <c r="P39" s="39">
        <v>0.23586671587906871</v>
      </c>
      <c r="Q39" s="40">
        <v>0.24448245516460312</v>
      </c>
      <c r="R39" s="39">
        <v>0.2368180570819399</v>
      </c>
      <c r="S39" s="40">
        <v>0.24945063825305078</v>
      </c>
      <c r="T39" s="39">
        <v>0.23784771136428612</v>
      </c>
      <c r="U39" s="40">
        <v>0.2550923707147465</v>
      </c>
      <c r="V39" s="39">
        <v>0.23897114216849177</v>
      </c>
      <c r="W39" s="40">
        <v>0.26157939650752554</v>
      </c>
      <c r="X39" s="39">
        <v>0.24020895696303163</v>
      </c>
      <c r="Y39" s="40">
        <v>0.26915202179205305</v>
      </c>
      <c r="Z39" s="39">
        <v>0.24158947648508025</v>
      </c>
      <c r="AA39" s="40">
        <v>0.27816088238840703</v>
      </c>
      <c r="AB39" s="39">
        <v>0.24315337389659711</v>
      </c>
      <c r="AC39" s="40">
        <v>0.28914049893442223</v>
      </c>
      <c r="AD39" s="39">
        <v>0.24496196090669514</v>
      </c>
      <c r="AE39" s="40">
        <v>0.30295846237112978</v>
      </c>
      <c r="AF39" s="39">
        <v>0.24711426162662359</v>
      </c>
      <c r="AG39" s="40">
        <v>0.32113967886237232</v>
      </c>
      <c r="AH39" s="39">
        <v>0.2497852377143763</v>
      </c>
      <c r="AI39" s="40">
        <v>0.34667264046944302</v>
      </c>
      <c r="AJ39" s="39">
        <v>0.25332406810851221</v>
      </c>
      <c r="AK39" s="40">
        <v>0.38637900734290137</v>
      </c>
      <c r="AL39" s="39">
        <v>0.25855712816655707</v>
      </c>
      <c r="AM39" s="40">
        <v>0.45983797846405788</v>
      </c>
      <c r="AN39" s="39">
        <v>0.26813830368228886</v>
      </c>
      <c r="AO39" s="40">
        <v>0.65380286222052508</v>
      </c>
      <c r="AP39" s="39">
        <v>0.2713500754049421</v>
      </c>
      <c r="AQ39" s="40">
        <v>0.74102976764837625</v>
      </c>
      <c r="AR39" s="39">
        <v>0.2755610585544182</v>
      </c>
      <c r="AS39" s="40">
        <v>0.87703460680295031</v>
      </c>
      <c r="AT39" s="39">
        <v>0.28161402856562012</v>
      </c>
      <c r="AU39" s="40">
        <v>1.125464072250109</v>
      </c>
      <c r="AV39" s="39">
        <v>0.29222657496632354</v>
      </c>
      <c r="AW39" s="40">
        <v>1.7706256146591848</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0.10800000000000061</v>
      </c>
      <c r="E42" s="135"/>
      <c r="F42" s="177">
        <f>10.8%+(1-10.8%)*(1-SUM(F26:G26)/SUM($B$26:$C$26))</f>
        <v>0.10799999999999961</v>
      </c>
      <c r="G42" s="135"/>
      <c r="H42" s="177">
        <f>10.8%+(1-10.8%)*(1-SUM(H26:I26)/SUM($B$26:$C$26))</f>
        <v>0.10799999999999961</v>
      </c>
      <c r="I42" s="135"/>
      <c r="J42" s="177">
        <f>10.8%+(1-10.8%)*(1-SUM(J26:K26)/SUM($B$26:$C$26))</f>
        <v>0.10800000000000021</v>
      </c>
      <c r="K42" s="135"/>
      <c r="L42" s="177">
        <f>10.8%+(1-10.8%)*(1-SUM(L26:M26)/SUM($B$26:$C$26))</f>
        <v>0.1080000000000014</v>
      </c>
      <c r="M42" s="135"/>
      <c r="N42" s="177">
        <f>10.8%+(1-10.8%)*(1-SUM(N26:O26)/SUM($B$26:$C$26))</f>
        <v>0.10799999999999982</v>
      </c>
      <c r="O42" s="135"/>
      <c r="P42" s="177">
        <f>10.8%+(1-10.8%)*(1-SUM(P26:Q26)/SUM($B$26:$C$26))</f>
        <v>0.10800000000000001</v>
      </c>
      <c r="Q42" s="135"/>
      <c r="R42" s="177">
        <f>10.8%+(1-10.8%)*(1-SUM(R26:S26)/SUM($B$26:$C$26))</f>
        <v>0.10799999999999982</v>
      </c>
      <c r="S42" s="135"/>
      <c r="T42" s="177">
        <f>10.8%+(1-10.8%)*(1-SUM(T26:U26)/SUM($B$26:$C$26))</f>
        <v>0.1080000000000003</v>
      </c>
      <c r="U42" s="135"/>
      <c r="V42" s="177">
        <f>10.8%+(1-10.8%)*(1-SUM(V26:W26)/SUM($B$26:$C$26))</f>
        <v>0.10799999999999922</v>
      </c>
      <c r="W42" s="135"/>
      <c r="X42" s="177">
        <f>10.8%+(1-10.8%)*(1-SUM(X26:Y26)/SUM($B$26:$C$26))</f>
        <v>0.10800000000000001</v>
      </c>
      <c r="Y42" s="162"/>
      <c r="Z42" s="177">
        <f>10.8%+(1-10.8%)*(1-SUM(Z26:AA26)/SUM($B$26:$C$26))</f>
        <v>0.10799999999999961</v>
      </c>
      <c r="AA42" s="135"/>
      <c r="AB42" s="177">
        <f>10.8%+(1-10.8%)*(1-SUM(AB26:AC26)/SUM($B$26:$C$26))</f>
        <v>0.10799999999999961</v>
      </c>
      <c r="AC42" s="135"/>
      <c r="AD42" s="177">
        <f>10.8%+(1-10.8%)*(1-SUM(AD26:AE26)/SUM($B$26:$C$26))</f>
        <v>0.10800000000000001</v>
      </c>
      <c r="AE42" s="135"/>
      <c r="AF42" s="177">
        <f>10.8%+(1-10.8%)*(1-SUM(AF26:AG26)/SUM($B$26:$C$26))</f>
        <v>0.10799999999999982</v>
      </c>
      <c r="AG42" s="135"/>
      <c r="AH42" s="177">
        <f>10.8%+(1-10.8%)*(1-SUM(AH26:AI26)/SUM($B$26:$C$26))</f>
        <v>0.10800000000000051</v>
      </c>
      <c r="AI42" s="135"/>
      <c r="AJ42" s="177">
        <f>10.8%+(1-10.8%)*(1-SUM(AJ26:AK26)/SUM($B$26:$C$26))</f>
        <v>0.10800000000000051</v>
      </c>
      <c r="AK42" s="135"/>
      <c r="AL42" s="177">
        <f>10.8%+(1-10.8%)*(1-SUM(AL26:AM26)/SUM($B$26:$C$26))</f>
        <v>0.10799999999999982</v>
      </c>
      <c r="AM42" s="135"/>
      <c r="AN42" s="177">
        <f>10.8%+(1-10.8%)*(1-SUM(AN26:AO26)/SUM($B$26:$C$26))</f>
        <v>0.10799999999999982</v>
      </c>
      <c r="AO42" s="135"/>
      <c r="AP42" s="177">
        <f>10.8%+(1-10.8%)*(1-SUM(AP26:AQ26)/SUM($B$26:$C$26))</f>
        <v>0.10799999999999942</v>
      </c>
      <c r="AQ42" s="135"/>
      <c r="AR42" s="177">
        <f>10.8%+(1-10.8%)*(1-SUM(AR26:AS26)/SUM($B$26:$C$26))</f>
        <v>0.10800000000000061</v>
      </c>
      <c r="AS42" s="135"/>
      <c r="AT42" s="177">
        <f>10.8%+(1-10.8%)*(1-SUM(AT26:AU26)/SUM($B$26:$C$26))</f>
        <v>0.10800000000000061</v>
      </c>
      <c r="AU42" s="135"/>
      <c r="AV42" s="177">
        <f>10.8%+(1-10.8%)*(1-SUM(AV26:AW26)/SUM($B$26:$C$26))</f>
        <v>0.10799999999999982</v>
      </c>
    </row>
    <row r="43" spans="1:49 16319:16321" x14ac:dyDescent="0.2">
      <c r="A43" t="s">
        <v>108</v>
      </c>
      <c r="B43" s="162">
        <f>SUM(B15:C15*B27:C27)/SUM(B15:C15*B27:C27,B13:C13*B26:C26)</f>
        <v>0.56058995943838641</v>
      </c>
      <c r="C43" s="135"/>
      <c r="D43" s="162">
        <f t="array" ref="D43">SUM(D15:E15*D27:E27)/SUM(D15:E15*D27:E27,D13:E13*D26:E26)</f>
        <v>0.56349324840179205</v>
      </c>
      <c r="E43" s="135"/>
      <c r="F43" s="162">
        <f t="array" ref="F43">SUM(F15:G15*F27:G27)/SUM(F15:G15*F27:G27,F13:G13*F26:G26)</f>
        <v>0.55972879651101692</v>
      </c>
      <c r="G43" s="135"/>
      <c r="H43" s="162">
        <f t="array" ref="H43">SUM(H15:I15*H27:I27)/SUM(H15:I15*H27:I27,H13:I13*H26:I26)</f>
        <v>0.55590004427463158</v>
      </c>
      <c r="I43" s="135"/>
      <c r="J43" s="162">
        <f t="array" ref="J43">SUM(J15:K15*J27:K27)/SUM(J15:K15*J27:K27,J13:K13*J26:K26)</f>
        <v>0.55199843647927138</v>
      </c>
      <c r="K43" s="135"/>
      <c r="L43" s="162">
        <f t="array" ref="L43">SUM(L15:M15*L27:M27)/SUM(L15:M15*L27:M27,L13:M13*L26:M26)</f>
        <v>0.54801368611232915</v>
      </c>
      <c r="M43" s="135"/>
      <c r="N43" s="162">
        <f t="array" ref="N43">SUM(N15:O15*N27:O27)/SUM(N15:O15*N27:O27,N13:O13*N26:O26)</f>
        <v>0.54393297929872542</v>
      </c>
      <c r="O43" s="135"/>
      <c r="P43" s="162">
        <f t="array" ref="P43">SUM(P15:Q15*P27:Q27)/SUM(P15:Q15*P27:Q27,P13:Q13*P26:Q26)</f>
        <v>0.53974042407545941</v>
      </c>
      <c r="Q43" s="135"/>
      <c r="R43" s="162">
        <f t="array" ref="R43">SUM(R15:S15*R27:S27)/SUM(R15:S15*R27:S27,R13:S13*R26:S26)</f>
        <v>0.53541557125365136</v>
      </c>
      <c r="S43" s="135"/>
      <c r="T43" s="162">
        <f t="array" ref="T43">SUM(T15:U15*T27:U27)/SUM(T15:U15*T27:U27,T13:U13*T26:U26)</f>
        <v>0.53093159538004642</v>
      </c>
      <c r="U43" s="135"/>
      <c r="V43" s="162">
        <f t="array" ref="V43">SUM(V15:W15*V27:W27)/SUM(V15:W15*V27:W27,V13:W13*V26:W26)</f>
        <v>0.52625217363641097</v>
      </c>
      <c r="W43" s="135"/>
      <c r="X43" s="162">
        <f t="array" ref="X43">SUM(X15:Y15*X27:Y27)/SUM(X15:Y15*X27:Y27,X13:Y13*X26:Y26)</f>
        <v>0.52132638230848105</v>
      </c>
      <c r="Y43" s="135"/>
      <c r="Z43" s="162">
        <f t="array" ref="Z43">SUM(Z15:AA15*Z27:AA27)/SUM(Z15:AA15*Z27:AA27,Z13:AA13*Z26:AA26)</f>
        <v>0.51607889377699689</v>
      </c>
      <c r="AA43" s="135"/>
      <c r="AB43" s="162">
        <f t="array" ref="AB43">SUM(AB15:AC15*AB27:AC27)/SUM(AB15:AC15*AB27:AC27,AB13:AC13*AB26:AC26)</f>
        <v>0.51039334919531321</v>
      </c>
      <c r="AC43" s="135"/>
      <c r="AD43" s="162">
        <f t="array" ref="AD43">SUM(AD15:AE15*AD27:AE27)/SUM(AD15:AE15*AD27:AE27,AD13:AE13*AD26:AE26)</f>
        <v>0.50407592927997091</v>
      </c>
      <c r="AE43" s="135"/>
      <c r="AF43" s="162">
        <f t="array" ref="AF43">SUM(AF15:AG15*AF27:AG27)/SUM(AF15:AG15*AF27:AG27,AF13:AG13*AF26:AG26)</f>
        <v>0.49677724305072474</v>
      </c>
      <c r="AG43" s="135"/>
      <c r="AH43" s="162">
        <f t="array" ref="AH43">SUM(AH15:AI15*AH27:AI27)/SUM(AH15:AI15*AH27:AI27,AH13:AI13*AH26:AI26)</f>
        <v>0.48780152486062694</v>
      </c>
      <c r="AI43" s="135"/>
      <c r="AJ43" s="162">
        <f t="array" ref="AJ43">SUM(AJ15:AK15*AJ27:AK27)/SUM(AJ15:AK15*AJ27:AK27,AJ13:AK13*AJ26:AK26)</f>
        <v>0.47558967566649557</v>
      </c>
      <c r="AK43" s="135"/>
      <c r="AL43" s="162">
        <f t="array" ref="AL43">SUM(AL15:AM15*AL27:AM27)/SUM(AL15:AM15*AL27:AM27,AL13:AM13*AL26:AM26)</f>
        <v>0.45612450077520122</v>
      </c>
      <c r="AM43" s="135"/>
      <c r="AN43" s="162">
        <f t="array" ref="AN43">SUM(AN15:AO15*AN27:AO27)/SUM(AN15:AO15*AN27:AO27,AN13:AO13*AN26:AO26)</f>
        <v>0.41594090444747411</v>
      </c>
      <c r="AO43" s="135"/>
      <c r="AP43" s="162">
        <f t="array" ref="AP43">SUM(AP15:AQ15*AP27:AQ27)/SUM(AP15:AQ15*AP27:AQ27,AP13:AQ13*AP26:AQ26)</f>
        <v>0.4012017448044406</v>
      </c>
      <c r="AQ43" s="135"/>
      <c r="AR43" s="162">
        <f t="array" ref="AR43">SUM(AR15:AS15*AR27:AS27)/SUM(AR15:AS15*AR27:AS27,AR13:AS13*AR26:AS26)</f>
        <v>0.38071124815850438</v>
      </c>
      <c r="AS43" s="135"/>
      <c r="AT43" s="162">
        <f t="array" ref="AT43">SUM(AT15:AU15*AT27:AU27)/SUM(AT15:AU15*AT27:AU27,AT13:AU13*AT26:AU26)</f>
        <v>0.34842238473024467</v>
      </c>
      <c r="AU43" s="135"/>
      <c r="AV43" s="162">
        <f t="array" ref="AV43">SUM(AV15:AW15*AV27:AW27)/SUM(AV15:AW15*AV27:AW27,AV13:AW13*AV26:AW26)</f>
        <v>0.28154493570009625</v>
      </c>
    </row>
    <row r="44" spans="1:49 16319:16321" x14ac:dyDescent="0.2">
      <c r="A44" t="s">
        <v>142</v>
      </c>
      <c r="B44" s="193">
        <f>(SUM(B11:C11*B24:C24)+B34)/B32</f>
        <v>0.29754226190682465</v>
      </c>
      <c r="D44" s="193">
        <f>(SUM(D11:E11*D24:E24)+D34)/D32</f>
        <v>0.29754225931562683</v>
      </c>
      <c r="F44" s="193">
        <f>(SUM(F11:G11*F24:G24)+F34)/F32</f>
        <v>0.29754225519301358</v>
      </c>
      <c r="H44" s="193">
        <f>(SUM(H11:I11*H24:I24)+H34)/H32</f>
        <v>0.29754225169076287</v>
      </c>
      <c r="J44" s="193">
        <f>(SUM(J11:K11*J24:K24)+J34)/J32</f>
        <v>0.29754225955216562</v>
      </c>
      <c r="L44" s="193">
        <f>(SUM(L11:M11*L24:M24)+L34)/L32</f>
        <v>0.2975422482053679</v>
      </c>
      <c r="N44" s="193">
        <f>(SUM(N11:O11*N24:O24)+N34)/N32</f>
        <v>0.29754226122194455</v>
      </c>
      <c r="P44" s="193">
        <f>(SUM(P11:Q11*P24:Q24)+P34)/P32</f>
        <v>0.29754226106999182</v>
      </c>
      <c r="R44" s="193">
        <f>(SUM(R11:S11*R24:S24)+R34)/R32</f>
        <v>0.2975422611021884</v>
      </c>
      <c r="T44" s="193">
        <f>(SUM(T11:U11*T24:U24)+T34)/T32</f>
        <v>0.29754226127386774</v>
      </c>
      <c r="V44" s="193">
        <f>(SUM(V11:W11*V24:W24)+V34)/V32</f>
        <v>0.29754225621103075</v>
      </c>
      <c r="X44" s="193">
        <f>(SUM(X11:Y11*X24:Y24)+X34)/X32</f>
        <v>0.29754222908075217</v>
      </c>
      <c r="Z44" s="193">
        <f>(SUM(Z11:AA11*Z24:AA24)+Z34)/Z32</f>
        <v>0.29754226146649276</v>
      </c>
      <c r="AB44" s="193">
        <f>(SUM(AB11:AC11*AB24:AC24)+AB34)/AB32</f>
        <v>0.29754226145049306</v>
      </c>
      <c r="AD44" s="193">
        <f>(SUM(AD11:AE11*AD24:AE24)+AD34)/AD32</f>
        <v>0.29754226112224713</v>
      </c>
      <c r="AF44" s="193">
        <f>(SUM(AF11:AG11*AF24:AG24)+AF34)/AF32</f>
        <v>0.29754226098636216</v>
      </c>
      <c r="AH44" s="193">
        <f>(SUM(AH11:AI11*AH24:AI24)+AH34)/AH32</f>
        <v>0.29754226145374535</v>
      </c>
      <c r="AJ44" s="193">
        <f>(SUM(AJ11:AK11*AJ24:AK24)+AJ34)/AJ32</f>
        <v>0.29754226179859594</v>
      </c>
      <c r="AL44" s="193">
        <f>(SUM(AL11:AM11*AL24:AM24)+AL34)/AL32</f>
        <v>0.2975422619292431</v>
      </c>
      <c r="AN44" s="193">
        <f>(SUM(AN11:AO11*AN24:AO24)+AN34)/AN32</f>
        <v>0.29754226190598271</v>
      </c>
      <c r="AP44" s="193">
        <f>(SUM(AP11:AQ11*AP24:AQ24)+AP34)/AP32</f>
        <v>0.29754226190670713</v>
      </c>
      <c r="AR44" s="193">
        <f>(SUM(AR11:AS11*AR24:AS24)+AR34)/AR32</f>
        <v>0.29754226190682126</v>
      </c>
      <c r="AT44" s="193">
        <f>(SUM(AT11:AU11*AT24:AU24)+AT34)/AT32</f>
        <v>0.2975422619067643</v>
      </c>
      <c r="AV44" s="193">
        <f>(SUM(AV11:AW11*AV24:AW24)+AV34)/AV32</f>
        <v>0.2975422619068237</v>
      </c>
    </row>
    <row r="45" spans="1:49 16319:16321" x14ac:dyDescent="0.2">
      <c r="A45" t="s">
        <v>82</v>
      </c>
      <c r="B45" s="193">
        <f>SUM(B11:C11*B24:C24)/B32</f>
        <v>0.22038438833194082</v>
      </c>
      <c r="D45" s="193">
        <f>SUM(D11:E11*D24:E24)/D32</f>
        <v>0.22038438835723925</v>
      </c>
      <c r="F45" s="193">
        <f>SUM(F11:G11*F24:G24)/F32</f>
        <v>0.22038438839731789</v>
      </c>
      <c r="H45" s="193">
        <f>SUM(H11:I11*H24:I24)/H32</f>
        <v>0.22038438843176075</v>
      </c>
      <c r="J45" s="193">
        <f>SUM(J11:K11*J24:K24)/J32</f>
        <v>0.22038438835489169</v>
      </c>
      <c r="L45" s="193">
        <f>SUM(L11:M11*L24:M24)/L32</f>
        <v>0.22038438846557282</v>
      </c>
      <c r="N45" s="193">
        <f>SUM(N11:O11*N24:O24)/N32</f>
        <v>0.22038438832551169</v>
      </c>
      <c r="P45" s="193">
        <f>SUM(P11:Q11*P24:Q24)/P32</f>
        <v>0.22038438832441848</v>
      </c>
      <c r="R45" s="193">
        <f>SUM(R11:S11*R24:S24)/R32</f>
        <v>0.22038438832496685</v>
      </c>
      <c r="T45" s="193">
        <f>SUM(T11:U11*T24:U24)/T32</f>
        <v>0.22038438833069288</v>
      </c>
      <c r="V45" s="193">
        <f>SUM(V11:W11*V24:W24)/V32</f>
        <v>0.22038438836009366</v>
      </c>
      <c r="X45" s="193">
        <f>SUM(X11:Y11*X24:Y24)/X32</f>
        <v>0.22038438826550877</v>
      </c>
      <c r="Z45" s="193">
        <f>SUM(Z11:AA11*Z24:AA24)/Z32</f>
        <v>0.22038438833148322</v>
      </c>
      <c r="AB45" s="193">
        <f>SUM(AB11:AC11*AB24:AC24)/AB32</f>
        <v>0.22038438833161295</v>
      </c>
      <c r="AD45" s="193">
        <f>SUM(AD11:AE11*AD24:AE24)/AD32</f>
        <v>0.22038438833656784</v>
      </c>
      <c r="AF45" s="193">
        <f>SUM(AF11:AG11*AF24:AG24)/AF32</f>
        <v>0.22038438833088927</v>
      </c>
      <c r="AH45" s="193">
        <f>SUM(AH11:AI11*AH24:AI24)/AH32</f>
        <v>0.2203843883320783</v>
      </c>
      <c r="AJ45" s="193">
        <f>SUM(AJ11:AK11*AJ24:AK24)/AJ32</f>
        <v>0.22038438833213139</v>
      </c>
      <c r="AL45" s="193">
        <f>SUM(AL11:AM11*AL24:AM24)/AL32</f>
        <v>0.2203843883316243</v>
      </c>
      <c r="AN45" s="193">
        <f>SUM(AN11:AO11*AN24:AO24)/AN32</f>
        <v>0.22038438833194901</v>
      </c>
      <c r="AP45" s="193">
        <f>SUM(AP11:AQ11*AP24:AQ24)/AP32</f>
        <v>0.22038438833194168</v>
      </c>
      <c r="AR45" s="193">
        <f>SUM(AR11:AS11*AR24:AS24)/AR32</f>
        <v>0.22038438833194063</v>
      </c>
      <c r="AT45" s="193">
        <f>SUM(AT11:AU11*AT24:AU24)/AT32</f>
        <v>0.22038438833194296</v>
      </c>
      <c r="AV45" s="193">
        <f>SUM(AV11:AW11*AV24:AW24)/AV32</f>
        <v>0.22038438833194093</v>
      </c>
      <c r="XCQ45" s="193"/>
    </row>
    <row r="46" spans="1:49 16319:16321" x14ac:dyDescent="0.2">
      <c r="A46" t="s">
        <v>139</v>
      </c>
      <c r="B46" s="193">
        <f>B34/B32</f>
        <v>7.7157873574883795E-2</v>
      </c>
      <c r="D46" s="193">
        <f>D34/D32</f>
        <v>7.7157870958387623E-2</v>
      </c>
      <c r="F46" s="193">
        <f>F34/F32</f>
        <v>7.7157866795695682E-2</v>
      </c>
      <c r="H46" s="193">
        <f>H34/H32</f>
        <v>7.7157863259002119E-2</v>
      </c>
      <c r="J46" s="193">
        <f>J34/J32</f>
        <v>7.7157871197273922E-2</v>
      </c>
      <c r="L46" s="193">
        <f>L34/L32</f>
        <v>7.7157859739795095E-2</v>
      </c>
      <c r="N46" s="193">
        <f>N34/N32</f>
        <v>7.7157872896432861E-2</v>
      </c>
      <c r="P46" s="193">
        <f>P34/P32</f>
        <v>7.7157872745573342E-2</v>
      </c>
      <c r="R46" s="193">
        <f>R34/R32</f>
        <v>7.7157872777221539E-2</v>
      </c>
      <c r="T46" s="193">
        <f>T34/T32</f>
        <v>7.7157872943174874E-2</v>
      </c>
      <c r="V46" s="193">
        <f>V34/V32</f>
        <v>7.7157867850937076E-2</v>
      </c>
      <c r="X46" s="193">
        <f>X34/X32</f>
        <v>7.7157840815243406E-2</v>
      </c>
      <c r="Z46" s="193">
        <f>Z34/Z32</f>
        <v>7.7157873135009589E-2</v>
      </c>
      <c r="AB46" s="193">
        <f>AB34/AB32</f>
        <v>7.7157873118880074E-2</v>
      </c>
      <c r="AD46" s="193">
        <f>AD34/AD32</f>
        <v>7.7157872785679274E-2</v>
      </c>
      <c r="AF46" s="193">
        <f>AF34/AF32</f>
        <v>7.7157872655472873E-2</v>
      </c>
      <c r="AH46" s="193">
        <f>AH34/AH32</f>
        <v>7.7157873121667039E-2</v>
      </c>
      <c r="AJ46" s="193">
        <f>AJ34/AJ32</f>
        <v>7.7157873466464577E-2</v>
      </c>
      <c r="AL46" s="193">
        <f>AL34/AL32</f>
        <v>7.7157873597618803E-2</v>
      </c>
      <c r="AN46" s="193">
        <f>AN34/AN32</f>
        <v>7.7157873574033656E-2</v>
      </c>
      <c r="AP46" s="193">
        <f>AP34/AP32</f>
        <v>7.7157873574765501E-2</v>
      </c>
      <c r="AR46" s="193">
        <f>AR34/AR32</f>
        <v>7.7157873574880617E-2</v>
      </c>
      <c r="AT46" s="193">
        <f>AT34/AT32</f>
        <v>7.7157873574821359E-2</v>
      </c>
      <c r="AV46" s="193">
        <f>AV34/AV32</f>
        <v>7.715787357488281E-2</v>
      </c>
      <c r="XCS46" s="193"/>
    </row>
    <row r="48" spans="1:49 16319:16321" x14ac:dyDescent="0.2">
      <c r="A48" t="s">
        <v>159</v>
      </c>
      <c r="B48" s="191">
        <f>B24/$B$24</f>
        <v>1</v>
      </c>
      <c r="C48" s="191"/>
      <c r="D48" s="191">
        <f>D24/$B$24</f>
        <v>1.0010294159913571</v>
      </c>
      <c r="E48" s="191"/>
      <c r="F48" s="191">
        <f>F24/$B$24</f>
        <v>1.0019804261499943</v>
      </c>
      <c r="G48" s="191"/>
      <c r="H48" s="191">
        <f>H24/$B$24</f>
        <v>1.0028444606233122</v>
      </c>
      <c r="I48" s="191"/>
      <c r="J48" s="191">
        <f>J24/$B$24</f>
        <v>1.0036114591216525</v>
      </c>
      <c r="K48" s="191"/>
      <c r="L48" s="191">
        <f>L24/$B$24</f>
        <v>1.0042694595400383</v>
      </c>
      <c r="M48" s="191"/>
      <c r="N48" s="191">
        <f>N24/$B$24</f>
        <v>1.0048042175908791</v>
      </c>
      <c r="O48" s="191"/>
      <c r="P48" s="191">
        <f>P24/$B$24</f>
        <v>1.0051983864589082</v>
      </c>
      <c r="Q48" s="191"/>
      <c r="R48" s="191">
        <f>R24/$B$24</f>
        <v>1.0054307741922344</v>
      </c>
      <c r="S48" s="191"/>
      <c r="T48" s="191">
        <f>T24/$B$24</f>
        <v>1.0054750117825055</v>
      </c>
      <c r="U48" s="191"/>
      <c r="V48" s="191">
        <f>V24/$B$24</f>
        <v>1.0052977829617287</v>
      </c>
      <c r="W48" s="191"/>
      <c r="X48" s="191">
        <f>X24/$B$24</f>
        <v>1.0048563900697727</v>
      </c>
      <c r="Y48" s="191"/>
      <c r="Z48" s="191">
        <f>Z24/$B$24</f>
        <v>1.0040943299293867</v>
      </c>
      <c r="AA48" s="191"/>
      <c r="AB48" s="191">
        <f>AB24/$B$24</f>
        <v>1.0029363118159029</v>
      </c>
      <c r="AC48" s="191"/>
      <c r="AD48" s="191">
        <f>AD24/$B$24</f>
        <v>1.0012782272738685</v>
      </c>
      <c r="AE48" s="191"/>
      <c r="AF48" s="191">
        <f>AF24/$B$24</f>
        <v>0.99897287613724728</v>
      </c>
      <c r="AG48" s="191"/>
      <c r="AH48" s="191">
        <f>AH24/$B$24</f>
        <v>0.99580640510123597</v>
      </c>
      <c r="AI48" s="191"/>
      <c r="AJ48" s="191">
        <f>AJ24/$B$24</f>
        <v>0.9914598592337468</v>
      </c>
      <c r="AK48" s="191"/>
      <c r="AL48" s="191">
        <f>AL24/$B$24</f>
        <v>0.98542200951839187</v>
      </c>
      <c r="AM48" s="191"/>
      <c r="AN48" s="191">
        <f>AN24/$B$24</f>
        <v>0.97664660595169539</v>
      </c>
      <c r="AO48" s="191"/>
      <c r="AP48" s="191">
        <f>AP24/$B$24</f>
        <v>0.97444878081304731</v>
      </c>
      <c r="AQ48" s="191"/>
      <c r="AR48" s="191">
        <f>AR24/$B$24</f>
        <v>0.97223474637466489</v>
      </c>
      <c r="AS48" s="191"/>
      <c r="AT48" s="191">
        <f>AT24/$B$24</f>
        <v>0.97056544722736848</v>
      </c>
      <c r="AU48" s="191"/>
      <c r="AV48" s="191">
        <f>AV24/$B$24</f>
        <v>0.97247615967396928</v>
      </c>
    </row>
    <row r="49" spans="1:48 16321:16384" x14ac:dyDescent="0.2">
      <c r="A49" t="s">
        <v>160</v>
      </c>
      <c r="B49" s="191">
        <f>B13/B35/$B$13*$B$35</f>
        <v>1</v>
      </c>
      <c r="C49" s="191"/>
      <c r="D49" s="191">
        <f>D13/D35/$B$13*$B$35</f>
        <v>1.0026092936398807</v>
      </c>
      <c r="E49" s="191"/>
      <c r="F49" s="191">
        <f>F13/F35/$B$13*$B$35</f>
        <v>1.0049563321555075</v>
      </c>
      <c r="G49" s="191"/>
      <c r="H49" s="191">
        <f>H13/H35/$B$13*$B$35</f>
        <v>1.0070063881951523</v>
      </c>
      <c r="I49" s="191"/>
      <c r="J49" s="191">
        <f>J13/J35/$B$13*$B$35</f>
        <v>1.0087172113231808</v>
      </c>
      <c r="K49" s="191"/>
      <c r="L49" s="191">
        <f>L13/L35/$B$13*$B$35</f>
        <v>1.0100365604305876</v>
      </c>
      <c r="M49" s="191"/>
      <c r="N49" s="191">
        <f>N13/N35/$B$13*$B$35</f>
        <v>1.0108995451124725</v>
      </c>
      <c r="O49" s="191"/>
      <c r="P49" s="191">
        <f>P13/P35/$B$13*$B$35</f>
        <v>1.0112235254588184</v>
      </c>
      <c r="Q49" s="191"/>
      <c r="R49" s="191">
        <f>R13/R35/$B$13*$B$35</f>
        <v>1.0109021494090085</v>
      </c>
      <c r="S49" s="191"/>
      <c r="T49" s="191">
        <f>T13/T35/$B$13*$B$35</f>
        <v>1.0097953705866236</v>
      </c>
      <c r="U49" s="191"/>
      <c r="V49" s="191">
        <f>V13/V35/$B$13*$B$35</f>
        <v>1.007714396221782</v>
      </c>
      <c r="W49" s="191"/>
      <c r="X49" s="191">
        <f>X13/X35/$B$13*$B$35</f>
        <v>1.0043973979702761</v>
      </c>
      <c r="Y49" s="191"/>
      <c r="Z49" s="191">
        <f>Z13/Z35/$B$13*$B$35</f>
        <v>0.99946897934165602</v>
      </c>
      <c r="AA49" s="191"/>
      <c r="AB49" s="191">
        <f>AB13/AB35/$B$13*$B$35</f>
        <v>0.9923655385535235</v>
      </c>
      <c r="AC49" s="191"/>
      <c r="AD49" s="191">
        <f>AD13/AD35/$B$13*$B$35</f>
        <v>0.98219462060916529</v>
      </c>
      <c r="AE49" s="191"/>
      <c r="AF49" s="191">
        <f>AF13/AF35/$B$13*$B$35</f>
        <v>0.96743351900465357</v>
      </c>
      <c r="AG49" s="191"/>
      <c r="AH49" s="191">
        <f>AH13/AH35/$B$13*$B$35</f>
        <v>0.94520812244092867</v>
      </c>
      <c r="AI49" s="191"/>
      <c r="AJ49" s="191">
        <f>AJ13/AJ35/$B$13*$B$35</f>
        <v>0.9092644651385513</v>
      </c>
      <c r="AK49" s="191"/>
      <c r="AL49" s="191">
        <f>AL13/AL35/$B$13*$B$35</f>
        <v>0.84298357303195981</v>
      </c>
      <c r="AM49" s="191"/>
      <c r="AN49" s="191">
        <f>AN13/AN35/$B$13*$B$35</f>
        <v>0.68818255420690855</v>
      </c>
      <c r="AO49" s="191"/>
      <c r="AP49" s="191">
        <f>AP13/AP35/$B$13*$B$35</f>
        <v>0.63098714133082623</v>
      </c>
      <c r="AQ49" s="191"/>
      <c r="AR49" s="191">
        <f>AR13/AR35/$B$13*$B$35</f>
        <v>0.55611326383226789</v>
      </c>
      <c r="AS49" s="191"/>
      <c r="AT49" s="191">
        <f>AT13/AT35/$B$13*$B$35</f>
        <v>0.45438605064562748</v>
      </c>
      <c r="AU49" s="191"/>
      <c r="AV49" s="191">
        <f>AV13/AV35/$B$13*$B$35</f>
        <v>0.30685843541595154</v>
      </c>
    </row>
    <row r="51" spans="1:48 16321:16384" x14ac:dyDescent="0.2">
      <c r="A51" t="s">
        <v>166</v>
      </c>
      <c r="B51" s="29">
        <f>B30-B10*B23</f>
        <v>-405838.32800000021</v>
      </c>
      <c r="D51" s="29">
        <f>D30-D10*D23</f>
        <v>-353488.68745086249</v>
      </c>
      <c r="F51" s="29">
        <f>F30-F10*F23</f>
        <v>-300752.38170397095</v>
      </c>
      <c r="H51" s="29">
        <f>H30-H10*H23</f>
        <v>-247557.30615087505</v>
      </c>
      <c r="J51" s="29">
        <f>J30-J10*J23</f>
        <v>-193817.7279087035</v>
      </c>
      <c r="L51" s="29">
        <f>L30-L10*L23</f>
        <v>-139428.93822708214</v>
      </c>
      <c r="N51" s="29">
        <f>N30-N10*N23</f>
        <v>-84264.413598317653</v>
      </c>
      <c r="P51" s="29">
        <f>P30-P10*P23</f>
        <v>-28163.153885671403</v>
      </c>
      <c r="R51" s="29">
        <f>R30-R10*R23</f>
        <v>29079.377644684631</v>
      </c>
      <c r="T51" s="29">
        <f>T30-T10*T23</f>
        <v>87733.02252377104</v>
      </c>
      <c r="V51" s="29">
        <f>V30-V10*V23</f>
        <v>148165.21188804368</v>
      </c>
      <c r="X51" s="29">
        <f>X30-X10*X23</f>
        <v>210894.74002005858</v>
      </c>
      <c r="Z51" s="29">
        <f>Z30-Z10*Z23</f>
        <v>276691.00291233975</v>
      </c>
      <c r="AB51" s="29">
        <f>AB30-AB10*AB23</f>
        <v>346763.45798846893</v>
      </c>
      <c r="AD51" s="29">
        <f>AD30-AD10*AD23</f>
        <v>423137.58084905287</v>
      </c>
      <c r="AF51" s="29">
        <f>AF30-AF10*AF23</f>
        <v>509493.96535969479</v>
      </c>
      <c r="AH51" s="29">
        <f>AH30-AH10*AH23</f>
        <v>613176.9571021148</v>
      </c>
      <c r="AJ51" s="29">
        <f>AJ30-AJ10*AJ23</f>
        <v>750490.28925446142</v>
      </c>
      <c r="AL51" s="29">
        <f>AL30-AL10*AL23</f>
        <v>962017.64385738689</v>
      </c>
      <c r="AN51" s="29">
        <f>AN30-AN10*AN23</f>
        <v>1372019.5452338066</v>
      </c>
      <c r="AP51" s="29">
        <f>AP30-AP10*AP23</f>
        <v>1513600.0195171209</v>
      </c>
      <c r="AQ51" s="29"/>
      <c r="AR51" s="29">
        <f>AR30-AR10*AR23</f>
        <v>1703304.0400310392</v>
      </c>
      <c r="AT51" s="29">
        <f>AT30-AT10*AT23</f>
        <v>1987417.4506762023</v>
      </c>
      <c r="AV51" s="29">
        <f>AV30-AV10*AV23</f>
        <v>2528870.1254403773</v>
      </c>
      <c r="XFD51" s="29"/>
    </row>
    <row r="52" spans="1:48 16321:16384" x14ac:dyDescent="0.2">
      <c r="A52" t="s">
        <v>167</v>
      </c>
      <c r="B52" s="29">
        <f t="array" ref="B52">Calibration!sL*SUM(B13:C13*B26:C26)</f>
        <v>2049247.8195702801</v>
      </c>
      <c r="D52" s="29">
        <f t="array" ref="D52">Calibration!sL*SUM(D13:E13*D26:E26)</f>
        <v>2058134.4334231582</v>
      </c>
      <c r="F52" s="29">
        <f t="array" ref="F52">Calibration!sL*SUM(F13:G13*F26:G26)</f>
        <v>2066898.3835541257</v>
      </c>
      <c r="H52" s="29">
        <f t="array" ref="H52">Calibration!sL*SUM(H13:I13*H26:I26)</f>
        <v>2075531.1999865491</v>
      </c>
      <c r="J52" s="29">
        <f t="array" ref="J52">Calibration!sL*SUM(J13:K13*J26:K26)</f>
        <v>2084023.1159503993</v>
      </c>
      <c r="L52" s="29">
        <f t="array" ref="L52">Calibration!sL*SUM(L13:M13*L26:M26)</f>
        <v>2092362.7049762192</v>
      </c>
      <c r="N52" s="29">
        <f t="array" ref="N52">Calibration!sL*SUM(N13:O13*N26:O26)</f>
        <v>2100537.3361220937</v>
      </c>
      <c r="P52" s="29">
        <f t="array" ref="P52">Calibration!sL*SUM(P13:Q13*P26:Q26)</f>
        <v>2108532.6307878215</v>
      </c>
      <c r="R52" s="29">
        <f t="array" ref="R52">Calibration!sL*SUM(R13:S13*R26:S26)</f>
        <v>2116333.4850887479</v>
      </c>
      <c r="T52" s="29">
        <f t="array" ref="T52">Calibration!sL*SUM(T13:U13*T26:U26)</f>
        <v>2123925.1298527122</v>
      </c>
      <c r="V52" s="29">
        <f t="array" ref="V52">Calibration!sL*SUM(V13:W13*V26:W26)</f>
        <v>2131296.1140566333</v>
      </c>
      <c r="X52" s="29">
        <f t="array" ref="X52">Calibration!sL*SUM(X13:Y13*X26:Y26)</f>
        <v>2138444.5683242925</v>
      </c>
      <c r="Z52" s="29">
        <f t="array" ref="Z52">Calibration!sL*SUM(Z13:AA13*Z26:AA26)</f>
        <v>2145393.2329087071</v>
      </c>
      <c r="AB52" s="29">
        <f t="array" ref="AB52">Calibration!sL*SUM(AB13:AC13*AB26:AC26)</f>
        <v>2152218.3953398187</v>
      </c>
      <c r="AD52" s="29">
        <f t="array" ref="AD52">Calibration!sL*SUM(AD13:AE13*AD26:AE26)</f>
        <v>2159121.3720322773</v>
      </c>
      <c r="AF52" s="29">
        <f t="array" ref="AF52">Calibration!sL*SUM(AF13:AG13*AF26:AG26)</f>
        <v>2166593.1976763979</v>
      </c>
      <c r="AH52" s="29">
        <f t="array" ref="AH52">Calibration!sL*SUM(AH13:AI13*AH26:AI26)</f>
        <v>2175826.9959436874</v>
      </c>
      <c r="AJ52" s="29">
        <f t="array" ref="AJ52">Calibration!sL*SUM(AJ13:AK13*AJ26:AK26)</f>
        <v>2189781.3754435349</v>
      </c>
      <c r="AL52" s="29">
        <f t="array" ref="AL52">Calibration!sL*SUM(AL13:AM13*AL26:AM26)</f>
        <v>2215823.9787865258</v>
      </c>
      <c r="AN52" s="29">
        <f t="array" ref="AN52">Calibration!sL*SUM(AN13:AO13*AN26:AO26)</f>
        <v>2272925.6316220881</v>
      </c>
      <c r="AP52" s="29">
        <f t="array" ref="AP52">Calibration!sL*SUM(AP13:AQ13*AP26:AQ26)</f>
        <v>2292993.2463487461</v>
      </c>
      <c r="AQ52" s="29"/>
      <c r="AR52" s="29">
        <f t="array" ref="AR52">Calibration!sL*SUM(AR13:AS13*AR26:AS26)</f>
        <v>2320177.8898263611</v>
      </c>
      <c r="AT52" s="29">
        <f t="array" ref="AT52">Calibration!sL*SUM(AT13:AU13*AT26:AU26)</f>
        <v>2362229.4245492644</v>
      </c>
      <c r="AV52" s="29">
        <f t="array" ref="AV52">Calibration!sL*SUM(AV13:AW13*AV26:AW26)</f>
        <v>2448728.0584806642</v>
      </c>
    </row>
    <row r="53" spans="1:48 16321:16384" x14ac:dyDescent="0.2">
      <c r="A53" t="s">
        <v>168</v>
      </c>
      <c r="B53" s="29">
        <f t="array" ref="B53">Calibration!sK*SUM(B15:C15*B27:C27)</f>
        <v>2740714.444429684</v>
      </c>
      <c r="D53" s="29">
        <f t="array" ref="D53">Calibration!sK*SUM(D15:E15*D27:E27)</f>
        <v>2711383.0554174194</v>
      </c>
      <c r="F53" s="29">
        <f t="array" ref="F53">Calibration!sK*SUM(F15:G15*F27:G27)</f>
        <v>2681611.6468406981</v>
      </c>
      <c r="H53" s="29">
        <f t="array" ref="H53">Calibration!sK*SUM(H15:I15*H27:I27)</f>
        <v>2651335.1688166545</v>
      </c>
      <c r="J53" s="29">
        <f t="array" ref="J53">Calibration!sK*SUM(J15:K15*J27:K27)</f>
        <v>2620476.3070200686</v>
      </c>
      <c r="L53" s="29">
        <f t="array" ref="L53">Calibration!sK*SUM(L15:M15*L27:M27)</f>
        <v>2588942.9363843282</v>
      </c>
      <c r="N53" s="29">
        <f t="array" ref="N53">Calibration!sK*SUM(N15:O15*N27:O27)</f>
        <v>2556621.9653558428</v>
      </c>
      <c r="P53" s="29">
        <f t="array" ref="P53">Calibration!sK*SUM(P15:Q15*P27:Q27)</f>
        <v>2523375.1797224567</v>
      </c>
      <c r="R53" s="29">
        <f t="array" ref="R53">Calibration!sK*SUM(R15:S15*R27:S27)</f>
        <v>2489028.3250279799</v>
      </c>
      <c r="T53" s="29">
        <f t="array" ref="T53">Calibration!sK*SUM(T15:U15*T27:U27)</f>
        <v>2453358.3093279516</v>
      </c>
      <c r="V53" s="29">
        <f t="array" ref="V53">Calibration!sK*SUM(V15:W15*V27:W27)</f>
        <v>2416071.892783287</v>
      </c>
      <c r="X53" s="29">
        <f t="array" ref="X53">Calibration!sK*SUM(X15:Y15*X27:Y27)</f>
        <v>2376772.4044580283</v>
      </c>
      <c r="Z53" s="29">
        <f t="array" ref="Z53">Calibration!sK*SUM(Z15:AA15*Z27:AA27)</f>
        <v>2334897.5407284768</v>
      </c>
      <c r="AB53" s="29">
        <f t="array" ref="AB53">Calibration!sK*SUM(AB15:AC15*AB27:AC27)</f>
        <v>2289620.0770153529</v>
      </c>
      <c r="AD53" s="29">
        <f t="array" ref="AD53">Calibration!sK*SUM(AD15:AE15*AD27:AE27)</f>
        <v>2239634.8417450618</v>
      </c>
      <c r="AF53" s="29">
        <f t="array" ref="AF53">Calibration!sK*SUM(AF15:AG15*AF27:AG27)</f>
        <v>2182720.7804951412</v>
      </c>
      <c r="AH53" s="29">
        <f t="array" ref="AH53">Calibration!sK*SUM(AH15:AI15*AH27:AI27)</f>
        <v>2114699.2966663619</v>
      </c>
      <c r="AJ53" s="29">
        <f t="array" ref="AJ53">Calibration!sK*SUM(AJ15:AK15*AJ27:AK27)</f>
        <v>2026662.0264742691</v>
      </c>
      <c r="AL53" s="29">
        <f t="array" ref="AL53">Calibration!sK*SUM(AL15:AM15*AL27:AM27)</f>
        <v>1896437.5747664238</v>
      </c>
      <c r="AN53" s="29">
        <f t="array" ref="AN53">Calibration!sK*SUM(AN15:AO15*AN27:AO27)</f>
        <v>1651883.6477826124</v>
      </c>
      <c r="AP53" s="29">
        <f t="array" ref="AP53">Calibration!sK*SUM(AP15:AQ15*AP27:AQ27)</f>
        <v>1567849.7825008205</v>
      </c>
      <c r="AQ53" s="29"/>
      <c r="AR53" s="29">
        <f t="array" ref="AR53">Calibration!sK*SUM(AR15:AS15*AR27:AS27)</f>
        <v>1455603.823839305</v>
      </c>
      <c r="AT53" s="29">
        <f t="array" ref="AT53">Calibration!sK*SUM(AT15:AU15*AT27:AU27)</f>
        <v>1289084.4083071016</v>
      </c>
      <c r="AV53" s="29">
        <f t="array" ref="AV53">Calibration!sK*SUM(AV15:AW15*AV27:AW27)</f>
        <v>979282.63759327505</v>
      </c>
      <c r="XFD53" s="29"/>
    </row>
    <row r="55" spans="1:48 16321:16384" x14ac:dyDescent="0.2">
      <c r="A55" t="s">
        <v>169</v>
      </c>
      <c r="B55" s="193">
        <f>B30/B32</f>
        <v>0.19850271905982084</v>
      </c>
      <c r="D55" s="193">
        <f>D30/D32</f>
        <v>0.20206153703058297</v>
      </c>
      <c r="F55" s="193">
        <f>F30/F32</f>
        <v>0.20564304159431582</v>
      </c>
      <c r="H55" s="193">
        <f>H30/H32</f>
        <v>0.20925289105787562</v>
      </c>
      <c r="J55" s="193">
        <f>J30/J32</f>
        <v>0.21289779629280906</v>
      </c>
      <c r="L55" s="193">
        <f>L30/L32</f>
        <v>0.216585920267199</v>
      </c>
      <c r="N55" s="193">
        <f>N30/N32</f>
        <v>0.22032712097255311</v>
      </c>
      <c r="P55" s="193">
        <f>P30/P32</f>
        <v>0.22413387766304202</v>
      </c>
      <c r="R55" s="193">
        <f>R30/R32</f>
        <v>0.2280220006821351</v>
      </c>
      <c r="T55" s="193">
        <f>T30/T32</f>
        <v>0.23201224124744982</v>
      </c>
      <c r="V55" s="193">
        <f>V30/V32</f>
        <v>0.23613267428201148</v>
      </c>
      <c r="X55" s="193">
        <f>X30/X32</f>
        <v>0.24042262753523999</v>
      </c>
      <c r="Z55" s="193">
        <f>Z30/Z32</f>
        <v>0.24493985156412662</v>
      </c>
      <c r="AB55" s="193">
        <f>AB30/AB32</f>
        <v>0.2497740301218476</v>
      </c>
      <c r="AD55" s="193">
        <f>AD30/AD32</f>
        <v>0.25507338012605585</v>
      </c>
      <c r="AF55" s="193">
        <f>AF30/AF32</f>
        <v>0.26110339933945281</v>
      </c>
      <c r="AH55" s="193">
        <f>AH30/AH32</f>
        <v>0.26838641931329188</v>
      </c>
      <c r="AJ55" s="193">
        <f>AJ30/AJ32</f>
        <v>0.27806778326387316</v>
      </c>
      <c r="AL55" s="193">
        <f>AL30/AL32</f>
        <v>0.29298071448036828</v>
      </c>
      <c r="AN55" s="193">
        <f>AN30/AN32</f>
        <v>0.32189764971583756</v>
      </c>
      <c r="AP55" s="193">
        <f>AP30/AP32</f>
        <v>0.33192008747271579</v>
      </c>
      <c r="AR55" s="193">
        <f>AR30/AR32</f>
        <v>0.34537104153446729</v>
      </c>
      <c r="AT55" s="193">
        <f>AT30/AT32</f>
        <v>0.36550158466646238</v>
      </c>
      <c r="AV55" s="193">
        <f>AV30/AV32</f>
        <v>0.40349442167788857</v>
      </c>
      <c r="XCS55" s="193"/>
      <c r="XFD55" s="193"/>
    </row>
    <row r="56" spans="1:48 16321:16384" x14ac:dyDescent="0.2">
      <c r="A56" t="s">
        <v>170</v>
      </c>
      <c r="B56" s="193">
        <f>(Model!$C$52*B5*B20+B2*C5*C20)/B32</f>
        <v>2.9221206744340551E-2</v>
      </c>
      <c r="D56" s="193">
        <f>(Model!$C$52*D5*D20+D2*E5*E20)/D32</f>
        <v>3.2216405586665435E-2</v>
      </c>
      <c r="F56" s="193">
        <f>(Model!$C$52*F5*F20+F2*G5*G20)/F32</f>
        <v>3.5230694751052664E-2</v>
      </c>
      <c r="H56" s="193">
        <f>(Model!$C$52*H5*H20+H2*I5*I20)/H32</f>
        <v>3.8268817750838423E-2</v>
      </c>
      <c r="J56" s="193">
        <f>(Model!$C$52*J5*J20+J2*K5*K20)/J32</f>
        <v>4.1336395738922345E-2</v>
      </c>
      <c r="L56" s="193">
        <f>(Model!$C$52*L5*L20+L2*M5*M20)/L32</f>
        <v>4.4440287119813307E-2</v>
      </c>
      <c r="N56" s="193">
        <f>(Model!$C$52*N5*N20+N2*O5*O20)/N32</f>
        <v>4.758873126892816E-2</v>
      </c>
      <c r="P56" s="193">
        <f>(Model!$C$52*P5*P20+P2*Q5*Q20)/P32</f>
        <v>5.0792194312905346E-2</v>
      </c>
      <c r="R56" s="193">
        <f>(Model!$C$52*R5*R20+R2*S5*S20)/R32</f>
        <v>5.4063898739504963E-2</v>
      </c>
      <c r="T56" s="193">
        <f>(Model!$C$52*T5*T20+T2*U5*U20)/T32</f>
        <v>5.742118619096117E-2</v>
      </c>
      <c r="V56" s="193">
        <f>(Model!$C$52*V5*V20+V2*W5*W20)/V32</f>
        <v>6.088748929485123E-2</v>
      </c>
      <c r="X56" s="193">
        <f>(Model!$C$52*X5*X20+X2*Y5*Y20)/X32</f>
        <v>6.4495611810369752E-2</v>
      </c>
      <c r="Z56" s="193">
        <f>(Model!$C$52*Z5*Z20+Z2*AA5*AA20)/Z32</f>
        <v>6.8293459158924791E-2</v>
      </c>
      <c r="AB56" s="193">
        <f>(Model!$C$52*AB5*AB20+AB2*AC5*AC20)/AB32</f>
        <v>7.2355522627787661E-2</v>
      </c>
      <c r="AD56" s="193">
        <f>(Model!$C$52*AD5*AD20+AD2*AE5*AE20)/AD32</f>
        <v>7.6804401120353957E-2</v>
      </c>
      <c r="AF56" s="193">
        <f>(Model!$C$52*AF5*AF20+AF2*AG5*AG20)/AF32</f>
        <v>8.1859221643505869E-2</v>
      </c>
      <c r="AH56" s="193">
        <f>(Model!$C$52*AH5*AH20+AH2*AI5*AI20)/AH32</f>
        <v>8.7950154996924865E-2</v>
      </c>
      <c r="AJ56" s="193">
        <f>(Model!$C$52*AJ5*AJ20+AJ2*AK5*AK20)/AJ32</f>
        <v>9.601911795653327E-2</v>
      </c>
      <c r="AL56" s="193">
        <f>(Model!$C$52*AL5*AL20+AL2*AM5*AM20)/AL32</f>
        <v>0.10839616551728744</v>
      </c>
      <c r="AN56" s="193">
        <f>(Model!$C$52*AN5*AN20+AN2*AO5*AO20)/AN32</f>
        <v>0.13231362931016211</v>
      </c>
      <c r="AP56" s="193">
        <f>(Model!$C$52*AP5*AP20+AP2*AQ5*AQ20)/AP32</f>
        <v>0.14059559029201604</v>
      </c>
      <c r="AR56" s="193">
        <f>(Model!$C$52*AR5*AR20+AR2*AS5*AS20)/AR32</f>
        <v>0.15170929304027303</v>
      </c>
      <c r="AT56" s="193">
        <f>(Model!$C$52*AT5*AT20+AT2*AU5*AU20)/AT32</f>
        <v>0.16834094511909176</v>
      </c>
      <c r="AV56" s="193">
        <f>(Model!$C$52*AV5*AV20+AV2*AW5*AW20)/AV32</f>
        <v>0.19972943805210408</v>
      </c>
      <c r="XFD56" s="193"/>
    </row>
    <row r="57" spans="1:48 16321:16384" x14ac:dyDescent="0.2">
      <c r="A57" t="s">
        <v>171</v>
      </c>
      <c r="B57" s="193">
        <f t="array" ref="B57">SUM(Model!tauL*B13:C13*B26:C26)/B32</f>
        <v>0.15852881819439493</v>
      </c>
      <c r="D57" s="193">
        <f t="array" ref="D57">SUM(Model!tauL*D13:E13*D26:E26)/D32</f>
        <v>0.15917682017572524</v>
      </c>
      <c r="F57" s="193">
        <f t="array" ref="F57">SUM(Model!tauL*F13:G13*F26:G26)/F32</f>
        <v>0.15982895203469641</v>
      </c>
      <c r="H57" s="193">
        <f t="array" ref="H57">SUM(Model!tauL*H13:I13*H26:I26)/H32</f>
        <v>0.16048624539333556</v>
      </c>
      <c r="J57" s="193">
        <f t="array" ref="J57">SUM(Model!tauL*J13:K13*J26:K26)/J32</f>
        <v>0.16114992869567837</v>
      </c>
      <c r="L57" s="193">
        <f t="array" ref="L57">SUM(Model!tauL*L13:M13*L26:M26)/L32</f>
        <v>0.16182146967468733</v>
      </c>
      <c r="N57" s="193">
        <f t="array" ref="N57">SUM(Model!tauL*N13:O13*N26:O26)/N32</f>
        <v>0.16250268827968178</v>
      </c>
      <c r="P57" s="193">
        <f t="array" ref="P57">SUM(Model!tauL*P13:Q13*P26:Q26)/P32</f>
        <v>0.16319583685645253</v>
      </c>
      <c r="R57" s="193">
        <f t="array" ref="R57">SUM(Model!tauL*R13:S13*R26:S26)/R32</f>
        <v>0.16390380159411411</v>
      </c>
      <c r="T57" s="193">
        <f t="array" ref="T57">SUM(Model!tauL*T13:U13*T26:U26)/T32</f>
        <v>0.16463036238868067</v>
      </c>
      <c r="V57" s="193">
        <f t="array" ref="V57">SUM(Model!tauL*V13:W13*V26:W26)/V32</f>
        <v>0.16538062874488238</v>
      </c>
      <c r="X57" s="193">
        <f t="array" ref="X57">SUM(Model!tauL*X13:Y13*X26:Y26)/X32</f>
        <v>0.16616172567518647</v>
      </c>
      <c r="Y57" s="193"/>
      <c r="Z57" s="193">
        <f t="array" ref="Z57">SUM(Model!tauL*Z13:AA13*Z26:AA26)/Z32</f>
        <v>0.16698427251449136</v>
      </c>
      <c r="AB57" s="193">
        <f t="array" ref="AB57">SUM(Model!tauL*AB13:AC13*AB26:AC26)/AB32</f>
        <v>0.16786449867200809</v>
      </c>
      <c r="AD57" s="193">
        <f t="array" ref="AD57">SUM(Model!tauL*AD13:AE13*AD26:AE26)/AD32</f>
        <v>0.16882942453759009</v>
      </c>
      <c r="AF57" s="193">
        <f t="array" ref="AF57">SUM(Model!tauL*AF13:AG13*AF26:AG26)/AF32</f>
        <v>0.16992739333722293</v>
      </c>
      <c r="AH57" s="193">
        <f t="array" ref="AH57">SUM(Model!tauL*AH13:AI13*AH26:AI26)/AH32</f>
        <v>0.17125351507290215</v>
      </c>
      <c r="AJ57" s="193">
        <f t="array" ref="AJ57">SUM(Model!tauL*AJ13:AK13*AJ26:AK26)/AJ32</f>
        <v>0.1730163361941702</v>
      </c>
      <c r="AL57" s="193">
        <f t="array" ref="AL57">SUM(Model!tauL*AL13:AM13*AL26:AM26)/AL32</f>
        <v>0.17573174092572771</v>
      </c>
      <c r="AN57" s="193">
        <f t="array" ref="AN57">SUM(Model!tauL*AN13:AO13*AN26:AO26)/AN32</f>
        <v>0.18099704983517886</v>
      </c>
      <c r="AP57" s="193">
        <f t="array" ref="AP57">SUM(Model!tauL*AP13:AQ13*AP26:AQ26)/AP32</f>
        <v>0.18282197448172827</v>
      </c>
      <c r="AR57" s="193">
        <f t="array" ref="AR57">SUM(Model!tauL*AR13:AS13*AR26:AS26)/AR32</f>
        <v>0.1852711767999147</v>
      </c>
      <c r="AT57" s="193">
        <f t="array" ref="AT57">SUM(Model!tauL*AT13:AU13*AT26:AU26)/AT32</f>
        <v>0.18893662481854159</v>
      </c>
      <c r="AV57" s="193">
        <f t="array" ref="AV57">SUM(Model!tauL*AV13:AW13*AV26:AW26)/AV32</f>
        <v>0.19585450919772185</v>
      </c>
      <c r="XFD57" s="193"/>
    </row>
    <row r="58" spans="1:48 16321:16384" x14ac:dyDescent="0.2">
      <c r="A58" t="s">
        <v>172</v>
      </c>
      <c r="B58" s="193">
        <f t="array" ref="B58">SUM(Model!tauY/(1+Model!tauY)*B3:C3*B18:C18)/B32</f>
        <v>1.075269412108535E-2</v>
      </c>
      <c r="D58" s="193">
        <f t="array" ref="D58">SUM(Model!tauY/(1+Model!tauY)*D3:E3*D18:E18)/D32</f>
        <v>1.0668311268192275E-2</v>
      </c>
      <c r="F58" s="193">
        <f t="array" ref="F58">SUM(Model!tauY/(1+Model!tauY)*F3:G3*F18:G18)/F32</f>
        <v>1.0583394808566727E-2</v>
      </c>
      <c r="H58" s="193">
        <f t="array" ref="H58">SUM(Model!tauY/(1+Model!tauY)*H3:I3*H18:I18)/H32</f>
        <v>1.049782791370161E-2</v>
      </c>
      <c r="J58" s="193">
        <f t="array" ref="J58">SUM(Model!tauY/(1+Model!tauY)*J3:K3*J18:K18)/J32</f>
        <v>1.041147185820831E-2</v>
      </c>
      <c r="L58" s="193">
        <f t="array" ref="L58">SUM(Model!tauY/(1+Model!tauY)*L3:M3*L18:M18)/L32</f>
        <v>1.0324163472698364E-2</v>
      </c>
      <c r="N58" s="193">
        <f t="array" ref="N58">SUM(Model!tauY/(1+Model!tauY)*N3:O3*N18:O18)/N32</f>
        <v>1.0235701423943165E-2</v>
      </c>
      <c r="P58" s="193">
        <f t="array" ref="P58">SUM(Model!tauY/(1+Model!tauY)*P3:Q3*P18:Q18)/P32</f>
        <v>1.0145846493684153E-2</v>
      </c>
      <c r="R58" s="193">
        <f t="array" ref="R58">SUM(Model!tauY/(1+Model!tauY)*R3:S3*R18:S18)/R32</f>
        <v>1.0054300348516008E-2</v>
      </c>
      <c r="T58" s="193">
        <f t="array" ref="T58">SUM(Model!tauY/(1+Model!tauY)*T3:U3*T18:U18)/T32</f>
        <v>9.9606926678079844E-3</v>
      </c>
      <c r="V58" s="193">
        <f t="array" ref="V58">SUM(Model!tauY/(1+Model!tauY)*V3:W3*V18:W18)/V32</f>
        <v>9.8645562422779148E-3</v>
      </c>
      <c r="X58" s="193">
        <f t="array" ref="X58">SUM(Model!tauY/(1+Model!tauY)*X3:Y3*X18:Y18)/X32</f>
        <v>9.7652900496837426E-3</v>
      </c>
      <c r="Y58" s="193"/>
      <c r="Z58" s="193">
        <f t="array" ref="Z58">SUM(Model!tauY/(1+Model!tauY)*Z3:AA3*Z18:AA18)/Z32</f>
        <v>9.6621198907105004E-3</v>
      </c>
      <c r="AB58" s="193">
        <f t="array" ref="AB58">SUM(Model!tauY/(1+Model!tauY)*AB3:AC3*AB18:AC18)/AB32</f>
        <v>9.5540088220518356E-3</v>
      </c>
      <c r="AD58" s="193">
        <f t="array" ref="AD58">SUM(Model!tauY/(1+Model!tauY)*AD3:AE3*AD18:AE18)/AD32</f>
        <v>9.4395544681118073E-3</v>
      </c>
      <c r="AF58" s="193">
        <f t="array" ref="AF58">SUM(Model!tauY/(1+Model!tauY)*AF3:AG3*AF18:AG18)/AF32</f>
        <v>9.3167843587239774E-3</v>
      </c>
      <c r="AH58" s="193">
        <f t="array" ref="AH58">SUM(Model!tauY/(1+Model!tauY)*AH3:AI3*AH18:AI18)/AH32</f>
        <v>9.1827492434648477E-3</v>
      </c>
      <c r="AJ58" s="193">
        <f t="array" ref="AJ58">SUM(Model!tauY/(1+Model!tauY)*AJ3:AK3*AJ18:AK18)/AJ32</f>
        <v>9.0323291131696598E-3</v>
      </c>
      <c r="AL58" s="193">
        <f t="array" ref="AL58">SUM(Model!tauY/(1+Model!tauY)*AL3:AM3*AL18:AM18)/AL32</f>
        <v>8.8528080373531538E-3</v>
      </c>
      <c r="AN58" s="193">
        <f t="array" ref="AN58">SUM(Model!tauY/(1+Model!tauY)*AN3:AO3*AN18:AO18)/AN32</f>
        <v>8.5869705704966545E-3</v>
      </c>
      <c r="AP58" s="193">
        <f t="array" ref="AP58">SUM(Model!tauY/(1+Model!tauY)*AP3:AQ3*AP18:AQ18)/AP32</f>
        <v>8.5025226989714382E-3</v>
      </c>
      <c r="AR58" s="193">
        <f t="array" ref="AR58">SUM(Model!tauY/(1+Model!tauY)*AR3:AS3*AR18:AS18)/AR32</f>
        <v>8.3905716942795205E-3</v>
      </c>
      <c r="AT58" s="193">
        <f t="array" ref="AT58">SUM(Model!tauY/(1+Model!tauY)*AT3:AU3*AT18:AU18)/AT32</f>
        <v>8.2240147288289919E-3</v>
      </c>
      <c r="AV58" s="193">
        <f t="array" ref="AV58">SUM(Model!tauY/(1+Model!tauY)*AV3:AW3*AV18:AW18)/AV32</f>
        <v>7.9104744280626416E-3</v>
      </c>
      <c r="XFD58" s="193"/>
    </row>
    <row r="59" spans="1:48 16321:16384" x14ac:dyDescent="0.2">
      <c r="A59" t="s">
        <v>173</v>
      </c>
      <c r="B59" s="193">
        <f>(B2*C5*C20)/B32</f>
        <v>5.5174232040962052E-4</v>
      </c>
      <c r="D59" s="193">
        <f>(D2*E5*E20)/D32</f>
        <v>3.600547889363172E-3</v>
      </c>
      <c r="F59" s="193">
        <f>(F2*G5*G20)/F32</f>
        <v>6.6693115624100671E-3</v>
      </c>
      <c r="H59" s="193">
        <f>(H2*I5*I20)/H32</f>
        <v>9.7629183788668708E-3</v>
      </c>
      <c r="J59" s="193">
        <f>(J2*K5*K20)/J32</f>
        <v>1.2887159237297757E-2</v>
      </c>
      <c r="L59" s="193">
        <f>(L2*M5*M20)/L32</f>
        <v>1.6049098156605681E-2</v>
      </c>
      <c r="N59" s="193">
        <f>(N2*O5*O20)/N32</f>
        <v>1.9257228598247619E-2</v>
      </c>
      <c r="P59" s="193">
        <f>(P2*Q5*Q20)/P32</f>
        <v>2.2522333585956233E-2</v>
      </c>
      <c r="R59" s="193">
        <f>(R2*S5*S20)/R32</f>
        <v>2.5858040980041283E-2</v>
      </c>
      <c r="T59" s="193">
        <f>(T2*U5*U20)/T32</f>
        <v>2.9282221575091721E-2</v>
      </c>
      <c r="V59" s="193">
        <f>(V2*W5*W20)/V32</f>
        <v>3.2819018364807447E-2</v>
      </c>
      <c r="X59" s="193">
        <f>(X2*Y5*Y20)/X32</f>
        <v>3.650222150752358E-2</v>
      </c>
      <c r="Z59" s="193">
        <f>(Z2*AA5*AA20)/Z32</f>
        <v>4.0381157334390315E-2</v>
      </c>
      <c r="AB59" s="193">
        <f>(AB2*AC5*AC20)/AB32</f>
        <v>4.4532480453584836E-2</v>
      </c>
      <c r="AD59" s="193">
        <f>(AD2*AE5*AE20)/AD32</f>
        <v>4.9082279185730014E-2</v>
      </c>
      <c r="AF59" s="193">
        <f>(AF2*AG5*AG20)/AF32</f>
        <v>5.4255773119826566E-2</v>
      </c>
      <c r="AH59" s="193">
        <f>(AH2*AI5*AI20)/AH32</f>
        <v>6.0494859231191335E-2</v>
      </c>
      <c r="AJ59" s="193">
        <f>(AJ2*AK5*AK20)/AJ32</f>
        <v>6.8766957541565241E-2</v>
      </c>
      <c r="AL59" s="193">
        <f>(AL2*AM5*AM20)/AL32</f>
        <v>8.1466907699198302E-2</v>
      </c>
      <c r="AN59" s="193">
        <f>(AN2*AO5*AO20)/AN32</f>
        <v>0.10604637441992877</v>
      </c>
      <c r="AP59" s="193">
        <f>(AP2*AQ5*AQ20)/AP32</f>
        <v>0.1145693778169351</v>
      </c>
      <c r="AR59" s="193">
        <f>(AR2*AS5*AS20)/AR32</f>
        <v>0.12601433477069313</v>
      </c>
      <c r="AT59" s="193">
        <f>(AT2*AU5*AU20)/AT32</f>
        <v>0.14315401790184232</v>
      </c>
      <c r="AV59" s="193">
        <f>(AV2*AW5*AW20)/AV32</f>
        <v>0.17552400914044808</v>
      </c>
      <c r="XFD59" s="193"/>
    </row>
    <row r="60" spans="1:48 16321:16384" x14ac:dyDescent="0.2">
      <c r="A60" t="s">
        <v>174</v>
      </c>
      <c r="B60" s="193">
        <f>Model!$C$52*B5*B20/B32</f>
        <v>2.8669464423930927E-2</v>
      </c>
      <c r="D60" s="193">
        <f>Model!$C$52*D5*D20/D32</f>
        <v>2.8615857697302259E-2</v>
      </c>
      <c r="F60" s="193">
        <f>Model!$C$52*F5*F20/F32</f>
        <v>2.8561383188642597E-2</v>
      </c>
      <c r="H60" s="193">
        <f>Model!$C$52*H5*H20/H32</f>
        <v>2.8505899371971559E-2</v>
      </c>
      <c r="J60" s="193">
        <f>Model!$C$52*J5*J20/J32</f>
        <v>2.8449236501624585E-2</v>
      </c>
      <c r="L60" s="193">
        <f>Model!$C$52*L5*L20/L32</f>
        <v>2.8391188963207623E-2</v>
      </c>
      <c r="N60" s="193">
        <f>Model!$C$52*N5*N20/N32</f>
        <v>2.8331502670680533E-2</v>
      </c>
      <c r="P60" s="193">
        <f>Model!$C$52*P5*P20/P32</f>
        <v>2.8269860726949109E-2</v>
      </c>
      <c r="R60" s="193">
        <f>Model!$C$52*R5*R20/R32</f>
        <v>2.820585775946368E-2</v>
      </c>
      <c r="T60" s="193">
        <f>Model!$C$52*T5*T20/T32</f>
        <v>2.8138964615869448E-2</v>
      </c>
      <c r="V60" s="193">
        <f>Model!$C$52*V5*V20/V32</f>
        <v>2.8068470930043783E-2</v>
      </c>
      <c r="X60" s="193">
        <f>Model!$C$52*X5*X20/X32</f>
        <v>2.7993390302846179E-2</v>
      </c>
      <c r="Z60" s="193">
        <f>Model!$C$52*Z5*Z20/Z32</f>
        <v>2.7912301824534486E-2</v>
      </c>
      <c r="AB60" s="193">
        <f>Model!$C$52*AB5*AB20/AB32</f>
        <v>2.7823042174202832E-2</v>
      </c>
      <c r="AD60" s="193">
        <f>Model!$C$52*AD5*AD20/AD32</f>
        <v>2.7722121934623929E-2</v>
      </c>
      <c r="AF60" s="193">
        <f>Model!$C$52*AF5*AF20/AF32</f>
        <v>2.7603448523679297E-2</v>
      </c>
      <c r="AH60" s="193">
        <f>Model!$C$52*AH5*AH20/AH32</f>
        <v>2.7455295765733526E-2</v>
      </c>
      <c r="AJ60" s="193">
        <f>Model!$C$52*AJ5*AJ20/AJ32</f>
        <v>2.725216041496803E-2</v>
      </c>
      <c r="AL60" s="193">
        <f>Model!$C$52*AL5*AL20/AL32</f>
        <v>2.692925781808914E-2</v>
      </c>
      <c r="AN60" s="193">
        <f>Model!$C$52*AN5*AN20/AN32</f>
        <v>2.6267254890233332E-2</v>
      </c>
      <c r="AP60" s="193">
        <f>Model!$C$52*AP5*AP20/AP32</f>
        <v>2.6026212475080922E-2</v>
      </c>
      <c r="AR60" s="193">
        <f>Model!$C$52*AR5*AR20/AR32</f>
        <v>2.569495826957989E-2</v>
      </c>
      <c r="AT60" s="193">
        <f>Model!$C$52*AT5*AT20/AT32</f>
        <v>2.5186927217249452E-2</v>
      </c>
      <c r="AV60" s="193">
        <f>Model!$C$52*AV5*AV20/AV32</f>
        <v>2.4205428911655967E-2</v>
      </c>
      <c r="XFD60" s="193"/>
    </row>
    <row r="62" spans="1:48 16321:16384" x14ac:dyDescent="0.2">
      <c r="A62" t="s">
        <v>175</v>
      </c>
      <c r="B62">
        <f>B13/B15</f>
        <v>1</v>
      </c>
      <c r="D62">
        <f>D13/D15</f>
        <v>1.015201310872188</v>
      </c>
      <c r="F62">
        <f>F13/F15</f>
        <v>1.0308430669986828</v>
      </c>
      <c r="H62">
        <f>H13/H15</f>
        <v>1.0469693031537943</v>
      </c>
      <c r="J62">
        <f>J13/J15</f>
        <v>1.0636325105651039</v>
      </c>
      <c r="L62">
        <f>L13/L15</f>
        <v>1.0808957535012109</v>
      </c>
      <c r="N62">
        <f>N13/N15</f>
        <v>1.098836803656797</v>
      </c>
      <c r="P62">
        <f>P13/P15</f>
        <v>1.1175521720719113</v>
      </c>
      <c r="R62">
        <f>R13/R15</f>
        <v>1.1371652298567472</v>
      </c>
      <c r="T62">
        <f>T13/T15</f>
        <v>1.1578372834211923</v>
      </c>
      <c r="V62">
        <f>V13/V15</f>
        <v>1.1797860350771769</v>
      </c>
      <c r="X62">
        <f>X13/X15</f>
        <v>1.2033161262615337</v>
      </c>
      <c r="Z62">
        <f>Z13/Z15</f>
        <v>1.2288769154785926</v>
      </c>
      <c r="AB62">
        <f>AB13/AB15</f>
        <v>1.2571648269044822</v>
      </c>
      <c r="AD62">
        <f>AD13/AD15</f>
        <v>1.2893450259897075</v>
      </c>
      <c r="AF62">
        <f>AF13/AF15</f>
        <v>1.3275427021864874</v>
      </c>
      <c r="AH62">
        <f>AH13/AH15</f>
        <v>1.3760843231068871</v>
      </c>
      <c r="AJ62">
        <f>AJ13/AJ15</f>
        <v>1.4450694990746327</v>
      </c>
      <c r="AL62">
        <f>AL13/AL15</f>
        <v>1.5626654625394187</v>
      </c>
      <c r="AN62">
        <f>AN13/AN15</f>
        <v>1.8402425960802957</v>
      </c>
      <c r="AP62">
        <f>AP13/AP15</f>
        <v>1.9559945145287925</v>
      </c>
      <c r="AR62">
        <f>AR13/AR15</f>
        <v>2.1318046396537285</v>
      </c>
      <c r="AT62">
        <f>AT13/AT15</f>
        <v>2.4508121594303782</v>
      </c>
      <c r="AV62">
        <f>AV13/AV15</f>
        <v>3.3442736726408522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0.99928981254644833</v>
      </c>
      <c r="E65" s="191"/>
      <c r="F65" s="191">
        <f t="array" ref="F65">SQRT((F9:G9*$B$22:$C$22+F10:G10*$B$23:$C$23+F11:G11*$B$24:$C$24+F4:G4*($B$25:$C$25-$B$19:$C$19))/($B$9:$C$9*$B$22:$C$22+$B$10:$C$10*$B$23:$C$23+$B$11:$C$11*$B$24:$C$24+$B$4:$C$4*($B$25:$C$25-$B$19:$C$19))*(F9:G9*F22:G22+F10:G10*F23:G23+F11:G11*F24:G24+F4:G4*(F25:G25-F19:G19))/($B$9:$C$9*F22:G22+$B$10:$C$10*F23:G23+$B$11:$C$11*F24:G24+$B$4:$C$4*(F25:G25-F19:G19)))</f>
        <v>0.99857330043654002</v>
      </c>
      <c r="G65" s="191"/>
      <c r="H65" s="191">
        <f t="array" ref="H65">SQRT((H9:I9*$B$22:$C$22+H10:I10*$B$23:$C$23+H11:I11*$B$24:$C$24+H4:I4*($B$25:$C$25-$B$19:$C$19))/($B$9:$C$9*$B$22:$C$22+$B$10:$C$10*$B$23:$C$23+$B$11:$C$11*$B$24:$C$24+$B$4:$C$4*($B$25:$C$25-$B$19:$C$19))*(H9:I9*H22:I22+H10:I10*H23:I23+H11:I11*H24:I24+H4:I4*(H25:I25-H19:I19))/($B$9:$C$9*H22:I22+$B$10:$C$10*H23:I23+$B$11:$C$11*H24:I24+$B$4:$C$4*(H25:I25-H19:I19)))</f>
        <v>0.99784949725233041</v>
      </c>
      <c r="I65" s="191"/>
      <c r="J65" s="191">
        <f t="array" ref="J65">SQRT((J9:K9*$B$22:$C$22+J10:K10*$B$23:$C$23+J11:K11*$B$24:$C$24+J4:K4*($B$25:$C$25-$B$19:$C$19))/($B$9:$C$9*$B$22:$C$22+$B$10:$C$10*$B$23:$C$23+$B$11:$C$11*$B$24:$C$24+$B$4:$C$4*($B$25:$C$25-$B$19:$C$19))*(J9:K9*J22:K22+J10:K10*J23:K23+J11:K11*J24:K24+J4:K4*(J25:K25-J19:K19))/($B$9:$C$9*J22:K22+$B$10:$C$10*J23:K23+$B$11:$C$11*J24:K24+$B$4:$C$4*(J25:K25-J19:K19)))</f>
        <v>0.99711724241650046</v>
      </c>
      <c r="K65" s="191"/>
      <c r="L65" s="191">
        <f t="array" ref="L65">SQRT((L9:M9*$B$22:$C$22+L10:M10*$B$23:$C$23+L11:M11*$B$24:$C$24+L4:M4*($B$25:$C$25-$B$19:$C$19))/($B$9:$C$9*$B$22:$C$22+$B$10:$C$10*$B$23:$C$23+$B$11:$C$11*$B$24:$C$24+$B$4:$C$4*($B$25:$C$25-$B$19:$C$19))*(L9:M9*L22:M22+L10:M10*L23:M23+L11:M11*L24:M24+L4:M4*(L25:M25-L19:M19))/($B$9:$C$9*L22:M22+$B$10:$C$10*L23:M23+$B$11:$C$11*L24:M24+$B$4:$C$4*(L25:M25-L19:M19)))</f>
        <v>0.99637519477640735</v>
      </c>
      <c r="M65" s="191"/>
      <c r="N65" s="191">
        <f t="array" ref="N65">SQRT((N9:O9*$B$22:$C$22+N10:O10*$B$23:$C$23+N11:O11*$B$24:$C$24+N4:O4*($B$25:$C$25-$B$19:$C$19))/($B$9:$C$9*$B$22:$C$22+$B$10:$C$10*$B$23:$C$23+$B$11:$C$11*$B$24:$C$24+$B$4:$C$4*($B$25:$C$25-$B$19:$C$19))*(N9:O9*N22:O22+N10:O10*N23:O23+N11:O11*N24:O24+N4:O4*(N25:O25-N19:O19))/($B$9:$C$9*N22:O22+$B$10:$C$10*N23:O23+$B$11:$C$11*N24:O24+$B$4:$C$4*(N25:O25-N19:O19)))</f>
        <v>0.99562178293490577</v>
      </c>
      <c r="O65" s="191"/>
      <c r="P65" s="191">
        <f t="array" ref="P65">SQRT((P9:Q9*$B$22:$C$22+P10:Q10*$B$23:$C$23+P11:Q11*$B$24:$C$24+P4:Q4*($B$25:$C$25-$B$19:$C$19))/($B$9:$C$9*$B$22:$C$22+$B$10:$C$10*$B$23:$C$23+$B$11:$C$11*$B$24:$C$24+$B$4:$C$4*($B$25:$C$25-$B$19:$C$19))*(P9:Q9*P22:Q22+P10:Q10*P23:Q23+P11:Q11*P24:Q24+P4:Q4*(P25:Q25-P19:Q19))/($B$9:$C$9*P22:Q22+$B$10:$C$10*P23:Q23+$B$11:$C$11*P24:Q24+$B$4:$C$4*(P25:Q25-P19:Q19)))</f>
        <v>0.99485533047978902</v>
      </c>
      <c r="Q65" s="191"/>
      <c r="R65" s="191">
        <f t="array" ref="R65">SQRT((R9:S9*$B$22:$C$22+R10:S10*$B$23:$C$23+R11:S11*$B$24:$C$24+R4:S4*($B$25:$C$25-$B$19:$C$19))/($B$9:$C$9*$B$22:$C$22+$B$10:$C$10*$B$23:$C$23+$B$11:$C$11*$B$24:$C$24+$B$4:$C$4*($B$25:$C$25-$B$19:$C$19))*(R9:S9*R22:S22+R10:S10*R23:S23+R11:S11*R24:S24+R4:S4*(R25:S25-R19:S19))/($B$9:$C$9*R22:S22+$B$10:$C$10*R23:S23+$B$11:$C$11*R24:S24+$B$4:$C$4*(R25:S25-R19:S19)))</f>
        <v>0.99407412098043935</v>
      </c>
      <c r="S65" s="191"/>
      <c r="T65" s="191">
        <f t="array" ref="T65">SQRT((T9:U9*$B$22:$C$22+T10:U10*$B$23:$C$23+T11:U11*$B$24:$C$24+T4:U4*($B$25:$C$25-$B$19:$C$19))/($B$9:$C$9*$B$22:$C$22+$B$10:$C$10*$B$23:$C$23+$B$11:$C$11*$B$24:$C$24+$B$4:$C$4*($B$25:$C$25-$B$19:$C$19))*(T9:U9*T22:U22+T10:U10*T23:U23+T11:U11*T24:U24+T4:U4*(T25:U25-T19:U19))/($B$9:$C$9*T22:U22+$B$10:$C$10*T23:U23+$B$11:$C$11*T24:U24+$B$4:$C$4*(T25:U25-T19:U19)))</f>
        <v>0.99327672480717433</v>
      </c>
      <c r="U65" s="191"/>
      <c r="V65" s="191">
        <f t="array" ref="V65">SQRT((V9:W9*$B$22:$C$22+V10:W10*$B$23:$C$23+V11:W11*$B$24:$C$24+V4:W4*($B$25:$C$25-$B$19:$C$19))/($B$9:$C$9*$B$22:$C$22+$B$10:$C$10*$B$23:$C$23+$B$11:$C$11*$B$24:$C$24+$B$4:$C$4*($B$25:$C$25-$B$19:$C$19))*(V9:W9*V22:W22+V10:W10*V23:W23+V11:W11*V24:W24+V4:W4*(V25:W25-V19:W19))/($B$9:$C$9*V22:W22+$B$10:$C$10*V23:W23+$B$11:$C$11*V24:W24+$B$4:$C$4*(V25:W25-V19:W19)))</f>
        <v>0.99246261413819425</v>
      </c>
      <c r="W65" s="191"/>
      <c r="X65" s="191">
        <f t="array" ref="X65">SQRT((X9:Y9*$B$22:$C$22+X10:Y10*$B$23:$C$23+X11:Y11*$B$24:$C$24+X4:Y4*($B$25:$C$25-$B$19:$C$19))/($B$9:$C$9*$B$22:$C$22+$B$10:$C$10*$B$23:$C$23+$B$11:$C$11*$B$24:$C$24+$B$4:$C$4*($B$25:$C$25-$B$19:$C$19))*(X9:Y9*X22:Y22+X10:Y10*X23:Y23+X11:Y11*X24:Y24+X4:Y4*(X25:Y25-X19:Y19))/($B$9:$C$9*X22:Y22+$B$10:$C$10*X23:Y23+$B$11:$C$11*X24:Y24+$B$4:$C$4*(X25:Y25-X19:Y19)))</f>
        <v>0.99163346663604712</v>
      </c>
      <c r="Y65" s="191"/>
      <c r="Z65" s="191">
        <f t="array" ref="Z65">SQRT((Z9:AA9*$B$22:$C$22+Z10:AA10*$B$23:$C$23+Z11:AA11*$B$24:$C$24+Z4:AA4*($B$25:$C$25-$B$19:$C$19))/($B$9:$C$9*$B$22:$C$22+$B$10:$C$10*$B$23:$C$23+$B$11:$C$11*$B$24:$C$24+$B$4:$C$4*($B$25:$C$25-$B$19:$C$19))*(Z9:AA9*Z22:AA22+Z10:AA10*Z23:AA23+Z11:AA11*Z24:AA24+Z4:AA4*(Z25:AA25-Z19:AA19))/($B$9:$C$9*Z22:AA22+$B$10:$C$10*Z23:AA23+$B$11:$C$11*Z24:AA24+$B$4:$C$4*(Z25:AA25-Z19:AA19)))</f>
        <v>0.99079576283651427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0.98996649068687415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0.9891850931044337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0.98854036120758626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0.98823138532079657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0.98869922782869923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0.99080422446514849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0.9951768891757421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0.99609013332651464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0.99677117598031151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0.99685208635461031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0.99507659668632131</v>
      </c>
    </row>
    <row r="66" spans="1:48 16384:16384" x14ac:dyDescent="0.2">
      <c r="A66" t="s">
        <v>182</v>
      </c>
      <c r="B66" s="191">
        <f t="array" ref="B66">SQRT((B9:C9*$B$22:$C$22)/($B$9:$C$9*$B$22:$C$22)*(B9:C9*B22:C22)/($B$9:$C$9*B22:C22))</f>
        <v>1</v>
      </c>
      <c r="C66" s="191"/>
      <c r="D66" s="191">
        <f t="array" ref="D66">SQRT((D9:E9*$B$22:$C$22)/($B$9:$C$9*$B$22:$C$22)*(D9:E9*D22:E22)/($B$9:$C$9*D22:E22))</f>
        <v>0.99921930177042873</v>
      </c>
      <c r="E66" s="191"/>
      <c r="F66" s="191">
        <f t="array" ref="F66">SQRT((F9:G9*$B$22:$C$22)/($B$9:$C$9*$B$22:$C$22)*(F9:G9*F22:G22)/($B$9:$C$9*F22:G22))</f>
        <v>0.99843127541966969</v>
      </c>
      <c r="G66" s="191"/>
      <c r="H66" s="191">
        <f t="array" ref="H66">SQRT((H9:I9*$B$22:$C$22)/($B$9:$C$9*$B$22:$C$22)*(H9:I9*H22:I22)/($B$9:$C$9*H22:I22))</f>
        <v>0.99763484606177499</v>
      </c>
      <c r="I66" s="191"/>
      <c r="J66" s="191">
        <f t="array" ref="J66">SQRT((J9:K9*$B$22:$C$22)/($B$9:$C$9*$B$22:$C$22)*(J9:K9*J22:K22)/($B$9:$C$9*J22:K22))</f>
        <v>0.99682872246092036</v>
      </c>
      <c r="K66" s="191"/>
      <c r="L66" s="191">
        <f t="array" ref="L66">SQRT((L9:M9*$B$22:$C$22)/($B$9:$C$9*$B$22:$C$22)*(L9:M9*L22:M22)/($B$9:$C$9*L22:M22))</f>
        <v>0.99601141131766113</v>
      </c>
      <c r="M66" s="191"/>
      <c r="N66" s="191">
        <f t="array" ref="N66">SQRT((N9:O9*$B$22:$C$22)/($B$9:$C$9*$B$22:$C$22)*(N9:O9*N22:O22)/($B$9:$C$9*N22:O22))</f>
        <v>0.99518116180562044</v>
      </c>
      <c r="O66" s="191"/>
      <c r="P66" s="191">
        <f t="array" ref="P66">SQRT((P9:Q9*$B$22:$C$22)/($B$9:$C$9*$B$22:$C$22)*(P9:Q9*P22:Q22)/($B$9:$C$9*P22:Q22))</f>
        <v>0.99433610284618956</v>
      </c>
      <c r="Q66" s="191"/>
      <c r="R66" s="191">
        <f t="array" ref="R66">SQRT((R9:S9*$B$22:$C$22)/($B$9:$C$9*$B$22:$C$22)*(R9:S9*R22:S22)/($B$9:$C$9*R22:S22))</f>
        <v>0.99347431429605004</v>
      </c>
      <c r="S66" s="191"/>
      <c r="T66" s="191">
        <f t="array" ref="T66">SQRT((T9:U9*$B$22:$C$22)/($B$9:$C$9*$B$22:$C$22)*(T9:U9*T22:U22)/($B$9:$C$9*T22:U22))</f>
        <v>0.99259418757110152</v>
      </c>
      <c r="U66" s="191"/>
      <c r="V66" s="191">
        <f t="array" ref="V66">SQRT((V9:W9*$B$22:$C$22)/($B$9:$C$9*$B$22:$C$22)*(V9:W9*V22:W22)/($B$9:$C$9*V22:W22))</f>
        <v>0.9916951061303233</v>
      </c>
      <c r="W66" s="191"/>
      <c r="X66" s="191">
        <f t="array" ref="X66">SQRT((X9:Y9*$B$22:$C$22)/($B$9:$C$9*$B$22:$C$22)*(X9:Y9*X22:Y22)/($B$9:$C$9*X22:Y22))</f>
        <v>0.99077889036208533</v>
      </c>
      <c r="Y66" s="191"/>
      <c r="Z66" s="191">
        <f t="array" ref="Z66">SQRT((Z9:AA9*$B$22:$C$22)/($B$9:$C$9*$B$22:$C$22)*(Z9:AA9*Z22:AA22)/($B$9:$C$9*Z22:AA22))</f>
        <v>0.98985268007148641</v>
      </c>
      <c r="AA66" s="191"/>
      <c r="AB66" s="191">
        <f t="array" ref="AB66">SQRT((AB9:AC9*$B$22:$C$22)/($B$9:$C$9*$B$22:$C$22)*(AB9:AC9*AB22:AC22)/($B$9:$C$9*AB22:AC22))</f>
        <v>0.98893527022381189</v>
      </c>
      <c r="AC66" s="191"/>
      <c r="AD66" s="191">
        <f t="array" ref="AD66">SQRT((AD9:AE9*$B$22:$C$22)/($B$9:$C$9*$B$22:$C$22)*(AD9:AE9*AD22:AE22)/($B$9:$C$9*AD22:AE22))</f>
        <v>0.98807038813703374</v>
      </c>
      <c r="AE66" s="191"/>
      <c r="AF66" s="191">
        <f t="array" ref="AF66">SQRT((AF9:AG9*$B$22:$C$22)/($B$9:$C$9*$B$22:$C$22)*(AF9:AG9*AF22:AG22)/($B$9:$C$9*AF22:AG22))</f>
        <v>0.98735657754706252</v>
      </c>
      <c r="AG66" s="191"/>
      <c r="AH66" s="191">
        <f t="array" ref="AH66">SQRT((AH9:AI9*$B$22:$C$22)/($B$9:$C$9*$B$22:$C$22)*(AH9:AI9*AH22:AI22)/($B$9:$C$9*AH22:AI22))</f>
        <v>0.98701486051227816</v>
      </c>
      <c r="AI66" s="191"/>
      <c r="AJ66" s="191">
        <f t="array" ref="AJ66">SQRT((AJ9:AK9*$B$22:$C$22)/($B$9:$C$9*$B$22:$C$22)*(AJ9:AK9*AJ22:AK22)/($B$9:$C$9*AJ22:AK22))</f>
        <v>0.9875344414652113</v>
      </c>
      <c r="AK66" s="191"/>
      <c r="AL66" s="191">
        <f t="array" ref="AL66">SQRT((AL9:AM9*$B$22:$C$22)/($B$9:$C$9*$B$22:$C$22)*(AL9:AM9*AL22:AM22)/($B$9:$C$9*AL22:AM22))</f>
        <v>0.98986627653097814</v>
      </c>
      <c r="AM66" s="191"/>
      <c r="AN66" s="191">
        <f t="array" ref="AN66">SQRT((AN9:AO9*$B$22:$C$22)/($B$9:$C$9*$B$22:$C$22)*(AN9:AO9*AN22:AO22)/($B$9:$C$9*AN22:AO22))</f>
        <v>0.99469520701474323</v>
      </c>
      <c r="AO66" s="191"/>
      <c r="AP66" s="191">
        <f t="array" ref="AP66">SQRT((AP9:AQ9*$B$22:$C$22)/($B$9:$C$9*$B$22:$C$22)*(AP9:AQ9*AP22:AQ22)/($B$9:$C$9*AP22:AQ22))</f>
        <v>0.99570136928833552</v>
      </c>
      <c r="AQ66" s="191"/>
      <c r="AR66" s="191">
        <f t="array" ref="AR66">SQRT((AR9:AS9*$B$22:$C$22)/($B$9:$C$9*$B$22:$C$22)*(AR9:AS9*AR22:AS22)/($B$9:$C$9*AR22:AS22))</f>
        <v>0.99645118061217641</v>
      </c>
      <c r="AS66" s="191"/>
      <c r="AT66" s="191">
        <f t="array" ref="AT66">SQRT((AT9:AU9*$B$22:$C$22)/($B$9:$C$9*$B$22:$C$22)*(AT9:AU9*AT22:AU22)/($B$9:$C$9*AT22:AU22))</f>
        <v>0.99654023152158389</v>
      </c>
      <c r="AU66" s="191"/>
      <c r="AV66" s="191">
        <f t="array" ref="AV66">SQRT((AV9:AW9*$B$22:$C$22)/($B$9:$C$9*$B$22:$C$22)*(AV9:AW9*AV22:AW22)/($B$9:$C$9*AV22:AW22))</f>
        <v>0.99458466721055261</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0.99921930177042873</v>
      </c>
      <c r="E68" s="191"/>
      <c r="F68" s="191">
        <f>F66/F67</f>
        <v>0.99843127541966969</v>
      </c>
      <c r="G68" s="191"/>
      <c r="H68" s="191">
        <f>H66/H67</f>
        <v>0.99763484606177499</v>
      </c>
      <c r="I68" s="191"/>
      <c r="J68" s="191">
        <f>J66/J67</f>
        <v>0.99682872246092036</v>
      </c>
      <c r="K68" s="191"/>
      <c r="L68" s="191">
        <f>L66/L67</f>
        <v>0.99601141131766113</v>
      </c>
      <c r="M68" s="191"/>
      <c r="N68" s="191">
        <f>N66/N67</f>
        <v>0.99518116180562044</v>
      </c>
      <c r="O68" s="191"/>
      <c r="P68" s="191">
        <f>P66/P67</f>
        <v>0.99433610284618956</v>
      </c>
      <c r="Q68" s="191"/>
      <c r="R68" s="191">
        <f>R66/R67</f>
        <v>0.99347431429605004</v>
      </c>
      <c r="S68" s="191"/>
      <c r="T68" s="191">
        <f>T66/T67</f>
        <v>0.99259418757110152</v>
      </c>
      <c r="U68" s="191"/>
      <c r="V68" s="191">
        <f>V66/V67</f>
        <v>0.9916951061303233</v>
      </c>
      <c r="W68" s="191"/>
      <c r="X68" s="191">
        <f>X66/X67</f>
        <v>0.99077889036208533</v>
      </c>
      <c r="Y68" s="191"/>
      <c r="Z68" s="191">
        <f>Z66/Z67</f>
        <v>0.98985268007148641</v>
      </c>
      <c r="AA68" s="191"/>
      <c r="AB68" s="191">
        <f>AB66/AB67</f>
        <v>0.98893527022381189</v>
      </c>
      <c r="AC68" s="191"/>
      <c r="AD68" s="191">
        <f>AD66/AD67</f>
        <v>0.98807038813703374</v>
      </c>
      <c r="AE68" s="191"/>
      <c r="AF68" s="191">
        <f>AF66/AF67</f>
        <v>0.98735657754706252</v>
      </c>
      <c r="AG68" s="191"/>
      <c r="AH68" s="191">
        <f>AH66/AH67</f>
        <v>0.98701486051227816</v>
      </c>
      <c r="AI68" s="191"/>
      <c r="AJ68" s="191">
        <f>AJ66/AJ67</f>
        <v>0.9875344414652113</v>
      </c>
      <c r="AK68" s="191"/>
      <c r="AL68" s="191">
        <f>AL66/AL67</f>
        <v>0.98986627653097814</v>
      </c>
      <c r="AM68" s="191"/>
      <c r="AN68" s="191">
        <f>AN66/AN67</f>
        <v>0.99469520701474323</v>
      </c>
      <c r="AO68" s="191"/>
      <c r="AP68" s="191">
        <f>AP66/AP67</f>
        <v>0.99570136928833552</v>
      </c>
      <c r="AQ68" s="191"/>
      <c r="AR68" s="191">
        <f>AR66/AR67</f>
        <v>0.99645118061217641</v>
      </c>
      <c r="AS68" s="191"/>
      <c r="AT68" s="191">
        <f>AT66/AT67</f>
        <v>0.99654023152158389</v>
      </c>
      <c r="AU68" s="191"/>
      <c r="AV68" s="191">
        <f>AV66/AV67</f>
        <v>0.99458466721055261</v>
      </c>
      <c r="XFD68" s="191"/>
    </row>
    <row r="69" spans="1:48 16384:16384" x14ac:dyDescent="0.2">
      <c r="A69" t="s">
        <v>177</v>
      </c>
      <c r="B69" s="191">
        <f>B32/B65/($B$32)</f>
        <v>1</v>
      </c>
      <c r="C69" s="191"/>
      <c r="D69" s="191">
        <f>D32/D65/($B$32)</f>
        <v>1.0009587823524722</v>
      </c>
      <c r="E69" s="191"/>
      <c r="F69" s="191">
        <f>F32/F65/($B$32)</f>
        <v>1.0018379162474793</v>
      </c>
      <c r="G69" s="191"/>
      <c r="H69" s="191">
        <f>H32/H65/($B$32)</f>
        <v>1.0026287344931122</v>
      </c>
      <c r="I69" s="191"/>
      <c r="J69" s="191">
        <f>J32/J65/($B$32)</f>
        <v>1.0033210599333999</v>
      </c>
      <c r="K69" s="191"/>
      <c r="L69" s="191">
        <f>L32/L65/($B$32)</f>
        <v>1.0039027932220299</v>
      </c>
      <c r="M69" s="191"/>
      <c r="N69" s="191">
        <f>N32/N65/($B$32)</f>
        <v>1.0043595327241126</v>
      </c>
      <c r="O69" s="191"/>
      <c r="P69" s="191">
        <f>P32/P65/($B$32)</f>
        <v>1.0046737606873084</v>
      </c>
      <c r="Q69" s="191"/>
      <c r="R69" s="191">
        <f>R32/R65/($B$32)</f>
        <v>1.0048241151366222</v>
      </c>
      <c r="S69" s="191"/>
      <c r="T69" s="191">
        <f>T32/T65/($B$32)</f>
        <v>1.004784092411608</v>
      </c>
      <c r="U69" s="191"/>
      <c r="V69" s="191">
        <f>V32/V65/($B$32)</f>
        <v>1.0045203489152659</v>
      </c>
      <c r="W69" s="191"/>
      <c r="X69" s="191">
        <f>X32/X65/($B$32)</f>
        <v>1.0039904187623523</v>
      </c>
      <c r="Y69" s="191"/>
      <c r="Z69" s="191">
        <f>Z32/Z65/($B$32)</f>
        <v>1.0031385890083275</v>
      </c>
      <c r="AA69" s="191"/>
      <c r="AB69" s="191">
        <f>AB32/AB65/($B$32)</f>
        <v>1.0018915810536531</v>
      </c>
      <c r="AC69" s="191"/>
      <c r="AD69" s="191">
        <f>AD32/AD65/($B$32)</f>
        <v>1.0001498946268812</v>
      </c>
      <c r="AE69" s="191"/>
      <c r="AF69" s="191">
        <f>AF32/AF65/($B$32)</f>
        <v>0.99777659947543573</v>
      </c>
      <c r="AG69" s="191"/>
      <c r="AH69" s="191">
        <f>AH32/AH65/($B$32)</f>
        <v>0.99458055535097012</v>
      </c>
      <c r="AI69" s="191"/>
      <c r="AJ69" s="191">
        <f>AJ32/AJ65/($B$32)</f>
        <v>0.99029182057009391</v>
      </c>
      <c r="AK69" s="191"/>
      <c r="AL69" s="191">
        <f>AL32/AL65/($B$32)</f>
        <v>0.9844891566763363</v>
      </c>
      <c r="AM69" s="191"/>
      <c r="AN69" s="191">
        <f>AN32/AN65/($B$32)</f>
        <v>0.97617389275584043</v>
      </c>
      <c r="AO69" s="191"/>
      <c r="AP69" s="191">
        <f>AP32/AP65/($B$32)</f>
        <v>0.97406846317877227</v>
      </c>
      <c r="AQ69" s="191"/>
      <c r="AR69" s="191">
        <f>AR32/AR65/($B$32)</f>
        <v>0.9719226279837283</v>
      </c>
      <c r="AS69" s="191"/>
      <c r="AT69" s="191">
        <f>AT32/AT65/($B$32)</f>
        <v>0.97026181589666349</v>
      </c>
      <c r="AU69" s="191"/>
      <c r="AV69" s="191">
        <f>AV32/AV65/($B$32)</f>
        <v>0.9719954030276774</v>
      </c>
    </row>
    <row r="70" spans="1:48 16384:16384" x14ac:dyDescent="0.2">
      <c r="A70" t="s">
        <v>178</v>
      </c>
      <c r="B70" s="138">
        <f>B18/$B$18</f>
        <v>1</v>
      </c>
      <c r="C70" s="138"/>
      <c r="D70" s="138">
        <f>D18/$B$18</f>
        <v>0.99946995147685269</v>
      </c>
      <c r="E70" s="138"/>
      <c r="F70" s="138">
        <f>F18/$B$18</f>
        <v>0.99883061425584518</v>
      </c>
      <c r="G70" s="138"/>
      <c r="H70" s="138">
        <f>H18/$B$18</f>
        <v>0.99806920103031371</v>
      </c>
      <c r="I70" s="138"/>
      <c r="J70" s="138">
        <f>J18/$B$18</f>
        <v>0.99717059058210189</v>
      </c>
      <c r="K70" s="138"/>
      <c r="L70" s="138">
        <f>L18/$B$18</f>
        <v>0.99611665881990241</v>
      </c>
      <c r="M70" s="138"/>
      <c r="N70" s="138">
        <f>N18/$B$18</f>
        <v>0.99488550668692188</v>
      </c>
      <c r="O70" s="138"/>
      <c r="P70" s="138">
        <f>P18/$B$18</f>
        <v>0.99345011209518974</v>
      </c>
      <c r="Q70" s="138"/>
      <c r="R70" s="138">
        <f>R18/$B$18</f>
        <v>0.99177671204352091</v>
      </c>
      <c r="S70" s="138"/>
      <c r="T70" s="138">
        <f>T18/$B$18</f>
        <v>0.98982215991613065</v>
      </c>
      <c r="U70" s="138"/>
      <c r="V70" s="138">
        <f>V18/$B$18</f>
        <v>0.98752998165668071</v>
      </c>
      <c r="W70" s="138"/>
      <c r="X70" s="138">
        <f>X18/$B$18</f>
        <v>0.98482421548866783</v>
      </c>
      <c r="Y70" s="138"/>
      <c r="Z70" s="138">
        <f>Z18/$B$18</f>
        <v>0.98159859043348274</v>
      </c>
      <c r="AA70" s="138"/>
      <c r="AB70" s="138">
        <f>AB18/$B$18</f>
        <v>0.97769874513288413</v>
      </c>
      <c r="AC70" s="138"/>
      <c r="AD70" s="138">
        <f>AD18/$B$18</f>
        <v>0.97288752055116479</v>
      </c>
      <c r="AE70" s="138"/>
      <c r="AF70" s="138">
        <f>AF18/$B$18</f>
        <v>0.9667763494463596</v>
      </c>
      <c r="AG70" s="138"/>
      <c r="AH70" s="138">
        <f>AH18/$B$18</f>
        <v>0.95867450186847247</v>
      </c>
      <c r="AI70" s="138"/>
      <c r="AJ70" s="138">
        <f>AJ18/$B$18</f>
        <v>0.94722519079544942</v>
      </c>
      <c r="AK70" s="138"/>
      <c r="AL70" s="138">
        <f>AL18/$B$18</f>
        <v>0.92941137428330689</v>
      </c>
      <c r="AM70" s="138"/>
      <c r="AN70" s="138">
        <f>AN18/$B$18</f>
        <v>0.89672561705971943</v>
      </c>
      <c r="AO70" s="138"/>
      <c r="AP70" s="138">
        <f>AP18/$B$18</f>
        <v>0.88613669858912658</v>
      </c>
      <c r="AQ70" s="138"/>
      <c r="AR70" s="138">
        <f>AR18/$B$18</f>
        <v>0.87260635818089483</v>
      </c>
      <c r="AS70" s="138"/>
      <c r="AT70" s="138">
        <f>AT18/$B$18</f>
        <v>0.85385423956496531</v>
      </c>
      <c r="AU70" s="138"/>
      <c r="AV70" s="138">
        <f>AV18/$B$18</f>
        <v>0.82284612430122561</v>
      </c>
    </row>
    <row r="71" spans="1:48 16384:16384" x14ac:dyDescent="0.2">
      <c r="A71" t="s">
        <v>179</v>
      </c>
      <c r="B71" s="138">
        <f>C18/$C$18</f>
        <v>1</v>
      </c>
      <c r="D71" s="138">
        <f>E18/$C$18</f>
        <v>0.93723270518194779</v>
      </c>
      <c r="E71" s="138"/>
      <c r="F71" s="138">
        <f>G18/$C$18</f>
        <v>0.87463582434373022</v>
      </c>
      <c r="G71" s="138"/>
      <c r="H71" s="138">
        <f>I18/$C$18</f>
        <v>0.81223413843705461</v>
      </c>
      <c r="I71" s="138"/>
      <c r="J71" s="138">
        <f>K18/$C$18</f>
        <v>0.75005684310268683</v>
      </c>
      <c r="K71" s="138"/>
      <c r="L71" s="138">
        <f>M18/$C$18</f>
        <v>0.6881405945984147</v>
      </c>
      <c r="M71" s="138"/>
      <c r="N71" s="138">
        <f>O18/$C$18</f>
        <v>0.62652852285713856</v>
      </c>
      <c r="O71" s="138"/>
      <c r="P71" s="138">
        <f>Q18/$C$18</f>
        <v>0.56527863491722907</v>
      </c>
      <c r="Q71" s="138"/>
      <c r="R71" s="138">
        <f>S18/$C$18</f>
        <v>0.50446489360466906</v>
      </c>
      <c r="S71" s="138"/>
      <c r="T71" s="138">
        <f>U18/$C$18</f>
        <v>0.44418784629447877</v>
      </c>
      <c r="U71" s="138"/>
      <c r="V71" s="138">
        <f>W18/$C$18</f>
        <v>0.38458755316062576</v>
      </c>
      <c r="W71" s="138"/>
      <c r="X71" s="138">
        <f>Y18/$C$18</f>
        <v>0.32586436566289451</v>
      </c>
      <c r="Y71" s="138"/>
      <c r="Z71" s="138">
        <f>AA18/$C$18</f>
        <v>0.26832014511904384</v>
      </c>
      <c r="AA71" s="138"/>
      <c r="AB71" s="138">
        <f>AC18/$C$18</f>
        <v>0.21241482496845915</v>
      </c>
      <c r="AC71" s="138"/>
      <c r="AD71" s="138">
        <f>AE18/$C$18</f>
        <v>0.15888519870435669</v>
      </c>
      <c r="AE71" s="138"/>
      <c r="AF71" s="138">
        <f>AG18/$C$18</f>
        <v>0.10894423750533171</v>
      </c>
      <c r="AG71" s="138"/>
      <c r="AH71" s="138">
        <f>AI18/$C$18</f>
        <v>6.4632456523007045E-2</v>
      </c>
      <c r="AI71" s="138"/>
      <c r="AJ71" s="138">
        <f>AK18/$C$18</f>
        <v>2.9297544407786074E-2</v>
      </c>
      <c r="AK71" s="138"/>
      <c r="AL71" s="138">
        <f>AM18/$C$18</f>
        <v>7.4245390480698311E-3</v>
      </c>
      <c r="AM71" s="138"/>
      <c r="AN71" s="138">
        <f>AO18/$C$18</f>
        <v>3.7981617277618929E-4</v>
      </c>
      <c r="AO71" s="138"/>
      <c r="AP71" s="138">
        <f>AQ18/$C$18</f>
        <v>1.2920374389223456E-4</v>
      </c>
      <c r="AQ71" s="138"/>
      <c r="AR71" s="138">
        <f>AS18/$C$18</f>
        <v>3.0278171192577926E-5</v>
      </c>
      <c r="AS71" s="138"/>
      <c r="AT71" s="138">
        <f>AU18/$C$18</f>
        <v>3.5729917488491904E-6</v>
      </c>
      <c r="AU71" s="138"/>
      <c r="AV71" s="138">
        <f>AW18/$C$18</f>
        <v>7.752217041423043E-8</v>
      </c>
      <c r="XFD71" s="138"/>
    </row>
    <row r="72" spans="1:48 16384:16384" x14ac:dyDescent="0.2">
      <c r="A72" t="s">
        <v>180</v>
      </c>
      <c r="B72" s="138">
        <f>C19/$C$19</f>
        <v>1</v>
      </c>
      <c r="D72" s="138">
        <f>E19/$C$19</f>
        <v>0.99719498387907957</v>
      </c>
      <c r="E72" s="138"/>
      <c r="F72" s="138">
        <f>G19/$C$19</f>
        <v>0.99527036637071409</v>
      </c>
      <c r="G72" s="138"/>
      <c r="H72" s="138">
        <f>I19/$C$19</f>
        <v>0.99430653816252323</v>
      </c>
      <c r="I72" s="138"/>
      <c r="J72" s="138">
        <f>K19/$C$19</f>
        <v>0.99439222395552973</v>
      </c>
      <c r="K72" s="138"/>
      <c r="L72" s="138">
        <f>M19/$C$19</f>
        <v>0.99562557498739412</v>
      </c>
      <c r="M72" s="138"/>
      <c r="N72" s="138">
        <f>O19/$C$19</f>
        <v>0.99810762310080958</v>
      </c>
      <c r="O72" s="138"/>
      <c r="P72" s="138">
        <f>Q19/$C$19</f>
        <v>1.0019425366771122</v>
      </c>
      <c r="Q72" s="138"/>
      <c r="R72" s="138">
        <f>S19/$C$19</f>
        <v>1.007221222015086</v>
      </c>
      <c r="S72" s="138"/>
      <c r="T72" s="138">
        <f>U19/$C$19</f>
        <v>1.0140011125390913</v>
      </c>
      <c r="U72" s="138"/>
      <c r="V72" s="138">
        <f>W19/$C$19</f>
        <v>1.0222617302500543</v>
      </c>
      <c r="W72" s="138"/>
      <c r="X72" s="138">
        <f>Y19/$C$19</f>
        <v>1.0318174223793457</v>
      </c>
      <c r="Y72" s="138"/>
      <c r="Z72" s="138">
        <f>AA19/$C$19</f>
        <v>1.0421436755389284</v>
      </c>
      <c r="AA72" s="138"/>
      <c r="AB72" s="138">
        <f>AC19/$C$19</f>
        <v>1.0520331819090389</v>
      </c>
      <c r="AC72" s="138"/>
      <c r="AD72" s="138">
        <f>AE19/$C$19</f>
        <v>1.058848561624959</v>
      </c>
      <c r="AE72" s="138"/>
      <c r="AF72" s="138">
        <f>AG19/$C$19</f>
        <v>1.056913054027981</v>
      </c>
      <c r="AG72" s="138"/>
      <c r="AH72" s="138">
        <f>AI19/$C$19</f>
        <v>1.0338911292871893</v>
      </c>
      <c r="AI72" s="138"/>
      <c r="AJ72" s="138">
        <f>AK19/$C$19</f>
        <v>0.96296248697954889</v>
      </c>
      <c r="AK72" s="138"/>
      <c r="AL72" s="138">
        <f>AM19/$C$19</f>
        <v>0.79097209043939332</v>
      </c>
      <c r="AM72" s="138"/>
      <c r="AN72" s="138">
        <f>AO19/$C$19</f>
        <v>0.45547293637211728</v>
      </c>
      <c r="AO72" s="138"/>
      <c r="AP72" s="138">
        <f>AQ19/$C$19</f>
        <v>0.36949855828703609</v>
      </c>
      <c r="AQ72" s="138"/>
      <c r="AR72" s="138">
        <f>AS19/$C$19</f>
        <v>0.27961764467745298</v>
      </c>
      <c r="AS72" s="138"/>
      <c r="AT72" s="138">
        <f>AU19/$C$19</f>
        <v>0.18728121858473307</v>
      </c>
      <c r="AU72" s="138"/>
      <c r="AV72" s="138">
        <f>AW19/$C$19</f>
        <v>9.378837877842891E-2</v>
      </c>
      <c r="XFD72" s="138"/>
    </row>
    <row r="73" spans="1:48 16384:16384" x14ac:dyDescent="0.2">
      <c r="A73" t="s">
        <v>184</v>
      </c>
      <c r="B73" s="193">
        <f t="array" ref="B73">SUM(B9:C9*B22:C22)/B32</f>
        <v>0.47641153352875065</v>
      </c>
      <c r="D73" s="193">
        <f t="array" ref="D73">SUM(D9:E9*D22:E22)/D32</f>
        <v>0.47641153611994852</v>
      </c>
      <c r="E73" s="138"/>
      <c r="F73" s="193">
        <f t="array" ref="F73">SUM(F9:G9*F22:G22)/F32</f>
        <v>0.4764115402425616</v>
      </c>
      <c r="G73" s="138"/>
      <c r="H73" s="193">
        <f t="array" ref="H73">SUM(H9:I9*H22:I22)/H32</f>
        <v>0.47641154374481237</v>
      </c>
      <c r="I73" s="138"/>
      <c r="J73" s="193">
        <f t="array" ref="J73">SUM(J9:K9*J22:K22)/J32</f>
        <v>0.47641153588340973</v>
      </c>
      <c r="K73" s="138"/>
      <c r="L73" s="193">
        <f t="array" ref="L73">SUM(L9:M9*L22:M22)/L32</f>
        <v>0.47641154723020757</v>
      </c>
      <c r="M73" s="138"/>
      <c r="N73" s="193">
        <f t="array" ref="N73">SUM(N9:O9*N22:O22)/N32</f>
        <v>0.47641153421363075</v>
      </c>
      <c r="O73" s="138"/>
      <c r="P73" s="193">
        <f t="array" ref="P73">SUM(P9:Q9*P22:Q22)/P32</f>
        <v>0.47641153436558359</v>
      </c>
      <c r="Q73" s="138"/>
      <c r="R73" s="193">
        <f t="array" ref="R73">SUM(R9:S9*R22:S22)/R32</f>
        <v>0.47641153433338684</v>
      </c>
      <c r="S73" s="138"/>
      <c r="T73" s="193">
        <f t="array" ref="T73">SUM(T9:U9*T22:U22)/T32</f>
        <v>0.47641153416170762</v>
      </c>
      <c r="U73" s="138"/>
      <c r="V73" s="193">
        <f t="array" ref="V73">SUM(V9:W9*V22:W22)/V32</f>
        <v>0.47641153922454454</v>
      </c>
      <c r="W73" s="138"/>
      <c r="X73" s="193">
        <f t="array" ref="X73">SUM(X9:Y9*X22:Y22)/X32</f>
        <v>0.47641156635482312</v>
      </c>
      <c r="Y73" s="138"/>
      <c r="Z73" s="193">
        <f t="array" ref="Z73">SUM(Z9:AA9*Z22:AA22)/Z32</f>
        <v>0.47641153396908253</v>
      </c>
      <c r="AA73" s="138"/>
      <c r="AB73" s="193">
        <f t="array" ref="AB73">SUM(AB9:AC9*AB22:AC22)/AB32</f>
        <v>0.47641153398508229</v>
      </c>
      <c r="AC73" s="138"/>
      <c r="AD73" s="193">
        <f t="array" ref="AD73">SUM(AD9:AE9*AD22:AE22)/AD32</f>
        <v>0.47641153431332828</v>
      </c>
      <c r="AE73" s="138"/>
      <c r="AF73" s="193">
        <f t="array" ref="AF73">SUM(AF9:AG9*AF22:AG22)/AF32</f>
        <v>0.47641153444921303</v>
      </c>
      <c r="AG73" s="138"/>
      <c r="AH73" s="193">
        <f t="array" ref="AH73">SUM(AH9:AI9*AH22:AI22)/AH32</f>
        <v>0.47641153398182989</v>
      </c>
      <c r="AI73" s="138"/>
      <c r="AJ73" s="193">
        <f t="array" ref="AJ73">SUM(AJ9:AK9*AJ22:AK22)/AJ32</f>
        <v>0.47641153363697947</v>
      </c>
      <c r="AK73" s="138"/>
      <c r="AL73" s="193">
        <f t="array" ref="AL73">SUM(AL9:AM9*AL22:AM22)/AL32</f>
        <v>0.4764115335063322</v>
      </c>
      <c r="AM73" s="138"/>
      <c r="AN73" s="193">
        <f t="array" ref="AN73">SUM(AN9:AO9*AN22:AO22)/AN32</f>
        <v>0.47641153352959253</v>
      </c>
      <c r="AO73" s="138"/>
      <c r="AP73" s="193">
        <f t="array" ref="AP73">SUM(AP9:AQ9*AP22:AQ22)/AP32</f>
        <v>0.47641153352886789</v>
      </c>
      <c r="AQ73" s="138"/>
      <c r="AR73" s="193">
        <f t="array" ref="AR73">SUM(AR9:AS9*AR22:AS22)/AR32</f>
        <v>0.47641153352875409</v>
      </c>
      <c r="AS73" s="138"/>
      <c r="AT73" s="193">
        <f t="array" ref="AT73">SUM(AT9:AU9*AT22:AU22)/AT32</f>
        <v>0.47641153352881105</v>
      </c>
      <c r="AU73" s="138"/>
      <c r="AV73" s="193">
        <f t="array" ref="AV73">SUM(AV9:AW9*AV22:AW22)/AV32</f>
        <v>0.47641153352875154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0.22604620456442481</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0.22038438835723925</v>
      </c>
      <c r="E75" s="138"/>
      <c r="F75" s="193">
        <f t="array" ref="F75">SUM(F11:G11*F24:G24)/F32</f>
        <v>0.22038438839731789</v>
      </c>
      <c r="G75" s="138"/>
      <c r="H75" s="193">
        <f t="array" ref="H75">SUM(H11:I11*H24:I24)/H32</f>
        <v>0.22038438843176075</v>
      </c>
      <c r="I75" s="138"/>
      <c r="J75" s="193">
        <f t="array" ref="J75">SUM(J11:K11*J24:K24)/J32</f>
        <v>0.22038438835489169</v>
      </c>
      <c r="K75" s="138"/>
      <c r="L75" s="193">
        <f t="array" ref="L75">SUM(L11:M11*L24:M24)/L32</f>
        <v>0.22038438846557282</v>
      </c>
      <c r="M75" s="138"/>
      <c r="N75" s="193">
        <f t="array" ref="N75">SUM(N11:O11*N24:O24)/N32</f>
        <v>0.22038438832551169</v>
      </c>
      <c r="O75" s="138"/>
      <c r="P75" s="193">
        <f t="array" ref="P75">SUM(P11:Q11*P24:Q24)/P32</f>
        <v>0.22038438832441848</v>
      </c>
      <c r="Q75" s="138"/>
      <c r="R75" s="193">
        <f t="array" ref="R75">SUM(R11:S11*R24:S24)/R32</f>
        <v>0.22038438832496685</v>
      </c>
      <c r="S75" s="138"/>
      <c r="T75" s="193">
        <f t="array" ref="T75">SUM(T11:U11*T24:U24)/T32</f>
        <v>0.22038438833069288</v>
      </c>
      <c r="U75" s="138"/>
      <c r="V75" s="193">
        <f t="array" ref="V75">SUM(V11:W11*V24:W24)/V32</f>
        <v>0.22038438836009366</v>
      </c>
      <c r="W75" s="138"/>
      <c r="X75" s="193">
        <f t="array" ref="X75">SUM(X11:Y11*X24:Y24)/X32</f>
        <v>0.22038438826550877</v>
      </c>
      <c r="Y75" s="138"/>
      <c r="Z75" s="193">
        <f t="array" ref="Z75">SUM(Z11:AA11*Z24:AA24)/Z32</f>
        <v>0.22038438833148322</v>
      </c>
      <c r="AA75" s="138"/>
      <c r="AB75" s="193">
        <f t="array" ref="AB75">SUM(AB11:AC11*AB24:AC24)/AB32</f>
        <v>0.22038438833161295</v>
      </c>
      <c r="AC75" s="138"/>
      <c r="AD75" s="193">
        <f t="array" ref="AD75">SUM(AD11:AE11*AD24:AE24)/AD32</f>
        <v>0.22038438833656784</v>
      </c>
      <c r="AE75" s="138"/>
      <c r="AF75" s="193">
        <f t="array" ref="AF75">SUM(AF11:AG11*AF24:AG24)/AF32</f>
        <v>0.22038438833088927</v>
      </c>
      <c r="AG75" s="138"/>
      <c r="AH75" s="193">
        <f t="array" ref="AH75">SUM(AH11:AI11*AH24:AI24)/AH32</f>
        <v>0.2203843883320783</v>
      </c>
      <c r="AI75" s="138"/>
      <c r="AJ75" s="193">
        <f t="array" ref="AJ75">SUM(AJ11:AK11*AJ24:AK24)/AJ32</f>
        <v>0.22038438833213139</v>
      </c>
      <c r="AK75" s="138"/>
      <c r="AL75" s="193">
        <f t="array" ref="AL75">SUM(AL11:AM11*AL24:AM24)/AL32</f>
        <v>0.2203843883316243</v>
      </c>
      <c r="AM75" s="138"/>
      <c r="AN75" s="193">
        <f t="array" ref="AN75">SUM(AN11:AO11*AN24:AO24)/AN32</f>
        <v>0.22038438833194901</v>
      </c>
      <c r="AO75" s="138"/>
      <c r="AP75" s="193">
        <f t="array" ref="AP75">SUM(AP11:AQ11*AP24:AQ24)/AP32</f>
        <v>0.22038438833194168</v>
      </c>
      <c r="AQ75" s="138"/>
      <c r="AR75" s="193">
        <f t="array" ref="AR75">SUM(AR11:AS11*AR24:AS24)/AR32</f>
        <v>0.22038438833194063</v>
      </c>
      <c r="AS75" s="138"/>
      <c r="AT75" s="193">
        <f t="array" ref="AT75">SUM(AT11:AU11*AT24:AU24)/AT32</f>
        <v>0.22038438833194296</v>
      </c>
      <c r="AU75" s="138"/>
      <c r="AV75" s="193">
        <f t="array" ref="AV75">SUM(AV11:AW11*AV24:AW24)/AV32</f>
        <v>0.22038438833194093</v>
      </c>
      <c r="XFD75" s="193"/>
    </row>
    <row r="76" spans="1:48 16384:16384" x14ac:dyDescent="0.2">
      <c r="A76" t="s">
        <v>187</v>
      </c>
      <c r="B76" s="193">
        <f t="array" ref="B76">SUM(B12:C12*B25:C25)/B32</f>
        <v>0.22301874374724867</v>
      </c>
      <c r="D76" s="193">
        <f t="array" ref="D76">SUM(D12:E12*D25:E25)/D32</f>
        <v>0.22262515770448155</v>
      </c>
      <c r="E76" s="138"/>
      <c r="F76" s="193">
        <f t="array" ref="F76">SUM(F12:G12*F25:G25)/F32</f>
        <v>0.2222444081590588</v>
      </c>
      <c r="G76" s="138"/>
      <c r="H76" s="193">
        <f t="array" ref="H76">SUM(H12:I12*H25:I25)/H32</f>
        <v>0.22187732713801023</v>
      </c>
      <c r="I76" s="138"/>
      <c r="J76" s="193">
        <f t="array" ref="J76">SUM(J12:K12*J25:K25)/J32</f>
        <v>0.22152479298324954</v>
      </c>
      <c r="K76" s="138"/>
      <c r="L76" s="193">
        <f t="array" ref="L76">SUM(L12:M12*L25:M25)/L32</f>
        <v>0.22118767884988005</v>
      </c>
      <c r="M76" s="138"/>
      <c r="N76" s="193">
        <f t="array" ref="N76">SUM(N12:O12*N25:O25)/N32</f>
        <v>0.22086680338138401</v>
      </c>
      <c r="O76" s="138"/>
      <c r="P76" s="193">
        <f t="array" ref="P76">SUM(P12:Q12*P25:Q25)/P32</f>
        <v>0.22056275240801862</v>
      </c>
      <c r="Q76" s="138"/>
      <c r="R76" s="193">
        <f t="array" ref="R76">SUM(R12:S12*R25:S25)/R32</f>
        <v>0.22027563709887962</v>
      </c>
      <c r="S76" s="138"/>
      <c r="T76" s="193">
        <f t="array" ref="T76">SUM(T12:U12*T25:U25)/T32</f>
        <v>0.22000458696293981</v>
      </c>
      <c r="U76" s="138"/>
      <c r="V76" s="193">
        <f t="array" ref="V76">SUM(V12:W12*V25:W25)/V32</f>
        <v>0.21974682799330636</v>
      </c>
      <c r="W76" s="138"/>
      <c r="X76" s="193">
        <f t="array" ref="X76">SUM(X12:Y12*X25:Y25)/X32</f>
        <v>0.21949590419732321</v>
      </c>
      <c r="Y76" s="138"/>
      <c r="Z76" s="193">
        <f t="array" ref="Z76">SUM(Z12:AA12*Z25:AA25)/Z32</f>
        <v>0.21923835409796855</v>
      </c>
      <c r="AA76" s="138"/>
      <c r="AB76" s="193">
        <f t="array" ref="AB76">SUM(AB12:AC12*AB25:AC25)/AB32</f>
        <v>0.21894660661587892</v>
      </c>
      <c r="AC76" s="138"/>
      <c r="AD76" s="193">
        <f t="array" ref="AD76">SUM(AD12:AE12*AD25:AE25)/AD32</f>
        <v>0.2185646305218433</v>
      </c>
      <c r="AE76" s="138"/>
      <c r="AF76" s="193">
        <f t="array" ref="AF76">SUM(AF12:AG12*AF25:AG25)/AF32</f>
        <v>0.21797590155608212</v>
      </c>
      <c r="AG76" s="138"/>
      <c r="AH76" s="193">
        <f t="array" ref="AH76">SUM(AH12:AI12*AH25:AI25)/AH32</f>
        <v>0.21693044165702913</v>
      </c>
      <c r="AI76" s="138"/>
      <c r="AJ76" s="193">
        <f t="array" ref="AJ76">SUM(AJ12:AK12*AJ25:AK25)/AJ32</f>
        <v>0.21487866100670361</v>
      </c>
      <c r="AK76" s="138"/>
      <c r="AL76" s="193">
        <f t="array" ref="AL76">SUM(AL12:AM12*AL25:AM25)/AL32</f>
        <v>0.21065633077230622</v>
      </c>
      <c r="AM76" s="138"/>
      <c r="AN76" s="193">
        <f t="array" ref="AN76">SUM(AN12:AO12*AN25:AO25)/AN32</f>
        <v>0.20219625407519226</v>
      </c>
      <c r="AO76" s="138"/>
      <c r="AP76" s="193">
        <f t="array" ref="AP76">SUM(AP12:AQ12*AP25:AQ25)/AP32</f>
        <v>0.19967255668224326</v>
      </c>
      <c r="AQ76" s="138"/>
      <c r="AR76" s="193">
        <f t="array" ref="AR76">SUM(AR12:AS12*AR25:AS25)/AR32</f>
        <v>0.19664138552168861</v>
      </c>
      <c r="AS76" s="138"/>
      <c r="AT76" s="193">
        <f t="array" ref="AT76">SUM(AT12:AU12*AT25:AU25)/AT32</f>
        <v>0.19269654632347913</v>
      </c>
      <c r="AU76" s="138"/>
      <c r="AV76" s="193">
        <f t="array" ref="AV76">SUM(AV12:AW12*AV25:AW25)/AV32</f>
        <v>0.18639339419876758</v>
      </c>
      <c r="XFD76" s="193"/>
    </row>
    <row r="77" spans="1:48 16384:16384" x14ac:dyDescent="0.2">
      <c r="A77" t="s">
        <v>188</v>
      </c>
      <c r="B77" s="193">
        <f t="array" ref="B77">SUM(B4:C4*B19:C19)/B32</f>
        <v>0.14586087017236485</v>
      </c>
      <c r="D77" s="193">
        <f t="array" ref="D77">SUM(D4:E4*D19:E19)/D32</f>
        <v>0.14546728674609391</v>
      </c>
      <c r="E77" s="138"/>
      <c r="F77" s="193">
        <f t="array" ref="F77">SUM(F4:G4*F19:G19)/F32</f>
        <v>0.1450865413633631</v>
      </c>
      <c r="G77" s="138"/>
      <c r="H77" s="193">
        <f t="array" ref="H77">SUM(H4:I4*H19:I19)/H32</f>
        <v>0.14471946387900811</v>
      </c>
      <c r="I77" s="138"/>
      <c r="J77" s="193">
        <f t="array" ref="J77">SUM(J4:K4*J19:K19)/J32</f>
        <v>0.14436692178597563</v>
      </c>
      <c r="K77" s="138"/>
      <c r="L77" s="193">
        <f t="array" ref="L77">SUM(L4:M4*L19:M19)/L32</f>
        <v>0.144029819110085</v>
      </c>
      <c r="M77" s="138"/>
      <c r="N77" s="193">
        <f t="array" ref="N77">SUM(N4:O4*N19:O19)/N32</f>
        <v>0.14370893048495112</v>
      </c>
      <c r="O77" s="138"/>
      <c r="P77" s="193">
        <f t="array" ref="P77">SUM(P4:Q4*P19:Q19)/P32</f>
        <v>0.14340487966244531</v>
      </c>
      <c r="Q77" s="138"/>
      <c r="R77" s="193">
        <f t="array" ref="R77">SUM(R4:S4*R19:S19)/R32</f>
        <v>0.1431177643216581</v>
      </c>
      <c r="S77" s="138"/>
      <c r="T77" s="193">
        <f t="array" ref="T77">SUM(T4:U4*T19:U19)/T32</f>
        <v>0.14284671401976495</v>
      </c>
      <c r="U77" s="138"/>
      <c r="V77" s="193">
        <f t="array" ref="V77">SUM(V4:W4*V19:W19)/V32</f>
        <v>0.1425889601423693</v>
      </c>
      <c r="W77" s="138"/>
      <c r="X77" s="193">
        <f t="array" ref="X77">SUM(X4:Y4*X19:Y19)/X32</f>
        <v>0.1423380633820798</v>
      </c>
      <c r="Y77" s="138"/>
      <c r="Z77" s="193">
        <f t="array" ref="Z77">SUM(Z4:AA4*Z19:AA19)/Z32</f>
        <v>0.14208048096295897</v>
      </c>
      <c r="AA77" s="138"/>
      <c r="AB77" s="193">
        <f t="array" ref="AB77">SUM(AB4:AC4*AB19:AC19)/AB32</f>
        <v>0.14178873349699886</v>
      </c>
      <c r="AC77" s="138"/>
      <c r="AD77" s="193">
        <f t="array" ref="AD77">SUM(AD4:AE4*AD19:AE19)/AD32</f>
        <v>0.14140675773616401</v>
      </c>
      <c r="AE77" s="138"/>
      <c r="AF77" s="193">
        <f t="array" ref="AF77">SUM(AF4:AG4*AF19:AG19)/AF32</f>
        <v>0.14081802890060924</v>
      </c>
      <c r="AG77" s="138"/>
      <c r="AH77" s="193">
        <f t="array" ref="AH77">SUM(AH4:AI4*AH19:AI19)/AH32</f>
        <v>0.13977256853536207</v>
      </c>
      <c r="AI77" s="138"/>
      <c r="AJ77" s="193">
        <f t="array" ref="AJ77">SUM(AJ4:AK4*AJ19:AK19)/AJ32</f>
        <v>0.13772078754023906</v>
      </c>
      <c r="AK77" s="138"/>
      <c r="AL77" s="193">
        <f t="array" ref="AL77">SUM(AL4:AM4*AL19:AM19)/AL32</f>
        <v>0.13349845717468745</v>
      </c>
      <c r="AM77" s="138"/>
      <c r="AN77" s="193">
        <f t="array" ref="AN77">SUM(AN4:AO4*AN19:AO19)/AN32</f>
        <v>0.12503838050115862</v>
      </c>
      <c r="AO77" s="138"/>
      <c r="AP77" s="193">
        <f t="array" ref="AP77">SUM(AP4:AQ4*AP19:AQ19)/AP32</f>
        <v>0.12251468310747775</v>
      </c>
      <c r="AQ77" s="138"/>
      <c r="AR77" s="193">
        <f t="array" ref="AR77">SUM(AR4:AS4*AR19:AS19)/AR32</f>
        <v>0.11948351194680798</v>
      </c>
      <c r="AS77" s="138"/>
      <c r="AT77" s="193">
        <f t="array" ref="AT77">SUM(AT4:AU4*AT19:AU19)/AT32</f>
        <v>0.11553867274865777</v>
      </c>
      <c r="AU77" s="138"/>
      <c r="AV77" s="193">
        <f t="array" ref="AV77">SUM(AV4:AW4*AV19:AW19)/AV32</f>
        <v>0.10923552062388478</v>
      </c>
      <c r="XFD77" s="193"/>
    </row>
    <row r="78" spans="1:48 16384:16384" x14ac:dyDescent="0.2">
      <c r="A78" t="s">
        <v>189</v>
      </c>
      <c r="B78" s="193">
        <f t="array" ref="B78">SUM(B13:C13*B26:C26)/B32</f>
        <v>0.346887593115773</v>
      </c>
      <c r="D78" s="193">
        <f t="array" ref="D78">SUM(D13:E13*D26:E26)/D32</f>
        <v>0.34830552993128799</v>
      </c>
      <c r="E78" s="138"/>
      <c r="F78" s="193">
        <f t="array" ref="F78">SUM(F13:G13*F26:G26)/F32</f>
        <v>0.3497325036104536</v>
      </c>
      <c r="G78" s="138"/>
      <c r="H78" s="193">
        <f t="array" ref="H78">SUM(H13:I13*H26:I26)/H32</f>
        <v>0.35117077151496623</v>
      </c>
      <c r="I78" s="138"/>
      <c r="J78" s="193">
        <f t="array" ref="J78">SUM(J13:K13*J26:K26)/J32</f>
        <v>0.35262302168602683</v>
      </c>
      <c r="K78" s="138"/>
      <c r="L78" s="193">
        <f t="array" ref="L78">SUM(L13:M13*L26:M26)/L32</f>
        <v>0.35409246576906633</v>
      </c>
      <c r="M78" s="138"/>
      <c r="N78" s="193">
        <f t="array" ref="N78">SUM(N13:O13*N26:O26)/N32</f>
        <v>0.35558308611786921</v>
      </c>
      <c r="O78" s="138"/>
      <c r="P78" s="193">
        <f t="array" ref="P78">SUM(P13:Q13*P26:Q26)/P32</f>
        <v>0.35709981124208462</v>
      </c>
      <c r="Q78" s="138"/>
      <c r="R78" s="193">
        <f t="array" ref="R78">SUM(R13:S13*R26:S26)/R32</f>
        <v>0.35864895660666507</v>
      </c>
      <c r="S78" s="138"/>
      <c r="T78" s="193">
        <f t="array" ref="T78">SUM(T13:U13*T26:U26)/T32</f>
        <v>0.36023879325687219</v>
      </c>
      <c r="U78" s="138"/>
      <c r="V78" s="193">
        <f t="array" ref="V78">SUM(V13:W13*V26:W26)/V32</f>
        <v>0.36188050164442476</v>
      </c>
      <c r="W78" s="138"/>
      <c r="X78" s="193">
        <f t="array" ref="X78">SUM(X13:Y13*X26:Y26)/X32</f>
        <v>0.36358967248938168</v>
      </c>
      <c r="Y78" s="138"/>
      <c r="Z78" s="193">
        <f t="array" ref="Z78">SUM(Z13:AA13*Z26:AA26)/Z32</f>
        <v>0.36538954267425594</v>
      </c>
      <c r="AA78" s="138"/>
      <c r="AB78" s="193">
        <f t="array" ref="AB78">SUM(AB13:AC13*AB26:AC26)/AB32</f>
        <v>0.36731562486332586</v>
      </c>
      <c r="AC78" s="138"/>
      <c r="AD78" s="193">
        <f t="array" ref="AD78">SUM(AD13:AE13*AD26:AE26)/AD32</f>
        <v>0.36942704419300543</v>
      </c>
      <c r="AE78" s="138"/>
      <c r="AF78" s="193">
        <f t="array" ref="AF78">SUM(AF13:AG13*AF26:AG26)/AF32</f>
        <v>0.37182958373476754</v>
      </c>
      <c r="AG78" s="138"/>
      <c r="AH78" s="193">
        <f t="array" ref="AH78">SUM(AH13:AI13*AH26:AI26)/AH32</f>
        <v>0.37473136009510211</v>
      </c>
      <c r="AI78" s="138"/>
      <c r="AJ78" s="193">
        <f t="array" ref="AJ78">SUM(AJ13:AK13*AJ26:AK26)/AJ32</f>
        <v>0.37858870781783904</v>
      </c>
      <c r="AK78" s="138"/>
      <c r="AL78" s="193">
        <f t="array" ref="AL78">SUM(AL13:AM13*AL26:AM26)/AL32</f>
        <v>0.3845304679494897</v>
      </c>
      <c r="AM78" s="138"/>
      <c r="AN78" s="193">
        <f t="array" ref="AN78">SUM(AN13:AO13*AN26:AO26)/AN32</f>
        <v>0.39605184529534787</v>
      </c>
      <c r="AO78" s="138"/>
      <c r="AP78" s="193">
        <f t="array" ref="AP78">SUM(AP13:AQ13*AP26:AQ26)/AP32</f>
        <v>0.40004508592799354</v>
      </c>
      <c r="AQ78" s="138"/>
      <c r="AR78" s="193">
        <f t="array" ref="AR78">SUM(AR13:AS13*AR26:AS26)/AR32</f>
        <v>0.4054043506149192</v>
      </c>
      <c r="AS78" s="138"/>
      <c r="AT78" s="193">
        <f t="array" ref="AT78">SUM(AT13:AU13*AT26:AU26)/AT32</f>
        <v>0.41342496450300914</v>
      </c>
      <c r="AU78" s="138"/>
      <c r="AV78" s="193">
        <f t="array" ref="AV78">SUM(AV13:AW13*AV26:AW26)/AV32</f>
        <v>0.4285624536300926</v>
      </c>
      <c r="XFD78" s="193"/>
    </row>
    <row r="79" spans="1:48 16384:16384" x14ac:dyDescent="0.2">
      <c r="A79" t="s">
        <v>190</v>
      </c>
      <c r="B79" s="193">
        <f t="array" ref="B79">SUM(B15:C15*B27:C27)/B32</f>
        <v>0.45460968782439864</v>
      </c>
      <c r="D79" s="193">
        <f t="array" ref="D79">SUM(D15:E15*D27:E27)/D32</f>
        <v>0.44963294102252072</v>
      </c>
      <c r="F79" s="193">
        <f t="array" ref="F79">SUM(F15:G15*F27:G27)/F32</f>
        <v>0.44462447644855441</v>
      </c>
      <c r="H79" s="193">
        <f t="array" ref="H79">SUM(H15:I15*H27:I27)/H32</f>
        <v>0.43957637220267565</v>
      </c>
      <c r="J79" s="193">
        <f t="array" ref="J79">SUM(J15:K15*J27:K27)/J32</f>
        <v>0.43447919044656824</v>
      </c>
      <c r="L79" s="193">
        <f t="array" ref="L79">SUM(L15:M15*L27:M27)/L32</f>
        <v>0.42932166622844931</v>
      </c>
      <c r="N79" s="193">
        <f t="array" ref="N79">SUM(N15:O15*N27:O27)/N32</f>
        <v>0.42408979084460985</v>
      </c>
      <c r="P79" s="193">
        <f t="array" ref="P79">SUM(P15:Q15*P27:Q27)/P32</f>
        <v>0.418766308489949</v>
      </c>
      <c r="R79" s="193">
        <f t="array" ref="R79">SUM(R15:S15*R27:S27)/R32</f>
        <v>0.41332904010419391</v>
      </c>
      <c r="T79" s="193">
        <f t="array" ref="T79">SUM(T15:U15*T27:U27)/T32</f>
        <v>0.40774896654277382</v>
      </c>
      <c r="V79" s="193">
        <f t="array" ref="V79">SUM(V15:W15*V27:W27)/V32</f>
        <v>0.40198685880799234</v>
      </c>
      <c r="X79" s="193">
        <f t="array" ref="X79">SUM(X15:Y15*X27:Y27)/X32</f>
        <v>0.39598774947686682</v>
      </c>
      <c r="Z79" s="193">
        <f t="array" ref="Z79">SUM(Z15:AA15*Z27:AA27)/Z32</f>
        <v>0.38967060654328045</v>
      </c>
      <c r="AB79" s="193">
        <f t="array" ref="AB79">SUM(AB15:AC15*AB27:AC27)/AB32</f>
        <v>0.38291034584117534</v>
      </c>
      <c r="AD79" s="193">
        <f t="array" ref="AD79">SUM(AD15:AE15*AD27:AE27)/AD32</f>
        <v>0.37549958067647626</v>
      </c>
      <c r="AF79" s="193">
        <f t="array" ref="AF79">SUM(AF15:AG15*AF27:AG27)/AF32</f>
        <v>0.36706701543522574</v>
      </c>
      <c r="AH79" s="193">
        <f t="array" ref="AH79">SUM(AH15:AI15*AH27:AI27)/AH32</f>
        <v>0.3568822199592605</v>
      </c>
      <c r="AJ79" s="193">
        <f t="array" ref="AJ79">SUM(AJ15:AK15*AJ27:AK27)/AJ32</f>
        <v>0.34334350871318298</v>
      </c>
      <c r="AL79" s="193">
        <f t="array" ref="AL79">SUM(AL15:AM15*AL27:AM27)/AL32</f>
        <v>0.32248881954842473</v>
      </c>
      <c r="AN79" s="193">
        <f t="array" ref="AN79">SUM(AN15:AO15*AN27:AO27)/AN32</f>
        <v>0.28205050481132887</v>
      </c>
      <c r="AP79" s="193">
        <f t="array" ref="AP79">SUM(AP15:AQ15*AP27:AQ27)/AP32</f>
        <v>0.2680348265582983</v>
      </c>
      <c r="AR79" s="193">
        <f t="array" ref="AR79">SUM(AR15:AS15*AR27:AS27)/AR32</f>
        <v>0.24922460786272604</v>
      </c>
      <c r="AT79" s="193">
        <f t="array" ref="AT79">SUM(AT15:AU15*AT27:AU27)/AT32</f>
        <v>0.2210734510569696</v>
      </c>
      <c r="AV79" s="193">
        <f t="array" ref="AV79">SUM(AV15:AW15*AV27:AW27)/AV32</f>
        <v>0.16794312469400752</v>
      </c>
      <c r="XFD79" s="193"/>
    </row>
    <row r="80" spans="1:48 16384:16384" x14ac:dyDescent="0.2">
      <c r="A80" t="s">
        <v>169</v>
      </c>
      <c r="B80" s="236">
        <f>B55</f>
        <v>0.19850271905982084</v>
      </c>
      <c r="D80" s="236">
        <f>D55</f>
        <v>0.20206153703058297</v>
      </c>
      <c r="F80" s="236">
        <f>F55</f>
        <v>0.20564304159431582</v>
      </c>
      <c r="H80" s="236">
        <f>H55</f>
        <v>0.20925289105787562</v>
      </c>
      <c r="J80" s="236">
        <f>J55</f>
        <v>0.21289779629280906</v>
      </c>
      <c r="L80" s="236">
        <f>L55</f>
        <v>0.216585920267199</v>
      </c>
      <c r="N80" s="236">
        <f>N55</f>
        <v>0.22032712097255311</v>
      </c>
      <c r="P80" s="236">
        <f>P55</f>
        <v>0.22413387766304202</v>
      </c>
      <c r="R80" s="236">
        <f>R55</f>
        <v>0.2280220006821351</v>
      </c>
      <c r="T80" s="236">
        <f>T55</f>
        <v>0.23201224124744982</v>
      </c>
      <c r="V80" s="236">
        <f>V55</f>
        <v>0.23613267428201148</v>
      </c>
      <c r="X80" s="236">
        <f>X55</f>
        <v>0.24042262753523999</v>
      </c>
      <c r="Z80" s="236">
        <f>Z55</f>
        <v>0.24493985156412662</v>
      </c>
      <c r="AB80" s="236">
        <f>AB55</f>
        <v>0.2497740301218476</v>
      </c>
      <c r="AD80" s="236">
        <f>AD55</f>
        <v>0.25507338012605585</v>
      </c>
      <c r="AF80" s="236">
        <f>AF55</f>
        <v>0.26110339933945281</v>
      </c>
      <c r="AH80" s="236">
        <f>AH55</f>
        <v>0.26838641931329188</v>
      </c>
      <c r="AJ80" s="236">
        <f>AJ55</f>
        <v>0.27806778326387316</v>
      </c>
      <c r="AL80" s="236">
        <f>AL55</f>
        <v>0.29298071448036828</v>
      </c>
      <c r="AN80" s="236">
        <f>AN55</f>
        <v>0.32189764971583756</v>
      </c>
      <c r="AP80" s="236">
        <f>AP55</f>
        <v>0.33192008747271579</v>
      </c>
      <c r="AR80" s="236">
        <f>AR55</f>
        <v>0.34537104153446729</v>
      </c>
      <c r="AT80" s="236">
        <f>AT55</f>
        <v>0.36550158466646238</v>
      </c>
      <c r="AV80" s="236">
        <f>AV55</f>
        <v>0.40349442167788857</v>
      </c>
      <c r="XFD80" s="236"/>
    </row>
    <row r="81" spans="1:48 16384:16384" x14ac:dyDescent="0.2">
      <c r="A81" t="s">
        <v>191</v>
      </c>
      <c r="B81" s="236">
        <f>B51/B$32</f>
        <v>-2.7543485504603994E-2</v>
      </c>
      <c r="D81" s="236">
        <f>D51/D$32</f>
        <v>-2.3984667533841889E-2</v>
      </c>
      <c r="F81" s="236">
        <f>F51/F$32</f>
        <v>-2.0403162970109051E-2</v>
      </c>
      <c r="H81" s="236">
        <f>H51/H$32</f>
        <v>-1.6793313506549251E-2</v>
      </c>
      <c r="J81" s="236">
        <f>J51/J$32</f>
        <v>-1.3148408271615777E-2</v>
      </c>
      <c r="L81" s="236">
        <f>L51/L$32</f>
        <v>-9.4602842972258318E-3</v>
      </c>
      <c r="N81" s="236">
        <f>N51/N$32</f>
        <v>-5.7190835918717389E-3</v>
      </c>
      <c r="P81" s="236">
        <f>P51/P$32</f>
        <v>-1.9123269013828156E-3</v>
      </c>
      <c r="R81" s="236">
        <f>R51/R$32</f>
        <v>1.9757961177102384E-3</v>
      </c>
      <c r="T81" s="236">
        <f>T51/T$32</f>
        <v>5.9660366830249891E-3</v>
      </c>
      <c r="V81" s="236">
        <f>V51/V$32</f>
        <v>1.0086469717586657E-2</v>
      </c>
      <c r="X81" s="236">
        <f>X51/X$32</f>
        <v>1.4376422970815126E-2</v>
      </c>
      <c r="Z81" s="236">
        <f>Z51/Z$32</f>
        <v>1.8893646999701787E-2</v>
      </c>
      <c r="AB81" s="236">
        <f>AB51/AB$32</f>
        <v>2.3727825557422751E-2</v>
      </c>
      <c r="AD81" s="236">
        <f>AD51/AD$32</f>
        <v>2.9027175561631015E-2</v>
      </c>
      <c r="AF81" s="236">
        <f>AF51/AF$32</f>
        <v>3.5057194775027965E-2</v>
      </c>
      <c r="AH81" s="236">
        <f>AH51/AH$32</f>
        <v>4.2340214748867011E-2</v>
      </c>
      <c r="AJ81" s="236">
        <f>AJ51/AJ$32</f>
        <v>5.2021578699448311E-2</v>
      </c>
      <c r="AL81" s="236">
        <f>AL51/AL$32</f>
        <v>6.6934509915943449E-2</v>
      </c>
      <c r="AN81" s="236">
        <f>AN51/AN$32</f>
        <v>9.5851445151412723E-2</v>
      </c>
      <c r="AP81" s="236">
        <f>AP51/AP$32</f>
        <v>0.10587388290829096</v>
      </c>
      <c r="AR81" s="236">
        <f>AR51/AR$32</f>
        <v>0.11932483697004244</v>
      </c>
      <c r="AT81" s="236">
        <f>AT51/AT$32</f>
        <v>0.13945538010203751</v>
      </c>
      <c r="AV81" s="236">
        <f>AV51/AV$32</f>
        <v>0.17744821711346376</v>
      </c>
      <c r="XFD81" s="236"/>
    </row>
    <row r="82" spans="1:48 16384:16384" x14ac:dyDescent="0.2">
      <c r="A82" t="s">
        <v>192</v>
      </c>
      <c r="B82" s="236">
        <f>B52/B$32</f>
        <v>0.13907860278212886</v>
      </c>
      <c r="D82" s="236">
        <f>D52/D$32</f>
        <v>0.13964710011397014</v>
      </c>
      <c r="F82" s="236">
        <f>F52/F$32</f>
        <v>0.14021922062056605</v>
      </c>
      <c r="H82" s="236">
        <f>H52/H$32</f>
        <v>0.1407958693521891</v>
      </c>
      <c r="J82" s="236">
        <f>J52/J$32</f>
        <v>0.14137812403263775</v>
      </c>
      <c r="L82" s="236">
        <f>L52/L$32</f>
        <v>0.14196727231580333</v>
      </c>
      <c r="N82" s="236">
        <f>N52/N$32</f>
        <v>0.14256491085781059</v>
      </c>
      <c r="P82" s="236">
        <f>P52/P$32</f>
        <v>0.14317301565967366</v>
      </c>
      <c r="R82" s="236">
        <f>R52/R$32</f>
        <v>0.1437941187982352</v>
      </c>
      <c r="T82" s="236">
        <f>T52/T$32</f>
        <v>0.14443153640656353</v>
      </c>
      <c r="V82" s="236">
        <f>V52/V$32</f>
        <v>0.14508975109411018</v>
      </c>
      <c r="X82" s="236">
        <f>X52/X$32</f>
        <v>0.14577501369141854</v>
      </c>
      <c r="Z82" s="236">
        <f>Z52/Z$32</f>
        <v>0.14649664062610682</v>
      </c>
      <c r="AB82" s="236">
        <f>AB52/AB$32</f>
        <v>0.14726887008895181</v>
      </c>
      <c r="AD82" s="236">
        <f>AD52/AD$32</f>
        <v>0.14811540728453551</v>
      </c>
      <c r="AF82" s="236">
        <f>AF52/AF$32</f>
        <v>0.14907866411247742</v>
      </c>
      <c r="AH82" s="236">
        <f>AH52/AH$32</f>
        <v>0.15024208133981781</v>
      </c>
      <c r="AJ82" s="236">
        <f>AJ52/AJ$32</f>
        <v>0.15178861843820296</v>
      </c>
      <c r="AL82" s="236">
        <f>AL52/AL$32</f>
        <v>0.15417086477268266</v>
      </c>
      <c r="AN82" s="236">
        <f>AN52/AN$32</f>
        <v>0.15879016247945543</v>
      </c>
      <c r="AP82" s="236">
        <f>AP52/AP$32</f>
        <v>0.16039118349831857</v>
      </c>
      <c r="AR82" s="236">
        <f>AR52/AR$32</f>
        <v>0.16253988832198304</v>
      </c>
      <c r="AT82" s="236">
        <f>AT52/AT$32</f>
        <v>0.16575561524663612</v>
      </c>
      <c r="AV82" s="236">
        <f>AV52/AV$32</f>
        <v>0.17182473065809964</v>
      </c>
    </row>
    <row r="83" spans="1:48 16384:16384" x14ac:dyDescent="0.2">
      <c r="A83" t="s">
        <v>193</v>
      </c>
      <c r="B83" s="236">
        <f>B53/B$32</f>
        <v>0.18600714462929618</v>
      </c>
      <c r="D83" s="236">
        <f>D53/D$32</f>
        <v>0.18397086936514503</v>
      </c>
      <c r="F83" s="236">
        <f>F53/F$32</f>
        <v>0.18192161652401265</v>
      </c>
      <c r="H83" s="236">
        <f>H53/H$32</f>
        <v>0.17985614479801276</v>
      </c>
      <c r="J83" s="236">
        <f>J53/J$32</f>
        <v>0.17777059262105099</v>
      </c>
      <c r="L83" s="236">
        <f>L53/L$32</f>
        <v>0.17566035084912621</v>
      </c>
      <c r="N83" s="236">
        <f>N53/N$32</f>
        <v>0.17351968771046428</v>
      </c>
      <c r="P83" s="236">
        <f>P53/P$32</f>
        <v>0.1713415428561087</v>
      </c>
      <c r="R83" s="236">
        <f>R53/R$32</f>
        <v>0.16911684154836162</v>
      </c>
      <c r="T83" s="236">
        <f>T53/T$32</f>
        <v>0.16683371037500638</v>
      </c>
      <c r="V83" s="236">
        <f>V53/V$32</f>
        <v>0.1644760984817748</v>
      </c>
      <c r="X83" s="236">
        <f>X53/X$32</f>
        <v>0.16202151551337873</v>
      </c>
      <c r="Z83" s="236">
        <f>Z53/Z$32</f>
        <v>0.15943680658446252</v>
      </c>
      <c r="AB83" s="236">
        <f>AB53/AB$32</f>
        <v>0.15667079252047289</v>
      </c>
      <c r="AD83" s="236">
        <f>AD53/AD$32</f>
        <v>0.15363861941742987</v>
      </c>
      <c r="AF83" s="236">
        <f>AF53/AF$32</f>
        <v>0.15018836874210523</v>
      </c>
      <c r="AH83" s="236">
        <f>AH53/AH$32</f>
        <v>0.14602117922578892</v>
      </c>
      <c r="AJ83" s="236">
        <f>AJ53/AJ$32</f>
        <v>0.14048170858033235</v>
      </c>
      <c r="AL83" s="236">
        <f>AL53/AL$32</f>
        <v>0.13194884778224356</v>
      </c>
      <c r="AN83" s="236">
        <f>AN53/AN$32</f>
        <v>0.11540319189473983</v>
      </c>
      <c r="AP83" s="236">
        <f>AP53/AP$32</f>
        <v>0.10966856643093727</v>
      </c>
      <c r="AR83" s="236">
        <f>AR53/AR$32</f>
        <v>0.10197221687411151</v>
      </c>
      <c r="AT83" s="236">
        <f>AT53/AT$32</f>
        <v>9.0453948707611379E-2</v>
      </c>
      <c r="AV83" s="236">
        <f>AV53/AV$32</f>
        <v>6.8715256012143483E-2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3.9857195897785434E-2</v>
      </c>
      <c r="E2" s="227"/>
      <c r="F2" s="226">
        <v>7.7159910163009368E-2</v>
      </c>
      <c r="G2" s="227"/>
      <c r="H2" s="226">
        <v>0.11821841607917559</v>
      </c>
      <c r="I2" s="227"/>
      <c r="J2" s="226">
        <v>0.16370485831664514</v>
      </c>
      <c r="K2" s="227"/>
      <c r="L2" s="226">
        <v>0.21447121533616059</v>
      </c>
      <c r="M2" s="227"/>
      <c r="N2" s="226">
        <v>0.27161690949126088</v>
      </c>
      <c r="O2" s="227"/>
      <c r="P2" s="226">
        <v>0.3365895730937763</v>
      </c>
      <c r="Q2" s="227"/>
      <c r="R2" s="226">
        <v>0.41134066074033848</v>
      </c>
      <c r="S2" s="227"/>
      <c r="T2" s="226">
        <v>0.49857469136020521</v>
      </c>
      <c r="U2" s="227"/>
      <c r="V2" s="226">
        <v>0.60216533125711769</v>
      </c>
      <c r="W2" s="227"/>
      <c r="X2" s="226">
        <v>0.72788378728702496</v>
      </c>
      <c r="Y2" s="227"/>
      <c r="Z2" s="226">
        <v>0.88475241684643402</v>
      </c>
      <c r="AA2" s="227"/>
      <c r="AB2" s="226">
        <v>1.0877440954370787</v>
      </c>
      <c r="AC2" s="227"/>
      <c r="AD2" s="226">
        <v>1.3636526496594534</v>
      </c>
      <c r="AE2" s="227"/>
      <c r="AF2" s="226">
        <v>1.7653107445951408</v>
      </c>
      <c r="AG2" s="227"/>
      <c r="AH2" s="226">
        <v>2.4111041238659863</v>
      </c>
      <c r="AI2" s="227"/>
      <c r="AJ2" s="226">
        <v>3.6167909572379746</v>
      </c>
      <c r="AK2" s="227"/>
      <c r="AL2" s="226">
        <v>6.4775081518234403</v>
      </c>
      <c r="AM2" s="227"/>
      <c r="AN2" s="226">
        <v>17.554773816092116</v>
      </c>
      <c r="AO2" s="227"/>
      <c r="AP2" s="226">
        <v>24.109538576075821</v>
      </c>
      <c r="AQ2" s="227"/>
      <c r="AR2" s="226">
        <v>36.216108389725207</v>
      </c>
      <c r="AS2" s="227"/>
      <c r="AT2" s="226">
        <v>64.082441832148007</v>
      </c>
      <c r="AU2" s="227"/>
      <c r="AV2" s="226"/>
      <c r="AW2" s="227"/>
    </row>
    <row r="3" spans="1:49" x14ac:dyDescent="0.2">
      <c r="A3" t="s">
        <v>12</v>
      </c>
      <c r="B3" s="84">
        <v>1000</v>
      </c>
      <c r="C3" s="85">
        <v>1000</v>
      </c>
      <c r="D3" s="84">
        <v>998.71938177320374</v>
      </c>
      <c r="E3" s="85">
        <v>1021.2766118436822</v>
      </c>
      <c r="F3" s="84">
        <v>997.47615382131289</v>
      </c>
      <c r="G3" s="85">
        <v>1044.4030066140915</v>
      </c>
      <c r="H3" s="84">
        <v>996.26750466324495</v>
      </c>
      <c r="I3" s="85">
        <v>1069.67658880781</v>
      </c>
      <c r="J3" s="84">
        <v>995.09088190046077</v>
      </c>
      <c r="K3" s="85">
        <v>1097.4662359381705</v>
      </c>
      <c r="L3" s="84">
        <v>993.94410988938807</v>
      </c>
      <c r="M3" s="85">
        <v>1128.2360131208868</v>
      </c>
      <c r="N3" s="84">
        <v>992.82560787837542</v>
      </c>
      <c r="O3" s="85">
        <v>1162.5795014541043</v>
      </c>
      <c r="P3" s="84">
        <v>991.73472756589138</v>
      </c>
      <c r="Q3" s="85">
        <v>1201.2698938752378</v>
      </c>
      <c r="R3" s="84">
        <v>990.67234992661304</v>
      </c>
      <c r="S3" s="85">
        <v>1245.3365028385545</v>
      </c>
      <c r="T3" s="84">
        <v>989.64188871757358</v>
      </c>
      <c r="U3" s="85">
        <v>1296.1845655483055</v>
      </c>
      <c r="V3" s="84">
        <v>988.65103162335629</v>
      </c>
      <c r="W3" s="85">
        <v>1355.7910491216212</v>
      </c>
      <c r="X3" s="84">
        <v>987.71479646519663</v>
      </c>
      <c r="Y3" s="85">
        <v>1427.0392802182312</v>
      </c>
      <c r="Z3" s="84">
        <v>986.86104876264801</v>
      </c>
      <c r="AA3" s="85">
        <v>1514.323690866443</v>
      </c>
      <c r="AB3" s="84">
        <v>986.14070379944303</v>
      </c>
      <c r="AC3" s="85">
        <v>1624.7179359329571</v>
      </c>
      <c r="AD3" s="84">
        <v>985.64694287045415</v>
      </c>
      <c r="AE3" s="85">
        <v>1770.4233042246176</v>
      </c>
      <c r="AF3" s="84">
        <v>985.55114337602527</v>
      </c>
      <c r="AG3" s="85">
        <v>1974.4499342999422</v>
      </c>
      <c r="AH3" s="84">
        <v>986.1638380510451</v>
      </c>
      <c r="AI3" s="85">
        <v>2285.6328591612883</v>
      </c>
      <c r="AJ3" s="84">
        <v>987.9928881605756</v>
      </c>
      <c r="AK3" s="85">
        <v>2825.9485662605152</v>
      </c>
      <c r="AL3" s="84">
        <v>991.54817873506352</v>
      </c>
      <c r="AM3" s="85">
        <v>3987.7063209194448</v>
      </c>
      <c r="AN3" s="84">
        <v>996.01722036876856</v>
      </c>
      <c r="AO3" s="85">
        <v>7941.0312847860678</v>
      </c>
      <c r="AP3" s="84">
        <v>996.60032869484417</v>
      </c>
      <c r="AQ3" s="85">
        <v>10127.218990901472</v>
      </c>
      <c r="AR3" s="84">
        <v>996.77473916061058</v>
      </c>
      <c r="AS3" s="85">
        <v>14036.604903676531</v>
      </c>
      <c r="AT3" s="84">
        <v>996.07724627339508</v>
      </c>
      <c r="AU3" s="85">
        <v>22718.382531726431</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998.65589445795626</v>
      </c>
      <c r="E5" s="42">
        <v>1018.4908691660984</v>
      </c>
      <c r="F5" s="41">
        <v>997.35033911482492</v>
      </c>
      <c r="G5" s="42">
        <v>1038.1589999766259</v>
      </c>
      <c r="H5" s="41">
        <v>996.08043834316732</v>
      </c>
      <c r="I5" s="42">
        <v>1059.1457924542708</v>
      </c>
      <c r="J5" s="41">
        <v>994.84356154321688</v>
      </c>
      <c r="K5" s="42">
        <v>1081.6165826011299</v>
      </c>
      <c r="L5" s="41">
        <v>993.63746800428726</v>
      </c>
      <c r="M5" s="42">
        <v>1105.7657124682703</v>
      </c>
      <c r="N5" s="41">
        <v>992.46053784894889</v>
      </c>
      <c r="O5" s="42">
        <v>1131.8233489353231</v>
      </c>
      <c r="P5" s="41">
        <v>991.31212901423169</v>
      </c>
      <c r="Q5" s="42">
        <v>1160.0629951134806</v>
      </c>
      <c r="R5" s="41">
        <v>990.19320844471224</v>
      </c>
      <c r="S5" s="42">
        <v>1190.8118217413091</v>
      </c>
      <c r="T5" s="41">
        <v>989.1074133710016</v>
      </c>
      <c r="U5" s="42">
        <v>1224.4622111210413</v>
      </c>
      <c r="V5" s="41">
        <v>988.06289279786176</v>
      </c>
      <c r="W5" s="42">
        <v>1261.4846787954743</v>
      </c>
      <c r="X5" s="41">
        <v>987.07554001655524</v>
      </c>
      <c r="Y5" s="42">
        <v>1302.4399156112599</v>
      </c>
      <c r="Z5" s="41">
        <v>986.17482803717348</v>
      </c>
      <c r="AA5" s="42">
        <v>1347.9824301173242</v>
      </c>
      <c r="AB5" s="41">
        <v>985.41459649789488</v>
      </c>
      <c r="AC5" s="42">
        <v>1398.8355716800399</v>
      </c>
      <c r="AD5" s="41">
        <v>984.89335712586444</v>
      </c>
      <c r="AE5" s="42">
        <v>1455.6828465324431</v>
      </c>
      <c r="AF5" s="41">
        <v>984.79221322763067</v>
      </c>
      <c r="AG5" s="42">
        <v>1518.8289011776644</v>
      </c>
      <c r="AH5" s="41">
        <v>985.43901544264429</v>
      </c>
      <c r="AI5" s="42">
        <v>1587.2544489524901</v>
      </c>
      <c r="AJ5" s="41">
        <v>987.36885718700546</v>
      </c>
      <c r="AK5" s="42">
        <v>1656.3349766034792</v>
      </c>
      <c r="AL5" s="41">
        <v>991.11568850832748</v>
      </c>
      <c r="AM5" s="42">
        <v>1714.3748675043212</v>
      </c>
      <c r="AN5" s="41">
        <v>995.81738890892905</v>
      </c>
      <c r="AO5" s="42">
        <v>1745.3883265349114</v>
      </c>
      <c r="AP5" s="41">
        <v>996.43019399833258</v>
      </c>
      <c r="AQ5" s="42">
        <v>1747.8063653096012</v>
      </c>
      <c r="AR5" s="41">
        <v>996.61345748111694</v>
      </c>
      <c r="AS5" s="42">
        <v>1749.2180515231069</v>
      </c>
      <c r="AT5" s="41">
        <v>995.88047883419154</v>
      </c>
      <c r="AU5" s="42">
        <v>1749.8683369653695</v>
      </c>
      <c r="AV5" s="41"/>
      <c r="AW5" s="42"/>
    </row>
    <row r="6" spans="1:49" x14ac:dyDescent="0.2">
      <c r="A6" t="s">
        <v>77</v>
      </c>
      <c r="B6" s="41">
        <v>999.99999999999943</v>
      </c>
      <c r="C6" s="42">
        <v>999.99999999999909</v>
      </c>
      <c r="D6" s="41">
        <v>998.55323252128767</v>
      </c>
      <c r="E6" s="42">
        <v>1022.9290720739017</v>
      </c>
      <c r="F6" s="41">
        <v>997.14824450038327</v>
      </c>
      <c r="G6" s="42">
        <v>1047.7714387653416</v>
      </c>
      <c r="H6" s="41">
        <v>995.78189565183834</v>
      </c>
      <c r="I6" s="42">
        <v>1074.833730433958</v>
      </c>
      <c r="J6" s="41">
        <v>994.45133397986388</v>
      </c>
      <c r="K6" s="42">
        <v>1104.4960797309147</v>
      </c>
      <c r="L6" s="41">
        <v>993.15412955043507</v>
      </c>
      <c r="M6" s="42">
        <v>1137.2364845697898</v>
      </c>
      <c r="N6" s="41">
        <v>991.88852215677014</v>
      </c>
      <c r="O6" s="42">
        <v>1173.6660765103782</v>
      </c>
      <c r="P6" s="41">
        <v>990.65380455903755</v>
      </c>
      <c r="Q6" s="42">
        <v>1214.5805591516123</v>
      </c>
      <c r="R6" s="41">
        <v>989.45099989923165</v>
      </c>
      <c r="S6" s="42">
        <v>1261.038769217163</v>
      </c>
      <c r="T6" s="41">
        <v>988.28400078506945</v>
      </c>
      <c r="U6" s="42">
        <v>1314.4856633847023</v>
      </c>
      <c r="V6" s="41">
        <v>987.16154575796679</v>
      </c>
      <c r="W6" s="42">
        <v>1376.9532910505782</v>
      </c>
      <c r="X6" s="41">
        <v>986.10068870182727</v>
      </c>
      <c r="Y6" s="42">
        <v>1451.4041835886374</v>
      </c>
      <c r="Z6" s="41">
        <v>985.13306210744486</v>
      </c>
      <c r="AA6" s="42">
        <v>1542.3518122401817</v>
      </c>
      <c r="AB6" s="41">
        <v>984.31645600241438</v>
      </c>
      <c r="AC6" s="42">
        <v>1657.0588220443074</v>
      </c>
      <c r="AD6" s="41">
        <v>983.75661921819824</v>
      </c>
      <c r="AE6" s="42">
        <v>1808.0480984079327</v>
      </c>
      <c r="AF6" s="41">
        <v>983.64799085043353</v>
      </c>
      <c r="AG6" s="42">
        <v>2018.9284059140848</v>
      </c>
      <c r="AH6" s="41">
        <v>984.34268424656307</v>
      </c>
      <c r="AI6" s="42">
        <v>2339.7905295844139</v>
      </c>
      <c r="AJ6" s="41">
        <v>986.41582539243177</v>
      </c>
      <c r="AK6" s="42">
        <v>2895.722194943402</v>
      </c>
      <c r="AL6" s="41">
        <v>990.44262226272156</v>
      </c>
      <c r="AM6" s="42">
        <v>4089.0321830810117</v>
      </c>
      <c r="AN6" s="41">
        <v>995.49890097566174</v>
      </c>
      <c r="AO6" s="42">
        <v>8145.562689470913</v>
      </c>
      <c r="AP6" s="41">
        <v>996.15818852842949</v>
      </c>
      <c r="AQ6" s="42">
        <v>10388.322009054444</v>
      </c>
      <c r="AR6" s="41">
        <v>996.35536490693585</v>
      </c>
      <c r="AS6" s="42">
        <v>14398.713239517279</v>
      </c>
      <c r="AT6" s="41">
        <v>995.56677354191754</v>
      </c>
      <c r="AU6" s="42">
        <v>23304.616373012846</v>
      </c>
      <c r="AV6" s="41"/>
      <c r="AW6" s="42"/>
    </row>
    <row r="7" spans="1:49" x14ac:dyDescent="0.2">
      <c r="A7" t="s">
        <v>13</v>
      </c>
      <c r="B7" s="33">
        <v>1015.9116825427475</v>
      </c>
      <c r="C7" s="34">
        <v>1015.9116825427475</v>
      </c>
      <c r="D7" s="33">
        <v>1014.5461900200147</v>
      </c>
      <c r="E7" s="34">
        <v>1014.5461900200147</v>
      </c>
      <c r="F7" s="33">
        <v>1013.2198610947215</v>
      </c>
      <c r="G7" s="34">
        <v>1013.2198610947215</v>
      </c>
      <c r="H7" s="33">
        <v>1011.9297540651245</v>
      </c>
      <c r="I7" s="34">
        <v>1011.9297540651245</v>
      </c>
      <c r="J7" s="33">
        <v>1010.6731964741888</v>
      </c>
      <c r="K7" s="34">
        <v>1010.6731964741888</v>
      </c>
      <c r="L7" s="33">
        <v>1009.4479119577509</v>
      </c>
      <c r="M7" s="34">
        <v>1009.4479119577509</v>
      </c>
      <c r="N7" s="33">
        <v>1008.2522548634057</v>
      </c>
      <c r="O7" s="34">
        <v>1008.2522548634057</v>
      </c>
      <c r="P7" s="33">
        <v>1007.0855729118813</v>
      </c>
      <c r="Q7" s="34">
        <v>1007.0855729118813</v>
      </c>
      <c r="R7" s="33">
        <v>1005.948848433469</v>
      </c>
      <c r="S7" s="34">
        <v>1005.948848433469</v>
      </c>
      <c r="T7" s="33">
        <v>1004.845776533239</v>
      </c>
      <c r="U7" s="34">
        <v>1004.845776533239</v>
      </c>
      <c r="V7" s="33">
        <v>1003.78463588033</v>
      </c>
      <c r="W7" s="34">
        <v>1003.78463588033</v>
      </c>
      <c r="X7" s="33">
        <v>1002.7815726550097</v>
      </c>
      <c r="Y7" s="34">
        <v>1002.7815726550097</v>
      </c>
      <c r="Z7" s="33">
        <v>1001.8665288325495</v>
      </c>
      <c r="AA7" s="34">
        <v>1001.8665288325495</v>
      </c>
      <c r="AB7" s="33">
        <v>1001.0942007303589</v>
      </c>
      <c r="AC7" s="34">
        <v>1001.0942007303589</v>
      </c>
      <c r="AD7" s="33">
        <v>1000.5646675629119</v>
      </c>
      <c r="AE7" s="34">
        <v>1000.5646675629119</v>
      </c>
      <c r="AF7" s="33">
        <v>1000.4619142950784</v>
      </c>
      <c r="AG7" s="34">
        <v>1000.4619142950784</v>
      </c>
      <c r="AH7" s="33">
        <v>1001.1190082216052</v>
      </c>
      <c r="AI7" s="34">
        <v>1001.1190082216052</v>
      </c>
      <c r="AJ7" s="33">
        <v>1003.0795569951604</v>
      </c>
      <c r="AK7" s="34">
        <v>1003.0795569951604</v>
      </c>
      <c r="AL7" s="33">
        <v>1006.8860067070085</v>
      </c>
      <c r="AM7" s="34">
        <v>1006.8860067070085</v>
      </c>
      <c r="AN7" s="33">
        <v>1011.6625190717956</v>
      </c>
      <c r="AO7" s="34">
        <v>1011.6625190717956</v>
      </c>
      <c r="AP7" s="33">
        <v>1012.2850749212423</v>
      </c>
      <c r="AQ7" s="34">
        <v>1012.2850749212423</v>
      </c>
      <c r="AR7" s="33">
        <v>1012.4712544343864</v>
      </c>
      <c r="AS7" s="34">
        <v>1012.4712544343864</v>
      </c>
      <c r="AT7" s="33">
        <v>1011.7266128639205</v>
      </c>
      <c r="AU7" s="34">
        <v>1011.7266128639205</v>
      </c>
      <c r="AV7" s="33"/>
      <c r="AW7" s="34"/>
    </row>
    <row r="8" spans="1:49" x14ac:dyDescent="0.2">
      <c r="B8" s="35">
        <v>1005.7716594496609</v>
      </c>
      <c r="C8" s="36">
        <v>1005.7716594496609</v>
      </c>
      <c r="D8" s="35">
        <v>1059.0850592585573</v>
      </c>
      <c r="E8" s="36">
        <v>1059.0850592585573</v>
      </c>
      <c r="F8" s="35">
        <v>1118.263255149742</v>
      </c>
      <c r="G8" s="36">
        <v>1118.263255149742</v>
      </c>
      <c r="H8" s="35">
        <v>1184.3563304351378</v>
      </c>
      <c r="I8" s="36">
        <v>1184.3563304351378</v>
      </c>
      <c r="J8" s="35">
        <v>1258.6824720087818</v>
      </c>
      <c r="K8" s="36">
        <v>1258.6824720087818</v>
      </c>
      <c r="L8" s="35">
        <v>1342.9206286983956</v>
      </c>
      <c r="M8" s="36">
        <v>1342.9206286983956</v>
      </c>
      <c r="N8" s="35">
        <v>1439.2457090631844</v>
      </c>
      <c r="O8" s="36">
        <v>1439.2457090631844</v>
      </c>
      <c r="P8" s="35">
        <v>1550.5281034006146</v>
      </c>
      <c r="Q8" s="36">
        <v>1550.5281034006146</v>
      </c>
      <c r="R8" s="35">
        <v>1680.6411433137855</v>
      </c>
      <c r="S8" s="36">
        <v>1680.6411433137855</v>
      </c>
      <c r="T8" s="35">
        <v>1834.9480801129487</v>
      </c>
      <c r="U8" s="36">
        <v>1834.9480801129487</v>
      </c>
      <c r="V8" s="35">
        <v>2021.1070182781298</v>
      </c>
      <c r="W8" s="36">
        <v>2021.1070182781298</v>
      </c>
      <c r="X8" s="35">
        <v>2250.4648141001771</v>
      </c>
      <c r="Y8" s="36">
        <v>2250.4648141001771</v>
      </c>
      <c r="Z8" s="35">
        <v>2540.6131430301562</v>
      </c>
      <c r="AA8" s="36">
        <v>2540.6131430301562</v>
      </c>
      <c r="AB8" s="35">
        <v>2920.4107052623535</v>
      </c>
      <c r="AC8" s="36">
        <v>2920.4107052623535</v>
      </c>
      <c r="AD8" s="35">
        <v>3440.7286172702247</v>
      </c>
      <c r="AE8" s="36">
        <v>3440.7286172702247</v>
      </c>
      <c r="AF8" s="35">
        <v>4200.0338796282267</v>
      </c>
      <c r="AG8" s="36">
        <v>4200.0338796282267</v>
      </c>
      <c r="AH8" s="35">
        <v>5414.2901964464727</v>
      </c>
      <c r="AI8" s="36">
        <v>5414.2901964464727</v>
      </c>
      <c r="AJ8" s="35">
        <v>7646.9523421399144</v>
      </c>
      <c r="AK8" s="36">
        <v>7646.9523421399144</v>
      </c>
      <c r="AL8" s="35">
        <v>12819.252047044793</v>
      </c>
      <c r="AM8" s="36">
        <v>12819.252047044793</v>
      </c>
      <c r="AN8" s="35">
        <v>32385.285620102808</v>
      </c>
      <c r="AO8" s="36">
        <v>32385.285620102808</v>
      </c>
      <c r="AP8" s="35">
        <v>43886.611353252301</v>
      </c>
      <c r="AQ8" s="36">
        <v>43886.611353252301</v>
      </c>
      <c r="AR8" s="35">
        <v>65099.088602747877</v>
      </c>
      <c r="AS8" s="36">
        <v>65099.088602747877</v>
      </c>
      <c r="AT8" s="35">
        <v>113885.70425446623</v>
      </c>
      <c r="AU8" s="36">
        <v>113885.70425446623</v>
      </c>
      <c r="AV8" s="35"/>
      <c r="AW8" s="36"/>
    </row>
    <row r="9" spans="1:49" x14ac:dyDescent="0.2">
      <c r="A9" t="s">
        <v>14</v>
      </c>
      <c r="B9" s="41">
        <v>1015.9116825427475</v>
      </c>
      <c r="C9" s="42">
        <v>1005.7716594496609</v>
      </c>
      <c r="D9" s="41">
        <v>1014.5461900200147</v>
      </c>
      <c r="E9" s="42">
        <v>1059.0850592585573</v>
      </c>
      <c r="F9" s="41">
        <v>1013.2198610947215</v>
      </c>
      <c r="G9" s="42">
        <v>1118.263255149742</v>
      </c>
      <c r="H9" s="41">
        <v>1011.9297540651245</v>
      </c>
      <c r="I9" s="42">
        <v>1184.3563304351378</v>
      </c>
      <c r="J9" s="41">
        <v>1010.6731964741888</v>
      </c>
      <c r="K9" s="42">
        <v>1258.6824720087818</v>
      </c>
      <c r="L9" s="41">
        <v>1009.4479119577509</v>
      </c>
      <c r="M9" s="42">
        <v>1342.9206286983956</v>
      </c>
      <c r="N9" s="41">
        <v>1008.2522548634057</v>
      </c>
      <c r="O9" s="42">
        <v>1439.2457090631844</v>
      </c>
      <c r="P9" s="41">
        <v>1007.0855729118813</v>
      </c>
      <c r="Q9" s="42">
        <v>1550.5281034006146</v>
      </c>
      <c r="R9" s="41">
        <v>1005.948848433469</v>
      </c>
      <c r="S9" s="42">
        <v>1680.6411433137855</v>
      </c>
      <c r="T9" s="41">
        <v>1004.845776533239</v>
      </c>
      <c r="U9" s="42">
        <v>1834.9480801129487</v>
      </c>
      <c r="V9" s="41">
        <v>1003.78463588033</v>
      </c>
      <c r="W9" s="42">
        <v>2021.1070182781298</v>
      </c>
      <c r="X9" s="41">
        <v>1002.7815726550097</v>
      </c>
      <c r="Y9" s="42">
        <v>2250.4648141001771</v>
      </c>
      <c r="Z9" s="41">
        <v>1001.8665288325495</v>
      </c>
      <c r="AA9" s="42">
        <v>2540.6131430301562</v>
      </c>
      <c r="AB9" s="41">
        <v>1001.0942007303589</v>
      </c>
      <c r="AC9" s="42">
        <v>2920.4107052623535</v>
      </c>
      <c r="AD9" s="41">
        <v>1000.5646675629119</v>
      </c>
      <c r="AE9" s="42">
        <v>3440.7286172702247</v>
      </c>
      <c r="AF9" s="41">
        <v>1000.4619142950784</v>
      </c>
      <c r="AG9" s="42">
        <v>4200.0338796282267</v>
      </c>
      <c r="AH9" s="41">
        <v>1001.1190082216052</v>
      </c>
      <c r="AI9" s="42">
        <v>5414.2901964464727</v>
      </c>
      <c r="AJ9" s="41">
        <v>1003.0795569951604</v>
      </c>
      <c r="AK9" s="42">
        <v>7646.9523421399144</v>
      </c>
      <c r="AL9" s="41">
        <v>1006.8860067070085</v>
      </c>
      <c r="AM9" s="42">
        <v>12819.252047044793</v>
      </c>
      <c r="AN9" s="41">
        <v>1011.6625190717956</v>
      </c>
      <c r="AO9" s="42">
        <v>32385.285620102808</v>
      </c>
      <c r="AP9" s="41">
        <v>1012.2850749212423</v>
      </c>
      <c r="AQ9" s="42">
        <v>43886.611353252301</v>
      </c>
      <c r="AR9" s="41">
        <v>1012.4712544343864</v>
      </c>
      <c r="AS9" s="42">
        <v>65099.088602747877</v>
      </c>
      <c r="AT9" s="41">
        <v>1011.7266128639205</v>
      </c>
      <c r="AU9" s="42">
        <v>113885.70425446623</v>
      </c>
      <c r="AV9" s="41"/>
      <c r="AW9" s="42"/>
    </row>
    <row r="10" spans="1:49" x14ac:dyDescent="0.2">
      <c r="A10" t="s">
        <v>15</v>
      </c>
      <c r="B10" s="41">
        <v>1015.9116825427475</v>
      </c>
      <c r="C10" s="42">
        <v>1005.7716594496609</v>
      </c>
      <c r="D10" s="41">
        <v>1014.5461900200147</v>
      </c>
      <c r="E10" s="42">
        <v>1059.0850592585573</v>
      </c>
      <c r="F10" s="41">
        <v>1013.2198610947215</v>
      </c>
      <c r="G10" s="42">
        <v>1118.263255149742</v>
      </c>
      <c r="H10" s="41">
        <v>1011.9297540651245</v>
      </c>
      <c r="I10" s="42">
        <v>1184.3563304351378</v>
      </c>
      <c r="J10" s="41">
        <v>1010.6731964741888</v>
      </c>
      <c r="K10" s="42">
        <v>1258.6824720087818</v>
      </c>
      <c r="L10" s="41">
        <v>1009.4479119577509</v>
      </c>
      <c r="M10" s="42">
        <v>1342.9206286983956</v>
      </c>
      <c r="N10" s="41">
        <v>1008.2522548634057</v>
      </c>
      <c r="O10" s="42">
        <v>1439.2457090631844</v>
      </c>
      <c r="P10" s="41">
        <v>1007.0855729118813</v>
      </c>
      <c r="Q10" s="42">
        <v>1550.5281034006146</v>
      </c>
      <c r="R10" s="41">
        <v>1005.948848433469</v>
      </c>
      <c r="S10" s="42">
        <v>1680.6411433137855</v>
      </c>
      <c r="T10" s="41">
        <v>1004.845776533239</v>
      </c>
      <c r="U10" s="42">
        <v>1834.9480801129487</v>
      </c>
      <c r="V10" s="41">
        <v>1003.78463588033</v>
      </c>
      <c r="W10" s="42">
        <v>2021.1070182781298</v>
      </c>
      <c r="X10" s="41">
        <v>1002.7815726550097</v>
      </c>
      <c r="Y10" s="42">
        <v>2250.4648141001771</v>
      </c>
      <c r="Z10" s="41">
        <v>1001.8665288325495</v>
      </c>
      <c r="AA10" s="42">
        <v>2540.6131430301562</v>
      </c>
      <c r="AB10" s="41">
        <v>1001.0942007303589</v>
      </c>
      <c r="AC10" s="42">
        <v>2920.4107052623535</v>
      </c>
      <c r="AD10" s="41">
        <v>1000.5646675629119</v>
      </c>
      <c r="AE10" s="42">
        <v>3440.7286172702247</v>
      </c>
      <c r="AF10" s="41">
        <v>1000.4619142950784</v>
      </c>
      <c r="AG10" s="42">
        <v>4200.0338796282267</v>
      </c>
      <c r="AH10" s="41">
        <v>1001.1190082216052</v>
      </c>
      <c r="AI10" s="42">
        <v>5414.2901964464727</v>
      </c>
      <c r="AJ10" s="41">
        <v>1003.0795569951604</v>
      </c>
      <c r="AK10" s="42">
        <v>7646.9523421399144</v>
      </c>
      <c r="AL10" s="41">
        <v>1006.8860067070085</v>
      </c>
      <c r="AM10" s="42">
        <v>12819.252047044793</v>
      </c>
      <c r="AN10" s="41">
        <v>1011.6625190717956</v>
      </c>
      <c r="AO10" s="42">
        <v>32385.285620102808</v>
      </c>
      <c r="AP10" s="41">
        <v>1012.2850749212423</v>
      </c>
      <c r="AQ10" s="42">
        <v>43886.611353252301</v>
      </c>
      <c r="AR10" s="41">
        <v>1012.4712544343864</v>
      </c>
      <c r="AS10" s="42">
        <v>65099.088602747877</v>
      </c>
      <c r="AT10" s="41">
        <v>1011.7266128639205</v>
      </c>
      <c r="AU10" s="42">
        <v>113885.70425446623</v>
      </c>
      <c r="AV10" s="41"/>
      <c r="AW10" s="42"/>
    </row>
    <row r="11" spans="1:49" x14ac:dyDescent="0.2">
      <c r="A11" t="s">
        <v>29</v>
      </c>
      <c r="B11" s="41">
        <v>1015.9116825427475</v>
      </c>
      <c r="C11" s="42">
        <v>1005.7716594496609</v>
      </c>
      <c r="D11" s="41">
        <v>1014.5461900200147</v>
      </c>
      <c r="E11" s="42">
        <v>1059.0850592585573</v>
      </c>
      <c r="F11" s="41">
        <v>1013.2198610947215</v>
      </c>
      <c r="G11" s="42">
        <v>1118.263255149742</v>
      </c>
      <c r="H11" s="41">
        <v>1011.9297540651245</v>
      </c>
      <c r="I11" s="42">
        <v>1184.3563304351378</v>
      </c>
      <c r="J11" s="41">
        <v>1010.6731964741888</v>
      </c>
      <c r="K11" s="42">
        <v>1258.6824720087818</v>
      </c>
      <c r="L11" s="41">
        <v>1009.4479119577509</v>
      </c>
      <c r="M11" s="42">
        <v>1342.9206286983956</v>
      </c>
      <c r="N11" s="41">
        <v>1008.2522548634057</v>
      </c>
      <c r="O11" s="42">
        <v>1439.2457090631844</v>
      </c>
      <c r="P11" s="41">
        <v>1007.0855729118813</v>
      </c>
      <c r="Q11" s="42">
        <v>1550.5281034006146</v>
      </c>
      <c r="R11" s="41">
        <v>1005.948848433469</v>
      </c>
      <c r="S11" s="42">
        <v>1680.6411433137855</v>
      </c>
      <c r="T11" s="41">
        <v>1004.845776533239</v>
      </c>
      <c r="U11" s="42">
        <v>1834.9480801129487</v>
      </c>
      <c r="V11" s="41">
        <v>1003.78463588033</v>
      </c>
      <c r="W11" s="42">
        <v>2021.1070182781298</v>
      </c>
      <c r="X11" s="41">
        <v>1002.7815726550097</v>
      </c>
      <c r="Y11" s="42">
        <v>2250.4648141001771</v>
      </c>
      <c r="Z11" s="41">
        <v>1001.8665288325495</v>
      </c>
      <c r="AA11" s="42">
        <v>2540.6131430301562</v>
      </c>
      <c r="AB11" s="41">
        <v>1001.0942007303589</v>
      </c>
      <c r="AC11" s="42">
        <v>2920.4107052623535</v>
      </c>
      <c r="AD11" s="41">
        <v>1000.5646675629119</v>
      </c>
      <c r="AE11" s="42">
        <v>3440.7286172702247</v>
      </c>
      <c r="AF11" s="41">
        <v>1000.4619142950784</v>
      </c>
      <c r="AG11" s="42">
        <v>4200.0338796282267</v>
      </c>
      <c r="AH11" s="41">
        <v>1001.1190082216052</v>
      </c>
      <c r="AI11" s="42">
        <v>5414.2901964464727</v>
      </c>
      <c r="AJ11" s="41">
        <v>1003.0795569951604</v>
      </c>
      <c r="AK11" s="42">
        <v>7646.9523421399144</v>
      </c>
      <c r="AL11" s="41">
        <v>1006.8860067070085</v>
      </c>
      <c r="AM11" s="42">
        <v>12819.252047044793</v>
      </c>
      <c r="AN11" s="41">
        <v>1011.6625190717956</v>
      </c>
      <c r="AO11" s="42">
        <v>32385.285620102808</v>
      </c>
      <c r="AP11" s="41">
        <v>1012.2850749212423</v>
      </c>
      <c r="AQ11" s="42">
        <v>43886.611353252301</v>
      </c>
      <c r="AR11" s="41">
        <v>1012.4712544343864</v>
      </c>
      <c r="AS11" s="42">
        <v>65099.088602747877</v>
      </c>
      <c r="AT11" s="41">
        <v>1011.7266128639205</v>
      </c>
      <c r="AU11" s="42">
        <v>113885.70425446623</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972.78629002623438</v>
      </c>
      <c r="E13" s="98">
        <v>972.78629002623438</v>
      </c>
      <c r="F13" s="97">
        <v>945.57610652430333</v>
      </c>
      <c r="G13" s="98">
        <v>945.57610652430333</v>
      </c>
      <c r="H13" s="97">
        <v>918.31861291219116</v>
      </c>
      <c r="I13" s="98">
        <v>918.31861291219116</v>
      </c>
      <c r="J13" s="97">
        <v>890.95666715479763</v>
      </c>
      <c r="K13" s="98">
        <v>890.95666715479763</v>
      </c>
      <c r="L13" s="97">
        <v>863.42436018785304</v>
      </c>
      <c r="M13" s="98">
        <v>863.42436018785304</v>
      </c>
      <c r="N13" s="97">
        <v>835.6434598235162</v>
      </c>
      <c r="O13" s="98">
        <v>835.6434598235162</v>
      </c>
      <c r="P13" s="97">
        <v>807.51855943201804</v>
      </c>
      <c r="Q13" s="98">
        <v>807.51855943201804</v>
      </c>
      <c r="R13" s="97">
        <v>778.92934758351544</v>
      </c>
      <c r="S13" s="98">
        <v>778.92934758351544</v>
      </c>
      <c r="T13" s="97">
        <v>749.71918487955554</v>
      </c>
      <c r="U13" s="98">
        <v>749.71918487955554</v>
      </c>
      <c r="V13" s="97">
        <v>719.67670302307772</v>
      </c>
      <c r="W13" s="98">
        <v>719.67670302307772</v>
      </c>
      <c r="X13" s="97">
        <v>688.5049825118258</v>
      </c>
      <c r="Y13" s="98">
        <v>688.5049825118258</v>
      </c>
      <c r="Z13" s="97">
        <v>655.76814265165285</v>
      </c>
      <c r="AA13" s="98">
        <v>655.76814265165285</v>
      </c>
      <c r="AB13" s="97">
        <v>620.79397468350805</v>
      </c>
      <c r="AC13" s="98">
        <v>620.79397468350805</v>
      </c>
      <c r="AD13" s="97">
        <v>582.48704257825227</v>
      </c>
      <c r="AE13" s="98">
        <v>582.48704257825227</v>
      </c>
      <c r="AF13" s="97">
        <v>538.95163173509025</v>
      </c>
      <c r="AG13" s="98">
        <v>538.95163173509025</v>
      </c>
      <c r="AH13" s="97">
        <v>486.70299682090138</v>
      </c>
      <c r="AI13" s="98">
        <v>486.70299682090138</v>
      </c>
      <c r="AJ13" s="97">
        <v>419.01193313852542</v>
      </c>
      <c r="AK13" s="98">
        <v>419.01193313852542</v>
      </c>
      <c r="AL13" s="97">
        <v>322.36009802186703</v>
      </c>
      <c r="AM13" s="98">
        <v>322.36009802186703</v>
      </c>
      <c r="AN13" s="97">
        <v>163.36792803794961</v>
      </c>
      <c r="AO13" s="98">
        <v>163.36792803794961</v>
      </c>
      <c r="AP13" s="97">
        <v>116.18963349164702</v>
      </c>
      <c r="AQ13" s="98">
        <v>116.18963349164702</v>
      </c>
      <c r="AR13" s="97">
        <v>60.531255716759297</v>
      </c>
      <c r="AS13" s="98">
        <v>60.531255716759297</v>
      </c>
      <c r="AT13" s="97">
        <v>2.8216449550779927</v>
      </c>
      <c r="AU13" s="98">
        <v>2.8216449550779927</v>
      </c>
      <c r="AV13" s="97"/>
      <c r="AW13" s="98"/>
    </row>
    <row r="14" spans="1:49" x14ac:dyDescent="0.2">
      <c r="A14" t="s">
        <v>36</v>
      </c>
      <c r="B14" s="41">
        <v>1457.0034251455234</v>
      </c>
      <c r="C14" s="42">
        <v>1457.0034251455236</v>
      </c>
      <c r="D14" s="41">
        <v>1417.3529565028298</v>
      </c>
      <c r="E14" s="42">
        <v>1417.35295650283</v>
      </c>
      <c r="F14" s="41">
        <v>1377.7076259416781</v>
      </c>
      <c r="G14" s="42">
        <v>1377.7076259416783</v>
      </c>
      <c r="H14" s="41">
        <v>1337.9933643879485</v>
      </c>
      <c r="I14" s="42">
        <v>1337.9933643879488</v>
      </c>
      <c r="J14" s="41">
        <v>1298.12691570078</v>
      </c>
      <c r="K14" s="42">
        <v>1298.1269157007803</v>
      </c>
      <c r="L14" s="41">
        <v>1258.0122501477838</v>
      </c>
      <c r="M14" s="42">
        <v>1258.012250147784</v>
      </c>
      <c r="N14" s="41">
        <v>1217.5353831633186</v>
      </c>
      <c r="O14" s="42">
        <v>1217.5353831633188</v>
      </c>
      <c r="P14" s="41">
        <v>1176.5573069610291</v>
      </c>
      <c r="Q14" s="42">
        <v>1176.5573069610293</v>
      </c>
      <c r="R14" s="41">
        <v>1134.9027273755498</v>
      </c>
      <c r="S14" s="42">
        <v>1134.9027273755501</v>
      </c>
      <c r="T14" s="41">
        <v>1092.3434202668222</v>
      </c>
      <c r="U14" s="42">
        <v>1092.3434202668225</v>
      </c>
      <c r="V14" s="41">
        <v>1048.5714213020617</v>
      </c>
      <c r="W14" s="42">
        <v>1048.5714213020619</v>
      </c>
      <c r="X14" s="41">
        <v>1003.1541177494888</v>
      </c>
      <c r="Y14" s="42">
        <v>1003.1541177494889</v>
      </c>
      <c r="Z14" s="41">
        <v>955.45642994477635</v>
      </c>
      <c r="AA14" s="42">
        <v>955.45642994477646</v>
      </c>
      <c r="AB14" s="41">
        <v>904.49894742357446</v>
      </c>
      <c r="AC14" s="42">
        <v>904.49894742357469</v>
      </c>
      <c r="AD14" s="41">
        <v>848.68561613939983</v>
      </c>
      <c r="AE14" s="42">
        <v>848.68561613939994</v>
      </c>
      <c r="AF14" s="41">
        <v>785.25437342579517</v>
      </c>
      <c r="AG14" s="42">
        <v>785.25437342579528</v>
      </c>
      <c r="AH14" s="41">
        <v>709.12793339664404</v>
      </c>
      <c r="AI14" s="42">
        <v>709.12793339664415</v>
      </c>
      <c r="AJ14" s="41">
        <v>610.50182175967848</v>
      </c>
      <c r="AK14" s="42">
        <v>610.50182175967859</v>
      </c>
      <c r="AL14" s="41">
        <v>469.67976694810687</v>
      </c>
      <c r="AM14" s="42">
        <v>469.67976694810699</v>
      </c>
      <c r="AN14" s="41">
        <v>238.02763071021994</v>
      </c>
      <c r="AO14" s="42">
        <v>238.02763071022</v>
      </c>
      <c r="AP14" s="41">
        <v>169.2886939637327</v>
      </c>
      <c r="AQ14" s="42">
        <v>169.28869396373273</v>
      </c>
      <c r="AR14" s="41">
        <v>88.194246907677837</v>
      </c>
      <c r="AS14" s="42">
        <v>88.194246907677851</v>
      </c>
      <c r="AT14" s="41">
        <v>4.111146364093222</v>
      </c>
      <c r="AU14" s="42">
        <v>4.111146364093222</v>
      </c>
      <c r="AV14" s="41"/>
      <c r="AW14" s="42"/>
    </row>
    <row r="15" spans="1:49" x14ac:dyDescent="0.2">
      <c r="A15" t="s">
        <v>18</v>
      </c>
      <c r="B15" s="154">
        <v>1000</v>
      </c>
      <c r="C15" s="155">
        <v>1000</v>
      </c>
      <c r="D15" s="154">
        <v>1023.7492604728749</v>
      </c>
      <c r="E15" s="155">
        <v>1023.7492604728749</v>
      </c>
      <c r="F15" s="154">
        <v>1047.7719922329441</v>
      </c>
      <c r="G15" s="155">
        <v>1047.7719922329441</v>
      </c>
      <c r="H15" s="154">
        <v>1072.1042108736574</v>
      </c>
      <c r="I15" s="155">
        <v>1072.1042108736574</v>
      </c>
      <c r="J15" s="154">
        <v>1096.788757730131</v>
      </c>
      <c r="K15" s="155">
        <v>1096.788757730131</v>
      </c>
      <c r="L15" s="154">
        <v>1121.877892631265</v>
      </c>
      <c r="M15" s="155">
        <v>1121.877892631265</v>
      </c>
      <c r="N15" s="154">
        <v>1147.4371356660847</v>
      </c>
      <c r="O15" s="155">
        <v>1147.4371356660847</v>
      </c>
      <c r="P15" s="154">
        <v>1173.5512483894386</v>
      </c>
      <c r="Q15" s="155">
        <v>1173.5512483894386</v>
      </c>
      <c r="R15" s="154">
        <v>1200.3337076685393</v>
      </c>
      <c r="S15" s="155">
        <v>1200.3337076685393</v>
      </c>
      <c r="T15" s="154">
        <v>1227.9415541611097</v>
      </c>
      <c r="U15" s="155">
        <v>1227.9415541611097</v>
      </c>
      <c r="V15" s="154">
        <v>1256.6002704883613</v>
      </c>
      <c r="W15" s="155">
        <v>1256.6002704883613</v>
      </c>
      <c r="X15" s="154">
        <v>1286.6470884532102</v>
      </c>
      <c r="Y15" s="155">
        <v>1286.6470884532102</v>
      </c>
      <c r="Z15" s="154">
        <v>1318.6091077921408</v>
      </c>
      <c r="AA15" s="155">
        <v>1318.6091077921408</v>
      </c>
      <c r="AB15" s="154">
        <v>1353.3514600172284</v>
      </c>
      <c r="AC15" s="155">
        <v>1353.3514600172284</v>
      </c>
      <c r="AD15" s="154">
        <v>1392.3735668509598</v>
      </c>
      <c r="AE15" s="155">
        <v>1392.3735668509598</v>
      </c>
      <c r="AF15" s="154">
        <v>1438.4339498805837</v>
      </c>
      <c r="AG15" s="155">
        <v>1438.4339498805837</v>
      </c>
      <c r="AH15" s="154">
        <v>1496.9292528786912</v>
      </c>
      <c r="AI15" s="155">
        <v>1496.9292528786912</v>
      </c>
      <c r="AJ15" s="154">
        <v>1579.0180667763248</v>
      </c>
      <c r="AK15" s="155">
        <v>1579.0180667763248</v>
      </c>
      <c r="AL15" s="154">
        <v>1709.3161192490563</v>
      </c>
      <c r="AM15" s="155">
        <v>1709.3161192490563</v>
      </c>
      <c r="AN15" s="154">
        <v>1963.7362761614022</v>
      </c>
      <c r="AO15" s="155">
        <v>1963.7362761614022</v>
      </c>
      <c r="AP15" s="154">
        <v>2055.0688780703235</v>
      </c>
      <c r="AQ15" s="155">
        <v>2055.0688780703235</v>
      </c>
      <c r="AR15" s="154">
        <v>2182.2705268057139</v>
      </c>
      <c r="AS15" s="155">
        <v>2182.2705268057139</v>
      </c>
      <c r="AT15" s="154">
        <v>2383.9432657610164</v>
      </c>
      <c r="AU15" s="155">
        <v>2383.9432657610164</v>
      </c>
      <c r="AV15" s="154"/>
      <c r="AW15" s="155"/>
    </row>
    <row r="16" spans="1:49" s="29" customFormat="1" x14ac:dyDescent="0.2">
      <c r="A16" t="s">
        <v>61</v>
      </c>
      <c r="B16" s="41">
        <v>1000</v>
      </c>
      <c r="C16" s="42">
        <v>1000</v>
      </c>
      <c r="D16" s="41">
        <v>996.48081061028449</v>
      </c>
      <c r="E16" s="42">
        <v>1009.163408673007</v>
      </c>
      <c r="F16" s="41">
        <v>992.89384404473458</v>
      </c>
      <c r="G16" s="42">
        <v>1018.4430711595853</v>
      </c>
      <c r="H16" s="41">
        <v>989.22322176646355</v>
      </c>
      <c r="I16" s="42">
        <v>1027.848643077315</v>
      </c>
      <c r="J16" s="41">
        <v>985.45095759304343</v>
      </c>
      <c r="K16" s="42">
        <v>1037.3921290613046</v>
      </c>
      <c r="L16" s="41">
        <v>981.5564089876334</v>
      </c>
      <c r="M16" s="42">
        <v>1047.0888746776545</v>
      </c>
      <c r="N16" s="41">
        <v>977.51555937019032</v>
      </c>
      <c r="O16" s="42">
        <v>1056.9590706632387</v>
      </c>
      <c r="P16" s="41">
        <v>973.30007877244145</v>
      </c>
      <c r="Q16" s="42">
        <v>1067.0302281045144</v>
      </c>
      <c r="R16" s="41">
        <v>968.87602726490218</v>
      </c>
      <c r="S16" s="42">
        <v>1077.3411542258575</v>
      </c>
      <c r="T16" s="41">
        <v>964.20207211905961</v>
      </c>
      <c r="U16" s="42">
        <v>1087.9483427492873</v>
      </c>
      <c r="V16" s="41">
        <v>959.22693262448706</v>
      </c>
      <c r="W16" s="42">
        <v>1098.936903376147</v>
      </c>
      <c r="X16" s="41">
        <v>953.88555585376298</v>
      </c>
      <c r="Y16" s="42">
        <v>1110.4399304536746</v>
      </c>
      <c r="Z16" s="41">
        <v>948.09314807283079</v>
      </c>
      <c r="AA16" s="42">
        <v>1122.6739935513197</v>
      </c>
      <c r="AB16" s="41">
        <v>941.73520970040977</v>
      </c>
      <c r="AC16" s="42">
        <v>1136.0073449631759</v>
      </c>
      <c r="AD16" s="41">
        <v>934.64928505855266</v>
      </c>
      <c r="AE16" s="42">
        <v>1151.0977817955297</v>
      </c>
      <c r="AF16" s="41">
        <v>926.58686146073251</v>
      </c>
      <c r="AG16" s="42">
        <v>1169.185591935305</v>
      </c>
      <c r="AH16" s="41">
        <v>917.11862703669817</v>
      </c>
      <c r="AI16" s="42">
        <v>1192.7423073786722</v>
      </c>
      <c r="AJ16" s="41">
        <v>905.34450049566453</v>
      </c>
      <c r="AK16" s="42">
        <v>1226.9349747187557</v>
      </c>
      <c r="AL16" s="41">
        <v>888.8185852280609</v>
      </c>
      <c r="AM16" s="42">
        <v>1283.2086770591541</v>
      </c>
      <c r="AN16" s="41">
        <v>858.53002011500871</v>
      </c>
      <c r="AO16" s="42">
        <v>1397.8205493616815</v>
      </c>
      <c r="AP16" s="41">
        <v>848.14580023162114</v>
      </c>
      <c r="AQ16" s="42">
        <v>1440.6880386459316</v>
      </c>
      <c r="AR16" s="41">
        <v>834.42581743819619</v>
      </c>
      <c r="AS16" s="42">
        <v>1502.4528523980341</v>
      </c>
      <c r="AT16" s="41">
        <v>814.672576984599</v>
      </c>
      <c r="AU16" s="42">
        <v>1607.8670607152244</v>
      </c>
      <c r="AV16" s="41"/>
      <c r="AW16" s="42"/>
    </row>
    <row r="17" spans="1:49" x14ac:dyDescent="0.2">
      <c r="A17" t="s">
        <v>62</v>
      </c>
      <c r="B17" s="35">
        <v>999.99999999998658</v>
      </c>
      <c r="C17" s="36">
        <v>1000.0000000000002</v>
      </c>
      <c r="D17" s="35">
        <v>998.77842471048518</v>
      </c>
      <c r="E17" s="36">
        <v>1032.3785190779324</v>
      </c>
      <c r="F17" s="35">
        <v>997.59316423861151</v>
      </c>
      <c r="G17" s="36">
        <v>1067.6364779988266</v>
      </c>
      <c r="H17" s="35">
        <v>996.4414877030423</v>
      </c>
      <c r="I17" s="36">
        <v>1106.2493567358945</v>
      </c>
      <c r="J17" s="35">
        <v>995.32091516014918</v>
      </c>
      <c r="K17" s="36">
        <v>1148.8081377827418</v>
      </c>
      <c r="L17" s="35">
        <v>994.22932876679465</v>
      </c>
      <c r="M17" s="36">
        <v>1196.0579771963778</v>
      </c>
      <c r="N17" s="35">
        <v>993.16518578944499</v>
      </c>
      <c r="O17" s="36">
        <v>1248.9542921068035</v>
      </c>
      <c r="P17" s="35">
        <v>992.1278336631575</v>
      </c>
      <c r="Q17" s="36">
        <v>1308.7448346518217</v>
      </c>
      <c r="R17" s="35">
        <v>991.11807196777283</v>
      </c>
      <c r="S17" s="36">
        <v>1377.0953645748589</v>
      </c>
      <c r="T17" s="35">
        <v>990.13910291122681</v>
      </c>
      <c r="U17" s="36">
        <v>1456.2869431105162</v>
      </c>
      <c r="V17" s="35">
        <v>989.19818728959615</v>
      </c>
      <c r="W17" s="36">
        <v>1549.5393105133985</v>
      </c>
      <c r="X17" s="35">
        <v>988.30952896844474</v>
      </c>
      <c r="Y17" s="36">
        <v>1661.5656219838397</v>
      </c>
      <c r="Z17" s="35">
        <v>987.49949539297882</v>
      </c>
      <c r="AA17" s="36">
        <v>1799.5789207458865</v>
      </c>
      <c r="AB17" s="35">
        <v>986.81627673218145</v>
      </c>
      <c r="AC17" s="36">
        <v>1975.2454674879468</v>
      </c>
      <c r="AD17" s="35">
        <v>986.34809523803528</v>
      </c>
      <c r="AE17" s="36">
        <v>2208.8027156331627</v>
      </c>
      <c r="AF17" s="35">
        <v>986.25727079845342</v>
      </c>
      <c r="AG17" s="36">
        <v>2538.68406932064</v>
      </c>
      <c r="AH17" s="35">
        <v>986.83821528756505</v>
      </c>
      <c r="AI17" s="36">
        <v>3047.1938244238736</v>
      </c>
      <c r="AJ17" s="35">
        <v>988.57344785186388</v>
      </c>
      <c r="AK17" s="36">
        <v>3942.3675265416036</v>
      </c>
      <c r="AL17" s="35">
        <v>991.9504876577688</v>
      </c>
      <c r="AM17" s="36">
        <v>5903.8514603616377</v>
      </c>
      <c r="AN17" s="35">
        <v>996.20307700110834</v>
      </c>
      <c r="AO17" s="36">
        <v>12764.556823381163</v>
      </c>
      <c r="AP17" s="35">
        <v>996.75856215338274</v>
      </c>
      <c r="AQ17" s="36">
        <v>16619.497568713203</v>
      </c>
      <c r="AR17" s="35">
        <v>996.92473798460446</v>
      </c>
      <c r="AS17" s="36">
        <v>23567.701892033048</v>
      </c>
      <c r="AT17" s="35">
        <v>996.26025278096199</v>
      </c>
      <c r="AU17" s="36">
        <v>39134.863078534676</v>
      </c>
      <c r="AV17" s="35"/>
      <c r="AW17" s="36"/>
    </row>
    <row r="18" spans="1:49" x14ac:dyDescent="0.2">
      <c r="A18" t="s">
        <v>19</v>
      </c>
      <c r="B18" s="33">
        <v>27857.010133999996</v>
      </c>
      <c r="C18" s="34">
        <v>1236.7674480000003</v>
      </c>
      <c r="D18" s="33">
        <v>28096.094398156703</v>
      </c>
      <c r="E18" s="34">
        <v>1150.9432789696675</v>
      </c>
      <c r="F18" s="33">
        <v>28331.326329118729</v>
      </c>
      <c r="G18" s="34">
        <v>1065.9158865533759</v>
      </c>
      <c r="H18" s="33">
        <v>28562.71013707358</v>
      </c>
      <c r="I18" s="34">
        <v>981.71901648481457</v>
      </c>
      <c r="J18" s="33">
        <v>28790.220764984468</v>
      </c>
      <c r="K18" s="34">
        <v>898.39789922753289</v>
      </c>
      <c r="L18" s="33">
        <v>29013.801879798426</v>
      </c>
      <c r="M18" s="34">
        <v>816.01282192077952</v>
      </c>
      <c r="N18" s="33">
        <v>29233.357813774513</v>
      </c>
      <c r="O18" s="34">
        <v>734.64698050014215</v>
      </c>
      <c r="P18" s="33">
        <v>29448.755594468385</v>
      </c>
      <c r="Q18" s="34">
        <v>654.41155270889612</v>
      </c>
      <c r="R18" s="33">
        <v>29659.819214232779</v>
      </c>
      <c r="S18" s="34">
        <v>575.45944944704979</v>
      </c>
      <c r="T18" s="33">
        <v>29866.329843490574</v>
      </c>
      <c r="U18" s="34">
        <v>498.00179972592406</v>
      </c>
      <c r="V18" s="33">
        <v>30068.031246629838</v>
      </c>
      <c r="W18" s="34">
        <v>422.33423588649811</v>
      </c>
      <c r="X18" s="33">
        <v>30264.653281461848</v>
      </c>
      <c r="Y18" s="34">
        <v>348.87756253997617</v>
      </c>
      <c r="Z18" s="33">
        <v>30455.974081029093</v>
      </c>
      <c r="AA18" s="34">
        <v>278.24141929128115</v>
      </c>
      <c r="AB18" s="33">
        <v>30641.975072961104</v>
      </c>
      <c r="AC18" s="34">
        <v>211.32513655369095</v>
      </c>
      <c r="AD18" s="33">
        <v>30823.217481095176</v>
      </c>
      <c r="AE18" s="34">
        <v>149.47574331243962</v>
      </c>
      <c r="AF18" s="33">
        <v>31001.749133452769</v>
      </c>
      <c r="AG18" s="34">
        <v>94.7174917700777</v>
      </c>
      <c r="AH18" s="33">
        <v>31183.252106760901</v>
      </c>
      <c r="AI18" s="34">
        <v>49.986803714472416</v>
      </c>
      <c r="AJ18" s="33">
        <v>31381.812330618235</v>
      </c>
      <c r="AK18" s="34">
        <v>18.912941079899944</v>
      </c>
      <c r="AL18" s="33">
        <v>31630.061980977018</v>
      </c>
      <c r="AM18" s="34">
        <v>3.6344131917533318</v>
      </c>
      <c r="AN18" s="33">
        <v>32035.626171340311</v>
      </c>
      <c r="AO18" s="34">
        <v>0.12389493363498791</v>
      </c>
      <c r="AP18" s="33">
        <v>32177.606355676155</v>
      </c>
      <c r="AQ18" s="34">
        <v>3.7672918116485911E-2</v>
      </c>
      <c r="AR18" s="33">
        <v>32379.869638427186</v>
      </c>
      <c r="AS18" s="34">
        <v>7.6801046501979494E-3</v>
      </c>
      <c r="AT18" s="33">
        <v>32711.983252174105</v>
      </c>
      <c r="AU18" s="34">
        <v>7.4720986921914868E-4</v>
      </c>
      <c r="AV18" s="33"/>
      <c r="AW18" s="34"/>
    </row>
    <row r="19" spans="1:49" x14ac:dyDescent="0.2">
      <c r="A19" t="s">
        <v>3</v>
      </c>
      <c r="B19" s="41">
        <v>1886.3937399999918</v>
      </c>
      <c r="C19" s="42">
        <v>262.78711299999759</v>
      </c>
      <c r="D19" s="41">
        <v>1896.451451469735</v>
      </c>
      <c r="E19" s="42">
        <v>268.63106632770479</v>
      </c>
      <c r="F19" s="41">
        <v>1906.3323721224169</v>
      </c>
      <c r="G19" s="42">
        <v>274.72746450955873</v>
      </c>
      <c r="H19" s="41">
        <v>1916.0296749697725</v>
      </c>
      <c r="I19" s="42">
        <v>281.09038611148998</v>
      </c>
      <c r="J19" s="41">
        <v>1925.5352998391538</v>
      </c>
      <c r="K19" s="42">
        <v>287.7314972693585</v>
      </c>
      <c r="L19" s="41">
        <v>1934.8404921368124</v>
      </c>
      <c r="M19" s="42">
        <v>294.6577360826106</v>
      </c>
      <c r="N19" s="41">
        <v>1943.9364584783591</v>
      </c>
      <c r="O19" s="42">
        <v>301.86773237632605</v>
      </c>
      <c r="P19" s="41">
        <v>1952.8163237808351</v>
      </c>
      <c r="Q19" s="42">
        <v>309.3454647132919</v>
      </c>
      <c r="R19" s="41">
        <v>1961.4779354861464</v>
      </c>
      <c r="S19" s="42">
        <v>317.05015697502569</v>
      </c>
      <c r="T19" s="41">
        <v>1969.9292161949249</v>
      </c>
      <c r="U19" s="42">
        <v>324.89901007527698</v>
      </c>
      <c r="V19" s="41">
        <v>1978.1977654494278</v>
      </c>
      <c r="W19" s="42">
        <v>332.73773071424114</v>
      </c>
      <c r="X19" s="41">
        <v>1986.3486347058538</v>
      </c>
      <c r="Y19" s="42">
        <v>340.28864131079621</v>
      </c>
      <c r="Z19" s="41">
        <v>1994.5177324510123</v>
      </c>
      <c r="AA19" s="42">
        <v>347.05722372932166</v>
      </c>
      <c r="AB19" s="41">
        <v>2002.9763082686518</v>
      </c>
      <c r="AC19" s="42">
        <v>352.15899497956747</v>
      </c>
      <c r="AD19" s="41">
        <v>2012.2582963732382</v>
      </c>
      <c r="AE19" s="42">
        <v>353.99111853625413</v>
      </c>
      <c r="AF19" s="41">
        <v>2023.4130499661273</v>
      </c>
      <c r="AG19" s="42">
        <v>349.60650575388649</v>
      </c>
      <c r="AH19" s="41">
        <v>2038.4796273748227</v>
      </c>
      <c r="AI19" s="42">
        <v>333.59553667326122</v>
      </c>
      <c r="AJ19" s="41">
        <v>2061.1440885845082</v>
      </c>
      <c r="AK19" s="42">
        <v>296.67985009104598</v>
      </c>
      <c r="AL19" s="41">
        <v>2096.4645842363998</v>
      </c>
      <c r="AM19" s="42">
        <v>227.0007238994053</v>
      </c>
      <c r="AN19" s="41">
        <v>2147.6351676562908</v>
      </c>
      <c r="AO19" s="42">
        <v>121.93891795211113</v>
      </c>
      <c r="AP19" s="41">
        <v>2160.3432669261911</v>
      </c>
      <c r="AQ19" s="42">
        <v>98.092843047342953</v>
      </c>
      <c r="AR19" s="41">
        <v>2174.8832480816536</v>
      </c>
      <c r="AS19" s="42">
        <v>73.807606284129406</v>
      </c>
      <c r="AT19" s="41">
        <v>2193.3111984782995</v>
      </c>
      <c r="AU19" s="42">
        <v>49.278281133940759</v>
      </c>
      <c r="AV19" s="41"/>
      <c r="AW19" s="42"/>
    </row>
    <row r="20" spans="1:49" x14ac:dyDescent="0.2">
      <c r="A20" t="s">
        <v>127</v>
      </c>
      <c r="B20" s="82">
        <v>26548.356269999993</v>
      </c>
      <c r="C20" s="83">
        <v>1408.5418709999938</v>
      </c>
      <c r="D20" s="82">
        <v>26761.797520611588</v>
      </c>
      <c r="E20" s="83">
        <v>1338.1147774499941</v>
      </c>
      <c r="F20" s="82">
        <v>26971.70705350037</v>
      </c>
      <c r="G20" s="83">
        <v>1267.6876838999945</v>
      </c>
      <c r="H20" s="82">
        <v>27178.075396960256</v>
      </c>
      <c r="I20" s="83">
        <v>1197.2605903499946</v>
      </c>
      <c r="J20" s="82">
        <v>27380.866518473445</v>
      </c>
      <c r="K20" s="83">
        <v>1126.8334967999949</v>
      </c>
      <c r="L20" s="82">
        <v>27580.017617919362</v>
      </c>
      <c r="M20" s="83">
        <v>1056.4064032499953</v>
      </c>
      <c r="N20" s="82">
        <v>27775.434456390136</v>
      </c>
      <c r="O20" s="83">
        <v>985.97930969999561</v>
      </c>
      <c r="P20" s="82">
        <v>27966.997745510544</v>
      </c>
      <c r="Q20" s="83">
        <v>915.55221614999596</v>
      </c>
      <c r="R20" s="82">
        <v>28154.565614952298</v>
      </c>
      <c r="S20" s="83">
        <v>845.12512259999642</v>
      </c>
      <c r="T20" s="82">
        <v>28337.98708426435</v>
      </c>
      <c r="U20" s="83">
        <v>774.69802904999653</v>
      </c>
      <c r="V20" s="82">
        <v>28517.130207790848</v>
      </c>
      <c r="W20" s="83">
        <v>704.27093549999688</v>
      </c>
      <c r="X20" s="82">
        <v>28691.944793037637</v>
      </c>
      <c r="Y20" s="83">
        <v>633.84384194999734</v>
      </c>
      <c r="Z20" s="82">
        <v>28862.594394407482</v>
      </c>
      <c r="AA20" s="83">
        <v>563.41674839999757</v>
      </c>
      <c r="AB20" s="82">
        <v>29029.738313755217</v>
      </c>
      <c r="AC20" s="83">
        <v>492.98965484999775</v>
      </c>
      <c r="AD20" s="82">
        <v>29195.142589031224</v>
      </c>
      <c r="AE20" s="83">
        <v>422.56256129999798</v>
      </c>
      <c r="AF20" s="82">
        <v>29363.013532351855</v>
      </c>
      <c r="AG20" s="83">
        <v>352.13546774999827</v>
      </c>
      <c r="AH20" s="82">
        <v>29542.83441692841</v>
      </c>
      <c r="AI20" s="83">
        <v>281.70837419999856</v>
      </c>
      <c r="AJ20" s="82">
        <v>29754.646418241191</v>
      </c>
      <c r="AK20" s="83">
        <v>211.28128064999879</v>
      </c>
      <c r="AL20" s="82">
        <v>30036.139961651093</v>
      </c>
      <c r="AM20" s="83">
        <v>140.85418709999902</v>
      </c>
      <c r="AN20" s="82">
        <v>30479.398087714937</v>
      </c>
      <c r="AO20" s="83">
        <v>70.427093549999285</v>
      </c>
      <c r="AP20" s="82">
        <v>30622.052446934413</v>
      </c>
      <c r="AQ20" s="83">
        <v>56.341674839999335</v>
      </c>
      <c r="AR20" s="82">
        <v>30816.814503519025</v>
      </c>
      <c r="AS20" s="83">
        <v>42.256256129999379</v>
      </c>
      <c r="AT20" s="82">
        <v>31123.691912939561</v>
      </c>
      <c r="AU20" s="83">
        <v>28.170837419999433</v>
      </c>
      <c r="AV20" s="82"/>
      <c r="AW20" s="83"/>
    </row>
    <row r="21" spans="1:49" x14ac:dyDescent="0.2">
      <c r="A21" t="s">
        <v>76</v>
      </c>
      <c r="B21" s="82">
        <v>24661.962529999968</v>
      </c>
      <c r="C21" s="83">
        <v>1145.7547579999991</v>
      </c>
      <c r="D21" s="82">
        <v>24865.34976731088</v>
      </c>
      <c r="E21" s="83">
        <v>1069.6994074549425</v>
      </c>
      <c r="F21" s="82">
        <v>25065.389165552057</v>
      </c>
      <c r="G21" s="83">
        <v>993.85599189353309</v>
      </c>
      <c r="H21" s="82">
        <v>25262.077659306346</v>
      </c>
      <c r="I21" s="83">
        <v>918.2658846328078</v>
      </c>
      <c r="J21" s="82">
        <v>25455.386905347037</v>
      </c>
      <c r="K21" s="83">
        <v>842.981990408819</v>
      </c>
      <c r="L21" s="82">
        <v>25645.262526046172</v>
      </c>
      <c r="M21" s="83">
        <v>768.07267820201821</v>
      </c>
      <c r="N21" s="82">
        <v>25831.618764362956</v>
      </c>
      <c r="O21" s="83">
        <v>693.62715983720852</v>
      </c>
      <c r="P21" s="82">
        <v>26014.342886316877</v>
      </c>
      <c r="Q21" s="83">
        <v>619.76358799198022</v>
      </c>
      <c r="R21" s="82">
        <v>26193.29479250131</v>
      </c>
      <c r="S21" s="83">
        <v>546.64052339073214</v>
      </c>
      <c r="T21" s="82">
        <v>26368.315047219196</v>
      </c>
      <c r="U21" s="83">
        <v>474.47417429089842</v>
      </c>
      <c r="V21" s="82">
        <v>26539.243262172291</v>
      </c>
      <c r="W21" s="83">
        <v>403.56437590989856</v>
      </c>
      <c r="X21" s="82">
        <v>26705.96275584276</v>
      </c>
      <c r="Y21" s="83">
        <v>334.33479436209632</v>
      </c>
      <c r="Z21" s="82">
        <v>26868.498631555492</v>
      </c>
      <c r="AA21" s="83">
        <v>267.39599712674186</v>
      </c>
      <c r="AB21" s="82">
        <v>27027.234378121466</v>
      </c>
      <c r="AC21" s="83">
        <v>203.64544034047105</v>
      </c>
      <c r="AD21" s="82">
        <v>27183.393918261285</v>
      </c>
      <c r="AE21" s="83">
        <v>144.42422753069204</v>
      </c>
      <c r="AF21" s="82">
        <v>27340.119924751183</v>
      </c>
      <c r="AG21" s="83">
        <v>91.745218086032139</v>
      </c>
      <c r="AH21" s="82">
        <v>27504.833902995862</v>
      </c>
      <c r="AI21" s="83">
        <v>48.528841279448933</v>
      </c>
      <c r="AJ21" s="82">
        <v>27693.865445165087</v>
      </c>
      <c r="AK21" s="83">
        <v>18.39704526938587</v>
      </c>
      <c r="AL21" s="82">
        <v>27939.856718573265</v>
      </c>
      <c r="AM21" s="83">
        <v>3.5402402301329592</v>
      </c>
      <c r="AN21" s="82">
        <v>28331.80370558472</v>
      </c>
      <c r="AO21" s="83">
        <v>0.12076624999436093</v>
      </c>
      <c r="AP21" s="82">
        <v>28461.73902890192</v>
      </c>
      <c r="AQ21" s="83">
        <v>3.67234365458807E-2</v>
      </c>
      <c r="AR21" s="82">
        <v>28641.958289139373</v>
      </c>
      <c r="AS21" s="83">
        <v>7.4867614629014903E-3</v>
      </c>
      <c r="AT21" s="82">
        <v>28930.421115199188</v>
      </c>
      <c r="AU21" s="83">
        <v>7.2840903437630883E-4</v>
      </c>
      <c r="AV21" s="82"/>
      <c r="AW21" s="83"/>
    </row>
    <row r="22" spans="1:49" x14ac:dyDescent="0.2">
      <c r="A22" t="s">
        <v>28</v>
      </c>
      <c r="B22" s="41">
        <v>6533.6044688320644</v>
      </c>
      <c r="C22" s="42">
        <v>379.90788307663382</v>
      </c>
      <c r="D22" s="41">
        <v>6592.3443100215618</v>
      </c>
      <c r="E22" s="42">
        <v>371.12981501648557</v>
      </c>
      <c r="F22" s="41">
        <v>6649.8799630484318</v>
      </c>
      <c r="G22" s="42">
        <v>361.86714139322095</v>
      </c>
      <c r="H22" s="41">
        <v>6706.1613521785539</v>
      </c>
      <c r="I22" s="42">
        <v>352.09465311819434</v>
      </c>
      <c r="J22" s="41">
        <v>6761.1217435162262</v>
      </c>
      <c r="K22" s="42">
        <v>341.78295762334682</v>
      </c>
      <c r="L22" s="41">
        <v>6814.6749852275316</v>
      </c>
      <c r="M22" s="42">
        <v>330.89757802585461</v>
      </c>
      <c r="N22" s="41">
        <v>6866.71038239267</v>
      </c>
      <c r="O22" s="42">
        <v>319.39755841366718</v>
      </c>
      <c r="P22" s="41">
        <v>6917.0891836565706</v>
      </c>
      <c r="Q22" s="42">
        <v>307.2339790177553</v>
      </c>
      <c r="R22" s="41">
        <v>6965.6372399847305</v>
      </c>
      <c r="S22" s="42">
        <v>294.34751250326184</v>
      </c>
      <c r="T22" s="41">
        <v>7012.1371280059766</v>
      </c>
      <c r="U22" s="42">
        <v>280.66515591594379</v>
      </c>
      <c r="V22" s="41">
        <v>7056.3179232439998</v>
      </c>
      <c r="W22" s="42">
        <v>266.09539331676081</v>
      </c>
      <c r="X22" s="41">
        <v>7097.8429836859232</v>
      </c>
      <c r="Y22" s="42">
        <v>250.52101529614572</v>
      </c>
      <c r="Z22" s="41">
        <v>7136.2962306523659</v>
      </c>
      <c r="AA22" s="42">
        <v>233.78806836914669</v>
      </c>
      <c r="AB22" s="41">
        <v>7171.1688856343435</v>
      </c>
      <c r="AC22" s="42">
        <v>215.68842174399782</v>
      </c>
      <c r="AD22" s="41">
        <v>7201.8490302653136</v>
      </c>
      <c r="AE22" s="42">
        <v>195.93172865908286</v>
      </c>
      <c r="AF22" s="41">
        <v>7227.6009062163648</v>
      </c>
      <c r="AG22" s="42">
        <v>174.10059890948347</v>
      </c>
      <c r="AH22" s="41">
        <v>7247.3960384516986</v>
      </c>
      <c r="AI22" s="42">
        <v>149.58426314264426</v>
      </c>
      <c r="AJ22" s="41">
        <v>7258.6477689152853</v>
      </c>
      <c r="AK22" s="42">
        <v>121.5095335271666</v>
      </c>
      <c r="AL22" s="41">
        <v>7249.4885958650038</v>
      </c>
      <c r="AM22" s="42">
        <v>88.755869322205527</v>
      </c>
      <c r="AN22" s="41">
        <v>7155.307944128388</v>
      </c>
      <c r="AO22" s="42">
        <v>49.917856629131904</v>
      </c>
      <c r="AP22" s="41">
        <v>7103.752850551793</v>
      </c>
      <c r="AQ22" s="42">
        <v>41.187742206046913</v>
      </c>
      <c r="AR22" s="41">
        <v>7023.000309612763</v>
      </c>
      <c r="AS22" s="42">
        <v>32.017941380663245</v>
      </c>
      <c r="AT22" s="41">
        <v>6882.070878901869</v>
      </c>
      <c r="AU22" s="42">
        <v>22.296126603184355</v>
      </c>
      <c r="AV22" s="41"/>
      <c r="AW22" s="42"/>
    </row>
    <row r="23" spans="1:49" x14ac:dyDescent="0.2">
      <c r="A23" t="s">
        <v>7</v>
      </c>
      <c r="B23" s="116">
        <v>3278.5018080150408</v>
      </c>
      <c r="C23" s="8">
        <v>0</v>
      </c>
      <c r="D23" s="116">
        <v>3311.7371963966516</v>
      </c>
      <c r="E23" s="8">
        <v>0</v>
      </c>
      <c r="F23" s="116">
        <v>3344.7114777415022</v>
      </c>
      <c r="G23" s="8">
        <v>0</v>
      </c>
      <c r="H23" s="116">
        <v>3377.4446119174709</v>
      </c>
      <c r="I23" s="8">
        <v>0</v>
      </c>
      <c r="J23" s="116">
        <v>3409.9577054887527</v>
      </c>
      <c r="K23" s="8">
        <v>0</v>
      </c>
      <c r="L23" s="116">
        <v>3442.2744332764064</v>
      </c>
      <c r="M23" s="8">
        <v>0</v>
      </c>
      <c r="N23" s="116">
        <v>3474.4223237003357</v>
      </c>
      <c r="O23" s="8">
        <v>0</v>
      </c>
      <c r="P23" s="116">
        <v>3506.4366652891704</v>
      </c>
      <c r="Q23" s="8">
        <v>0</v>
      </c>
      <c r="R23" s="116">
        <v>3538.3650807754725</v>
      </c>
      <c r="S23" s="8">
        <v>0</v>
      </c>
      <c r="T23" s="116">
        <v>3570.2761236797519</v>
      </c>
      <c r="U23" s="8">
        <v>0</v>
      </c>
      <c r="V23" s="116">
        <v>3602.2738521418087</v>
      </c>
      <c r="W23" s="8">
        <v>0</v>
      </c>
      <c r="X23" s="116">
        <v>3634.5242173570628</v>
      </c>
      <c r="Y23" s="8">
        <v>0</v>
      </c>
      <c r="Z23" s="116">
        <v>3667.3043144499397</v>
      </c>
      <c r="AA23" s="8">
        <v>0</v>
      </c>
      <c r="AB23" s="116">
        <v>3701.0987001956137</v>
      </c>
      <c r="AC23" s="8">
        <v>0</v>
      </c>
      <c r="AD23" s="116">
        <v>3736.7970525181845</v>
      </c>
      <c r="AE23" s="8">
        <v>0</v>
      </c>
      <c r="AF23" s="116">
        <v>3776.1194233196752</v>
      </c>
      <c r="AG23" s="8">
        <v>0</v>
      </c>
      <c r="AH23" s="116">
        <v>3822.56674840286</v>
      </c>
      <c r="AI23" s="8">
        <v>0</v>
      </c>
      <c r="AJ23" s="116">
        <v>3883.5793955901804</v>
      </c>
      <c r="AK23" s="8">
        <v>0</v>
      </c>
      <c r="AL23" s="116">
        <v>3975.8739236630345</v>
      </c>
      <c r="AM23" s="8">
        <v>0</v>
      </c>
      <c r="AN23" s="116">
        <v>4153.2259425245029</v>
      </c>
      <c r="AO23" s="8">
        <v>0</v>
      </c>
      <c r="AP23" s="116">
        <v>4217.8168150914316</v>
      </c>
      <c r="AQ23" s="8">
        <v>0</v>
      </c>
      <c r="AR23" s="116">
        <v>4309.0390465379041</v>
      </c>
      <c r="AS23" s="8">
        <v>0</v>
      </c>
      <c r="AT23" s="116">
        <v>4456.2145148092131</v>
      </c>
      <c r="AU23" s="8">
        <v>0</v>
      </c>
      <c r="AV23" s="116"/>
      <c r="AW23" s="8"/>
    </row>
    <row r="24" spans="1:49" x14ac:dyDescent="0.2">
      <c r="A24" t="s">
        <v>8</v>
      </c>
      <c r="B24" s="97">
        <v>3196.3846373657216</v>
      </c>
      <c r="C24" s="8">
        <v>0</v>
      </c>
      <c r="D24" s="97">
        <v>3228.7875689447992</v>
      </c>
      <c r="E24" s="8">
        <v>0</v>
      </c>
      <c r="F24" s="97">
        <v>3260.9359422108951</v>
      </c>
      <c r="G24" s="8">
        <v>0</v>
      </c>
      <c r="H24" s="97">
        <v>3292.8492040061928</v>
      </c>
      <c r="I24" s="8">
        <v>0</v>
      </c>
      <c r="J24" s="97">
        <v>3324.5479349221268</v>
      </c>
      <c r="K24" s="8">
        <v>0</v>
      </c>
      <c r="L24" s="97">
        <v>3356.0552220364029</v>
      </c>
      <c r="M24" s="8">
        <v>0</v>
      </c>
      <c r="N24" s="97">
        <v>3387.3978998998959</v>
      </c>
      <c r="O24" s="8">
        <v>0</v>
      </c>
      <c r="P24" s="97">
        <v>3418.6103729995612</v>
      </c>
      <c r="Q24" s="8">
        <v>0</v>
      </c>
      <c r="R24" s="97">
        <v>3449.7390722075465</v>
      </c>
      <c r="S24" s="8">
        <v>0</v>
      </c>
      <c r="T24" s="97">
        <v>3480.8508340161766</v>
      </c>
      <c r="U24" s="8">
        <v>0</v>
      </c>
      <c r="V24" s="97">
        <v>3512.047110155233</v>
      </c>
      <c r="W24" s="8">
        <v>0</v>
      </c>
      <c r="X24" s="97">
        <v>3543.4896951872306</v>
      </c>
      <c r="Y24" s="8">
        <v>0</v>
      </c>
      <c r="Z24" s="97">
        <v>3575.4487438105239</v>
      </c>
      <c r="AA24" s="8">
        <v>0</v>
      </c>
      <c r="AB24" s="97">
        <v>3608.3966761058573</v>
      </c>
      <c r="AC24" s="8">
        <v>0</v>
      </c>
      <c r="AD24" s="97">
        <v>3643.2008859683524</v>
      </c>
      <c r="AE24" s="8">
        <v>0</v>
      </c>
      <c r="AF24" s="97">
        <v>3681.5383429326425</v>
      </c>
      <c r="AG24" s="8">
        <v>0</v>
      </c>
      <c r="AH24" s="97">
        <v>3726.8222942483094</v>
      </c>
      <c r="AI24" s="8">
        <v>0</v>
      </c>
      <c r="AJ24" s="97">
        <v>3786.3067477056793</v>
      </c>
      <c r="AK24" s="8">
        <v>0</v>
      </c>
      <c r="AL24" s="97">
        <v>3876.2895596466938</v>
      </c>
      <c r="AM24" s="8">
        <v>0</v>
      </c>
      <c r="AN24" s="97">
        <v>4049.1994135063906</v>
      </c>
      <c r="AO24" s="8">
        <v>0</v>
      </c>
      <c r="AP24" s="97">
        <v>4112.1724679308863</v>
      </c>
      <c r="AQ24" s="8">
        <v>0</v>
      </c>
      <c r="AR24" s="97">
        <v>4201.1098412362408</v>
      </c>
      <c r="AS24" s="8">
        <v>0</v>
      </c>
      <c r="AT24" s="97">
        <v>4344.5989814979666</v>
      </c>
      <c r="AU24" s="8">
        <v>0</v>
      </c>
      <c r="AV24" s="97"/>
      <c r="AW24" s="8"/>
    </row>
    <row r="25" spans="1:49" x14ac:dyDescent="0.2">
      <c r="A25" t="s">
        <v>0</v>
      </c>
      <c r="B25" s="41">
        <v>3195.0476040000012</v>
      </c>
      <c r="C25" s="42">
        <v>91.012690000004397</v>
      </c>
      <c r="D25" s="41">
        <v>3230.738656461645</v>
      </c>
      <c r="E25" s="42">
        <v>81.204678880868784</v>
      </c>
      <c r="F25" s="41">
        <v>3265.9136167141769</v>
      </c>
      <c r="G25" s="42">
        <v>71.911875074021765</v>
      </c>
      <c r="H25" s="41">
        <v>3300.5803770924354</v>
      </c>
      <c r="I25" s="42">
        <v>63.138771375453473</v>
      </c>
      <c r="J25" s="41">
        <v>3334.7427157266779</v>
      </c>
      <c r="K25" s="42">
        <v>54.890893065186958</v>
      </c>
      <c r="L25" s="41">
        <v>3368.3991054246326</v>
      </c>
      <c r="M25" s="42">
        <v>47.174898137748215</v>
      </c>
      <c r="N25" s="41">
        <v>3401.5400806506723</v>
      </c>
      <c r="O25" s="42">
        <v>39.998829276876158</v>
      </c>
      <c r="P25" s="41">
        <v>3434.1458533787472</v>
      </c>
      <c r="Q25" s="42">
        <v>33.372110764930291</v>
      </c>
      <c r="R25" s="41">
        <v>3466.1810767131501</v>
      </c>
      <c r="S25" s="42">
        <v>27.305818191143015</v>
      </c>
      <c r="T25" s="41">
        <v>3497.5871868533222</v>
      </c>
      <c r="U25" s="42">
        <v>21.812785339826405</v>
      </c>
      <c r="V25" s="41">
        <v>3528.2697091144296</v>
      </c>
      <c r="W25" s="42">
        <v>16.90770524960439</v>
      </c>
      <c r="X25" s="41">
        <v>3558.0775902299474</v>
      </c>
      <c r="Y25" s="42">
        <v>12.607096847708004</v>
      </c>
      <c r="Z25" s="41">
        <v>3586.7681918105727</v>
      </c>
      <c r="AA25" s="42">
        <v>8.9289060063885728</v>
      </c>
      <c r="AB25" s="41">
        <v>3613.947305660638</v>
      </c>
      <c r="AC25" s="42">
        <v>5.8912725250799696</v>
      </c>
      <c r="AD25" s="41">
        <v>3638.966379776145</v>
      </c>
      <c r="AE25" s="42">
        <v>3.509379955868289</v>
      </c>
      <c r="AF25" s="41">
        <v>3660.7552715277975</v>
      </c>
      <c r="AG25" s="42">
        <v>1.7879354765225854</v>
      </c>
      <c r="AH25" s="41">
        <v>3677.6135467091613</v>
      </c>
      <c r="AI25" s="42">
        <v>0.70413564587020172</v>
      </c>
      <c r="AJ25" s="41">
        <v>3687.3402588283998</v>
      </c>
      <c r="AK25" s="42">
        <v>0.17427876266718714</v>
      </c>
      <c r="AL25" s="41">
        <v>3689.9053965283492</v>
      </c>
      <c r="AM25" s="42">
        <v>1.681906586981648E-2</v>
      </c>
      <c r="AN25" s="41">
        <v>3703.7558803835077</v>
      </c>
      <c r="AO25" s="42">
        <v>1.4458180360695284E-4</v>
      </c>
      <c r="AP25" s="41">
        <v>3715.818677280366</v>
      </c>
      <c r="AQ25" s="42">
        <v>2.7031040537202094E-5</v>
      </c>
      <c r="AR25" s="41">
        <v>3737.8673100731662</v>
      </c>
      <c r="AS25" s="42">
        <v>2.8685134531601152E-6</v>
      </c>
      <c r="AT25" s="41">
        <v>3781.4961910998709</v>
      </c>
      <c r="AU25" s="42">
        <v>1.0653730053593703E-7</v>
      </c>
      <c r="AV25" s="41"/>
      <c r="AW25" s="42"/>
    </row>
    <row r="26" spans="1:49" x14ac:dyDescent="0.2">
      <c r="A26" t="s">
        <v>27</v>
      </c>
      <c r="B26" s="33">
        <v>5036.2953101960647</v>
      </c>
      <c r="C26" s="34">
        <v>74.905331803938267</v>
      </c>
      <c r="D26" s="33">
        <v>5128.0271679118769</v>
      </c>
      <c r="E26" s="34">
        <v>70.626137288442393</v>
      </c>
      <c r="F26" s="33">
        <v>5222.049480184658</v>
      </c>
      <c r="G26" s="34">
        <v>66.325822446965418</v>
      </c>
      <c r="H26" s="33">
        <v>5318.6616016180751</v>
      </c>
      <c r="I26" s="34">
        <v>62.00176030699749</v>
      </c>
      <c r="J26" s="33">
        <v>5418.2161607858079</v>
      </c>
      <c r="K26" s="34">
        <v>57.651269673918073</v>
      </c>
      <c r="L26" s="33">
        <v>5521.1355534832146</v>
      </c>
      <c r="M26" s="34">
        <v>53.271710586980078</v>
      </c>
      <c r="N26" s="33">
        <v>5627.9341872593213</v>
      </c>
      <c r="O26" s="34">
        <v>48.860710285681407</v>
      </c>
      <c r="P26" s="33">
        <v>5739.2548873693513</v>
      </c>
      <c r="Q26" s="34">
        <v>44.416401964716606</v>
      </c>
      <c r="R26" s="33">
        <v>5855.9213988805514</v>
      </c>
      <c r="S26" s="34">
        <v>39.937974675583874</v>
      </c>
      <c r="T26" s="33">
        <v>5979.0213990144848</v>
      </c>
      <c r="U26" s="34">
        <v>35.42650941608413</v>
      </c>
      <c r="V26" s="33">
        <v>6110.0423517223562</v>
      </c>
      <c r="W26" s="34">
        <v>30.886433308041418</v>
      </c>
      <c r="X26" s="33">
        <v>6251.1054606682619</v>
      </c>
      <c r="Y26" s="34">
        <v>26.32804446122918</v>
      </c>
      <c r="Z26" s="33">
        <v>6405.3889969194679</v>
      </c>
      <c r="AA26" s="34">
        <v>21.771950761850153</v>
      </c>
      <c r="AB26" s="33">
        <v>6577.9446139603124</v>
      </c>
      <c r="AC26" s="34">
        <v>17.257019077219219</v>
      </c>
      <c r="AD26" s="33">
        <v>6777.3910451449092</v>
      </c>
      <c r="AE26" s="34">
        <v>12.854752253224113</v>
      </c>
      <c r="AF26" s="33">
        <v>7019.7423411044329</v>
      </c>
      <c r="AG26" s="34">
        <v>8.6948215590008093</v>
      </c>
      <c r="AH26" s="33">
        <v>7337.9942769376321</v>
      </c>
      <c r="AI26" s="34">
        <v>5.0053719279389002</v>
      </c>
      <c r="AJ26" s="33">
        <v>7809.6107393343073</v>
      </c>
      <c r="AK26" s="34">
        <v>2.147006541587817</v>
      </c>
      <c r="AL26" s="33">
        <v>8658.618356891644</v>
      </c>
      <c r="AM26" s="34">
        <v>0.50632248474884489</v>
      </c>
      <c r="AN26" s="33">
        <v>11070.522091268445</v>
      </c>
      <c r="AO26" s="34">
        <v>2.6500436304033141E-2</v>
      </c>
      <c r="AP26" s="33">
        <v>12430.647452855395</v>
      </c>
      <c r="AQ26" s="34">
        <v>9.5059085137214217E-3</v>
      </c>
      <c r="AR26" s="33">
        <v>15391.31894732519</v>
      </c>
      <c r="AS26" s="34">
        <v>2.4877337784261337E-3</v>
      </c>
      <c r="AT26" s="33">
        <v>39649.300159296239</v>
      </c>
      <c r="AU26" s="34">
        <v>4.7810253737303122E-4</v>
      </c>
      <c r="AV26" s="33"/>
      <c r="AW26" s="34"/>
    </row>
    <row r="27" spans="1:49" x14ac:dyDescent="0.2">
      <c r="A27" t="s">
        <v>2</v>
      </c>
      <c r="B27" s="35">
        <v>6425.1981589998923</v>
      </c>
      <c r="C27" s="36">
        <v>273.22915400000028</v>
      </c>
      <c r="D27" s="35">
        <v>6442.7730456523495</v>
      </c>
      <c r="E27" s="36">
        <v>255.65447193137925</v>
      </c>
      <c r="F27" s="35">
        <v>6460.1891597209615</v>
      </c>
      <c r="G27" s="36">
        <v>238.23819471499203</v>
      </c>
      <c r="H27" s="35">
        <v>6477.4581663807921</v>
      </c>
      <c r="I27" s="36">
        <v>220.96920624864592</v>
      </c>
      <c r="J27" s="35">
        <v>6494.5903346000596</v>
      </c>
      <c r="K27" s="36">
        <v>203.83712721020399</v>
      </c>
      <c r="L27" s="35">
        <v>6511.5947683107697</v>
      </c>
      <c r="M27" s="36">
        <v>186.83261928624913</v>
      </c>
      <c r="N27" s="35">
        <v>6528.4785968479291</v>
      </c>
      <c r="O27" s="36">
        <v>169.94872493625462</v>
      </c>
      <c r="P27" s="35">
        <v>6545.2461883566539</v>
      </c>
      <c r="Q27" s="36">
        <v>153.18111944349025</v>
      </c>
      <c r="R27" s="35">
        <v>6561.8967903994708</v>
      </c>
      <c r="S27" s="36">
        <v>136.53051422146964</v>
      </c>
      <c r="T27" s="35">
        <v>6578.421910192119</v>
      </c>
      <c r="U27" s="36">
        <v>120.00539943726078</v>
      </c>
      <c r="V27" s="35">
        <v>6594.8002717375894</v>
      </c>
      <c r="W27" s="36">
        <v>103.62704049562477</v>
      </c>
      <c r="X27" s="35">
        <v>6610.9893496619316</v>
      </c>
      <c r="Y27" s="36">
        <v>87.437963643797119</v>
      </c>
      <c r="Z27" s="35">
        <v>6626.9107312228525</v>
      </c>
      <c r="AA27" s="36">
        <v>71.516583417857262</v>
      </c>
      <c r="AB27" s="35">
        <v>6642.4244020123169</v>
      </c>
      <c r="AC27" s="36">
        <v>56.002912389537492</v>
      </c>
      <c r="AD27" s="35">
        <v>6657.2832104787158</v>
      </c>
      <c r="AE27" s="36">
        <v>41.144103544246427</v>
      </c>
      <c r="AF27" s="35">
        <v>6671.054216697451</v>
      </c>
      <c r="AG27" s="36">
        <v>27.373095904735521</v>
      </c>
      <c r="AH27" s="35">
        <v>6683.0010731084385</v>
      </c>
      <c r="AI27" s="36">
        <v>15.426241831283747</v>
      </c>
      <c r="AJ27" s="35">
        <v>6692.0089617570229</v>
      </c>
      <c r="AK27" s="36">
        <v>6.4183515704875784</v>
      </c>
      <c r="AL27" s="35">
        <v>6696.989278127141</v>
      </c>
      <c r="AM27" s="36">
        <v>1.4380344809388714</v>
      </c>
      <c r="AN27" s="35">
        <v>6698.3607427739553</v>
      </c>
      <c r="AO27" s="36">
        <v>6.6570197322909613E-2</v>
      </c>
      <c r="AP27" s="35">
        <v>6698.4047779123948</v>
      </c>
      <c r="AQ27" s="36">
        <v>2.2535078040098803E-2</v>
      </c>
      <c r="AR27" s="35">
        <v>6698.4220129620544</v>
      </c>
      <c r="AS27" s="36">
        <v>5.3000364253099116E-3</v>
      </c>
      <c r="AT27" s="35">
        <v>6698.4266828808541</v>
      </c>
      <c r="AU27" s="36">
        <v>6.346237496245358E-4</v>
      </c>
      <c r="AV27" s="35"/>
      <c r="AW27" s="36"/>
    </row>
    <row r="28" spans="1:49" x14ac:dyDescent="0.2">
      <c r="A28" t="s">
        <v>35</v>
      </c>
      <c r="B28" s="41">
        <v>13763.097675999892</v>
      </c>
      <c r="C28" s="42">
        <v>382.36647900000014</v>
      </c>
      <c r="D28" s="41">
        <v>13912.971198272355</v>
      </c>
      <c r="E28" s="42">
        <v>358.54276925706722</v>
      </c>
      <c r="F28" s="41">
        <v>14063.197940971428</v>
      </c>
      <c r="G28" s="42">
        <v>334.8217579030545</v>
      </c>
      <c r="H28" s="41">
        <v>14214.025516325899</v>
      </c>
      <c r="I28" s="42">
        <v>311.19363993413697</v>
      </c>
      <c r="J28" s="41">
        <v>14365.733722524265</v>
      </c>
      <c r="K28" s="42">
        <v>287.64912248408319</v>
      </c>
      <c r="L28" s="41">
        <v>14518.646369687069</v>
      </c>
      <c r="M28" s="42">
        <v>264.17991500379486</v>
      </c>
      <c r="N28" s="41">
        <v>14673.145257627852</v>
      </c>
      <c r="O28" s="42">
        <v>240.78048892740173</v>
      </c>
      <c r="P28" s="41">
        <v>14829.695815340003</v>
      </c>
      <c r="Q28" s="42">
        <v>217.4487002145521</v>
      </c>
      <c r="R28" s="41">
        <v>14988.880570258649</v>
      </c>
      <c r="S28" s="42">
        <v>194.18908656396223</v>
      </c>
      <c r="T28" s="41">
        <v>15151.45292004411</v>
      </c>
      <c r="U28" s="42">
        <v>171.01687994721428</v>
      </c>
      <c r="V28" s="41">
        <v>15318.422672648547</v>
      </c>
      <c r="W28" s="42">
        <v>147.96518150772869</v>
      </c>
      <c r="X28" s="41">
        <v>15491.200473990773</v>
      </c>
      <c r="Y28" s="42">
        <v>125.09716530243479</v>
      </c>
      <c r="Z28" s="41">
        <v>15671.851412779217</v>
      </c>
      <c r="AA28" s="42">
        <v>102.52715330595376</v>
      </c>
      <c r="AB28" s="41">
        <v>15863.566094914026</v>
      </c>
      <c r="AC28" s="42">
        <v>80.457735811008092</v>
      </c>
      <c r="AD28" s="41">
        <v>16071.589316626027</v>
      </c>
      <c r="AE28" s="42">
        <v>59.245710157806116</v>
      </c>
      <c r="AF28" s="41">
        <v>16305.167782186316</v>
      </c>
      <c r="AG28" s="42">
        <v>39.516427021595291</v>
      </c>
      <c r="AH28" s="41">
        <v>16581.885997651476</v>
      </c>
      <c r="AI28" s="42">
        <v>22.336293049571083</v>
      </c>
      <c r="AJ28" s="41">
        <v>16937.844797208501</v>
      </c>
      <c r="AK28" s="42">
        <v>9.3284849886679826</v>
      </c>
      <c r="AL28" s="41">
        <v>17454.686291295653</v>
      </c>
      <c r="AM28" s="42">
        <v>2.1008780513461431</v>
      </c>
      <c r="AN28" s="41">
        <v>18390.625552485631</v>
      </c>
      <c r="AO28" s="42">
        <v>9.8034148605864402E-2</v>
      </c>
      <c r="AP28" s="41">
        <v>18711.465953008988</v>
      </c>
      <c r="AQ28" s="42">
        <v>3.3262149123802334E-2</v>
      </c>
      <c r="AR28" s="41">
        <v>19145.134755676434</v>
      </c>
      <c r="AS28" s="42">
        <v>7.8441843085026684E-3</v>
      </c>
      <c r="AT28" s="41">
        <v>19801.419261806182</v>
      </c>
      <c r="AU28" s="42">
        <v>9.4216281975692615E-4</v>
      </c>
      <c r="AV28" s="41"/>
      <c r="AW28" s="42"/>
    </row>
    <row r="29" spans="1:49" x14ac:dyDescent="0.2">
      <c r="A29" t="s">
        <v>53</v>
      </c>
      <c r="B29" s="35">
        <v>14362.768558000087</v>
      </c>
      <c r="C29" s="36">
        <v>817.26651000000015</v>
      </c>
      <c r="D29" s="35">
        <v>14485.438338149317</v>
      </c>
      <c r="E29" s="36">
        <v>757.68052948104321</v>
      </c>
      <c r="F29" s="35">
        <v>14606.121427568647</v>
      </c>
      <c r="G29" s="36">
        <v>698.96308579630863</v>
      </c>
      <c r="H29" s="35">
        <v>14724.819753279045</v>
      </c>
      <c r="I29" s="36">
        <v>641.13970220612987</v>
      </c>
      <c r="J29" s="35">
        <v>14841.520183093495</v>
      </c>
      <c r="K29" s="36">
        <v>584.24454610268583</v>
      </c>
      <c r="L29" s="35">
        <v>14956.193567803612</v>
      </c>
      <c r="M29" s="36">
        <v>528.32278824574814</v>
      </c>
      <c r="N29" s="35">
        <v>15068.790690963528</v>
      </c>
      <c r="O29" s="36">
        <v>473.43569146615039</v>
      </c>
      <c r="P29" s="35">
        <v>15179.243549158266</v>
      </c>
      <c r="Q29" s="36">
        <v>419.66386686156432</v>
      </c>
      <c r="R29" s="35">
        <v>15287.462786646031</v>
      </c>
      <c r="S29" s="36">
        <v>367.11601169476796</v>
      </c>
      <c r="T29" s="35">
        <v>15393.3384326623</v>
      </c>
      <c r="U29" s="36">
        <v>315.93921106258296</v>
      </c>
      <c r="V29" s="35">
        <v>15496.743747766632</v>
      </c>
      <c r="W29" s="36">
        <v>266.33515906193685</v>
      </c>
      <c r="X29" s="35">
        <v>15597.549308624257</v>
      </c>
      <c r="Y29" s="36">
        <v>218.58489415698418</v>
      </c>
      <c r="Z29" s="35">
        <v>15695.658554410949</v>
      </c>
      <c r="AA29" s="36">
        <v>173.08688917461677</v>
      </c>
      <c r="AB29" s="35">
        <v>15791.094104499763</v>
      </c>
      <c r="AC29" s="36">
        <v>130.4162566165048</v>
      </c>
      <c r="AD29" s="35">
        <v>15884.203741662313</v>
      </c>
      <c r="AE29" s="36">
        <v>91.415206607358655</v>
      </c>
      <c r="AF29" s="35">
        <v>15976.149706433042</v>
      </c>
      <c r="AG29" s="36">
        <v>57.319046753821432</v>
      </c>
      <c r="AH29" s="35">
        <v>16070.050659065004</v>
      </c>
      <c r="AI29" s="36">
        <v>29.868833509287899</v>
      </c>
      <c r="AJ29" s="35">
        <v>16173.465812622919</v>
      </c>
      <c r="AK29" s="36">
        <v>11.123135472833743</v>
      </c>
      <c r="AL29" s="35">
        <v>16303.482483218271</v>
      </c>
      <c r="AM29" s="36">
        <v>2.0934648215338374</v>
      </c>
      <c r="AN29" s="35">
        <v>16515.059971404818</v>
      </c>
      <c r="AO29" s="36">
        <v>6.9340043888941313E-2</v>
      </c>
      <c r="AP29" s="35">
        <v>16588.576898679989</v>
      </c>
      <c r="AQ29" s="36">
        <v>2.0931975956234413E-2</v>
      </c>
      <c r="AR29" s="35">
        <v>16692.946880606025</v>
      </c>
      <c r="AS29" s="36">
        <v>4.2332458221090719E-3</v>
      </c>
      <c r="AT29" s="35">
        <v>16863.770616748312</v>
      </c>
      <c r="AU29" s="36">
        <v>4.0818121345508615E-4</v>
      </c>
      <c r="AV29" s="35"/>
      <c r="AW29" s="36"/>
    </row>
    <row r="30" spans="1:49" x14ac:dyDescent="0.2">
      <c r="A30" t="s">
        <v>48</v>
      </c>
      <c r="B30" s="119">
        <v>2924829.9599999995</v>
      </c>
      <c r="D30" s="119">
        <v>2949132.1672455561</v>
      </c>
      <c r="F30" s="119">
        <v>2973206.0685764854</v>
      </c>
      <c r="H30" s="119">
        <v>2997062.0578706744</v>
      </c>
      <c r="J30" s="119">
        <v>3020711.3520173999</v>
      </c>
      <c r="L30" s="119">
        <v>3044167.3735250044</v>
      </c>
      <c r="N30" s="119">
        <v>3067447.4453248847</v>
      </c>
      <c r="P30" s="119">
        <v>3090577.1700345678</v>
      </c>
      <c r="R30" s="119">
        <v>3113595.5143175358</v>
      </c>
      <c r="T30" s="119">
        <v>3136565.0818569153</v>
      </c>
      <c r="V30" s="119">
        <v>3159589.8593822918</v>
      </c>
      <c r="X30" s="119">
        <v>3182846.1699856552</v>
      </c>
      <c r="Z30" s="119">
        <v>3206640.7734506186</v>
      </c>
      <c r="AB30" s="119">
        <v>3231523.2425665818</v>
      </c>
      <c r="AD30" s="119">
        <v>3258511.797586998</v>
      </c>
      <c r="AF30" s="119">
        <v>3289561.1225763978</v>
      </c>
      <c r="AH30" s="119">
        <v>3328546.2227771869</v>
      </c>
      <c r="AJ30" s="119">
        <v>3383217.93142654</v>
      </c>
      <c r="AL30" s="119">
        <v>3468796.8655635128</v>
      </c>
      <c r="AN30" s="119">
        <v>3625111.8478954406</v>
      </c>
      <c r="AP30" s="119">
        <v>3678276.8619364128</v>
      </c>
      <c r="AR30" s="119">
        <v>3750945.7998458678</v>
      </c>
      <c r="AT30" s="119">
        <v>3864361.3368941164</v>
      </c>
      <c r="AV30" s="119"/>
    </row>
    <row r="31" spans="1:49" x14ac:dyDescent="0.2">
      <c r="A31" t="s">
        <v>47</v>
      </c>
      <c r="B31" s="80">
        <v>1</v>
      </c>
      <c r="D31" s="80">
        <v>1.0071990750628019</v>
      </c>
      <c r="F31" s="80">
        <v>1.014056227151845</v>
      </c>
      <c r="H31" s="80">
        <v>1.0205438177033006</v>
      </c>
      <c r="J31" s="80">
        <v>1.0266275762977095</v>
      </c>
      <c r="L31" s="80">
        <v>1.0322650012512375</v>
      </c>
      <c r="N31" s="80">
        <v>1.0374029185556666</v>
      </c>
      <c r="P31" s="80">
        <v>1.0419746288267444</v>
      </c>
      <c r="R31" s="80">
        <v>1.0458953595134663</v>
      </c>
      <c r="T31" s="80">
        <v>1.0490559186480131</v>
      </c>
      <c r="V31" s="80">
        <v>1.0513130861024953</v>
      </c>
      <c r="X31" s="80">
        <v>1.0524746549696293</v>
      </c>
      <c r="Z31" s="80">
        <v>1.0522749490192704</v>
      </c>
      <c r="AB31" s="80">
        <v>1.0503322601806966</v>
      </c>
      <c r="AD31" s="80">
        <v>1.0460687076926145</v>
      </c>
      <c r="AF31" s="80">
        <v>1.038542367214516</v>
      </c>
      <c r="AH31" s="80">
        <v>1.0260429935516415</v>
      </c>
      <c r="AJ31" s="80">
        <v>1.0049317343846509</v>
      </c>
      <c r="AL31" s="80">
        <v>0.96555281572865037</v>
      </c>
      <c r="AN31" s="80">
        <v>0.87210750858219288</v>
      </c>
      <c r="AP31" s="80">
        <v>0.83566966696905809</v>
      </c>
      <c r="AR31" s="80">
        <v>0.78481755620706228</v>
      </c>
      <c r="AT31" s="80">
        <v>0.70693917106559911</v>
      </c>
      <c r="AV31" s="80"/>
    </row>
    <row r="32" spans="1:49" x14ac:dyDescent="0.2">
      <c r="A32" t="s">
        <v>64</v>
      </c>
      <c r="B32" s="86">
        <v>14734457.915000005</v>
      </c>
      <c r="D32" s="86">
        <v>14863821.144115644</v>
      </c>
      <c r="F32" s="86">
        <v>14992191.996363716</v>
      </c>
      <c r="H32" s="86">
        <v>15119637.607240364</v>
      </c>
      <c r="J32" s="86">
        <v>15246231.896213379</v>
      </c>
      <c r="L32" s="86">
        <v>15372064.068724833</v>
      </c>
      <c r="N32" s="86">
        <v>15497248.22395861</v>
      </c>
      <c r="P32" s="86">
        <v>15621946.781838264</v>
      </c>
      <c r="R32" s="86">
        <v>15746401.427982507</v>
      </c>
      <c r="T32" s="86">
        <v>15870989.255714651</v>
      </c>
      <c r="V32" s="86">
        <v>15996318.77907881</v>
      </c>
      <c r="X32" s="86">
        <v>16123402.370577233</v>
      </c>
      <c r="Z32" s="86">
        <v>16253975.379814148</v>
      </c>
      <c r="AB32" s="86">
        <v>16391111.066147115</v>
      </c>
      <c r="AD32" s="86">
        <v>16540455.115393501</v>
      </c>
      <c r="AF32" s="86">
        <v>16712794.068544118</v>
      </c>
      <c r="AH32" s="86">
        <v>16929477.933044784</v>
      </c>
      <c r="AJ32" s="86">
        <v>17233375.394161388</v>
      </c>
      <c r="AL32" s="86">
        <v>17709882.923633173</v>
      </c>
      <c r="AN32" s="86">
        <v>18587629.141506627</v>
      </c>
      <c r="AP32" s="86">
        <v>18888319.8410528</v>
      </c>
      <c r="AR32" s="86">
        <v>19300382.314588081</v>
      </c>
      <c r="AT32" s="86">
        <v>19944908.28081131</v>
      </c>
      <c r="AV32" s="86"/>
    </row>
    <row r="33" spans="1:49 16319:16321" x14ac:dyDescent="0.2">
      <c r="A33" t="s">
        <v>54</v>
      </c>
      <c r="B33" s="117">
        <v>7019665.6909999885</v>
      </c>
      <c r="D33" s="117">
        <v>7081295.8451618496</v>
      </c>
      <c r="F33" s="117">
        <v>7142453.1799226198</v>
      </c>
      <c r="H33" s="117">
        <v>7203169.7391639836</v>
      </c>
      <c r="J33" s="117">
        <v>7263480.7422625097</v>
      </c>
      <c r="L33" s="117">
        <v>7323428.6180259036</v>
      </c>
      <c r="N33" s="117">
        <v>7383067.791973494</v>
      </c>
      <c r="P33" s="117">
        <v>7442475.64219198</v>
      </c>
      <c r="R33" s="117">
        <v>7501767.3001129758</v>
      </c>
      <c r="T33" s="117">
        <v>7561122.3665512837</v>
      </c>
      <c r="V33" s="117">
        <v>7620830.7842033086</v>
      </c>
      <c r="X33" s="117">
        <v>7681374.8797555212</v>
      </c>
      <c r="Z33" s="117">
        <v>7743581.3725067787</v>
      </c>
      <c r="AB33" s="117">
        <v>7808914.3597288411</v>
      </c>
      <c r="AD33" s="117">
        <v>7880063.5866342224</v>
      </c>
      <c r="AF33" s="117">
        <v>7962167.8522774596</v>
      </c>
      <c r="AH33" s="117">
        <v>8065398.5436798427</v>
      </c>
      <c r="AJ33" s="117">
        <v>8210178.8004253451</v>
      </c>
      <c r="AL33" s="117">
        <v>8437192.4824544322</v>
      </c>
      <c r="AN33" s="117">
        <v>8855360.9039691333</v>
      </c>
      <c r="AP33" s="117">
        <v>8998613.4212575369</v>
      </c>
      <c r="AR33" s="117">
        <v>9194924.7361840978</v>
      </c>
      <c r="AT33" s="117">
        <v>9501984.3401512019</v>
      </c>
      <c r="AV33" s="117"/>
    </row>
    <row r="34" spans="1:49 16319:16321" x14ac:dyDescent="0.2">
      <c r="A34" t="s">
        <v>75</v>
      </c>
      <c r="B34" s="117">
        <v>1136879.4410000162</v>
      </c>
      <c r="D34" s="117">
        <v>1146860.8175450738</v>
      </c>
      <c r="F34" s="117">
        <v>1156765.6551562226</v>
      </c>
      <c r="H34" s="117">
        <v>1166599.0873866265</v>
      </c>
      <c r="J34" s="117">
        <v>1176366.8116833523</v>
      </c>
      <c r="L34" s="117">
        <v>1186075.775342958</v>
      </c>
      <c r="N34" s="117">
        <v>1195734.7190728635</v>
      </c>
      <c r="P34" s="117">
        <v>1205356.1756495503</v>
      </c>
      <c r="R34" s="117">
        <v>1214958.8024431206</v>
      </c>
      <c r="T34" s="117">
        <v>1224571.7459229468</v>
      </c>
      <c r="V34" s="117">
        <v>1234241.918200365</v>
      </c>
      <c r="X34" s="117">
        <v>1244047.4110610054</v>
      </c>
      <c r="Z34" s="117">
        <v>1254122.141636627</v>
      </c>
      <c r="AB34" s="117">
        <v>1264703.2749374986</v>
      </c>
      <c r="AD34" s="117">
        <v>1276226.3448225209</v>
      </c>
      <c r="AF34" s="117">
        <v>1289523.6512843063</v>
      </c>
      <c r="AH34" s="117">
        <v>1306242.5183069475</v>
      </c>
      <c r="AJ34" s="117">
        <v>1329690.5989155129</v>
      </c>
      <c r="AL34" s="117">
        <v>1366456.9074584141</v>
      </c>
      <c r="AN34" s="117">
        <v>1434181.9393569096</v>
      </c>
      <c r="AP34" s="117">
        <v>1457382.5943378722</v>
      </c>
      <c r="AR34" s="117">
        <v>1489176.4585758965</v>
      </c>
      <c r="AT34" s="117">
        <v>1538906.7115941679</v>
      </c>
      <c r="AV34" s="117"/>
    </row>
    <row r="35" spans="1:49 16319:16321" x14ac:dyDescent="0.2">
      <c r="A35" t="s">
        <v>78</v>
      </c>
      <c r="B35" s="233">
        <v>1</v>
      </c>
      <c r="D35" s="233">
        <v>1.0015698340924504</v>
      </c>
      <c r="F35" s="233">
        <v>1.0033929924169178</v>
      </c>
      <c r="H35" s="233">
        <v>1.0055030785076984</v>
      </c>
      <c r="J35" s="233">
        <v>1.0079426904930311</v>
      </c>
      <c r="L35" s="233">
        <v>1.0107664702772483</v>
      </c>
      <c r="N35" s="233">
        <v>1.0140455742243684</v>
      </c>
      <c r="P35" s="233">
        <v>1.0178742021709299</v>
      </c>
      <c r="R35" s="233">
        <v>1.0223796693009357</v>
      </c>
      <c r="T35" s="233">
        <v>1.0277382448318502</v>
      </c>
      <c r="V35" s="233">
        <v>1.0342011350813651</v>
      </c>
      <c r="X35" s="233">
        <v>1.0421389568942048</v>
      </c>
      <c r="Z35" s="233">
        <v>1.0521220365875945</v>
      </c>
      <c r="AB35" s="233">
        <v>1.0650748374895553</v>
      </c>
      <c r="AD35" s="233">
        <v>1.0825967136178338</v>
      </c>
      <c r="AF35" s="233">
        <v>1.1076944860322675</v>
      </c>
      <c r="AH35" s="233">
        <v>1.1466693057722264</v>
      </c>
      <c r="AJ35" s="233">
        <v>1.2148214491374123</v>
      </c>
      <c r="AL35" s="233">
        <v>1.358693719936984</v>
      </c>
      <c r="AN35" s="233">
        <v>1.8054729620172414</v>
      </c>
      <c r="AP35" s="233">
        <v>2.0280055310324121</v>
      </c>
      <c r="AR35" s="233">
        <v>2.3935630903987191</v>
      </c>
      <c r="AT35" s="233">
        <v>3.1025096080499863</v>
      </c>
      <c r="AV35" s="233"/>
    </row>
    <row r="36" spans="1:49 16319:16321" x14ac:dyDescent="0.2">
      <c r="A36" t="s">
        <v>21</v>
      </c>
      <c r="B36" s="37">
        <v>0.47195767671987948</v>
      </c>
      <c r="C36" s="38">
        <v>0.3173883442817898</v>
      </c>
      <c r="D36" s="37">
        <v>0.47197867924032394</v>
      </c>
      <c r="E36" s="38">
        <v>0.31988627328137004</v>
      </c>
      <c r="F36" s="37">
        <v>0.47199935184531705</v>
      </c>
      <c r="G36" s="38">
        <v>0.32255078597774145</v>
      </c>
      <c r="H36" s="37">
        <v>0.47201971938926551</v>
      </c>
      <c r="I36" s="38">
        <v>0.32540655828930676</v>
      </c>
      <c r="J36" s="37">
        <v>0.4720398047068769</v>
      </c>
      <c r="K36" s="38">
        <v>0.32848360980752511</v>
      </c>
      <c r="L36" s="37">
        <v>0.47205962618616948</v>
      </c>
      <c r="M36" s="38">
        <v>0.33181894115800925</v>
      </c>
      <c r="N36" s="37">
        <v>0.47207919456999903</v>
      </c>
      <c r="O36" s="38">
        <v>0.33545886148621418</v>
      </c>
      <c r="P36" s="37">
        <v>0.47209850555527294</v>
      </c>
      <c r="Q36" s="38">
        <v>0.33946228766906089</v>
      </c>
      <c r="R36" s="37">
        <v>0.47211752754836023</v>
      </c>
      <c r="S36" s="38">
        <v>0.34390567570039959</v>
      </c>
      <c r="T36" s="37">
        <v>0.4721361820126509</v>
      </c>
      <c r="U36" s="38">
        <v>0.34889051166980189</v>
      </c>
      <c r="V36" s="37">
        <v>0.47215431050571921</v>
      </c>
      <c r="W36" s="38">
        <v>0.35455517903991263</v>
      </c>
      <c r="X36" s="37">
        <v>0.4721716129161318</v>
      </c>
      <c r="Y36" s="38">
        <v>0.36109453115103968</v>
      </c>
      <c r="Z36" s="37">
        <v>0.47218753828485116</v>
      </c>
      <c r="AA36" s="38">
        <v>0.36879383642281838</v>
      </c>
      <c r="AB36" s="37">
        <v>0.47220108476738881</v>
      </c>
      <c r="AC36" s="38">
        <v>0.37809124243000397</v>
      </c>
      <c r="AD36" s="37">
        <v>0.47221042880389474</v>
      </c>
      <c r="AE36" s="38">
        <v>0.38970119915546853</v>
      </c>
      <c r="AF36" s="37">
        <v>0.472212247225689</v>
      </c>
      <c r="AG36" s="38">
        <v>0.40488016889812406</v>
      </c>
      <c r="AH36" s="37">
        <v>0.47220064816836183</v>
      </c>
      <c r="AI36" s="38">
        <v>0.42606202357051054</v>
      </c>
      <c r="AJ36" s="37">
        <v>0.47216645565552912</v>
      </c>
      <c r="AK36" s="38">
        <v>0.45859642355921026</v>
      </c>
      <c r="AL36" s="37">
        <v>0.47210183003687595</v>
      </c>
      <c r="AM36" s="38">
        <v>0.516654907937805</v>
      </c>
      <c r="AN36" s="37">
        <v>0.47202397040712424</v>
      </c>
      <c r="AO36" s="38">
        <v>0.65642482070496222</v>
      </c>
      <c r="AP36" s="37">
        <v>0.47201408410695861</v>
      </c>
      <c r="AQ36" s="38">
        <v>0.7145886871639846</v>
      </c>
      <c r="AR36" s="37">
        <v>0.47201113916808274</v>
      </c>
      <c r="AS36" s="38">
        <v>0.80102918334963169</v>
      </c>
      <c r="AT36" s="37">
        <v>0.47202294981950232</v>
      </c>
      <c r="AU36" s="38">
        <v>0.94831045737342179</v>
      </c>
      <c r="AV36" s="37"/>
      <c r="AW36" s="38"/>
    </row>
    <row r="37" spans="1:49 16319:16321" x14ac:dyDescent="0.2">
      <c r="B37" s="39">
        <v>2.1403217525954241E-2</v>
      </c>
      <c r="C37" s="40">
        <v>0.34962461301992537</v>
      </c>
      <c r="D37" s="39">
        <v>2.0289398657206942E-2</v>
      </c>
      <c r="E37" s="40">
        <v>0.34487546885180115</v>
      </c>
      <c r="F37" s="39">
        <v>1.9181443964922607E-2</v>
      </c>
      <c r="G37" s="40">
        <v>0.33997502823946951</v>
      </c>
      <c r="H37" s="39">
        <v>1.8078794897737241E-2</v>
      </c>
      <c r="I37" s="40">
        <v>0.33490900824731529</v>
      </c>
      <c r="J37" s="39">
        <v>1.6980895928359389E-2</v>
      </c>
      <c r="K37" s="40">
        <v>0.3296610500394051</v>
      </c>
      <c r="L37" s="39">
        <v>1.5887180020651048E-2</v>
      </c>
      <c r="M37" s="40">
        <v>0.32421219248268357</v>
      </c>
      <c r="N37" s="39">
        <v>1.4797041806630423E-2</v>
      </c>
      <c r="O37" s="40">
        <v>0.31854011846556296</v>
      </c>
      <c r="P37" s="39">
        <v>1.3709822941602926E-2</v>
      </c>
      <c r="Q37" s="40">
        <v>0.31261825062526155</v>
      </c>
      <c r="R37" s="39">
        <v>1.2624774057461013E-2</v>
      </c>
      <c r="S37" s="40">
        <v>0.30641438663415071</v>
      </c>
      <c r="T37" s="39">
        <v>1.1541012456991405E-2</v>
      </c>
      <c r="U37" s="40">
        <v>0.29988879810071239</v>
      </c>
      <c r="V37" s="39">
        <v>1.0457459554705372E-2</v>
      </c>
      <c r="W37" s="40">
        <v>0.29299141585142413</v>
      </c>
      <c r="X37" s="39">
        <v>9.3727583596156724E-3</v>
      </c>
      <c r="Y37" s="40">
        <v>0.28565759834942889</v>
      </c>
      <c r="Z37" s="39">
        <v>8.2851650921179649E-3</v>
      </c>
      <c r="AA37" s="40">
        <v>0.27780151511605222</v>
      </c>
      <c r="AB37" s="39">
        <v>7.1924285454873244E-3</v>
      </c>
      <c r="AC37" s="40">
        <v>0.26930547457780563</v>
      </c>
      <c r="AD37" s="39">
        <v>6.0917330010517162E-3</v>
      </c>
      <c r="AE37" s="40">
        <v>0.26000219613494158</v>
      </c>
      <c r="AF37" s="39">
        <v>4.9800134472131651E-3</v>
      </c>
      <c r="AG37" s="40">
        <v>0.24964492473077585</v>
      </c>
      <c r="AH37" s="39">
        <v>3.8557343728696869E-3</v>
      </c>
      <c r="AI37" s="40">
        <v>0.23785824396197355</v>
      </c>
      <c r="AJ37" s="39">
        <v>2.7255906493036052E-3</v>
      </c>
      <c r="AK37" s="40">
        <v>0.22406734009004187</v>
      </c>
      <c r="AL37" s="39">
        <v>1.6232810290434697E-3</v>
      </c>
      <c r="AM37" s="40">
        <v>0.20741672562460195</v>
      </c>
      <c r="AN37" s="39">
        <v>6.3947987246861329E-4</v>
      </c>
      <c r="AO37" s="40">
        <v>0.18643850355498329</v>
      </c>
      <c r="AP37" s="39">
        <v>4.7073413772065877E-4</v>
      </c>
      <c r="AQ37" s="40">
        <v>0.18142616700045122</v>
      </c>
      <c r="AR37" s="39">
        <v>3.1615208305287322E-4</v>
      </c>
      <c r="AS37" s="40">
        <v>0.17597604521040217</v>
      </c>
      <c r="AT37" s="39">
        <v>1.7958507161069059E-4</v>
      </c>
      <c r="AU37" s="40">
        <v>0.16991579638434287</v>
      </c>
      <c r="AV37" s="39"/>
      <c r="AW37" s="40"/>
    </row>
    <row r="38" spans="1:49 16319:16321" x14ac:dyDescent="0.2">
      <c r="A38" t="s">
        <v>22</v>
      </c>
      <c r="B38" s="37">
        <v>0.18079094942242827</v>
      </c>
      <c r="C38" s="38">
        <v>6.0565413429233668E-2</v>
      </c>
      <c r="D38" s="37">
        <v>0.18251743801972387</v>
      </c>
      <c r="E38" s="38">
        <v>6.1363699305553444E-2</v>
      </c>
      <c r="F38" s="37">
        <v>0.18432068514976208</v>
      </c>
      <c r="G38" s="38">
        <v>6.2224255481761359E-2</v>
      </c>
      <c r="H38" s="37">
        <v>0.18620997713779985</v>
      </c>
      <c r="I38" s="38">
        <v>6.3156319950899667E-2</v>
      </c>
      <c r="J38" s="37">
        <v>0.18819640894784681</v>
      </c>
      <c r="K38" s="38">
        <v>6.4171198222400361E-2</v>
      </c>
      <c r="L38" s="37">
        <v>0.19029341884792567</v>
      </c>
      <c r="M38" s="38">
        <v>6.5282933252918687E-2</v>
      </c>
      <c r="N38" s="37">
        <v>0.19251754188181167</v>
      </c>
      <c r="O38" s="38">
        <v>6.6509101082015479E-2</v>
      </c>
      <c r="P38" s="37">
        <v>0.19488955548421902</v>
      </c>
      <c r="Q38" s="38">
        <v>6.7872276674911469E-2</v>
      </c>
      <c r="R38" s="37">
        <v>0.1974361797886646</v>
      </c>
      <c r="S38" s="38">
        <v>6.9401892199284707E-2</v>
      </c>
      <c r="T38" s="37">
        <v>0.20019270631331437</v>
      </c>
      <c r="U38" s="38">
        <v>7.1137312024938781E-2</v>
      </c>
      <c r="V38" s="37">
        <v>0.20320726360849439</v>
      </c>
      <c r="W38" s="38">
        <v>7.3132677115814296E-2</v>
      </c>
      <c r="X38" s="37">
        <v>0.20654806128234357</v>
      </c>
      <c r="Y38" s="38">
        <v>7.5464997718826865E-2</v>
      </c>
      <c r="Z38" s="37">
        <v>0.21031633990355145</v>
      </c>
      <c r="AA38" s="38">
        <v>7.8248417569556264E-2</v>
      </c>
      <c r="AB38" s="37">
        <v>0.21467103860954381</v>
      </c>
      <c r="AC38" s="38">
        <v>8.1660986282314607E-2</v>
      </c>
      <c r="AD38" s="37">
        <v>0.21987941555101087</v>
      </c>
      <c r="AE38" s="38">
        <v>8.5998918408819305E-2</v>
      </c>
      <c r="AF38" s="37">
        <v>0.22643052528702984</v>
      </c>
      <c r="AG38" s="38">
        <v>9.1797421959896111E-2</v>
      </c>
      <c r="AH38" s="37">
        <v>0.23531844118807183</v>
      </c>
      <c r="AI38" s="38">
        <v>0.10013386646063391</v>
      </c>
      <c r="AJ38" s="37">
        <v>0.24885786254335346</v>
      </c>
      <c r="AK38" s="38">
        <v>0.11352050072580121</v>
      </c>
      <c r="AL38" s="37">
        <v>0.2737464871899119</v>
      </c>
      <c r="AM38" s="38">
        <v>0.13931340715406723</v>
      </c>
      <c r="AN38" s="37">
        <v>0.34556908711752754</v>
      </c>
      <c r="AO38" s="38">
        <v>0.21389443076104464</v>
      </c>
      <c r="AP38" s="37">
        <v>0.38631361560747729</v>
      </c>
      <c r="AQ38" s="38">
        <v>0.25232737438413549</v>
      </c>
      <c r="AR38" s="37">
        <v>0.47533603807531588</v>
      </c>
      <c r="AS38" s="38">
        <v>0.32391925523593146</v>
      </c>
      <c r="AT38" s="37">
        <v>1.2120726479236341</v>
      </c>
      <c r="AU38" s="38">
        <v>0.63985040491054979</v>
      </c>
      <c r="AV38" s="37"/>
      <c r="AW38" s="38"/>
    </row>
    <row r="39" spans="1:49 16319:16321" x14ac:dyDescent="0.2">
      <c r="A39" t="s">
        <v>23</v>
      </c>
      <c r="B39" s="39">
        <v>0.23064923795098236</v>
      </c>
      <c r="C39" s="40">
        <v>0.22092201281804777</v>
      </c>
      <c r="D39" s="39">
        <v>0.22931205150261169</v>
      </c>
      <c r="E39" s="40">
        <v>0.2221260392260537</v>
      </c>
      <c r="F39" s="39">
        <v>0.22802282832347409</v>
      </c>
      <c r="G39" s="40">
        <v>0.22350562339898311</v>
      </c>
      <c r="H39" s="39">
        <v>0.22678023672456896</v>
      </c>
      <c r="I39" s="40">
        <v>0.22508396245583362</v>
      </c>
      <c r="J39" s="39">
        <v>0.22558320714577415</v>
      </c>
      <c r="K39" s="40">
        <v>0.22688958576758553</v>
      </c>
      <c r="L39" s="39">
        <v>0.22443093791319463</v>
      </c>
      <c r="M39" s="40">
        <v>0.2289579455951089</v>
      </c>
      <c r="N39" s="39">
        <v>0.22332291207997204</v>
      </c>
      <c r="O39" s="40">
        <v>0.23133386435557771</v>
      </c>
      <c r="P39" s="39">
        <v>0.22225883763951318</v>
      </c>
      <c r="Q39" s="40">
        <v>0.234074595427612</v>
      </c>
      <c r="R39" s="39">
        <v>0.22123859700569687</v>
      </c>
      <c r="S39" s="40">
        <v>0.2372547958898924</v>
      </c>
      <c r="T39" s="39">
        <v>0.22026214619155488</v>
      </c>
      <c r="U39" s="40">
        <v>0.24097382680806756</v>
      </c>
      <c r="V39" s="39">
        <v>0.21932930086590768</v>
      </c>
      <c r="W39" s="40">
        <v>0.24536736946770857</v>
      </c>
      <c r="X39" s="39">
        <v>0.21843928916613073</v>
      </c>
      <c r="Y39" s="40">
        <v>0.25062650348509596</v>
      </c>
      <c r="Z39" s="39">
        <v>0.21758984669450218</v>
      </c>
      <c r="AA39" s="40">
        <v>0.25703068795443812</v>
      </c>
      <c r="AB39" s="39">
        <v>0.2167753346902786</v>
      </c>
      <c r="AC39" s="40">
        <v>0.26500828677003574</v>
      </c>
      <c r="AD39" s="39">
        <v>0.21598274789326688</v>
      </c>
      <c r="AE39" s="40">
        <v>0.27525605581532736</v>
      </c>
      <c r="AF39" s="39">
        <v>0.21518315589164544</v>
      </c>
      <c r="AG39" s="40">
        <v>0.28899726326349978</v>
      </c>
      <c r="AH39" s="39">
        <v>0.21431379415553273</v>
      </c>
      <c r="AI39" s="40">
        <v>0.30860628575892457</v>
      </c>
      <c r="AJ39" s="39">
        <v>0.21324482127591601</v>
      </c>
      <c r="AK39" s="40">
        <v>0.33936295488747609</v>
      </c>
      <c r="AL39" s="39">
        <v>0.21172861697693957</v>
      </c>
      <c r="AM39" s="40">
        <v>0.39567170959038028</v>
      </c>
      <c r="AN39" s="39">
        <v>0.20909098848101923</v>
      </c>
      <c r="AO39" s="40">
        <v>0.53731169927444233</v>
      </c>
      <c r="AP39" s="39">
        <v>0.20816976576415824</v>
      </c>
      <c r="AQ39" s="40">
        <v>0.59817713006514639</v>
      </c>
      <c r="AR39" s="39">
        <v>0.20686994999549424</v>
      </c>
      <c r="AS39" s="40">
        <v>0.69009950602343773</v>
      </c>
      <c r="AT39" s="39">
        <v>0.20476981267822283</v>
      </c>
      <c r="AU39" s="40">
        <v>0.84932463524301693</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9.2737876471983283E-2</v>
      </c>
      <c r="E42" s="135"/>
      <c r="F42" s="177">
        <f>10.8%+(1-10.8%)*(1-SUM(F26:G26)/SUM($B$26:$C$26))</f>
        <v>7.7079711724726177E-2</v>
      </c>
      <c r="G42" s="135"/>
      <c r="H42" s="177">
        <f>10.8%+(1-10.8%)*(1-SUM(H26:I26)/SUM($B$26:$C$26))</f>
        <v>6.0973721243095441E-2</v>
      </c>
      <c r="I42" s="135"/>
      <c r="J42" s="177">
        <f>10.8%+(1-10.8%)*(1-SUM(J26:K26)/SUM($B$26:$C$26))</f>
        <v>4.4358832671692869E-2</v>
      </c>
      <c r="K42" s="135"/>
      <c r="L42" s="177">
        <f>10.8%+(1-10.8%)*(1-SUM(L26:M26)/SUM($B$26:$C$26))</f>
        <v>2.7161790775457856E-2</v>
      </c>
      <c r="M42" s="135"/>
      <c r="N42" s="177">
        <f>10.8%+(1-10.8%)*(1-SUM(N26:O26)/SUM($B$26:$C$26))</f>
        <v>9.2932359179064006E-3</v>
      </c>
      <c r="O42" s="135"/>
      <c r="P42" s="177">
        <f>10.8%+(1-10.8%)*(1-SUM(P26:Q26)/SUM($B$26:$C$26))</f>
        <v>-9.358691124922755E-3</v>
      </c>
      <c r="Q42" s="135"/>
      <c r="R42" s="177">
        <f>10.8%+(1-10.8%)*(1-SUM(R26:S26)/SUM($B$26:$C$26))</f>
        <v>-2.8937607730889908E-2</v>
      </c>
      <c r="S42" s="135"/>
      <c r="T42" s="177">
        <f>10.8%+(1-10.8%)*(1-SUM(T26:U26)/SUM($B$26:$C$26))</f>
        <v>-4.9633522549566045E-2</v>
      </c>
      <c r="U42" s="135"/>
      <c r="V42" s="177">
        <f>10.8%+(1-10.8%)*(1-SUM(V26:W26)/SUM($B$26:$C$26))</f>
        <v>-7.1706798444855585E-2</v>
      </c>
      <c r="W42" s="135"/>
      <c r="X42" s="177">
        <f>10.8%+(1-10.8%)*(1-SUM(X26:Y26)/SUM($B$26:$C$26))</f>
        <v>-9.5529422297232186E-2</v>
      </c>
      <c r="Y42" s="162"/>
      <c r="Z42" s="177">
        <f>10.8%+(1-10.8%)*(1-SUM(Z26:AA26)/SUM($B$26:$C$26))</f>
        <v>-0.12165965824585834</v>
      </c>
      <c r="AA42" s="135"/>
      <c r="AB42" s="177">
        <f>10.8%+(1-10.8%)*(1-SUM(AB26:AC26)/SUM($B$26:$C$26))</f>
        <v>-0.15098589719371744</v>
      </c>
      <c r="AC42" s="135"/>
      <c r="AD42" s="177">
        <f>10.8%+(1-10.8%)*(1-SUM(AD26:AE26)/SUM($B$26:$C$26))</f>
        <v>-0.18502474770958746</v>
      </c>
      <c r="AE42" s="135"/>
      <c r="AF42" s="177">
        <f>10.8%+(1-10.8%)*(1-SUM(AF26:AG26)/SUM($B$26:$C$26))</f>
        <v>-0.22659359086372935</v>
      </c>
      <c r="AG42" s="135"/>
      <c r="AH42" s="177">
        <f>10.8%+(1-10.8%)*(1-SUM(AH26:AI26)/SUM($B$26:$C$26))</f>
        <v>-0.2814906213944095</v>
      </c>
      <c r="AI42" s="135"/>
      <c r="AJ42" s="177">
        <f>10.8%+(1-10.8%)*(1-SUM(AJ26:AK26)/SUM($B$26:$C$26))</f>
        <v>-0.36329766670922514</v>
      </c>
      <c r="AK42" s="135"/>
      <c r="AL42" s="177">
        <f>10.8%+(1-10.8%)*(1-SUM(AL26:AM26)/SUM($B$26:$C$26))</f>
        <v>-0.51117902720042308</v>
      </c>
      <c r="AM42" s="135"/>
      <c r="AN42" s="177">
        <f>10.8%+(1-10.8%)*(1-SUM(AN26:AO26)/SUM($B$26:$C$26))</f>
        <v>-0.93201755036886891</v>
      </c>
      <c r="AO42" s="135"/>
      <c r="AP42" s="177">
        <f>10.8%+(1-10.8%)*(1-SUM(AP26:AQ26)/SUM($B$26:$C$26))</f>
        <v>-1.1693818701037408</v>
      </c>
      <c r="AQ42" s="135"/>
      <c r="AR42" s="177">
        <f>10.8%+(1-10.8%)*(1-SUM(AR26:AS26)/SUM($B$26:$C$26))</f>
        <v>-1.6860731326525353</v>
      </c>
      <c r="AS42" s="135"/>
      <c r="AT42" s="177">
        <f>10.8%+(1-10.8%)*(1-SUM(AT26:AU26)/SUM($B$26:$C$26))</f>
        <v>-5.9195436934991061</v>
      </c>
      <c r="AU42" s="135"/>
      <c r="AV42" s="177">
        <f>10.8%+(1-10.8%)*(1-SUM(AV26:AW26)/SUM($B$26:$C$26))</f>
        <v>1</v>
      </c>
    </row>
    <row r="43" spans="1:49 16319:16321" x14ac:dyDescent="0.2">
      <c r="A43" t="s">
        <v>108</v>
      </c>
      <c r="B43" s="162">
        <f>SUM(B15:C15*B27:C27)/SUM(B15:C15*B27:C27,B13:C13*B26:C26)</f>
        <v>0.56058995943838641</v>
      </c>
      <c r="C43" s="135"/>
      <c r="D43" s="162">
        <f t="array" ref="D43">SUM(D15:E15*D27:E27)/SUM(D15:E15*D27:E27,D13:E13*D26:E26)</f>
        <v>0.57555092599515612</v>
      </c>
      <c r="E43" s="135"/>
      <c r="F43" s="162">
        <f t="array" ref="F43">SUM(F15:G15*F27:G27)/SUM(F15:G15*F27:G27,F13:G13*F26:G26)</f>
        <v>0.58394482121265412</v>
      </c>
      <c r="G43" s="135"/>
      <c r="H43" s="162">
        <f t="array" ref="H43">SUM(H15:I15*H27:I27)/SUM(H15:I15*H27:I27,H13:I13*H26:I26)</f>
        <v>0.59239987311158859</v>
      </c>
      <c r="I43" s="135"/>
      <c r="J43" s="162">
        <f t="array" ref="J43">SUM(J15:K15*J27:K27)/SUM(J15:K15*J27:K27,J13:K13*J26:K26)</f>
        <v>0.60093637047445803</v>
      </c>
      <c r="K43" s="135"/>
      <c r="L43" s="162">
        <f t="array" ref="L43">SUM(L15:M15*L27:M27)/SUM(L15:M15*L27:M27,L13:M13*L26:M26)</f>
        <v>0.60957824590404608</v>
      </c>
      <c r="M43" s="135"/>
      <c r="N43" s="162">
        <f t="array" ref="N43">SUM(N15:O15*N27:O27)/SUM(N15:O15*N27:O27,N13:O13*N26:O26)</f>
        <v>0.61835458108918828</v>
      </c>
      <c r="O43" s="135"/>
      <c r="P43" s="162">
        <f t="array" ref="P43">SUM(P15:Q15*P27:Q27)/SUM(P15:Q15*P27:Q27,P13:Q13*P26:Q26)</f>
        <v>0.62730156056031006</v>
      </c>
      <c r="Q43" s="135"/>
      <c r="R43" s="162">
        <f t="array" ref="R43">SUM(R15:S15*R27:S27)/SUM(R15:S15*R27:S27,R13:S13*R26:S26)</f>
        <v>0.63646573029721243</v>
      </c>
      <c r="S43" s="135"/>
      <c r="T43" s="162">
        <f t="array" ref="T43">SUM(T15:U15*T27:U27)/SUM(T15:U15*T27:U27,T13:U13*T26:U26)</f>
        <v>0.64590884488059996</v>
      </c>
      <c r="U43" s="135"/>
      <c r="V43" s="162">
        <f t="array" ref="V43">SUM(V15:W15*V27:W27)/SUM(V15:W15*V27:W27,V13:W13*V26:W26)</f>
        <v>0.65571576704793177</v>
      </c>
      <c r="W43" s="135"/>
      <c r="X43" s="162">
        <f t="array" ref="X43">SUM(X15:Y15*X27:Y27)/SUM(X15:Y15*X27:Y27,X13:Y13*X26:Y26)</f>
        <v>0.66600784667544255</v>
      </c>
      <c r="Y43" s="135"/>
      <c r="Z43" s="162">
        <f t="array" ref="Z43">SUM(Z15:AA15*Z27:AA27)/SUM(Z15:AA15*Z27:AA27,Z13:AA13*Z26:AA26)</f>
        <v>0.67696640683173159</v>
      </c>
      <c r="AA43" s="135"/>
      <c r="AB43" s="162">
        <f t="array" ref="AB43">SUM(AB15:AC15*AB27:AC27)/SUM(AB15:AC15*AB27:AC27,AB13:AC13*AB26:AC26)</f>
        <v>0.68887616457397993</v>
      </c>
      <c r="AC43" s="135"/>
      <c r="AD43" s="162">
        <f t="array" ref="AD43">SUM(AD15:AE15*AD27:AE27)/SUM(AD15:AE15*AD27:AE27,AD13:AE13*AD26:AE26)</f>
        <v>0.70220997814132713</v>
      </c>
      <c r="AE43" s="135"/>
      <c r="AF43" s="162">
        <f t="array" ref="AF43">SUM(AF15:AG15*AF27:AG27)/SUM(AF15:AG15*AF27:AG27,AF13:AG13*AF26:AG26)</f>
        <v>0.71780362481861215</v>
      </c>
      <c r="AG43" s="135"/>
      <c r="AH43" s="162">
        <f t="array" ref="AH43">SUM(AH15:AI15*AH27:AI27)/SUM(AH15:AI15*AH27:AI27,AH13:AI13*AH26:AI26)</f>
        <v>0.73723418325292356</v>
      </c>
      <c r="AI43" s="135"/>
      <c r="AJ43" s="162">
        <f t="array" ref="AJ43">SUM(AJ15:AK15*AJ27:AK27)/SUM(AJ15:AK15*AJ27:AK27,AJ13:AK13*AJ26:AK26)</f>
        <v>0.76366913347256749</v>
      </c>
      <c r="AK43" s="135"/>
      <c r="AL43" s="162">
        <f t="array" ref="AL43">SUM(AL15:AM15*AL27:AM27)/SUM(AL15:AM15*AL27:AM27,AL13:AM13*AL26:AM26)</f>
        <v>0.80399273842124386</v>
      </c>
      <c r="AM43" s="135"/>
      <c r="AN43" s="162">
        <f t="array" ref="AN43">SUM(AN15:AO15*AN27:AO27)/SUM(AN15:AO15*AN27:AO27,AN13:AO13*AN26:AO26)</f>
        <v>0.87912644976723597</v>
      </c>
      <c r="AO43" s="135"/>
      <c r="AP43" s="162">
        <f t="array" ref="AP43">SUM(AP15:AQ15*AP27:AQ27)/SUM(AP15:AQ15*AP27:AQ27,AP13:AQ13*AP26:AQ26)</f>
        <v>0.90504211736355411</v>
      </c>
      <c r="AQ43" s="135"/>
      <c r="AR43" s="162">
        <f t="array" ref="AR43">SUM(AR15:AS15*AR27:AS27)/SUM(AR15:AS15*AR27:AS27,AR13:AS13*AR26:AS26)</f>
        <v>0.94008425882681013</v>
      </c>
      <c r="AS43" s="135"/>
      <c r="AT43" s="162">
        <f t="array" ref="AT43">SUM(AT15:AU15*AT27:AU27)/SUM(AT15:AU15*AT27:AU27,AT13:AU13*AT26:AU26)</f>
        <v>0.99304275846422441</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0.29754226057495653</v>
      </c>
      <c r="F44" s="193">
        <f>(SUM(F11:G11*F24:G24)+F34)/F32</f>
        <v>0.29754226190832389</v>
      </c>
      <c r="H44" s="193">
        <f>(SUM(H11:I11*H24:I24)+H34)/H32</f>
        <v>0.29754226188700711</v>
      </c>
      <c r="J44" s="193">
        <f>(SUM(J11:K11*J24:K24)+J34)/J32</f>
        <v>0.29754226032921888</v>
      </c>
      <c r="L44" s="193">
        <f>(SUM(L11:M11*L24:M24)+L34)/L32</f>
        <v>0.29754226180648019</v>
      </c>
      <c r="N44" s="193">
        <f>(SUM(N11:O11*N24:O24)+N34)/N32</f>
        <v>0.29754226189897376</v>
      </c>
      <c r="P44" s="193">
        <f>(SUM(P11:Q11*P24:Q24)+P34)/P32</f>
        <v>0.29754226068086459</v>
      </c>
      <c r="R44" s="193">
        <f>(SUM(R11:S11*R24:S24)+R34)/R32</f>
        <v>0.29754225884272628</v>
      </c>
      <c r="T44" s="193">
        <f>(SUM(T11:U11*T24:U24)+T34)/T32</f>
        <v>0.29754225959959962</v>
      </c>
      <c r="V44" s="193">
        <f>(SUM(V11:W11*V24:W24)+V34)/V32</f>
        <v>0.29754226041600518</v>
      </c>
      <c r="X44" s="193">
        <f>(SUM(X11:Y11*X24:Y24)+X34)/X32</f>
        <v>0.29754226000352096</v>
      </c>
      <c r="Z44" s="193">
        <f>(SUM(Z11:AA11*Z24:AA24)+Z34)/Z32</f>
        <v>0.29754225969992054</v>
      </c>
      <c r="AB44" s="193">
        <f>(SUM(AB11:AC11*AB24:AC24)+AB34)/AB32</f>
        <v>0.2975422618784177</v>
      </c>
      <c r="AD44" s="193">
        <f>(SUM(AD11:AE11*AD24:AE24)+AD34)/AD32</f>
        <v>0.29754226191612676</v>
      </c>
      <c r="AF44" s="193">
        <f>(SUM(AF11:AG11*AF24:AG24)+AF34)/AF32</f>
        <v>0.29754226187498373</v>
      </c>
      <c r="AH44" s="193">
        <f>(SUM(AH11:AI11*AH24:AI24)+AH34)/AH32</f>
        <v>0.29754226192118793</v>
      </c>
      <c r="AJ44" s="193">
        <f>(SUM(AJ11:AK11*AJ24:AK24)+AJ34)/AJ32</f>
        <v>0.29754226184785282</v>
      </c>
      <c r="AL44" s="193">
        <f>(SUM(AL11:AM11*AL24:AM24)+AL34)/AL32</f>
        <v>0.29754226189599897</v>
      </c>
      <c r="AN44" s="193">
        <f>(SUM(AN11:AO11*AN24:AO24)+AN34)/AN32</f>
        <v>0.29754226190681016</v>
      </c>
      <c r="AP44" s="193">
        <f>(SUM(AP11:AQ11*AP24:AQ24)+AP34)/AP32</f>
        <v>0.29754226190682226</v>
      </c>
      <c r="AR44" s="193">
        <f>(SUM(AR11:AS11*AR24:AS24)+AR34)/AR32</f>
        <v>0.29754226190682392</v>
      </c>
      <c r="AT44" s="193">
        <f>(SUM(AT11:AU11*AT24:AU24)+AT34)/AT32</f>
        <v>0.29754226190684419</v>
      </c>
      <c r="AV44" s="193" t="e">
        <f>(SUM(AV11:AW11*AV24:AW24)+AV34)/AV32</f>
        <v>#DIV/0!</v>
      </c>
    </row>
    <row r="45" spans="1:49 16319:16321" x14ac:dyDescent="0.2">
      <c r="A45" t="s">
        <v>82</v>
      </c>
      <c r="B45" s="193">
        <f>SUM(B11:C11*B24:C24)/B32</f>
        <v>0.22038438833194082</v>
      </c>
      <c r="D45" s="193">
        <f>SUM(D11:E11*D24:E24)/D32</f>
        <v>0.22038438801813434</v>
      </c>
      <c r="F45" s="193">
        <f>SUM(F11:G11*F24:G24)/F32</f>
        <v>0.22038438830072934</v>
      </c>
      <c r="H45" s="193">
        <f>SUM(H11:I11*H24:I24)/H32</f>
        <v>0.22038438828638754</v>
      </c>
      <c r="J45" s="193">
        <f>SUM(J11:K11*J24:K24)/J32</f>
        <v>0.22038438816176747</v>
      </c>
      <c r="L45" s="193">
        <f>SUM(L11:M11*L24:M24)/L32</f>
        <v>0.22038438827431844</v>
      </c>
      <c r="N45" s="193">
        <f>SUM(N11:O11*N24:O24)/N32</f>
        <v>0.22038438833376442</v>
      </c>
      <c r="P45" s="193">
        <f>SUM(P11:Q11*P24:Q24)/P32</f>
        <v>0.22038438833099383</v>
      </c>
      <c r="R45" s="193">
        <f>SUM(R11:S11*R24:S24)/R32</f>
        <v>0.22038438832863855</v>
      </c>
      <c r="T45" s="193">
        <f>SUM(T11:U11*T24:U24)/T32</f>
        <v>0.2203843883294129</v>
      </c>
      <c r="V45" s="193">
        <f>SUM(V11:W11*V24:W24)/V32</f>
        <v>0.22038438833017254</v>
      </c>
      <c r="X45" s="193">
        <f>SUM(X11:Y11*X24:Y24)/X32</f>
        <v>0.22038438832928903</v>
      </c>
      <c r="Z45" s="193">
        <f>SUM(Z11:AA11*Z24:AA24)/Z32</f>
        <v>0.22038438832808838</v>
      </c>
      <c r="AB45" s="193">
        <f>SUM(AB11:AC11*AB24:AC24)/AB32</f>
        <v>0.22038438833136362</v>
      </c>
      <c r="AD45" s="193">
        <f>SUM(AD11:AE11*AD24:AE24)/AD32</f>
        <v>0.22038438833169369</v>
      </c>
      <c r="AF45" s="193">
        <f>SUM(AF11:AG11*AF24:AG24)/AF32</f>
        <v>0.22038438833237989</v>
      </c>
      <c r="AH45" s="193">
        <f>SUM(AH11:AI11*AH24:AI24)/AH32</f>
        <v>0.22038438833092899</v>
      </c>
      <c r="AJ45" s="193">
        <f>SUM(AJ11:AK11*AJ24:AK24)/AJ32</f>
        <v>0.22038438833190729</v>
      </c>
      <c r="AL45" s="193">
        <f>SUM(AL11:AM11*AL24:AM24)/AL32</f>
        <v>0.22038438833180235</v>
      </c>
      <c r="AN45" s="193">
        <f>SUM(AN11:AO11*AN24:AO24)/AN32</f>
        <v>0.22038438833194168</v>
      </c>
      <c r="AP45" s="193">
        <f>SUM(AP11:AQ11*AP24:AQ24)/AP32</f>
        <v>0.22038438833194104</v>
      </c>
      <c r="AR45" s="193">
        <f>SUM(AR11:AS11*AR24:AS24)/AR32</f>
        <v>0.22038438833194085</v>
      </c>
      <c r="AT45" s="193">
        <f>SUM(AT11:AU11*AT24:AU24)/AT32</f>
        <v>0.2203843883319265</v>
      </c>
      <c r="AV45" s="193" t="e">
        <f>SUM(AV11:AW11*AV24:AW24)/AV32</f>
        <v>#DIV/0!</v>
      </c>
      <c r="XCQ45" s="193"/>
    </row>
    <row r="46" spans="1:49 16319:16321" x14ac:dyDescent="0.2">
      <c r="A46" t="s">
        <v>139</v>
      </c>
      <c r="B46" s="193">
        <f>B34/B32</f>
        <v>7.7157873574883795E-2</v>
      </c>
      <c r="D46" s="193">
        <f>D34/D32</f>
        <v>7.7157872556822188E-2</v>
      </c>
      <c r="F46" s="193">
        <f>F34/F32</f>
        <v>7.7157873607594574E-2</v>
      </c>
      <c r="H46" s="193">
        <f>H34/H32</f>
        <v>7.7157873600619598E-2</v>
      </c>
      <c r="J46" s="193">
        <f>J34/J32</f>
        <v>7.7157872167451416E-2</v>
      </c>
      <c r="L46" s="193">
        <f>L34/L32</f>
        <v>7.7157873532161719E-2</v>
      </c>
      <c r="N46" s="193">
        <f>N34/N32</f>
        <v>7.7157873565209339E-2</v>
      </c>
      <c r="P46" s="193">
        <f>P34/P32</f>
        <v>7.7157872349870704E-2</v>
      </c>
      <c r="R46" s="193">
        <f>R34/R32</f>
        <v>7.7157870514087748E-2</v>
      </c>
      <c r="T46" s="193">
        <f>T34/T32</f>
        <v>7.7157871270186668E-2</v>
      </c>
      <c r="V46" s="193">
        <f>V34/V32</f>
        <v>7.7157872085832621E-2</v>
      </c>
      <c r="X46" s="193">
        <f>X34/X32</f>
        <v>7.7157871674231951E-2</v>
      </c>
      <c r="Z46" s="193">
        <f>Z34/Z32</f>
        <v>7.7157871371832179E-2</v>
      </c>
      <c r="AB46" s="193">
        <f>AB34/AB32</f>
        <v>7.7157873547054126E-2</v>
      </c>
      <c r="AD46" s="193">
        <f>AD34/AD32</f>
        <v>7.7157873584433059E-2</v>
      </c>
      <c r="AF46" s="193">
        <f>AF34/AF32</f>
        <v>7.7157873542603825E-2</v>
      </c>
      <c r="AH46" s="193">
        <f>AH34/AH32</f>
        <v>7.7157873590258941E-2</v>
      </c>
      <c r="AJ46" s="193">
        <f>AJ34/AJ32</f>
        <v>7.7157873515945566E-2</v>
      </c>
      <c r="AL46" s="193">
        <f>AL34/AL32</f>
        <v>7.7157873564196677E-2</v>
      </c>
      <c r="AN46" s="193">
        <f>AN34/AN32</f>
        <v>7.7157873574868488E-2</v>
      </c>
      <c r="AP46" s="193">
        <f>AP34/AP32</f>
        <v>7.71578735748812E-2</v>
      </c>
      <c r="AR46" s="193">
        <f>AR34/AR32</f>
        <v>7.7157873574883087E-2</v>
      </c>
      <c r="AT46" s="193">
        <f>AT34/AT32</f>
        <v>7.7157873574917685E-2</v>
      </c>
      <c r="AV46" s="193" t="e">
        <f>AV34/AV32</f>
        <v>#DIV/0!</v>
      </c>
      <c r="XCS46" s="193"/>
    </row>
    <row r="48" spans="1:49 16319:16321" x14ac:dyDescent="0.2">
      <c r="A48" t="s">
        <v>159</v>
      </c>
      <c r="B48" s="191">
        <f>B24/$B$24</f>
        <v>1</v>
      </c>
      <c r="C48" s="191"/>
      <c r="D48" s="191">
        <f>D24/$B$24</f>
        <v>1.0101373693266722</v>
      </c>
      <c r="E48" s="191"/>
      <c r="F48" s="191">
        <f>F24/$B$24</f>
        <v>1.020195099203822</v>
      </c>
      <c r="G48" s="191"/>
      <c r="H48" s="191">
        <f>H24/$B$24</f>
        <v>1.0301792736433535</v>
      </c>
      <c r="I48" s="191"/>
      <c r="J48" s="191">
        <f>J24/$B$24</f>
        <v>1.0400963313545488</v>
      </c>
      <c r="K48" s="191"/>
      <c r="L48" s="191">
        <f>L24/$B$24</f>
        <v>1.0499534952095981</v>
      </c>
      <c r="M48" s="191"/>
      <c r="N48" s="191">
        <f>N24/$B$24</f>
        <v>1.0597591604906462</v>
      </c>
      <c r="O48" s="191"/>
      <c r="P48" s="191">
        <f>P24/$B$24</f>
        <v>1.0695240907605492</v>
      </c>
      <c r="Q48" s="191"/>
      <c r="R48" s="191">
        <f>R24/$B$24</f>
        <v>1.0792628120784067</v>
      </c>
      <c r="S48" s="191"/>
      <c r="T48" s="191">
        <f>T24/$B$24</f>
        <v>1.0889962344722366</v>
      </c>
      <c r="U48" s="191"/>
      <c r="V48" s="191">
        <f>V24/$B$24</f>
        <v>1.0987560974669377</v>
      </c>
      <c r="W48" s="191"/>
      <c r="X48" s="191">
        <f>X24/$B$24</f>
        <v>1.1085930190515412</v>
      </c>
      <c r="Y48" s="191"/>
      <c r="Z48" s="191">
        <f>Z24/$B$24</f>
        <v>1.1185915180587294</v>
      </c>
      <c r="AA48" s="191"/>
      <c r="AB48" s="191">
        <f>AB24/$B$24</f>
        <v>1.1288993927463287</v>
      </c>
      <c r="AC48" s="191"/>
      <c r="AD48" s="191">
        <f>AD24/$B$24</f>
        <v>1.1397880102974314</v>
      </c>
      <c r="AE48" s="191"/>
      <c r="AF48" s="191">
        <f>AF24/$B$24</f>
        <v>1.1517820164367818</v>
      </c>
      <c r="AG48" s="191"/>
      <c r="AH48" s="191">
        <f>AH24/$B$24</f>
        <v>1.1659492573834118</v>
      </c>
      <c r="AI48" s="191"/>
      <c r="AJ48" s="191">
        <f>AJ24/$B$24</f>
        <v>1.1845591745886184</v>
      </c>
      <c r="AK48" s="191"/>
      <c r="AL48" s="191">
        <f>AL24/$B$24</f>
        <v>1.21271060883377</v>
      </c>
      <c r="AM48" s="191"/>
      <c r="AN48" s="191">
        <f>AN24/$B$24</f>
        <v>1.2668060552448126</v>
      </c>
      <c r="AO48" s="191"/>
      <c r="AP48" s="191">
        <f>AP24/$B$24</f>
        <v>1.2865073933404663</v>
      </c>
      <c r="AQ48" s="191"/>
      <c r="AR48" s="191">
        <f>AR24/$B$24</f>
        <v>1.3143317584890399</v>
      </c>
      <c r="AS48" s="191"/>
      <c r="AT48" s="191">
        <f>AT24/$B$24</f>
        <v>1.3592228327935332</v>
      </c>
      <c r="AU48" s="191"/>
      <c r="AV48" s="191">
        <f>AV24/$B$24</f>
        <v>0</v>
      </c>
    </row>
    <row r="49" spans="1:48 16321:16384" x14ac:dyDescent="0.2">
      <c r="A49" t="s">
        <v>160</v>
      </c>
      <c r="B49" s="191">
        <f>B13/B35/$B$13*$B$35</f>
        <v>1</v>
      </c>
      <c r="C49" s="191"/>
      <c r="D49" s="191">
        <f>D13/D35/$B$13*$B$35</f>
        <v>0.97126157050017625</v>
      </c>
      <c r="E49" s="191"/>
      <c r="F49" s="191">
        <f>F13/F35/$B$13*$B$35</f>
        <v>0.94237862300259012</v>
      </c>
      <c r="G49" s="191"/>
      <c r="H49" s="191">
        <f>H13/H35/$B$13*$B$35</f>
        <v>0.91329269153019332</v>
      </c>
      <c r="I49" s="191"/>
      <c r="J49" s="191">
        <f>J13/J35/$B$13*$B$35</f>
        <v>0.88393583837488787</v>
      </c>
      <c r="K49" s="191"/>
      <c r="L49" s="191">
        <f>L13/L35/$B$13*$B$35</f>
        <v>0.85422734684800139</v>
      </c>
      <c r="M49" s="191"/>
      <c r="N49" s="191">
        <f>N13/N35/$B$13*$B$35</f>
        <v>0.82406893838345485</v>
      </c>
      <c r="O49" s="191"/>
      <c r="P49" s="191">
        <f>P13/P35/$B$13*$B$35</f>
        <v>0.79333827078998198</v>
      </c>
      <c r="Q49" s="191"/>
      <c r="R49" s="191">
        <f>R13/R35/$B$13*$B$35</f>
        <v>0.76187875304300368</v>
      </c>
      <c r="S49" s="191"/>
      <c r="T49" s="191">
        <f>T13/T35/$B$13*$B$35</f>
        <v>0.72948456345732104</v>
      </c>
      <c r="U49" s="191"/>
      <c r="V49" s="191">
        <f>V13/V35/$B$13*$B$35</f>
        <v>0.69587692240006838</v>
      </c>
      <c r="W49" s="191"/>
      <c r="X49" s="191">
        <f>X13/X35/$B$13*$B$35</f>
        <v>0.66066523850496561</v>
      </c>
      <c r="Y49" s="191"/>
      <c r="Z49" s="191">
        <f>Z13/Z35/$B$13*$B$35</f>
        <v>0.62328144440215494</v>
      </c>
      <c r="AA49" s="191"/>
      <c r="AB49" s="191">
        <f>AB13/AB35/$B$13*$B$35</f>
        <v>0.58286418271485629</v>
      </c>
      <c r="AC49" s="191"/>
      <c r="AD49" s="191">
        <f>AD13/AD35/$B$13*$B$35</f>
        <v>0.53804619508929652</v>
      </c>
      <c r="AE49" s="191"/>
      <c r="AF49" s="191">
        <f>AF13/AF35/$B$13*$B$35</f>
        <v>0.4865525995941361</v>
      </c>
      <c r="AG49" s="191"/>
      <c r="AH49" s="191">
        <f>AH13/AH35/$B$13*$B$35</f>
        <v>0.42444931103578326</v>
      </c>
      <c r="AI49" s="191"/>
      <c r="AJ49" s="191">
        <f>AJ13/AJ35/$B$13*$B$35</f>
        <v>0.34491647594471281</v>
      </c>
      <c r="AK49" s="191"/>
      <c r="AL49" s="191">
        <f>AL13/AL35/$B$13*$B$35</f>
        <v>0.23725736955405818</v>
      </c>
      <c r="AM49" s="191"/>
      <c r="AN49" s="191">
        <f>AN13/AN35/$B$13*$B$35</f>
        <v>9.0484837754324421E-2</v>
      </c>
      <c r="AO49" s="191"/>
      <c r="AP49" s="191">
        <f>AP13/AP35/$B$13*$B$35</f>
        <v>5.7292562428317186E-2</v>
      </c>
      <c r="AQ49" s="191"/>
      <c r="AR49" s="191">
        <f>AR13/AR35/$B$13*$B$35</f>
        <v>2.5289183293128077E-2</v>
      </c>
      <c r="AS49" s="191"/>
      <c r="AT49" s="191">
        <f>AT13/AT35/$B$13*$B$35</f>
        <v>9.0947178624580481E-4</v>
      </c>
      <c r="AU49" s="191"/>
      <c r="AV49" s="191" t="e">
        <f>AV13/AV35/$B$13*$B$35</f>
        <v>#DIV/0!</v>
      </c>
    </row>
    <row r="51" spans="1:48 16321:16384" x14ac:dyDescent="0.2">
      <c r="A51" t="s">
        <v>166</v>
      </c>
      <c r="B51" s="29">
        <f>B30-B10*B23</f>
        <v>-405838.32800000021</v>
      </c>
      <c r="D51" s="29">
        <f>D30-D10*D23</f>
        <v>-410778.18770623207</v>
      </c>
      <c r="F51" s="29">
        <f>F30-F10*F23</f>
        <v>-415722.0303026801</v>
      </c>
      <c r="H51" s="29">
        <f>H30-H10*H23</f>
        <v>-420674.63763555186</v>
      </c>
      <c r="J51" s="29">
        <f>J30-J10*J23</f>
        <v>-425641.50203070836</v>
      </c>
      <c r="L51" s="29">
        <f>L30-L10*L23</f>
        <v>-430629.36553141428</v>
      </c>
      <c r="N51" s="29">
        <f>N30-N10*N23</f>
        <v>-435646.69689373253</v>
      </c>
      <c r="P51" s="29">
        <f>P30-P10*P23</f>
        <v>-440704.60790740279</v>
      </c>
      <c r="R51" s="29">
        <f>R30-R10*R23</f>
        <v>-445818.76402574964</v>
      </c>
      <c r="T51" s="29">
        <f>T30-T10*T23</f>
        <v>-451011.80208014743</v>
      </c>
      <c r="V51" s="29">
        <f>V30-V10*V23</f>
        <v>-456317.28763110749</v>
      </c>
      <c r="X51" s="29">
        <f>X30-X10*X23</f>
        <v>-461787.74054837832</v>
      </c>
      <c r="Z51" s="29">
        <f>Z30-Z10*Z23</f>
        <v>-467508.67023997521</v>
      </c>
      <c r="AB51" s="29">
        <f>AB30-AB10*AB23</f>
        <v>-473625.20252991654</v>
      </c>
      <c r="AD51" s="29">
        <f>AD30-AD10*AD23</f>
        <v>-480395.30301592872</v>
      </c>
      <c r="AF51" s="29">
        <f>AF30-AF10*AF23</f>
        <v>-488302.54428483173</v>
      </c>
      <c r="AH51" s="29">
        <f>AH30-AH10*AH23</f>
        <v>-498298.00924477074</v>
      </c>
      <c r="AJ51" s="29">
        <f>AJ30-AJ10*AJ23</f>
        <v>-512321.16825759085</v>
      </c>
      <c r="AL51" s="29">
        <f>AL30-AL10*AL23</f>
        <v>-534454.95260408567</v>
      </c>
      <c r="AN51" s="29">
        <f>AN30-AN10*AN23</f>
        <v>-576551.17139323056</v>
      </c>
      <c r="AP51" s="29">
        <f>AP30-AP10*AP23</f>
        <v>-591356.1487324927</v>
      </c>
      <c r="AQ51" s="29"/>
      <c r="AR51" s="29">
        <f>AR30-AR10*AR23</f>
        <v>-611832.36900911666</v>
      </c>
      <c r="AT51" s="29">
        <f>AT30-AT10*AT23</f>
        <v>-644109.48036884796</v>
      </c>
      <c r="AV51" s="29">
        <f>AV30-AV10*AV23</f>
        <v>0</v>
      </c>
      <c r="XFD51" s="29"/>
    </row>
    <row r="52" spans="1:48 16321:16384" x14ac:dyDescent="0.2">
      <c r="A52" t="s">
        <v>167</v>
      </c>
      <c r="B52" s="29">
        <f t="array" ref="B52">Calibration!sL*SUM(B13:C13*B26:C26)</f>
        <v>2049247.8195702801</v>
      </c>
      <c r="D52" s="29">
        <f t="array" ref="D52">Calibration!sL*SUM(D13:E13*D26:E26)</f>
        <v>2027588.6375725493</v>
      </c>
      <c r="F52" s="29">
        <f t="array" ref="F52">Calibration!sL*SUM(F13:G13*F26:G26)</f>
        <v>2004888.8933950709</v>
      </c>
      <c r="H52" s="29">
        <f t="array" ref="H52">Calibration!sL*SUM(H13:I13*H26:I26)</f>
        <v>1981074.2834753366</v>
      </c>
      <c r="J52" s="29">
        <f t="array" ref="J52">Calibration!sL*SUM(J13:K13*J26:K26)</f>
        <v>1956054.9884567962</v>
      </c>
      <c r="L52" s="29">
        <f t="array" ref="L52">Calibration!sL*SUM(L13:M13*L26:M26)</f>
        <v>1929721.0947238258</v>
      </c>
      <c r="N52" s="29">
        <f t="array" ref="N52">Calibration!sL*SUM(N13:O13*N26:O26)</f>
        <v>1901935.4529895259</v>
      </c>
      <c r="P52" s="29">
        <f t="array" ref="P52">Calibration!sL*SUM(P13:Q13*P26:Q26)</f>
        <v>1872525.1817290573</v>
      </c>
      <c r="R52" s="29">
        <f t="array" ref="R52">Calibration!sL*SUM(R13:S13*R26:S26)</f>
        <v>1841266.8544166549</v>
      </c>
      <c r="T52" s="29">
        <f t="array" ref="T52">Calibration!sL*SUM(T13:U13*T26:U26)</f>
        <v>1807864.7799389258</v>
      </c>
      <c r="V52" s="29">
        <f t="array" ref="V52">Calibration!sL*SUM(V13:W13*V26:W26)</f>
        <v>1771915.7038693381</v>
      </c>
      <c r="X52" s="29">
        <f t="array" ref="X52">Calibration!sL*SUM(X13:Y13*X26:Y26)</f>
        <v>1732849.1614558098</v>
      </c>
      <c r="Z52" s="29">
        <f t="array" ref="Z52">Calibration!sL*SUM(Z13:AA13*Z26:AA26)</f>
        <v>1689822.3203742641</v>
      </c>
      <c r="AB52" s="29">
        <f t="array" ref="AB52">Calibration!sL*SUM(AB13:AC13*AB26:AC26)</f>
        <v>1641523.5689899693</v>
      </c>
      <c r="AD52" s="29">
        <f t="array" ref="AD52">Calibration!sL*SUM(AD13:AE13*AD26:AE26)</f>
        <v>1585781.3880574396</v>
      </c>
      <c r="AF52" s="29">
        <f t="array" ref="AF52">Calibration!sL*SUM(AF13:AG13*AF26:AG26)</f>
        <v>1518728.3834277079</v>
      </c>
      <c r="AH52" s="29">
        <f t="array" ref="AH52">Calibration!sL*SUM(AH13:AI13*AH26:AI26)</f>
        <v>1432877.5549468629</v>
      </c>
      <c r="AJ52" s="29">
        <f t="array" ref="AJ52">Calibration!sL*SUM(AJ13:AK13*AJ26:AK26)</f>
        <v>1312341.0392862449</v>
      </c>
      <c r="AL52" s="29">
        <f t="array" ref="AL52">Calibration!sL*SUM(AL13:AM13*AL26:AM26)</f>
        <v>1119146.1990956478</v>
      </c>
      <c r="AN52" s="29">
        <f t="array" ref="AN52">Calibration!sL*SUM(AN13:AO13*AN26:AO26)</f>
        <v>725116.01232486567</v>
      </c>
      <c r="AP52" s="29">
        <f t="array" ref="AP52">Calibration!sL*SUM(AP13:AQ13*AP26:AQ26)</f>
        <v>579072.59937149507</v>
      </c>
      <c r="AQ52" s="29"/>
      <c r="AR52" s="29">
        <f t="array" ref="AR52">Calibration!sL*SUM(AR13:AS13*AR26:AS26)</f>
        <v>373531.42406111414</v>
      </c>
      <c r="AT52" s="29">
        <f t="array" ref="AT52">Calibration!sL*SUM(AT13:AU13*AT26:AU26)</f>
        <v>44854.854195808453</v>
      </c>
      <c r="AV52" s="29">
        <f t="array" ref="AV52">Calibration!sL*SUM(AV13:AW13*AV26:AW26)</f>
        <v>0</v>
      </c>
    </row>
    <row r="53" spans="1:48 16321:16384" x14ac:dyDescent="0.2">
      <c r="A53" t="s">
        <v>168</v>
      </c>
      <c r="B53" s="29">
        <f t="array" ref="B53">Calibration!sK*SUM(B15:C15*B27:C27)</f>
        <v>2740714.444429684</v>
      </c>
      <c r="D53" s="29">
        <f t="array" ref="D53">Calibration!sK*SUM(D15:E15*D27:E27)</f>
        <v>2805804.4713472892</v>
      </c>
      <c r="F53" s="29">
        <f t="array" ref="F53">Calibration!sK*SUM(F15:G15*F27:G27)</f>
        <v>2871643.8513455098</v>
      </c>
      <c r="H53" s="29">
        <f t="array" ref="H53">Calibration!sK*SUM(H15:I15*H27:I27)</f>
        <v>2938331.5228324113</v>
      </c>
      <c r="J53" s="29">
        <f t="array" ref="J53">Calibration!sK*SUM(J15:K15*J27:K27)</f>
        <v>3005984.8575791689</v>
      </c>
      <c r="L53" s="29">
        <f t="array" ref="L53">Calibration!sK*SUM(L15:M15*L27:M27)</f>
        <v>3074746.9794628033</v>
      </c>
      <c r="N53" s="29">
        <f t="array" ref="N53">Calibration!sK*SUM(N15:O15*N27:O27)</f>
        <v>3144797.5359191364</v>
      </c>
      <c r="P53" s="29">
        <f t="array" ref="P53">Calibration!sK*SUM(P15:Q15*P27:Q27)</f>
        <v>3216368.8552426705</v>
      </c>
      <c r="R53" s="29">
        <f t="array" ref="R53">Calibration!sK*SUM(R15:S15*R27:S27)</f>
        <v>3289771.9266278823</v>
      </c>
      <c r="T53" s="29">
        <f t="array" ref="T53">Calibration!sK*SUM(T15:U15*T27:U27)</f>
        <v>3365437.1527113691</v>
      </c>
      <c r="V53" s="29">
        <f t="array" ref="V53">Calibration!sK*SUM(V15:W15*V27:W27)</f>
        <v>3443982.5118075139</v>
      </c>
      <c r="X53" s="29">
        <f t="array" ref="X53">Calibration!sK*SUM(X15:Y15*X27:Y27)</f>
        <v>3526332.2603681153</v>
      </c>
      <c r="Z53" s="29">
        <f t="array" ref="Z53">Calibration!sK*SUM(Z15:AA15*Z27:AA27)</f>
        <v>3613931.0291677113</v>
      </c>
      <c r="AB53" s="29">
        <f t="array" ref="AB53">Calibration!sK*SUM(AB15:AC15*AB27:AC27)</f>
        <v>3709149.8956355341</v>
      </c>
      <c r="AD53" s="29">
        <f t="array" ref="AD53">Calibration!sK*SUM(AD15:AE15*AD27:AE27)</f>
        <v>3816098.3472933499</v>
      </c>
      <c r="AF53" s="29">
        <f t="array" ref="AF53">Calibration!sK*SUM(AF15:AG15*AF27:AG27)</f>
        <v>3942336.7035616916</v>
      </c>
      <c r="AH53" s="29">
        <f t="array" ref="AH53">Calibration!sK*SUM(AH15:AI15*AH27:AI27)</f>
        <v>4102655.6268420722</v>
      </c>
      <c r="AJ53" s="29">
        <f t="array" ref="AJ53">Calibration!sK*SUM(AJ15:AK15*AJ27:AK27)</f>
        <v>4327637.6238409718</v>
      </c>
      <c r="AL53" s="29">
        <f t="array" ref="AL53">Calibration!sK*SUM(AL15:AM15*AL27:AM27)</f>
        <v>4684747.3778483551</v>
      </c>
      <c r="AN53" s="29">
        <f t="array" ref="AN53">Calibration!sK*SUM(AN15:AO15*AN27:AO27)</f>
        <v>5382040.3771031238</v>
      </c>
      <c r="AP53" s="29">
        <f t="array" ref="AP53">Calibration!sK*SUM(AP15:AQ15*AP27:AQ27)</f>
        <v>5632356.958417289</v>
      </c>
      <c r="AQ53" s="29"/>
      <c r="AR53" s="29">
        <f t="array" ref="AR53">Calibration!sK*SUM(AR15:AS15*AR27:AS27)</f>
        <v>5980980.3544683354</v>
      </c>
      <c r="AT53" s="29">
        <f t="array" ref="AT53">Calibration!sK*SUM(AT15:AU15*AT27:AU27)</f>
        <v>6533707.7475660276</v>
      </c>
      <c r="AV53" s="29">
        <f t="array" ref="AV53">Calibration!sK*SUM(AV15:AW15*AV27:AW27)</f>
        <v>0</v>
      </c>
      <c r="XFD53" s="29"/>
    </row>
    <row r="55" spans="1:48 16321:16384" x14ac:dyDescent="0.2">
      <c r="A55" t="s">
        <v>169</v>
      </c>
      <c r="B55" s="193">
        <f>B30/B32</f>
        <v>0.19850271905982084</v>
      </c>
      <c r="D55" s="193">
        <f>D30/D32</f>
        <v>0.19841009513311264</v>
      </c>
      <c r="F55" s="193">
        <f>F30/F32</f>
        <v>0.19831696854586855</v>
      </c>
      <c r="H55" s="193">
        <f>H30/H32</f>
        <v>0.19822314103847746</v>
      </c>
      <c r="J55" s="193">
        <f>J30/J32</f>
        <v>0.19812838821949422</v>
      </c>
      <c r="L55" s="193">
        <f>L30/L32</f>
        <v>0.19803244118130511</v>
      </c>
      <c r="N55" s="193">
        <f>N30/N32</f>
        <v>0.19793497535792437</v>
      </c>
      <c r="P55" s="193">
        <f>P30/P32</f>
        <v>0.1978355971374583</v>
      </c>
      <c r="R55" s="193">
        <f>R30/R32</f>
        <v>0.19773378244914097</v>
      </c>
      <c r="T55" s="193">
        <f>T30/T32</f>
        <v>0.1976288327917263</v>
      </c>
      <c r="V55" s="193">
        <f>V30/V32</f>
        <v>0.19751981084014414</v>
      </c>
      <c r="X55" s="193">
        <f>X30/X32</f>
        <v>0.19740536747962498</v>
      </c>
      <c r="Z55" s="193">
        <f>Z30/Z32</f>
        <v>0.19728347671997545</v>
      </c>
      <c r="AB55" s="193">
        <f>AB30/AB32</f>
        <v>0.19715095758460879</v>
      </c>
      <c r="AD55" s="193">
        <f>AD30/AD32</f>
        <v>0.19700254768409844</v>
      </c>
      <c r="AF55" s="193">
        <f>AF30/AF32</f>
        <v>0.19682891496687707</v>
      </c>
      <c r="AH55" s="193">
        <f>AH30/AH32</f>
        <v>0.19661245526539073</v>
      </c>
      <c r="AJ55" s="193">
        <f>AJ30/AJ32</f>
        <v>0.19631777606218473</v>
      </c>
      <c r="AL55" s="193">
        <f>AL30/AL32</f>
        <v>0.19586785980016466</v>
      </c>
      <c r="AN55" s="193">
        <f>AN30/AN32</f>
        <v>0.1950281996858049</v>
      </c>
      <c r="AP55" s="193">
        <f>AP30/AP32</f>
        <v>0.19473817114965755</v>
      </c>
      <c r="AR55" s="193">
        <f>AR30/AR32</f>
        <v>0.19434567350568685</v>
      </c>
      <c r="AT55" s="193">
        <f>AT30/AT32</f>
        <v>0.19375177275755934</v>
      </c>
      <c r="AV55" s="193" t="e">
        <f>AV30/AV32</f>
        <v>#DIV/0!</v>
      </c>
      <c r="XCS55" s="193"/>
      <c r="XFD55" s="193"/>
    </row>
    <row r="56" spans="1:48 16321:16384" x14ac:dyDescent="0.2">
      <c r="A56" t="s">
        <v>170</v>
      </c>
      <c r="B56" s="193">
        <f>(Model!$C$52*B5*B20+B2*C5*C20)/B32</f>
        <v>2.9221206744340551E-2</v>
      </c>
      <c r="D56" s="193">
        <f>(Model!$C$52*D5*D20+D2*E5*E20)/D32</f>
        <v>3.2264419314926483E-2</v>
      </c>
      <c r="F56" s="193">
        <f>(Model!$C$52*F5*F20+F2*G5*G20)/F32</f>
        <v>3.5323405393970775E-2</v>
      </c>
      <c r="H56" s="193">
        <f>(Model!$C$52*H5*H20+H2*I5*I20)/H32</f>
        <v>3.8404593773102867E-2</v>
      </c>
      <c r="J56" s="193">
        <f>(Model!$C$52*J5*J20+J2*K5*K20)/J32</f>
        <v>4.1515365941897829E-2</v>
      </c>
      <c r="L56" s="193">
        <f>(Model!$C$52*L5*L20+L2*M5*M20)/L32</f>
        <v>4.4664417984586854E-2</v>
      </c>
      <c r="N56" s="193">
        <f>(Model!$C$52*N5*N20+N2*O5*O20)/N32</f>
        <v>4.7862296363518728E-2</v>
      </c>
      <c r="P56" s="193">
        <f>(Model!$C$52*P5*P20+P2*Q5*Q20)/P32</f>
        <v>5.1122121736741792E-2</v>
      </c>
      <c r="R56" s="193">
        <f>(Model!$C$52*R5*R20+R2*S5*S20)/R32</f>
        <v>5.4460714039214458E-2</v>
      </c>
      <c r="T56" s="193">
        <f>(Model!$C$52*T5*T20+T2*U5*U20)/T32</f>
        <v>5.7900343619662724E-2</v>
      </c>
      <c r="V56" s="193">
        <f>(Model!$C$52*V5*V20+V2*W5*W20)/V32</f>
        <v>6.1471576292689858E-2</v>
      </c>
      <c r="X56" s="193">
        <f>(Model!$C$52*X5*X20+X2*Y5*Y20)/X32</f>
        <v>6.5218019195597915E-2</v>
      </c>
      <c r="Z56" s="193">
        <f>(Model!$C$52*Z5*Z20+Z2*AA5*AA20)/Z32</f>
        <v>6.9204689157067165E-2</v>
      </c>
      <c r="AB56" s="193">
        <f>(Model!$C$52*AB5*AB20+AB2*AC5*AC20)/AB32</f>
        <v>7.3533490365646242E-2</v>
      </c>
      <c r="AD56" s="193">
        <f>(Model!$C$52*AD5*AD20+AD2*AE5*AE20)/AD32</f>
        <v>7.8373427992366546E-2</v>
      </c>
      <c r="AF56" s="193">
        <f>(Model!$C$52*AF5*AF20+AF2*AG5*AG20)/AF32</f>
        <v>8.4022875406255595E-2</v>
      </c>
      <c r="AH56" s="193">
        <f>(Model!$C$52*AH5*AH20+AH2*AI5*AI20)/AH32</f>
        <v>9.1044712356470922E-2</v>
      </c>
      <c r="AJ56" s="193">
        <f>(Model!$C$52*AJ5*AJ20+AJ2*AK5*AK20)/AJ32</f>
        <v>0.10057064196701916</v>
      </c>
      <c r="AL56" s="193">
        <f>(Model!$C$52*AL5*AL20+AL2*AM5*AM20)/AL32</f>
        <v>0.11506840228206315</v>
      </c>
      <c r="AN56" s="193">
        <f>(Model!$C$52*AN5*AN20+AN2*AO5*AO20)/AN32</f>
        <v>0.14207454446920892</v>
      </c>
      <c r="AP56" s="193">
        <f>(Model!$C$52*AP5*AP20+AP2*AQ5*AQ20)/AP32</f>
        <v>0.15139937633429335</v>
      </c>
      <c r="AR56" s="193">
        <f>(Model!$C$52*AR5*AR20+AR2*AS5*AS20)/AR32</f>
        <v>0.16401826095255756</v>
      </c>
      <c r="AT56" s="193">
        <f>(Model!$C$52*AT5*AT20+AT2*AU5*AU20)/AT32</f>
        <v>0.1831119273510905</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0.15548814451224671</v>
      </c>
      <c r="F57" s="193">
        <f t="array" ref="F57">SUM(Model!tauL*F13:G13*F26:G26)/F32</f>
        <v>0.15243092239812597</v>
      </c>
      <c r="H57" s="193">
        <f t="array" ref="H57">SUM(Model!tauL*H13:I13*H26:I26)/H32</f>
        <v>0.14935070653474289</v>
      </c>
      <c r="J57" s="193">
        <f t="array" ref="J57">SUM(Model!tauL*J13:K13*J26:K26)/J32</f>
        <v>0.14624008855715312</v>
      </c>
      <c r="L57" s="193">
        <f t="array" ref="L57">SUM(Model!tauL*L13:M13*L26:M26)/L32</f>
        <v>0.14309032217618342</v>
      </c>
      <c r="N57" s="193">
        <f t="array" ref="N57">SUM(Model!tauL*N13:O13*N26:O26)/N32</f>
        <v>0.13989077870466377</v>
      </c>
      <c r="P57" s="193">
        <f t="array" ref="P57">SUM(Model!tauL*P13:Q13*P26:Q26)/P32</f>
        <v>0.13662822172821323</v>
      </c>
      <c r="R57" s="193">
        <f t="array" ref="R57">SUM(Model!tauL*R13:S13*R26:S26)/R32</f>
        <v>0.13328562704197663</v>
      </c>
      <c r="T57" s="193">
        <f t="array" ref="T57">SUM(Model!tauL*T13:U13*T26:U26)/T32</f>
        <v>0.12984040142050859</v>
      </c>
      <c r="V57" s="193">
        <f t="array" ref="V57">SUM(Model!tauL*V13:W13*V26:W26)/V32</f>
        <v>0.12626148994763831</v>
      </c>
      <c r="X57" s="193">
        <f t="array" ref="X57">SUM(Model!tauL*X13:Y13*X26:Y26)/X32</f>
        <v>0.12250448004109524</v>
      </c>
      <c r="Y57" s="193"/>
      <c r="Z57" s="193">
        <f t="array" ref="Z57">SUM(Model!tauL*Z13:AA13*Z26:AA26)/Z32</f>
        <v>0.11850300074650948</v>
      </c>
      <c r="AB57" s="193">
        <f t="array" ref="AB57">SUM(Model!tauL*AB13:AC13*AB26:AC26)/AB32</f>
        <v>0.11415281685086968</v>
      </c>
      <c r="AD57" s="193">
        <f t="array" ref="AD57">SUM(Model!tauL*AD13:AE13*AD26:AE26)/AD32</f>
        <v>0.10928077448816667</v>
      </c>
      <c r="AF57" s="193">
        <f t="array" ref="AF57">SUM(Model!tauL*AF13:AG13*AF26:AG26)/AF32</f>
        <v>0.10358072599141672</v>
      </c>
      <c r="AH57" s="193">
        <f t="array" ref="AH57">SUM(Model!tauL*AH13:AI13*AH26:AI26)/AH32</f>
        <v>9.6474695654178447E-2</v>
      </c>
      <c r="AJ57" s="193">
        <f t="array" ref="AJ57">SUM(Model!tauL*AJ13:AK13*AJ26:AK26)/AJ32</f>
        <v>8.6800907337050301E-2</v>
      </c>
      <c r="AL57" s="193">
        <f t="array" ref="AL57">SUM(Model!tauL*AL13:AM13*AL26:AM26)/AL32</f>
        <v>7.2030932471859752E-2</v>
      </c>
      <c r="AN57" s="193">
        <f t="array" ref="AN57">SUM(Model!tauL*AN13:AO13*AN26:AO26)/AN32</f>
        <v>4.4466341564236934E-2</v>
      </c>
      <c r="AP57" s="193">
        <f t="array" ref="AP57">SUM(Model!tauL*AP13:AQ13*AP26:AQ26)/AP32</f>
        <v>3.4945204820524017E-2</v>
      </c>
      <c r="AR57" s="193">
        <f t="array" ref="AR57">SUM(Model!tauL*AR13:AS13*AR26:AS26)/AR32</f>
        <v>2.2060184214735282E-2</v>
      </c>
      <c r="AT57" s="193">
        <f t="array" ref="AT57">SUM(Model!tauL*AT13:AU13*AT26:AU26)/AT32</f>
        <v>2.5634527027423555E-3</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1.0657531305939464E-2</v>
      </c>
      <c r="F58" s="193">
        <f t="array" ref="F58">SUM(Model!tauY/(1+Model!tauY)*F3:G3*F18:G18)/F32</f>
        <v>1.0562640753771783E-2</v>
      </c>
      <c r="H58" s="193">
        <f t="array" ref="H58">SUM(Model!tauY/(1+Model!tauY)*H3:I3*H18:I18)/H32</f>
        <v>1.0467840730631671E-2</v>
      </c>
      <c r="J58" s="193">
        <f t="array" ref="J58">SUM(Model!tauY/(1+Model!tauY)*J3:K3*J18:K18)/J32</f>
        <v>1.0372933720443246E-2</v>
      </c>
      <c r="L58" s="193">
        <f t="array" ref="L58">SUM(Model!tauY/(1+Model!tauY)*L3:M3*L18:M18)/L32</f>
        <v>1.027770102053486E-2</v>
      </c>
      <c r="N58" s="193">
        <f t="array" ref="N58">SUM(Model!tauY/(1+Model!tauY)*N3:O3*N18:O18)/N32</f>
        <v>1.0181900289741874E-2</v>
      </c>
      <c r="P58" s="193">
        <f t="array" ref="P58">SUM(Model!tauY/(1+Model!tauY)*P3:Q3*P18:Q18)/P32</f>
        <v>1.0085253672503253E-2</v>
      </c>
      <c r="R58" s="193">
        <f t="array" ref="R58">SUM(Model!tauY/(1+Model!tauY)*R3:S3*R18:S18)/R32</f>
        <v>9.987441367949889E-3</v>
      </c>
      <c r="T58" s="193">
        <f t="array" ref="T58">SUM(Model!tauY/(1+Model!tauY)*T3:U3*T18:U18)/T32</f>
        <v>9.888087751554973E-3</v>
      </c>
      <c r="V58" s="193">
        <f t="array" ref="V58">SUM(Model!tauY/(1+Model!tauY)*V3:W3*V18:W18)/V32</f>
        <v>9.7867445998159712E-3</v>
      </c>
      <c r="X58" s="193">
        <f t="array" ref="X58">SUM(Model!tauY/(1+Model!tauY)*X3:Y3*X18:Y18)/X32</f>
        <v>9.682868242931842E-3</v>
      </c>
      <c r="Y58" s="193"/>
      <c r="Z58" s="193">
        <f t="array" ref="Z58">SUM(Model!tauY/(1+Model!tauY)*Z3:AA3*Z18:AA18)/Z32</f>
        <v>9.5757868163987847E-3</v>
      </c>
      <c r="AB58" s="193">
        <f t="array" ref="AB58">SUM(Model!tauY/(1+Model!tauY)*AB3:AC3*AB18:AC18)/AB32</f>
        <v>9.4646503680928737E-3</v>
      </c>
      <c r="AD58" s="193">
        <f t="array" ref="AD58">SUM(Model!tauY/(1+Model!tauY)*AD3:AE3*AD18:AE18)/AD32</f>
        <v>9.3483452035651986E-3</v>
      </c>
      <c r="AF58" s="193">
        <f t="array" ref="AF58">SUM(Model!tauY/(1+Model!tauY)*AF3:AG3*AF18:AG18)/AF32</f>
        <v>9.2253135692047534E-3</v>
      </c>
      <c r="AH58" s="193">
        <f t="array" ref="AH58">SUM(Model!tauY/(1+Model!tauY)*AH3:AI3*AH18:AI18)/AH32</f>
        <v>9.0930472547413599E-3</v>
      </c>
      <c r="AJ58" s="193">
        <f t="array" ref="AJ58">SUM(Model!tauY/(1+Model!tauY)*AJ3:AK3*AJ18:AK18)/AJ32</f>
        <v>8.9462267581152874E-3</v>
      </c>
      <c r="AL58" s="193">
        <f t="array" ref="AL58">SUM(Model!tauY/(1+Model!tauY)*AL3:AM3*AL18:AM18)/AL32</f>
        <v>8.7685250462417735E-3</v>
      </c>
      <c r="AN58" s="193">
        <f t="array" ref="AN58">SUM(Model!tauY/(1+Model!tauY)*AN3:AO3*AN18:AO18)/AN32</f>
        <v>8.4873136523590607E-3</v>
      </c>
      <c r="AP58" s="193">
        <f t="array" ref="AP58">SUM(Model!tauY/(1+Model!tauY)*AP3:AQ3*AP18:AQ18)/AP32</f>
        <v>8.3935899948401997E-3</v>
      </c>
      <c r="AR58" s="193">
        <f t="array" ref="AR58">SUM(Model!tauY/(1+Model!tauY)*AR3:AS3*AR18:AS18)/AR32</f>
        <v>8.2672283383940001E-3</v>
      </c>
      <c r="AT58" s="193">
        <f t="array" ref="AT58">SUM(Model!tauY/(1+Model!tauY)*AT3:AU3*AT18:AU18)/AT32</f>
        <v>8.076392703726485E-3</v>
      </c>
      <c r="AV58" s="193" t="e">
        <f t="array" ref="AV58">SUM(Model!tauY/(1+Model!tauY)*AV3:AW3*AV18:AW18)/AV32</f>
        <v>#DIV/0!</v>
      </c>
      <c r="XFD58" s="193"/>
    </row>
    <row r="59" spans="1:48 16321:16384" x14ac:dyDescent="0.2">
      <c r="A59" t="s">
        <v>173</v>
      </c>
      <c r="B59" s="193">
        <f>(B2*C5*C20)/B32</f>
        <v>5.5174232040962052E-4</v>
      </c>
      <c r="D59" s="193">
        <f>(D2*E5*E20)/D32</f>
        <v>3.6544899938356543E-3</v>
      </c>
      <c r="F59" s="193">
        <f>(F2*G5*G20)/F32</f>
        <v>6.7733375970352753E-3</v>
      </c>
      <c r="H59" s="193">
        <f>(H2*I5*I20)/H32</f>
        <v>9.9148965415167076E-3</v>
      </c>
      <c r="J59" s="193">
        <f>(J2*K5*K20)/J32</f>
        <v>1.3086759842265034E-2</v>
      </c>
      <c r="L59" s="193">
        <f>(L2*M5*M20)/L32</f>
        <v>1.6297874569586233E-2</v>
      </c>
      <c r="N59" s="193">
        <f>(N2*O5*O20)/N32</f>
        <v>1.9559090881476858E-2</v>
      </c>
      <c r="P59" s="193">
        <f>(P2*Q5*Q20)/P32</f>
        <v>2.2883908146271829E-2</v>
      </c>
      <c r="R59" s="193">
        <f>(R2*S5*S20)/R32</f>
        <v>2.6289629877678737E-2</v>
      </c>
      <c r="T59" s="193">
        <f>(T2*U5*U20)/T32</f>
        <v>2.9799163231152299E-2</v>
      </c>
      <c r="V59" s="193">
        <f>(V2*W5*W20)/V32</f>
        <v>3.3443940636756569E-2</v>
      </c>
      <c r="X59" s="193">
        <f>(X2*Y5*Y20)/X32</f>
        <v>3.7268792908066506E-2</v>
      </c>
      <c r="Z59" s="193">
        <f>(Z2*AA5*AA20)/Z32</f>
        <v>4.1340539936206178E-2</v>
      </c>
      <c r="AB59" s="193">
        <f>(AB2*AC5*AC20)/AB32</f>
        <v>4.5763877561803813E-2</v>
      </c>
      <c r="AD59" s="193">
        <f>(AD2*AE5*AE20)/AD32</f>
        <v>5.0712390882161659E-2</v>
      </c>
      <c r="AF59" s="193">
        <f>(AF2*AG5*AG20)/AF32</f>
        <v>5.6492491042974921E-2</v>
      </c>
      <c r="AH59" s="193">
        <f>(AH2*AI5*AI20)/AH32</f>
        <v>6.3682295620436022E-2</v>
      </c>
      <c r="AJ59" s="193">
        <f>(AJ2*AK5*AK20)/AJ32</f>
        <v>7.3445003078356705E-2</v>
      </c>
      <c r="AL59" s="193">
        <f>(AL2*AM5*AM20)/AL32</f>
        <v>8.8321783645569946E-2</v>
      </c>
      <c r="AN59" s="193">
        <f>(AN2*AO5*AO20)/AN32</f>
        <v>0.11609220824391638</v>
      </c>
      <c r="AP59" s="193">
        <f>(AP2*AQ5*AQ20)/AP32</f>
        <v>0.12569518457733175</v>
      </c>
      <c r="AR59" s="193">
        <f>(AR2*AS5*AS20)/AR32</f>
        <v>0.13869820359939286</v>
      </c>
      <c r="AT59" s="193">
        <f>(AT2*AU5*AU20)/AT32</f>
        <v>0.15838430330746806</v>
      </c>
      <c r="AV59" s="193" t="e">
        <f>(AV2*AW5*AW20)/AV32</f>
        <v>#DIV/0!</v>
      </c>
      <c r="XFD59" s="193"/>
    </row>
    <row r="60" spans="1:48 16321:16384" x14ac:dyDescent="0.2">
      <c r="A60" t="s">
        <v>174</v>
      </c>
      <c r="B60" s="193">
        <f>Model!$C$52*B5*B20/B32</f>
        <v>2.8669464423930927E-2</v>
      </c>
      <c r="D60" s="193">
        <f>Model!$C$52*D5*D20/D32</f>
        <v>2.8609929321090827E-2</v>
      </c>
      <c r="F60" s="193">
        <f>Model!$C$52*F5*F20/F32</f>
        <v>2.8550067796935506E-2</v>
      </c>
      <c r="H60" s="193">
        <f>Model!$C$52*H5*H20/H32</f>
        <v>2.8489697231586165E-2</v>
      </c>
      <c r="J60" s="193">
        <f>Model!$C$52*J5*J20/J32</f>
        <v>2.8428606099632797E-2</v>
      </c>
      <c r="L60" s="193">
        <f>Model!$C$52*L5*L20/L32</f>
        <v>2.8366543415000622E-2</v>
      </c>
      <c r="N60" s="193">
        <f>Model!$C$52*N5*N20/N32</f>
        <v>2.8303205482041873E-2</v>
      </c>
      <c r="P60" s="193">
        <f>Model!$C$52*P5*P20/P32</f>
        <v>2.8238213590469956E-2</v>
      </c>
      <c r="R60" s="193">
        <f>Model!$C$52*R5*R20/R32</f>
        <v>2.8171084161535721E-2</v>
      </c>
      <c r="T60" s="193">
        <f>Model!$C$52*T5*T20/T32</f>
        <v>2.8101180388510425E-2</v>
      </c>
      <c r="V60" s="193">
        <f>Model!$C$52*V5*V20/V32</f>
        <v>2.8027635655933292E-2</v>
      </c>
      <c r="X60" s="193">
        <f>Model!$C$52*X5*X20/X32</f>
        <v>2.7949226287531406E-2</v>
      </c>
      <c r="Z60" s="193">
        <f>Model!$C$52*Z5*Z20/Z32</f>
        <v>2.7864149220860987E-2</v>
      </c>
      <c r="AB60" s="193">
        <f>Model!$C$52*AB5*AB20/AB32</f>
        <v>2.7769612803842436E-2</v>
      </c>
      <c r="AD60" s="193">
        <f>Model!$C$52*AD5*AD20/AD32</f>
        <v>2.7661037110204886E-2</v>
      </c>
      <c r="AF60" s="193">
        <f>Model!$C$52*AF5*AF20/AF32</f>
        <v>2.7530384363280681E-2</v>
      </c>
      <c r="AH60" s="193">
        <f>Model!$C$52*AH5*AH20/AH32</f>
        <v>2.7362416736034911E-2</v>
      </c>
      <c r="AJ60" s="193">
        <f>Model!$C$52*AJ5*AJ20/AJ32</f>
        <v>2.7125638888662439E-2</v>
      </c>
      <c r="AL60" s="193">
        <f>Model!$C$52*AL5*AL20/AL32</f>
        <v>2.6746618636493195E-2</v>
      </c>
      <c r="AN60" s="193">
        <f>Model!$C$52*AN5*AN20/AN32</f>
        <v>2.5982336225292529E-2</v>
      </c>
      <c r="AP60" s="193">
        <f>Model!$C$52*AP5*AP20/AP32</f>
        <v>2.5704191756961571E-2</v>
      </c>
      <c r="AR60" s="193">
        <f>Model!$C$52*AR5*AR20/AR32</f>
        <v>2.5320057353164702E-2</v>
      </c>
      <c r="AT60" s="193">
        <f>Model!$C$52*AT5*AT20/AT32</f>
        <v>2.4727624043622425E-2</v>
      </c>
      <c r="AV60" s="193" t="e">
        <f>Model!$C$52*AV5*AV20/AV32</f>
        <v>#DIV/0!</v>
      </c>
      <c r="XFD60" s="193"/>
    </row>
    <row r="62" spans="1:48 16321:16384" x14ac:dyDescent="0.2">
      <c r="A62" t="s">
        <v>175</v>
      </c>
      <c r="B62">
        <f>B13/B15</f>
        <v>1</v>
      </c>
      <c r="D62">
        <f>D13/D15</f>
        <v>0.9502192847269062</v>
      </c>
      <c r="F62">
        <f>F13/F15</f>
        <v>0.90246362141170866</v>
      </c>
      <c r="H62">
        <f>H13/H15</f>
        <v>0.85655722979005333</v>
      </c>
      <c r="J62">
        <f>J13/J15</f>
        <v>0.81233205653811125</v>
      </c>
      <c r="L62">
        <f>L13/L15</f>
        <v>0.76962418624968876</v>
      </c>
      <c r="N62">
        <f>N13/N15</f>
        <v>0.72826949193903079</v>
      </c>
      <c r="P62">
        <f>P13/P15</f>
        <v>0.68809824925860075</v>
      </c>
      <c r="R62">
        <f>R13/R15</f>
        <v>0.64892732963107735</v>
      </c>
      <c r="T62">
        <f>T13/T15</f>
        <v>0.61054956755799317</v>
      </c>
      <c r="V62">
        <f>V13/V15</f>
        <v>0.57271729119028825</v>
      </c>
      <c r="X62">
        <f>X13/X15</f>
        <v>0.53511564180317484</v>
      </c>
      <c r="Z62">
        <f>Z13/Z15</f>
        <v>0.49731807461095212</v>
      </c>
      <c r="AB62">
        <f>AB13/AB15</f>
        <v>0.45870861562864479</v>
      </c>
      <c r="AD62">
        <f>AD13/AD15</f>
        <v>0.41834106625251805</v>
      </c>
      <c r="AF62">
        <f>AF13/AF15</f>
        <v>0.37467944341819315</v>
      </c>
      <c r="AH62">
        <f>AH13/AH15</f>
        <v>0.32513426795884992</v>
      </c>
      <c r="AJ62">
        <f>AJ13/AJ15</f>
        <v>0.26536234255632518</v>
      </c>
      <c r="AL62">
        <f>AL13/AL15</f>
        <v>0.18859010009423394</v>
      </c>
      <c r="AN62">
        <f>AN13/AN15</f>
        <v>8.3192397075482954E-2</v>
      </c>
      <c r="AP62">
        <f>AP13/AP15</f>
        <v>5.6538072631778263E-2</v>
      </c>
      <c r="AR62">
        <f>AR13/AR15</f>
        <v>2.7737741482199083E-2</v>
      </c>
      <c r="AT62">
        <f>AT13/AT15</f>
        <v>1.1836040712895283E-3</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0.99877754780490702</v>
      </c>
      <c r="E65" s="191"/>
      <c r="F65" s="191">
        <f t="array" ref="F65">SQRT((F9:G9*$B$22:$C$22+F10:G10*$B$23:$C$23+F11:G11*$B$24:$C$24+F4:G4*($B$25:$C$25-$B$19:$C$19))/($B$9:$C$9*$B$22:$C$22+$B$10:$C$10*$B$23:$C$23+$B$11:$C$11*$B$24:$C$24+$B$4:$C$4*($B$25:$C$25-$B$19:$C$19))*(F9:G9*F22:G22+F10:G10*F23:G23+F11:G11*F24:G24+F4:G4*(F25:G25-F19:G19))/($B$9:$C$9*F22:G22+$B$10:$C$10*F23:G23+$B$11:$C$11*F24:G24+$B$4:$C$4*(F25:G25-F19:G19)))</f>
        <v>0.9975911990805203</v>
      </c>
      <c r="G65" s="191"/>
      <c r="H65" s="191">
        <f t="array" ref="H65">SQRT((H9:I9*$B$22:$C$22+H10:I10*$B$23:$C$23+H11:I11*$B$24:$C$24+H4:I4*($B$25:$C$25-$B$19:$C$19))/($B$9:$C$9*$B$22:$C$22+$B$10:$C$10*$B$23:$C$23+$B$11:$C$11*$B$24:$C$24+$B$4:$C$4*($B$25:$C$25-$B$19:$C$19))*(H9:I9*H22:I22+H10:I10*H23:I23+H11:I11*H24:I24+H4:I4*(H25:I25-H19:I19))/($B$9:$C$9*H22:I22+$B$10:$C$10*H23:I23+$B$11:$C$11*H24:I24+$B$4:$C$4*(H25:I25-H19:I19)))</f>
        <v>0.99643822890973488</v>
      </c>
      <c r="I65" s="191"/>
      <c r="J65" s="191">
        <f t="array" ref="J65">SQRT((J9:K9*$B$22:$C$22+J10:K10*$B$23:$C$23+J11:K11*$B$24:$C$24+J4:K4*($B$25:$C$25-$B$19:$C$19))/($B$9:$C$9*$B$22:$C$22+$B$10:$C$10*$B$23:$C$23+$B$11:$C$11*$B$24:$C$24+$B$4:$C$4*($B$25:$C$25-$B$19:$C$19))*(J9:K9*J22:K22+J10:K10*J23:K23+J11:K11*J24:K24+J4:K4*(J25:K25-J19:K19))/($B$9:$C$9*J22:K22+$B$10:$C$10*J23:K23+$B$11:$C$11*J24:K24+$B$4:$C$4*(J25:K25-J19:K19)))</f>
        <v>0.9953161651288055</v>
      </c>
      <c r="K65" s="191"/>
      <c r="L65" s="191">
        <f t="array" ref="L65">SQRT((L9:M9*$B$22:$C$22+L10:M10*$B$23:$C$23+L11:M11*$B$24:$C$24+L4:M4*($B$25:$C$25-$B$19:$C$19))/($B$9:$C$9*$B$22:$C$22+$B$10:$C$10*$B$23:$C$23+$B$11:$C$11*$B$24:$C$24+$B$4:$C$4*($B$25:$C$25-$B$19:$C$19))*(L9:M9*L22:M22+L10:M10*L23:M23+L11:M11*L24:M24+L4:M4*(L25:M25-L19:M19))/($B$9:$C$9*L22:M22+$B$10:$C$10*L23:M23+$B$11:$C$11*L24:M24+$B$4:$C$4*(L25:M25-L19:M19)))</f>
        <v>0.994222899687774</v>
      </c>
      <c r="M65" s="191"/>
      <c r="N65" s="191">
        <f t="array" ref="N65">SQRT((N9:O9*$B$22:$C$22+N10:O10*$B$23:$C$23+N11:O11*$B$24:$C$24+N4:O4*($B$25:$C$25-$B$19:$C$19))/($B$9:$C$9*$B$22:$C$22+$B$10:$C$10*$B$23:$C$23+$B$11:$C$11*$B$24:$C$24+$B$4:$C$4*($B$25:$C$25-$B$19:$C$19))*(N9:O9*N22:O22+N10:O10*N23:O23+N11:O11*N24:O24+N4:O4*(N25:O25-N19:O19))/($B$9:$C$9*N22:O22+$B$10:$C$10*N23:O23+$B$11:$C$11*N24:O24+$B$4:$C$4*(N25:O25-N19:O19)))</f>
        <v>0.99315689559641307</v>
      </c>
      <c r="O65" s="191"/>
      <c r="P65" s="191">
        <f t="array" ref="P65">SQRT((P9:Q9*$B$22:$C$22+P10:Q10*$B$23:$C$23+P11:Q11*$B$24:$C$24+P4:Q4*($B$25:$C$25-$B$19:$C$19))/($B$9:$C$9*$B$22:$C$22+$B$10:$C$10*$B$23:$C$23+$B$11:$C$11*$B$24:$C$24+$B$4:$C$4*($B$25:$C$25-$B$19:$C$19))*(P9:Q9*P22:Q22+P10:Q10*P23:Q23+P11:Q11*P24:Q24+P4:Q4*(P25:Q25-P19:Q19))/($B$9:$C$9*P22:Q22+$B$10:$C$10*P23:Q23+$B$11:$C$11*P24:Q24+$B$4:$C$4*(P25:Q25-P19:Q19)))</f>
        <v>0.99211750695364409</v>
      </c>
      <c r="Q65" s="191"/>
      <c r="R65" s="191">
        <f t="array" ref="R65">SQRT((R9:S9*$B$22:$C$22+R10:S10*$B$23:$C$23+R11:S11*$B$24:$C$24+R4:S4*($B$25:$C$25-$B$19:$C$19))/($B$9:$C$9*$B$22:$C$22+$B$10:$C$10*$B$23:$C$23+$B$11:$C$11*$B$24:$C$24+$B$4:$C$4*($B$25:$C$25-$B$19:$C$19))*(R9:S9*R22:S22+R10:S10*R23:S23+R11:S11*R24:S24+R4:S4*(R25:S25-R19:S19))/($B$9:$C$9*R22:S22+$B$10:$C$10*R23:S23+$B$11:$C$11*R24:S24+$B$4:$C$4*(R25:S25-R19:S19)))</f>
        <v>0.99110554541489804</v>
      </c>
      <c r="S65" s="191"/>
      <c r="T65" s="191">
        <f t="array" ref="T65">SQRT((T9:U9*$B$22:$C$22+T10:U10*$B$23:$C$23+T11:U11*$B$24:$C$24+T4:U4*($B$25:$C$25-$B$19:$C$19))/($B$9:$C$9*$B$22:$C$22+$B$10:$C$10*$B$23:$C$23+$B$11:$C$11*$B$24:$C$24+$B$4:$C$4*($B$25:$C$25-$B$19:$C$19))*(T9:U9*T22:U22+T10:U10*T23:U23+T11:U11*T24:U24+T4:U4*(T25:U25-T19:U19))/($B$9:$C$9*T22:U22+$B$10:$C$10*T23:U23+$B$11:$C$11*T24:U24+$B$4:$C$4*(T25:U25-T19:U19)))</f>
        <v>0.99012423257442395</v>
      </c>
      <c r="U65" s="191"/>
      <c r="V65" s="191">
        <f t="array" ref="V65">SQRT((V9:W9*$B$22:$C$22+V10:W10*$B$23:$C$23+V11:W11*$B$24:$C$24+V4:W4*($B$25:$C$25-$B$19:$C$19))/($B$9:$C$9*$B$22:$C$22+$B$10:$C$10*$B$23:$C$23+$B$11:$C$11*$B$24:$C$24+$B$4:$C$4*($B$25:$C$25-$B$19:$C$19))*(V9:W9*V22:W22+V10:W10*V23:W23+V11:W11*V24:W24+V4:W4*(V25:W25-V19:W19))/($B$9:$C$9*V22:W22+$B$10:$C$10*V23:W23+$B$11:$C$11*V24:W24+$B$4:$C$4*(V25:W25-V19:W19)))</f>
        <v>0.9891808524373471</v>
      </c>
      <c r="W65" s="191"/>
      <c r="X65" s="191">
        <f t="array" ref="X65">SQRT((X9:Y9*$B$22:$C$22+X10:Y10*$B$23:$C$23+X11:Y11*$B$24:$C$24+X4:Y4*($B$25:$C$25-$B$19:$C$19))/($B$9:$C$9*$B$22:$C$22+$B$10:$C$10*$B$23:$C$23+$B$11:$C$11*$B$24:$C$24+$B$4:$C$4*($B$25:$C$25-$B$19:$C$19))*(X9:Y9*X22:Y22+X10:Y10*X23:Y23+X11:Y11*X24:Y24+X4:Y4*(X25:Y25-X19:Y19))/($B$9:$C$9*X22:Y22+$B$10:$C$10*X23:Y23+$B$11:$C$11*X24:Y24+$B$4:$C$4*(X25:Y25-X19:Y19)))</f>
        <v>0.98828965199118424</v>
      </c>
      <c r="Y65" s="191"/>
      <c r="Z65" s="191">
        <f t="array" ref="Z65">SQRT((Z9:AA9*$B$22:$C$22+Z10:AA10*$B$23:$C$23+Z11:AA11*$B$24:$C$24+Z4:AA4*($B$25:$C$25-$B$19:$C$19))/($B$9:$C$9*$B$22:$C$22+$B$10:$C$10*$B$23:$C$23+$B$11:$C$11*$B$24:$C$24+$B$4:$C$4*($B$25:$C$25-$B$19:$C$19))*(Z9:AA9*Z22:AA22+Z10:AA10*Z23:AA23+Z11:AA11*Z24:AA24+Z4:AA4*(Z25:AA25-Z19:AA19))/($B$9:$C$9*Z22:AA22+$B$10:$C$10*Z23:AA23+$B$11:$C$11*Z24:AA24+$B$4:$C$4*(Z25:AA25-Z19:AA19)))</f>
        <v>0.98747707832000775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0.98679146473541979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0.98632128570674837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0.98622932891884907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0.98681082132040787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0.98854951443848982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0.99193389554520806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0.99619548537092928</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0.99675210853877672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0.99691862292239364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0.99625277789658762</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0.99865589445795622</v>
      </c>
      <c r="E66" s="191"/>
      <c r="F66" s="191">
        <f t="array" ref="F66">SQRT((F9:G9*$B$22:$C$22)/($B$9:$C$9*$B$22:$C$22)*(F9:G9*F22:G22)/($B$9:$C$9*F22:G22))</f>
        <v>0.99735033911482496</v>
      </c>
      <c r="G66" s="191"/>
      <c r="H66" s="191">
        <f t="array" ref="H66">SQRT((H9:I9*$B$22:$C$22)/($B$9:$C$9*$B$22:$C$22)*(H9:I9*H22:I22)/($B$9:$C$9*H22:I22))</f>
        <v>0.99608043834316728</v>
      </c>
      <c r="I66" s="191"/>
      <c r="J66" s="191">
        <f t="array" ref="J66">SQRT((J9:K9*$B$22:$C$22)/($B$9:$C$9*$B$22:$C$22)*(J9:K9*J22:K22)/($B$9:$C$9*J22:K22))</f>
        <v>0.99484356154321685</v>
      </c>
      <c r="K66" s="191"/>
      <c r="L66" s="191">
        <f t="array" ref="L66">SQRT((L9:M9*$B$22:$C$22)/($B$9:$C$9*$B$22:$C$22)*(L9:M9*L22:M22)/($B$9:$C$9*L22:M22))</f>
        <v>0.99363746800428721</v>
      </c>
      <c r="M66" s="191"/>
      <c r="N66" s="191">
        <f t="array" ref="N66">SQRT((N9:O9*$B$22:$C$22)/($B$9:$C$9*$B$22:$C$22)*(N9:O9*N22:O22)/($B$9:$C$9*N22:O22))</f>
        <v>0.99246053784894883</v>
      </c>
      <c r="O66" s="191"/>
      <c r="P66" s="191">
        <f t="array" ref="P66">SQRT((P9:Q9*$B$22:$C$22)/($B$9:$C$9*$B$22:$C$22)*(P9:Q9*P22:Q22)/($B$9:$C$9*P22:Q22))</f>
        <v>0.9913121290142316</v>
      </c>
      <c r="Q66" s="191"/>
      <c r="R66" s="191">
        <f t="array" ref="R66">SQRT((R9:S9*$B$22:$C$22)/($B$9:$C$9*$B$22:$C$22)*(R9:S9*R22:S22)/($B$9:$C$9*R22:S22))</f>
        <v>0.99019320844471215</v>
      </c>
      <c r="S66" s="191"/>
      <c r="T66" s="191">
        <f t="array" ref="T66">SQRT((T9:U9*$B$22:$C$22)/($B$9:$C$9*$B$22:$C$22)*(T9:U9*T22:U22)/($B$9:$C$9*T22:U22))</f>
        <v>0.98910741337100139</v>
      </c>
      <c r="U66" s="191"/>
      <c r="V66" s="191">
        <f t="array" ref="V66">SQRT((V9:W9*$B$22:$C$22)/($B$9:$C$9*$B$22:$C$22)*(V9:W9*V22:W22)/($B$9:$C$9*V22:W22))</f>
        <v>0.98806289279786175</v>
      </c>
      <c r="W66" s="191"/>
      <c r="X66" s="191">
        <f t="array" ref="X66">SQRT((X9:Y9*$B$22:$C$22)/($B$9:$C$9*$B$22:$C$22)*(X9:Y9*X22:Y22)/($B$9:$C$9*X22:Y22))</f>
        <v>0.98707554001655518</v>
      </c>
      <c r="Y66" s="191"/>
      <c r="Z66" s="191">
        <f t="array" ref="Z66">SQRT((Z9:AA9*$B$22:$C$22)/($B$9:$C$9*$B$22:$C$22)*(Z9:AA9*Z22:AA22)/($B$9:$C$9*Z22:AA22))</f>
        <v>0.98617482803717338</v>
      </c>
      <c r="AA66" s="191"/>
      <c r="AB66" s="191">
        <f t="array" ref="AB66">SQRT((AB9:AC9*$B$22:$C$22)/($B$9:$C$9*$B$22:$C$22)*(AB9:AC9*AB22:AC22)/($B$9:$C$9*AB22:AC22))</f>
        <v>0.98541459649789476</v>
      </c>
      <c r="AC66" s="191"/>
      <c r="AD66" s="191">
        <f t="array" ref="AD66">SQRT((AD9:AE9*$B$22:$C$22)/($B$9:$C$9*$B$22:$C$22)*(AD9:AE9*AD22:AE22)/($B$9:$C$9*AD22:AE22))</f>
        <v>0.98489335712586434</v>
      </c>
      <c r="AE66" s="191"/>
      <c r="AF66" s="191">
        <f t="array" ref="AF66">SQRT((AF9:AG9*$B$22:$C$22)/($B$9:$C$9*$B$22:$C$22)*(AF9:AG9*AF22:AG22)/($B$9:$C$9*AF22:AG22))</f>
        <v>0.98479221322763066</v>
      </c>
      <c r="AG66" s="191"/>
      <c r="AH66" s="191">
        <f t="array" ref="AH66">SQRT((AH9:AI9*$B$22:$C$22)/($B$9:$C$9*$B$22:$C$22)*(AH9:AI9*AH22:AI22)/($B$9:$C$9*AH22:AI22))</f>
        <v>0.98543901544264423</v>
      </c>
      <c r="AI66" s="191"/>
      <c r="AJ66" s="191">
        <f t="array" ref="AJ66">SQRT((AJ9:AK9*$B$22:$C$22)/($B$9:$C$9*$B$22:$C$22)*(AJ9:AK9*AJ22:AK22)/($B$9:$C$9*AJ22:AK22))</f>
        <v>0.9873688571870054</v>
      </c>
      <c r="AK66" s="191"/>
      <c r="AL66" s="191">
        <f t="array" ref="AL66">SQRT((AL9:AM9*$B$22:$C$22)/($B$9:$C$9*$B$22:$C$22)*(AL9:AM9*AL22:AM22)/($B$9:$C$9*AL22:AM22))</f>
        <v>0.99111568850832743</v>
      </c>
      <c r="AM66" s="191"/>
      <c r="AN66" s="191">
        <f t="array" ref="AN66">SQRT((AN9:AO9*$B$22:$C$22)/($B$9:$C$9*$B$22:$C$22)*(AN9:AO9*AN22:AO22)/($B$9:$C$9*AN22:AO22))</f>
        <v>0.99581738890892901</v>
      </c>
      <c r="AO66" s="191"/>
      <c r="AP66" s="191">
        <f t="array" ref="AP66">SQRT((AP9:AQ9*$B$22:$C$22)/($B$9:$C$9*$B$22:$C$22)*(AP9:AQ9*AP22:AQ22)/($B$9:$C$9*AP22:AQ22))</f>
        <v>0.99643019399833266</v>
      </c>
      <c r="AQ66" s="191"/>
      <c r="AR66" s="191">
        <f t="array" ref="AR66">SQRT((AR9:AS9*$B$22:$C$22)/($B$9:$C$9*$B$22:$C$22)*(AR9:AS9*AR22:AS22)/($B$9:$C$9*AR22:AS22))</f>
        <v>0.99661345748111685</v>
      </c>
      <c r="AS66" s="191"/>
      <c r="AT66" s="191">
        <f t="array" ref="AT66">SQRT((AT9:AU9*$B$22:$C$22)/($B$9:$C$9*$B$22:$C$22)*(AT9:AU9*AT22:AU22)/($B$9:$C$9*AT22:AU22))</f>
        <v>0.99588047883419151</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0.99865589445795622</v>
      </c>
      <c r="E68" s="191"/>
      <c r="F68" s="191">
        <f>F66/F67</f>
        <v>0.99735033911482496</v>
      </c>
      <c r="G68" s="191"/>
      <c r="H68" s="191">
        <f>H66/H67</f>
        <v>0.99608043834316728</v>
      </c>
      <c r="I68" s="191"/>
      <c r="J68" s="191">
        <f>J66/J67</f>
        <v>0.99484356154321685</v>
      </c>
      <c r="K68" s="191"/>
      <c r="L68" s="191">
        <f>L66/L67</f>
        <v>0.99363746800428721</v>
      </c>
      <c r="M68" s="191"/>
      <c r="N68" s="191">
        <f>N66/N67</f>
        <v>0.99246053784894883</v>
      </c>
      <c r="O68" s="191"/>
      <c r="P68" s="191">
        <f>P66/P67</f>
        <v>0.9913121290142316</v>
      </c>
      <c r="Q68" s="191"/>
      <c r="R68" s="191">
        <f>R66/R67</f>
        <v>0.99019320844471215</v>
      </c>
      <c r="S68" s="191"/>
      <c r="T68" s="191">
        <f>T66/T67</f>
        <v>0.98910741337100139</v>
      </c>
      <c r="U68" s="191"/>
      <c r="V68" s="191">
        <f>V66/V67</f>
        <v>0.98806289279786175</v>
      </c>
      <c r="W68" s="191"/>
      <c r="X68" s="191">
        <f>X66/X67</f>
        <v>0.98707554001655518</v>
      </c>
      <c r="Y68" s="191"/>
      <c r="Z68" s="191">
        <f>Z66/Z67</f>
        <v>0.98617482803717338</v>
      </c>
      <c r="AA68" s="191"/>
      <c r="AB68" s="191">
        <f>AB66/AB67</f>
        <v>0.98541459649789476</v>
      </c>
      <c r="AC68" s="191"/>
      <c r="AD68" s="191">
        <f>AD66/AD67</f>
        <v>0.98489335712586434</v>
      </c>
      <c r="AE68" s="191"/>
      <c r="AF68" s="191">
        <f>AF66/AF67</f>
        <v>0.98479221322763066</v>
      </c>
      <c r="AG68" s="191"/>
      <c r="AH68" s="191">
        <f>AH66/AH67</f>
        <v>0.98543901544264423</v>
      </c>
      <c r="AI68" s="191"/>
      <c r="AJ68" s="191">
        <f>AJ66/AJ67</f>
        <v>0.9873688571870054</v>
      </c>
      <c r="AK68" s="191"/>
      <c r="AL68" s="191">
        <f>AL66/AL67</f>
        <v>0.99111568850832743</v>
      </c>
      <c r="AM68" s="191"/>
      <c r="AN68" s="191">
        <f>AN66/AN67</f>
        <v>0.99581738890892901</v>
      </c>
      <c r="AO68" s="191"/>
      <c r="AP68" s="191">
        <f>AP66/AP67</f>
        <v>0.99643019399833266</v>
      </c>
      <c r="AQ68" s="191"/>
      <c r="AR68" s="191">
        <f>AR66/AR67</f>
        <v>0.99661345748111685</v>
      </c>
      <c r="AS68" s="191"/>
      <c r="AT68" s="191">
        <f>AT66/AT67</f>
        <v>0.99588047883419151</v>
      </c>
      <c r="AU68" s="191"/>
      <c r="AV68" s="191" t="e">
        <f>AV66/AV67</f>
        <v>#DIV/0!</v>
      </c>
      <c r="XFD68" s="191"/>
    </row>
    <row r="69" spans="1:48 16384:16384" x14ac:dyDescent="0.2">
      <c r="A69" t="s">
        <v>177</v>
      </c>
      <c r="B69" s="191">
        <f>B32/B65/($B$32)</f>
        <v>1</v>
      </c>
      <c r="C69" s="191"/>
      <c r="D69" s="191">
        <f>D32/D65/($B$32)</f>
        <v>1.0100143337661291</v>
      </c>
      <c r="E69" s="191"/>
      <c r="F69" s="191">
        <f>F32/F65/($B$32)</f>
        <v>1.0199487818618855</v>
      </c>
      <c r="G69" s="191"/>
      <c r="H69" s="191">
        <f>H32/H65/($B$32)</f>
        <v>1.0298093679099256</v>
      </c>
      <c r="I69" s="191"/>
      <c r="J69" s="191">
        <f>J32/J65/($B$32)</f>
        <v>1.0396024657128646</v>
      </c>
      <c r="K69" s="191"/>
      <c r="L69" s="191">
        <f>L32/L65/($B$32)</f>
        <v>1.0493352477625728</v>
      </c>
      <c r="M69" s="191"/>
      <c r="N69" s="191">
        <f>N32/N65/($B$32)</f>
        <v>1.0590161041680963</v>
      </c>
      <c r="O69" s="191"/>
      <c r="P69" s="191">
        <f>P32/P65/($B$32)</f>
        <v>1.0686558759596052</v>
      </c>
      <c r="Q69" s="191"/>
      <c r="R69" s="191">
        <f>R32/R65/($B$32)</f>
        <v>1.0782693241975772</v>
      </c>
      <c r="S69" s="191"/>
      <c r="T69" s="191">
        <f>T32/T65/($B$32)</f>
        <v>1.0878778775682432</v>
      </c>
      <c r="U69" s="191"/>
      <c r="V69" s="191">
        <f>V32/V65/($B$32)</f>
        <v>1.0975142972856371</v>
      </c>
      <c r="W69" s="191"/>
      <c r="X69" s="191">
        <f>X32/X65/($B$32)</f>
        <v>1.1072311146305629</v>
      </c>
      <c r="Y69" s="191"/>
      <c r="Z69" s="191">
        <f>Z32/Z65/($B$32)</f>
        <v>1.1171163586515225</v>
      </c>
      <c r="AA69" s="191"/>
      <c r="AB69" s="191">
        <f>AB32/AB65/($B$32)</f>
        <v>1.1273242415924456</v>
      </c>
      <c r="AC69" s="191"/>
      <c r="AD69" s="191">
        <f>AD32/AD65/($B$32)</f>
        <v>1.1381379030774217</v>
      </c>
      <c r="AE69" s="191"/>
      <c r="AF69" s="191">
        <f>AF32/AF65/($B$32)</f>
        <v>1.1501036603360166</v>
      </c>
      <c r="AG69" s="191"/>
      <c r="AH69" s="191">
        <f>AH32/AH65/($B$32)</f>
        <v>1.1643284238815685</v>
      </c>
      <c r="AI69" s="191"/>
      <c r="AJ69" s="191">
        <f>AJ32/AJ65/($B$32)</f>
        <v>1.1831444165429308</v>
      </c>
      <c r="AK69" s="191"/>
      <c r="AL69" s="191">
        <f>AL32/AL65/($B$32)</f>
        <v>1.2117102918191498</v>
      </c>
      <c r="AM69" s="191"/>
      <c r="AN69" s="191">
        <f>AN32/AN65/($B$32)</f>
        <v>1.2663252511309941</v>
      </c>
      <c r="AO69" s="191"/>
      <c r="AP69" s="191">
        <f>AP32/AP65/($B$32)</f>
        <v>1.2860918984217613</v>
      </c>
      <c r="AQ69" s="191"/>
      <c r="AR69" s="191">
        <f>AR32/AR65/($B$32)</f>
        <v>1.3139294301326012</v>
      </c>
      <c r="AS69" s="191"/>
      <c r="AT69" s="191">
        <f>AT32/AT65/($B$32)</f>
        <v>1.3587148920405678</v>
      </c>
      <c r="AU69" s="191"/>
      <c r="AV69" s="191" t="e">
        <f>AV32/AV65/($B$32)</f>
        <v>#DIV/0!</v>
      </c>
    </row>
    <row r="70" spans="1:48 16384:16384" x14ac:dyDescent="0.2">
      <c r="A70" t="s">
        <v>178</v>
      </c>
      <c r="B70" s="138">
        <f>B18/$B$18</f>
        <v>1</v>
      </c>
      <c r="C70" s="138"/>
      <c r="D70" s="138">
        <f>D18/$B$18</f>
        <v>1.0085825529375423</v>
      </c>
      <c r="E70" s="138"/>
      <c r="F70" s="138">
        <f>F18/$B$18</f>
        <v>1.0170268163323033</v>
      </c>
      <c r="G70" s="138"/>
      <c r="H70" s="138">
        <f>H18/$B$18</f>
        <v>1.0253329413199395</v>
      </c>
      <c r="I70" s="138"/>
      <c r="J70" s="138">
        <f>J18/$B$18</f>
        <v>1.0335000284127933</v>
      </c>
      <c r="K70" s="138"/>
      <c r="L70" s="138">
        <f>L18/$B$18</f>
        <v>1.0415260553890722</v>
      </c>
      <c r="M70" s="138"/>
      <c r="N70" s="138">
        <f>N18/$B$18</f>
        <v>1.0494075880058162</v>
      </c>
      <c r="O70" s="138"/>
      <c r="P70" s="138">
        <f>P18/$B$18</f>
        <v>1.0571398528704856</v>
      </c>
      <c r="Q70" s="138"/>
      <c r="R70" s="138">
        <f>R18/$B$18</f>
        <v>1.0647165317297429</v>
      </c>
      <c r="S70" s="138"/>
      <c r="T70" s="138">
        <f>T18/$B$18</f>
        <v>1.0721297691254441</v>
      </c>
      <c r="U70" s="138"/>
      <c r="V70" s="138">
        <f>V18/$B$18</f>
        <v>1.0793703668123109</v>
      </c>
      <c r="W70" s="138"/>
      <c r="X70" s="138">
        <f>X18/$B$18</f>
        <v>1.0864286273322377</v>
      </c>
      <c r="Y70" s="138"/>
      <c r="Z70" s="138">
        <f>Z18/$B$18</f>
        <v>1.0932965861923931</v>
      </c>
      <c r="AA70" s="138"/>
      <c r="AB70" s="138">
        <f>AB18/$B$18</f>
        <v>1.0999735766891223</v>
      </c>
      <c r="AC70" s="138"/>
      <c r="AD70" s="138">
        <f>AD18/$B$18</f>
        <v>1.1064797454151358</v>
      </c>
      <c r="AE70" s="138"/>
      <c r="AF70" s="138">
        <f>AF18/$B$18</f>
        <v>1.1128886044958055</v>
      </c>
      <c r="AG70" s="138"/>
      <c r="AH70" s="138">
        <f>AH18/$B$18</f>
        <v>1.1194041268880168</v>
      </c>
      <c r="AI70" s="138"/>
      <c r="AJ70" s="138">
        <f>AJ18/$B$18</f>
        <v>1.1265319637557281</v>
      </c>
      <c r="AK70" s="138"/>
      <c r="AL70" s="138">
        <f>AL18/$B$18</f>
        <v>1.1354435321245024</v>
      </c>
      <c r="AM70" s="138"/>
      <c r="AN70" s="138">
        <f>AN18/$B$18</f>
        <v>1.150002316014533</v>
      </c>
      <c r="AO70" s="138"/>
      <c r="AP70" s="138">
        <f>AP18/$B$18</f>
        <v>1.1550990648634898</v>
      </c>
      <c r="AQ70" s="138"/>
      <c r="AR70" s="138">
        <f>AR18/$B$18</f>
        <v>1.1623598326838009</v>
      </c>
      <c r="AS70" s="138"/>
      <c r="AT70" s="138">
        <f>AT18/$B$18</f>
        <v>1.1742819166457683</v>
      </c>
      <c r="AU70" s="138"/>
      <c r="AV70" s="138">
        <f>AV18/$B$18</f>
        <v>0</v>
      </c>
    </row>
    <row r="71" spans="1:48 16384:16384" x14ac:dyDescent="0.2">
      <c r="A71" t="s">
        <v>179</v>
      </c>
      <c r="B71" s="138">
        <f>C18/$C$18</f>
        <v>1</v>
      </c>
      <c r="D71" s="138">
        <f>E18/$C$18</f>
        <v>0.93060605761485671</v>
      </c>
      <c r="E71" s="138"/>
      <c r="F71" s="138">
        <f>G18/$C$18</f>
        <v>0.86185635648568237</v>
      </c>
      <c r="G71" s="138"/>
      <c r="H71" s="138">
        <f>I18/$C$18</f>
        <v>0.79377818204414319</v>
      </c>
      <c r="I71" s="138"/>
      <c r="J71" s="138">
        <f>K18/$C$18</f>
        <v>0.72640810580869419</v>
      </c>
      <c r="K71" s="138"/>
      <c r="L71" s="138">
        <f>M18/$C$18</f>
        <v>0.65979487351512123</v>
      </c>
      <c r="M71" s="138"/>
      <c r="N71" s="138">
        <f>O18/$C$18</f>
        <v>0.59400575402283873</v>
      </c>
      <c r="O71" s="138"/>
      <c r="P71" s="138">
        <f>Q18/$C$18</f>
        <v>0.52913064114612429</v>
      </c>
      <c r="Q71" s="138"/>
      <c r="R71" s="138">
        <f>S18/$C$18</f>
        <v>0.46529317243725649</v>
      </c>
      <c r="S71" s="138"/>
      <c r="T71" s="138">
        <f>U18/$C$18</f>
        <v>0.40266405825222201</v>
      </c>
      <c r="U71" s="138"/>
      <c r="V71" s="138">
        <f>W18/$C$18</f>
        <v>0.34148233491224456</v>
      </c>
      <c r="W71" s="138"/>
      <c r="X71" s="138">
        <f>Y18/$C$18</f>
        <v>0.28208824795975396</v>
      </c>
      <c r="Y71" s="138"/>
      <c r="Z71" s="138">
        <f>AA18/$C$18</f>
        <v>0.2249747272546917</v>
      </c>
      <c r="AA71" s="138"/>
      <c r="AB71" s="138">
        <f>AC18/$C$18</f>
        <v>0.17086893489590851</v>
      </c>
      <c r="AC71" s="138"/>
      <c r="AD71" s="138">
        <f>AE18/$C$18</f>
        <v>0.12086002389063492</v>
      </c>
      <c r="AE71" s="138"/>
      <c r="AF71" s="138">
        <f>AG18/$C$18</f>
        <v>7.6584722474097394E-2</v>
      </c>
      <c r="AG71" s="138"/>
      <c r="AH71" s="138">
        <f>AI18/$C$18</f>
        <v>4.041730221417697E-2</v>
      </c>
      <c r="AI71" s="138"/>
      <c r="AJ71" s="138">
        <f>AK18/$C$18</f>
        <v>1.5292237122253189E-2</v>
      </c>
      <c r="AK71" s="138"/>
      <c r="AL71" s="138">
        <f>AM18/$C$18</f>
        <v>2.9386391092606854E-3</v>
      </c>
      <c r="AM71" s="138"/>
      <c r="AN71" s="138">
        <f>AO18/$C$18</f>
        <v>1.0017641864308501E-4</v>
      </c>
      <c r="AO71" s="138"/>
      <c r="AP71" s="138">
        <f>AQ18/$C$18</f>
        <v>3.0460793722706311E-5</v>
      </c>
      <c r="AQ71" s="138"/>
      <c r="AR71" s="138">
        <f>AS18/$C$18</f>
        <v>6.2098211451292557E-6</v>
      </c>
      <c r="AS71" s="138"/>
      <c r="AT71" s="138">
        <f>AU18/$C$18</f>
        <v>6.0416359633937301E-7</v>
      </c>
      <c r="AU71" s="138"/>
      <c r="AV71" s="138">
        <f>AW18/$C$18</f>
        <v>0</v>
      </c>
      <c r="XFD71" s="138"/>
    </row>
    <row r="72" spans="1:48 16384:16384" x14ac:dyDescent="0.2">
      <c r="A72" t="s">
        <v>180</v>
      </c>
      <c r="B72" s="138">
        <f>C19/$C$19</f>
        <v>1</v>
      </c>
      <c r="D72" s="138">
        <f>E19/$C$19</f>
        <v>1.0222383558348511</v>
      </c>
      <c r="E72" s="138"/>
      <c r="F72" s="138">
        <f>G19/$C$19</f>
        <v>1.0454373556345635</v>
      </c>
      <c r="G72" s="138"/>
      <c r="H72" s="138">
        <f>I19/$C$19</f>
        <v>1.0696505734339132</v>
      </c>
      <c r="I72" s="138"/>
      <c r="J72" s="138">
        <f>K19/$C$19</f>
        <v>1.0949224030988198</v>
      </c>
      <c r="K72" s="138"/>
      <c r="L72" s="138">
        <f>M19/$C$19</f>
        <v>1.1212792466067896</v>
      </c>
      <c r="M72" s="138"/>
      <c r="N72" s="138">
        <f>O19/$C$19</f>
        <v>1.1487158899467373</v>
      </c>
      <c r="O72" s="138"/>
      <c r="P72" s="138">
        <f>Q19/$C$19</f>
        <v>1.1771713657560321</v>
      </c>
      <c r="Q72" s="138"/>
      <c r="R72" s="138">
        <f>S19/$C$19</f>
        <v>1.2064905061574636</v>
      </c>
      <c r="S72" s="138"/>
      <c r="T72" s="138">
        <f>U19/$C$19</f>
        <v>1.2363582306841658</v>
      </c>
      <c r="U72" s="138"/>
      <c r="V72" s="138">
        <f>W19/$C$19</f>
        <v>1.26618739753134</v>
      </c>
      <c r="W72" s="138"/>
      <c r="X72" s="138">
        <f>Y19/$C$19</f>
        <v>1.2949213430827535</v>
      </c>
      <c r="Y72" s="138"/>
      <c r="Z72" s="138">
        <f>AA19/$C$19</f>
        <v>1.3206782469935079</v>
      </c>
      <c r="AA72" s="138"/>
      <c r="AB72" s="138">
        <f>AC19/$C$19</f>
        <v>1.3400923316189051</v>
      </c>
      <c r="AC72" s="138"/>
      <c r="AD72" s="138">
        <f>AE19/$C$19</f>
        <v>1.3470642243261655</v>
      </c>
      <c r="AE72" s="138"/>
      <c r="AF72" s="138">
        <f>AG19/$C$19</f>
        <v>1.3303791870261525</v>
      </c>
      <c r="AG72" s="138"/>
      <c r="AH72" s="138">
        <f>AI19/$C$19</f>
        <v>1.2694516594246548</v>
      </c>
      <c r="AI72" s="138"/>
      <c r="AJ72" s="138">
        <f>AK19/$C$19</f>
        <v>1.1289741216916094</v>
      </c>
      <c r="AK72" s="138"/>
      <c r="AL72" s="138">
        <f>AM19/$C$19</f>
        <v>0.86381984758669417</v>
      </c>
      <c r="AM72" s="138"/>
      <c r="AN72" s="138">
        <f>AO19/$C$19</f>
        <v>0.46402168112449349</v>
      </c>
      <c r="AO72" s="138"/>
      <c r="AP72" s="138">
        <f>AQ19/$C$19</f>
        <v>0.37327874235348768</v>
      </c>
      <c r="AQ72" s="138"/>
      <c r="AR72" s="138">
        <f>AS19/$C$19</f>
        <v>0.28086463389142707</v>
      </c>
      <c r="AS72" s="138"/>
      <c r="AT72" s="138">
        <f>AU19/$C$19</f>
        <v>0.18752168084414858</v>
      </c>
      <c r="AU72" s="138"/>
      <c r="AV72" s="138">
        <f>AW19/$C$19</f>
        <v>0</v>
      </c>
      <c r="XFD72" s="138"/>
    </row>
    <row r="73" spans="1:48 16384:16384" x14ac:dyDescent="0.2">
      <c r="A73" t="s">
        <v>184</v>
      </c>
      <c r="B73" s="193">
        <f t="array" ref="B73">SUM(B9:C9*B22:C22)/B32</f>
        <v>0.47641153352875065</v>
      </c>
      <c r="D73" s="193">
        <f t="array" ref="D73">SUM(D9:E9*D22:E22)/D32</f>
        <v>0.4764115348606186</v>
      </c>
      <c r="E73" s="138"/>
      <c r="F73" s="193">
        <f t="array" ref="F73">SUM(F9:G9*F22:G22)/F32</f>
        <v>0.47641153352725113</v>
      </c>
      <c r="G73" s="138"/>
      <c r="H73" s="193">
        <f t="array" ref="H73">SUM(H9:I9*H22:I22)/H32</f>
        <v>0.47641153354856802</v>
      </c>
      <c r="I73" s="138"/>
      <c r="J73" s="193">
        <f t="array" ref="J73">SUM(J9:K9*J22:K22)/J32</f>
        <v>0.47641153510635642</v>
      </c>
      <c r="K73" s="138"/>
      <c r="L73" s="193">
        <f t="array" ref="L73">SUM(L9:M9*L22:M22)/L32</f>
        <v>0.47641153362909511</v>
      </c>
      <c r="M73" s="138"/>
      <c r="N73" s="193">
        <f t="array" ref="N73">SUM(N9:O9*N22:O22)/N32</f>
        <v>0.47641153353660159</v>
      </c>
      <c r="O73" s="138"/>
      <c r="P73" s="193">
        <f t="array" ref="P73">SUM(P9:Q9*P22:Q22)/P32</f>
        <v>0.47641153475471054</v>
      </c>
      <c r="Q73" s="138"/>
      <c r="R73" s="193">
        <f t="array" ref="R73">SUM(R9:S9*R22:S22)/R32</f>
        <v>0.47641153659284902</v>
      </c>
      <c r="S73" s="138"/>
      <c r="T73" s="193">
        <f t="array" ref="T73">SUM(T9:U9*T22:U22)/T32</f>
        <v>0.47641153583597556</v>
      </c>
      <c r="U73" s="138"/>
      <c r="V73" s="193">
        <f t="array" ref="V73">SUM(V9:W9*V22:W22)/V32</f>
        <v>0.47641153501957001</v>
      </c>
      <c r="W73" s="138"/>
      <c r="X73" s="193">
        <f t="array" ref="X73">SUM(X9:Y9*X22:Y22)/X32</f>
        <v>0.47641153543205433</v>
      </c>
      <c r="Y73" s="138"/>
      <c r="Z73" s="193">
        <f t="array" ref="Z73">SUM(Z9:AA9*Z22:AA22)/Z32</f>
        <v>0.4764115357356547</v>
      </c>
      <c r="AA73" s="138"/>
      <c r="AB73" s="193">
        <f t="array" ref="AB73">SUM(AB9:AC9*AB22:AC22)/AB32</f>
        <v>0.47641153355715765</v>
      </c>
      <c r="AC73" s="138"/>
      <c r="AD73" s="193">
        <f t="array" ref="AD73">SUM(AD9:AE9*AD22:AE22)/AD32</f>
        <v>0.47641153351944848</v>
      </c>
      <c r="AE73" s="138"/>
      <c r="AF73" s="193">
        <f t="array" ref="AF73">SUM(AF9:AG9*AF22:AG22)/AF32</f>
        <v>0.47641153356059168</v>
      </c>
      <c r="AG73" s="138"/>
      <c r="AH73" s="193">
        <f t="array" ref="AH73">SUM(AH9:AI9*AH22:AI22)/AH32</f>
        <v>0.4764115335143872</v>
      </c>
      <c r="AI73" s="138"/>
      <c r="AJ73" s="193">
        <f t="array" ref="AJ73">SUM(AJ9:AK9*AJ22:AK22)/AJ32</f>
        <v>0.47641153358772248</v>
      </c>
      <c r="AK73" s="138"/>
      <c r="AL73" s="193">
        <f t="array" ref="AL73">SUM(AL9:AM9*AL22:AM22)/AL32</f>
        <v>0.47641153353957633</v>
      </c>
      <c r="AM73" s="138"/>
      <c r="AN73" s="193">
        <f t="array" ref="AN73">SUM(AN9:AO9*AN22:AO22)/AN32</f>
        <v>0.47641153352876509</v>
      </c>
      <c r="AO73" s="138"/>
      <c r="AP73" s="193">
        <f t="array" ref="AP73">SUM(AP9:AQ9*AP22:AQ22)/AP32</f>
        <v>0.4764115335287531</v>
      </c>
      <c r="AQ73" s="138"/>
      <c r="AR73" s="193">
        <f t="array" ref="AR73">SUM(AR9:AS9*AR22:AS22)/AR32</f>
        <v>0.4764115335287516</v>
      </c>
      <c r="AS73" s="138"/>
      <c r="AT73" s="193">
        <f t="array" ref="AT73">SUM(AT9:AU9*AT22:AU22)/AT32</f>
        <v>0.476411533528731</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0.22604620456442481</v>
      </c>
      <c r="AQ74" s="138"/>
      <c r="AR74" s="193">
        <f t="array" ref="AR74">SUM(AR10:AS10*AR23:AS23)/AR32</f>
        <v>0.22604620456442481</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0.22038438801813434</v>
      </c>
      <c r="E75" s="138"/>
      <c r="F75" s="193">
        <f t="array" ref="F75">SUM(F11:G11*F24:G24)/F32</f>
        <v>0.22038438830072934</v>
      </c>
      <c r="G75" s="138"/>
      <c r="H75" s="193">
        <f t="array" ref="H75">SUM(H11:I11*H24:I24)/H32</f>
        <v>0.22038438828638754</v>
      </c>
      <c r="I75" s="138"/>
      <c r="J75" s="193">
        <f t="array" ref="J75">SUM(J11:K11*J24:K24)/J32</f>
        <v>0.22038438816176747</v>
      </c>
      <c r="K75" s="138"/>
      <c r="L75" s="193">
        <f t="array" ref="L75">SUM(L11:M11*L24:M24)/L32</f>
        <v>0.22038438827431844</v>
      </c>
      <c r="M75" s="138"/>
      <c r="N75" s="193">
        <f t="array" ref="N75">SUM(N11:O11*N24:O24)/N32</f>
        <v>0.22038438833376442</v>
      </c>
      <c r="O75" s="138"/>
      <c r="P75" s="193">
        <f t="array" ref="P75">SUM(P11:Q11*P24:Q24)/P32</f>
        <v>0.22038438833099383</v>
      </c>
      <c r="Q75" s="138"/>
      <c r="R75" s="193">
        <f t="array" ref="R75">SUM(R11:S11*R24:S24)/R32</f>
        <v>0.22038438832863855</v>
      </c>
      <c r="S75" s="138"/>
      <c r="T75" s="193">
        <f t="array" ref="T75">SUM(T11:U11*T24:U24)/T32</f>
        <v>0.2203843883294129</v>
      </c>
      <c r="U75" s="138"/>
      <c r="V75" s="193">
        <f t="array" ref="V75">SUM(V11:W11*V24:W24)/V32</f>
        <v>0.22038438833017254</v>
      </c>
      <c r="W75" s="138"/>
      <c r="X75" s="193">
        <f t="array" ref="X75">SUM(X11:Y11*X24:Y24)/X32</f>
        <v>0.22038438832928903</v>
      </c>
      <c r="Y75" s="138"/>
      <c r="Z75" s="193">
        <f t="array" ref="Z75">SUM(Z11:AA11*Z24:AA24)/Z32</f>
        <v>0.22038438832808838</v>
      </c>
      <c r="AA75" s="138"/>
      <c r="AB75" s="193">
        <f t="array" ref="AB75">SUM(AB11:AC11*AB24:AC24)/AB32</f>
        <v>0.22038438833136362</v>
      </c>
      <c r="AC75" s="138"/>
      <c r="AD75" s="193">
        <f t="array" ref="AD75">SUM(AD11:AE11*AD24:AE24)/AD32</f>
        <v>0.22038438833169369</v>
      </c>
      <c r="AE75" s="138"/>
      <c r="AF75" s="193">
        <f t="array" ref="AF75">SUM(AF11:AG11*AF24:AG24)/AF32</f>
        <v>0.22038438833237989</v>
      </c>
      <c r="AG75" s="138"/>
      <c r="AH75" s="193">
        <f t="array" ref="AH75">SUM(AH11:AI11*AH24:AI24)/AH32</f>
        <v>0.22038438833092899</v>
      </c>
      <c r="AI75" s="138"/>
      <c r="AJ75" s="193">
        <f t="array" ref="AJ75">SUM(AJ11:AK11*AJ24:AK24)/AJ32</f>
        <v>0.22038438833190729</v>
      </c>
      <c r="AK75" s="138"/>
      <c r="AL75" s="193">
        <f t="array" ref="AL75">SUM(AL11:AM11*AL24:AM24)/AL32</f>
        <v>0.22038438833180235</v>
      </c>
      <c r="AM75" s="138"/>
      <c r="AN75" s="193">
        <f t="array" ref="AN75">SUM(AN11:AO11*AN24:AO24)/AN32</f>
        <v>0.22038438833194168</v>
      </c>
      <c r="AO75" s="138"/>
      <c r="AP75" s="193">
        <f t="array" ref="AP75">SUM(AP11:AQ11*AP24:AQ24)/AP32</f>
        <v>0.22038438833194104</v>
      </c>
      <c r="AQ75" s="138"/>
      <c r="AR75" s="193">
        <f t="array" ref="AR75">SUM(AR11:AS11*AR24:AS24)/AR32</f>
        <v>0.22038438833194085</v>
      </c>
      <c r="AS75" s="138"/>
      <c r="AT75" s="193">
        <f t="array" ref="AT75">SUM(AT11:AU11*AT24:AU24)/AT32</f>
        <v>0.2203843883319265</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0.22281910574883773</v>
      </c>
      <c r="E76" s="138"/>
      <c r="F76" s="193">
        <f t="array" ref="F76">SUM(F12:G12*F25:G25)/F32</f>
        <v>0.22263758979325854</v>
      </c>
      <c r="G76" s="138"/>
      <c r="H76" s="193">
        <f t="array" ref="H76">SUM(H12:I12*H25:I25)/H32</f>
        <v>0.22247352984552352</v>
      </c>
      <c r="I76" s="138"/>
      <c r="J76" s="193">
        <f t="array" ref="J76">SUM(J12:K12*J25:K25)/J32</f>
        <v>0.22232599057041297</v>
      </c>
      <c r="K76" s="138"/>
      <c r="L76" s="193">
        <f t="array" ref="L76">SUM(L12:M12*L25:M25)/L32</f>
        <v>0.22219358365227754</v>
      </c>
      <c r="M76" s="138"/>
      <c r="N76" s="193">
        <f t="array" ref="N76">SUM(N12:O12*N25:O25)/N32</f>
        <v>0.22207419408866147</v>
      </c>
      <c r="O76" s="138"/>
      <c r="P76" s="193">
        <f t="array" ref="P76">SUM(P12:Q12*P25:Q25)/P32</f>
        <v>0.22196452289639973</v>
      </c>
      <c r="Q76" s="138"/>
      <c r="R76" s="193">
        <f t="array" ref="R76">SUM(R12:S12*R25:S25)/R32</f>
        <v>0.22185938234091448</v>
      </c>
      <c r="S76" s="138"/>
      <c r="T76" s="193">
        <f t="array" ref="T76">SUM(T12:U12*T25:U25)/T32</f>
        <v>0.2217505106637207</v>
      </c>
      <c r="U76" s="138"/>
      <c r="V76" s="193">
        <f t="array" ref="V76">SUM(V12:W12*V25:W25)/V32</f>
        <v>0.22162457896254756</v>
      </c>
      <c r="W76" s="138"/>
      <c r="X76" s="193">
        <f t="array" ref="X76">SUM(X12:Y12*X25:Y25)/X32</f>
        <v>0.22145975179491981</v>
      </c>
      <c r="Y76" s="138"/>
      <c r="Z76" s="193">
        <f t="array" ref="Z76">SUM(Z12:AA12*Z25:AA25)/Z32</f>
        <v>0.22121954868237748</v>
      </c>
      <c r="AA76" s="138"/>
      <c r="AB76" s="193">
        <f t="array" ref="AB76">SUM(AB12:AC12*AB25:AC25)/AB32</f>
        <v>0.22084156245282494</v>
      </c>
      <c r="AC76" s="138"/>
      <c r="AD76" s="193">
        <f t="array" ref="AD76">SUM(AD12:AE12*AD25:AE25)/AD32</f>
        <v>0.2202161750883212</v>
      </c>
      <c r="AE76" s="138"/>
      <c r="AF76" s="193">
        <f t="array" ref="AF76">SUM(AF12:AG12*AF25:AG25)/AF32</f>
        <v>0.21914607407852604</v>
      </c>
      <c r="AG76" s="138"/>
      <c r="AH76" s="193">
        <f t="array" ref="AH76">SUM(AH12:AI12*AH25:AI25)/AH32</f>
        <v>0.21727295412785846</v>
      </c>
      <c r="AI76" s="138"/>
      <c r="AJ76" s="193">
        <f t="array" ref="AJ76">SUM(AJ12:AK12*AJ25:AK25)/AJ32</f>
        <v>0.21397517626409882</v>
      </c>
      <c r="AK76" s="138"/>
      <c r="AL76" s="193">
        <f t="array" ref="AL76">SUM(AL12:AM12*AL25:AM25)/AL32</f>
        <v>0.20835384578800104</v>
      </c>
      <c r="AM76" s="138"/>
      <c r="AN76" s="193">
        <f t="array" ref="AN76">SUM(AN12:AO12*AN25:AO25)/AN32</f>
        <v>0.1992591952835305</v>
      </c>
      <c r="AO76" s="138"/>
      <c r="AP76" s="193">
        <f t="array" ref="AP76">SUM(AP12:AQ12*AP25:AQ25)/AP32</f>
        <v>0.19672574032949527</v>
      </c>
      <c r="AQ76" s="138"/>
      <c r="AR76" s="193">
        <f t="array" ref="AR76">SUM(AR12:AS12*AR25:AS25)/AR32</f>
        <v>0.19366804512035155</v>
      </c>
      <c r="AS76" s="138"/>
      <c r="AT76" s="193">
        <f t="array" ref="AT76">SUM(AT12:AU12*AT25:AU25)/AT32</f>
        <v>0.18959707099001943</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0.14566123319201552</v>
      </c>
      <c r="E77" s="138"/>
      <c r="F77" s="193">
        <f t="array" ref="F77">SUM(F4:G4*F19:G19)/F32</f>
        <v>0.14547971618566391</v>
      </c>
      <c r="G77" s="138"/>
      <c r="H77" s="193">
        <f t="array" ref="H77">SUM(H4:I4*H19:I19)/H32</f>
        <v>0.14531565624490392</v>
      </c>
      <c r="I77" s="138"/>
      <c r="J77" s="193">
        <f t="array" ref="J77">SUM(J4:K4*J19:K19)/J32</f>
        <v>0.14516811840296154</v>
      </c>
      <c r="K77" s="138"/>
      <c r="L77" s="193">
        <f t="array" ref="L77">SUM(L4:M4*L19:M19)/L32</f>
        <v>0.14503571012011582</v>
      </c>
      <c r="M77" s="138"/>
      <c r="N77" s="193">
        <f t="array" ref="N77">SUM(N4:O4*N19:O19)/N32</f>
        <v>0.1449163205234521</v>
      </c>
      <c r="O77" s="138"/>
      <c r="P77" s="193">
        <f t="array" ref="P77">SUM(P4:Q4*P19:Q19)/P32</f>
        <v>0.144806650546529</v>
      </c>
      <c r="Q77" s="138"/>
      <c r="R77" s="193">
        <f t="array" ref="R77">SUM(R4:S4*R19:S19)/R32</f>
        <v>0.14470151182682672</v>
      </c>
      <c r="S77" s="138"/>
      <c r="T77" s="193">
        <f t="array" ref="T77">SUM(T4:U4*T19:U19)/T32</f>
        <v>0.14459263939353403</v>
      </c>
      <c r="U77" s="138"/>
      <c r="V77" s="193">
        <f t="array" ref="V77">SUM(V4:W4*V19:W19)/V32</f>
        <v>0.14446670687671495</v>
      </c>
      <c r="W77" s="138"/>
      <c r="X77" s="193">
        <f t="array" ref="X77">SUM(X4:Y4*X19:Y19)/X32</f>
        <v>0.14430188012068784</v>
      </c>
      <c r="Y77" s="138"/>
      <c r="Z77" s="193">
        <f t="array" ref="Z77">SUM(Z4:AA4*Z19:AA19)/Z32</f>
        <v>0.14406167731054531</v>
      </c>
      <c r="AA77" s="138"/>
      <c r="AB77" s="193">
        <f t="array" ref="AB77">SUM(AB4:AC4*AB19:AC19)/AB32</f>
        <v>0.1436836889057708</v>
      </c>
      <c r="AC77" s="138"/>
      <c r="AD77" s="193">
        <f t="array" ref="AD77">SUM(AD4:AE4*AD19:AE19)/AD32</f>
        <v>0.14305830150388812</v>
      </c>
      <c r="AE77" s="138"/>
      <c r="AF77" s="193">
        <f t="array" ref="AF77">SUM(AF4:AG4*AF19:AG19)/AF32</f>
        <v>0.14198820053592226</v>
      </c>
      <c r="AG77" s="138"/>
      <c r="AH77" s="193">
        <f t="array" ref="AH77">SUM(AH4:AI4*AH19:AI19)/AH32</f>
        <v>0.14011508053759955</v>
      </c>
      <c r="AI77" s="138"/>
      <c r="AJ77" s="193">
        <f t="array" ref="AJ77">SUM(AJ4:AK4*AJ19:AK19)/AJ32</f>
        <v>0.13681730274815329</v>
      </c>
      <c r="AK77" s="138"/>
      <c r="AL77" s="193">
        <f t="array" ref="AL77">SUM(AL4:AM4*AL19:AM19)/AL32</f>
        <v>0.13119597222380439</v>
      </c>
      <c r="AM77" s="138"/>
      <c r="AN77" s="193">
        <f t="array" ref="AN77">SUM(AN4:AO4*AN19:AO19)/AN32</f>
        <v>0.12210132170866202</v>
      </c>
      <c r="AO77" s="138"/>
      <c r="AP77" s="193">
        <f t="array" ref="AP77">SUM(AP4:AQ4*AP19:AQ19)/AP32</f>
        <v>0.11956786675461405</v>
      </c>
      <c r="AQ77" s="138"/>
      <c r="AR77" s="193">
        <f t="array" ref="AR77">SUM(AR4:AS4*AR19:AS19)/AR32</f>
        <v>0.11651017154546847</v>
      </c>
      <c r="AS77" s="138"/>
      <c r="AT77" s="193">
        <f t="array" ref="AT77">SUM(AT4:AU4*AT19:AU19)/AT32</f>
        <v>0.11243919741510175</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0.34023409006778171</v>
      </c>
      <c r="E78" s="138"/>
      <c r="F78" s="193">
        <f t="array" ref="F78">SUM(F13:G13*F26:G26)/F32</f>
        <v>0.33354437628030359</v>
      </c>
      <c r="G78" s="138"/>
      <c r="H78" s="193">
        <f t="array" ref="H78">SUM(H13:I13*H26:I26)/H32</f>
        <v>0.32680434832011429</v>
      </c>
      <c r="I78" s="138"/>
      <c r="J78" s="193">
        <f t="array" ref="J78">SUM(J13:K13*J26:K26)/J32</f>
        <v>0.31999779544450019</v>
      </c>
      <c r="K78" s="138"/>
      <c r="L78" s="193">
        <f t="array" ref="L78">SUM(L13:M13*L26:M26)/L32</f>
        <v>0.31310557930855604</v>
      </c>
      <c r="M78" s="138"/>
      <c r="N78" s="193">
        <f t="array" ref="N78">SUM(N13:O13*N26:O26)/N32</f>
        <v>0.30610444256543251</v>
      </c>
      <c r="O78" s="138"/>
      <c r="P78" s="193">
        <f t="array" ref="P78">SUM(P13:Q13*P26:Q26)/P32</f>
        <v>0.2989654217245894</v>
      </c>
      <c r="Q78" s="138"/>
      <c r="R78" s="193">
        <f t="array" ref="R78">SUM(R13:S13*R26:S26)/R32</f>
        <v>0.29165126497582494</v>
      </c>
      <c r="S78" s="138"/>
      <c r="T78" s="193">
        <f t="array" ref="T78">SUM(T13:U13*T26:U26)/T32</f>
        <v>0.28411253455959018</v>
      </c>
      <c r="U78" s="138"/>
      <c r="V78" s="193">
        <f t="array" ref="V78">SUM(V13:W13*V26:W26)/V32</f>
        <v>0.27628127712047879</v>
      </c>
      <c r="W78" s="138"/>
      <c r="X78" s="193">
        <f t="array" ref="X78">SUM(X13:Y13*X26:Y26)/X32</f>
        <v>0.26806031049348533</v>
      </c>
      <c r="Y78" s="138"/>
      <c r="Z78" s="193">
        <f t="array" ref="Z78">SUM(Z13:AA13*Z26:AA26)/Z32</f>
        <v>0.25930440391945558</v>
      </c>
      <c r="AA78" s="138"/>
      <c r="AB78" s="193">
        <f t="array" ref="AB78">SUM(AB13:AC13*AB26:AC26)/AB32</f>
        <v>0.24978547330256892</v>
      </c>
      <c r="AC78" s="138"/>
      <c r="AD78" s="193">
        <f t="array" ref="AD78">SUM(AD13:AE13*AD26:AE26)/AD32</f>
        <v>0.23912462899674866</v>
      </c>
      <c r="AE78" s="138"/>
      <c r="AF78" s="193">
        <f t="array" ref="AF78">SUM(AF13:AG13*AF26:AG26)/AF32</f>
        <v>0.22665196865523182</v>
      </c>
      <c r="AG78" s="138"/>
      <c r="AH78" s="193">
        <f t="array" ref="AH78">SUM(AH13:AI13*AH26:AI26)/AH32</f>
        <v>0.21110278467488083</v>
      </c>
      <c r="AI78" s="138"/>
      <c r="AJ78" s="193">
        <f t="array" ref="AJ78">SUM(AJ13:AK13*AJ26:AK26)/AJ32</f>
        <v>0.18993491637269533</v>
      </c>
      <c r="AK78" s="138"/>
      <c r="AL78" s="193">
        <f t="array" ref="AL78">SUM(AL13:AM13*AL26:AM26)/AL32</f>
        <v>0.1576157387637149</v>
      </c>
      <c r="AM78" s="138"/>
      <c r="AN78" s="193">
        <f t="array" ref="AN78">SUM(AN13:AO13*AN26:AO26)/AN32</f>
        <v>9.729979933974793E-2</v>
      </c>
      <c r="AO78" s="138"/>
      <c r="AP78" s="193">
        <f t="array" ref="AP78">SUM(AP13:AQ13*AP26:AQ26)/AP32</f>
        <v>7.646595823520673E-2</v>
      </c>
      <c r="AQ78" s="138"/>
      <c r="AR78" s="193">
        <f t="array" ref="AR78">SUM(AR13:AS13*AR26:AS26)/AR32</f>
        <v>4.8271376101198075E-2</v>
      </c>
      <c r="AS78" s="138"/>
      <c r="AT78" s="193">
        <f t="array" ref="AT78">SUM(AT13:AU13*AT26:AU26)/AT32</f>
        <v>5.6092636547003484E-3</v>
      </c>
      <c r="AU78" s="138"/>
      <c r="AV78" s="193" t="e">
        <f t="array" ref="AV78">SUM(AV13:AW13*AV26:AW26)/AV32</f>
        <v>#DIV/0!</v>
      </c>
      <c r="XFD78" s="193"/>
    </row>
    <row r="79" spans="1:48 16384:16384" x14ac:dyDescent="0.2">
      <c r="A79" t="s">
        <v>190</v>
      </c>
      <c r="B79" s="193">
        <f t="array" ref="B79">SUM(B15:C15*B27:C27)/B32</f>
        <v>0.45460968782439864</v>
      </c>
      <c r="D79" s="193">
        <f t="array" ref="D79">SUM(D15:E15*D27:E27)/D32</f>
        <v>0.46135580823860217</v>
      </c>
      <c r="F79" s="193">
        <f t="array" ref="F79">SUM(F15:G15*F27:G27)/F32</f>
        <v>0.46813865348624761</v>
      </c>
      <c r="H79" s="193">
        <f t="array" ref="H79">SUM(H15:I15*H27:I27)/H32</f>
        <v>0.47497250787204154</v>
      </c>
      <c r="J79" s="193">
        <f t="array" ref="J79">SUM(J15:K15*J27:K27)/J32</f>
        <v>0.4818738154185459</v>
      </c>
      <c r="L79" s="193">
        <f t="array" ref="L79">SUM(L15:M15*L27:M27)/L32</f>
        <v>0.48886197507009699</v>
      </c>
      <c r="N79" s="193">
        <f t="array" ref="N79">SUM(N15:O15*N27:O27)/N32</f>
        <v>0.49596058271125587</v>
      </c>
      <c r="P79" s="193">
        <f t="array" ref="P79">SUM(P15:Q15*P27:Q27)/P32</f>
        <v>0.50319898275762476</v>
      </c>
      <c r="R79" s="193">
        <f t="array" ref="R79">SUM(R15:S15*R27:S27)/R32</f>
        <v>0.51061495662212364</v>
      </c>
      <c r="T79" s="193">
        <f t="array" ref="T79">SUM(T15:U15*T27:U27)/T32</f>
        <v>0.51825863583518295</v>
      </c>
      <c r="V79" s="193">
        <f t="array" ref="V79">SUM(V15:W15*V27:W27)/V32</f>
        <v>0.52619891417815401</v>
      </c>
      <c r="X79" s="193">
        <f t="array" ref="X79">SUM(X15:Y15*X27:Y27)/X32</f>
        <v>0.53453432481519869</v>
      </c>
      <c r="Z79" s="193">
        <f t="array" ref="Z79">SUM(Z15:AA15*Z27:AA27)/Z32</f>
        <v>0.54341212279293405</v>
      </c>
      <c r="AB79" s="193">
        <f t="array" ref="AB79">SUM(AB15:AC15*AB27:AC27)/AB32</f>
        <v>0.55306356897842202</v>
      </c>
      <c r="AD79" s="193">
        <f t="array" ref="AD79">SUM(AD15:AE15*AD27:AE27)/AD32</f>
        <v>0.56387282371922587</v>
      </c>
      <c r="AF79" s="193">
        <f t="array" ref="AF79">SUM(AF15:AG15*AF27:AG27)/AF32</f>
        <v>0.57651911569886838</v>
      </c>
      <c r="AH79" s="193">
        <f t="array" ref="AH79">SUM(AH15:AI15*AH27:AI27)/AH32</f>
        <v>0.59228476127093177</v>
      </c>
      <c r="AJ79" s="193">
        <f t="array" ref="AJ79">SUM(AJ15:AK15*AJ27:AK27)/AJ32</f>
        <v>0.61374730746685691</v>
      </c>
      <c r="AL79" s="193">
        <f t="array" ref="AL79">SUM(AL15:AM15*AL27:AM27)/AL32</f>
        <v>0.64651640151612155</v>
      </c>
      <c r="AN79" s="193">
        <f t="array" ref="AN79">SUM(AN15:AO15*AN27:AO27)/AN32</f>
        <v>0.7076720009621329</v>
      </c>
      <c r="AP79" s="193">
        <f t="array" ref="AP79">SUM(AP15:AQ15*AP27:AQ27)/AP32</f>
        <v>0.72879587061119933</v>
      </c>
      <c r="AR79" s="193">
        <f t="array" ref="AR79">SUM(AR15:AS15*AR27:AS27)/AR32</f>
        <v>0.75738295039151693</v>
      </c>
      <c r="AT79" s="193">
        <f t="array" ref="AT79">SUM(AT15:AU15*AT27:AU27)/AT32</f>
        <v>0.80063896358540498</v>
      </c>
      <c r="AV79" s="193" t="e">
        <f t="array" ref="AV79">SUM(AV15:AW15*AV27:AW27)/AV32</f>
        <v>#DIV/0!</v>
      </c>
      <c r="XFD79" s="193"/>
    </row>
    <row r="80" spans="1:48 16384:16384" x14ac:dyDescent="0.2">
      <c r="A80" t="s">
        <v>169</v>
      </c>
      <c r="B80" s="236">
        <f>B55</f>
        <v>0.19850271905982084</v>
      </c>
      <c r="D80" s="236">
        <f>D55</f>
        <v>0.19841009513311264</v>
      </c>
      <c r="F80" s="236">
        <f>F55</f>
        <v>0.19831696854586855</v>
      </c>
      <c r="H80" s="236">
        <f>H55</f>
        <v>0.19822314103847746</v>
      </c>
      <c r="J80" s="236">
        <f>J55</f>
        <v>0.19812838821949422</v>
      </c>
      <c r="L80" s="236">
        <f>L55</f>
        <v>0.19803244118130511</v>
      </c>
      <c r="N80" s="236">
        <f>N55</f>
        <v>0.19793497535792437</v>
      </c>
      <c r="P80" s="236">
        <f>P55</f>
        <v>0.1978355971374583</v>
      </c>
      <c r="R80" s="236">
        <f>R55</f>
        <v>0.19773378244914097</v>
      </c>
      <c r="T80" s="236">
        <f>T55</f>
        <v>0.1976288327917263</v>
      </c>
      <c r="V80" s="236">
        <f>V55</f>
        <v>0.19751981084014414</v>
      </c>
      <c r="X80" s="236">
        <f>X55</f>
        <v>0.19740536747962498</v>
      </c>
      <c r="Z80" s="236">
        <f>Z55</f>
        <v>0.19728347671997545</v>
      </c>
      <c r="AB80" s="236">
        <f>AB55</f>
        <v>0.19715095758460879</v>
      </c>
      <c r="AD80" s="236">
        <f>AD55</f>
        <v>0.19700254768409844</v>
      </c>
      <c r="AF80" s="236">
        <f>AF55</f>
        <v>0.19682891496687707</v>
      </c>
      <c r="AH80" s="236">
        <f>AH55</f>
        <v>0.19661245526539073</v>
      </c>
      <c r="AJ80" s="236">
        <f>AJ55</f>
        <v>0.19631777606218473</v>
      </c>
      <c r="AL80" s="236">
        <f>AL55</f>
        <v>0.19586785980016466</v>
      </c>
      <c r="AN80" s="236">
        <f>AN55</f>
        <v>0.1950281996858049</v>
      </c>
      <c r="AP80" s="236">
        <f>AP55</f>
        <v>0.19473817114965755</v>
      </c>
      <c r="AR80" s="236">
        <f>AR55</f>
        <v>0.19434567350568685</v>
      </c>
      <c r="AT80" s="236">
        <f>AT55</f>
        <v>0.19375177275755934</v>
      </c>
      <c r="AV80" s="236" t="e">
        <f>AV55</f>
        <v>#DIV/0!</v>
      </c>
      <c r="XFD80" s="236"/>
    </row>
    <row r="81" spans="1:48 16384:16384" x14ac:dyDescent="0.2">
      <c r="A81" t="s">
        <v>191</v>
      </c>
      <c r="B81" s="236">
        <f>B51/B$32</f>
        <v>-2.7543485504603994E-2</v>
      </c>
      <c r="D81" s="236">
        <f>D51/D$32</f>
        <v>-2.7636109431312204E-2</v>
      </c>
      <c r="F81" s="236">
        <f>F51/F$32</f>
        <v>-2.7729236018556289E-2</v>
      </c>
      <c r="H81" s="236">
        <f>H51/H$32</f>
        <v>-2.7823063525947392E-2</v>
      </c>
      <c r="J81" s="236">
        <f>J51/J$32</f>
        <v>-2.7917816344930617E-2</v>
      </c>
      <c r="L81" s="236">
        <f>L51/L$32</f>
        <v>-2.8013763383119734E-2</v>
      </c>
      <c r="N81" s="236">
        <f>N51/N$32</f>
        <v>-2.8111229206500454E-2</v>
      </c>
      <c r="P81" s="236">
        <f>P51/P$32</f>
        <v>-2.8210607426966555E-2</v>
      </c>
      <c r="R81" s="236">
        <f>R51/R$32</f>
        <v>-2.8312422115283883E-2</v>
      </c>
      <c r="T81" s="236">
        <f>T51/T$32</f>
        <v>-2.8417371772698544E-2</v>
      </c>
      <c r="V81" s="236">
        <f>V51/V$32</f>
        <v>-2.8526393724280716E-2</v>
      </c>
      <c r="X81" s="236">
        <f>X51/X$32</f>
        <v>-2.8640837084799857E-2</v>
      </c>
      <c r="Z81" s="236">
        <f>Z51/Z$32</f>
        <v>-2.8762727844449387E-2</v>
      </c>
      <c r="AB81" s="236">
        <f>AB51/AB$32</f>
        <v>-2.889524697981603E-2</v>
      </c>
      <c r="AD81" s="236">
        <f>AD51/AD$32</f>
        <v>-2.9043656880326417E-2</v>
      </c>
      <c r="AF81" s="236">
        <f>AF51/AF$32</f>
        <v>-2.9217289597547748E-2</v>
      </c>
      <c r="AH81" s="236">
        <f>AH51/AH$32</f>
        <v>-2.9433749299034133E-2</v>
      </c>
      <c r="AJ81" s="236">
        <f>AJ51/AJ$32</f>
        <v>-2.9728428502240112E-2</v>
      </c>
      <c r="AL81" s="236">
        <f>AL51/AL$32</f>
        <v>-3.0178344764260165E-2</v>
      </c>
      <c r="AN81" s="236">
        <f>AN51/AN$32</f>
        <v>-3.1018004878619932E-2</v>
      </c>
      <c r="AP81" s="236">
        <f>AP51/AP$32</f>
        <v>-3.1308033414767268E-2</v>
      </c>
      <c r="AR81" s="236">
        <f>AR51/AR$32</f>
        <v>-3.1700531058737977E-2</v>
      </c>
      <c r="AT81" s="236">
        <f>AT51/AT$32</f>
        <v>-3.2294431806865503E-2</v>
      </c>
      <c r="AV81" s="236" t="e">
        <f>AV51/AV$32</f>
        <v>#DIV/0!</v>
      </c>
      <c r="XFD81" s="236"/>
    </row>
    <row r="82" spans="1:48 16384:16384" x14ac:dyDescent="0.2">
      <c r="A82" t="s">
        <v>192</v>
      </c>
      <c r="B82" s="236">
        <f>B52/B$32</f>
        <v>0.13907860278212886</v>
      </c>
      <c r="D82" s="236">
        <f>D52/D$32</f>
        <v>0.13641099539032331</v>
      </c>
      <c r="F82" s="236">
        <f>F52/F$32</f>
        <v>0.13372886992651556</v>
      </c>
      <c r="H82" s="236">
        <f>H52/H$32</f>
        <v>0.13102657186218911</v>
      </c>
      <c r="J82" s="236">
        <f>J52/J$32</f>
        <v>0.12829760177940167</v>
      </c>
      <c r="L82" s="236">
        <f>L52/L$32</f>
        <v>0.12553428648856152</v>
      </c>
      <c r="N82" s="236">
        <f>N52/N$32</f>
        <v>0.12272730135722743</v>
      </c>
      <c r="P82" s="236">
        <f>P52/P$32</f>
        <v>0.1198650339729754</v>
      </c>
      <c r="R82" s="236">
        <f>R52/R$32</f>
        <v>0.11693254886444017</v>
      </c>
      <c r="T82" s="236">
        <f>T52/T$32</f>
        <v>0.11391002481385776</v>
      </c>
      <c r="V82" s="236">
        <f>V52/V$32</f>
        <v>0.11077021709437192</v>
      </c>
      <c r="X82" s="236">
        <f>X52/X$32</f>
        <v>0.10747416219159779</v>
      </c>
      <c r="Z82" s="236">
        <f>Z52/Z$32</f>
        <v>0.10396363233531525</v>
      </c>
      <c r="AB82" s="236">
        <f>AB52/AB$32</f>
        <v>0.10014718113772289</v>
      </c>
      <c r="AD82" s="236">
        <f>AD52/AD$32</f>
        <v>9.5872899324373484E-2</v>
      </c>
      <c r="AF82" s="236">
        <f>AF52/AF$32</f>
        <v>9.0872201093303309E-2</v>
      </c>
      <c r="AH82" s="236">
        <f>AH52/AH$32</f>
        <v>8.4638023724879177E-2</v>
      </c>
      <c r="AJ82" s="236">
        <f>AJ52/AJ$32</f>
        <v>7.6151131700575719E-2</v>
      </c>
      <c r="AL82" s="236">
        <f>AL52/AL$32</f>
        <v>6.3193314372631412E-2</v>
      </c>
      <c r="AN82" s="236">
        <f>AN52/AN$32</f>
        <v>3.9010677844097071E-2</v>
      </c>
      <c r="AP82" s="236">
        <f>AP52/AP$32</f>
        <v>3.0657708268625898E-2</v>
      </c>
      <c r="AR82" s="236">
        <f>AR52/AR$32</f>
        <v>1.9353576420026799E-2</v>
      </c>
      <c r="AT82" s="236">
        <f>AT52/AT$32</f>
        <v>2.2489376017317975E-3</v>
      </c>
      <c r="AV82" s="236" t="e">
        <f>AV52/AV$32</f>
        <v>#DIV/0!</v>
      </c>
    </row>
    <row r="83" spans="1:48 16384:16384" x14ac:dyDescent="0.2">
      <c r="A83" t="s">
        <v>193</v>
      </c>
      <c r="B83" s="236">
        <f>B53/B$32</f>
        <v>0.18600714462929618</v>
      </c>
      <c r="D83" s="236">
        <f>D53/D$32</f>
        <v>0.18876737308280003</v>
      </c>
      <c r="F83" s="236">
        <f>F53/F$32</f>
        <v>0.19154262779198752</v>
      </c>
      <c r="H83" s="236">
        <f>H53/H$32</f>
        <v>0.19433875329295777</v>
      </c>
      <c r="J83" s="236">
        <f>J53/J$32</f>
        <v>0.19716247778742946</v>
      </c>
      <c r="L83" s="236">
        <f>L53/L$32</f>
        <v>0.2000217385067056</v>
      </c>
      <c r="N83" s="236">
        <f>N53/N$32</f>
        <v>0.20292618989333261</v>
      </c>
      <c r="P83" s="236">
        <f>P53/P$32</f>
        <v>0.20588783844673897</v>
      </c>
      <c r="R83" s="236">
        <f>R53/R$32</f>
        <v>0.2089221427304474</v>
      </c>
      <c r="T83" s="236">
        <f>T53/T$32</f>
        <v>0.21204961445611081</v>
      </c>
      <c r="V83" s="236">
        <f>V53/V$32</f>
        <v>0.21529844205854498</v>
      </c>
      <c r="X83" s="236">
        <f>X53/X$32</f>
        <v>0.21870894116015721</v>
      </c>
      <c r="Z83" s="236">
        <f>Z53/Z$32</f>
        <v>0.22234136232640422</v>
      </c>
      <c r="AB83" s="236">
        <f>AB53/AB$32</f>
        <v>0.22629032776772007</v>
      </c>
      <c r="AD83" s="236">
        <f>AD53/AD$32</f>
        <v>0.23071301972470326</v>
      </c>
      <c r="AF83" s="236">
        <f>AF53/AF$32</f>
        <v>0.23588734997828617</v>
      </c>
      <c r="AH83" s="236">
        <f>AH53/AH$32</f>
        <v>0.24233798839325493</v>
      </c>
      <c r="AJ83" s="236">
        <f>AJ53/AJ$32</f>
        <v>0.25111955869696667</v>
      </c>
      <c r="AL83" s="236">
        <f>AL53/AL$32</f>
        <v>0.26452729236265793</v>
      </c>
      <c r="AN83" s="236">
        <f>AN53/AN$32</f>
        <v>0.28954958892981658</v>
      </c>
      <c r="AP83" s="236">
        <f>AP53/AP$32</f>
        <v>0.298192587049254</v>
      </c>
      <c r="AR83" s="236">
        <f>AR53/AR$32</f>
        <v>0.30988921654404983</v>
      </c>
      <c r="AT83" s="236">
        <f>AT53/AT$32</f>
        <v>0.32758775601149331</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c r="AF1" s="94"/>
      <c r="AH1" s="94"/>
      <c r="AJ1" s="94"/>
      <c r="AL1" s="94"/>
      <c r="AN1" s="94"/>
      <c r="AP1" s="94"/>
      <c r="AR1" s="94"/>
      <c r="AT1" s="94"/>
      <c r="AV1" s="94"/>
    </row>
    <row r="2" spans="1:49" x14ac:dyDescent="0.2">
      <c r="A2" s="229" t="s">
        <v>155</v>
      </c>
      <c r="B2" s="226">
        <v>5.7716594496607888E-3</v>
      </c>
      <c r="C2" s="227"/>
      <c r="D2" s="226">
        <v>2.830297885260093E-2</v>
      </c>
      <c r="E2" s="227"/>
      <c r="F2" s="226">
        <v>5.2206845542503502E-2</v>
      </c>
      <c r="G2" s="227"/>
      <c r="H2" s="226">
        <v>7.7587141400944373E-2</v>
      </c>
      <c r="I2" s="227"/>
      <c r="J2" s="226">
        <v>0.1045488768485674</v>
      </c>
      <c r="K2" s="227"/>
      <c r="L2" s="226">
        <v>0.13319328879664238</v>
      </c>
      <c r="M2" s="227"/>
      <c r="N2" s="226">
        <v>0.16360881478652539</v>
      </c>
      <c r="O2" s="227"/>
      <c r="P2" s="226">
        <v>0.19585638756003843</v>
      </c>
      <c r="Q2" s="227"/>
      <c r="R2" s="226">
        <v>0.22994509300881549</v>
      </c>
      <c r="S2" s="227"/>
      <c r="T2" s="226">
        <v>0.26579060423819495</v>
      </c>
      <c r="U2" s="227"/>
      <c r="V2" s="226">
        <v>0.30314481127564546</v>
      </c>
      <c r="W2" s="227"/>
      <c r="X2" s="226">
        <v>0.34146303547706192</v>
      </c>
      <c r="Y2" s="227"/>
      <c r="Z2" s="226">
        <v>0.3796116509029428</v>
      </c>
      <c r="AA2" s="227"/>
      <c r="AB2" s="226">
        <v>0.41498565805398618</v>
      </c>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999.47063053714669</v>
      </c>
      <c r="E3" s="85">
        <v>1009.6923444059897</v>
      </c>
      <c r="F3" s="84">
        <v>998.95983015310082</v>
      </c>
      <c r="G3" s="85">
        <v>1019.7678533233292</v>
      </c>
      <c r="H3" s="84">
        <v>998.46830200423767</v>
      </c>
      <c r="I3" s="85">
        <v>1030.2418689815611</v>
      </c>
      <c r="J3" s="84">
        <v>997.99681160424279</v>
      </c>
      <c r="K3" s="85">
        <v>1041.1273302213756</v>
      </c>
      <c r="L3" s="84">
        <v>997.54607637180493</v>
      </c>
      <c r="M3" s="85">
        <v>1052.435514548499</v>
      </c>
      <c r="N3" s="84">
        <v>997.1165695786915</v>
      </c>
      <c r="O3" s="85">
        <v>1064.1768742441814</v>
      </c>
      <c r="P3" s="84">
        <v>996.7081088851844</v>
      </c>
      <c r="Q3" s="85">
        <v>1076.3650171011586</v>
      </c>
      <c r="R3" s="84">
        <v>996.31889692298046</v>
      </c>
      <c r="S3" s="85">
        <v>1089.0302896333112</v>
      </c>
      <c r="T3" s="84">
        <v>995.94329863679889</v>
      </c>
      <c r="U3" s="85">
        <v>1102.2572074379852</v>
      </c>
      <c r="V3" s="84">
        <v>995.56660436450215</v>
      </c>
      <c r="W3" s="85">
        <v>1116.2841504150931</v>
      </c>
      <c r="X3" s="84">
        <v>995.1509430243608</v>
      </c>
      <c r="Y3" s="85">
        <v>1131.7935093412564</v>
      </c>
      <c r="Z3" s="84">
        <v>994.59223130390785</v>
      </c>
      <c r="AA3" s="85">
        <v>1150.8489746586633</v>
      </c>
      <c r="AB3" s="84">
        <v>993.55524489469929</v>
      </c>
      <c r="AC3" s="85">
        <v>1180.6519788426847</v>
      </c>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999.44447446471759</v>
      </c>
      <c r="E5" s="42">
        <v>1008.4706353516438</v>
      </c>
      <c r="F5" s="41">
        <v>998.90831835814515</v>
      </c>
      <c r="G5" s="42">
        <v>1017.1922029909761</v>
      </c>
      <c r="H5" s="41">
        <v>998.39228228727677</v>
      </c>
      <c r="I5" s="42">
        <v>1026.168456259069</v>
      </c>
      <c r="J5" s="41">
        <v>997.89718262427846</v>
      </c>
      <c r="K5" s="42">
        <v>1035.4002530659413</v>
      </c>
      <c r="L5" s="41">
        <v>997.42378530902738</v>
      </c>
      <c r="M5" s="42">
        <v>1044.8862708042871</v>
      </c>
      <c r="N5" s="41">
        <v>996.97259984004734</v>
      </c>
      <c r="O5" s="42">
        <v>1054.6237622453173</v>
      </c>
      <c r="P5" s="41">
        <v>996.54344666983877</v>
      </c>
      <c r="Q5" s="42">
        <v>1064.611771074917</v>
      </c>
      <c r="R5" s="41">
        <v>996.13444827864691</v>
      </c>
      <c r="S5" s="42">
        <v>1074.8618664368278</v>
      </c>
      <c r="T5" s="41">
        <v>995.73969163749166</v>
      </c>
      <c r="U5" s="42">
        <v>1085.4270037126082</v>
      </c>
      <c r="V5" s="41">
        <v>995.34371988105318</v>
      </c>
      <c r="W5" s="42">
        <v>1096.4762434587828</v>
      </c>
      <c r="X5" s="41">
        <v>994.90671332018314</v>
      </c>
      <c r="Y5" s="42">
        <v>1108.5086275604167</v>
      </c>
      <c r="Z5" s="41">
        <v>994.31918860914539</v>
      </c>
      <c r="AA5" s="42">
        <v>1123.0285229137403</v>
      </c>
      <c r="AB5" s="41">
        <v>993.22835335125524</v>
      </c>
      <c r="AC5" s="42">
        <v>1145.1602664549848</v>
      </c>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999.40200774149093</v>
      </c>
      <c r="E6" s="42">
        <v>1010.4543108121343</v>
      </c>
      <c r="F6" s="41">
        <v>998.8249137521484</v>
      </c>
      <c r="G6" s="42">
        <v>1021.3055449239611</v>
      </c>
      <c r="H6" s="41">
        <v>998.26952077736053</v>
      </c>
      <c r="I6" s="42">
        <v>1032.5690360706556</v>
      </c>
      <c r="J6" s="41">
        <v>997.7367021610587</v>
      </c>
      <c r="K6" s="42">
        <v>1044.2574937107831</v>
      </c>
      <c r="L6" s="41">
        <v>997.22727700369865</v>
      </c>
      <c r="M6" s="42">
        <v>1056.3818218512606</v>
      </c>
      <c r="N6" s="41">
        <v>996.74178846627819</v>
      </c>
      <c r="O6" s="42">
        <v>1068.9520311220365</v>
      </c>
      <c r="P6" s="41">
        <v>996.28003840508575</v>
      </c>
      <c r="Q6" s="42">
        <v>1081.981501910195</v>
      </c>
      <c r="R6" s="41">
        <v>995.84000220600512</v>
      </c>
      <c r="S6" s="42">
        <v>1095.5014536507513</v>
      </c>
      <c r="T6" s="41">
        <v>995.41531462589342</v>
      </c>
      <c r="U6" s="42">
        <v>1109.6006930572437</v>
      </c>
      <c r="V6" s="41">
        <v>994.98934555674145</v>
      </c>
      <c r="W6" s="42">
        <v>1124.5312548784252</v>
      </c>
      <c r="X6" s="41">
        <v>994.51926299135175</v>
      </c>
      <c r="Y6" s="42">
        <v>1141.0153857752528</v>
      </c>
      <c r="Z6" s="41">
        <v>993.88731940553873</v>
      </c>
      <c r="AA6" s="42">
        <v>1161.2355799117229</v>
      </c>
      <c r="AB6" s="41">
        <v>992.71416384423708</v>
      </c>
      <c r="AC6" s="42">
        <v>1192.7930212221713</v>
      </c>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1015.3473176615032</v>
      </c>
      <c r="E7" s="34">
        <v>1015.3473176615032</v>
      </c>
      <c r="F7" s="33">
        <v>1014.8026304091696</v>
      </c>
      <c r="G7" s="34">
        <v>1014.8026304091696</v>
      </c>
      <c r="H7" s="33">
        <v>1014.278383336161</v>
      </c>
      <c r="I7" s="34">
        <v>1014.278383336161</v>
      </c>
      <c r="J7" s="33">
        <v>1013.7754058044981</v>
      </c>
      <c r="K7" s="34">
        <v>1013.7754058044981</v>
      </c>
      <c r="L7" s="33">
        <v>1013.2944759414501</v>
      </c>
      <c r="M7" s="34">
        <v>1013.2944759414501</v>
      </c>
      <c r="N7" s="33">
        <v>1012.8361113525198</v>
      </c>
      <c r="O7" s="34">
        <v>1012.8361113525198</v>
      </c>
      <c r="P7" s="33">
        <v>1012.4001296333046</v>
      </c>
      <c r="Q7" s="34">
        <v>1012.4001296333046</v>
      </c>
      <c r="R7" s="33">
        <v>1011.9846233895516</v>
      </c>
      <c r="S7" s="34">
        <v>1011.9846233895516</v>
      </c>
      <c r="T7" s="33">
        <v>1011.5835855060407</v>
      </c>
      <c r="U7" s="34">
        <v>1011.5835855060407</v>
      </c>
      <c r="V7" s="33">
        <v>1011.1813131727179</v>
      </c>
      <c r="W7" s="34">
        <v>1011.1813131727179</v>
      </c>
      <c r="X7" s="33">
        <v>1010.7373531021822</v>
      </c>
      <c r="Y7" s="34">
        <v>1010.7373531021822</v>
      </c>
      <c r="Z7" s="33">
        <v>1010.1404798844563</v>
      </c>
      <c r="AA7" s="34">
        <v>1010.1404798844563</v>
      </c>
      <c r="AB7" s="33">
        <v>1009.0322876022362</v>
      </c>
      <c r="AC7" s="34">
        <v>1009.0322876022362</v>
      </c>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1037.0133584174705</v>
      </c>
      <c r="E8" s="36">
        <v>1037.0133584174705</v>
      </c>
      <c r="F8" s="35">
        <v>1070.2965992195648</v>
      </c>
      <c r="G8" s="36">
        <v>1070.2965992195648</v>
      </c>
      <c r="H8" s="35">
        <v>1105.7859333760302</v>
      </c>
      <c r="I8" s="36">
        <v>1105.7859333760302</v>
      </c>
      <c r="J8" s="35">
        <v>1143.650186612708</v>
      </c>
      <c r="K8" s="36">
        <v>1143.650186612708</v>
      </c>
      <c r="L8" s="35">
        <v>1184.0581096311691</v>
      </c>
      <c r="M8" s="36">
        <v>1184.0581096311691</v>
      </c>
      <c r="N8" s="35">
        <v>1227.1695060319798</v>
      </c>
      <c r="O8" s="36">
        <v>1227.1695060319798</v>
      </c>
      <c r="P8" s="35">
        <v>1273.1227867115447</v>
      </c>
      <c r="Q8" s="36">
        <v>1273.1227867115447</v>
      </c>
      <c r="R8" s="35">
        <v>1322.0210782862732</v>
      </c>
      <c r="S8" s="36">
        <v>1322.0210782862732</v>
      </c>
      <c r="T8" s="35">
        <v>1373.9233028858359</v>
      </c>
      <c r="U8" s="36">
        <v>1373.9233028858359</v>
      </c>
      <c r="V8" s="35">
        <v>1428.8673273503241</v>
      </c>
      <c r="W8" s="36">
        <v>1428.8673273503241</v>
      </c>
      <c r="X8" s="35">
        <v>1487.0233483797083</v>
      </c>
      <c r="Y8" s="36">
        <v>1487.0233483797083</v>
      </c>
      <c r="Z8" s="35">
        <v>1549.3432345081185</v>
      </c>
      <c r="AA8" s="36">
        <v>1549.3432345081185</v>
      </c>
      <c r="AB8" s="35">
        <v>1620.3853532070848</v>
      </c>
      <c r="AC8" s="36">
        <v>1620.3853532070848</v>
      </c>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1015.3473176615032</v>
      </c>
      <c r="E9" s="42">
        <v>1037.0133584174705</v>
      </c>
      <c r="F9" s="41">
        <v>1014.8026304091696</v>
      </c>
      <c r="G9" s="42">
        <v>1070.2965992195648</v>
      </c>
      <c r="H9" s="41">
        <v>1014.278383336161</v>
      </c>
      <c r="I9" s="42">
        <v>1105.7859333760302</v>
      </c>
      <c r="J9" s="41">
        <v>1013.7754058044981</v>
      </c>
      <c r="K9" s="42">
        <v>1143.650186612708</v>
      </c>
      <c r="L9" s="41">
        <v>1013.2944759414501</v>
      </c>
      <c r="M9" s="42">
        <v>1184.0581096311691</v>
      </c>
      <c r="N9" s="41">
        <v>1012.8361113525198</v>
      </c>
      <c r="O9" s="42">
        <v>1227.1695060319798</v>
      </c>
      <c r="P9" s="41">
        <v>1012.4001296333046</v>
      </c>
      <c r="Q9" s="42">
        <v>1273.1227867115447</v>
      </c>
      <c r="R9" s="41">
        <v>1011.9846233895516</v>
      </c>
      <c r="S9" s="42">
        <v>1322.0210782862732</v>
      </c>
      <c r="T9" s="41">
        <v>1011.5835855060407</v>
      </c>
      <c r="U9" s="42">
        <v>1373.9233028858359</v>
      </c>
      <c r="V9" s="41">
        <v>1011.1813131727179</v>
      </c>
      <c r="W9" s="42">
        <v>1428.8673273503241</v>
      </c>
      <c r="X9" s="41">
        <v>1010.7373531021822</v>
      </c>
      <c r="Y9" s="42">
        <v>1487.0233483797083</v>
      </c>
      <c r="Z9" s="41">
        <v>1010.1404798844563</v>
      </c>
      <c r="AA9" s="42">
        <v>1549.3432345081185</v>
      </c>
      <c r="AB9" s="41">
        <v>1009.0322876022362</v>
      </c>
      <c r="AC9" s="42">
        <v>1620.3853532070848</v>
      </c>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1015.3473176615032</v>
      </c>
      <c r="E10" s="42">
        <v>1037.0133584174705</v>
      </c>
      <c r="F10" s="41">
        <v>1014.8026304091696</v>
      </c>
      <c r="G10" s="42">
        <v>1070.2965992195648</v>
      </c>
      <c r="H10" s="41">
        <v>1014.278383336161</v>
      </c>
      <c r="I10" s="42">
        <v>1105.7859333760302</v>
      </c>
      <c r="J10" s="41">
        <v>1013.7754058044981</v>
      </c>
      <c r="K10" s="42">
        <v>1143.650186612708</v>
      </c>
      <c r="L10" s="41">
        <v>1013.2944759414501</v>
      </c>
      <c r="M10" s="42">
        <v>1184.0581096311691</v>
      </c>
      <c r="N10" s="41">
        <v>1012.8361113525198</v>
      </c>
      <c r="O10" s="42">
        <v>1227.1695060319798</v>
      </c>
      <c r="P10" s="41">
        <v>1012.4001296333046</v>
      </c>
      <c r="Q10" s="42">
        <v>1273.1227867115447</v>
      </c>
      <c r="R10" s="41">
        <v>1011.9846233895516</v>
      </c>
      <c r="S10" s="42">
        <v>1322.0210782862732</v>
      </c>
      <c r="T10" s="41">
        <v>1011.5835855060407</v>
      </c>
      <c r="U10" s="42">
        <v>1373.9233028858359</v>
      </c>
      <c r="V10" s="41">
        <v>1011.1813131727179</v>
      </c>
      <c r="W10" s="42">
        <v>1428.8673273503241</v>
      </c>
      <c r="X10" s="41">
        <v>1010.7373531021822</v>
      </c>
      <c r="Y10" s="42">
        <v>1487.0233483797083</v>
      </c>
      <c r="Z10" s="41">
        <v>1010.1404798844563</v>
      </c>
      <c r="AA10" s="42">
        <v>1549.3432345081185</v>
      </c>
      <c r="AB10" s="41">
        <v>1009.0322876022362</v>
      </c>
      <c r="AC10" s="42">
        <v>1620.3853532070848</v>
      </c>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1015.3473176615032</v>
      </c>
      <c r="E11" s="42">
        <v>1037.0133584174705</v>
      </c>
      <c r="F11" s="41">
        <v>1014.8026304091696</v>
      </c>
      <c r="G11" s="42">
        <v>1070.2965992195648</v>
      </c>
      <c r="H11" s="41">
        <v>1014.278383336161</v>
      </c>
      <c r="I11" s="42">
        <v>1105.7859333760302</v>
      </c>
      <c r="J11" s="41">
        <v>1013.7754058044981</v>
      </c>
      <c r="K11" s="42">
        <v>1143.650186612708</v>
      </c>
      <c r="L11" s="41">
        <v>1013.2944759414501</v>
      </c>
      <c r="M11" s="42">
        <v>1184.0581096311691</v>
      </c>
      <c r="N11" s="41">
        <v>1012.8361113525198</v>
      </c>
      <c r="O11" s="42">
        <v>1227.1695060319798</v>
      </c>
      <c r="P11" s="41">
        <v>1012.4001296333046</v>
      </c>
      <c r="Q11" s="42">
        <v>1273.1227867115447</v>
      </c>
      <c r="R11" s="41">
        <v>1011.9846233895516</v>
      </c>
      <c r="S11" s="42">
        <v>1322.0210782862732</v>
      </c>
      <c r="T11" s="41">
        <v>1011.5835855060407</v>
      </c>
      <c r="U11" s="42">
        <v>1373.9233028858359</v>
      </c>
      <c r="V11" s="41">
        <v>1011.1813131727179</v>
      </c>
      <c r="W11" s="42">
        <v>1428.8673273503241</v>
      </c>
      <c r="X11" s="41">
        <v>1010.7373531021822</v>
      </c>
      <c r="Y11" s="42">
        <v>1487.0233483797083</v>
      </c>
      <c r="Z11" s="41">
        <v>1010.1404798844563</v>
      </c>
      <c r="AA11" s="42">
        <v>1549.3432345081185</v>
      </c>
      <c r="AB11" s="41">
        <v>1009.0322876022362</v>
      </c>
      <c r="AC11" s="42">
        <v>1620.3853532070848</v>
      </c>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1001.1502002278028</v>
      </c>
      <c r="E13" s="98">
        <v>1001.1502002278028</v>
      </c>
      <c r="F13" s="97">
        <v>1002.3961574412729</v>
      </c>
      <c r="G13" s="98">
        <v>1002.3961574412729</v>
      </c>
      <c r="H13" s="97">
        <v>1003.7436190535932</v>
      </c>
      <c r="I13" s="98">
        <v>1003.7436190535932</v>
      </c>
      <c r="J13" s="97">
        <v>1005.1982686932724</v>
      </c>
      <c r="K13" s="98">
        <v>1005.1982686932724</v>
      </c>
      <c r="L13" s="97">
        <v>1006.7654078349294</v>
      </c>
      <c r="M13" s="98">
        <v>1006.7654078349294</v>
      </c>
      <c r="N13" s="97">
        <v>1008.4493667612021</v>
      </c>
      <c r="O13" s="98">
        <v>1008.4493667612021</v>
      </c>
      <c r="P13" s="97">
        <v>1010.2525746072724</v>
      </c>
      <c r="Q13" s="98">
        <v>1010.2525746072724</v>
      </c>
      <c r="R13" s="97">
        <v>1012.1740666310391</v>
      </c>
      <c r="S13" s="98">
        <v>1012.1740666310391</v>
      </c>
      <c r="T13" s="97">
        <v>1014.2070043132529</v>
      </c>
      <c r="U13" s="98">
        <v>1014.2070043132529</v>
      </c>
      <c r="V13" s="97">
        <v>1016.3346324350227</v>
      </c>
      <c r="W13" s="98">
        <v>1016.3346324350227</v>
      </c>
      <c r="X13" s="97">
        <v>1018.5229347925532</v>
      </c>
      <c r="Y13" s="98">
        <v>1018.5229347925532</v>
      </c>
      <c r="Z13" s="97">
        <v>1020.704921006207</v>
      </c>
      <c r="AA13" s="98">
        <v>1020.704921006207</v>
      </c>
      <c r="AB13" s="97">
        <v>1022.7317644033387</v>
      </c>
      <c r="AC13" s="98">
        <v>1022.7317644033387</v>
      </c>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1458.6792708170351</v>
      </c>
      <c r="E14" s="42">
        <v>1458.6792708170353</v>
      </c>
      <c r="F14" s="41">
        <v>1460.4946347446457</v>
      </c>
      <c r="G14" s="42">
        <v>1460.494634744646</v>
      </c>
      <c r="H14" s="41">
        <v>1462.4578909290485</v>
      </c>
      <c r="I14" s="42">
        <v>1462.4578909290487</v>
      </c>
      <c r="J14" s="41">
        <v>1464.577320436448</v>
      </c>
      <c r="K14" s="42">
        <v>1464.5773204364482</v>
      </c>
      <c r="L14" s="41">
        <v>1466.8606475335218</v>
      </c>
      <c r="M14" s="42">
        <v>1466.8606475335221</v>
      </c>
      <c r="N14" s="41">
        <v>1469.3141814569055</v>
      </c>
      <c r="O14" s="42">
        <v>1469.3141814569058</v>
      </c>
      <c r="P14" s="41">
        <v>1471.9414614648792</v>
      </c>
      <c r="Q14" s="42">
        <v>1471.9414614648795</v>
      </c>
      <c r="R14" s="41">
        <v>1474.7410819248971</v>
      </c>
      <c r="S14" s="42">
        <v>1474.7410819248973</v>
      </c>
      <c r="T14" s="41">
        <v>1477.7030790909901</v>
      </c>
      <c r="U14" s="42">
        <v>1477.7030790909903</v>
      </c>
      <c r="V14" s="41">
        <v>1480.8030405518446</v>
      </c>
      <c r="W14" s="42">
        <v>1480.8030405518448</v>
      </c>
      <c r="X14" s="41">
        <v>1483.9914045820206</v>
      </c>
      <c r="Y14" s="42">
        <v>1483.9914045820208</v>
      </c>
      <c r="Z14" s="41">
        <v>1487.1705659689344</v>
      </c>
      <c r="AA14" s="42">
        <v>1487.1705659689346</v>
      </c>
      <c r="AB14" s="41">
        <v>1490.1236837407889</v>
      </c>
      <c r="AC14" s="42">
        <v>1490.1236837407891</v>
      </c>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993.9432938308953</v>
      </c>
      <c r="E15" s="155">
        <v>993.9432938308953</v>
      </c>
      <c r="F15" s="154">
        <v>986.05983745931576</v>
      </c>
      <c r="G15" s="155">
        <v>986.05983745931576</v>
      </c>
      <c r="H15" s="154">
        <v>976.09437784829106</v>
      </c>
      <c r="I15" s="155">
        <v>976.09437784829106</v>
      </c>
      <c r="J15" s="154">
        <v>963.74747832576145</v>
      </c>
      <c r="K15" s="155">
        <v>963.74747832576145</v>
      </c>
      <c r="L15" s="154">
        <v>948.66676791635587</v>
      </c>
      <c r="M15" s="155">
        <v>948.66676791635587</v>
      </c>
      <c r="N15" s="154">
        <v>930.43775335575504</v>
      </c>
      <c r="O15" s="155">
        <v>930.43775335575504</v>
      </c>
      <c r="P15" s="154">
        <v>908.5755473124409</v>
      </c>
      <c r="Q15" s="155">
        <v>908.5755473124409</v>
      </c>
      <c r="R15" s="154">
        <v>882.51937347277453</v>
      </c>
      <c r="S15" s="155">
        <v>882.51937347277453</v>
      </c>
      <c r="T15" s="154">
        <v>851.63579541212675</v>
      </c>
      <c r="U15" s="155">
        <v>851.63579541212675</v>
      </c>
      <c r="V15" s="154">
        <v>815.25189453614882</v>
      </c>
      <c r="W15" s="155">
        <v>815.25189453614882</v>
      </c>
      <c r="X15" s="154">
        <v>772.75890933613698</v>
      </c>
      <c r="Y15" s="155">
        <v>772.75890933613698</v>
      </c>
      <c r="Z15" s="154">
        <v>723.93445062372496</v>
      </c>
      <c r="AA15" s="155">
        <v>723.93445062372496</v>
      </c>
      <c r="AB15" s="154">
        <v>670.08686758324279</v>
      </c>
      <c r="AC15" s="155">
        <v>670.08686758324279</v>
      </c>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998.14194257482131</v>
      </c>
      <c r="E16" s="42">
        <v>996.26135408774405</v>
      </c>
      <c r="F16" s="41">
        <v>996.2626239367936</v>
      </c>
      <c r="G16" s="42">
        <v>991.83169973278234</v>
      </c>
      <c r="H16" s="41">
        <v>994.36171242291448</v>
      </c>
      <c r="I16" s="42">
        <v>986.64766490159809</v>
      </c>
      <c r="J16" s="41">
        <v>992.43935106651554</v>
      </c>
      <c r="K16" s="42">
        <v>980.64430829274795</v>
      </c>
      <c r="L16" s="41">
        <v>990.49620825168972</v>
      </c>
      <c r="M16" s="42">
        <v>973.7626880676163</v>
      </c>
      <c r="N16" s="41">
        <v>988.53354084102352</v>
      </c>
      <c r="O16" s="42">
        <v>965.96175367488149</v>
      </c>
      <c r="P16" s="41">
        <v>986.55309348446713</v>
      </c>
      <c r="Q16" s="42">
        <v>957.24183962586585</v>
      </c>
      <c r="R16" s="41">
        <v>984.55642020915047</v>
      </c>
      <c r="S16" s="42">
        <v>947.69566150806929</v>
      </c>
      <c r="T16" s="41">
        <v>982.5427230560706</v>
      </c>
      <c r="U16" s="42">
        <v>937.62034071179949</v>
      </c>
      <c r="V16" s="41">
        <v>980.5027498015055</v>
      </c>
      <c r="W16" s="42">
        <v>927.77201071292825</v>
      </c>
      <c r="X16" s="41">
        <v>978.40059898833488</v>
      </c>
      <c r="Y16" s="42">
        <v>920.0364382558505</v>
      </c>
      <c r="Z16" s="41">
        <v>976.11504195174791</v>
      </c>
      <c r="AA16" s="42">
        <v>919.48547709968022</v>
      </c>
      <c r="AB16" s="41">
        <v>973.21095389882794</v>
      </c>
      <c r="AC16" s="42">
        <v>942.585501196991</v>
      </c>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999.99999999998658</v>
      </c>
      <c r="C17" s="36">
        <v>1000.0000000000002</v>
      </c>
      <c r="D17" s="35">
        <v>999.49495620734751</v>
      </c>
      <c r="E17" s="36">
        <v>1014.7060132622826</v>
      </c>
      <c r="F17" s="35">
        <v>999.00773557197681</v>
      </c>
      <c r="G17" s="36">
        <v>1030.0008302027748</v>
      </c>
      <c r="H17" s="35">
        <v>998.53900194179562</v>
      </c>
      <c r="I17" s="36">
        <v>1045.9094055363398</v>
      </c>
      <c r="J17" s="35">
        <v>998.08946864804273</v>
      </c>
      <c r="K17" s="36">
        <v>1062.4532409622034</v>
      </c>
      <c r="L17" s="35">
        <v>997.65980936000085</v>
      </c>
      <c r="M17" s="36">
        <v>1079.6514869468167</v>
      </c>
      <c r="N17" s="35">
        <v>997.25046603758938</v>
      </c>
      <c r="O17" s="36">
        <v>1097.5223063385226</v>
      </c>
      <c r="P17" s="35">
        <v>996.86125257016715</v>
      </c>
      <c r="Q17" s="36">
        <v>1116.0890793305057</v>
      </c>
      <c r="R17" s="35">
        <v>996.49044455872149</v>
      </c>
      <c r="S17" s="36">
        <v>1135.4014616213169</v>
      </c>
      <c r="T17" s="35">
        <v>996.13266738059622</v>
      </c>
      <c r="U17" s="36">
        <v>1155.5935371097426</v>
      </c>
      <c r="V17" s="35">
        <v>995.77390556171747</v>
      </c>
      <c r="W17" s="36">
        <v>1177.0385740264435</v>
      </c>
      <c r="X17" s="35">
        <v>995.37809993103656</v>
      </c>
      <c r="Y17" s="36">
        <v>1200.8002122380835</v>
      </c>
      <c r="Z17" s="35">
        <v>994.84619200469228</v>
      </c>
      <c r="AA17" s="36">
        <v>1230.0924284556736</v>
      </c>
      <c r="AB17" s="35">
        <v>993.85930249957346</v>
      </c>
      <c r="AC17" s="36">
        <v>1276.1503361582804</v>
      </c>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27400.187561210067</v>
      </c>
      <c r="E18" s="34">
        <v>1163.9727319898209</v>
      </c>
      <c r="F18" s="33">
        <v>26900.375350373422</v>
      </c>
      <c r="G18" s="34">
        <v>1091.9712074444046</v>
      </c>
      <c r="H18" s="33">
        <v>26352.250643498828</v>
      </c>
      <c r="I18" s="34">
        <v>1020.8115199921386</v>
      </c>
      <c r="J18" s="33">
        <v>25749.619662599616</v>
      </c>
      <c r="K18" s="34">
        <v>950.54634333059016</v>
      </c>
      <c r="L18" s="33">
        <v>25085.272445278657</v>
      </c>
      <c r="M18" s="34">
        <v>881.23324353740634</v>
      </c>
      <c r="N18" s="33">
        <v>24350.835214896637</v>
      </c>
      <c r="O18" s="34">
        <v>812.9327578001122</v>
      </c>
      <c r="P18" s="33">
        <v>23536.662013053454</v>
      </c>
      <c r="Q18" s="34">
        <v>745.70425635683307</v>
      </c>
      <c r="R18" s="33">
        <v>22631.837834681464</v>
      </c>
      <c r="S18" s="34">
        <v>679.59797799398984</v>
      </c>
      <c r="T18" s="33">
        <v>21624.468951941599</v>
      </c>
      <c r="U18" s="34">
        <v>614.63713854167997</v>
      </c>
      <c r="V18" s="33">
        <v>20502.767164690347</v>
      </c>
      <c r="W18" s="34">
        <v>550.77634505550486</v>
      </c>
      <c r="X18" s="33">
        <v>19258.153764986273</v>
      </c>
      <c r="Y18" s="34">
        <v>487.80052863163098</v>
      </c>
      <c r="Z18" s="33">
        <v>17894.556135103048</v>
      </c>
      <c r="AA18" s="34">
        <v>425.03611991446598</v>
      </c>
      <c r="AB18" s="33">
        <v>16461.683654362165</v>
      </c>
      <c r="AC18" s="34">
        <v>360.30847193280687</v>
      </c>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1852.9861637882937</v>
      </c>
      <c r="E19" s="42">
        <v>258.2145386175647</v>
      </c>
      <c r="F19" s="41">
        <v>1816.8438380037915</v>
      </c>
      <c r="G19" s="42">
        <v>253.19706131464329</v>
      </c>
      <c r="H19" s="41">
        <v>1777.6171778347784</v>
      </c>
      <c r="I19" s="42">
        <v>247.68381272663763</v>
      </c>
      <c r="J19" s="41">
        <v>1734.898806389911</v>
      </c>
      <c r="K19" s="42">
        <v>241.61679135555013</v>
      </c>
      <c r="L19" s="41">
        <v>1688.2133637778011</v>
      </c>
      <c r="M19" s="42">
        <v>234.93159629519474</v>
      </c>
      <c r="N19" s="41">
        <v>1637.0068837583128</v>
      </c>
      <c r="O19" s="42">
        <v>227.55811365015248</v>
      </c>
      <c r="P19" s="41">
        <v>1580.6381053494663</v>
      </c>
      <c r="Q19" s="42">
        <v>219.42316492838762</v>
      </c>
      <c r="R19" s="41">
        <v>1518.3755518995586</v>
      </c>
      <c r="S19" s="42">
        <v>210.45824864859978</v>
      </c>
      <c r="T19" s="41">
        <v>1449.4102903826772</v>
      </c>
      <c r="U19" s="42">
        <v>200.61769522636115</v>
      </c>
      <c r="V19" s="41">
        <v>1372.9142251277951</v>
      </c>
      <c r="W19" s="42">
        <v>189.92011504892778</v>
      </c>
      <c r="X19" s="41">
        <v>1288.2121007826424</v>
      </c>
      <c r="Y19" s="42">
        <v>178.5553585916868</v>
      </c>
      <c r="Z19" s="41">
        <v>1195.3009038829455</v>
      </c>
      <c r="AA19" s="42">
        <v>167.19650690037969</v>
      </c>
      <c r="AB19" s="41">
        <v>1096.69264003225</v>
      </c>
      <c r="AC19" s="42">
        <v>158.1747698445067</v>
      </c>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26107.189674180594</v>
      </c>
      <c r="E20" s="83">
        <v>1338.1147774499941</v>
      </c>
      <c r="F20" s="82">
        <v>25625.457716140812</v>
      </c>
      <c r="G20" s="83">
        <v>1267.6876838999945</v>
      </c>
      <c r="H20" s="82">
        <v>25098.114630397871</v>
      </c>
      <c r="I20" s="83">
        <v>1197.2605903499946</v>
      </c>
      <c r="J20" s="82">
        <v>24519.287490578259</v>
      </c>
      <c r="K20" s="83">
        <v>1126.8334967999951</v>
      </c>
      <c r="L20" s="82">
        <v>23882.136887955436</v>
      </c>
      <c r="M20" s="83">
        <v>1056.4064032499953</v>
      </c>
      <c r="N20" s="82">
        <v>23178.714758283175</v>
      </c>
      <c r="O20" s="83">
        <v>985.97930969999561</v>
      </c>
      <c r="P20" s="82">
        <v>22399.857884577847</v>
      </c>
      <c r="Q20" s="83">
        <v>915.55221614999596</v>
      </c>
      <c r="R20" s="82">
        <v>21535.183399139783</v>
      </c>
      <c r="S20" s="83">
        <v>845.12512259999642</v>
      </c>
      <c r="T20" s="82">
        <v>20573.348969030791</v>
      </c>
      <c r="U20" s="83">
        <v>774.69802904999653</v>
      </c>
      <c r="V20" s="82">
        <v>19503.050002044594</v>
      </c>
      <c r="W20" s="83">
        <v>704.27093549999688</v>
      </c>
      <c r="X20" s="82">
        <v>18315.886439945523</v>
      </c>
      <c r="Y20" s="83">
        <v>633.84384194999734</v>
      </c>
      <c r="Z20" s="82">
        <v>17014.958619998699</v>
      </c>
      <c r="AA20" s="83">
        <v>563.41674839999757</v>
      </c>
      <c r="AB20" s="82">
        <v>15645.592047748056</v>
      </c>
      <c r="AC20" s="83">
        <v>492.98965484999775</v>
      </c>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24254.204126664885</v>
      </c>
      <c r="E21" s="83">
        <v>1079.9448379032524</v>
      </c>
      <c r="F21" s="82">
        <v>23808.61621411287</v>
      </c>
      <c r="G21" s="83">
        <v>1014.6669327515261</v>
      </c>
      <c r="H21" s="82">
        <v>23320.502414661682</v>
      </c>
      <c r="I21" s="83">
        <v>949.96770139417049</v>
      </c>
      <c r="J21" s="82">
        <v>22784.396977264736</v>
      </c>
      <c r="K21" s="83">
        <v>885.89921397107116</v>
      </c>
      <c r="L21" s="82">
        <v>22193.935648067993</v>
      </c>
      <c r="M21" s="83">
        <v>822.51790019659256</v>
      </c>
      <c r="N21" s="82">
        <v>21541.7241237899</v>
      </c>
      <c r="O21" s="83">
        <v>759.88358574811127</v>
      </c>
      <c r="P21" s="82">
        <v>20819.240250107723</v>
      </c>
      <c r="Q21" s="83">
        <v>698.05675967675518</v>
      </c>
      <c r="R21" s="82">
        <v>20016.832460904014</v>
      </c>
      <c r="S21" s="83">
        <v>637.09137416441047</v>
      </c>
      <c r="T21" s="82">
        <v>19123.967240855953</v>
      </c>
      <c r="U21" s="83">
        <v>577.01880251559271</v>
      </c>
      <c r="V21" s="82">
        <v>18130.168120300015</v>
      </c>
      <c r="W21" s="83">
        <v>517.81240214626007</v>
      </c>
      <c r="X21" s="82">
        <v>17027.71068284272</v>
      </c>
      <c r="Y21" s="83">
        <v>459.29793359389339</v>
      </c>
      <c r="Z21" s="82">
        <v>15819.699716798612</v>
      </c>
      <c r="AA21" s="83">
        <v>400.89761211994056</v>
      </c>
      <c r="AB21" s="82">
        <v>14548.954284074956</v>
      </c>
      <c r="AC21" s="83">
        <v>340.69397937437509</v>
      </c>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6429.0055008513864</v>
      </c>
      <c r="E22" s="42">
        <v>366.79062667062948</v>
      </c>
      <c r="F22" s="41">
        <v>6314.1510072722067</v>
      </c>
      <c r="G22" s="42">
        <v>353.24674231890248</v>
      </c>
      <c r="H22" s="41">
        <v>6187.7755876522633</v>
      </c>
      <c r="I22" s="42">
        <v>339.24936600088279</v>
      </c>
      <c r="J22" s="41">
        <v>6048.4079006200918</v>
      </c>
      <c r="K22" s="42">
        <v>324.76906024235865</v>
      </c>
      <c r="L22" s="41">
        <v>5894.3363805363451</v>
      </c>
      <c r="M22" s="42">
        <v>309.77338539068563</v>
      </c>
      <c r="N22" s="41">
        <v>5723.5740538872124</v>
      </c>
      <c r="O22" s="42">
        <v>294.22690909924972</v>
      </c>
      <c r="P22" s="41">
        <v>5533.8323370292455</v>
      </c>
      <c r="Q22" s="42">
        <v>278.09163145780428</v>
      </c>
      <c r="R22" s="41">
        <v>5322.5200823025034</v>
      </c>
      <c r="S22" s="42">
        <v>261.32800207657641</v>
      </c>
      <c r="T22" s="41">
        <v>5086.8076824360687</v>
      </c>
      <c r="U22" s="42">
        <v>243.89744198880445</v>
      </c>
      <c r="V22" s="41">
        <v>4823.872900867289</v>
      </c>
      <c r="W22" s="42">
        <v>225.76908305356358</v>
      </c>
      <c r="X22" s="41">
        <v>4531.605455254441</v>
      </c>
      <c r="Y22" s="42">
        <v>206.93577451282263</v>
      </c>
      <c r="Z22" s="41">
        <v>4210.716396638114</v>
      </c>
      <c r="AA22" s="42">
        <v>187.4592078711764</v>
      </c>
      <c r="AB22" s="41">
        <v>3872.2638894196525</v>
      </c>
      <c r="AC22" s="42">
        <v>167.62848888797848</v>
      </c>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3228.1609842507632</v>
      </c>
      <c r="E23" s="8">
        <v>0</v>
      </c>
      <c r="F23" s="116">
        <v>3172.6908462150718</v>
      </c>
      <c r="G23" s="8">
        <v>0</v>
      </c>
      <c r="H23" s="116">
        <v>3111.4439106976261</v>
      </c>
      <c r="I23" s="8">
        <v>0</v>
      </c>
      <c r="J23" s="116">
        <v>3043.6655382860731</v>
      </c>
      <c r="K23" s="8">
        <v>0</v>
      </c>
      <c r="L23" s="116">
        <v>2968.4755319687933</v>
      </c>
      <c r="M23" s="8">
        <v>0</v>
      </c>
      <c r="N23" s="116">
        <v>2884.8492988857279</v>
      </c>
      <c r="O23" s="8">
        <v>0</v>
      </c>
      <c r="P23" s="116">
        <v>2791.6033664869292</v>
      </c>
      <c r="Q23" s="8">
        <v>0</v>
      </c>
      <c r="R23" s="116">
        <v>2687.3936043848721</v>
      </c>
      <c r="S23" s="8">
        <v>0</v>
      </c>
      <c r="T23" s="116">
        <v>2570.7468689687744</v>
      </c>
      <c r="U23" s="8">
        <v>0</v>
      </c>
      <c r="V23" s="116">
        <v>2440.1864912463238</v>
      </c>
      <c r="W23" s="8">
        <v>0</v>
      </c>
      <c r="X23" s="116">
        <v>2294.5956513644992</v>
      </c>
      <c r="Y23" s="8">
        <v>0</v>
      </c>
      <c r="Z23" s="116">
        <v>2134.3101081763966</v>
      </c>
      <c r="AA23" s="8">
        <v>0</v>
      </c>
      <c r="AB23" s="116">
        <v>1965.0242831310659</v>
      </c>
      <c r="AC23" s="8">
        <v>0</v>
      </c>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3147.3047109557524</v>
      </c>
      <c r="E24" s="8">
        <v>0</v>
      </c>
      <c r="F24" s="97">
        <v>3093.2239409821318</v>
      </c>
      <c r="G24" s="8">
        <v>0</v>
      </c>
      <c r="H24" s="97">
        <v>3033.5110682649943</v>
      </c>
      <c r="I24" s="8">
        <v>0</v>
      </c>
      <c r="J24" s="97">
        <v>2967.4303506033293</v>
      </c>
      <c r="K24" s="8">
        <v>0</v>
      </c>
      <c r="L24" s="97">
        <v>2894.1236392006872</v>
      </c>
      <c r="M24" s="8">
        <v>0</v>
      </c>
      <c r="N24" s="97">
        <v>2812.592006012509</v>
      </c>
      <c r="O24" s="8">
        <v>0</v>
      </c>
      <c r="P24" s="97">
        <v>2721.6816200650078</v>
      </c>
      <c r="Q24" s="8">
        <v>0</v>
      </c>
      <c r="R24" s="97">
        <v>2620.0820159275422</v>
      </c>
      <c r="S24" s="8">
        <v>0</v>
      </c>
      <c r="T24" s="97">
        <v>2506.3569536778832</v>
      </c>
      <c r="U24" s="8">
        <v>0</v>
      </c>
      <c r="V24" s="97">
        <v>2379.0667459118572</v>
      </c>
      <c r="W24" s="8">
        <v>0</v>
      </c>
      <c r="X24" s="97">
        <v>2237.1225392031524</v>
      </c>
      <c r="Y24" s="8">
        <v>0</v>
      </c>
      <c r="Z24" s="97">
        <v>2080.8516959494445</v>
      </c>
      <c r="AA24" s="8">
        <v>0</v>
      </c>
      <c r="AB24" s="97">
        <v>1915.8059966074418</v>
      </c>
      <c r="AC24" s="8">
        <v>0</v>
      </c>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3145.9824310964887</v>
      </c>
      <c r="E25" s="42">
        <v>84.019208168934796</v>
      </c>
      <c r="F25" s="41">
        <v>3091.7553517815659</v>
      </c>
      <c r="G25" s="42">
        <v>77.27205412438677</v>
      </c>
      <c r="H25" s="41">
        <v>3031.7401797585408</v>
      </c>
      <c r="I25" s="42">
        <v>70.775195220507243</v>
      </c>
      <c r="J25" s="41">
        <v>2965.2092215206881</v>
      </c>
      <c r="K25" s="42">
        <v>64.532650952076409</v>
      </c>
      <c r="L25" s="41">
        <v>2891.3170929208081</v>
      </c>
      <c r="M25" s="42">
        <v>58.548232235210349</v>
      </c>
      <c r="N25" s="41">
        <v>2809.0846488825596</v>
      </c>
      <c r="O25" s="42">
        <v>52.825168971178812</v>
      </c>
      <c r="P25" s="41">
        <v>2717.3884106515548</v>
      </c>
      <c r="Q25" s="42">
        <v>47.36541840493804</v>
      </c>
      <c r="R25" s="41">
        <v>2614.9652294601574</v>
      </c>
      <c r="S25" s="42">
        <v>42.168297237860941</v>
      </c>
      <c r="T25" s="41">
        <v>2500.4550660975474</v>
      </c>
      <c r="U25" s="42">
        <v>37.227751688642435</v>
      </c>
      <c r="V25" s="41">
        <v>2372.5461595783772</v>
      </c>
      <c r="W25" s="42">
        <v>32.526674793354417</v>
      </c>
      <c r="X25" s="41">
        <v>2230.3836009147931</v>
      </c>
      <c r="Y25" s="42">
        <v>28.023461136867724</v>
      </c>
      <c r="Z25" s="41">
        <v>2074.7875635849896</v>
      </c>
      <c r="AA25" s="42">
        <v>23.615822328799396</v>
      </c>
      <c r="AB25" s="41">
        <v>1912.6391537825177</v>
      </c>
      <c r="AC25" s="42">
        <v>19.02149203741255</v>
      </c>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4889.1745986413489</v>
      </c>
      <c r="E26" s="34">
        <v>70.003011727721045</v>
      </c>
      <c r="F26" s="33">
        <v>4736.0107484697883</v>
      </c>
      <c r="G26" s="34">
        <v>65.223381450633553</v>
      </c>
      <c r="H26" s="33">
        <v>4576.2469911407306</v>
      </c>
      <c r="I26" s="34">
        <v>60.567543491067539</v>
      </c>
      <c r="J26" s="33">
        <v>4409.2517918355652</v>
      </c>
      <c r="K26" s="34">
        <v>56.036454129795963</v>
      </c>
      <c r="L26" s="33">
        <v>4234.3100923683805</v>
      </c>
      <c r="M26" s="34">
        <v>51.631029927324825</v>
      </c>
      <c r="N26" s="33">
        <v>4050.6197111713736</v>
      </c>
      <c r="O26" s="34">
        <v>47.3518487344151</v>
      </c>
      <c r="P26" s="33">
        <v>3857.2973800847958</v>
      </c>
      <c r="Q26" s="34">
        <v>43.198638589145993</v>
      </c>
      <c r="R26" s="33">
        <v>3653.4063323766673</v>
      </c>
      <c r="S26" s="34">
        <v>39.169465366424632</v>
      </c>
      <c r="T26" s="33">
        <v>3438.0347876217966</v>
      </c>
      <c r="U26" s="34">
        <v>35.259025655892145</v>
      </c>
      <c r="V26" s="33">
        <v>3210.4966944424132</v>
      </c>
      <c r="W26" s="34">
        <v>31.454763060274978</v>
      </c>
      <c r="X26" s="33">
        <v>2970.8498902853203</v>
      </c>
      <c r="Y26" s="34">
        <v>27.727853183371163</v>
      </c>
      <c r="Z26" s="33">
        <v>2721.3868158190289</v>
      </c>
      <c r="AA26" s="34">
        <v>24.008108481212972</v>
      </c>
      <c r="AB26" s="33">
        <v>2471.9667600789799</v>
      </c>
      <c r="AC26" s="34">
        <v>20.097515003433816</v>
      </c>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6425.1981589998923</v>
      </c>
      <c r="C27" s="36">
        <v>273.22915400000028</v>
      </c>
      <c r="D27" s="35">
        <v>6437.7687087613449</v>
      </c>
      <c r="E27" s="36">
        <v>260.65896963917902</v>
      </c>
      <c r="F27" s="35">
        <v>6450.1908742188289</v>
      </c>
      <c r="G27" s="36">
        <v>248.2365662129445</v>
      </c>
      <c r="H27" s="35">
        <v>6462.4516653562569</v>
      </c>
      <c r="I27" s="36">
        <v>235.97578257372371</v>
      </c>
      <c r="J27" s="35">
        <v>6474.5330206580384</v>
      </c>
      <c r="K27" s="36">
        <v>223.89418181458345</v>
      </c>
      <c r="L27" s="35">
        <v>6486.413141387623</v>
      </c>
      <c r="M27" s="36">
        <v>212.01421670213995</v>
      </c>
      <c r="N27" s="35">
        <v>6498.0624227755925</v>
      </c>
      <c r="O27" s="36">
        <v>200.3650342039416</v>
      </c>
      <c r="P27" s="35">
        <v>6509.4414376413906</v>
      </c>
      <c r="Q27" s="36">
        <v>188.9854735360816</v>
      </c>
      <c r="R27" s="35">
        <v>6520.499406027111</v>
      </c>
      <c r="S27" s="36">
        <v>177.92874217204516</v>
      </c>
      <c r="T27" s="35">
        <v>6531.1564686755701</v>
      </c>
      <c r="U27" s="36">
        <v>167.27017052256841</v>
      </c>
      <c r="V27" s="35">
        <v>6541.3009655650994</v>
      </c>
      <c r="W27" s="36">
        <v>157.12355965807211</v>
      </c>
      <c r="X27" s="35">
        <v>6550.7510927110234</v>
      </c>
      <c r="Y27" s="36">
        <v>147.67587960008865</v>
      </c>
      <c r="Z27" s="35">
        <v>6559.1474887527702</v>
      </c>
      <c r="AA27" s="36">
        <v>139.2787516539461</v>
      </c>
      <c r="AB27" s="35">
        <v>6565.6918949807605</v>
      </c>
      <c r="AC27" s="36">
        <v>132.73616671375387</v>
      </c>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13763.097675999892</v>
      </c>
      <c r="C28" s="42">
        <v>382.36647900000014</v>
      </c>
      <c r="D28" s="41">
        <v>13555.701949713952</v>
      </c>
      <c r="E28" s="42">
        <v>362.54768586147168</v>
      </c>
      <c r="F28" s="41">
        <v>13327.00053850214</v>
      </c>
      <c r="G28" s="42">
        <v>342.83492530854579</v>
      </c>
      <c r="H28" s="41">
        <v>13074.248125432347</v>
      </c>
      <c r="I28" s="42">
        <v>323.22810068213056</v>
      </c>
      <c r="J28" s="41">
        <v>12794.238353927793</v>
      </c>
      <c r="K28" s="42">
        <v>303.72610809823038</v>
      </c>
      <c r="L28" s="41">
        <v>12483.225326651405</v>
      </c>
      <c r="M28" s="42">
        <v>284.32630032794344</v>
      </c>
      <c r="N28" s="41">
        <v>12136.841998681157</v>
      </c>
      <c r="O28" s="42">
        <v>265.02281534586723</v>
      </c>
      <c r="P28" s="41">
        <v>11750.037412498777</v>
      </c>
      <c r="Q28" s="42">
        <v>245.80359539214919</v>
      </c>
      <c r="R28" s="41">
        <v>11317.070674974817</v>
      </c>
      <c r="S28" s="42">
        <v>226.64482117907355</v>
      </c>
      <c r="T28" s="41">
        <v>10831.653013620171</v>
      </c>
      <c r="U28" s="42">
        <v>207.49940306324234</v>
      </c>
      <c r="V28" s="41">
        <v>10287.501686215084</v>
      </c>
      <c r="W28" s="42">
        <v>188.27219388582517</v>
      </c>
      <c r="X28" s="41">
        <v>9679.948333015247</v>
      </c>
      <c r="Y28" s="42">
        <v>168.76044098197812</v>
      </c>
      <c r="Z28" s="41">
        <v>9010.7821652442053</v>
      </c>
      <c r="AA28" s="42">
        <v>148.48830385112919</v>
      </c>
      <c r="AB28" s="41">
        <v>8305.619258000168</v>
      </c>
      <c r="AC28" s="42">
        <v>126.13447468127617</v>
      </c>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14362.768558000087</v>
      </c>
      <c r="C29" s="36">
        <v>817.26651000000015</v>
      </c>
      <c r="D29" s="35">
        <v>14126.995183166307</v>
      </c>
      <c r="E29" s="36">
        <v>767.83084275101237</v>
      </c>
      <c r="F29" s="35">
        <v>13869.072607936534</v>
      </c>
      <c r="G29" s="36">
        <v>719.06666144817541</v>
      </c>
      <c r="H29" s="35">
        <v>13586.257691315664</v>
      </c>
      <c r="I29" s="36">
        <v>671.00694171327086</v>
      </c>
      <c r="J29" s="35">
        <v>13275.358423137219</v>
      </c>
      <c r="K29" s="36">
        <v>623.68724042540089</v>
      </c>
      <c r="L29" s="35">
        <v>12932.658915494803</v>
      </c>
      <c r="M29" s="36">
        <v>577.14600791653606</v>
      </c>
      <c r="N29" s="35">
        <v>12553.843247969889</v>
      </c>
      <c r="O29" s="36">
        <v>531.42311632171766</v>
      </c>
      <c r="P29" s="35">
        <v>12133.939474488039</v>
      </c>
      <c r="Q29" s="36">
        <v>486.55678028134304</v>
      </c>
      <c r="R29" s="35">
        <v>11667.320900591714</v>
      </c>
      <c r="S29" s="36">
        <v>442.5775827968958</v>
      </c>
      <c r="T29" s="35">
        <v>11147.855042102265</v>
      </c>
      <c r="U29" s="36">
        <v>399.49532415984788</v>
      </c>
      <c r="V29" s="35">
        <v>10569.461108371135</v>
      </c>
      <c r="W29" s="36">
        <v>357.26902067718191</v>
      </c>
      <c r="X29" s="35">
        <v>9927.7063882241455</v>
      </c>
      <c r="Y29" s="36">
        <v>315.73423754425494</v>
      </c>
      <c r="Z29" s="35">
        <v>9224.5879318841417</v>
      </c>
      <c r="AA29" s="36">
        <v>274.397216582113</v>
      </c>
      <c r="AB29" s="35">
        <v>8485.6456258499566</v>
      </c>
      <c r="AC29" s="36">
        <v>231.70059638415717</v>
      </c>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2877414.4178385441</v>
      </c>
      <c r="F30" s="119">
        <v>2825560.2333458601</v>
      </c>
      <c r="H30" s="119">
        <v>2768702.8989212336</v>
      </c>
      <c r="J30" s="119">
        <v>2706184.0317753982</v>
      </c>
      <c r="L30" s="119">
        <v>2637235.2826226312</v>
      </c>
      <c r="N30" s="119">
        <v>2560961.4617029401</v>
      </c>
      <c r="P30" s="119">
        <v>2476326.8384714699</v>
      </c>
      <c r="R30" s="119">
        <v>2382151.8438448654</v>
      </c>
      <c r="T30" s="119">
        <v>2277137.8229469741</v>
      </c>
      <c r="V30" s="119">
        <v>2159968.2607133742</v>
      </c>
      <c r="X30" s="119">
        <v>2029608.0822512687</v>
      </c>
      <c r="Z30" s="119">
        <v>1886204.8578127304</v>
      </c>
      <c r="AB30" s="119">
        <v>1734296.8640652113</v>
      </c>
      <c r="AD30" s="119"/>
      <c r="AF30" s="119"/>
      <c r="AH30" s="119"/>
      <c r="AJ30" s="119"/>
      <c r="AL30" s="119"/>
      <c r="AN30" s="119"/>
      <c r="AP30" s="119"/>
      <c r="AR30" s="119"/>
      <c r="AT30" s="119"/>
      <c r="AV30" s="119"/>
    </row>
    <row r="31" spans="1:49" x14ac:dyDescent="0.2">
      <c r="A31" t="s">
        <v>47</v>
      </c>
      <c r="B31" s="80">
        <v>1</v>
      </c>
      <c r="D31" s="80">
        <v>0.98296768724560157</v>
      </c>
      <c r="F31" s="80">
        <v>0.96435954420644387</v>
      </c>
      <c r="H31" s="80">
        <v>0.94398795743820529</v>
      </c>
      <c r="J31" s="80">
        <v>0.9216356596886095</v>
      </c>
      <c r="L31" s="80">
        <v>0.89705092662532016</v>
      </c>
      <c r="N31" s="80">
        <v>0.86994277402223574</v>
      </c>
      <c r="P31" s="80">
        <v>0.83997758604845374</v>
      </c>
      <c r="R31" s="80">
        <v>0.80677952907477202</v>
      </c>
      <c r="T31" s="80">
        <v>0.76994055992035648</v>
      </c>
      <c r="V31" s="80">
        <v>0.72905703431628033</v>
      </c>
      <c r="X31" s="80">
        <v>0.68383291617879549</v>
      </c>
      <c r="Z31" s="80">
        <v>0.6343866547970427</v>
      </c>
      <c r="AB31" s="80">
        <v>0.58234275676208103</v>
      </c>
      <c r="AD31" s="80"/>
      <c r="AF31" s="80"/>
      <c r="AH31" s="80"/>
      <c r="AJ31" s="80"/>
      <c r="AL31" s="80"/>
      <c r="AN31" s="80"/>
      <c r="AP31" s="80"/>
      <c r="AR31" s="80"/>
      <c r="AT31" s="80"/>
      <c r="AV31" s="80"/>
    </row>
    <row r="32" spans="1:49" x14ac:dyDescent="0.2">
      <c r="A32" t="s">
        <v>64</v>
      </c>
      <c r="B32" s="86">
        <v>14734457.915000005</v>
      </c>
      <c r="D32" s="86">
        <v>14500153.199450692</v>
      </c>
      <c r="F32" s="86">
        <v>14243349.152524805</v>
      </c>
      <c r="H32" s="86">
        <v>13961173.582474746</v>
      </c>
      <c r="J32" s="86">
        <v>13650276.819090378</v>
      </c>
      <c r="L32" s="86">
        <v>13306747.902745921</v>
      </c>
      <c r="N32" s="86">
        <v>12926027.894835575</v>
      </c>
      <c r="P32" s="86">
        <v>12502840.36204927</v>
      </c>
      <c r="R32" s="86">
        <v>12031173.050984841</v>
      </c>
      <c r="T32" s="86">
        <v>11504397.254317498</v>
      </c>
      <c r="V32" s="86">
        <v>10915781.511834839</v>
      </c>
      <c r="X32" s="86">
        <v>10259997.68307958</v>
      </c>
      <c r="Z32" s="86">
        <v>9537665.2797596026</v>
      </c>
      <c r="AB32" s="86">
        <v>8771538.3296187073</v>
      </c>
      <c r="AD32" s="86"/>
      <c r="AF32" s="86"/>
      <c r="AH32" s="86"/>
      <c r="AJ32" s="86"/>
      <c r="AL32" s="86"/>
      <c r="AN32" s="86"/>
      <c r="AP32" s="86"/>
      <c r="AR32" s="86"/>
      <c r="AT32" s="86"/>
      <c r="AV32" s="86"/>
    </row>
    <row r="33" spans="1:49 16319:16321" x14ac:dyDescent="0.2">
      <c r="A33" t="s">
        <v>54</v>
      </c>
      <c r="B33" s="117">
        <v>7019665.6909999885</v>
      </c>
      <c r="D33" s="117">
        <v>6908040.2701202612</v>
      </c>
      <c r="F33" s="117">
        <v>6785695.8379698526</v>
      </c>
      <c r="H33" s="117">
        <v>6651264.1963214129</v>
      </c>
      <c r="J33" s="117">
        <v>6503149.3702744711</v>
      </c>
      <c r="L33" s="117">
        <v>6339488.18285794</v>
      </c>
      <c r="N33" s="117">
        <v>6158108.7784779444</v>
      </c>
      <c r="P33" s="117">
        <v>5956497.3681800989</v>
      </c>
      <c r="R33" s="117">
        <v>5731789.6080638962</v>
      </c>
      <c r="T33" s="117">
        <v>5480827.5332410159</v>
      </c>
      <c r="V33" s="117">
        <v>5200404.2007783502</v>
      </c>
      <c r="X33" s="117">
        <v>4887981.2314628894</v>
      </c>
      <c r="Z33" s="117">
        <v>4543853.7370188301</v>
      </c>
      <c r="AB33" s="117">
        <v>4178862.0387149611</v>
      </c>
      <c r="AD33" s="117"/>
      <c r="AF33" s="117"/>
      <c r="AH33" s="117"/>
      <c r="AJ33" s="117"/>
      <c r="AL33" s="117"/>
      <c r="AN33" s="117"/>
      <c r="AP33" s="117"/>
      <c r="AR33" s="117"/>
      <c r="AT33" s="117"/>
      <c r="AV33" s="117"/>
    </row>
    <row r="34" spans="1:49 16319:16321" x14ac:dyDescent="0.2">
      <c r="A34" t="s">
        <v>75</v>
      </c>
      <c r="B34" s="117">
        <v>1136879.4410000162</v>
      </c>
      <c r="D34" s="117">
        <v>1118800.9368595651</v>
      </c>
      <c r="F34" s="117">
        <v>1098986.5065875177</v>
      </c>
      <c r="H34" s="117">
        <v>1077214.3844176321</v>
      </c>
      <c r="J34" s="117">
        <v>1053226.2747273031</v>
      </c>
      <c r="L34" s="117">
        <v>1026720.3650830225</v>
      </c>
      <c r="N34" s="117">
        <v>997344.82044527307</v>
      </c>
      <c r="P34" s="117">
        <v>964692.55877863907</v>
      </c>
      <c r="R34" s="117">
        <v>928299.72614985995</v>
      </c>
      <c r="T34" s="117">
        <v>887654.83217715134</v>
      </c>
      <c r="V34" s="117">
        <v>842238.49419500877</v>
      </c>
      <c r="X34" s="117">
        <v>791639.60267733166</v>
      </c>
      <c r="Z34" s="117">
        <v>735905.97513046395</v>
      </c>
      <c r="AB34" s="117">
        <v>676793.23594317352</v>
      </c>
      <c r="AD34" s="117"/>
      <c r="AF34" s="117"/>
      <c r="AH34" s="117"/>
      <c r="AJ34" s="117"/>
      <c r="AL34" s="117"/>
      <c r="AN34" s="117"/>
      <c r="AP34" s="117"/>
      <c r="AR34" s="117"/>
      <c r="AT34" s="117"/>
      <c r="AV34" s="117"/>
    </row>
    <row r="35" spans="1:49 16319:16321" x14ac:dyDescent="0.2">
      <c r="A35" t="s">
        <v>78</v>
      </c>
      <c r="B35" s="233">
        <v>1</v>
      </c>
      <c r="D35" s="233">
        <v>1.0011502010868527</v>
      </c>
      <c r="F35" s="233">
        <v>1.0023961578349105</v>
      </c>
      <c r="H35" s="233">
        <v>1.0037436201139931</v>
      </c>
      <c r="J35" s="233">
        <v>1.0051982693665624</v>
      </c>
      <c r="L35" s="233">
        <v>1.0067654077330734</v>
      </c>
      <c r="N35" s="233">
        <v>1.0084493666302325</v>
      </c>
      <c r="P35" s="233">
        <v>1.0102525746992101</v>
      </c>
      <c r="R35" s="233">
        <v>1.0121740663581547</v>
      </c>
      <c r="T35" s="233">
        <v>1.0142070044707914</v>
      </c>
      <c r="V35" s="233">
        <v>1.0163346328456819</v>
      </c>
      <c r="X35" s="233">
        <v>1.0185229348022664</v>
      </c>
      <c r="Z35" s="233">
        <v>1.0207049210806514</v>
      </c>
      <c r="AB35" s="233">
        <v>1.0227317644123681</v>
      </c>
      <c r="AD35" s="233"/>
      <c r="AF35" s="233"/>
      <c r="AH35" s="233"/>
      <c r="AJ35" s="233"/>
      <c r="AL35" s="233"/>
      <c r="AN35" s="233"/>
      <c r="AP35" s="233"/>
      <c r="AR35" s="233"/>
      <c r="AT35" s="233"/>
      <c r="AV35" s="233"/>
    </row>
    <row r="36" spans="1:49 16319:16321" x14ac:dyDescent="0.2">
      <c r="A36" t="s">
        <v>21</v>
      </c>
      <c r="B36" s="37">
        <v>0.47195767671987948</v>
      </c>
      <c r="C36" s="38">
        <v>0.3173883442817898</v>
      </c>
      <c r="D36" s="37">
        <v>0.47196632296109636</v>
      </c>
      <c r="E36" s="38">
        <v>0.31852359651621065</v>
      </c>
      <c r="F36" s="37">
        <v>0.47197471329899043</v>
      </c>
      <c r="G36" s="38">
        <v>0.31969251210180516</v>
      </c>
      <c r="H36" s="37">
        <v>0.47198283195855001</v>
      </c>
      <c r="I36" s="38">
        <v>0.32089597239985879</v>
      </c>
      <c r="J36" s="37">
        <v>0.47199066034541143</v>
      </c>
      <c r="K36" s="38">
        <v>0.32213453821115384</v>
      </c>
      <c r="L36" s="37">
        <v>0.47199818168918956</v>
      </c>
      <c r="M36" s="38">
        <v>0.32340854782962458</v>
      </c>
      <c r="N36" s="37">
        <v>0.47200538346227</v>
      </c>
      <c r="O36" s="38">
        <v>0.32471823764841884</v>
      </c>
      <c r="P36" s="37">
        <v>0.47201226365177779</v>
      </c>
      <c r="Q36" s="38">
        <v>0.32606421727400836</v>
      </c>
      <c r="R36" s="37">
        <v>0.47201884782864845</v>
      </c>
      <c r="S36" s="38">
        <v>0.32744900334889654</v>
      </c>
      <c r="T36" s="37">
        <v>0.47202522818748632</v>
      </c>
      <c r="U36" s="38">
        <v>0.328881139915224</v>
      </c>
      <c r="V36" s="37">
        <v>0.47203165320934948</v>
      </c>
      <c r="W36" s="38">
        <v>0.33038594382416436</v>
      </c>
      <c r="X36" s="37">
        <v>0.47203877306474334</v>
      </c>
      <c r="Y36" s="38">
        <v>0.33203637737292396</v>
      </c>
      <c r="Z36" s="37">
        <v>0.47204839357358053</v>
      </c>
      <c r="AA36" s="38">
        <v>0.33405144446565016</v>
      </c>
      <c r="AB36" s="37">
        <v>0.47206640296289099</v>
      </c>
      <c r="AC36" s="38">
        <v>0.33718360570450789</v>
      </c>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2.1403217525954241E-2</v>
      </c>
      <c r="C37" s="40">
        <v>0.34962461301992537</v>
      </c>
      <c r="D37" s="39">
        <v>2.0741123291765952E-2</v>
      </c>
      <c r="E37" s="40">
        <v>0.34623959200281623</v>
      </c>
      <c r="F37" s="39">
        <v>2.0079561650668019E-2</v>
      </c>
      <c r="G37" s="40">
        <v>0.34276835483390872</v>
      </c>
      <c r="H37" s="39">
        <v>1.9419267293098195E-2</v>
      </c>
      <c r="I37" s="40">
        <v>0.33921027052358904</v>
      </c>
      <c r="J37" s="39">
        <v>1.8761184769218547E-2</v>
      </c>
      <c r="K37" s="40">
        <v>0.33556597048156706</v>
      </c>
      <c r="L37" s="39">
        <v>1.8106493357827613E-2</v>
      </c>
      <c r="M37" s="40">
        <v>0.33183802365353904</v>
      </c>
      <c r="N37" s="39">
        <v>1.7456666813937208E-2</v>
      </c>
      <c r="O37" s="40">
        <v>0.32803203408075793</v>
      </c>
      <c r="P37" s="39">
        <v>1.6813526586739874E-2</v>
      </c>
      <c r="Q37" s="40">
        <v>0.32415836228426009</v>
      </c>
      <c r="R37" s="39">
        <v>1.6179243827974164E-2</v>
      </c>
      <c r="S37" s="40">
        <v>0.32023508241992371</v>
      </c>
      <c r="T37" s="39">
        <v>1.55562135016989E-2</v>
      </c>
      <c r="U37" s="40">
        <v>0.31629348650130079</v>
      </c>
      <c r="V37" s="39">
        <v>1.4946540469747457E-2</v>
      </c>
      <c r="W37" s="40">
        <v>0.31238884237480058</v>
      </c>
      <c r="X37" s="39">
        <v>1.4350302770922217E-2</v>
      </c>
      <c r="Y37" s="40">
        <v>0.30862559121241162</v>
      </c>
      <c r="Z37" s="39">
        <v>1.3759739840357969E-2</v>
      </c>
      <c r="AA37" s="40">
        <v>0.30522841038650195</v>
      </c>
      <c r="AB37" s="39">
        <v>1.3136936378921861E-2</v>
      </c>
      <c r="AC37" s="40">
        <v>0.30281018734267418</v>
      </c>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0.17843580770092471</v>
      </c>
      <c r="E38" s="38">
        <v>6.0141453320861155E-2</v>
      </c>
      <c r="F38" s="37">
        <v>0.17605742250001893</v>
      </c>
      <c r="G38" s="38">
        <v>5.972994617988063E-2</v>
      </c>
      <c r="H38" s="37">
        <v>0.17365677994830789</v>
      </c>
      <c r="I38" s="38">
        <v>5.9332739007034299E-2</v>
      </c>
      <c r="J38" s="37">
        <v>0.17123560851035957</v>
      </c>
      <c r="K38" s="38">
        <v>5.8951838090767414E-2</v>
      </c>
      <c r="L38" s="37">
        <v>0.16879665555178483</v>
      </c>
      <c r="M38" s="38">
        <v>5.8589516800421529E-2</v>
      </c>
      <c r="N38" s="37">
        <v>0.16634417979607552</v>
      </c>
      <c r="O38" s="38">
        <v>5.8248174009563287E-2</v>
      </c>
      <c r="P38" s="37">
        <v>0.16388463996914834</v>
      </c>
      <c r="Q38" s="38">
        <v>5.792998795553965E-2</v>
      </c>
      <c r="R38" s="37">
        <v>0.16142773552301251</v>
      </c>
      <c r="S38" s="38">
        <v>5.7636229998864176E-2</v>
      </c>
      <c r="T38" s="37">
        <v>0.15898817192979461</v>
      </c>
      <c r="U38" s="38">
        <v>5.736559580429771E-2</v>
      </c>
      <c r="V38" s="37">
        <v>0.15658845797027326</v>
      </c>
      <c r="W38" s="38">
        <v>5.7109865633581454E-2</v>
      </c>
      <c r="X38" s="37">
        <v>0.15426452226623594</v>
      </c>
      <c r="Y38" s="38">
        <v>5.6842605851930551E-2</v>
      </c>
      <c r="Z38" s="37">
        <v>0.15207903427571423</v>
      </c>
      <c r="AA38" s="38">
        <v>5.6484866476864008E-2</v>
      </c>
      <c r="AB38" s="37">
        <v>0.15016488057853888</v>
      </c>
      <c r="AC38" s="38">
        <v>5.577863572184269E-2</v>
      </c>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0.23064923795098236</v>
      </c>
      <c r="C39" s="40">
        <v>0.22092201281804777</v>
      </c>
      <c r="D39" s="39">
        <v>0.23495345403675899</v>
      </c>
      <c r="E39" s="40">
        <v>0.22393906873881864</v>
      </c>
      <c r="F39" s="39">
        <v>0.2397807015778049</v>
      </c>
      <c r="G39" s="40">
        <v>0.22732885676894821</v>
      </c>
      <c r="H39" s="39">
        <v>0.24523338642995798</v>
      </c>
      <c r="I39" s="40">
        <v>0.23116488984718842</v>
      </c>
      <c r="J39" s="39">
        <v>0.25144188945291729</v>
      </c>
      <c r="K39" s="40">
        <v>0.23554262597033143</v>
      </c>
      <c r="L39" s="39">
        <v>0.25857455427431253</v>
      </c>
      <c r="M39" s="40">
        <v>0.24058808295869791</v>
      </c>
      <c r="N39" s="39">
        <v>0.26685172666276347</v>
      </c>
      <c r="O39" s="40">
        <v>0.24647184195917016</v>
      </c>
      <c r="P39" s="39">
        <v>0.27656604126920159</v>
      </c>
      <c r="Q39" s="40">
        <v>0.25343220442294029</v>
      </c>
      <c r="R39" s="39">
        <v>0.28811179426334399</v>
      </c>
      <c r="S39" s="40">
        <v>0.26181470212322894</v>
      </c>
      <c r="T39" s="39">
        <v>0.3020262131380182</v>
      </c>
      <c r="U39" s="40">
        <v>0.27214458748692327</v>
      </c>
      <c r="V39" s="39">
        <v>0.3190447861511328</v>
      </c>
      <c r="W39" s="40">
        <v>0.28527652116620561</v>
      </c>
      <c r="X39" s="39">
        <v>0.3401546779952036</v>
      </c>
      <c r="Y39" s="40">
        <v>0.30273825248682346</v>
      </c>
      <c r="Z39" s="39">
        <v>0.3665442964458866</v>
      </c>
      <c r="AA39" s="40">
        <v>0.32768686031195293</v>
      </c>
      <c r="AB39" s="39">
        <v>0.39884692433880692</v>
      </c>
      <c r="AC39" s="40">
        <v>0.3683959080998449</v>
      </c>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0.13453085912935928</v>
      </c>
      <c r="E42" s="135"/>
      <c r="F42" s="177">
        <f>10.8%+(1-10.8%)*(1-SUM(F26:G26)/SUM($B$26:$C$26))</f>
        <v>0.1620949471838376</v>
      </c>
      <c r="G42" s="135"/>
      <c r="H42" s="177">
        <f>10.8%+(1-10.8%)*(1-SUM(H26:I26)/SUM($B$26:$C$26))</f>
        <v>0.19078923826532873</v>
      </c>
      <c r="I42" s="135"/>
      <c r="J42" s="177">
        <f>10.8%+(1-10.8%)*(1-SUM(J26:K26)/SUM($B$26:$C$26))</f>
        <v>0.22072378010921773</v>
      </c>
      <c r="K42" s="135"/>
      <c r="L42" s="177">
        <f>10.8%+(1-10.8%)*(1-SUM(L26:M26)/SUM($B$26:$C$26))</f>
        <v>0.25202320377080467</v>
      </c>
      <c r="M42" s="135"/>
      <c r="N42" s="177">
        <f>10.8%+(1-10.8%)*(1-SUM(N26:O26)/SUM($B$26:$C$26))</f>
        <v>0.28482740407435547</v>
      </c>
      <c r="O42" s="135"/>
      <c r="P42" s="177">
        <f>10.8%+(1-10.8%)*(1-SUM(P26:Q26)/SUM($B$26:$C$26))</f>
        <v>0.31929057527748805</v>
      </c>
      <c r="Q42" s="135"/>
      <c r="R42" s="177">
        <f>10.8%+(1-10.8%)*(1-SUM(R26:S26)/SUM($B$26:$C$26))</f>
        <v>0.35557653821666668</v>
      </c>
      <c r="S42" s="135"/>
      <c r="T42" s="177">
        <f>10.8%+(1-10.8%)*(1-SUM(T26:U26)/SUM($B$26:$C$26))</f>
        <v>0.39384534115424852</v>
      </c>
      <c r="U42" s="135"/>
      <c r="V42" s="177">
        <f>10.8%+(1-10.8%)*(1-SUM(V26:W26)/SUM($B$26:$C$26))</f>
        <v>0.43421890419844023</v>
      </c>
      <c r="W42" s="135"/>
      <c r="X42" s="177">
        <f>10.8%+(1-10.8%)*(1-SUM(X26:Y26)/SUM($B$26:$C$26))</f>
        <v>0.47669216402988723</v>
      </c>
      <c r="Y42" s="162"/>
      <c r="Z42" s="177">
        <f>10.8%+(1-10.8%)*(1-SUM(Z26:AA26)/SUM($B$26:$C$26))</f>
        <v>0.5208772959619975</v>
      </c>
      <c r="AA42" s="135"/>
      <c r="AB42" s="177">
        <f>10.8%+(1-10.8%)*(1-SUM(AB26:AC26)/SUM($B$26:$C$26))</f>
        <v>0.56508822699950056</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0.56058995943838641</v>
      </c>
      <c r="C43" s="135"/>
      <c r="D43" s="162">
        <f t="array" ref="D43">SUM(D15:E15*D27:E27)/SUM(D15:E15*D27:E27,D13:E13*D26:E26)</f>
        <v>0.57283032093795294</v>
      </c>
      <c r="E43" s="135"/>
      <c r="F43" s="162">
        <f t="array" ref="F43">SUM(F15:G15*F27:G27)/SUM(F15:G15*F27:G27,F13:G13*F26:G26)</f>
        <v>0.57848768459157518</v>
      </c>
      <c r="G43" s="135"/>
      <c r="H43" s="162">
        <f t="array" ref="H43">SUM(H15:I15*H27:I27)/SUM(H15:I15*H27:I27,H13:I13*H26:I26)</f>
        <v>0.58416928110960853</v>
      </c>
      <c r="I43" s="135"/>
      <c r="J43" s="162">
        <f t="array" ref="J43">SUM(J15:K15*J27:K27)/SUM(J15:K15*J27:K27,J13:K13*J26:K26)</f>
        <v>0.58987005272362403</v>
      </c>
      <c r="K43" s="135"/>
      <c r="L43" s="162">
        <f t="array" ref="L43">SUM(L15:M15*L27:M27)/SUM(L15:M15*L27:M27,L13:M13*L26:M26)</f>
        <v>0.59558253635845892</v>
      </c>
      <c r="M43" s="135"/>
      <c r="N43" s="162">
        <f t="array" ref="N43">SUM(N15:O15*N27:O27)/SUM(N15:O15*N27:O27,N13:O13*N26:O26)</f>
        <v>0.60129568128928068</v>
      </c>
      <c r="O43" s="135"/>
      <c r="P43" s="162">
        <f t="array" ref="P43">SUM(P15:Q15*P27:Q27)/SUM(P15:Q15*P27:Q27,P13:Q13*P26:Q26)</f>
        <v>0.60699336563185413</v>
      </c>
      <c r="Q43" s="135"/>
      <c r="R43" s="162">
        <f t="array" ref="R43">SUM(R15:S15*R27:S27)/SUM(R15:S15*R27:S27,R13:S13*R26:S26)</f>
        <v>0.61265199386791358</v>
      </c>
      <c r="S43" s="135"/>
      <c r="T43" s="162">
        <f t="array" ref="T43">SUM(T15:U15*T27:U27)/SUM(T15:U15*T27:U27,T13:U13*T26:U26)</f>
        <v>0.6182356011570499</v>
      </c>
      <c r="U43" s="135"/>
      <c r="V43" s="162">
        <f t="array" ref="V43">SUM(V15:W15*V27:W27)/SUM(V15:W15*V27:W27,V13:W13*V26:W26)</f>
        <v>0.62368904401476999</v>
      </c>
      <c r="W43" s="135"/>
      <c r="X43" s="162">
        <f t="array" ref="X43">SUM(X15:Y15*X27:Y27)/SUM(X15:Y15*X27:Y27,X13:Y13*X26:Y26)</f>
        <v>0.62892153907570292</v>
      </c>
      <c r="Y43" s="135"/>
      <c r="Z43" s="162">
        <f t="array" ref="Z43">SUM(Z15:AA15*Z27:AA27)/SUM(Z15:AA15*Z27:AA27,Z13:AA13*Z26:AA26)</f>
        <v>0.63376424304061829</v>
      </c>
      <c r="AA43" s="135"/>
      <c r="AB43" s="162">
        <f t="array" ref="AB43">SUM(AB15:AC15*AB27:AC27)/SUM(AB15:AC15*AB27:AC27,AB13:AC13*AB26:AC26)</f>
        <v>0.63782497408929473</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0.29754225859871214</v>
      </c>
      <c r="F44" s="193">
        <f>(SUM(F11:G11*F24:G24)+F34)/F32</f>
        <v>0.29754226010738261</v>
      </c>
      <c r="H44" s="193">
        <f>(SUM(H11:I11*H24:I24)+H34)/H32</f>
        <v>0.2975422561742449</v>
      </c>
      <c r="J44" s="193">
        <f>(SUM(J11:K11*J24:K24)+J34)/J32</f>
        <v>0.29754225767250253</v>
      </c>
      <c r="L44" s="193">
        <f>(SUM(L11:M11*L24:M24)+L34)/L32</f>
        <v>0.29754226128832106</v>
      </c>
      <c r="N44" s="193">
        <f>(SUM(N11:O11*N24:O24)+N34)/N32</f>
        <v>0.29754226139128176</v>
      </c>
      <c r="P44" s="193">
        <f>(SUM(P11:Q11*P24:Q24)+P34)/P32</f>
        <v>0.29754226048066496</v>
      </c>
      <c r="R44" s="193">
        <f>(SUM(R11:S11*R24:S24)+R34)/R32</f>
        <v>0.29754226151663565</v>
      </c>
      <c r="T44" s="193">
        <f>(SUM(T11:U11*T24:U24)+T34)/T32</f>
        <v>0.29754226234251291</v>
      </c>
      <c r="V44" s="193">
        <f>(SUM(V11:W11*V24:W24)+V34)/V32</f>
        <v>0.29754226272579204</v>
      </c>
      <c r="X44" s="193">
        <f>(SUM(X11:Y11*X24:Y24)+X34)/X32</f>
        <v>0.29754226178347964</v>
      </c>
      <c r="Z44" s="193">
        <f>(SUM(Z11:AA11*Z24:AA24)+Z34)/Z32</f>
        <v>0.29754226245154508</v>
      </c>
      <c r="AB44" s="193">
        <f>(SUM(AB11:AC11*AB24:AC24)+AB34)/AB32</f>
        <v>0.29754226057352401</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0.22038438850793624</v>
      </c>
      <c r="F45" s="193">
        <f>SUM(F11:G11*F24:G24)/F32</f>
        <v>0.22038438840045271</v>
      </c>
      <c r="H45" s="193">
        <f>SUM(H11:I11*H24:I24)/H32</f>
        <v>0.22038438845961072</v>
      </c>
      <c r="J45" s="193">
        <f>SUM(J11:K11*J24:K24)/J32</f>
        <v>0.22038438837168878</v>
      </c>
      <c r="L45" s="193">
        <f>SUM(L11:M11*L24:M24)/L32</f>
        <v>0.22038438826127188</v>
      </c>
      <c r="N45" s="193">
        <f>SUM(N11:O11*N24:O24)/N32</f>
        <v>0.2203843882565851</v>
      </c>
      <c r="P45" s="193">
        <f>SUM(P11:Q11*P24:Q24)/P32</f>
        <v>0.22038438828173354</v>
      </c>
      <c r="R45" s="193">
        <f>SUM(R11:S11*R24:S24)/R32</f>
        <v>0.2203843881973859</v>
      </c>
      <c r="T45" s="193">
        <f>SUM(T11:U11*T24:U24)/T32</f>
        <v>0.22038438848310471</v>
      </c>
      <c r="V45" s="193">
        <f>SUM(V11:W11*V24:W24)/V32</f>
        <v>0.22038438875388652</v>
      </c>
      <c r="X45" s="193">
        <f>SUM(X11:Y11*X24:Y24)/X32</f>
        <v>0.22038438834819851</v>
      </c>
      <c r="Z45" s="193">
        <f>SUM(Z11:AA11*Z24:AA24)/Z32</f>
        <v>0.22038438853326342</v>
      </c>
      <c r="AB45" s="193">
        <f>SUM(AB11:AC11*AB24:AC24)/AB32</f>
        <v>0.22038438808747929</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7.7157870090775904E-2</v>
      </c>
      <c r="F46" s="193">
        <f>F34/F32</f>
        <v>7.7157871706929906E-2</v>
      </c>
      <c r="H46" s="193">
        <f>H34/H32</f>
        <v>7.7157867714634204E-2</v>
      </c>
      <c r="J46" s="193">
        <f>J34/J32</f>
        <v>7.7157869300813753E-2</v>
      </c>
      <c r="L46" s="193">
        <f>L34/L32</f>
        <v>7.7157873027049156E-2</v>
      </c>
      <c r="N46" s="193">
        <f>N34/N32</f>
        <v>7.7157873134696631E-2</v>
      </c>
      <c r="P46" s="193">
        <f>P34/P32</f>
        <v>7.7157872198931415E-2</v>
      </c>
      <c r="R46" s="193">
        <f>R34/R32</f>
        <v>7.7157873319249753E-2</v>
      </c>
      <c r="T46" s="193">
        <f>T34/T32</f>
        <v>7.7157873859408185E-2</v>
      </c>
      <c r="V46" s="193">
        <f>V34/V32</f>
        <v>7.7157873971905516E-2</v>
      </c>
      <c r="X46" s="193">
        <f>X34/X32</f>
        <v>7.7157873435281105E-2</v>
      </c>
      <c r="Z46" s="193">
        <f>Z34/Z32</f>
        <v>7.7157873918281661E-2</v>
      </c>
      <c r="AB46" s="193">
        <f>AB34/AB32</f>
        <v>7.7157872486044679E-2</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0.98464517510307581</v>
      </c>
      <c r="E48" s="191"/>
      <c r="F48" s="191">
        <f>F24/$B$24</f>
        <v>0.96772581898384769</v>
      </c>
      <c r="G48" s="191"/>
      <c r="H48" s="191">
        <f>H24/$B$24</f>
        <v>0.94904444002241284</v>
      </c>
      <c r="I48" s="191"/>
      <c r="J48" s="191">
        <f>J24/$B$24</f>
        <v>0.92837085872397285</v>
      </c>
      <c r="K48" s="191"/>
      <c r="L48" s="191">
        <f>L24/$B$24</f>
        <v>0.90543660026656214</v>
      </c>
      <c r="M48" s="191"/>
      <c r="N48" s="191">
        <f>N24/$B$24</f>
        <v>0.87992914655305299</v>
      </c>
      <c r="O48" s="191"/>
      <c r="P48" s="191">
        <f>P24/$B$24</f>
        <v>0.85148751756861873</v>
      </c>
      <c r="Q48" s="191"/>
      <c r="R48" s="191">
        <f>R24/$B$24</f>
        <v>0.81970172966632227</v>
      </c>
      <c r="S48" s="191"/>
      <c r="T48" s="191">
        <f>T24/$B$24</f>
        <v>0.78412245021408944</v>
      </c>
      <c r="U48" s="191"/>
      <c r="V48" s="191">
        <f>V24/$B$24</f>
        <v>0.74429926802318402</v>
      </c>
      <c r="W48" s="191"/>
      <c r="X48" s="191">
        <f>X24/$B$24</f>
        <v>0.69989153152946626</v>
      </c>
      <c r="Y48" s="191"/>
      <c r="Z48" s="191">
        <f>Z24/$B$24</f>
        <v>0.65100165719240977</v>
      </c>
      <c r="AA48" s="191"/>
      <c r="AB48" s="191">
        <f>AB24/$B$24</f>
        <v>0.5993665387487096</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0.99999999914193705</v>
      </c>
      <c r="E49" s="191"/>
      <c r="F49" s="191">
        <f>F13/F35/$B$13*$B$35</f>
        <v>0.99999999960730324</v>
      </c>
      <c r="G49" s="191"/>
      <c r="H49" s="191">
        <f>H13/H35/$B$13*$B$35</f>
        <v>0.99999999894355507</v>
      </c>
      <c r="I49" s="191"/>
      <c r="J49" s="191">
        <f>J13/J35/$B$13*$B$35</f>
        <v>0.99999999933019179</v>
      </c>
      <c r="K49" s="191"/>
      <c r="L49" s="191">
        <f>L13/L35/$B$13*$B$35</f>
        <v>1.0000000001011715</v>
      </c>
      <c r="M49" s="191"/>
      <c r="N49" s="191">
        <f>N13/N35/$B$13*$B$35</f>
        <v>1.0000000001298721</v>
      </c>
      <c r="O49" s="191"/>
      <c r="P49" s="191">
        <f>P13/P35/$B$13*$B$35</f>
        <v>0.99999999990899524</v>
      </c>
      <c r="Q49" s="191"/>
      <c r="R49" s="191">
        <f>R13/R35/$B$13*$B$35</f>
        <v>1.0000000002696023</v>
      </c>
      <c r="S49" s="191"/>
      <c r="T49" s="191">
        <f>T13/T35/$B$13*$B$35</f>
        <v>0.99999999984466836</v>
      </c>
      <c r="U49" s="191"/>
      <c r="V49" s="191">
        <f>V13/V35/$B$13*$B$35</f>
        <v>0.99999999959594099</v>
      </c>
      <c r="W49" s="191"/>
      <c r="X49" s="191">
        <f>X13/X35/$B$13*$B$35</f>
        <v>0.99999999999046341</v>
      </c>
      <c r="Y49" s="191"/>
      <c r="Z49" s="191">
        <f>Z13/Z35/$B$13*$B$35</f>
        <v>0.99999999992706567</v>
      </c>
      <c r="AA49" s="191"/>
      <c r="AB49" s="191">
        <f>AB13/AB35/$B$13*$B$35</f>
        <v>0.99999999999117128</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-400290.17849998642</v>
      </c>
      <c r="F51" s="29">
        <f>F30-F10*F23</f>
        <v>-394094.78286828892</v>
      </c>
      <c r="H51" s="29">
        <f>H30-H10*H23</f>
        <v>-387167.40066229692</v>
      </c>
      <c r="J51" s="29">
        <f>J30-J10*J23</f>
        <v>-379409.23443373153</v>
      </c>
      <c r="L51" s="29">
        <f>L30-L10*L23</f>
        <v>-370704.57588870451</v>
      </c>
      <c r="N51" s="29">
        <f>N30-N10*N23</f>
        <v>-360918.0840185238</v>
      </c>
      <c r="P51" s="29">
        <f>P30-P10*P23</f>
        <v>-349892.77164466679</v>
      </c>
      <c r="R51" s="29">
        <f>R30-R10*R23</f>
        <v>-337449.16078804899</v>
      </c>
      <c r="T51" s="29">
        <f>T30-T10*T23</f>
        <v>-323387.51219288632</v>
      </c>
      <c r="V51" s="29">
        <f>V30-V10*V23</f>
        <v>-307502.71989141032</v>
      </c>
      <c r="X51" s="29">
        <f>X30-X10*X23</f>
        <v>-289625.45284866286</v>
      </c>
      <c r="Z51" s="29">
        <f>Z30-Z10*Z23</f>
        <v>-269748.17908282089</v>
      </c>
      <c r="AB51" s="29">
        <f>AB30-AB10*AB23</f>
        <v>-248476.0835364724</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1990583.7441849844</v>
      </c>
      <c r="F52" s="29">
        <f t="array" ref="F52">Calibration!sL*SUM(F13:G13*F26:G26)</f>
        <v>1929584.6241866576</v>
      </c>
      <c r="H52" s="29">
        <f t="array" ref="H52">Calibration!sL*SUM(H13:I13*H26:I26)</f>
        <v>1866010.4629068649</v>
      </c>
      <c r="J52" s="29">
        <f t="array" ref="J52">Calibration!sL*SUM(J13:K13*J26:K26)</f>
        <v>1799586.7333738806</v>
      </c>
      <c r="L52" s="29">
        <f t="array" ref="L52">Calibration!sL*SUM(L13:M13*L26:M26)</f>
        <v>1729999.7388015627</v>
      </c>
      <c r="N52" s="29">
        <f t="array" ref="N52">Calibration!sL*SUM(N13:O13*N26:O26)</f>
        <v>1656893.4825938009</v>
      </c>
      <c r="P52" s="29">
        <f t="array" ref="P52">Calibration!sL*SUM(P13:Q13*P26:Q26)</f>
        <v>1579870.0161681366</v>
      </c>
      <c r="R52" s="29">
        <f t="array" ref="R52">Calibration!sL*SUM(R13:S13*R26:S26)</f>
        <v>1498498.0313067362</v>
      </c>
      <c r="T52" s="29">
        <f t="array" ref="T52">Calibration!sL*SUM(T13:U13*T26:U26)</f>
        <v>1412341.3691161773</v>
      </c>
      <c r="V52" s="29">
        <f t="array" ref="V52">Calibration!sL*SUM(V13:W13*V26:W26)</f>
        <v>1321036.4004414065</v>
      </c>
      <c r="X52" s="29">
        <f t="array" ref="X52">Calibration!sL*SUM(X13:Y13*X26:Y26)</f>
        <v>1224496.8660124301</v>
      </c>
      <c r="Z52" s="29">
        <f t="array" ref="Z52">Calibration!sL*SUM(Z13:AA13*Z26:AA26)</f>
        <v>1123509.0808785185</v>
      </c>
      <c r="AB52" s="29">
        <f t="array" ref="AB52">Calibration!sL*SUM(AB13:AC13*AB26:AC26)</f>
        <v>1021862.6746126857</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2740714.444429684</v>
      </c>
      <c r="D53" s="29">
        <f t="array" ref="D53">Calibration!sK*SUM(D15:E15*D27:E27)</f>
        <v>2724114.8909473899</v>
      </c>
      <c r="F53" s="29">
        <f t="array" ref="F53">Calibration!sK*SUM(F15:G15*F27:G27)</f>
        <v>2702508.4910096568</v>
      </c>
      <c r="H53" s="29">
        <f t="array" ref="H53">Calibration!sK*SUM(H15:I15*H27:I27)</f>
        <v>2675196.0143833538</v>
      </c>
      <c r="J53" s="29">
        <f t="array" ref="J53">Calibration!sK*SUM(J15:K15*J27:K27)</f>
        <v>2641356.5910464441</v>
      </c>
      <c r="L53" s="29">
        <f t="array" ref="L53">Calibration!sK*SUM(L15:M15*L27:M27)</f>
        <v>2600024.7312806156</v>
      </c>
      <c r="N53" s="29">
        <f t="array" ref="N53">Calibration!sK*SUM(N15:O15*N27:O27)</f>
        <v>2550064.2450772892</v>
      </c>
      <c r="P53" s="29">
        <f t="array" ref="P53">Calibration!sK*SUM(P15:Q15*P27:Q27)</f>
        <v>2490145.9769969815</v>
      </c>
      <c r="R53" s="29">
        <f t="array" ref="R53">Calibration!sK*SUM(R15:S15*R27:S27)</f>
        <v>2418733.89594778</v>
      </c>
      <c r="T53" s="29">
        <f t="array" ref="T53">Calibration!sK*SUM(T15:U15*T27:U27)</f>
        <v>2334090.2910907906</v>
      </c>
      <c r="V53" s="29">
        <f t="array" ref="V53">Calibration!sK*SUM(V15:W15*V27:W27)</f>
        <v>2234371.7132942621</v>
      </c>
      <c r="X53" s="29">
        <f t="array" ref="X53">Calibration!sK*SUM(X15:Y15*X27:Y27)</f>
        <v>2117911.3971601608</v>
      </c>
      <c r="Z53" s="29">
        <f t="array" ref="Z53">Calibration!sK*SUM(Z15:AA15*Z27:AA27)</f>
        <v>1984097.2879388591</v>
      </c>
      <c r="AB53" s="29">
        <f t="array" ref="AB53">Calibration!sK*SUM(AB15:AC15*AB27:AC27)</f>
        <v>1836516.9622786385</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0.19844027702738679</v>
      </c>
      <c r="F55" s="193">
        <f>F30/F32</f>
        <v>0.1983775166281728</v>
      </c>
      <c r="H55" s="193">
        <f>H30/H32</f>
        <v>0.19831448141270483</v>
      </c>
      <c r="J55" s="193">
        <f>J30/J32</f>
        <v>0.19825121993062497</v>
      </c>
      <c r="L55" s="193">
        <f>L30/L32</f>
        <v>0.19818781432527349</v>
      </c>
      <c r="N55" s="193">
        <f>N30/N32</f>
        <v>0.19812439540890506</v>
      </c>
      <c r="P55" s="193">
        <f>P30/P32</f>
        <v>0.19806114184965801</v>
      </c>
      <c r="R55" s="193">
        <f>R30/R32</f>
        <v>0.1979983027216011</v>
      </c>
      <c r="T55" s="193">
        <f>T30/T32</f>
        <v>0.1979362997129106</v>
      </c>
      <c r="V55" s="193">
        <f>V30/V32</f>
        <v>0.19787573233959901</v>
      </c>
      <c r="X55" s="193">
        <f>X30/X32</f>
        <v>0.19781759654765083</v>
      </c>
      <c r="Z55" s="193">
        <f>Z30/Z32</f>
        <v>0.19776379255157425</v>
      </c>
      <c r="AB55" s="193">
        <f>AB30/AB32</f>
        <v>0.19771866677125949</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3.1266702977831788E-2</v>
      </c>
      <c r="F56" s="193">
        <f>(Model!$C$52*F5*F20+F2*G5*G20)/F32</f>
        <v>3.3322135501148806E-2</v>
      </c>
      <c r="H56" s="193">
        <f>(Model!$C$52*H5*H20+H2*I5*I20)/H32</f>
        <v>3.5386283960423336E-2</v>
      </c>
      <c r="J56" s="193">
        <f>(Model!$C$52*J5*J20+J2*K5*K20)/J32</f>
        <v>3.7457289468823499E-2</v>
      </c>
      <c r="L56" s="193">
        <f>(Model!$C$52*L5*L20+L2*M5*M20)/L32</f>
        <v>3.9532426083622924E-2</v>
      </c>
      <c r="N56" s="193">
        <f>(Model!$C$52*N5*N20+N2*O5*O20)/N32</f>
        <v>4.1607703939557997E-2</v>
      </c>
      <c r="P56" s="193">
        <f>(Model!$C$52*P5*P20+P2*Q5*Q20)/P32</f>
        <v>4.367728864377321E-2</v>
      </c>
      <c r="R56" s="193">
        <f>(Model!$C$52*R5*R20+R2*S5*S20)/R32</f>
        <v>4.573260519203956E-2</v>
      </c>
      <c r="T56" s="193">
        <f>(Model!$C$52*T5*T20+T2*U5*U20)/T32</f>
        <v>4.7760822214084911E-2</v>
      </c>
      <c r="V56" s="193">
        <f>(Model!$C$52*V5*V20+V2*W5*W20)/V32</f>
        <v>4.9742178596635163E-2</v>
      </c>
      <c r="X56" s="193">
        <f>(Model!$C$52*X5*X20+X2*Y5*Y20)/X32</f>
        <v>5.1644400102677818E-2</v>
      </c>
      <c r="Z56" s="193">
        <f>(Model!$C$52*Z5*Z20+Z2*AA5*AA20)/Z32</f>
        <v>5.3408402373582742E-2</v>
      </c>
      <c r="AB56" s="193">
        <f>(Model!$C$52*AB5*AB20+AB2*AC5*AC20)/AB32</f>
        <v>5.4898347523403238E-2</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0.15647889313645638</v>
      </c>
      <c r="F57" s="193">
        <f t="array" ref="F57">SUM(Model!tauL*F13:G13*F26:G26)/F32</f>
        <v>0.15441860060726328</v>
      </c>
      <c r="H57" s="193">
        <f t="array" ref="H57">SUM(Model!tauL*H13:I13*H26:I26)/H32</f>
        <v>0.15234915535647459</v>
      </c>
      <c r="J57" s="193">
        <f t="array" ref="J57">SUM(Model!tauL*J13:K13*J26:K26)/J32</f>
        <v>0.15027240160600688</v>
      </c>
      <c r="L57" s="193">
        <f t="array" ref="L57">SUM(Model!tauL*L13:M13*L26:M26)/L32</f>
        <v>0.14819106233986559</v>
      </c>
      <c r="N57" s="193">
        <f t="array" ref="N57">SUM(Model!tauL*N13:O13*N26:O26)/N32</f>
        <v>0.14610914651815146</v>
      </c>
      <c r="P57" s="193">
        <f t="array" ref="P57">SUM(Model!tauL*P13:Q13*P26:Q26)/P32</f>
        <v>0.14403252484293402</v>
      </c>
      <c r="R57" s="193">
        <f t="array" ref="R57">SUM(Model!tauL*R13:S13*R26:S26)/R32</f>
        <v>0.14196984435931964</v>
      </c>
      <c r="T57" s="193">
        <f t="array" ref="T57">SUM(Model!tauL*T13:U13*T26:U26)/T32</f>
        <v>0.13993414982256824</v>
      </c>
      <c r="V57" s="193">
        <f t="array" ref="V57">SUM(Model!tauL*V13:W13*V26:W26)/V32</f>
        <v>0.13794560023262833</v>
      </c>
      <c r="X57" s="193">
        <f t="array" ref="X57">SUM(Model!tauL*X13:Y13*X26:Y26)/X32</f>
        <v>0.13603739853654506</v>
      </c>
      <c r="Y57" s="193"/>
      <c r="Z57" s="193">
        <f t="array" ref="Z57">SUM(Model!tauL*Z13:AA13*Z26:AA26)/Z32</f>
        <v>0.1342710586372548</v>
      </c>
      <c r="AB57" s="193">
        <f t="array" ref="AB57">SUM(Model!tauL*AB13:AC13*AB26:AC26)/AB32</f>
        <v>0.13278978679372569</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1.0694680913098603E-2</v>
      </c>
      <c r="F58" s="193">
        <f t="array" ref="F58">SUM(Model!tauY/(1+Model!tauY)*F3:G3*F18:G18)/F32</f>
        <v>1.0636780519760667E-2</v>
      </c>
      <c r="H58" s="193">
        <f t="array" ref="H58">SUM(Model!tauY/(1+Model!tauY)*H3:I3*H18:I18)/H32</f>
        <v>1.0579042095806878E-2</v>
      </c>
      <c r="J58" s="193">
        <f t="array" ref="J58">SUM(Model!tauY/(1+Model!tauY)*J3:K3*J18:K18)/J32</f>
        <v>1.0521528855794583E-2</v>
      </c>
      <c r="L58" s="193">
        <f t="array" ref="L58">SUM(Model!tauY/(1+Model!tauY)*L3:M3*L18:M18)/L32</f>
        <v>1.0464325901785001E-2</v>
      </c>
      <c r="N58" s="193">
        <f t="array" ref="N58">SUM(Model!tauY/(1+Model!tauY)*N3:O3*N18:O18)/N32</f>
        <v>1.0407544951195591E-2</v>
      </c>
      <c r="P58" s="193">
        <f t="array" ref="P58">SUM(Model!tauY/(1+Model!tauY)*P3:Q3*P18:Q18)/P32</f>
        <v>1.0351328362950765E-2</v>
      </c>
      <c r="R58" s="193">
        <f t="array" ref="R58">SUM(Model!tauY/(1+Model!tauY)*R3:S3*R18:S18)/R32</f>
        <v>1.0295853170241882E-2</v>
      </c>
      <c r="T58" s="193">
        <f t="array" ref="T58">SUM(Model!tauY/(1+Model!tauY)*T3:U3*T18:U18)/T32</f>
        <v>1.0241327676257479E-2</v>
      </c>
      <c r="V58" s="193">
        <f t="array" ref="V58">SUM(Model!tauY/(1+Model!tauY)*V3:W3*V18:W18)/V32</f>
        <v>1.018795351033552E-2</v>
      </c>
      <c r="X58" s="193">
        <f t="array" ref="X58">SUM(Model!tauY/(1+Model!tauY)*X3:Y3*X18:Y18)/X32</f>
        <v>1.0135797908427958E-2</v>
      </c>
      <c r="Y58" s="193"/>
      <c r="Z58" s="193">
        <f t="array" ref="Z58">SUM(Model!tauY/(1+Model!tauY)*Z3:AA3*Z18:AA18)/Z32</f>
        <v>1.0084331540736721E-2</v>
      </c>
      <c r="AB58" s="193">
        <f t="array" ref="AB58">SUM(Model!tauY/(1+Model!tauY)*AB3:AC3*AB18:AC18)/AB32</f>
        <v>1.003053245413057E-2</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2.634002482435306E-3</v>
      </c>
      <c r="F59" s="193">
        <f>(F2*G5*G20)/F32</f>
        <v>4.7264016586993545E-3</v>
      </c>
      <c r="H59" s="193">
        <f>(H2*I5*I20)/H32</f>
        <v>6.8277116599200164E-3</v>
      </c>
      <c r="J59" s="193">
        <f>(J2*K5*K20)/J32</f>
        <v>8.9360569579275805E-3</v>
      </c>
      <c r="L59" s="193">
        <f>(L2*M5*M20)/L32</f>
        <v>1.104868167363836E-2</v>
      </c>
      <c r="N59" s="193">
        <f>(N2*O5*O20)/N32</f>
        <v>1.3161547749592729E-2</v>
      </c>
      <c r="P59" s="193">
        <f>(P2*Q5*Q20)/P32</f>
        <v>1.5268748294768384E-2</v>
      </c>
      <c r="R59" s="193">
        <f>(R2*S5*S20)/R32</f>
        <v>1.7361603754746307E-2</v>
      </c>
      <c r="T59" s="193">
        <f>(T2*U5*U20)/T32</f>
        <v>1.942713811224147E-2</v>
      </c>
      <c r="V59" s="193">
        <f>(V2*W5*W20)/V32</f>
        <v>2.1445407216180618E-2</v>
      </c>
      <c r="X59" s="193">
        <f>(X2*Y5*Y20)/X32</f>
        <v>2.3383945327238885E-2</v>
      </c>
      <c r="Z59" s="193">
        <f>(Z2*AA5*AA20)/Z32</f>
        <v>2.5183610617088192E-2</v>
      </c>
      <c r="AB59" s="193">
        <f>(AB2*AC5*AC20)/AB32</f>
        <v>2.6709231914644336E-2</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2.8632700495396485E-2</v>
      </c>
      <c r="F60" s="193">
        <f>Model!$C$52*F5*F20/F32</f>
        <v>2.8595733842449456E-2</v>
      </c>
      <c r="H60" s="193">
        <f>Model!$C$52*H5*H20/H32</f>
        <v>2.8558572300503324E-2</v>
      </c>
      <c r="J60" s="193">
        <f>Model!$C$52*J5*J20/J32</f>
        <v>2.8521232510895916E-2</v>
      </c>
      <c r="L60" s="193">
        <f>Model!$C$52*L5*L20/L32</f>
        <v>2.8483744409984565E-2</v>
      </c>
      <c r="N60" s="193">
        <f>Model!$C$52*N5*N20/N32</f>
        <v>2.8446156189965273E-2</v>
      </c>
      <c r="P60" s="193">
        <f>Model!$C$52*P5*P20/P32</f>
        <v>2.8408540349004831E-2</v>
      </c>
      <c r="R60" s="193">
        <f>Model!$C$52*R5*R20/R32</f>
        <v>2.8371001437293254E-2</v>
      </c>
      <c r="T60" s="193">
        <f>Model!$C$52*T5*T20/T32</f>
        <v>2.8333684101843441E-2</v>
      </c>
      <c r="V60" s="193">
        <f>Model!$C$52*V5*V20/V32</f>
        <v>2.8296771380454548E-2</v>
      </c>
      <c r="X60" s="193">
        <f>Model!$C$52*X5*X20/X32</f>
        <v>2.8260454775438926E-2</v>
      </c>
      <c r="Z60" s="193">
        <f>Model!$C$52*Z5*Z20/Z32</f>
        <v>2.822479175649455E-2</v>
      </c>
      <c r="AB60" s="193">
        <f>Model!$C$52*AB5*AB20/AB32</f>
        <v>2.8189115608758909E-2</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1.0072508224982637</v>
      </c>
      <c r="F62">
        <f>F13/F15</f>
        <v>1.0165672704245305</v>
      </c>
      <c r="H62">
        <f>H13/H15</f>
        <v>1.0283264014554128</v>
      </c>
      <c r="J62">
        <f>J13/J15</f>
        <v>1.0430100117507131</v>
      </c>
      <c r="L62">
        <f>L13/L15</f>
        <v>1.0612424108058311</v>
      </c>
      <c r="N62">
        <f>N13/N15</f>
        <v>1.0838439896963414</v>
      </c>
      <c r="P62">
        <f>P13/P15</f>
        <v>1.1119081705374874</v>
      </c>
      <c r="R62">
        <f>R13/R15</f>
        <v>1.1469142741286964</v>
      </c>
      <c r="T62">
        <f>T13/T15</f>
        <v>1.1908928790651103</v>
      </c>
      <c r="V62">
        <f>V13/V15</f>
        <v>1.2466510525722645</v>
      </c>
      <c r="X62">
        <f>X13/X15</f>
        <v>1.3180345415461436</v>
      </c>
      <c r="Z62">
        <f>Z13/Z15</f>
        <v>1.4099410797853198</v>
      </c>
      <c r="AB62">
        <f>AB13/AB15</f>
        <v>1.5262674346864258</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0.99949461445473309</v>
      </c>
      <c r="E65" s="191"/>
      <c r="F65" s="191">
        <f t="array" ref="F65">SQRT((F9:G9*$B$22:$C$22+F10:G10*$B$23:$C$23+F11:G11*$B$24:$C$24+F4:G4*($B$25:$C$25-$B$19:$C$19))/($B$9:$C$9*$B$22:$C$22+$B$10:$C$10*$B$23:$C$23+$B$11:$C$11*$B$24:$C$24+$B$4:$C$4*($B$25:$C$25-$B$19:$C$19))*(F9:G9*F22:G22+F10:G10*F23:G23+F11:G11*F24:G24+F4:G4*(F25:G25-F19:G19))/($B$9:$C$9*F22:G22+$B$10:$C$10*F23:G23+$B$11:$C$11*F24:G24+$B$4:$C$4*(F25:G25-F19:G19)))</f>
        <v>0.9990070117490556</v>
      </c>
      <c r="G65" s="191"/>
      <c r="H65" s="191">
        <f t="array" ref="H65">SQRT((H9:I9*$B$22:$C$22+H10:I10*$B$23:$C$23+H11:I11*$B$24:$C$24+H4:I4*($B$25:$C$25-$B$19:$C$19))/($B$9:$C$9*$B$22:$C$22+$B$10:$C$10*$B$23:$C$23+$B$11:$C$11*$B$24:$C$24+$B$4:$C$4*($B$25:$C$25-$B$19:$C$19))*(H9:I9*H22:I22+H10:I10*H23:I23+H11:I11*H24:I24+H4:I4*(H25:I25-H19:I19))/($B$9:$C$9*H22:I22+$B$10:$C$10*H23:I23+$B$11:$C$11*H24:I24+$B$4:$C$4*(H25:I25-H19:I19)))</f>
        <v>0.99853785471462719</v>
      </c>
      <c r="I65" s="191"/>
      <c r="J65" s="191">
        <f t="array" ref="J65">SQRT((J9:K9*$B$22:$C$22+J10:K10*$B$23:$C$23+J11:K11*$B$24:$C$24+J4:K4*($B$25:$C$25-$B$19:$C$19))/($B$9:$C$9*$B$22:$C$22+$B$10:$C$10*$B$23:$C$23+$B$11:$C$11*$B$24:$C$24+$B$4:$C$4*($B$25:$C$25-$B$19:$C$19))*(J9:K9*J22:K22+J10:K10*J23:K23+J11:K11*J24:K24+J4:K4*(J25:K25-J19:K19))/($B$9:$C$9*J22:K22+$B$10:$C$10*J23:K23+$B$11:$C$11*J24:K24+$B$4:$C$4*(J25:K25-J19:K19)))</f>
        <v>0.99808786593412335</v>
      </c>
      <c r="K65" s="191"/>
      <c r="L65" s="191">
        <f t="array" ref="L65">SQRT((L9:M9*$B$22:$C$22+L10:M10*$B$23:$C$23+L11:M11*$B$24:$C$24+L4:M4*($B$25:$C$25-$B$19:$C$19))/($B$9:$C$9*$B$22:$C$22+$B$10:$C$10*$B$23:$C$23+$B$11:$C$11*$B$24:$C$24+$B$4:$C$4*($B$25:$C$25-$B$19:$C$19))*(L9:M9*L22:M22+L10:M10*L23:M23+L11:M11*L24:M24+L4:M4*(L25:M25-L19:M19))/($B$9:$C$9*L22:M22+$B$10:$C$10*L23:M23+$B$11:$C$11*L24:M24+$B$4:$C$4*(L25:M25-L19:M19)))</f>
        <v>0.99765772223544213</v>
      </c>
      <c r="M65" s="191"/>
      <c r="N65" s="191">
        <f t="array" ref="N65">SQRT((N9:O9*$B$22:$C$22+N10:O10*$B$23:$C$23+N11:O11*$B$24:$C$24+N4:O4*($B$25:$C$25-$B$19:$C$19))/($B$9:$C$9*$B$22:$C$22+$B$10:$C$10*$B$23:$C$23+$B$11:$C$11*$B$24:$C$24+$B$4:$C$4*($B$25:$C$25-$B$19:$C$19))*(N9:O9*N22:O22+N10:O10*N23:O23+N11:O11*N24:O24+N4:O4*(N25:O25-N19:O19))/($B$9:$C$9*N22:O22+$B$10:$C$10*N23:O23+$B$11:$C$11*N24:O24+$B$4:$C$4*(N25:O25-N19:O19)))</f>
        <v>0.99724786785475161</v>
      </c>
      <c r="O65" s="191"/>
      <c r="P65" s="191">
        <f t="array" ref="P65">SQRT((P9:Q9*$B$22:$C$22+P10:Q10*$B$23:$C$23+P11:Q11*$B$24:$C$24+P4:Q4*($B$25:$C$25-$B$19:$C$19))/($B$9:$C$9*$B$22:$C$22+$B$10:$C$10*$B$23:$C$23+$B$11:$C$11*$B$24:$C$24+$B$4:$C$4*($B$25:$C$25-$B$19:$C$19))*(P9:Q9*P22:Q22+P10:Q10*P23:Q23+P11:Q11*P24:Q24+P4:Q4*(P25:Q25-P19:Q19))/($B$9:$C$9*P22:Q22+$B$10:$C$10*P23:Q23+$B$11:$C$11*P24:Q24+$B$4:$C$4*(P25:Q25-P19:Q19)))</f>
        <v>0.99685812222737602</v>
      </c>
      <c r="Q65" s="191"/>
      <c r="R65" s="191">
        <f t="array" ref="R65">SQRT((R9:S9*$B$22:$C$22+R10:S10*$B$23:$C$23+R11:S11*$B$24:$C$24+R4:S4*($B$25:$C$25-$B$19:$C$19))/($B$9:$C$9*$B$22:$C$22+$B$10:$C$10*$B$23:$C$23+$B$11:$C$11*$B$24:$C$24+$B$4:$C$4*($B$25:$C$25-$B$19:$C$19))*(R9:S9*R22:S22+R10:S10*R23:S23+R11:S11*R24:S24+R4:S4*(R25:S25-R19:S19))/($B$9:$C$9*R22:S22+$B$10:$C$10*R23:S23+$B$11:$C$11*R24:S24+$B$4:$C$4*(R25:S25-R19:S19)))</f>
        <v>0.99648676535291492</v>
      </c>
      <c r="S65" s="191"/>
      <c r="T65" s="191">
        <f t="array" ref="T65">SQRT((T9:U9*$B$22:$C$22+T10:U10*$B$23:$C$23+T11:U11*$B$24:$C$24+T4:U4*($B$25:$C$25-$B$19:$C$19))/($B$9:$C$9*$B$22:$C$22+$B$10:$C$10*$B$23:$C$23+$B$11:$C$11*$B$24:$C$24+$B$4:$C$4*($B$25:$C$25-$B$19:$C$19))*(T9:U9*T22:U22+T10:U10*T23:U23+T11:U11*T24:U24+T4:U4*(T25:U25-T19:U19))/($B$9:$C$9*T22:U22+$B$10:$C$10*T23:U23+$B$11:$C$11*T24:U24+$B$4:$C$4*(T25:U25-T19:U19)))</f>
        <v>0.99612841903924121</v>
      </c>
      <c r="U65" s="191"/>
      <c r="V65" s="191">
        <f t="array" ref="V65">SQRT((V9:W9*$B$22:$C$22+V10:W10*$B$23:$C$23+V11:W11*$B$24:$C$24+V4:W4*($B$25:$C$25-$B$19:$C$19))/($B$9:$C$9*$B$22:$C$22+$B$10:$C$10*$B$23:$C$23+$B$11:$C$11*$B$24:$C$24+$B$4:$C$4*($B$25:$C$25-$B$19:$C$19))*(V9:W9*V22:W22+V10:W10*V23:W23+V11:W11*V24:W24+V4:W4*(V25:W25-V19:W19))/($B$9:$C$9*V22:W22+$B$10:$C$10*V23:W23+$B$11:$C$11*V24:W24+$B$4:$C$4*(V25:W25-V19:W19)))</f>
        <v>0.99576905512594127</v>
      </c>
      <c r="W65" s="191"/>
      <c r="X65" s="191">
        <f t="array" ref="X65">SQRT((X9:Y9*$B$22:$C$22+X10:Y10*$B$23:$C$23+X11:Y11*$B$24:$C$24+X4:Y4*($B$25:$C$25-$B$19:$C$19))/($B$9:$C$9*$B$22:$C$22+$B$10:$C$10*$B$23:$C$23+$B$11:$C$11*$B$24:$C$24+$B$4:$C$4*($B$25:$C$25-$B$19:$C$19))*(X9:Y9*X22:Y22+X10:Y10*X23:Y23+X11:Y11*X24:Y24+X4:Y4*(X25:Y25-X19:Y19))/($B$9:$C$9*X22:Y22+$B$10:$C$10*X23:Y23+$B$11:$C$11*X24:Y24+$B$4:$C$4*(X25:Y25-X19:Y19)))</f>
        <v>0.9953725694569483</v>
      </c>
      <c r="Y65" s="191"/>
      <c r="Z65" s="191">
        <f t="array" ref="Z65">SQRT((Z9:AA9*$B$22:$C$22+Z10:AA10*$B$23:$C$23+Z11:AA11*$B$24:$C$24+Z4:AA4*($B$25:$C$25-$B$19:$C$19))/($B$9:$C$9*$B$22:$C$22+$B$10:$C$10*$B$23:$C$23+$B$11:$C$11*$B$24:$C$24+$B$4:$C$4*($B$25:$C$25-$B$19:$C$19))*(Z9:AA9*Z22:AA22+Z10:AA10*Z23:AA23+Z11:AA11*Z24:AA24+Z4:AA4*(Z25:AA25-Z19:AA19))/($B$9:$C$9*Z22:AA22+$B$10:$C$10*Z23:AA23+$B$11:$C$11*Z24:AA24+$B$4:$C$4*(Z25:AA25-Z19:AA19)))</f>
        <v>0.99483975988018258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0.99385124635093791</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0.99944447446471751</v>
      </c>
      <c r="E66" s="191"/>
      <c r="F66" s="191">
        <f t="array" ref="F66">SQRT((F9:G9*$B$22:$C$22)/($B$9:$C$9*$B$22:$C$22)*(F9:G9*F22:G22)/($B$9:$C$9*F22:G22))</f>
        <v>0.9989083183581452</v>
      </c>
      <c r="G66" s="191"/>
      <c r="H66" s="191">
        <f t="array" ref="H66">SQRT((H9:I9*$B$22:$C$22)/($B$9:$C$9*$B$22:$C$22)*(H9:I9*H22:I22)/($B$9:$C$9*H22:I22))</f>
        <v>0.99839228228727683</v>
      </c>
      <c r="I66" s="191"/>
      <c r="J66" s="191">
        <f t="array" ref="J66">SQRT((J9:K9*$B$22:$C$22)/($B$9:$C$9*$B$22:$C$22)*(J9:K9*J22:K22)/($B$9:$C$9*J22:K22))</f>
        <v>0.99789718262427851</v>
      </c>
      <c r="K66" s="191"/>
      <c r="L66" s="191">
        <f t="array" ref="L66">SQRT((L9:M9*$B$22:$C$22)/($B$9:$C$9*$B$22:$C$22)*(L9:M9*L22:M22)/($B$9:$C$9*L22:M22))</f>
        <v>0.99742378530902731</v>
      </c>
      <c r="M66" s="191"/>
      <c r="N66" s="191">
        <f t="array" ref="N66">SQRT((N9:O9*$B$22:$C$22)/($B$9:$C$9*$B$22:$C$22)*(N9:O9*N22:O22)/($B$9:$C$9*N22:O22))</f>
        <v>0.99697259984004738</v>
      </c>
      <c r="O66" s="191"/>
      <c r="P66" s="191">
        <f t="array" ref="P66">SQRT((P9:Q9*$B$22:$C$22)/($B$9:$C$9*$B$22:$C$22)*(P9:Q9*P22:Q22)/($B$9:$C$9*P22:Q22))</f>
        <v>0.99654344666983874</v>
      </c>
      <c r="Q66" s="191"/>
      <c r="R66" s="191">
        <f t="array" ref="R66">SQRT((R9:S9*$B$22:$C$22)/($B$9:$C$9*$B$22:$C$22)*(R9:S9*R22:S22)/($B$9:$C$9*R22:S22))</f>
        <v>0.99613444827864694</v>
      </c>
      <c r="S66" s="191"/>
      <c r="T66" s="191">
        <f t="array" ref="T66">SQRT((T9:U9*$B$22:$C$22)/($B$9:$C$9*$B$22:$C$22)*(T9:U9*T22:U22)/($B$9:$C$9*T22:U22))</f>
        <v>0.99573969163749154</v>
      </c>
      <c r="U66" s="191"/>
      <c r="V66" s="191">
        <f t="array" ref="V66">SQRT((V9:W9*$B$22:$C$22)/($B$9:$C$9*$B$22:$C$22)*(V9:W9*V22:W22)/($B$9:$C$9*V22:W22))</f>
        <v>0.99534371988105319</v>
      </c>
      <c r="W66" s="191"/>
      <c r="X66" s="191">
        <f t="array" ref="X66">SQRT((X9:Y9*$B$22:$C$22)/($B$9:$C$9*$B$22:$C$22)*(X9:Y9*X22:Y22)/($B$9:$C$9*X22:Y22))</f>
        <v>0.9949067133201831</v>
      </c>
      <c r="Y66" s="191"/>
      <c r="Z66" s="191">
        <f t="array" ref="Z66">SQRT((Z9:AA9*$B$22:$C$22)/($B$9:$C$9*$B$22:$C$22)*(Z9:AA9*Z22:AA22)/($B$9:$C$9*Z22:AA22))</f>
        <v>0.99431918860914537</v>
      </c>
      <c r="AA66" s="191"/>
      <c r="AB66" s="191">
        <f t="array" ref="AB66">SQRT((AB9:AC9*$B$22:$C$22)/($B$9:$C$9*$B$22:$C$22)*(AB9:AC9*AB22:AC22)/($B$9:$C$9*AB22:AC22))</f>
        <v>0.99322835335125526</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0.99944447446471751</v>
      </c>
      <c r="E68" s="191"/>
      <c r="F68" s="191">
        <f>F66/F67</f>
        <v>0.9989083183581452</v>
      </c>
      <c r="G68" s="191"/>
      <c r="H68" s="191">
        <f>H66/H67</f>
        <v>0.99839228228727683</v>
      </c>
      <c r="I68" s="191"/>
      <c r="J68" s="191">
        <f>J66/J67</f>
        <v>0.99789718262427851</v>
      </c>
      <c r="K68" s="191"/>
      <c r="L68" s="191">
        <f>L66/L67</f>
        <v>0.99742378530902731</v>
      </c>
      <c r="M68" s="191"/>
      <c r="N68" s="191">
        <f>N66/N67</f>
        <v>0.99697259984004738</v>
      </c>
      <c r="O68" s="191"/>
      <c r="P68" s="191">
        <f>P66/P67</f>
        <v>0.99654344666983874</v>
      </c>
      <c r="Q68" s="191"/>
      <c r="R68" s="191">
        <f>R66/R67</f>
        <v>0.99613444827864694</v>
      </c>
      <c r="S68" s="191"/>
      <c r="T68" s="191">
        <f>T66/T67</f>
        <v>0.99573969163749154</v>
      </c>
      <c r="U68" s="191"/>
      <c r="V68" s="191">
        <f>V66/V67</f>
        <v>0.99534371988105319</v>
      </c>
      <c r="W68" s="191"/>
      <c r="X68" s="191">
        <f>X66/X67</f>
        <v>0.9949067133201831</v>
      </c>
      <c r="Y68" s="191"/>
      <c r="Z68" s="191">
        <f>Z66/Z67</f>
        <v>0.99431918860914537</v>
      </c>
      <c r="AA68" s="191"/>
      <c r="AB68" s="191">
        <f>AB66/AB67</f>
        <v>0.99322835335125526</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0.98459577925399422</v>
      </c>
      <c r="E69" s="191"/>
      <c r="F69" s="191">
        <f>F32/F65/($B$32)</f>
        <v>0.96763021560775841</v>
      </c>
      <c r="G69" s="191"/>
      <c r="H69" s="191">
        <f>H32/H65/($B$32)</f>
        <v>0.94890608247187236</v>
      </c>
      <c r="I69" s="191"/>
      <c r="J69" s="191">
        <f>J32/J65/($B$32)</f>
        <v>0.92819349458476863</v>
      </c>
      <c r="K69" s="191"/>
      <c r="L69" s="191">
        <f>L32/L65/($B$32)</f>
        <v>0.90522428820700729</v>
      </c>
      <c r="M69" s="191"/>
      <c r="N69" s="191">
        <f>N32/N65/($B$32)</f>
        <v>0.87968626205352418</v>
      </c>
      <c r="O69" s="191"/>
      <c r="P69" s="191">
        <f>P32/P65/($B$32)</f>
        <v>0.85121873095792677</v>
      </c>
      <c r="Q69" s="191"/>
      <c r="R69" s="191">
        <f>R32/R65/($B$32)</f>
        <v>0.81941191707003069</v>
      </c>
      <c r="S69" s="191"/>
      <c r="T69" s="191">
        <f>T32/T65/($B$32)</f>
        <v>0.78381645511100273</v>
      </c>
      <c r="U69" s="191"/>
      <c r="V69" s="191">
        <f>V32/V65/($B$32)</f>
        <v>0.74398134477763078</v>
      </c>
      <c r="W69" s="191"/>
      <c r="X69" s="191">
        <f>X32/X65/($B$32)</f>
        <v>0.69956396693063594</v>
      </c>
      <c r="Y69" s="191"/>
      <c r="Z69" s="191">
        <f>Z32/Z65/($B$32)</f>
        <v>0.65066100599900678</v>
      </c>
      <c r="AA69" s="191"/>
      <c r="AB69" s="191">
        <f>AB32/AB65/($B$32)</f>
        <v>0.59899088840641168</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0.98360116284581567</v>
      </c>
      <c r="E70" s="138"/>
      <c r="F70" s="138">
        <f>F18/$B$18</f>
        <v>0.96565910056302184</v>
      </c>
      <c r="G70" s="138"/>
      <c r="H70" s="138">
        <f>H18/$B$18</f>
        <v>0.94598273528771193</v>
      </c>
      <c r="I70" s="138"/>
      <c r="J70" s="138">
        <f>J18/$B$18</f>
        <v>0.92434972521231662</v>
      </c>
      <c r="K70" s="138"/>
      <c r="L70" s="138">
        <f>L18/$B$18</f>
        <v>0.90050124994073277</v>
      </c>
      <c r="M70" s="138"/>
      <c r="N70" s="138">
        <f>N18/$B$18</f>
        <v>0.87413671093065337</v>
      </c>
      <c r="O70" s="138"/>
      <c r="P70" s="138">
        <f>P18/$B$18</f>
        <v>0.84490984135898062</v>
      </c>
      <c r="Q70" s="138"/>
      <c r="R70" s="138">
        <f>R18/$B$18</f>
        <v>0.81242881866417127</v>
      </c>
      <c r="S70" s="138"/>
      <c r="T70" s="138">
        <f>T18/$B$18</f>
        <v>0.77626668647934094</v>
      </c>
      <c r="U70" s="138"/>
      <c r="V70" s="138">
        <f>V18/$B$18</f>
        <v>0.73600027662934076</v>
      </c>
      <c r="W70" s="138"/>
      <c r="X70" s="138">
        <f>X18/$B$18</f>
        <v>0.69132163402853275</v>
      </c>
      <c r="Y70" s="138"/>
      <c r="Z70" s="138">
        <f>Z18/$B$18</f>
        <v>0.64237174230203586</v>
      </c>
      <c r="AA70" s="138"/>
      <c r="AB70" s="138">
        <f>AB18/$B$18</f>
        <v>0.59093504920940443</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0.94114114490327416</v>
      </c>
      <c r="E71" s="138"/>
      <c r="F71" s="138">
        <f>G18/$C$18</f>
        <v>0.88292363225621084</v>
      </c>
      <c r="G71" s="138"/>
      <c r="H71" s="138">
        <f>I18/$C$18</f>
        <v>0.82538679494104727</v>
      </c>
      <c r="I71" s="138"/>
      <c r="J71" s="138">
        <f>K18/$C$18</f>
        <v>0.76857322277339724</v>
      </c>
      <c r="K71" s="138"/>
      <c r="L71" s="138">
        <f>M18/$C$18</f>
        <v>0.71252946134899087</v>
      </c>
      <c r="M71" s="138"/>
      <c r="N71" s="138">
        <f>O18/$C$18</f>
        <v>0.65730445858250952</v>
      </c>
      <c r="O71" s="138"/>
      <c r="P71" s="138">
        <f>Q18/$C$18</f>
        <v>0.60294621884067645</v>
      </c>
      <c r="Q71" s="138"/>
      <c r="R71" s="138">
        <f>S18/$C$18</f>
        <v>0.54949536316870273</v>
      </c>
      <c r="S71" s="138"/>
      <c r="T71" s="138">
        <f>U18/$C$18</f>
        <v>0.49697066294526199</v>
      </c>
      <c r="U71" s="138"/>
      <c r="V71" s="138">
        <f>W18/$C$18</f>
        <v>0.4453354152764738</v>
      </c>
      <c r="W71" s="138"/>
      <c r="X71" s="138">
        <f>Y18/$C$18</f>
        <v>0.39441572416905241</v>
      </c>
      <c r="Y71" s="138"/>
      <c r="Z71" s="138">
        <f>AA18/$C$18</f>
        <v>0.34366696875940567</v>
      </c>
      <c r="AA71" s="138"/>
      <c r="AB71" s="138">
        <f>AC18/$C$18</f>
        <v>0.29133081770179869</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0.9825997008368027</v>
      </c>
      <c r="E72" s="138"/>
      <c r="F72" s="138">
        <f>G19/$C$19</f>
        <v>0.96350638516526343</v>
      </c>
      <c r="G72" s="138"/>
      <c r="H72" s="138">
        <f>I19/$C$19</f>
        <v>0.94252648046192389</v>
      </c>
      <c r="I72" s="138"/>
      <c r="J72" s="138">
        <f>K19/$C$19</f>
        <v>0.91943927005108639</v>
      </c>
      <c r="K72" s="138"/>
      <c r="L72" s="138">
        <f>M19/$C$19</f>
        <v>0.8939996851945966</v>
      </c>
      <c r="M72" s="138"/>
      <c r="N72" s="138">
        <f>O19/$C$19</f>
        <v>0.86594091716420873</v>
      </c>
      <c r="O72" s="138"/>
      <c r="P72" s="138">
        <f>Q19/$C$19</f>
        <v>0.83498449533326102</v>
      </c>
      <c r="Q72" s="138"/>
      <c r="R72" s="138">
        <f>S19/$C$19</f>
        <v>0.80086974679234635</v>
      </c>
      <c r="S72" s="138"/>
      <c r="T72" s="138">
        <f>U19/$C$19</f>
        <v>0.76342288225664623</v>
      </c>
      <c r="U72" s="138"/>
      <c r="V72" s="138">
        <f>W19/$C$19</f>
        <v>0.72271472097998024</v>
      </c>
      <c r="W72" s="138"/>
      <c r="X72" s="138">
        <f>Y19/$C$19</f>
        <v>0.67946771267923034</v>
      </c>
      <c r="Y72" s="138"/>
      <c r="Z72" s="138">
        <f>AA19/$C$19</f>
        <v>0.63624317414827425</v>
      </c>
      <c r="AA72" s="138"/>
      <c r="AB72" s="138">
        <f>AC19/$C$19</f>
        <v>0.60191220200553808</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0.4764115368368631</v>
      </c>
      <c r="E73" s="138"/>
      <c r="F73" s="193">
        <f t="array" ref="F73">SUM(F9:G9*F22:G22)/F32</f>
        <v>0.47641153532819269</v>
      </c>
      <c r="G73" s="138"/>
      <c r="H73" s="193">
        <f t="array" ref="H73">SUM(H9:I9*H22:I22)/H32</f>
        <v>0.47641153926133023</v>
      </c>
      <c r="I73" s="138"/>
      <c r="J73" s="193">
        <f t="array" ref="J73">SUM(J9:K9*J22:K22)/J32</f>
        <v>0.47641153776307282</v>
      </c>
      <c r="K73" s="138"/>
      <c r="L73" s="193">
        <f t="array" ref="L73">SUM(L9:M9*L22:M22)/L32</f>
        <v>0.47641153414725429</v>
      </c>
      <c r="M73" s="138"/>
      <c r="N73" s="193">
        <f t="array" ref="N73">SUM(N9:O9*N22:O22)/N32</f>
        <v>0.47641153404429337</v>
      </c>
      <c r="O73" s="138"/>
      <c r="P73" s="193">
        <f t="array" ref="P73">SUM(P9:Q9*P22:Q22)/P32</f>
        <v>0.4764115349549104</v>
      </c>
      <c r="Q73" s="138"/>
      <c r="R73" s="193">
        <f t="array" ref="R73">SUM(R9:S9*R22:S22)/R32</f>
        <v>0.47641153391893964</v>
      </c>
      <c r="S73" s="138"/>
      <c r="T73" s="193">
        <f t="array" ref="T73">SUM(T9:U9*T22:U22)/T32</f>
        <v>0.47641153309306233</v>
      </c>
      <c r="U73" s="138"/>
      <c r="V73" s="193">
        <f t="array" ref="V73">SUM(V9:W9*V22:W22)/V32</f>
        <v>0.47641153270978337</v>
      </c>
      <c r="W73" s="138"/>
      <c r="X73" s="193">
        <f t="array" ref="X73">SUM(X9:Y9*X22:Y22)/X32</f>
        <v>0.47641153365209543</v>
      </c>
      <c r="Y73" s="138"/>
      <c r="Z73" s="193">
        <f t="array" ref="Z73">SUM(Z9:AA9*Z22:AA22)/Z32</f>
        <v>0.47641153298403027</v>
      </c>
      <c r="AA73" s="138"/>
      <c r="AB73" s="193">
        <f t="array" ref="AB73">SUM(AB9:AC9*AB22:AC22)/AB32</f>
        <v>0.47641153486205123</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0.22604620456442481</v>
      </c>
      <c r="O74" s="138"/>
      <c r="P74" s="193">
        <f t="array" ref="P74">SUM(P10:Q10*P23:Q23)/P32</f>
        <v>0.22604620456442481</v>
      </c>
      <c r="Q74" s="138"/>
      <c r="R74" s="193">
        <f t="array" ref="R74">SUM(R10:S10*R23:S23)/R32</f>
        <v>0.22604620456442481</v>
      </c>
      <c r="S74" s="138"/>
      <c r="T74" s="193">
        <f t="array" ref="T74">SUM(T10:U10*T23:U23)/T32</f>
        <v>0.22604620456442481</v>
      </c>
      <c r="U74" s="138"/>
      <c r="V74" s="193">
        <f t="array" ref="V74">SUM(V10:W10*V23:W23)/V32</f>
        <v>0.22604620456442481</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0.22038438850793624</v>
      </c>
      <c r="E75" s="138"/>
      <c r="F75" s="193">
        <f t="array" ref="F75">SUM(F11:G11*F24:G24)/F32</f>
        <v>0.22038438840045271</v>
      </c>
      <c r="G75" s="138"/>
      <c r="H75" s="193">
        <f t="array" ref="H75">SUM(H11:I11*H24:I24)/H32</f>
        <v>0.22038438845961072</v>
      </c>
      <c r="I75" s="138"/>
      <c r="J75" s="193">
        <f t="array" ref="J75">SUM(J11:K11*J24:K24)/J32</f>
        <v>0.22038438837168878</v>
      </c>
      <c r="K75" s="138"/>
      <c r="L75" s="193">
        <f t="array" ref="L75">SUM(L11:M11*L24:M24)/L32</f>
        <v>0.22038438826127188</v>
      </c>
      <c r="M75" s="138"/>
      <c r="N75" s="193">
        <f t="array" ref="N75">SUM(N11:O11*N24:O24)/N32</f>
        <v>0.2203843882565851</v>
      </c>
      <c r="O75" s="138"/>
      <c r="P75" s="193">
        <f t="array" ref="P75">SUM(P11:Q11*P24:Q24)/P32</f>
        <v>0.22038438828173354</v>
      </c>
      <c r="Q75" s="138"/>
      <c r="R75" s="193">
        <f t="array" ref="R75">SUM(R11:S11*R24:S24)/R32</f>
        <v>0.2203843881973859</v>
      </c>
      <c r="S75" s="138"/>
      <c r="T75" s="193">
        <f t="array" ref="T75">SUM(T11:U11*T24:U24)/T32</f>
        <v>0.22038438848310471</v>
      </c>
      <c r="U75" s="138"/>
      <c r="V75" s="193">
        <f t="array" ref="V75">SUM(V11:W11*V24:W24)/V32</f>
        <v>0.22038438875388652</v>
      </c>
      <c r="W75" s="138"/>
      <c r="X75" s="193">
        <f t="array" ref="X75">SUM(X11:Y11*X24:Y24)/X32</f>
        <v>0.22038438834819851</v>
      </c>
      <c r="Y75" s="138"/>
      <c r="Z75" s="193">
        <f t="array" ref="Z75">SUM(Z11:AA11*Z24:AA24)/Z32</f>
        <v>0.22038438853326342</v>
      </c>
      <c r="AA75" s="138"/>
      <c r="AB75" s="193">
        <f t="array" ref="AB75">SUM(AB11:AC11*AB24:AC24)/AB32</f>
        <v>0.22038438808747929</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0.22275638021450597</v>
      </c>
      <c r="E76" s="138"/>
      <c r="F76" s="193">
        <f t="array" ref="F76">SUM(F12:G12*F25:G25)/F32</f>
        <v>0.2224917308401588</v>
      </c>
      <c r="G76" s="138"/>
      <c r="H76" s="193">
        <f t="array" ref="H76">SUM(H12:I12*H25:I25)/H32</f>
        <v>0.22222453983908555</v>
      </c>
      <c r="I76" s="138"/>
      <c r="J76" s="193">
        <f t="array" ref="J76">SUM(J12:K12*J25:K25)/J32</f>
        <v>0.22195461034428013</v>
      </c>
      <c r="K76" s="138"/>
      <c r="L76" s="193">
        <f t="array" ref="L76">SUM(L12:M12*L25:M25)/L32</f>
        <v>0.22168191256913325</v>
      </c>
      <c r="M76" s="138"/>
      <c r="N76" s="193">
        <f t="array" ref="N76">SUM(N12:O12*N25:O25)/N32</f>
        <v>0.2214067493229824</v>
      </c>
      <c r="O76" s="138"/>
      <c r="P76" s="193">
        <f t="array" ref="P76">SUM(P12:Q12*P25:Q25)/P32</f>
        <v>0.22113005917027784</v>
      </c>
      <c r="Q76" s="138"/>
      <c r="R76" s="193">
        <f t="array" ref="R76">SUM(R12:S12*R25:S25)/R32</f>
        <v>0.22085406929464058</v>
      </c>
      <c r="S76" s="138"/>
      <c r="T76" s="193">
        <f t="array" ref="T76">SUM(T12:U12*T25:U25)/T32</f>
        <v>0.22058372652542227</v>
      </c>
      <c r="U76" s="138"/>
      <c r="V76" s="193">
        <f t="array" ref="V76">SUM(V12:W12*V25:W25)/V32</f>
        <v>0.220329880344725</v>
      </c>
      <c r="W76" s="138"/>
      <c r="X76" s="193">
        <f t="array" ref="X76">SUM(X12:Y12*X25:Y25)/X32</f>
        <v>0.22011769708058948</v>
      </c>
      <c r="Y76" s="138"/>
      <c r="Z76" s="193">
        <f t="array" ref="Z76">SUM(Z12:AA12*Z25:AA25)/Z32</f>
        <v>0.22001226970786283</v>
      </c>
      <c r="AA76" s="138"/>
      <c r="AB76" s="193">
        <f t="array" ref="AB76">SUM(AB12:AC12*AB25:AC25)/AB32</f>
        <v>0.22021914209703944</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0.14559851012373004</v>
      </c>
      <c r="E77" s="138"/>
      <c r="F77" s="193">
        <f t="array" ref="F77">SUM(F4:G4*F19:G19)/F32</f>
        <v>0.14533385913322888</v>
      </c>
      <c r="G77" s="138"/>
      <c r="H77" s="193">
        <f t="array" ref="H77">SUM(H4:I4*H19:I19)/H32</f>
        <v>0.14506667212445135</v>
      </c>
      <c r="I77" s="138"/>
      <c r="J77" s="193">
        <f t="array" ref="J77">SUM(J4:K4*J19:K19)/J32</f>
        <v>0.14479674104346638</v>
      </c>
      <c r="K77" s="138"/>
      <c r="L77" s="193">
        <f t="array" ref="L77">SUM(L4:M4*L19:M19)/L32</f>
        <v>0.14452403954208407</v>
      </c>
      <c r="M77" s="138"/>
      <c r="N77" s="193">
        <f t="array" ref="N77">SUM(N4:O4*N19:O19)/N32</f>
        <v>0.1442488761882858</v>
      </c>
      <c r="O77" s="138"/>
      <c r="P77" s="193">
        <f t="array" ref="P77">SUM(P4:Q4*P19:Q19)/P32</f>
        <v>0.14397218697134639</v>
      </c>
      <c r="Q77" s="138"/>
      <c r="R77" s="193">
        <f t="array" ref="R77">SUM(R4:S4*R19:S19)/R32</f>
        <v>0.14369619597539082</v>
      </c>
      <c r="S77" s="138"/>
      <c r="T77" s="193">
        <f t="array" ref="T77">SUM(T4:U4*T19:U19)/T32</f>
        <v>0.14342585266601407</v>
      </c>
      <c r="U77" s="138"/>
      <c r="V77" s="193">
        <f t="array" ref="V77">SUM(V4:W4*V19:W19)/V32</f>
        <v>0.14317200637281952</v>
      </c>
      <c r="W77" s="138"/>
      <c r="X77" s="193">
        <f t="array" ref="X77">SUM(X4:Y4*X19:Y19)/X32</f>
        <v>0.14295982364530835</v>
      </c>
      <c r="Y77" s="138"/>
      <c r="Z77" s="193">
        <f t="array" ref="Z77">SUM(Z4:AA4*Z19:AA19)/Z32</f>
        <v>0.1428543957895812</v>
      </c>
      <c r="AA77" s="138"/>
      <c r="AB77" s="193">
        <f t="array" ref="AB77">SUM(AB4:AC4*AB19:AC19)/AB32</f>
        <v>0.14306126961099477</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0.34240201391626091</v>
      </c>
      <c r="E78" s="138"/>
      <c r="F78" s="193">
        <f t="array" ref="F78">SUM(F13:G13*F26:G26)/F32</f>
        <v>0.33789374895405189</v>
      </c>
      <c r="G78" s="138"/>
      <c r="H78" s="193">
        <f t="array" ref="H78">SUM(H13:I13*H26:I26)/H32</f>
        <v>0.33336545630475783</v>
      </c>
      <c r="I78" s="138"/>
      <c r="J78" s="193">
        <f t="array" ref="J78">SUM(J13:K13*J26:K26)/J32</f>
        <v>0.3288211714346686</v>
      </c>
      <c r="K78" s="138"/>
      <c r="L78" s="193">
        <f t="array" ref="L78">SUM(L13:M13*L26:M26)/L32</f>
        <v>0.3242668526886362</v>
      </c>
      <c r="M78" s="138"/>
      <c r="N78" s="193">
        <f t="array" ref="N78">SUM(N13:O13*N26:O26)/N32</f>
        <v>0.31971127234249069</v>
      </c>
      <c r="O78" s="138"/>
      <c r="P78" s="193">
        <f t="array" ref="P78">SUM(P13:Q13*P26:Q26)/P32</f>
        <v>0.31516727647515946</v>
      </c>
      <c r="Q78" s="138"/>
      <c r="R78" s="193">
        <f t="array" ref="R78">SUM(R13:S13*R26:S26)/R32</f>
        <v>0.31065378626891532</v>
      </c>
      <c r="S78" s="138"/>
      <c r="T78" s="193">
        <f t="array" ref="T78">SUM(T13:U13*T26:U26)/T32</f>
        <v>0.30619934583205605</v>
      </c>
      <c r="U78" s="138"/>
      <c r="V78" s="193">
        <f t="array" ref="V78">SUM(V13:W13*V26:W26)/V32</f>
        <v>0.30184806643123607</v>
      </c>
      <c r="W78" s="138"/>
      <c r="X78" s="193">
        <f t="array" ref="X78">SUM(X13:Y13*X26:Y26)/X32</f>
        <v>0.29767260167301096</v>
      </c>
      <c r="Y78" s="138"/>
      <c r="Z78" s="193">
        <f t="array" ref="Z78">SUM(Z13:AA13*Z26:AA26)/Z32</f>
        <v>0.2938075542748918</v>
      </c>
      <c r="AA78" s="138"/>
      <c r="AB78" s="193">
        <f t="array" ref="AB78">SUM(AB13:AC13*AB26:AC26)/AB32</f>
        <v>0.29056628350529651</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0.45460968782439864</v>
      </c>
      <c r="D79" s="193">
        <f t="array" ref="D79">SUM(D15:E15*D27:E27)/D32</f>
        <v>0.45915771913428288</v>
      </c>
      <c r="F79" s="193">
        <f t="array" ref="F79">SUM(F15:G15*F27:G27)/F32</f>
        <v>0.4637287341913085</v>
      </c>
      <c r="H79" s="193">
        <f t="array" ref="H79">SUM(H15:I15*H27:I27)/H32</f>
        <v>0.46832004012589296</v>
      </c>
      <c r="J79" s="193">
        <f t="array" ref="J79">SUM(J15:K15*J27:K27)/J32</f>
        <v>0.47292757580588463</v>
      </c>
      <c r="L79" s="193">
        <f t="array" ref="L79">SUM(L15:M15*L27:M27)/L32</f>
        <v>0.47754533852784631</v>
      </c>
      <c r="N79" s="193">
        <f t="array" ref="N79">SUM(N15:O15*N27:O27)/N32</f>
        <v>0.48216434660323171</v>
      </c>
      <c r="P79" s="193">
        <f t="array" ref="P79">SUM(P15:Q15*P27:Q27)/P32</f>
        <v>0.48677154316300719</v>
      </c>
      <c r="R79" s="193">
        <f t="array" ref="R79">SUM(R15:S15*R27:S27)/R32</f>
        <v>0.49134798307279082</v>
      </c>
      <c r="T79" s="193">
        <f t="array" ref="T79">SUM(T15:U15*T27:U27)/T32</f>
        <v>0.49586430064751041</v>
      </c>
      <c r="V79" s="193">
        <f t="array" ref="V79">SUM(V15:W15*V27:W27)/V32</f>
        <v>0.50027597920267164</v>
      </c>
      <c r="X79" s="193">
        <f t="array" ref="X79">SUM(X15:Y15*X27:Y27)/X32</f>
        <v>0.50450977488303095</v>
      </c>
      <c r="Z79" s="193">
        <f t="array" ref="Z79">SUM(Z15:AA15*Z27:AA27)/Z32</f>
        <v>0.5084285701117206</v>
      </c>
      <c r="AB79" s="193">
        <f t="array" ref="AB79">SUM(AB15:AC15*AB27:AC27)/AB32</f>
        <v>0.51171510730748671</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0.19844027702738679</v>
      </c>
      <c r="F80" s="236">
        <f>F55</f>
        <v>0.1983775166281728</v>
      </c>
      <c r="H80" s="236">
        <f>H55</f>
        <v>0.19831448141270483</v>
      </c>
      <c r="J80" s="236">
        <f>J55</f>
        <v>0.19825121993062497</v>
      </c>
      <c r="L80" s="236">
        <f>L55</f>
        <v>0.19818781432527349</v>
      </c>
      <c r="N80" s="236">
        <f>N55</f>
        <v>0.19812439540890506</v>
      </c>
      <c r="P80" s="236">
        <f>P55</f>
        <v>0.19806114184965801</v>
      </c>
      <c r="R80" s="236">
        <f>R55</f>
        <v>0.1979983027216011</v>
      </c>
      <c r="T80" s="236">
        <f>T55</f>
        <v>0.1979362997129106</v>
      </c>
      <c r="V80" s="236">
        <f>V55</f>
        <v>0.19787573233959901</v>
      </c>
      <c r="X80" s="236">
        <f>X55</f>
        <v>0.19781759654765083</v>
      </c>
      <c r="Z80" s="236">
        <f>Z55</f>
        <v>0.19776379255157425</v>
      </c>
      <c r="AB80" s="236">
        <f>AB55</f>
        <v>0.19771866677125949</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-2.7605927537038062E-2</v>
      </c>
      <c r="F81" s="236">
        <f>F51/F$32</f>
        <v>-2.7668687936252049E-2</v>
      </c>
      <c r="H81" s="236">
        <f>H51/H$32</f>
        <v>-2.7731723151720025E-2</v>
      </c>
      <c r="J81" s="236">
        <f>J51/J$32</f>
        <v>-2.7794984633799865E-2</v>
      </c>
      <c r="L81" s="236">
        <f>L51/L$32</f>
        <v>-2.7858390239151338E-2</v>
      </c>
      <c r="N81" s="236">
        <f>N51/N$32</f>
        <v>-2.7921809155519763E-2</v>
      </c>
      <c r="P81" s="236">
        <f>P51/P$32</f>
        <v>-2.7985062714766824E-2</v>
      </c>
      <c r="R81" s="236">
        <f>R51/R$32</f>
        <v>-2.8047901842823734E-2</v>
      </c>
      <c r="T81" s="236">
        <f>T51/T$32</f>
        <v>-2.8109904851514222E-2</v>
      </c>
      <c r="V81" s="236">
        <f>V51/V$32</f>
        <v>-2.8170472224825799E-2</v>
      </c>
      <c r="X81" s="236">
        <f>X51/X$32</f>
        <v>-2.8228608016773998E-2</v>
      </c>
      <c r="Z81" s="236">
        <f>Z51/Z$32</f>
        <v>-2.8282412012850582E-2</v>
      </c>
      <c r="AB81" s="236">
        <f>AB51/AB$32</f>
        <v>-2.8327537793165349E-2</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0.13728018709901585</v>
      </c>
      <c r="F82" s="236">
        <f>F52/F$32</f>
        <v>0.13547267595027784</v>
      </c>
      <c r="H82" s="236">
        <f>H52/H$32</f>
        <v>0.13365713504552656</v>
      </c>
      <c r="J82" s="236">
        <f>J52/J$32</f>
        <v>0.13183518233543054</v>
      </c>
      <c r="L82" s="236">
        <f>L52/L$32</f>
        <v>0.13000920671568203</v>
      </c>
      <c r="N82" s="236">
        <f>N52/N$32</f>
        <v>0.12818272527910843</v>
      </c>
      <c r="P82" s="236">
        <f>P52/P$32</f>
        <v>0.12636088843968804</v>
      </c>
      <c r="R82" s="236">
        <f>R52/R$32</f>
        <v>0.12455128231939719</v>
      </c>
      <c r="T82" s="236">
        <f>T52/T$32</f>
        <v>0.12276535118657678</v>
      </c>
      <c r="V82" s="236">
        <f>V52/V$32</f>
        <v>0.12102078069345241</v>
      </c>
      <c r="X82" s="236">
        <f>X52/X$32</f>
        <v>0.1193467000515825</v>
      </c>
      <c r="Z82" s="236">
        <f>Z52/Z$32</f>
        <v>0.11779707590103609</v>
      </c>
      <c r="AB82" s="236">
        <f>AB52/AB$32</f>
        <v>0.11649754424057854</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0.18600714462929618</v>
      </c>
      <c r="D83" s="236">
        <f>D53/D$32</f>
        <v>0.18786800756357439</v>
      </c>
      <c r="F83" s="236">
        <f>F53/F$32</f>
        <v>0.18973827447953873</v>
      </c>
      <c r="H83" s="236">
        <f>H53/H$32</f>
        <v>0.19161684356832923</v>
      </c>
      <c r="J83" s="236">
        <f>J53/J$32</f>
        <v>0.193502053185648</v>
      </c>
      <c r="L83" s="236">
        <f>L53/L$32</f>
        <v>0.19539144727796987</v>
      </c>
      <c r="N83" s="236">
        <f>N53/N$32</f>
        <v>0.19728135091648177</v>
      </c>
      <c r="P83" s="236">
        <f>P53/P$32</f>
        <v>0.19916642178008548</v>
      </c>
      <c r="R83" s="236">
        <f>R53/R$32</f>
        <v>0.2010389083174054</v>
      </c>
      <c r="T83" s="236">
        <f>T53/T$32</f>
        <v>0.20288679532644158</v>
      </c>
      <c r="V83" s="236">
        <f>V53/V$32</f>
        <v>0.20469186845410625</v>
      </c>
      <c r="X83" s="236">
        <f>X53/X$32</f>
        <v>0.20642415939849035</v>
      </c>
      <c r="Z83" s="236">
        <f>Z53/Z$32</f>
        <v>0.20802756541995868</v>
      </c>
      <c r="AB83" s="236">
        <f>AB53/AB$32</f>
        <v>0.20937227807319753</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topLeftCell="AM1"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3.4329412891687047E-2</v>
      </c>
      <c r="E2" s="227"/>
      <c r="F2" s="226">
        <v>6.5272919849351421E-2</v>
      </c>
      <c r="G2" s="227"/>
      <c r="H2" s="226">
        <v>9.894330995358934E-2</v>
      </c>
      <c r="I2" s="227"/>
      <c r="J2" s="226">
        <v>0.13575348366790152</v>
      </c>
      <c r="K2" s="227"/>
      <c r="L2" s="226">
        <v>0.17620817837857161</v>
      </c>
      <c r="M2" s="227"/>
      <c r="N2" s="226">
        <v>0.22093251656763291</v>
      </c>
      <c r="O2" s="227"/>
      <c r="P2" s="226">
        <v>0.27071080956303667</v>
      </c>
      <c r="Q2" s="227"/>
      <c r="R2" s="226">
        <v>0.3265424744879114</v>
      </c>
      <c r="S2" s="227"/>
      <c r="T2" s="226">
        <v>0.38972318471501421</v>
      </c>
      <c r="U2" s="227"/>
      <c r="V2" s="226">
        <v>0.46196614398460667</v>
      </c>
      <c r="W2" s="227"/>
      <c r="X2" s="226">
        <v>0.54558784951091899</v>
      </c>
      <c r="Y2" s="227"/>
      <c r="Z2" s="226">
        <v>0.64380210416473915</v>
      </c>
      <c r="AA2" s="227"/>
      <c r="AB2" s="226">
        <v>0.76119840991715693</v>
      </c>
      <c r="AC2" s="227"/>
      <c r="AD2" s="226">
        <v>0.9045469863585297</v>
      </c>
      <c r="AE2" s="227"/>
      <c r="AF2" s="226">
        <v>1.0841879005104624</v>
      </c>
      <c r="AG2" s="227"/>
      <c r="AH2" s="226">
        <v>1.3164506840180725</v>
      </c>
      <c r="AI2" s="227"/>
      <c r="AJ2" s="226">
        <v>1.6277027135394759</v>
      </c>
      <c r="AK2" s="227"/>
      <c r="AL2" s="226">
        <v>2.0598782667121989</v>
      </c>
      <c r="AM2" s="227"/>
      <c r="AN2" s="226">
        <v>2.6722208079807093</v>
      </c>
      <c r="AO2" s="227"/>
      <c r="AP2" s="226">
        <v>2.8218410642448011</v>
      </c>
      <c r="AQ2" s="227"/>
      <c r="AR2" s="226">
        <v>2.9813834866720024</v>
      </c>
      <c r="AS2" s="227"/>
      <c r="AT2" s="226">
        <v>3.151010647438401</v>
      </c>
      <c r="AU2" s="227"/>
      <c r="AV2" s="226">
        <v>3.3307345789872422</v>
      </c>
      <c r="AW2" s="227"/>
    </row>
    <row r="3" spans="1:49" x14ac:dyDescent="0.2">
      <c r="A3" t="s">
        <v>12</v>
      </c>
      <c r="B3" s="84">
        <v>1000</v>
      </c>
      <c r="C3" s="85">
        <v>1000</v>
      </c>
      <c r="D3" s="84">
        <v>999.28205279128792</v>
      </c>
      <c r="E3" s="85">
        <v>1013.2313958331561</v>
      </c>
      <c r="F3" s="84">
        <v>998.56393851196185</v>
      </c>
      <c r="G3" s="85">
        <v>1027.6496948752899</v>
      </c>
      <c r="H3" s="84">
        <v>997.84512328279197</v>
      </c>
      <c r="I3" s="85">
        <v>1043.4260662576496</v>
      </c>
      <c r="J3" s="84">
        <v>997.12500812154076</v>
      </c>
      <c r="K3" s="85">
        <v>1060.7674412528638</v>
      </c>
      <c r="L3" s="84">
        <v>996.4029225313235</v>
      </c>
      <c r="M3" s="85">
        <v>1079.9262910276504</v>
      </c>
      <c r="N3" s="84">
        <v>995.67816967576891</v>
      </c>
      <c r="O3" s="85">
        <v>1101.2144525062911</v>
      </c>
      <c r="P3" s="84">
        <v>994.95006472056139</v>
      </c>
      <c r="Q3" s="85">
        <v>1125.0216835869446</v>
      </c>
      <c r="R3" s="84">
        <v>994.21804085892859</v>
      </c>
      <c r="S3" s="85">
        <v>1151.8421055489962</v>
      </c>
      <c r="T3" s="84">
        <v>993.48183065478554</v>
      </c>
      <c r="U3" s="85">
        <v>1182.3119830958806</v>
      </c>
      <c r="V3" s="84">
        <v>992.74180004714856</v>
      </c>
      <c r="W3" s="85">
        <v>1217.2652817805788</v>
      </c>
      <c r="X3" s="84">
        <v>991.99954006507744</v>
      </c>
      <c r="Y3" s="85">
        <v>1257.8170267467474</v>
      </c>
      <c r="Z3" s="84">
        <v>991.25893016227121</v>
      </c>
      <c r="AA3" s="85">
        <v>1305.4917341979835</v>
      </c>
      <c r="AB3" s="84">
        <v>990.52804993670293</v>
      </c>
      <c r="AC3" s="85">
        <v>1362.4267067456535</v>
      </c>
      <c r="AD3" s="84">
        <v>989.82261165053069</v>
      </c>
      <c r="AE3" s="85">
        <v>1431.70100362223</v>
      </c>
      <c r="AF3" s="84">
        <v>989.17206277406171</v>
      </c>
      <c r="AG3" s="85">
        <v>1517.8764673870521</v>
      </c>
      <c r="AH3" s="84">
        <v>988.62994756037608</v>
      </c>
      <c r="AI3" s="85">
        <v>1627.8792528863082</v>
      </c>
      <c r="AJ3" s="84">
        <v>988.28910369775326</v>
      </c>
      <c r="AK3" s="85">
        <v>1772.3242800033377</v>
      </c>
      <c r="AL3" s="84">
        <v>988.29372251299196</v>
      </c>
      <c r="AM3" s="85">
        <v>1966.9097876079663</v>
      </c>
      <c r="AN3" s="84">
        <v>988.81059790939446</v>
      </c>
      <c r="AO3" s="85">
        <v>2231.3951877476993</v>
      </c>
      <c r="AP3" s="84">
        <v>988.98451564483298</v>
      </c>
      <c r="AQ3" s="85">
        <v>2294.224333804354</v>
      </c>
      <c r="AR3" s="84">
        <v>989.18131724110742</v>
      </c>
      <c r="AS3" s="85">
        <v>2360.5185333574245</v>
      </c>
      <c r="AT3" s="84">
        <v>989.3996518636352</v>
      </c>
      <c r="AU3" s="85">
        <v>2430.251994946163</v>
      </c>
      <c r="AV3" s="84">
        <v>989.63759752950284</v>
      </c>
      <c r="AW3" s="85">
        <v>2503.3406075858952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999.24654930868701</v>
      </c>
      <c r="E5" s="42">
        <v>1011.5438277849557</v>
      </c>
      <c r="F5" s="41">
        <v>998.49269570152592</v>
      </c>
      <c r="G5" s="42">
        <v>1023.9554916395267</v>
      </c>
      <c r="H5" s="41">
        <v>997.7378777835047</v>
      </c>
      <c r="I5" s="42">
        <v>1037.3371616987577</v>
      </c>
      <c r="J5" s="41">
        <v>996.98146510182653</v>
      </c>
      <c r="K5" s="42">
        <v>1051.8079262181798</v>
      </c>
      <c r="L5" s="41">
        <v>996.22275122470501</v>
      </c>
      <c r="M5" s="42">
        <v>1067.507178587683</v>
      </c>
      <c r="N5" s="41">
        <v>995.46100119518258</v>
      </c>
      <c r="O5" s="42">
        <v>1084.5992362952945</v>
      </c>
      <c r="P5" s="41">
        <v>994.69549173372206</v>
      </c>
      <c r="Q5" s="42">
        <v>1103.2786955325573</v>
      </c>
      <c r="R5" s="41">
        <v>993.92562279246374</v>
      </c>
      <c r="S5" s="42">
        <v>1123.7773293370913</v>
      </c>
      <c r="T5" s="41">
        <v>993.15110854130103</v>
      </c>
      <c r="U5" s="42">
        <v>1146.3724277880856</v>
      </c>
      <c r="V5" s="41">
        <v>992.37232939044213</v>
      </c>
      <c r="W5" s="42">
        <v>1171.3969417843966</v>
      </c>
      <c r="X5" s="41">
        <v>991.59095604609513</v>
      </c>
      <c r="Y5" s="42">
        <v>1199.2510739425625</v>
      </c>
      <c r="Z5" s="41">
        <v>990.8110714916246</v>
      </c>
      <c r="AA5" s="42">
        <v>1230.4133258701752</v>
      </c>
      <c r="AB5" s="41">
        <v>990.0411888804731</v>
      </c>
      <c r="AC5" s="42">
        <v>1265.4483397625313</v>
      </c>
      <c r="AD5" s="41">
        <v>989.29787573019985</v>
      </c>
      <c r="AE5" s="42">
        <v>1304.9985700840102</v>
      </c>
      <c r="AF5" s="41">
        <v>988.61219815197603</v>
      </c>
      <c r="AG5" s="42">
        <v>1349.7331264762718</v>
      </c>
      <c r="AH5" s="41">
        <v>988.04066197807413</v>
      </c>
      <c r="AI5" s="42">
        <v>1400.1879439894017</v>
      </c>
      <c r="AJ5" s="41">
        <v>987.68125150524781</v>
      </c>
      <c r="AK5" s="42">
        <v>1456.3544120835477</v>
      </c>
      <c r="AL5" s="41">
        <v>987.68612227409096</v>
      </c>
      <c r="AM5" s="42">
        <v>1516.7904767681373</v>
      </c>
      <c r="AN5" s="41">
        <v>988.23113125926704</v>
      </c>
      <c r="AO5" s="42">
        <v>1577.2769758364745</v>
      </c>
      <c r="AP5" s="41">
        <v>988.41448789895946</v>
      </c>
      <c r="AQ5" s="42">
        <v>1588.7702858759708</v>
      </c>
      <c r="AR5" s="41">
        <v>988.62195369962603</v>
      </c>
      <c r="AS5" s="42">
        <v>1599.908865591211</v>
      </c>
      <c r="AT5" s="41">
        <v>988.85209866791456</v>
      </c>
      <c r="AU5" s="42">
        <v>1610.6293902587413</v>
      </c>
      <c r="AV5" s="41">
        <v>989.10289074233049</v>
      </c>
      <c r="AW5" s="42">
        <v>1620.8745312392075</v>
      </c>
    </row>
    <row r="6" spans="1:49" x14ac:dyDescent="0.2">
      <c r="A6" t="s">
        <v>77</v>
      </c>
      <c r="B6" s="41">
        <v>999.99999999999943</v>
      </c>
      <c r="C6" s="42">
        <v>999.99999999999909</v>
      </c>
      <c r="D6" s="41">
        <v>999.18896458638005</v>
      </c>
      <c r="E6" s="42">
        <v>1014.2677022994354</v>
      </c>
      <c r="F6" s="41">
        <v>998.37758902326971</v>
      </c>
      <c r="G6" s="42">
        <v>1029.7830440664827</v>
      </c>
      <c r="H6" s="41">
        <v>997.56526931412054</v>
      </c>
      <c r="I6" s="42">
        <v>1046.7235971728653</v>
      </c>
      <c r="J6" s="41">
        <v>996.75132741208006</v>
      </c>
      <c r="K6" s="42">
        <v>1065.3038143640038</v>
      </c>
      <c r="L6" s="41">
        <v>995.9350038957009</v>
      </c>
      <c r="M6" s="42">
        <v>1085.7850730135297</v>
      </c>
      <c r="N6" s="41">
        <v>995.11550896993708</v>
      </c>
      <c r="O6" s="42">
        <v>1108.4898952712738</v>
      </c>
      <c r="P6" s="41">
        <v>994.29206579401523</v>
      </c>
      <c r="Q6" s="42">
        <v>1133.8210008919157</v>
      </c>
      <c r="R6" s="41">
        <v>993.46403042634199</v>
      </c>
      <c r="S6" s="42">
        <v>1162.2884623460973</v>
      </c>
      <c r="T6" s="41">
        <v>992.63109713050801</v>
      </c>
      <c r="U6" s="42">
        <v>1194.5484801432858</v>
      </c>
      <c r="V6" s="41">
        <v>991.79367669626106</v>
      </c>
      <c r="W6" s="42">
        <v>1231.4603850529613</v>
      </c>
      <c r="X6" s="41">
        <v>990.95356693380927</v>
      </c>
      <c r="Y6" s="42">
        <v>1274.1721246388288</v>
      </c>
      <c r="Z6" s="41">
        <v>990.11515793789442</v>
      </c>
      <c r="AA6" s="42">
        <v>1324.2519158532937</v>
      </c>
      <c r="AB6" s="41">
        <v>989.28759949307334</v>
      </c>
      <c r="AC6" s="42">
        <v>1383.8965475800896</v>
      </c>
      <c r="AD6" s="41">
        <v>988.48869336635926</v>
      </c>
      <c r="AE6" s="42">
        <v>1456.2682701723745</v>
      </c>
      <c r="AF6" s="41">
        <v>987.75181390371824</v>
      </c>
      <c r="AG6" s="42">
        <v>1546.0485003838542</v>
      </c>
      <c r="AH6" s="41">
        <v>987.13765818592628</v>
      </c>
      <c r="AI6" s="42">
        <v>1660.3392446973871</v>
      </c>
      <c r="AJ6" s="41">
        <v>986.75147389188987</v>
      </c>
      <c r="AK6" s="42">
        <v>1810.0155360577594</v>
      </c>
      <c r="AL6" s="41">
        <v>986.75670736059703</v>
      </c>
      <c r="AM6" s="42">
        <v>2011.143691622656</v>
      </c>
      <c r="AN6" s="41">
        <v>987.34232483168</v>
      </c>
      <c r="AO6" s="42">
        <v>2283.9149037195343</v>
      </c>
      <c r="AP6" s="41">
        <v>987.53935429640785</v>
      </c>
      <c r="AQ6" s="42">
        <v>2348.639912774157</v>
      </c>
      <c r="AR6" s="41">
        <v>987.76229739040559</v>
      </c>
      <c r="AS6" s="42">
        <v>2416.9109855627262</v>
      </c>
      <c r="AT6" s="41">
        <v>988.00961982688068</v>
      </c>
      <c r="AU6" s="42">
        <v>2488.7006111534674</v>
      </c>
      <c r="AV6" s="41">
        <v>988.27914032611704</v>
      </c>
      <c r="AW6" s="42">
        <v>2563.9215423475293</v>
      </c>
    </row>
    <row r="7" spans="1:49" x14ac:dyDescent="0.2">
      <c r="A7" t="s">
        <v>13</v>
      </c>
      <c r="B7" s="33">
        <v>1015.9116825427475</v>
      </c>
      <c r="C7" s="34">
        <v>1015.9116825427475</v>
      </c>
      <c r="D7" s="33">
        <v>1015.1462431832226</v>
      </c>
      <c r="E7" s="34">
        <v>1015.1462431832226</v>
      </c>
      <c r="F7" s="33">
        <v>1014.3803944967807</v>
      </c>
      <c r="G7" s="34">
        <v>1014.3803944967807</v>
      </c>
      <c r="H7" s="33">
        <v>1013.6135661556704</v>
      </c>
      <c r="I7" s="34">
        <v>1013.6135661556704</v>
      </c>
      <c r="J7" s="33">
        <v>1012.84511767553</v>
      </c>
      <c r="K7" s="34">
        <v>1012.84511767553</v>
      </c>
      <c r="L7" s="33">
        <v>1012.074331384055</v>
      </c>
      <c r="M7" s="34">
        <v>1012.074331384055</v>
      </c>
      <c r="N7" s="33">
        <v>1011.3004606298858</v>
      </c>
      <c r="O7" s="34">
        <v>1011.3004606298858</v>
      </c>
      <c r="P7" s="33">
        <v>1010.5227706248911</v>
      </c>
      <c r="Q7" s="34">
        <v>1010.5227706248911</v>
      </c>
      <c r="R7" s="33">
        <v>1009.7406517734399</v>
      </c>
      <c r="S7" s="34">
        <v>1009.7406517734399</v>
      </c>
      <c r="T7" s="33">
        <v>1008.9538136973879</v>
      </c>
      <c r="U7" s="34">
        <v>1008.9538136973879</v>
      </c>
      <c r="V7" s="33">
        <v>1008.1626428599096</v>
      </c>
      <c r="W7" s="34">
        <v>1008.1626428599096</v>
      </c>
      <c r="X7" s="33">
        <v>1007.3688365509601</v>
      </c>
      <c r="Y7" s="34">
        <v>1007.3688365509601</v>
      </c>
      <c r="Z7" s="33">
        <v>1006.5765427210388</v>
      </c>
      <c r="AA7" s="34">
        <v>1006.5765427210388</v>
      </c>
      <c r="AB7" s="33">
        <v>1005.7944099821834</v>
      </c>
      <c r="AC7" s="34">
        <v>1005.7944099821834</v>
      </c>
      <c r="AD7" s="33">
        <v>1005.0392694690332</v>
      </c>
      <c r="AE7" s="34">
        <v>1005.0392694690332</v>
      </c>
      <c r="AF7" s="33">
        <v>1004.342681606858</v>
      </c>
      <c r="AG7" s="34">
        <v>1004.342681606858</v>
      </c>
      <c r="AH7" s="33">
        <v>1003.7620513307953</v>
      </c>
      <c r="AI7" s="34">
        <v>1003.7620513307953</v>
      </c>
      <c r="AJ7" s="33">
        <v>1003.3969220326228</v>
      </c>
      <c r="AK7" s="34">
        <v>1003.3969220326228</v>
      </c>
      <c r="AL7" s="33">
        <v>1003.4018703035936</v>
      </c>
      <c r="AM7" s="34">
        <v>1003.4018703035936</v>
      </c>
      <c r="AN7" s="33">
        <v>1003.9555512987247</v>
      </c>
      <c r="AO7" s="34">
        <v>1003.9555512987247</v>
      </c>
      <c r="AP7" s="33">
        <v>1004.14182545106</v>
      </c>
      <c r="AQ7" s="34">
        <v>1004.14182545106</v>
      </c>
      <c r="AR7" s="33">
        <v>1004.3525923816852</v>
      </c>
      <c r="AS7" s="34">
        <v>1004.3525923816852</v>
      </c>
      <c r="AT7" s="33">
        <v>1004.5863993436479</v>
      </c>
      <c r="AU7" s="34">
        <v>1004.5863993436479</v>
      </c>
      <c r="AV7" s="33">
        <v>1004.8411819419363</v>
      </c>
      <c r="AW7" s="34">
        <v>1004.8411819419363</v>
      </c>
    </row>
    <row r="8" spans="1:49" x14ac:dyDescent="0.2">
      <c r="B8" s="35">
        <v>1005.7716594496609</v>
      </c>
      <c r="C8" s="36">
        <v>1005.7716594496609</v>
      </c>
      <c r="D8" s="35">
        <v>1046.2695335070232</v>
      </c>
      <c r="E8" s="36">
        <v>1046.2695335070232</v>
      </c>
      <c r="F8" s="35">
        <v>1090.7920563746168</v>
      </c>
      <c r="G8" s="36">
        <v>1090.7920563746168</v>
      </c>
      <c r="H8" s="35">
        <v>1139.9747340150943</v>
      </c>
      <c r="I8" s="36">
        <v>1139.9747340150943</v>
      </c>
      <c r="J8" s="35">
        <v>1194.5945163518088</v>
      </c>
      <c r="K8" s="36">
        <v>1194.5945163518088</v>
      </c>
      <c r="L8" s="35">
        <v>1255.6106739326672</v>
      </c>
      <c r="M8" s="36">
        <v>1255.6106739326672</v>
      </c>
      <c r="N8" s="35">
        <v>1324.2224750373468</v>
      </c>
      <c r="O8" s="36">
        <v>1324.2224750373468</v>
      </c>
      <c r="P8" s="35">
        <v>1401.948164373827</v>
      </c>
      <c r="Q8" s="36">
        <v>1401.948164373827</v>
      </c>
      <c r="R8" s="35">
        <v>1490.7383592322417</v>
      </c>
      <c r="S8" s="36">
        <v>1490.7383592322417</v>
      </c>
      <c r="T8" s="35">
        <v>1593.140341215141</v>
      </c>
      <c r="U8" s="36">
        <v>1593.140341215141</v>
      </c>
      <c r="V8" s="35">
        <v>1712.5426700558953</v>
      </c>
      <c r="W8" s="36">
        <v>1712.5426700558953</v>
      </c>
      <c r="X8" s="35">
        <v>1853.5478883985452</v>
      </c>
      <c r="Y8" s="36">
        <v>1853.5478883985452</v>
      </c>
      <c r="Z8" s="35">
        <v>2022.5560140577288</v>
      </c>
      <c r="AA8" s="36">
        <v>2022.5560140577288</v>
      </c>
      <c r="AB8" s="35">
        <v>2228.7056038220762</v>
      </c>
      <c r="AC8" s="36">
        <v>2228.7056038220762</v>
      </c>
      <c r="AD8" s="35">
        <v>2485.4310938556923</v>
      </c>
      <c r="AE8" s="36">
        <v>2485.4310938556923</v>
      </c>
      <c r="AF8" s="35">
        <v>2813.0974511200038</v>
      </c>
      <c r="AG8" s="36">
        <v>2813.0974511200038</v>
      </c>
      <c r="AH8" s="35">
        <v>3243.4663206081082</v>
      </c>
      <c r="AI8" s="36">
        <v>3243.4663206081082</v>
      </c>
      <c r="AJ8" s="35">
        <v>3826.8664405071258</v>
      </c>
      <c r="AK8" s="36">
        <v>3826.8664405071258</v>
      </c>
      <c r="AL8" s="35">
        <v>4641.1942150188579</v>
      </c>
      <c r="AM8" s="36">
        <v>4641.1942150188579</v>
      </c>
      <c r="AN8" s="35">
        <v>5792.1093306155881</v>
      </c>
      <c r="AO8" s="36">
        <v>5792.1093306155881</v>
      </c>
      <c r="AP8" s="35">
        <v>6072.0275202127368</v>
      </c>
      <c r="AQ8" s="36">
        <v>6072.0275202127368</v>
      </c>
      <c r="AR8" s="35">
        <v>6369.8507376449834</v>
      </c>
      <c r="AS8" s="36">
        <v>6369.8507376449834</v>
      </c>
      <c r="AT8" s="35">
        <v>6685.7397480412546</v>
      </c>
      <c r="AU8" s="36">
        <v>6685.7397480412546</v>
      </c>
      <c r="AV8" s="35">
        <v>7019.5773806373718</v>
      </c>
      <c r="AW8" s="36">
        <v>7019.5773806373718</v>
      </c>
    </row>
    <row r="9" spans="1:49" x14ac:dyDescent="0.2">
      <c r="A9" t="s">
        <v>14</v>
      </c>
      <c r="B9" s="41">
        <v>1015.9116825427475</v>
      </c>
      <c r="C9" s="42">
        <v>1005.7716594496609</v>
      </c>
      <c r="D9" s="41">
        <v>1015.1462431832226</v>
      </c>
      <c r="E9" s="42">
        <v>1046.2695335070232</v>
      </c>
      <c r="F9" s="41">
        <v>1014.3803944967807</v>
      </c>
      <c r="G9" s="42">
        <v>1090.7920563746168</v>
      </c>
      <c r="H9" s="41">
        <v>1013.6135661556704</v>
      </c>
      <c r="I9" s="42">
        <v>1139.9747340150943</v>
      </c>
      <c r="J9" s="41">
        <v>1012.84511767553</v>
      </c>
      <c r="K9" s="42">
        <v>1194.5945163518088</v>
      </c>
      <c r="L9" s="41">
        <v>1012.074331384055</v>
      </c>
      <c r="M9" s="42">
        <v>1255.6106739326672</v>
      </c>
      <c r="N9" s="41">
        <v>1011.3004606298858</v>
      </c>
      <c r="O9" s="42">
        <v>1324.2224750373468</v>
      </c>
      <c r="P9" s="41">
        <v>1010.5227706248911</v>
      </c>
      <c r="Q9" s="42">
        <v>1401.948164373827</v>
      </c>
      <c r="R9" s="41">
        <v>1009.7406517734399</v>
      </c>
      <c r="S9" s="42">
        <v>1490.7383592322417</v>
      </c>
      <c r="T9" s="41">
        <v>1008.9538136973879</v>
      </c>
      <c r="U9" s="42">
        <v>1593.140341215141</v>
      </c>
      <c r="V9" s="41">
        <v>1008.1626428599096</v>
      </c>
      <c r="W9" s="42">
        <v>1712.5426700558953</v>
      </c>
      <c r="X9" s="41">
        <v>1007.3688365509601</v>
      </c>
      <c r="Y9" s="42">
        <v>1853.5478883985452</v>
      </c>
      <c r="Z9" s="41">
        <v>1006.5765427210388</v>
      </c>
      <c r="AA9" s="42">
        <v>2022.5560140577288</v>
      </c>
      <c r="AB9" s="41">
        <v>1005.7944099821834</v>
      </c>
      <c r="AC9" s="42">
        <v>2228.7056038220762</v>
      </c>
      <c r="AD9" s="41">
        <v>1005.0392694690332</v>
      </c>
      <c r="AE9" s="42">
        <v>2485.4310938556923</v>
      </c>
      <c r="AF9" s="41">
        <v>1004.342681606858</v>
      </c>
      <c r="AG9" s="42">
        <v>2813.0974511200038</v>
      </c>
      <c r="AH9" s="41">
        <v>1003.7620513307953</v>
      </c>
      <c r="AI9" s="42">
        <v>3243.4663206081082</v>
      </c>
      <c r="AJ9" s="41">
        <v>1003.3969220326228</v>
      </c>
      <c r="AK9" s="42">
        <v>3826.8664405071258</v>
      </c>
      <c r="AL9" s="41">
        <v>1003.4018703035936</v>
      </c>
      <c r="AM9" s="42">
        <v>4641.1942150188579</v>
      </c>
      <c r="AN9" s="41">
        <v>1003.9555512987247</v>
      </c>
      <c r="AO9" s="42">
        <v>5792.1093306155881</v>
      </c>
      <c r="AP9" s="41">
        <v>1004.14182545106</v>
      </c>
      <c r="AQ9" s="42">
        <v>6072.0275202127368</v>
      </c>
      <c r="AR9" s="41">
        <v>1004.3525923816852</v>
      </c>
      <c r="AS9" s="42">
        <v>6369.8507376449834</v>
      </c>
      <c r="AT9" s="41">
        <v>1004.5863993436479</v>
      </c>
      <c r="AU9" s="42">
        <v>6685.7397480412546</v>
      </c>
      <c r="AV9" s="41">
        <v>1004.8411819419363</v>
      </c>
      <c r="AW9" s="42">
        <v>7019.5773806373718</v>
      </c>
    </row>
    <row r="10" spans="1:49" x14ac:dyDescent="0.2">
      <c r="A10" t="s">
        <v>15</v>
      </c>
      <c r="B10" s="41">
        <v>1015.9116825427475</v>
      </c>
      <c r="C10" s="42">
        <v>1005.7716594496609</v>
      </c>
      <c r="D10" s="41">
        <v>1015.1462431832226</v>
      </c>
      <c r="E10" s="42">
        <v>1046.2695335070232</v>
      </c>
      <c r="F10" s="41">
        <v>1014.3803944967807</v>
      </c>
      <c r="G10" s="42">
        <v>1090.7920563746168</v>
      </c>
      <c r="H10" s="41">
        <v>1013.6135661556704</v>
      </c>
      <c r="I10" s="42">
        <v>1139.9747340150943</v>
      </c>
      <c r="J10" s="41">
        <v>1012.84511767553</v>
      </c>
      <c r="K10" s="42">
        <v>1194.5945163518088</v>
      </c>
      <c r="L10" s="41">
        <v>1012.074331384055</v>
      </c>
      <c r="M10" s="42">
        <v>1255.6106739326672</v>
      </c>
      <c r="N10" s="41">
        <v>1011.3004606298858</v>
      </c>
      <c r="O10" s="42">
        <v>1324.2224750373468</v>
      </c>
      <c r="P10" s="41">
        <v>1010.5227706248911</v>
      </c>
      <c r="Q10" s="42">
        <v>1401.948164373827</v>
      </c>
      <c r="R10" s="41">
        <v>1009.7406517734399</v>
      </c>
      <c r="S10" s="42">
        <v>1490.7383592322417</v>
      </c>
      <c r="T10" s="41">
        <v>1008.9538136973879</v>
      </c>
      <c r="U10" s="42">
        <v>1593.140341215141</v>
      </c>
      <c r="V10" s="41">
        <v>1008.1626428599096</v>
      </c>
      <c r="W10" s="42">
        <v>1712.5426700558953</v>
      </c>
      <c r="X10" s="41">
        <v>1007.3688365509601</v>
      </c>
      <c r="Y10" s="42">
        <v>1853.5478883985452</v>
      </c>
      <c r="Z10" s="41">
        <v>1006.5765427210388</v>
      </c>
      <c r="AA10" s="42">
        <v>2022.5560140577288</v>
      </c>
      <c r="AB10" s="41">
        <v>1005.7944099821834</v>
      </c>
      <c r="AC10" s="42">
        <v>2228.7056038220762</v>
      </c>
      <c r="AD10" s="41">
        <v>1005.0392694690332</v>
      </c>
      <c r="AE10" s="42">
        <v>2485.4310938556923</v>
      </c>
      <c r="AF10" s="41">
        <v>1004.342681606858</v>
      </c>
      <c r="AG10" s="42">
        <v>2813.0974511200038</v>
      </c>
      <c r="AH10" s="41">
        <v>1003.7620513307953</v>
      </c>
      <c r="AI10" s="42">
        <v>3243.4663206081082</v>
      </c>
      <c r="AJ10" s="41">
        <v>1003.3969220326228</v>
      </c>
      <c r="AK10" s="42">
        <v>3826.8664405071258</v>
      </c>
      <c r="AL10" s="41">
        <v>1003.4018703035936</v>
      </c>
      <c r="AM10" s="42">
        <v>4641.1942150188579</v>
      </c>
      <c r="AN10" s="41">
        <v>1003.9555512987247</v>
      </c>
      <c r="AO10" s="42">
        <v>5792.1093306155881</v>
      </c>
      <c r="AP10" s="41">
        <v>1004.14182545106</v>
      </c>
      <c r="AQ10" s="42">
        <v>6072.0275202127368</v>
      </c>
      <c r="AR10" s="41">
        <v>1004.3525923816852</v>
      </c>
      <c r="AS10" s="42">
        <v>6369.8507376449834</v>
      </c>
      <c r="AT10" s="41">
        <v>1004.5863993436479</v>
      </c>
      <c r="AU10" s="42">
        <v>6685.7397480412546</v>
      </c>
      <c r="AV10" s="41">
        <v>1004.8411819419363</v>
      </c>
      <c r="AW10" s="42">
        <v>7019.5773806373718</v>
      </c>
    </row>
    <row r="11" spans="1:49" x14ac:dyDescent="0.2">
      <c r="A11" t="s">
        <v>29</v>
      </c>
      <c r="B11" s="41">
        <v>1015.9116825427475</v>
      </c>
      <c r="C11" s="42">
        <v>1005.7716594496609</v>
      </c>
      <c r="D11" s="41">
        <v>1015.1462431832226</v>
      </c>
      <c r="E11" s="42">
        <v>1046.2695335070232</v>
      </c>
      <c r="F11" s="41">
        <v>1014.3803944967807</v>
      </c>
      <c r="G11" s="42">
        <v>1090.7920563746168</v>
      </c>
      <c r="H11" s="41">
        <v>1013.6135661556704</v>
      </c>
      <c r="I11" s="42">
        <v>1139.9747340150943</v>
      </c>
      <c r="J11" s="41">
        <v>1012.84511767553</v>
      </c>
      <c r="K11" s="42">
        <v>1194.5945163518088</v>
      </c>
      <c r="L11" s="41">
        <v>1012.074331384055</v>
      </c>
      <c r="M11" s="42">
        <v>1255.6106739326672</v>
      </c>
      <c r="N11" s="41">
        <v>1011.3004606298858</v>
      </c>
      <c r="O11" s="42">
        <v>1324.2224750373468</v>
      </c>
      <c r="P11" s="41">
        <v>1010.5227706248911</v>
      </c>
      <c r="Q11" s="42">
        <v>1401.948164373827</v>
      </c>
      <c r="R11" s="41">
        <v>1009.7406517734399</v>
      </c>
      <c r="S11" s="42">
        <v>1490.7383592322417</v>
      </c>
      <c r="T11" s="41">
        <v>1008.9538136973879</v>
      </c>
      <c r="U11" s="42">
        <v>1593.140341215141</v>
      </c>
      <c r="V11" s="41">
        <v>1008.1626428599096</v>
      </c>
      <c r="W11" s="42">
        <v>1712.5426700558953</v>
      </c>
      <c r="X11" s="41">
        <v>1007.3688365509601</v>
      </c>
      <c r="Y11" s="42">
        <v>1853.5478883985452</v>
      </c>
      <c r="Z11" s="41">
        <v>1006.5765427210388</v>
      </c>
      <c r="AA11" s="42">
        <v>2022.5560140577288</v>
      </c>
      <c r="AB11" s="41">
        <v>1005.7944099821834</v>
      </c>
      <c r="AC11" s="42">
        <v>2228.7056038220762</v>
      </c>
      <c r="AD11" s="41">
        <v>1005.0392694690332</v>
      </c>
      <c r="AE11" s="42">
        <v>2485.4310938556923</v>
      </c>
      <c r="AF11" s="41">
        <v>1004.342681606858</v>
      </c>
      <c r="AG11" s="42">
        <v>2813.0974511200038</v>
      </c>
      <c r="AH11" s="41">
        <v>1003.7620513307953</v>
      </c>
      <c r="AI11" s="42">
        <v>3243.4663206081082</v>
      </c>
      <c r="AJ11" s="41">
        <v>1003.3969220326228</v>
      </c>
      <c r="AK11" s="42">
        <v>3826.8664405071258</v>
      </c>
      <c r="AL11" s="41">
        <v>1003.4018703035936</v>
      </c>
      <c r="AM11" s="42">
        <v>4641.1942150188579</v>
      </c>
      <c r="AN11" s="41">
        <v>1003.9555512987247</v>
      </c>
      <c r="AO11" s="42">
        <v>5792.1093306155881</v>
      </c>
      <c r="AP11" s="41">
        <v>1004.14182545106</v>
      </c>
      <c r="AQ11" s="42">
        <v>6072.0275202127368</v>
      </c>
      <c r="AR11" s="41">
        <v>1004.3525923816852</v>
      </c>
      <c r="AS11" s="42">
        <v>6369.8507376449834</v>
      </c>
      <c r="AT11" s="41">
        <v>1004.5863993436479</v>
      </c>
      <c r="AU11" s="42">
        <v>6685.7397480412546</v>
      </c>
      <c r="AV11" s="41">
        <v>1004.8411819419363</v>
      </c>
      <c r="AW11" s="42">
        <v>7019.5773806373718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997.9582695101667</v>
      </c>
      <c r="E13" s="98">
        <v>997.9582695101667</v>
      </c>
      <c r="F13" s="97">
        <v>995.84875725577933</v>
      </c>
      <c r="G13" s="98">
        <v>995.84875725577933</v>
      </c>
      <c r="H13" s="97">
        <v>993.6674902552096</v>
      </c>
      <c r="I13" s="98">
        <v>993.6674902552096</v>
      </c>
      <c r="J13" s="97">
        <v>991.4104123249117</v>
      </c>
      <c r="K13" s="98">
        <v>991.4104123249117</v>
      </c>
      <c r="L13" s="97">
        <v>989.07348387911122</v>
      </c>
      <c r="M13" s="98">
        <v>989.07348387911122</v>
      </c>
      <c r="N13" s="97">
        <v>986.65292194596009</v>
      </c>
      <c r="O13" s="98">
        <v>986.65292194596009</v>
      </c>
      <c r="P13" s="97">
        <v>984.14552878688903</v>
      </c>
      <c r="Q13" s="98">
        <v>984.14552878688903</v>
      </c>
      <c r="R13" s="97">
        <v>981.54927789662986</v>
      </c>
      <c r="S13" s="98">
        <v>981.54927789662986</v>
      </c>
      <c r="T13" s="97">
        <v>978.86426349472947</v>
      </c>
      <c r="U13" s="98">
        <v>978.86426349472947</v>
      </c>
      <c r="V13" s="97">
        <v>976.09429082155418</v>
      </c>
      <c r="W13" s="98">
        <v>976.09429082155418</v>
      </c>
      <c r="X13" s="97">
        <v>973.2495430826724</v>
      </c>
      <c r="Y13" s="98">
        <v>973.2495430826724</v>
      </c>
      <c r="Z13" s="97">
        <v>970.35120599155755</v>
      </c>
      <c r="AA13" s="98">
        <v>970.35120599155755</v>
      </c>
      <c r="AB13" s="97">
        <v>967.43949026603423</v>
      </c>
      <c r="AC13" s="98">
        <v>967.43949026603423</v>
      </c>
      <c r="AD13" s="97">
        <v>964.58800766687455</v>
      </c>
      <c r="AE13" s="98">
        <v>964.58800766687455</v>
      </c>
      <c r="AF13" s="97">
        <v>961.92974090165478</v>
      </c>
      <c r="AG13" s="98">
        <v>961.92974090165478</v>
      </c>
      <c r="AH13" s="97">
        <v>959.70377006894205</v>
      </c>
      <c r="AI13" s="98">
        <v>959.70377006894205</v>
      </c>
      <c r="AJ13" s="97">
        <v>958.33456455392866</v>
      </c>
      <c r="AK13" s="98">
        <v>958.33456455392866</v>
      </c>
      <c r="AL13" s="97">
        <v>958.53830854817704</v>
      </c>
      <c r="AM13" s="98">
        <v>958.53830854817704</v>
      </c>
      <c r="AN13" s="97">
        <v>961.34435881915374</v>
      </c>
      <c r="AO13" s="98">
        <v>961.34435881915374</v>
      </c>
      <c r="AP13" s="97">
        <v>962.31155285520504</v>
      </c>
      <c r="AQ13" s="98">
        <v>962.31155285520504</v>
      </c>
      <c r="AR13" s="97">
        <v>963.42763052033808</v>
      </c>
      <c r="AS13" s="98">
        <v>963.42763052033808</v>
      </c>
      <c r="AT13" s="97">
        <v>964.69435735469426</v>
      </c>
      <c r="AU13" s="98">
        <v>964.69435735469426</v>
      </c>
      <c r="AV13" s="97">
        <v>966.11075806528845</v>
      </c>
      <c r="AW13" s="98">
        <v>966.11075806528845</v>
      </c>
    </row>
    <row r="14" spans="1:49" x14ac:dyDescent="0.2">
      <c r="A14" t="s">
        <v>36</v>
      </c>
      <c r="B14" s="41">
        <v>1457.0034251455234</v>
      </c>
      <c r="C14" s="42">
        <v>1457.0034251455236</v>
      </c>
      <c r="D14" s="41">
        <v>1454.028616828612</v>
      </c>
      <c r="E14" s="42">
        <v>1454.0286168286123</v>
      </c>
      <c r="F14" s="41">
        <v>1450.9550502485833</v>
      </c>
      <c r="G14" s="42">
        <v>1450.9550502485836</v>
      </c>
      <c r="H14" s="41">
        <v>1447.7769367575963</v>
      </c>
      <c r="I14" s="42">
        <v>1447.7769367575966</v>
      </c>
      <c r="J14" s="41">
        <v>1444.4883664823319</v>
      </c>
      <c r="K14" s="42">
        <v>1444.4883664823321</v>
      </c>
      <c r="L14" s="41">
        <v>1441.0834537324806</v>
      </c>
      <c r="M14" s="42">
        <v>1441.0834537324808</v>
      </c>
      <c r="N14" s="41">
        <v>1437.5566867051025</v>
      </c>
      <c r="O14" s="42">
        <v>1437.5566867051027</v>
      </c>
      <c r="P14" s="41">
        <v>1433.9034062841495</v>
      </c>
      <c r="Q14" s="42">
        <v>1433.9034062841497</v>
      </c>
      <c r="R14" s="41">
        <v>1430.1206598445049</v>
      </c>
      <c r="S14" s="42">
        <v>1430.1206598445051</v>
      </c>
      <c r="T14" s="41">
        <v>1426.2085846643708</v>
      </c>
      <c r="U14" s="42">
        <v>1426.2085846643711</v>
      </c>
      <c r="V14" s="41">
        <v>1422.172724991995</v>
      </c>
      <c r="W14" s="42">
        <v>1422.1727249919952</v>
      </c>
      <c r="X14" s="41">
        <v>1418.0279177927691</v>
      </c>
      <c r="Y14" s="42">
        <v>1418.0279177927694</v>
      </c>
      <c r="Z14" s="41">
        <v>1413.8050307237886</v>
      </c>
      <c r="AA14" s="42">
        <v>1413.8050307237888</v>
      </c>
      <c r="AB14" s="41">
        <v>1409.5626509386509</v>
      </c>
      <c r="AC14" s="42">
        <v>1409.5626509386511</v>
      </c>
      <c r="AD14" s="41">
        <v>1405.4080310249324</v>
      </c>
      <c r="AE14" s="42">
        <v>1405.4080310249326</v>
      </c>
      <c r="AF14" s="41">
        <v>1401.5349272430567</v>
      </c>
      <c r="AG14" s="42">
        <v>1401.5349272430569</v>
      </c>
      <c r="AH14" s="41">
        <v>1398.2916801155202</v>
      </c>
      <c r="AI14" s="42">
        <v>1398.2916801155204</v>
      </c>
      <c r="AJ14" s="41">
        <v>1396.2967429904177</v>
      </c>
      <c r="AK14" s="42">
        <v>1396.2967429904179</v>
      </c>
      <c r="AL14" s="41">
        <v>1396.5935986878903</v>
      </c>
      <c r="AM14" s="42">
        <v>1396.5935986878906</v>
      </c>
      <c r="AN14" s="41">
        <v>1400.682023543834</v>
      </c>
      <c r="AO14" s="42">
        <v>1400.6820235438342</v>
      </c>
      <c r="AP14" s="41">
        <v>1402.0912285671409</v>
      </c>
      <c r="AQ14" s="42">
        <v>1402.0912285671411</v>
      </c>
      <c r="AR14" s="41">
        <v>1403.7173575479683</v>
      </c>
      <c r="AS14" s="42">
        <v>1403.7173575479685</v>
      </c>
      <c r="AT14" s="41">
        <v>1405.5629828843489</v>
      </c>
      <c r="AU14" s="42">
        <v>1405.5629828843491</v>
      </c>
      <c r="AV14" s="41">
        <v>1407.6266835710633</v>
      </c>
      <c r="AW14" s="42">
        <v>1407.6266835710635</v>
      </c>
    </row>
    <row r="15" spans="1:49" x14ac:dyDescent="0.2">
      <c r="A15" t="s">
        <v>18</v>
      </c>
      <c r="B15" s="154">
        <v>1000</v>
      </c>
      <c r="C15" s="155">
        <v>1000</v>
      </c>
      <c r="D15" s="154">
        <v>997.12300951401176</v>
      </c>
      <c r="E15" s="155">
        <v>997.12300951401176</v>
      </c>
      <c r="F15" s="154">
        <v>994.13297152380403</v>
      </c>
      <c r="G15" s="155">
        <v>994.13297152380403</v>
      </c>
      <c r="H15" s="154">
        <v>991.01365469230268</v>
      </c>
      <c r="I15" s="155">
        <v>991.01365469230268</v>
      </c>
      <c r="J15" s="154">
        <v>987.74565506207671</v>
      </c>
      <c r="K15" s="155">
        <v>987.74565506207671</v>
      </c>
      <c r="L15" s="154">
        <v>984.30558364002479</v>
      </c>
      <c r="M15" s="155">
        <v>984.30558364002479</v>
      </c>
      <c r="N15" s="154">
        <v>980.66497140632964</v>
      </c>
      <c r="O15" s="155">
        <v>980.66497140632964</v>
      </c>
      <c r="P15" s="154">
        <v>976.78880759866274</v>
      </c>
      <c r="Q15" s="155">
        <v>976.78880759866274</v>
      </c>
      <c r="R15" s="154">
        <v>972.63352750414606</v>
      </c>
      <c r="S15" s="155">
        <v>972.63352750414606</v>
      </c>
      <c r="T15" s="154">
        <v>968.14421222741851</v>
      </c>
      <c r="U15" s="155">
        <v>968.14421222741851</v>
      </c>
      <c r="V15" s="154">
        <v>963.25061735206725</v>
      </c>
      <c r="W15" s="155">
        <v>963.25061735206725</v>
      </c>
      <c r="X15" s="154">
        <v>957.8614224567948</v>
      </c>
      <c r="Y15" s="155">
        <v>957.8614224567948</v>
      </c>
      <c r="Z15" s="154">
        <v>951.85574117245392</v>
      </c>
      <c r="AA15" s="155">
        <v>951.85574117245392</v>
      </c>
      <c r="AB15" s="154">
        <v>945.07036730026414</v>
      </c>
      <c r="AC15" s="155">
        <v>945.07036730026414</v>
      </c>
      <c r="AD15" s="154">
        <v>937.28035394232461</v>
      </c>
      <c r="AE15" s="155">
        <v>937.28035394232461</v>
      </c>
      <c r="AF15" s="154">
        <v>928.16957163841471</v>
      </c>
      <c r="AG15" s="155">
        <v>928.16957163841471</v>
      </c>
      <c r="AH15" s="154">
        <v>917.2882039600521</v>
      </c>
      <c r="AI15" s="155">
        <v>917.2882039600521</v>
      </c>
      <c r="AJ15" s="154">
        <v>904.00266490870206</v>
      </c>
      <c r="AK15" s="155">
        <v>904.00266490870206</v>
      </c>
      <c r="AL15" s="154">
        <v>887.48561743915627</v>
      </c>
      <c r="AM15" s="155">
        <v>887.48561743915627</v>
      </c>
      <c r="AN15" s="154">
        <v>866.92699447929499</v>
      </c>
      <c r="AO15" s="155">
        <v>866.92699447929499</v>
      </c>
      <c r="AP15" s="154">
        <v>862.30020856392514</v>
      </c>
      <c r="AQ15" s="155">
        <v>862.30020856392514</v>
      </c>
      <c r="AR15" s="154">
        <v>857.5109730745537</v>
      </c>
      <c r="AS15" s="155">
        <v>857.5109730745537</v>
      </c>
      <c r="AT15" s="154">
        <v>852.56980582747542</v>
      </c>
      <c r="AU15" s="155">
        <v>852.56980582747542</v>
      </c>
      <c r="AV15" s="154">
        <v>847.49083851252294</v>
      </c>
      <c r="AW15" s="155">
        <v>847.49083851252294</v>
      </c>
    </row>
    <row r="16" spans="1:49" s="29" customFormat="1" x14ac:dyDescent="0.2">
      <c r="A16" t="s">
        <v>61</v>
      </c>
      <c r="B16" s="41">
        <v>1000</v>
      </c>
      <c r="C16" s="42">
        <v>1000</v>
      </c>
      <c r="D16" s="41">
        <v>997.56830855888359</v>
      </c>
      <c r="E16" s="42">
        <v>997.36140369532654</v>
      </c>
      <c r="F16" s="41">
        <v>995.04764516388559</v>
      </c>
      <c r="G16" s="42">
        <v>994.62265605791106</v>
      </c>
      <c r="H16" s="41">
        <v>992.4283022023551</v>
      </c>
      <c r="I16" s="42">
        <v>991.7710197152569</v>
      </c>
      <c r="J16" s="41">
        <v>989.69904137213121</v>
      </c>
      <c r="K16" s="42">
        <v>988.791464321891</v>
      </c>
      <c r="L16" s="41">
        <v>986.84676551092798</v>
      </c>
      <c r="M16" s="42">
        <v>985.66611369534348</v>
      </c>
      <c r="N16" s="41">
        <v>983.85613160380672</v>
      </c>
      <c r="O16" s="42">
        <v>982.37353026677658</v>
      </c>
      <c r="P16" s="41">
        <v>980.7090382662883</v>
      </c>
      <c r="Q16" s="42">
        <v>978.88776221635521</v>
      </c>
      <c r="R16" s="41">
        <v>977.38398992769532</v>
      </c>
      <c r="S16" s="42">
        <v>975.17706925786081</v>
      </c>
      <c r="T16" s="41">
        <v>973.8552814382474</v>
      </c>
      <c r="U16" s="42">
        <v>971.20218655170265</v>
      </c>
      <c r="V16" s="41">
        <v>970.09196779572596</v>
      </c>
      <c r="W16" s="42">
        <v>966.91393133355325</v>
      </c>
      <c r="X16" s="41">
        <v>966.0565596380452</v>
      </c>
      <c r="Y16" s="42">
        <v>962.24983731925988</v>
      </c>
      <c r="Z16" s="41">
        <v>961.70345029204009</v>
      </c>
      <c r="AA16" s="42">
        <v>957.12937733804574</v>
      </c>
      <c r="AB16" s="41">
        <v>956.97709938267815</v>
      </c>
      <c r="AC16" s="42">
        <v>951.44708206347241</v>
      </c>
      <c r="AD16" s="41">
        <v>951.81036060301335</v>
      </c>
      <c r="AE16" s="42">
        <v>945.06265428321547</v>
      </c>
      <c r="AF16" s="41">
        <v>946.12403794564682</v>
      </c>
      <c r="AG16" s="42">
        <v>937.78711827051154</v>
      </c>
      <c r="AH16" s="41">
        <v>939.8308188238816</v>
      </c>
      <c r="AI16" s="42">
        <v>929.36531485442617</v>
      </c>
      <c r="AJ16" s="41">
        <v>932.85177713790165</v>
      </c>
      <c r="AK16" s="42">
        <v>919.46175615957497</v>
      </c>
      <c r="AL16" s="41">
        <v>925.16369031307283</v>
      </c>
      <c r="AM16" s="42">
        <v>907.68188417902945</v>
      </c>
      <c r="AN16" s="41">
        <v>916.90218034386874</v>
      </c>
      <c r="AO16" s="42">
        <v>893.72612931603089</v>
      </c>
      <c r="AP16" s="41">
        <v>915.212600201898</v>
      </c>
      <c r="AQ16" s="42">
        <v>890.6773023922392</v>
      </c>
      <c r="AR16" s="41">
        <v>913.52109875192752</v>
      </c>
      <c r="AS16" s="42">
        <v>887.55262031137386</v>
      </c>
      <c r="AT16" s="41">
        <v>911.83312150803044</v>
      </c>
      <c r="AU16" s="42">
        <v>884.35993174477301</v>
      </c>
      <c r="AV16" s="41">
        <v>910.15439464421127</v>
      </c>
      <c r="AW16" s="42">
        <v>881.10890767677279</v>
      </c>
    </row>
    <row r="17" spans="1:49" x14ac:dyDescent="0.2">
      <c r="A17" t="s">
        <v>62</v>
      </c>
      <c r="B17" s="35">
        <v>999.99999999998658</v>
      </c>
      <c r="C17" s="36">
        <v>1000.0000000000002</v>
      </c>
      <c r="D17" s="35">
        <v>999.31507182253006</v>
      </c>
      <c r="E17" s="36">
        <v>1020.0798986557719</v>
      </c>
      <c r="F17" s="35">
        <v>998.63019544430654</v>
      </c>
      <c r="G17" s="36">
        <v>1041.983044013449</v>
      </c>
      <c r="H17" s="35">
        <v>997.94486262014732</v>
      </c>
      <c r="I17" s="36">
        <v>1065.9781724537875</v>
      </c>
      <c r="J17" s="35">
        <v>997.25850890482729</v>
      </c>
      <c r="K17" s="36">
        <v>1092.3910363357502</v>
      </c>
      <c r="L17" s="35">
        <v>996.57049185347546</v>
      </c>
      <c r="M17" s="36">
        <v>1121.6202095323054</v>
      </c>
      <c r="N17" s="35">
        <v>995.88015355920345</v>
      </c>
      <c r="O17" s="36">
        <v>1154.15941157206</v>
      </c>
      <c r="P17" s="35">
        <v>995.18684374088491</v>
      </c>
      <c r="Q17" s="36">
        <v>1190.6276250562805</v>
      </c>
      <c r="R17" s="35">
        <v>994.49002701592781</v>
      </c>
      <c r="S17" s="36">
        <v>1231.8120865746694</v>
      </c>
      <c r="T17" s="35">
        <v>993.78945194442383</v>
      </c>
      <c r="U17" s="36">
        <v>1278.7299315026532</v>
      </c>
      <c r="V17" s="35">
        <v>993.08547262951492</v>
      </c>
      <c r="W17" s="36">
        <v>1332.7190994116729</v>
      </c>
      <c r="X17" s="35">
        <v>992.37960479250887</v>
      </c>
      <c r="Y17" s="36">
        <v>1395.5752987607584</v>
      </c>
      <c r="Z17" s="35">
        <v>991.67553943186397</v>
      </c>
      <c r="AA17" s="36">
        <v>1469.7638207616117</v>
      </c>
      <c r="AB17" s="35">
        <v>990.98095230078923</v>
      </c>
      <c r="AC17" s="36">
        <v>1558.7565362758901</v>
      </c>
      <c r="AD17" s="35">
        <v>990.31075989036628</v>
      </c>
      <c r="AE17" s="36">
        <v>1667.5803940790061</v>
      </c>
      <c r="AF17" s="35">
        <v>989.69290303122898</v>
      </c>
      <c r="AG17" s="36">
        <v>1803.7264652952656</v>
      </c>
      <c r="AH17" s="35">
        <v>989.178169092085</v>
      </c>
      <c r="AI17" s="36">
        <v>1978.6478181448595</v>
      </c>
      <c r="AJ17" s="35">
        <v>988.85460520392098</v>
      </c>
      <c r="AK17" s="36">
        <v>2210.0546741460898</v>
      </c>
      <c r="AL17" s="35">
        <v>988.85898968125684</v>
      </c>
      <c r="AM17" s="36">
        <v>2524.4728133251447</v>
      </c>
      <c r="AN17" s="35">
        <v>989.34968102799462</v>
      </c>
      <c r="AO17" s="36">
        <v>2956.0329451267949</v>
      </c>
      <c r="AP17" s="35">
        <v>989.51481421883364</v>
      </c>
      <c r="AQ17" s="36">
        <v>3059.1758553009258</v>
      </c>
      <c r="AR17" s="35">
        <v>989.70169105847469</v>
      </c>
      <c r="AS17" s="36">
        <v>3168.2449038465697</v>
      </c>
      <c r="AT17" s="35">
        <v>989.90903440621935</v>
      </c>
      <c r="AU17" s="36">
        <v>3283.2248596317459</v>
      </c>
      <c r="AV17" s="35">
        <v>990.13502478620296</v>
      </c>
      <c r="AW17" s="36">
        <v>3404.0030827867122</v>
      </c>
    </row>
    <row r="18" spans="1:49" x14ac:dyDescent="0.2">
      <c r="A18" t="s">
        <v>19</v>
      </c>
      <c r="B18" s="33">
        <v>27857.010133999996</v>
      </c>
      <c r="C18" s="34">
        <v>1236.7674480000003</v>
      </c>
      <c r="D18" s="33">
        <v>27712.377718121617</v>
      </c>
      <c r="E18" s="34">
        <v>1159.9846922929266</v>
      </c>
      <c r="F18" s="33">
        <v>27553.049760020192</v>
      </c>
      <c r="G18" s="34">
        <v>1083.6043677776543</v>
      </c>
      <c r="H18" s="33">
        <v>27376.825359058243</v>
      </c>
      <c r="I18" s="34">
        <v>1007.6692043165058</v>
      </c>
      <c r="J18" s="33">
        <v>27181.011256149901</v>
      </c>
      <c r="K18" s="34">
        <v>932.23054334295909</v>
      </c>
      <c r="L18" s="33">
        <v>26962.277628442887</v>
      </c>
      <c r="M18" s="34">
        <v>857.34879819556807</v>
      </c>
      <c r="N18" s="33">
        <v>26716.445307350186</v>
      </c>
      <c r="O18" s="34">
        <v>783.09891043674213</v>
      </c>
      <c r="P18" s="33">
        <v>26438.196048456193</v>
      </c>
      <c r="Q18" s="34">
        <v>709.57305588167424</v>
      </c>
      <c r="R18" s="33">
        <v>26120.644516269043</v>
      </c>
      <c r="S18" s="34">
        <v>636.88747857328076</v>
      </c>
      <c r="T18" s="33">
        <v>25754.705794335972</v>
      </c>
      <c r="U18" s="34">
        <v>565.19089229930353</v>
      </c>
      <c r="V18" s="33">
        <v>25328.127844382492</v>
      </c>
      <c r="W18" s="34">
        <v>494.67748746420193</v>
      </c>
      <c r="X18" s="33">
        <v>24823.969987595869</v>
      </c>
      <c r="Y18" s="34">
        <v>425.60565021946815</v>
      </c>
      <c r="Z18" s="33">
        <v>24218.124443311979</v>
      </c>
      <c r="AA18" s="34">
        <v>358.32468417768979</v>
      </c>
      <c r="AB18" s="33">
        <v>23475.121980568045</v>
      </c>
      <c r="AC18" s="34">
        <v>293.31770457449994</v>
      </c>
      <c r="AD18" s="33">
        <v>22540.741018920391</v>
      </c>
      <c r="AE18" s="34">
        <v>231.26280377479523</v>
      </c>
      <c r="AF18" s="33">
        <v>21328.411932217612</v>
      </c>
      <c r="AG18" s="34">
        <v>173.12264408972104</v>
      </c>
      <c r="AH18" s="33">
        <v>19693.22406815063</v>
      </c>
      <c r="AI18" s="34">
        <v>120.26154372265711</v>
      </c>
      <c r="AJ18" s="33">
        <v>17381.244519786582</v>
      </c>
      <c r="AK18" s="34">
        <v>74.548711068338918</v>
      </c>
      <c r="AL18" s="33">
        <v>13934.464352452622</v>
      </c>
      <c r="AM18" s="34">
        <v>38.273728559636339</v>
      </c>
      <c r="AN18" s="33">
        <v>8547.3830639293483</v>
      </c>
      <c r="AO18" s="34">
        <v>13.426515820085511</v>
      </c>
      <c r="AP18" s="33">
        <v>7135.2045271100542</v>
      </c>
      <c r="AQ18" s="34">
        <v>9.8847474779742797</v>
      </c>
      <c r="AR18" s="33">
        <v>5585.6406319449352</v>
      </c>
      <c r="AS18" s="34">
        <v>6.7958105604841021</v>
      </c>
      <c r="AT18" s="33">
        <v>3887.2455531782375</v>
      </c>
      <c r="AU18" s="34">
        <v>4.1377790669926826</v>
      </c>
      <c r="AV18" s="33">
        <v>2028.8715308521203</v>
      </c>
      <c r="AW18" s="34">
        <v>1.8832028663732641</v>
      </c>
    </row>
    <row r="19" spans="1:49" x14ac:dyDescent="0.2">
      <c r="A19" t="s">
        <v>3</v>
      </c>
      <c r="B19" s="41">
        <v>1886.3937399999918</v>
      </c>
      <c r="C19" s="42">
        <v>262.78711299999759</v>
      </c>
      <c r="D19" s="41">
        <v>1873.2078740012576</v>
      </c>
      <c r="E19" s="42">
        <v>261.37647775225241</v>
      </c>
      <c r="F19" s="41">
        <v>1859.0670743445933</v>
      </c>
      <c r="G19" s="42">
        <v>259.99853772957886</v>
      </c>
      <c r="H19" s="41">
        <v>1843.8259964856441</v>
      </c>
      <c r="I19" s="42">
        <v>258.64419841500228</v>
      </c>
      <c r="J19" s="41">
        <v>1827.3070440665711</v>
      </c>
      <c r="K19" s="42">
        <v>257.30001690773224</v>
      </c>
      <c r="L19" s="41">
        <v>1809.2909964251146</v>
      </c>
      <c r="M19" s="42">
        <v>255.94612371382689</v>
      </c>
      <c r="N19" s="41">
        <v>1789.5033950572881</v>
      </c>
      <c r="O19" s="42">
        <v>254.55363461227338</v>
      </c>
      <c r="P19" s="41">
        <v>1767.5959154576462</v>
      </c>
      <c r="Q19" s="42">
        <v>253.08031880768775</v>
      </c>
      <c r="R19" s="41">
        <v>1743.1190310505281</v>
      </c>
      <c r="S19" s="42">
        <v>251.46433259668339</v>
      </c>
      <c r="T19" s="41">
        <v>1715.4816870643599</v>
      </c>
      <c r="U19" s="42">
        <v>249.61443383875158</v>
      </c>
      <c r="V19" s="41">
        <v>1683.889765037813</v>
      </c>
      <c r="W19" s="42">
        <v>247.39474282461052</v>
      </c>
      <c r="X19" s="41">
        <v>1647.2494122608223</v>
      </c>
      <c r="Y19" s="42">
        <v>244.60032014259593</v>
      </c>
      <c r="Z19" s="41">
        <v>1604.0095965387868</v>
      </c>
      <c r="AA19" s="42">
        <v>240.9174013280734</v>
      </c>
      <c r="AB19" s="41">
        <v>1551.8952588546902</v>
      </c>
      <c r="AC19" s="42">
        <v>235.85757350420826</v>
      </c>
      <c r="AD19" s="41">
        <v>1487.4354115648612</v>
      </c>
      <c r="AE19" s="42">
        <v>228.64697370997266</v>
      </c>
      <c r="AF19" s="41">
        <v>1405.0896145709057</v>
      </c>
      <c r="AG19" s="42">
        <v>218.03975267708105</v>
      </c>
      <c r="AH19" s="41">
        <v>1295.5614681883549</v>
      </c>
      <c r="AI19" s="42">
        <v>202.01302531329927</v>
      </c>
      <c r="AJ19" s="41">
        <v>1142.4621862195047</v>
      </c>
      <c r="AK19" s="42">
        <v>177.32241965141407</v>
      </c>
      <c r="AL19" s="41">
        <v>915.91758696128431</v>
      </c>
      <c r="AM19" s="42">
        <v>139.09335785609596</v>
      </c>
      <c r="AN19" s="41">
        <v>562.56901094015404</v>
      </c>
      <c r="AO19" s="42">
        <v>81.321604520941975</v>
      </c>
      <c r="AP19" s="41">
        <v>469.83236835162683</v>
      </c>
      <c r="AQ19" s="42">
        <v>66.9743487187624</v>
      </c>
      <c r="AR19" s="41">
        <v>367.98388959466706</v>
      </c>
      <c r="AS19" s="42">
        <v>51.654276462340405</v>
      </c>
      <c r="AT19" s="41">
        <v>256.23650729668532</v>
      </c>
      <c r="AU19" s="42">
        <v>35.368490781904477</v>
      </c>
      <c r="AV19" s="41">
        <v>133.81923260232219</v>
      </c>
      <c r="AW19" s="42">
        <v>18.138512085016213</v>
      </c>
    </row>
    <row r="20" spans="1:49" x14ac:dyDescent="0.2">
      <c r="A20" t="s">
        <v>127</v>
      </c>
      <c r="B20" s="82">
        <v>26548.356269999993</v>
      </c>
      <c r="C20" s="83">
        <v>1408.5418709999938</v>
      </c>
      <c r="D20" s="82">
        <v>26402.554687415235</v>
      </c>
      <c r="E20" s="83">
        <v>1338.1147774499941</v>
      </c>
      <c r="F20" s="82">
        <v>26242.823851195924</v>
      </c>
      <c r="G20" s="83">
        <v>1267.6876838999945</v>
      </c>
      <c r="H20" s="82">
        <v>26067.075184069174</v>
      </c>
      <c r="I20" s="83">
        <v>1197.2605903499946</v>
      </c>
      <c r="J20" s="82">
        <v>25872.753456929098</v>
      </c>
      <c r="K20" s="83">
        <v>1126.8334967999949</v>
      </c>
      <c r="L20" s="82">
        <v>25656.700300035525</v>
      </c>
      <c r="M20" s="83">
        <v>1056.4064032499953</v>
      </c>
      <c r="N20" s="82">
        <v>25414.953311283411</v>
      </c>
      <c r="O20" s="83">
        <v>985.97930969999561</v>
      </c>
      <c r="P20" s="82">
        <v>25142.472321363515</v>
      </c>
      <c r="Q20" s="83">
        <v>915.55221614999596</v>
      </c>
      <c r="R20" s="82">
        <v>24832.735445910472</v>
      </c>
      <c r="S20" s="83">
        <v>845.12512259999642</v>
      </c>
      <c r="T20" s="82">
        <v>24477.142344111478</v>
      </c>
      <c r="U20" s="83">
        <v>774.69802904999653</v>
      </c>
      <c r="V20" s="82">
        <v>24064.101757078755</v>
      </c>
      <c r="W20" s="83">
        <v>704.27093549999688</v>
      </c>
      <c r="X20" s="82">
        <v>23577.596860480098</v>
      </c>
      <c r="Y20" s="83">
        <v>633.84384194999734</v>
      </c>
      <c r="Z20" s="82">
        <v>22994.848424689975</v>
      </c>
      <c r="AA20" s="83">
        <v>563.41674839999746</v>
      </c>
      <c r="AB20" s="82">
        <v>22282.359195531488</v>
      </c>
      <c r="AC20" s="83">
        <v>492.98965484999781</v>
      </c>
      <c r="AD20" s="82">
        <v>21388.939598580211</v>
      </c>
      <c r="AE20" s="83">
        <v>422.56256129999809</v>
      </c>
      <c r="AF20" s="82">
        <v>20232.865047191208</v>
      </c>
      <c r="AG20" s="83">
        <v>352.13546774999827</v>
      </c>
      <c r="AH20" s="82">
        <v>18677.282066359327</v>
      </c>
      <c r="AI20" s="83">
        <v>281.70837419999856</v>
      </c>
      <c r="AJ20" s="82">
        <v>16482.136449613383</v>
      </c>
      <c r="AK20" s="83">
        <v>211.28128064999879</v>
      </c>
      <c r="AL20" s="82">
        <v>13213.680008773732</v>
      </c>
      <c r="AM20" s="83">
        <v>140.85418709999902</v>
      </c>
      <c r="AN20" s="82">
        <v>8107.0720760685554</v>
      </c>
      <c r="AO20" s="83">
        <v>70.42709354999927</v>
      </c>
      <c r="AP20" s="82">
        <v>6768.1506812957659</v>
      </c>
      <c r="AQ20" s="83">
        <v>56.341674839999328</v>
      </c>
      <c r="AR20" s="82">
        <v>5298.7520241029479</v>
      </c>
      <c r="AS20" s="83">
        <v>42.256256129999379</v>
      </c>
      <c r="AT20" s="82">
        <v>3687.9380511133627</v>
      </c>
      <c r="AU20" s="83">
        <v>28.170837419999433</v>
      </c>
      <c r="AV20" s="82">
        <v>1925.0449879306686</v>
      </c>
      <c r="AW20" s="83">
        <v>14.08541870999948</v>
      </c>
    </row>
    <row r="21" spans="1:49" x14ac:dyDescent="0.2">
      <c r="A21" t="s">
        <v>76</v>
      </c>
      <c r="B21" s="82">
        <v>24661.962529999968</v>
      </c>
      <c r="C21" s="83">
        <v>1145.7547579999991</v>
      </c>
      <c r="D21" s="82">
        <v>24529.34795987777</v>
      </c>
      <c r="E21" s="83">
        <v>1076.8215087079539</v>
      </c>
      <c r="F21" s="82">
        <v>24383.761337400669</v>
      </c>
      <c r="G21" s="83">
        <v>1008.0348908603188</v>
      </c>
      <c r="H21" s="82">
        <v>24223.259390613144</v>
      </c>
      <c r="I21" s="83">
        <v>939.42537583691103</v>
      </c>
      <c r="J21" s="82">
        <v>24045.46444469097</v>
      </c>
      <c r="K21" s="83">
        <v>871.03076027325881</v>
      </c>
      <c r="L21" s="82">
        <v>23847.437303524075</v>
      </c>
      <c r="M21" s="83">
        <v>802.8985894180197</v>
      </c>
      <c r="N21" s="82">
        <v>23625.489967300084</v>
      </c>
      <c r="O21" s="83">
        <v>735.08905078689645</v>
      </c>
      <c r="P21" s="82">
        <v>23374.930519073241</v>
      </c>
      <c r="Q21" s="83">
        <v>667.67942173198185</v>
      </c>
      <c r="R21" s="82">
        <v>23089.686501104428</v>
      </c>
      <c r="S21" s="83">
        <v>600.77007618634002</v>
      </c>
      <c r="T21" s="82">
        <v>22761.748479587102</v>
      </c>
      <c r="U21" s="83">
        <v>534.49319470491275</v>
      </c>
      <c r="V21" s="82">
        <v>22380.319084336821</v>
      </c>
      <c r="W21" s="83">
        <v>469.02532177034709</v>
      </c>
      <c r="X21" s="82">
        <v>21930.474973854551</v>
      </c>
      <c r="Y21" s="83">
        <v>404.60591551275303</v>
      </c>
      <c r="Z21" s="82">
        <v>21390.987341335294</v>
      </c>
      <c r="AA21" s="83">
        <v>341.56497925644561</v>
      </c>
      <c r="AB21" s="82">
        <v>20730.63297332589</v>
      </c>
      <c r="AC21" s="83">
        <v>280.36443951901202</v>
      </c>
      <c r="AD21" s="82">
        <v>19901.69157163698</v>
      </c>
      <c r="AE21" s="83">
        <v>221.66009509753803</v>
      </c>
      <c r="AF21" s="82">
        <v>18827.97613009184</v>
      </c>
      <c r="AG21" s="83">
        <v>166.3913828165137</v>
      </c>
      <c r="AH21" s="82">
        <v>17381.924928423952</v>
      </c>
      <c r="AI21" s="83">
        <v>115.89898839090532</v>
      </c>
      <c r="AJ21" s="82">
        <v>15339.865579439294</v>
      </c>
      <c r="AK21" s="83">
        <v>72.031431233610718</v>
      </c>
      <c r="AL21" s="82">
        <v>12297.915678054462</v>
      </c>
      <c r="AM21" s="83">
        <v>37.069915240975476</v>
      </c>
      <c r="AN21" s="82">
        <v>7544.5889542547884</v>
      </c>
      <c r="AO21" s="83">
        <v>13.030883753837045</v>
      </c>
      <c r="AP21" s="82">
        <v>6298.3878002065712</v>
      </c>
      <c r="AQ21" s="83">
        <v>9.5968864600420005</v>
      </c>
      <c r="AR21" s="82">
        <v>4930.8206048269521</v>
      </c>
      <c r="AS21" s="83">
        <v>6.600111394447449</v>
      </c>
      <c r="AT21" s="82">
        <v>3431.7366008016656</v>
      </c>
      <c r="AU21" s="83">
        <v>4.0198839555381385</v>
      </c>
      <c r="AV21" s="82">
        <v>1791.2432404318249</v>
      </c>
      <c r="AW21" s="83">
        <v>1.8300811128229841</v>
      </c>
    </row>
    <row r="22" spans="1:49" x14ac:dyDescent="0.2">
      <c r="A22" t="s">
        <v>28</v>
      </c>
      <c r="B22" s="41">
        <v>6533.6044688320644</v>
      </c>
      <c r="C22" s="42">
        <v>379.90788307663382</v>
      </c>
      <c r="D22" s="41">
        <v>6484.4983801797925</v>
      </c>
      <c r="E22" s="42">
        <v>367.91222565143249</v>
      </c>
      <c r="F22" s="41">
        <v>6431.7172370498211</v>
      </c>
      <c r="G22" s="42">
        <v>355.59432673536787</v>
      </c>
      <c r="H22" s="41">
        <v>6374.7273974611999</v>
      </c>
      <c r="I22" s="42">
        <v>342.9301476450064</v>
      </c>
      <c r="J22" s="41">
        <v>6312.879278873319</v>
      </c>
      <c r="K22" s="42">
        <v>329.89230586671846</v>
      </c>
      <c r="L22" s="41">
        <v>6245.3739682465912</v>
      </c>
      <c r="M22" s="42">
        <v>316.44951415538964</v>
      </c>
      <c r="N22" s="41">
        <v>6171.214877937924</v>
      </c>
      <c r="O22" s="42">
        <v>302.565478309779</v>
      </c>
      <c r="P22" s="41">
        <v>6089.1417928255578</v>
      </c>
      <c r="Q22" s="42">
        <v>288.19781314193835</v>
      </c>
      <c r="R22" s="41">
        <v>5997.5343955309672</v>
      </c>
      <c r="S22" s="42">
        <v>273.29635768047564</v>
      </c>
      <c r="T22" s="41">
        <v>5894.2705987283362</v>
      </c>
      <c r="U22" s="42">
        <v>257.80097580248895</v>
      </c>
      <c r="V22" s="41">
        <v>5776.5114139439993</v>
      </c>
      <c r="W22" s="42">
        <v>241.63843324276033</v>
      </c>
      <c r="X22" s="41">
        <v>5640.3652579154677</v>
      </c>
      <c r="Y22" s="42">
        <v>224.71799945033911</v>
      </c>
      <c r="Z22" s="41">
        <v>5480.3466344726994</v>
      </c>
      <c r="AA22" s="42">
        <v>206.92511401385468</v>
      </c>
      <c r="AB22" s="41">
        <v>5288.4676100406623</v>
      </c>
      <c r="AC22" s="42">
        <v>188.11190653840086</v>
      </c>
      <c r="AD22" s="41">
        <v>5052.6557171141994</v>
      </c>
      <c r="AE22" s="42">
        <v>168.08318381720525</v>
      </c>
      <c r="AF22" s="41">
        <v>4753.8801458061107</v>
      </c>
      <c r="AG22" s="42">
        <v>146.57552165151247</v>
      </c>
      <c r="AH22" s="41">
        <v>4360.7427103456293</v>
      </c>
      <c r="AI22" s="42">
        <v>123.22745207209884</v>
      </c>
      <c r="AJ22" s="41">
        <v>3819.1463702337032</v>
      </c>
      <c r="AK22" s="42">
        <v>97.543478041533774</v>
      </c>
      <c r="AL22" s="41">
        <v>3033.505500999604</v>
      </c>
      <c r="AM22" s="42">
        <v>68.876060762282833</v>
      </c>
      <c r="AN22" s="41">
        <v>1840.1014738076028</v>
      </c>
      <c r="AO22" s="42">
        <v>36.511119958170589</v>
      </c>
      <c r="AP22" s="41">
        <v>1532.3056994061335</v>
      </c>
      <c r="AQ22" s="42">
        <v>29.544373794489321</v>
      </c>
      <c r="AR22" s="41">
        <v>1196.4972641976401</v>
      </c>
      <c r="AS22" s="42">
        <v>22.408429115758846</v>
      </c>
      <c r="AT22" s="41">
        <v>830.52425482084936</v>
      </c>
      <c r="AU22" s="42">
        <v>15.103978487031702</v>
      </c>
      <c r="AV22" s="41">
        <v>432.32632194694912</v>
      </c>
      <c r="AW22" s="42">
        <v>7.6332481696503169</v>
      </c>
    </row>
    <row r="23" spans="1:49" x14ac:dyDescent="0.2">
      <c r="A23" t="s">
        <v>7</v>
      </c>
      <c r="B23" s="116">
        <v>3278.5018080150408</v>
      </c>
      <c r="C23" s="8">
        <v>0</v>
      </c>
      <c r="D23" s="116">
        <v>3265.71178663813</v>
      </c>
      <c r="E23" s="8">
        <v>0</v>
      </c>
      <c r="F23" s="116">
        <v>3251.2318248503448</v>
      </c>
      <c r="G23" s="8">
        <v>0</v>
      </c>
      <c r="H23" s="116">
        <v>3234.8036434298197</v>
      </c>
      <c r="I23" s="8">
        <v>0</v>
      </c>
      <c r="J23" s="116">
        <v>3216.1104484626212</v>
      </c>
      <c r="K23" s="8">
        <v>0</v>
      </c>
      <c r="L23" s="116">
        <v>3194.759768758503</v>
      </c>
      <c r="M23" s="8">
        <v>0</v>
      </c>
      <c r="N23" s="116">
        <v>3170.2578671299921</v>
      </c>
      <c r="O23" s="8">
        <v>0</v>
      </c>
      <c r="P23" s="116">
        <v>3141.975064904389</v>
      </c>
      <c r="Q23" s="8">
        <v>0</v>
      </c>
      <c r="R23" s="116">
        <v>3109.0942849323137</v>
      </c>
      <c r="S23" s="8">
        <v>0</v>
      </c>
      <c r="T23" s="116">
        <v>3070.5349335637989</v>
      </c>
      <c r="U23" s="8">
        <v>0</v>
      </c>
      <c r="V23" s="116">
        <v>3024.8361680757043</v>
      </c>
      <c r="W23" s="8">
        <v>0</v>
      </c>
      <c r="X23" s="116">
        <v>2969.9728727413412</v>
      </c>
      <c r="Y23" s="8">
        <v>0</v>
      </c>
      <c r="Z23" s="116">
        <v>2903.0550954554778</v>
      </c>
      <c r="AA23" s="8">
        <v>0</v>
      </c>
      <c r="AB23" s="116">
        <v>2819.8173011495041</v>
      </c>
      <c r="AC23" s="8">
        <v>0</v>
      </c>
      <c r="AD23" s="116">
        <v>2713.7145065766949</v>
      </c>
      <c r="AE23" s="8">
        <v>0</v>
      </c>
      <c r="AF23" s="116">
        <v>2574.249861618317</v>
      </c>
      <c r="AG23" s="8">
        <v>0</v>
      </c>
      <c r="AH23" s="116">
        <v>2383.7530633509818</v>
      </c>
      <c r="AI23" s="8">
        <v>0</v>
      </c>
      <c r="AJ23" s="116">
        <v>2111.0348828841279</v>
      </c>
      <c r="AK23" s="8">
        <v>0</v>
      </c>
      <c r="AL23" s="116">
        <v>1699.3094282608693</v>
      </c>
      <c r="AM23" s="8">
        <v>0</v>
      </c>
      <c r="AN23" s="116">
        <v>1047.4832012622803</v>
      </c>
      <c r="AO23" s="8">
        <v>0</v>
      </c>
      <c r="AP23" s="116">
        <v>875.36695300626445</v>
      </c>
      <c r="AQ23" s="8">
        <v>0</v>
      </c>
      <c r="AR23" s="116">
        <v>686.02352277111174</v>
      </c>
      <c r="AS23" s="8">
        <v>0</v>
      </c>
      <c r="AT23" s="116">
        <v>477.97057153018699</v>
      </c>
      <c r="AU23" s="8">
        <v>0</v>
      </c>
      <c r="AV23" s="116">
        <v>249.7559246033463</v>
      </c>
      <c r="AW23" s="8">
        <v>0</v>
      </c>
    </row>
    <row r="24" spans="1:49" x14ac:dyDescent="0.2">
      <c r="A24" t="s">
        <v>8</v>
      </c>
      <c r="B24" s="97">
        <v>3196.3846373657216</v>
      </c>
      <c r="C24" s="8">
        <v>0</v>
      </c>
      <c r="D24" s="97">
        <v>3202.9889678266231</v>
      </c>
      <c r="E24" s="8">
        <v>0</v>
      </c>
      <c r="F24" s="97">
        <v>3207.9464200916177</v>
      </c>
      <c r="G24" s="8">
        <v>0</v>
      </c>
      <c r="H24" s="97">
        <v>3210.9952120179537</v>
      </c>
      <c r="I24" s="8">
        <v>0</v>
      </c>
      <c r="J24" s="97">
        <v>3211.8124435766299</v>
      </c>
      <c r="K24" s="8">
        <v>0</v>
      </c>
      <c r="L24" s="97">
        <v>3209.9960588928943</v>
      </c>
      <c r="M24" s="8">
        <v>0</v>
      </c>
      <c r="N24" s="97">
        <v>3205.0372457481963</v>
      </c>
      <c r="O24" s="8">
        <v>0</v>
      </c>
      <c r="P24" s="97">
        <v>3196.2833771194478</v>
      </c>
      <c r="Q24" s="8">
        <v>0</v>
      </c>
      <c r="R24" s="97">
        <v>3182.8824290581147</v>
      </c>
      <c r="S24" s="8">
        <v>0</v>
      </c>
      <c r="T24" s="97">
        <v>3163.7004242861804</v>
      </c>
      <c r="U24" s="8">
        <v>0</v>
      </c>
      <c r="V24" s="97">
        <v>3137.1941244701902</v>
      </c>
      <c r="W24" s="8">
        <v>0</v>
      </c>
      <c r="X24" s="97">
        <v>3101.209036453718</v>
      </c>
      <c r="Y24" s="8">
        <v>0</v>
      </c>
      <c r="Z24" s="97">
        <v>3052.6465952159697</v>
      </c>
      <c r="AA24" s="8">
        <v>0</v>
      </c>
      <c r="AB24" s="97">
        <v>2986.8944364731024</v>
      </c>
      <c r="AC24" s="8">
        <v>0</v>
      </c>
      <c r="AD24" s="97">
        <v>2896.8067225112827</v>
      </c>
      <c r="AE24" s="8">
        <v>0</v>
      </c>
      <c r="AF24" s="97">
        <v>2770.7934630623572</v>
      </c>
      <c r="AG24" s="8">
        <v>0</v>
      </c>
      <c r="AH24" s="97">
        <v>2589.0796099804911</v>
      </c>
      <c r="AI24" s="8">
        <v>0</v>
      </c>
      <c r="AJ24" s="97">
        <v>2316.1758705154043</v>
      </c>
      <c r="AK24" s="8">
        <v>0</v>
      </c>
      <c r="AL24" s="97">
        <v>1886.0962871791514</v>
      </c>
      <c r="AM24" s="8">
        <v>0</v>
      </c>
      <c r="AN24" s="97">
        <v>1178.1616763578938</v>
      </c>
      <c r="AO24" s="8">
        <v>0</v>
      </c>
      <c r="AP24" s="97">
        <v>987.39153903919464</v>
      </c>
      <c r="AQ24" s="8">
        <v>0</v>
      </c>
      <c r="AR24" s="97">
        <v>776.0762712386969</v>
      </c>
      <c r="AS24" s="8">
        <v>0</v>
      </c>
      <c r="AT24" s="97">
        <v>542.31775413722198</v>
      </c>
      <c r="AU24" s="8">
        <v>0</v>
      </c>
      <c r="AV24" s="97">
        <v>284.23167789279597</v>
      </c>
      <c r="AW24" s="8">
        <v>0</v>
      </c>
    </row>
    <row r="25" spans="1:49" x14ac:dyDescent="0.2">
      <c r="A25" t="s">
        <v>0</v>
      </c>
      <c r="B25" s="41">
        <v>3195.0476040000012</v>
      </c>
      <c r="C25" s="42">
        <v>91.012690000004397</v>
      </c>
      <c r="D25" s="41">
        <v>3183.0279035754452</v>
      </c>
      <c r="E25" s="42">
        <v>83.147440725750357</v>
      </c>
      <c r="F25" s="41">
        <v>3169.2810306793886</v>
      </c>
      <c r="G25" s="42">
        <v>75.508258921207741</v>
      </c>
      <c r="H25" s="41">
        <v>3153.5493979371595</v>
      </c>
      <c r="I25" s="42">
        <v>68.109630976001441</v>
      </c>
      <c r="J25" s="41">
        <v>3135.5174657442171</v>
      </c>
      <c r="K25" s="42">
        <v>60.96728707722086</v>
      </c>
      <c r="L25" s="41">
        <v>3114.7946634506702</v>
      </c>
      <c r="M25" s="42">
        <v>54.098250373666851</v>
      </c>
      <c r="N25" s="41">
        <v>3090.8898906294576</v>
      </c>
      <c r="O25" s="42">
        <v>47.521125652699411</v>
      </c>
      <c r="P25" s="41">
        <v>3063.1769161555417</v>
      </c>
      <c r="Q25" s="42">
        <v>41.25620102128071</v>
      </c>
      <c r="R25" s="41">
        <v>3030.8430048191376</v>
      </c>
      <c r="S25" s="42">
        <v>35.325695012034828</v>
      </c>
      <c r="T25" s="41">
        <v>2992.812894747919</v>
      </c>
      <c r="U25" s="42">
        <v>29.753966994639782</v>
      </c>
      <c r="V25" s="41">
        <v>2947.6322782307179</v>
      </c>
      <c r="W25" s="42">
        <v>24.56776108473376</v>
      </c>
      <c r="X25" s="41">
        <v>2893.2844103416846</v>
      </c>
      <c r="Y25" s="42">
        <v>19.79640594504701</v>
      </c>
      <c r="Z25" s="41">
        <v>2826.8913164035353</v>
      </c>
      <c r="AA25" s="42">
        <v>15.471854716659552</v>
      </c>
      <c r="AB25" s="41">
        <v>2744.2086675526571</v>
      </c>
      <c r="AC25" s="42">
        <v>11.628558604300123</v>
      </c>
      <c r="AD25" s="41">
        <v>2638.7380462523915</v>
      </c>
      <c r="AE25" s="42">
        <v>8.3026175384012557</v>
      </c>
      <c r="AF25" s="41">
        <v>2500.1016511942044</v>
      </c>
      <c r="AG25" s="42">
        <v>5.5296153924853702</v>
      </c>
      <c r="AH25" s="41">
        <v>2310.9584089921245</v>
      </c>
      <c r="AI25" s="42">
        <v>3.3396142282088448</v>
      </c>
      <c r="AJ25" s="41">
        <v>2041.0595980054388</v>
      </c>
      <c r="AK25" s="42">
        <v>1.7464962979428647</v>
      </c>
      <c r="AL25" s="41">
        <v>1636.2928637111677</v>
      </c>
      <c r="AM25" s="42">
        <v>0.72802416400811831</v>
      </c>
      <c r="AN25" s="41">
        <v>1002.6509602454552</v>
      </c>
      <c r="AO25" s="42">
        <v>0.19843772908043117</v>
      </c>
      <c r="AP25" s="41">
        <v>836.70097209308119</v>
      </c>
      <c r="AQ25" s="42">
        <v>0.13819989723632753</v>
      </c>
      <c r="AR25" s="41">
        <v>654.73266900784847</v>
      </c>
      <c r="AS25" s="42">
        <v>8.9751215620103353E-2</v>
      </c>
      <c r="AT25" s="41">
        <v>455.45062254493149</v>
      </c>
      <c r="AU25" s="42">
        <v>5.1555925361196651E-2</v>
      </c>
      <c r="AV25" s="41">
        <v>237.59921781382482</v>
      </c>
      <c r="AW25" s="42">
        <v>2.2114194382724457E-2</v>
      </c>
    </row>
    <row r="26" spans="1:49" x14ac:dyDescent="0.2">
      <c r="A26" t="s">
        <v>27</v>
      </c>
      <c r="B26" s="33">
        <v>5036.2953101960647</v>
      </c>
      <c r="C26" s="34">
        <v>74.905331803938267</v>
      </c>
      <c r="D26" s="33">
        <v>5018.3032350964322</v>
      </c>
      <c r="E26" s="34">
        <v>70.876912431633585</v>
      </c>
      <c r="F26" s="33">
        <v>4998.0173975788721</v>
      </c>
      <c r="G26" s="34">
        <v>66.836058057856633</v>
      </c>
      <c r="H26" s="33">
        <v>4975.0595484083815</v>
      </c>
      <c r="I26" s="34">
        <v>62.782175194463065</v>
      </c>
      <c r="J26" s="33">
        <v>4948.9622993179346</v>
      </c>
      <c r="K26" s="34">
        <v>58.71473244743899</v>
      </c>
      <c r="L26" s="33">
        <v>4919.1421599342912</v>
      </c>
      <c r="M26" s="34">
        <v>54.633287682148662</v>
      </c>
      <c r="N26" s="33">
        <v>4884.8596162729436</v>
      </c>
      <c r="O26" s="34">
        <v>50.537630761552258</v>
      </c>
      <c r="P26" s="33">
        <v>4845.1643600328434</v>
      </c>
      <c r="Q26" s="34">
        <v>46.427908929769124</v>
      </c>
      <c r="R26" s="33">
        <v>4798.8139931866735</v>
      </c>
      <c r="S26" s="34">
        <v>42.304889732290967</v>
      </c>
      <c r="T26" s="33">
        <v>4744.1531940690347</v>
      </c>
      <c r="U26" s="34">
        <v>38.170351948907125</v>
      </c>
      <c r="V26" s="33">
        <v>4678.9278552122987</v>
      </c>
      <c r="W26" s="34">
        <v>34.027733345036523</v>
      </c>
      <c r="X26" s="33">
        <v>4599.9912353875461</v>
      </c>
      <c r="Y26" s="34">
        <v>29.88317728868817</v>
      </c>
      <c r="Z26" s="33">
        <v>4502.8225109709156</v>
      </c>
      <c r="AA26" s="34">
        <v>25.747225286521999</v>
      </c>
      <c r="AB26" s="33">
        <v>4380.7078673505657</v>
      </c>
      <c r="AC26" s="34">
        <v>21.637703423943115</v>
      </c>
      <c r="AD26" s="33">
        <v>4223.2893500997016</v>
      </c>
      <c r="AE26" s="34">
        <v>17.584471089851764</v>
      </c>
      <c r="AF26" s="33">
        <v>4013.8810322962818</v>
      </c>
      <c r="AG26" s="34">
        <v>13.637315788104051</v>
      </c>
      <c r="AH26" s="33">
        <v>3724.3098757900189</v>
      </c>
      <c r="AI26" s="34">
        <v>9.8784460961348497</v>
      </c>
      <c r="AJ26" s="33">
        <v>3304.8008513592281</v>
      </c>
      <c r="AK26" s="34">
        <v>6.4394840668514597</v>
      </c>
      <c r="AL26" s="33">
        <v>2664.8993428277645</v>
      </c>
      <c r="AM26" s="34">
        <v>3.5136406952011505</v>
      </c>
      <c r="AN26" s="33">
        <v>1644.5021558121857</v>
      </c>
      <c r="AO26" s="34">
        <v>1.3256924879949248</v>
      </c>
      <c r="AP26" s="33">
        <v>1374.4259496219356</v>
      </c>
      <c r="AQ26" s="34">
        <v>0.99163995198073629</v>
      </c>
      <c r="AR26" s="33">
        <v>1077.1922595056042</v>
      </c>
      <c r="AS26" s="34">
        <v>0.69294779524497707</v>
      </c>
      <c r="AT26" s="33">
        <v>750.51019798399886</v>
      </c>
      <c r="AU26" s="34">
        <v>0.42897933287324685</v>
      </c>
      <c r="AV26" s="33">
        <v>392.14805024523287</v>
      </c>
      <c r="AW26" s="34">
        <v>0.19855822323373129</v>
      </c>
    </row>
    <row r="27" spans="1:49" x14ac:dyDescent="0.2">
      <c r="A27" t="s">
        <v>2</v>
      </c>
      <c r="B27" s="35">
        <v>6425.1981589998923</v>
      </c>
      <c r="C27" s="36">
        <v>273.22915400000028</v>
      </c>
      <c r="D27" s="35">
        <v>6403.8526937647293</v>
      </c>
      <c r="E27" s="36">
        <v>258.5673691601308</v>
      </c>
      <c r="F27" s="35">
        <v>6379.6635559840615</v>
      </c>
      <c r="G27" s="36">
        <v>243.85830453965215</v>
      </c>
      <c r="H27" s="35">
        <v>6352.1691597900999</v>
      </c>
      <c r="I27" s="36">
        <v>229.09988399290705</v>
      </c>
      <c r="J27" s="35">
        <v>6320.7991326994688</v>
      </c>
      <c r="K27" s="36">
        <v>214.29039291734819</v>
      </c>
      <c r="L27" s="35">
        <v>6284.8410076463897</v>
      </c>
      <c r="M27" s="36">
        <v>199.42812723283731</v>
      </c>
      <c r="N27" s="35">
        <v>6243.3912191787367</v>
      </c>
      <c r="O27" s="36">
        <v>184.51246398299892</v>
      </c>
      <c r="P27" s="35">
        <v>6195.2872507782395</v>
      </c>
      <c r="Q27" s="36">
        <v>169.54390644219626</v>
      </c>
      <c r="R27" s="35">
        <v>6139.0068414395819</v>
      </c>
      <c r="S27" s="36">
        <v>154.52519435254882</v>
      </c>
      <c r="T27" s="35">
        <v>6072.5174185124724</v>
      </c>
      <c r="U27" s="36">
        <v>139.46261698042665</v>
      </c>
      <c r="V27" s="35">
        <v>5993.043513598067</v>
      </c>
      <c r="W27" s="36">
        <v>124.36841695743723</v>
      </c>
      <c r="X27" s="35">
        <v>5896.6968402360044</v>
      </c>
      <c r="Y27" s="36">
        <v>109.26456586816984</v>
      </c>
      <c r="Z27" s="35">
        <v>5777.8666208308587</v>
      </c>
      <c r="AA27" s="36">
        <v>94.188611405035331</v>
      </c>
      <c r="AB27" s="35">
        <v>5628.1741995186558</v>
      </c>
      <c r="AC27" s="36">
        <v>79.204407189580351</v>
      </c>
      <c r="AD27" s="35">
        <v>5434.6036868647943</v>
      </c>
      <c r="AE27" s="36">
        <v>64.419073634348351</v>
      </c>
      <c r="AF27" s="35">
        <v>5176.0044657420949</v>
      </c>
      <c r="AG27" s="36">
        <v>50.011587205993628</v>
      </c>
      <c r="AH27" s="35">
        <v>4816.2671097951161</v>
      </c>
      <c r="AI27" s="36">
        <v>36.278363280891384</v>
      </c>
      <c r="AJ27" s="35">
        <v>4290.6675419971771</v>
      </c>
      <c r="AK27" s="36">
        <v>23.695585357316144</v>
      </c>
      <c r="AL27" s="35">
        <v>3479.2897156890631</v>
      </c>
      <c r="AM27" s="36">
        <v>12.965491024533851</v>
      </c>
      <c r="AN27" s="35">
        <v>2164.1069645834937</v>
      </c>
      <c r="AO27" s="36">
        <v>4.9112442412884816</v>
      </c>
      <c r="AP27" s="35">
        <v>1812.1487649542912</v>
      </c>
      <c r="AQ27" s="36">
        <v>3.677196857918704</v>
      </c>
      <c r="AR27" s="35">
        <v>1423.1228304989529</v>
      </c>
      <c r="AS27" s="36">
        <v>2.5721825455315628</v>
      </c>
      <c r="AT27" s="35">
        <v>993.64184712277722</v>
      </c>
      <c r="AU27" s="36">
        <v>1.5940417625372614</v>
      </c>
      <c r="AV27" s="35">
        <v>520.34689816712284</v>
      </c>
      <c r="AW27" s="36">
        <v>0.73864533211403061</v>
      </c>
    </row>
    <row r="28" spans="1:49" x14ac:dyDescent="0.2">
      <c r="A28" t="s">
        <v>35</v>
      </c>
      <c r="B28" s="41">
        <v>13763.097675999892</v>
      </c>
      <c r="C28" s="42">
        <v>382.36647900000014</v>
      </c>
      <c r="D28" s="41">
        <v>13715.537336697378</v>
      </c>
      <c r="E28" s="42">
        <v>361.83526944525948</v>
      </c>
      <c r="F28" s="41">
        <v>13661.790506450427</v>
      </c>
      <c r="G28" s="42">
        <v>341.23865450609725</v>
      </c>
      <c r="H28" s="41">
        <v>13600.844330506034</v>
      </c>
      <c r="I28" s="42">
        <v>320.57369321262775</v>
      </c>
      <c r="J28" s="41">
        <v>13531.447225208782</v>
      </c>
      <c r="K28" s="42">
        <v>299.83789624222743</v>
      </c>
      <c r="L28" s="41">
        <v>13452.036256582369</v>
      </c>
      <c r="M28" s="42">
        <v>279.02891481251078</v>
      </c>
      <c r="N28" s="41">
        <v>13360.629927647205</v>
      </c>
      <c r="O28" s="42">
        <v>258.14581870776834</v>
      </c>
      <c r="P28" s="41">
        <v>13254.68045979915</v>
      </c>
      <c r="Q28" s="42">
        <v>237.18932438657012</v>
      </c>
      <c r="R28" s="41">
        <v>13130.854450459881</v>
      </c>
      <c r="S28" s="42">
        <v>216.16328802756681</v>
      </c>
      <c r="T28" s="41">
        <v>12984.706091076376</v>
      </c>
      <c r="U28" s="42">
        <v>195.07658827821533</v>
      </c>
      <c r="V28" s="41">
        <v>12810.173524457972</v>
      </c>
      <c r="W28" s="42">
        <v>173.94647364120954</v>
      </c>
      <c r="X28" s="41">
        <v>12598.780366557407</v>
      </c>
      <c r="Y28" s="42">
        <v>152.80386283449397</v>
      </c>
      <c r="Z28" s="41">
        <v>12338.323866493609</v>
      </c>
      <c r="AA28" s="42">
        <v>131.70165929582436</v>
      </c>
      <c r="AB28" s="41">
        <v>12010.635217796442</v>
      </c>
      <c r="AC28" s="42">
        <v>110.7296861581863</v>
      </c>
      <c r="AD28" s="41">
        <v>11587.59401413975</v>
      </c>
      <c r="AE28" s="42">
        <v>90.038569021442868</v>
      </c>
      <c r="AF28" s="41">
        <v>11023.717705072482</v>
      </c>
      <c r="AG28" s="42">
        <v>69.87983369357832</v>
      </c>
      <c r="AH28" s="41">
        <v>10241.818343935807</v>
      </c>
      <c r="AI28" s="42">
        <v>50.669702142502487</v>
      </c>
      <c r="AJ28" s="41">
        <v>9104.6163660042002</v>
      </c>
      <c r="AK28" s="42">
        <v>33.076202174732074</v>
      </c>
      <c r="AL28" s="41">
        <v>7360.4282314837028</v>
      </c>
      <c r="AM28" s="42">
        <v>18.083224085911233</v>
      </c>
      <c r="AN28" s="41">
        <v>4558.3350584809559</v>
      </c>
      <c r="AO28" s="42">
        <v>6.8416527674012801</v>
      </c>
      <c r="AP28" s="41">
        <v>3812.9794383039807</v>
      </c>
      <c r="AQ28" s="42">
        <v>5.121066051454731</v>
      </c>
      <c r="AR28" s="41">
        <v>2991.0824380580525</v>
      </c>
      <c r="AS28" s="42">
        <v>3.5810582188249187</v>
      </c>
      <c r="AT28" s="41">
        <v>2085.9500980639104</v>
      </c>
      <c r="AU28" s="42">
        <v>2.2185416550993162</v>
      </c>
      <c r="AV28" s="41">
        <v>1091.0097169488038</v>
      </c>
      <c r="AW28" s="42">
        <v>1.0276720587587931</v>
      </c>
    </row>
    <row r="29" spans="1:49" x14ac:dyDescent="0.2">
      <c r="A29" t="s">
        <v>53</v>
      </c>
      <c r="B29" s="35">
        <v>14362.768558000087</v>
      </c>
      <c r="C29" s="36">
        <v>817.26651000000015</v>
      </c>
      <c r="D29" s="35">
        <v>14287.867207602963</v>
      </c>
      <c r="E29" s="36">
        <v>764.72268211522146</v>
      </c>
      <c r="F29" s="35">
        <v>14205.390152814954</v>
      </c>
      <c r="G29" s="36">
        <v>712.59202826638216</v>
      </c>
      <c r="H29" s="35">
        <v>14114.20302892009</v>
      </c>
      <c r="I29" s="36">
        <v>660.91152066375525</v>
      </c>
      <c r="J29" s="35">
        <v>14012.917701317474</v>
      </c>
      <c r="K29" s="36">
        <v>609.72458020552835</v>
      </c>
      <c r="L29" s="35">
        <v>13899.818030322513</v>
      </c>
      <c r="M29" s="36">
        <v>559.08147341302947</v>
      </c>
      <c r="N29" s="35">
        <v>13772.750153565969</v>
      </c>
      <c r="O29" s="36">
        <v>509.04293373202864</v>
      </c>
      <c r="P29" s="35">
        <v>13628.973272429565</v>
      </c>
      <c r="Q29" s="36">
        <v>459.68200298074078</v>
      </c>
      <c r="R29" s="35">
        <v>13464.939116634061</v>
      </c>
      <c r="S29" s="36">
        <v>411.08850995381567</v>
      </c>
      <c r="T29" s="35">
        <v>13275.966122521231</v>
      </c>
      <c r="U29" s="36">
        <v>363.3745045937905</v>
      </c>
      <c r="V29" s="35">
        <v>13055.740988479052</v>
      </c>
      <c r="W29" s="36">
        <v>316.68253858240206</v>
      </c>
      <c r="X29" s="35">
        <v>12795.534911351677</v>
      </c>
      <c r="Y29" s="36">
        <v>271.19739291670919</v>
      </c>
      <c r="Z29" s="35">
        <v>12482.926828793221</v>
      </c>
      <c r="AA29" s="36">
        <v>227.16252336720405</v>
      </c>
      <c r="AB29" s="35">
        <v>12099.64275293645</v>
      </c>
      <c r="AC29" s="36">
        <v>184.90605600292781</v>
      </c>
      <c r="AD29" s="35">
        <v>11617.74822490648</v>
      </c>
      <c r="AE29" s="36">
        <v>144.87698039867911</v>
      </c>
      <c r="AF29" s="35">
        <v>10992.643669846646</v>
      </c>
      <c r="AG29" s="36">
        <v>107.69673725029212</v>
      </c>
      <c r="AH29" s="35">
        <v>10149.670644603571</v>
      </c>
      <c r="AI29" s="36">
        <v>74.223464508527201</v>
      </c>
      <c r="AJ29" s="35">
        <v>8957.9910883565299</v>
      </c>
      <c r="AK29" s="36">
        <v>45.600001276984059</v>
      </c>
      <c r="AL29" s="35">
        <v>7181.5817501196398</v>
      </c>
      <c r="AM29" s="36">
        <v>23.176147157844674</v>
      </c>
      <c r="AN29" s="35">
        <v>4405.2558251754881</v>
      </c>
      <c r="AO29" s="36">
        <v>8.0406750699966008</v>
      </c>
      <c r="AP29" s="35">
        <v>3677.452912967251</v>
      </c>
      <c r="AQ29" s="36">
        <v>5.9061196281613491</v>
      </c>
      <c r="AR29" s="35">
        <v>2878.8349454075842</v>
      </c>
      <c r="AS29" s="36">
        <v>4.0511932014951553</v>
      </c>
      <c r="AT29" s="35">
        <v>2003.4991443333454</v>
      </c>
      <c r="AU29" s="36">
        <v>2.4610231175792805</v>
      </c>
      <c r="AV29" s="35">
        <v>1045.6959892948653</v>
      </c>
      <c r="AW29" s="36">
        <v>1.1175276134666428</v>
      </c>
    </row>
    <row r="30" spans="1:49" x14ac:dyDescent="0.2">
      <c r="A30" t="s">
        <v>48</v>
      </c>
      <c r="B30" s="119">
        <v>2924829.9599999995</v>
      </c>
      <c r="D30" s="119">
        <v>2943876.2125839912</v>
      </c>
      <c r="F30" s="119">
        <v>2961385.4940291666</v>
      </c>
      <c r="H30" s="119">
        <v>2977112.8308231412</v>
      </c>
      <c r="J30" s="119">
        <v>2990755.1931853858</v>
      </c>
      <c r="L30" s="119">
        <v>3001933.08816477</v>
      </c>
      <c r="N30" s="119">
        <v>3010165.1934343474</v>
      </c>
      <c r="P30" s="119">
        <v>3014831.6595023754</v>
      </c>
      <c r="R30" s="119">
        <v>3015120.6564207398</v>
      </c>
      <c r="T30" s="119">
        <v>3009948.0632022205</v>
      </c>
      <c r="V30" s="119">
        <v>2997833.4883160056</v>
      </c>
      <c r="X30" s="119">
        <v>2976702.4374555629</v>
      </c>
      <c r="Z30" s="119">
        <v>2943559.1923046992</v>
      </c>
      <c r="AB30" s="119">
        <v>2893922.4315529503</v>
      </c>
      <c r="AD30" s="119">
        <v>2820806.9949116246</v>
      </c>
      <c r="AF30" s="119">
        <v>2712794.2617037604</v>
      </c>
      <c r="AH30" s="119">
        <v>2550199.0721544204</v>
      </c>
      <c r="AJ30" s="119">
        <v>2297204.8682479379</v>
      </c>
      <c r="AL30" s="119">
        <v>1886002.6884395597</v>
      </c>
      <c r="AN30" s="119">
        <v>1189676.0420142116</v>
      </c>
      <c r="AP30" s="119">
        <v>999185.31503962004</v>
      </c>
      <c r="AR30" s="119">
        <v>787077.9468722617</v>
      </c>
      <c r="AT30" s="119">
        <v>551244.74322356598</v>
      </c>
      <c r="AV30" s="119">
        <v>289572.28345480782</v>
      </c>
    </row>
    <row r="31" spans="1:49" x14ac:dyDescent="0.2">
      <c r="A31" t="s">
        <v>47</v>
      </c>
      <c r="B31" s="80">
        <v>1</v>
      </c>
      <c r="D31" s="80">
        <v>0.99114934332042826</v>
      </c>
      <c r="F31" s="80">
        <v>0.98166614459058887</v>
      </c>
      <c r="H31" s="80">
        <v>0.97146258590138856</v>
      </c>
      <c r="J31" s="80">
        <v>0.96043246741692112</v>
      </c>
      <c r="L31" s="80">
        <v>0.94844609452914197</v>
      </c>
      <c r="N31" s="80">
        <v>0.93534288640881957</v>
      </c>
      <c r="P31" s="80">
        <v>0.92092141547988471</v>
      </c>
      <c r="R31" s="80">
        <v>0.90492493004255348</v>
      </c>
      <c r="T31" s="80">
        <v>0.88702030125232556</v>
      </c>
      <c r="V31" s="80">
        <v>0.86676635465258844</v>
      </c>
      <c r="X31" s="80">
        <v>0.8435649856287798</v>
      </c>
      <c r="Z31" s="80">
        <v>0.81658326158989336</v>
      </c>
      <c r="AB31" s="80">
        <v>0.78462436299384619</v>
      </c>
      <c r="AD31" s="80">
        <v>0.745906238242249</v>
      </c>
      <c r="AF31" s="80">
        <v>0.69766660412182113</v>
      </c>
      <c r="AH31" s="80">
        <v>0.63543558279791368</v>
      </c>
      <c r="AJ31" s="80">
        <v>0.55168620671551427</v>
      </c>
      <c r="AL31" s="80">
        <v>0.43348621898851247</v>
      </c>
      <c r="AN31" s="80">
        <v>0.25946963882461987</v>
      </c>
      <c r="AP31" s="80">
        <v>0.21542713133580568</v>
      </c>
      <c r="AR31" s="80">
        <v>0.16770148114360714</v>
      </c>
      <c r="AT31" s="80">
        <v>0.11604095383281747</v>
      </c>
      <c r="AV31" s="80">
        <v>6.0210534874297054E-2</v>
      </c>
    </row>
    <row r="32" spans="1:49" x14ac:dyDescent="0.2">
      <c r="A32" t="s">
        <v>64</v>
      </c>
      <c r="B32" s="86">
        <v>14734457.915000005</v>
      </c>
      <c r="D32" s="86">
        <v>14665917.783990122</v>
      </c>
      <c r="F32" s="86">
        <v>14589874.788860835</v>
      </c>
      <c r="H32" s="86">
        <v>14505179.873063346</v>
      </c>
      <c r="J32" s="86">
        <v>14410424.505500758</v>
      </c>
      <c r="L32" s="86">
        <v>14303864.836524677</v>
      </c>
      <c r="N32" s="86">
        <v>14183309.326170627</v>
      </c>
      <c r="P32" s="86">
        <v>14045966.19500681</v>
      </c>
      <c r="R32" s="86">
        <v>13888217.657721765</v>
      </c>
      <c r="T32" s="86">
        <v>13705286.214736197</v>
      </c>
      <c r="V32" s="86">
        <v>13490723.417814812</v>
      </c>
      <c r="X32" s="86">
        <v>13235604.301193457</v>
      </c>
      <c r="Z32" s="86">
        <v>12927211.792575957</v>
      </c>
      <c r="AB32" s="86">
        <v>12546799.81967533</v>
      </c>
      <c r="AD32" s="86">
        <v>12065629.018159572</v>
      </c>
      <c r="AF32" s="86">
        <v>11437613.005384292</v>
      </c>
      <c r="AH32" s="86">
        <v>10585096.393659225</v>
      </c>
      <c r="AJ32" s="86">
        <v>9370676.7068753317</v>
      </c>
      <c r="AL32" s="86">
        <v>7543105.011769942</v>
      </c>
      <c r="AN32" s="86">
        <v>4652263.800782836</v>
      </c>
      <c r="AP32" s="86">
        <v>3888552.6603952479</v>
      </c>
      <c r="AR32" s="86">
        <v>3048091.4504079157</v>
      </c>
      <c r="AT32" s="86">
        <v>2124179.5958086355</v>
      </c>
      <c r="AV32" s="86">
        <v>1110237.789477685</v>
      </c>
    </row>
    <row r="33" spans="1:49 16319:16321" x14ac:dyDescent="0.2">
      <c r="A33" t="s">
        <v>54</v>
      </c>
      <c r="B33" s="117">
        <v>7019665.6909999885</v>
      </c>
      <c r="D33" s="117">
        <v>6967649.522271065</v>
      </c>
      <c r="F33" s="117">
        <v>6912087.3351051603</v>
      </c>
      <c r="H33" s="117">
        <v>6852441.8744582748</v>
      </c>
      <c r="J33" s="117">
        <v>6788056.4956568955</v>
      </c>
      <c r="L33" s="117">
        <v>6718120.0708908625</v>
      </c>
      <c r="N33" s="117">
        <v>6641616.4552528597</v>
      </c>
      <c r="P33" s="117">
        <v>6557254.8303247886</v>
      </c>
      <c r="R33" s="117">
        <v>6463367.6534098024</v>
      </c>
      <c r="T33" s="117">
        <v>6357759.9341069125</v>
      </c>
      <c r="V33" s="117">
        <v>6237479.1412458923</v>
      </c>
      <c r="X33" s="117">
        <v>6098453.7609550804</v>
      </c>
      <c r="Z33" s="117">
        <v>5934906.0020487122</v>
      </c>
      <c r="AB33" s="117">
        <v>5738357.2197985221</v>
      </c>
      <c r="AD33" s="117">
        <v>5495876.5822205301</v>
      </c>
      <c r="AF33" s="117">
        <v>5186855.9600309655</v>
      </c>
      <c r="AH33" s="117">
        <v>4776832.138832543</v>
      </c>
      <c r="AJ33" s="117">
        <v>4205405.575292049</v>
      </c>
      <c r="AL33" s="117">
        <v>3363492.2680424359</v>
      </c>
      <c r="AN33" s="117">
        <v>2058856.4881630517</v>
      </c>
      <c r="AP33" s="117">
        <v>1718046.4928983287</v>
      </c>
      <c r="AR33" s="117">
        <v>1344443.4778069754</v>
      </c>
      <c r="AT33" s="117">
        <v>935314.64004235086</v>
      </c>
      <c r="AV33" s="117">
        <v>488001.46852225135</v>
      </c>
    </row>
    <row r="34" spans="1:49 16319:16321" x14ac:dyDescent="0.2">
      <c r="A34" t="s">
        <v>75</v>
      </c>
      <c r="B34" s="117">
        <v>1136879.4410000162</v>
      </c>
      <c r="D34" s="117">
        <v>1131590.9925476853</v>
      </c>
      <c r="F34" s="117">
        <v>1125723.6775264239</v>
      </c>
      <c r="H34" s="117">
        <v>1119188.8340125147</v>
      </c>
      <c r="J34" s="117">
        <v>1111877.6918471344</v>
      </c>
      <c r="L34" s="117">
        <v>1103655.7936853957</v>
      </c>
      <c r="N34" s="117">
        <v>1094353.9866125956</v>
      </c>
      <c r="P34" s="117">
        <v>1083756.8829114886</v>
      </c>
      <c r="R34" s="117">
        <v>1071585.3361839608</v>
      </c>
      <c r="T34" s="117">
        <v>1057470.7408394474</v>
      </c>
      <c r="V34" s="117">
        <v>1040915.5314530281</v>
      </c>
      <c r="X34" s="117">
        <v>1021231.0838833135</v>
      </c>
      <c r="Z34" s="117">
        <v>997436.17325333459</v>
      </c>
      <c r="AB34" s="117">
        <v>968084.39379805862</v>
      </c>
      <c r="AD34" s="117">
        <v>930958.27851595916</v>
      </c>
      <c r="AF34" s="117">
        <v>882501.89933870314</v>
      </c>
      <c r="AH34" s="117">
        <v>816723.52971867938</v>
      </c>
      <c r="AJ34" s="117">
        <v>723021.48843246291</v>
      </c>
      <c r="AL34" s="117">
        <v>582009.94305779552</v>
      </c>
      <c r="AN34" s="117">
        <v>358958.78251343954</v>
      </c>
      <c r="AP34" s="117">
        <v>300032.45491992828</v>
      </c>
      <c r="AR34" s="117">
        <v>235184.25416646112</v>
      </c>
      <c r="AT34" s="117">
        <v>163897.18039170289</v>
      </c>
      <c r="AV34" s="117">
        <v>85663.587320869148</v>
      </c>
    </row>
    <row r="35" spans="1:49 16319:16321" x14ac:dyDescent="0.2">
      <c r="A35" t="s">
        <v>78</v>
      </c>
      <c r="B35" s="233">
        <v>1</v>
      </c>
      <c r="D35" s="233">
        <v>1.001453703458423</v>
      </c>
      <c r="F35" s="233">
        <v>1.0030669156582379</v>
      </c>
      <c r="H35" s="233">
        <v>1.0048617107025866</v>
      </c>
      <c r="J35" s="233">
        <v>1.006864829984089</v>
      </c>
      <c r="L35" s="233">
        <v>1.0091089757288021</v>
      </c>
      <c r="N35" s="233">
        <v>1.0116347029598241</v>
      </c>
      <c r="P35" s="233">
        <v>1.0144929351152638</v>
      </c>
      <c r="R35" s="233">
        <v>1.0177486097134809</v>
      </c>
      <c r="T35" s="233">
        <v>1.0214859250865178</v>
      </c>
      <c r="V35" s="233">
        <v>1.0258161332518247</v>
      </c>
      <c r="X35" s="233">
        <v>1.0308893447051923</v>
      </c>
      <c r="Z35" s="233">
        <v>1.0369128829942369</v>
      </c>
      <c r="AB35" s="233">
        <v>1.0441806064278816</v>
      </c>
      <c r="AD35" s="233">
        <v>1.0531207106159575</v>
      </c>
      <c r="AF35" s="233">
        <v>1.0643747798040384</v>
      </c>
      <c r="AH35" s="233">
        <v>1.0789267614418365</v>
      </c>
      <c r="AJ35" s="233">
        <v>1.0982951324547598</v>
      </c>
      <c r="AL35" s="233">
        <v>1.1247256476881566</v>
      </c>
      <c r="AN35" s="233">
        <v>1.1609985770597824</v>
      </c>
      <c r="AP35" s="233">
        <v>1.1696411047830382</v>
      </c>
      <c r="AR35" s="233">
        <v>1.1787626924460892</v>
      </c>
      <c r="AT35" s="233">
        <v>1.1883563626727756</v>
      </c>
      <c r="AV35" s="233">
        <v>1.1984064635426683</v>
      </c>
    </row>
    <row r="36" spans="1:49 16319:16321" x14ac:dyDescent="0.2">
      <c r="A36" t="s">
        <v>21</v>
      </c>
      <c r="B36" s="37">
        <v>0.47195767671987948</v>
      </c>
      <c r="C36" s="38">
        <v>0.3173883442817898</v>
      </c>
      <c r="D36" s="37">
        <v>0.47196941515969887</v>
      </c>
      <c r="E36" s="38">
        <v>0.31893601756101553</v>
      </c>
      <c r="F36" s="37">
        <v>0.47198124887794929</v>
      </c>
      <c r="G36" s="38">
        <v>0.32060186586971001</v>
      </c>
      <c r="H36" s="37">
        <v>0.47199318723403577</v>
      </c>
      <c r="I36" s="38">
        <v>0.32240131266653149</v>
      </c>
      <c r="J36" s="37">
        <v>0.47200524185239823</v>
      </c>
      <c r="K36" s="38">
        <v>0.32435273000487608</v>
      </c>
      <c r="L36" s="37">
        <v>0.47201742407995628</v>
      </c>
      <c r="M36" s="38">
        <v>0.32647817509349963</v>
      </c>
      <c r="N36" s="37">
        <v>0.47202974758063976</v>
      </c>
      <c r="O36" s="38">
        <v>0.32880442371182028</v>
      </c>
      <c r="P36" s="37">
        <v>0.47204222539882612</v>
      </c>
      <c r="Q36" s="38">
        <v>0.33136431267967698</v>
      </c>
      <c r="R36" s="37">
        <v>0.47205486920973494</v>
      </c>
      <c r="S36" s="38">
        <v>0.33419861503312615</v>
      </c>
      <c r="T36" s="37">
        <v>0.47206768550613815</v>
      </c>
      <c r="U36" s="38">
        <v>0.33735864182295106</v>
      </c>
      <c r="V36" s="37">
        <v>0.47208067027041023</v>
      </c>
      <c r="W36" s="38">
        <v>0.3409099522196723</v>
      </c>
      <c r="X36" s="37">
        <v>0.47209379707482518</v>
      </c>
      <c r="Y36" s="38">
        <v>0.34493772387018468</v>
      </c>
      <c r="Z36" s="37">
        <v>0.47210699803429629</v>
      </c>
      <c r="AA36" s="38">
        <v>0.34955467931001982</v>
      </c>
      <c r="AB36" s="37">
        <v>0.47212012713768503</v>
      </c>
      <c r="AC36" s="38">
        <v>0.35491302123380863</v>
      </c>
      <c r="AD36" s="37">
        <v>0.47213289535128478</v>
      </c>
      <c r="AE36" s="38">
        <v>0.36122251525120508</v>
      </c>
      <c r="AF36" s="37">
        <v>0.47214475411680634</v>
      </c>
      <c r="AG36" s="38">
        <v>0.3687776871917714</v>
      </c>
      <c r="AH36" s="37">
        <v>0.47215469805642518</v>
      </c>
      <c r="AI36" s="38">
        <v>0.37799630411291574</v>
      </c>
      <c r="AJ36" s="37">
        <v>0.47216097896264425</v>
      </c>
      <c r="AK36" s="38">
        <v>0.38946210387765806</v>
      </c>
      <c r="AL36" s="37">
        <v>0.4721608937276367</v>
      </c>
      <c r="AM36" s="38">
        <v>0.40392329041482805</v>
      </c>
      <c r="AN36" s="37">
        <v>0.47215137814380415</v>
      </c>
      <c r="AO36" s="38">
        <v>0.42207755691314236</v>
      </c>
      <c r="AP36" s="37">
        <v>0.47214818788108703</v>
      </c>
      <c r="AQ36" s="38">
        <v>0.42617193502417738</v>
      </c>
      <c r="AR36" s="37">
        <v>0.47214458483354393</v>
      </c>
      <c r="AS36" s="38">
        <v>0.43041062267612634</v>
      </c>
      <c r="AT36" s="37">
        <v>0.47214059622270893</v>
      </c>
      <c r="AU36" s="38">
        <v>0.4347834084535403</v>
      </c>
      <c r="AV36" s="37">
        <v>0.47213625971828582</v>
      </c>
      <c r="AW36" s="38">
        <v>0.4392769743150628</v>
      </c>
    </row>
    <row r="37" spans="1:49 16319:16321" x14ac:dyDescent="0.2">
      <c r="B37" s="39">
        <v>2.1403217525954241E-2</v>
      </c>
      <c r="C37" s="40">
        <v>0.34962461301992537</v>
      </c>
      <c r="D37" s="39">
        <v>2.0551941518411932E-2</v>
      </c>
      <c r="E37" s="40">
        <v>0.34540057625894977</v>
      </c>
      <c r="F37" s="39">
        <v>1.9690767175188983E-2</v>
      </c>
      <c r="G37" s="40">
        <v>0.34104021564344056</v>
      </c>
      <c r="H37" s="39">
        <v>1.8819431584146253E-2</v>
      </c>
      <c r="I37" s="40">
        <v>0.33653320231590439</v>
      </c>
      <c r="J37" s="39">
        <v>1.7937662982038E-2</v>
      </c>
      <c r="K37" s="40">
        <v>0.33186787909642534</v>
      </c>
      <c r="L37" s="39">
        <v>1.704519156668596E-2</v>
      </c>
      <c r="M37" s="40">
        <v>0.32703106599795689</v>
      </c>
      <c r="N37" s="39">
        <v>1.6141740936980228E-2</v>
      </c>
      <c r="O37" s="40">
        <v>0.32200769770458887</v>
      </c>
      <c r="P37" s="39">
        <v>1.5227040774712659E-2</v>
      </c>
      <c r="Q37" s="40">
        <v>0.31678048779639351</v>
      </c>
      <c r="R37" s="39">
        <v>1.4300831643846757E-2</v>
      </c>
      <c r="S37" s="40">
        <v>0.31132943520655465</v>
      </c>
      <c r="T37" s="39">
        <v>1.3362880569184271E-2</v>
      </c>
      <c r="U37" s="40">
        <v>0.30563123389195856</v>
      </c>
      <c r="V37" s="39">
        <v>1.2413004387779014E-2</v>
      </c>
      <c r="W37" s="40">
        <v>0.29965851330048593</v>
      </c>
      <c r="X37" s="39">
        <v>1.145111460112024E-2</v>
      </c>
      <c r="Y37" s="40">
        <v>0.29337891342137418</v>
      </c>
      <c r="Z37" s="39">
        <v>1.0477301580438605E-2</v>
      </c>
      <c r="AA37" s="40">
        <v>0.28675400596774248</v>
      </c>
      <c r="AB37" s="39">
        <v>9.4919886712684746E-3</v>
      </c>
      <c r="AC37" s="40">
        <v>0.2797381431798272</v>
      </c>
      <c r="AD37" s="39">
        <v>8.4962451004972923E-3</v>
      </c>
      <c r="AE37" s="40">
        <v>0.27227775714236707</v>
      </c>
      <c r="AF37" s="39">
        <v>7.4924224942377153E-3</v>
      </c>
      <c r="AG37" s="40">
        <v>0.26431247345974218</v>
      </c>
      <c r="AH37" s="39">
        <v>6.4854886278316905E-3</v>
      </c>
      <c r="AI37" s="40">
        <v>0.25578203626910717</v>
      </c>
      <c r="AJ37" s="39">
        <v>5.4858202878671916E-3</v>
      </c>
      <c r="AK37" s="40">
        <v>0.2466497109933668</v>
      </c>
      <c r="AL37" s="39">
        <v>4.5146001618263177E-3</v>
      </c>
      <c r="AM37" s="40">
        <v>0.23696651638630156</v>
      </c>
      <c r="AN37" s="39">
        <v>3.6114030220951426E-3</v>
      </c>
      <c r="AO37" s="40">
        <v>0.22700816746409958</v>
      </c>
      <c r="AP37" s="39">
        <v>3.4438953197231093E-3</v>
      </c>
      <c r="AQ37" s="40">
        <v>0.2250339560495454</v>
      </c>
      <c r="AR37" s="39">
        <v>3.2819531360483651E-3</v>
      </c>
      <c r="AS37" s="40">
        <v>0.22308094455849789</v>
      </c>
      <c r="AT37" s="39">
        <v>3.1260596300480277E-3</v>
      </c>
      <c r="AU37" s="40">
        <v>0.2211566558111222</v>
      </c>
      <c r="AV37" s="39">
        <v>2.9766514179182012E-3</v>
      </c>
      <c r="AW37" s="40">
        <v>0.21926872178798668</v>
      </c>
    </row>
    <row r="38" spans="1:49 16319:16321" x14ac:dyDescent="0.2">
      <c r="A38" t="s">
        <v>22</v>
      </c>
      <c r="B38" s="37">
        <v>0.18079094942242827</v>
      </c>
      <c r="C38" s="38">
        <v>6.0565413429233668E-2</v>
      </c>
      <c r="D38" s="37">
        <v>0.18108526399793096</v>
      </c>
      <c r="E38" s="38">
        <v>6.1101592893895967E-2</v>
      </c>
      <c r="F38" s="37">
        <v>0.1813961590862096</v>
      </c>
      <c r="G38" s="38">
        <v>6.1679391524537289E-2</v>
      </c>
      <c r="H38" s="37">
        <v>0.18172521770360311</v>
      </c>
      <c r="I38" s="38">
        <v>6.2304350401427351E-2</v>
      </c>
      <c r="J38" s="37">
        <v>0.18207425222997162</v>
      </c>
      <c r="K38" s="38">
        <v>6.2983060216938613E-2</v>
      </c>
      <c r="L38" s="37">
        <v>0.18244534930331771</v>
      </c>
      <c r="M38" s="38">
        <v>6.3723525124352448E-2</v>
      </c>
      <c r="N38" s="37">
        <v>0.1828409266306483</v>
      </c>
      <c r="O38" s="38">
        <v>6.4535437462640469E-2</v>
      </c>
      <c r="P38" s="37">
        <v>0.18326380329250064</v>
      </c>
      <c r="Q38" s="38">
        <v>6.5430766493917256E-2</v>
      </c>
      <c r="R38" s="37">
        <v>0.18371728883633667</v>
      </c>
      <c r="S38" s="38">
        <v>6.642443313073132E-2</v>
      </c>
      <c r="T38" s="37">
        <v>0.18420529560513865</v>
      </c>
      <c r="U38" s="38">
        <v>6.7535327389340816E-2</v>
      </c>
      <c r="V38" s="37">
        <v>0.18473247939839482</v>
      </c>
      <c r="W38" s="38">
        <v>6.878771362624217E-2</v>
      </c>
      <c r="X38" s="37">
        <v>0.1853044149540177</v>
      </c>
      <c r="Y38" s="38">
        <v>7.0213300207078042E-2</v>
      </c>
      <c r="Z38" s="37">
        <v>0.18592779641176568</v>
      </c>
      <c r="AA38" s="38">
        <v>7.1854456093664476E-2</v>
      </c>
      <c r="AB38" s="37">
        <v>0.18661065407782654</v>
      </c>
      <c r="AC38" s="38">
        <v>7.3768828428995639E-2</v>
      </c>
      <c r="AD38" s="37">
        <v>0.18736248939441388</v>
      </c>
      <c r="AE38" s="38">
        <v>7.6036746086394436E-2</v>
      </c>
      <c r="AF38" s="37">
        <v>0.1881940880105151</v>
      </c>
      <c r="AG38" s="38">
        <v>7.8772571085712478E-2</v>
      </c>
      <c r="AH38" s="37">
        <v>0.18911631040715443</v>
      </c>
      <c r="AI38" s="38">
        <v>8.2141354504114555E-2</v>
      </c>
      <c r="AJ38" s="37">
        <v>0.19013603126042475</v>
      </c>
      <c r="AK38" s="38">
        <v>8.6379549351944862E-2</v>
      </c>
      <c r="AL38" s="37">
        <v>0.19124519431984568</v>
      </c>
      <c r="AM38" s="38">
        <v>9.1802937091074344E-2</v>
      </c>
      <c r="AN38" s="37">
        <v>0.19239832162806866</v>
      </c>
      <c r="AO38" s="38">
        <v>9.873689539111434E-2</v>
      </c>
      <c r="AP38" s="37">
        <v>0.19262600593996068</v>
      </c>
      <c r="AQ38" s="38">
        <v>0.10032021093005777</v>
      </c>
      <c r="AR38" s="37">
        <v>0.19285026203530084</v>
      </c>
      <c r="AS38" s="38">
        <v>0.10196690874143712</v>
      </c>
      <c r="AT38" s="37">
        <v>0.19306992257547939</v>
      </c>
      <c r="AU38" s="38">
        <v>0.10367381291457567</v>
      </c>
      <c r="AV38" s="37">
        <v>0.19328382516192724</v>
      </c>
      <c r="AW38" s="38">
        <v>0.10543644913631714</v>
      </c>
    </row>
    <row r="39" spans="1:49 16319:16321" x14ac:dyDescent="0.2">
      <c r="A39" t="s">
        <v>23</v>
      </c>
      <c r="B39" s="39">
        <v>0.23064923795098236</v>
      </c>
      <c r="C39" s="40">
        <v>0.22092201281804777</v>
      </c>
      <c r="D39" s="39">
        <v>0.23108275871893649</v>
      </c>
      <c r="E39" s="40">
        <v>0.22290584598062588</v>
      </c>
      <c r="F39" s="39">
        <v>0.23154110385417409</v>
      </c>
      <c r="G39" s="40">
        <v>0.22504367072622364</v>
      </c>
      <c r="H39" s="39">
        <v>0.23202723750759294</v>
      </c>
      <c r="I39" s="40">
        <v>0.22735624251641562</v>
      </c>
      <c r="J39" s="39">
        <v>0.23254466410882127</v>
      </c>
      <c r="K39" s="40">
        <v>0.22986845308555043</v>
      </c>
      <c r="L39" s="39">
        <v>0.23309755556468353</v>
      </c>
      <c r="M39" s="40">
        <v>0.23261026043608704</v>
      </c>
      <c r="N39" s="39">
        <v>0.23369094006907665</v>
      </c>
      <c r="O39" s="40">
        <v>0.23561833827618847</v>
      </c>
      <c r="P39" s="39">
        <v>0.23433093693016929</v>
      </c>
      <c r="Q39" s="40">
        <v>0.23893791490085661</v>
      </c>
      <c r="R39" s="39">
        <v>0.23502509050325876</v>
      </c>
      <c r="S39" s="40">
        <v>0.24262558073634516</v>
      </c>
      <c r="T39" s="39">
        <v>0.23578283001966782</v>
      </c>
      <c r="U39" s="40">
        <v>0.24675312161005694</v>
      </c>
      <c r="V39" s="39">
        <v>0.23661612695654724</v>
      </c>
      <c r="W39" s="40">
        <v>0.25141313301919233</v>
      </c>
      <c r="X39" s="39">
        <v>0.23754044349805803</v>
      </c>
      <c r="Y39" s="40">
        <v>0.25672724460266538</v>
      </c>
      <c r="Z39" s="39">
        <v>0.23857613888950269</v>
      </c>
      <c r="AA39" s="40">
        <v>0.26285828346206841</v>
      </c>
      <c r="AB39" s="39">
        <v>0.23975058379579361</v>
      </c>
      <c r="AC39" s="40">
        <v>0.270029411639089</v>
      </c>
      <c r="AD39" s="39">
        <v>0.24110137649436911</v>
      </c>
      <c r="AE39" s="40">
        <v>0.27855354420540512</v>
      </c>
      <c r="AF39" s="39">
        <v>0.24268119362058488</v>
      </c>
      <c r="AG39" s="40">
        <v>0.28887952508439657</v>
      </c>
      <c r="AH39" s="39">
        <v>0.24456468342247459</v>
      </c>
      <c r="AI39" s="40">
        <v>0.30166221185847453</v>
      </c>
      <c r="AJ39" s="39">
        <v>0.24685617517852287</v>
      </c>
      <c r="AK39" s="40">
        <v>0.31785372299186188</v>
      </c>
      <c r="AL39" s="39">
        <v>0.24968952000488409</v>
      </c>
      <c r="AM39" s="40">
        <v>0.33875693621883812</v>
      </c>
      <c r="AN39" s="39">
        <v>0.25318942048077864</v>
      </c>
      <c r="AO39" s="40">
        <v>0.36578694779039128</v>
      </c>
      <c r="AP39" s="39">
        <v>0.25397292510243702</v>
      </c>
      <c r="AQ39" s="40">
        <v>0.37200716215689167</v>
      </c>
      <c r="AR39" s="39">
        <v>0.25478238294815214</v>
      </c>
      <c r="AS39" s="40">
        <v>0.37849532776680761</v>
      </c>
      <c r="AT39" s="39">
        <v>0.25561591968646519</v>
      </c>
      <c r="AU39" s="40">
        <v>0.38524090743583445</v>
      </c>
      <c r="AV39" s="39">
        <v>0.25647109255290235</v>
      </c>
      <c r="AW39" s="40">
        <v>0.3922282327110827</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0.11184298767447384</v>
      </c>
      <c r="E42" s="135"/>
      <c r="F42" s="177">
        <f>10.8%+(1-10.8%)*(1-SUM(F26:G26)/SUM($B$26:$C$26))</f>
        <v>0.11608844988324786</v>
      </c>
      <c r="G42" s="135"/>
      <c r="H42" s="177">
        <f>10.8%+(1-10.8%)*(1-SUM(H26:I26)/SUM($B$26:$C$26))</f>
        <v>0.12080250175908978</v>
      </c>
      <c r="I42" s="135"/>
      <c r="J42" s="177">
        <f>10.8%+(1-10.8%)*(1-SUM(J26:K26)/SUM($B$26:$C$26))</f>
        <v>0.12606680402457379</v>
      </c>
      <c r="K42" s="135"/>
      <c r="L42" s="177">
        <f>10.8%+(1-10.8%)*(1-SUM(L26:M26)/SUM($B$26:$C$26))</f>
        <v>0.13198326381141082</v>
      </c>
      <c r="M42" s="135"/>
      <c r="N42" s="177">
        <f>10.8%+(1-10.8%)*(1-SUM(N26:O26)/SUM($B$26:$C$26))</f>
        <v>0.13868097679841238</v>
      </c>
      <c r="O42" s="135"/>
      <c r="P42" s="177">
        <f>10.8%+(1-10.8%)*(1-SUM(P26:Q26)/SUM($B$26:$C$26))</f>
        <v>0.14632576384101822</v>
      </c>
      <c r="Q42" s="135"/>
      <c r="R42" s="177">
        <f>10.8%+(1-10.8%)*(1-SUM(R26:S26)/SUM($B$26:$C$26))</f>
        <v>0.15513431265457395</v>
      </c>
      <c r="S42" s="135"/>
      <c r="T42" s="177">
        <f>10.8%+(1-10.8%)*(1-SUM(T26:U26)/SUM($B$26:$C$26))</f>
        <v>0.16539519736427491</v>
      </c>
      <c r="U42" s="135"/>
      <c r="V42" s="177">
        <f>10.8%+(1-10.8%)*(1-SUM(V26:W26)/SUM($B$26:$C$26))</f>
        <v>0.17750120188039753</v>
      </c>
      <c r="W42" s="135"/>
      <c r="X42" s="177">
        <f>10.8%+(1-10.8%)*(1-SUM(X26:Y26)/SUM($B$26:$C$26))</f>
        <v>0.19200041920263991</v>
      </c>
      <c r="Y42" s="162"/>
      <c r="Z42" s="177">
        <f>10.8%+(1-10.8%)*(1-SUM(Z26:AA26)/SUM($B$26:$C$26))</f>
        <v>0.20967997782200321</v>
      </c>
      <c r="AA42" s="135"/>
      <c r="AB42" s="177">
        <f>10.8%+(1-10.8%)*(1-SUM(AB26:AC26)/SUM($B$26:$C$26))</f>
        <v>0.23170845283149044</v>
      </c>
      <c r="AC42" s="135"/>
      <c r="AD42" s="177">
        <f>10.8%+(1-10.8%)*(1-SUM(AD26:AE26)/SUM($B$26:$C$26))</f>
        <v>0.25988828976573775</v>
      </c>
      <c r="AE42" s="135"/>
      <c r="AF42" s="177">
        <f>10.8%+(1-10.8%)*(1-SUM(AF26:AG26)/SUM($B$26:$C$26))</f>
        <v>0.29712280575126959</v>
      </c>
      <c r="AG42" s="135"/>
      <c r="AH42" s="177">
        <f>10.8%+(1-10.8%)*(1-SUM(AH26:AI26)/SUM($B$26:$C$26))</f>
        <v>0.34831437534428789</v>
      </c>
      <c r="AI42" s="135"/>
      <c r="AJ42" s="177">
        <f>10.8%+(1-10.8%)*(1-SUM(AJ26:AK26)/SUM($B$26:$C$26))</f>
        <v>0.42212670053893364</v>
      </c>
      <c r="AK42" s="135"/>
      <c r="AL42" s="177">
        <f>10.8%+(1-10.8%)*(1-SUM(AL26:AM26)/SUM($B$26:$C$26))</f>
        <v>0.53431208281209086</v>
      </c>
      <c r="AM42" s="135"/>
      <c r="AN42" s="177">
        <f>10.8%+(1-10.8%)*(1-SUM(AN26:AO26)/SUM($B$26:$C$26))</f>
        <v>0.71277229294811939</v>
      </c>
      <c r="AO42" s="135"/>
      <c r="AP42" s="177">
        <f>10.8%+(1-10.8%)*(1-SUM(AP26:AQ26)/SUM($B$26:$C$26))</f>
        <v>0.75996393492784897</v>
      </c>
      <c r="AQ42" s="135"/>
      <c r="AR42" s="177">
        <f>10.8%+(1-10.8%)*(1-SUM(AR26:AS26)/SUM($B$26:$C$26))</f>
        <v>0.81188889416477006</v>
      </c>
      <c r="AS42" s="135"/>
      <c r="AT42" s="177">
        <f>10.8%+(1-10.8%)*(1-SUM(AT26:AU26)/SUM($B$26:$C$26))</f>
        <v>0.86894708443600766</v>
      </c>
      <c r="AU42" s="135"/>
      <c r="AV42" s="177">
        <f>10.8%+(1-10.8%)*(1-SUM(AV26:AW26)/SUM($B$26:$C$26))</f>
        <v>0.93152818696295037</v>
      </c>
    </row>
    <row r="43" spans="1:49 16319:16321" x14ac:dyDescent="0.2">
      <c r="A43" t="s">
        <v>108</v>
      </c>
      <c r="B43" s="162">
        <f>SUM(B15:C15*B27:C27)/SUM(B15:C15*B27:C27,B13:C13*B26:C26)</f>
        <v>0.56058995943838641</v>
      </c>
      <c r="C43" s="135"/>
      <c r="D43" s="162">
        <f t="array" ref="D43">SUM(D15:E15*D27:E27)/SUM(D15:E15*D27:E27,D13:E13*D26:E26)</f>
        <v>0.566731673669291</v>
      </c>
      <c r="E43" s="135"/>
      <c r="F43" s="162">
        <f t="array" ref="F43">SUM(F15:G15*F27:G27)/SUM(F15:G15*F27:G27,F13:G13*F26:G26)</f>
        <v>0.5662525193484037</v>
      </c>
      <c r="G43" s="135"/>
      <c r="H43" s="162">
        <f t="array" ref="H43">SUM(H15:I15*H27:I27)/SUM(H15:I15*H27:I27,H13:I13*H26:I26)</f>
        <v>0.56576071868475986</v>
      </c>
      <c r="I43" s="135"/>
      <c r="J43" s="162">
        <f t="array" ref="J43">SUM(J15:K15*J27:K27)/SUM(J15:K15*J27:K27,J13:K13*J26:K26)</f>
        <v>0.56525333951088241</v>
      </c>
      <c r="K43" s="135"/>
      <c r="L43" s="162">
        <f t="array" ref="L43">SUM(L15:M15*L27:M27)/SUM(L15:M15*L27:M27,L13:M13*L26:M26)</f>
        <v>0.56472667420232681</v>
      </c>
      <c r="M43" s="135"/>
      <c r="N43" s="162">
        <f t="array" ref="N43">SUM(N15:O15*N27:O27)/SUM(N15:O15*N27:O27,N13:O13*N26:O26)</f>
        <v>0.56417602129385147</v>
      </c>
      <c r="O43" s="135"/>
      <c r="P43" s="162">
        <f t="array" ref="P43">SUM(P15:Q15*P27:Q27)/SUM(P15:Q15*P27:Q27,P13:Q13*P26:Q26)</f>
        <v>0.56359532543502799</v>
      </c>
      <c r="Q43" s="135"/>
      <c r="R43" s="162">
        <f t="array" ref="R43">SUM(R15:S15*R27:S27)/SUM(R15:S15*R27:S27,R13:S13*R26:S26)</f>
        <v>0.5629766992634434</v>
      </c>
      <c r="S43" s="135"/>
      <c r="T43" s="162">
        <f t="array" ref="T43">SUM(T15:U15*T27:U27)/SUM(T15:U15*T27:U27,T13:U13*T26:U26)</f>
        <v>0.56230971314471512</v>
      </c>
      <c r="U43" s="135"/>
      <c r="V43" s="162">
        <f t="array" ref="V43">SUM(V15:W15*V27:W27)/SUM(V15:W15*V27:W27,V13:W13*V26:W26)</f>
        <v>0.56158035550094909</v>
      </c>
      <c r="W43" s="135"/>
      <c r="X43" s="162">
        <f t="array" ref="X43">SUM(X15:Y15*X27:Y27)/SUM(X15:Y15*X27:Y27,X13:Y13*X26:Y26)</f>
        <v>0.56076944648117655</v>
      </c>
      <c r="Y43" s="135"/>
      <c r="Z43" s="162">
        <f t="array" ref="Z43">SUM(Z15:AA15*Z27:AA27)/SUM(Z15:AA15*Z27:AA27,Z13:AA13*Z26:AA26)</f>
        <v>0.55985015852087672</v>
      </c>
      <c r="AA43" s="135"/>
      <c r="AB43" s="162">
        <f t="array" ref="AB43">SUM(AB15:AC15*AB27:AC27)/SUM(AB15:AC15*AB27:AC27,AB13:AC13*AB26:AC26)</f>
        <v>0.55878410135739098</v>
      </c>
      <c r="AC43" s="135"/>
      <c r="AD43" s="162">
        <f t="array" ref="AD43">SUM(AD15:AE15*AD27:AE27)/SUM(AD15:AE15*AD27:AE27,AD13:AE13*AD26:AE26)</f>
        <v>0.55751489677062527</v>
      </c>
      <c r="AE43" s="135"/>
      <c r="AF43" s="162">
        <f t="array" ref="AF43">SUM(AF15:AG15*AF27:AG27)/SUM(AF15:AG15*AF27:AG27,AF13:AG13*AF26:AG26)</f>
        <v>0.5559575749820258</v>
      </c>
      <c r="AG43" s="135"/>
      <c r="AH43" s="162">
        <f t="array" ref="AH43">SUM(AH15:AI15*AH27:AI27)/SUM(AH15:AI15*AH27:AI27,AH13:AI13*AH26:AI26)</f>
        <v>0.55398128159548965</v>
      </c>
      <c r="AI43" s="135"/>
      <c r="AJ43" s="162">
        <f t="array" ref="AJ43">SUM(AJ15:AK15*AJ27:AK27)/SUM(AJ15:AK15*AJ27:AK27,AJ13:AK13*AJ26:AK26)</f>
        <v>0.55138351555293574</v>
      </c>
      <c r="AK43" s="135"/>
      <c r="AL43" s="162">
        <f t="array" ref="AL43">SUM(AL15:AM15*AL27:AM27)/SUM(AL15:AM15*AL27:AM27,AL13:AM13*AL26:AM26)</f>
        <v>0.54786462825619586</v>
      </c>
      <c r="AM43" s="135"/>
      <c r="AN43" s="162">
        <f t="array" ref="AN43">SUM(AN15:AO15*AN27:AO27)/SUM(AN15:AO15*AN27:AO27,AN13:AO13*AN26:AO26)</f>
        <v>0.54305639890662105</v>
      </c>
      <c r="AO43" s="135"/>
      <c r="AP43" s="162">
        <f t="array" ref="AP43">SUM(AP15:AQ15*AP27:AQ27)/SUM(AP15:AQ15*AP27:AQ27,AP13:AQ13*AP26:AQ26)</f>
        <v>0.54191347801569967</v>
      </c>
      <c r="AQ43" s="135"/>
      <c r="AR43" s="162">
        <f t="array" ref="AR43">SUM(AR15:AS15*AR27:AS27)/SUM(AR15:AS15*AR27:AS27,AR13:AS13*AR26:AS26)</f>
        <v>0.54070845352153596</v>
      </c>
      <c r="AS43" s="135"/>
      <c r="AT43" s="162">
        <f t="array" ref="AT43">SUM(AT15:AU15*AT27:AU27)/SUM(AT15:AU15*AT27:AU27,AT13:AU13*AT26:AU26)</f>
        <v>0.53944260025216262</v>
      </c>
      <c r="AU43" s="135"/>
      <c r="AV43" s="162">
        <f t="array" ref="AV43">SUM(AV15:AW15*AV27:AW27)/SUM(AV15:AW15*AV27:AW27,AV13:AW13*AV26:AW26)</f>
        <v>0.53811842010909872</v>
      </c>
    </row>
    <row r="44" spans="1:49 16319:16321" x14ac:dyDescent="0.2">
      <c r="A44" t="s">
        <v>142</v>
      </c>
      <c r="B44" s="193">
        <f>(SUM(B11:C11*B24:C24)+B34)/B32</f>
        <v>0.29754226190682465</v>
      </c>
      <c r="D44" s="193">
        <f>(SUM(D11:E11*D24:E24)+D34)/D32</f>
        <v>0.29886252430645299</v>
      </c>
      <c r="F44" s="193">
        <f>(SUM(F11:G11*F24:G24)+F34)/F32</f>
        <v>0.30019460043669544</v>
      </c>
      <c r="H44" s="193">
        <f>(SUM(H11:I11*H24:I24)+H34)/H32</f>
        <v>0.30154035868919515</v>
      </c>
      <c r="J44" s="193">
        <f>(SUM(J11:K11*J24:K24)+J34)/J32</f>
        <v>0.30290198894189735</v>
      </c>
      <c r="L44" s="193">
        <f>(SUM(L11:M11*L24:M24)+L34)/L32</f>
        <v>0.30428212643767905</v>
      </c>
      <c r="N44" s="193">
        <f>(SUM(N11:O11*N24:O24)+N34)/N32</f>
        <v>0.30568392255069465</v>
      </c>
      <c r="P44" s="193">
        <f>(SUM(P11:Q11*P24:Q24)+P34)/P32</f>
        <v>0.30711123442643495</v>
      </c>
      <c r="R44" s="193">
        <f>(SUM(R11:S11*R24:S24)+R34)/R32</f>
        <v>0.30856883296587989</v>
      </c>
      <c r="T44" s="193">
        <f>(SUM(T11:U11*T24:U24)+T34)/T32</f>
        <v>0.31006272198459367</v>
      </c>
      <c r="V44" s="193">
        <f>(SUM(V11:W11*V24:W24)+V34)/V32</f>
        <v>0.31160059553162056</v>
      </c>
      <c r="X44" s="193">
        <f>(SUM(X11:Y11*X24:Y24)+X34)/X32</f>
        <v>0.31319253193926611</v>
      </c>
      <c r="Z44" s="193">
        <f>(SUM(Z11:AA11*Z24:AA24)+Z34)/Z32</f>
        <v>0.31485201097675602</v>
      </c>
      <c r="AB44" s="193">
        <f>(SUM(AB11:AC11*AB24:AC24)+AB34)/AB32</f>
        <v>0.31659755302546772</v>
      </c>
      <c r="AD44" s="193">
        <f>(SUM(AD11:AE11*AD24:AE24)+AD34)/AD32</f>
        <v>0.31845524049501872</v>
      </c>
      <c r="AF44" s="193">
        <f>(SUM(AF11:AG11*AF24:AG24)+AF34)/AF32</f>
        <v>0.32046267297940917</v>
      </c>
      <c r="AH44" s="193">
        <f>(SUM(AH11:AI11*AH24:AI24)+AH34)/AH32</f>
        <v>0.32267475543609037</v>
      </c>
      <c r="AJ44" s="193">
        <f>(SUM(AJ11:AK11*AJ24:AK24)+AJ34)/AJ32</f>
        <v>0.32517024363440011</v>
      </c>
      <c r="AL44" s="193">
        <f>(SUM(AL11:AM11*AL24:AM24)+AL34)/AL32</f>
        <v>0.32805091289659627</v>
      </c>
      <c r="AN44" s="193">
        <f>(SUM(AN11:AO11*AN24:AO24)+AN34)/AN32</f>
        <v>0.33140440951799061</v>
      </c>
      <c r="AP44" s="193">
        <f>(SUM(AP11:AQ11*AP24:AQ24)+AP34)/AP32</f>
        <v>0.33213221220319084</v>
      </c>
      <c r="AR44" s="193">
        <f>(SUM(AR11:AS11*AR24:AS24)+AR34)/AR32</f>
        <v>0.33287664939815786</v>
      </c>
      <c r="AT44" s="193">
        <f>(SUM(AT11:AU11*AT24:AU24)+AT34)/AT32</f>
        <v>0.33363573481213055</v>
      </c>
      <c r="AV44" s="193">
        <f>(SUM(AV11:AW11*AV24:AW24)+AV34)/AV32</f>
        <v>0.33440699460848994</v>
      </c>
    </row>
    <row r="45" spans="1:49 16319:16321" x14ac:dyDescent="0.2">
      <c r="A45" t="s">
        <v>82</v>
      </c>
      <c r="B45" s="193">
        <f>SUM(B11:C11*B24:C24)/B32</f>
        <v>0.22038438833194082</v>
      </c>
      <c r="D45" s="193">
        <f>SUM(D11:E11*D24:E24)/D32</f>
        <v>0.22170465330140937</v>
      </c>
      <c r="F45" s="193">
        <f>SUM(F11:G11*F24:G24)/F32</f>
        <v>0.22303672939136623</v>
      </c>
      <c r="H45" s="193">
        <f>SUM(H11:I11*H24:I24)/H32</f>
        <v>0.2243824851704469</v>
      </c>
      <c r="J45" s="193">
        <f>SUM(J11:K11*J24:K24)/J32</f>
        <v>0.22574411677631975</v>
      </c>
      <c r="L45" s="193">
        <f>SUM(L11:M11*L24:M24)/L32</f>
        <v>0.22712425293294425</v>
      </c>
      <c r="N45" s="193">
        <f>SUM(N11:O11*N24:O24)/N32</f>
        <v>0.22852604906391072</v>
      </c>
      <c r="P45" s="193">
        <f>SUM(P11:Q11*P24:Q24)/P32</f>
        <v>0.22995336092274155</v>
      </c>
      <c r="R45" s="193">
        <f>SUM(R11:S11*R24:S24)/R32</f>
        <v>0.23141095982524937</v>
      </c>
      <c r="T45" s="193">
        <f>SUM(T11:U11*T24:U24)/T32</f>
        <v>0.23290484842610978</v>
      </c>
      <c r="V45" s="193">
        <f>SUM(V11:W11*V24:W24)/V32</f>
        <v>0.23444272199027477</v>
      </c>
      <c r="X45" s="193">
        <f>SUM(X11:Y11*X24:Y24)/X32</f>
        <v>0.23603465832474371</v>
      </c>
      <c r="Z45" s="193">
        <f>SUM(Z11:AA11*Z24:AA24)/Z32</f>
        <v>0.23769413739521869</v>
      </c>
      <c r="AB45" s="193">
        <f>SUM(AB11:AC11*AB24:AC24)/AB32</f>
        <v>0.23943967948707331</v>
      </c>
      <c r="AD45" s="193">
        <f>SUM(AD11:AE11*AD24:AE24)/AD32</f>
        <v>0.24129736690924833</v>
      </c>
      <c r="AF45" s="193">
        <f>SUM(AF11:AG11*AF24:AG24)/AF32</f>
        <v>0.2433047993109031</v>
      </c>
      <c r="AH45" s="193">
        <f>SUM(AH11:AI11*AH24:AI24)/AH32</f>
        <v>0.24551688182353451</v>
      </c>
      <c r="AJ45" s="193">
        <f>SUM(AJ11:AK11*AJ24:AK24)/AJ32</f>
        <v>0.24801237008381902</v>
      </c>
      <c r="AL45" s="193">
        <f>SUM(AL11:AM11*AL24:AM24)/AL32</f>
        <v>0.25089303929551926</v>
      </c>
      <c r="AN45" s="193">
        <f>SUM(AN11:AO11*AN24:AO24)/AN32</f>
        <v>0.25424653587096369</v>
      </c>
      <c r="AP45" s="193">
        <f>SUM(AP11:AQ11*AP24:AQ24)/AP32</f>
        <v>0.25497433853576007</v>
      </c>
      <c r="AR45" s="193">
        <f>SUM(AR11:AS11*AR24:AS24)/AR32</f>
        <v>0.25571877602300463</v>
      </c>
      <c r="AT45" s="193">
        <f>SUM(AT11:AU11*AT24:AU24)/AT32</f>
        <v>0.25647786138414935</v>
      </c>
      <c r="AV45" s="193">
        <f>SUM(AV11:AW11*AV24:AW24)/AV32</f>
        <v>0.25724912074331563</v>
      </c>
      <c r="XCQ45" s="193"/>
    </row>
    <row r="46" spans="1:49 16319:16321" x14ac:dyDescent="0.2">
      <c r="A46" t="s">
        <v>139</v>
      </c>
      <c r="B46" s="193">
        <f>B34/B32</f>
        <v>7.7157873574883795E-2</v>
      </c>
      <c r="D46" s="193">
        <f>D34/D32</f>
        <v>7.7157871005043635E-2</v>
      </c>
      <c r="F46" s="193">
        <f>F34/F32</f>
        <v>7.7157871045329202E-2</v>
      </c>
      <c r="H46" s="193">
        <f>H34/H32</f>
        <v>7.7157873518748268E-2</v>
      </c>
      <c r="J46" s="193">
        <f>J34/J32</f>
        <v>7.715787216557761E-2</v>
      </c>
      <c r="L46" s="193">
        <f>L34/L32</f>
        <v>7.7157873504734839E-2</v>
      </c>
      <c r="N46" s="193">
        <f>N34/N32</f>
        <v>7.7157873486783907E-2</v>
      </c>
      <c r="P46" s="193">
        <f>P34/P32</f>
        <v>7.7157873503693367E-2</v>
      </c>
      <c r="R46" s="193">
        <f>R34/R32</f>
        <v>7.7157873140630523E-2</v>
      </c>
      <c r="T46" s="193">
        <f>T34/T32</f>
        <v>7.7157873558483858E-2</v>
      </c>
      <c r="V46" s="193">
        <f>V34/V32</f>
        <v>7.7157873541345831E-2</v>
      </c>
      <c r="X46" s="193">
        <f>X34/X32</f>
        <v>7.7157873614522365E-2</v>
      </c>
      <c r="Z46" s="193">
        <f>Z34/Z32</f>
        <v>7.7157873581537348E-2</v>
      </c>
      <c r="AB46" s="193">
        <f>AB34/AB32</f>
        <v>7.7157873538394386E-2</v>
      </c>
      <c r="AD46" s="193">
        <f>AD34/AD32</f>
        <v>7.7157873585770392E-2</v>
      </c>
      <c r="AF46" s="193">
        <f>AF34/AF32</f>
        <v>7.7157873668506058E-2</v>
      </c>
      <c r="AH46" s="193">
        <f>AH34/AH32</f>
        <v>7.7157873612555869E-2</v>
      </c>
      <c r="AJ46" s="193">
        <f>AJ34/AJ32</f>
        <v>7.7157873550581138E-2</v>
      </c>
      <c r="AL46" s="193">
        <f>AL34/AL32</f>
        <v>7.7157873601076982E-2</v>
      </c>
      <c r="AN46" s="193">
        <f>AN34/AN32</f>
        <v>7.7157873647026975E-2</v>
      </c>
      <c r="AP46" s="193">
        <f>AP34/AP32</f>
        <v>7.7157873667430751E-2</v>
      </c>
      <c r="AR46" s="193">
        <f>AR34/AR32</f>
        <v>7.715787337515323E-2</v>
      </c>
      <c r="AT46" s="193">
        <f>AT34/AT32</f>
        <v>7.7157873427981166E-2</v>
      </c>
      <c r="AV46" s="193">
        <f>AV34/AV32</f>
        <v>7.7157873865174295E-2</v>
      </c>
      <c r="XCS46" s="193"/>
    </row>
    <row r="48" spans="1:49 16319:16321" x14ac:dyDescent="0.2">
      <c r="A48" t="s">
        <v>159</v>
      </c>
      <c r="B48" s="191">
        <f>B24/$B$24</f>
        <v>1</v>
      </c>
      <c r="C48" s="191"/>
      <c r="D48" s="191">
        <f>D24/$B$24</f>
        <v>1.0020661876495391</v>
      </c>
      <c r="E48" s="191"/>
      <c r="F48" s="191">
        <f>F24/$B$24</f>
        <v>1.0036171437538333</v>
      </c>
      <c r="G48" s="191"/>
      <c r="H48" s="191">
        <f>H24/$B$24</f>
        <v>1.004570968863207</v>
      </c>
      <c r="I48" s="191"/>
      <c r="J48" s="191">
        <f>J24/$B$24</f>
        <v>1.0048266425856756</v>
      </c>
      <c r="K48" s="191"/>
      <c r="L48" s="191">
        <f>L24/$B$24</f>
        <v>1.0042583803488652</v>
      </c>
      <c r="M48" s="191"/>
      <c r="N48" s="191">
        <f>N24/$B$24</f>
        <v>1.0027069984886443</v>
      </c>
      <c r="O48" s="191"/>
      <c r="P48" s="191">
        <f>P24/$B$24</f>
        <v>0.99996832038138028</v>
      </c>
      <c r="Q48" s="191"/>
      <c r="R48" s="191">
        <f>R24/$B$24</f>
        <v>0.99577578738498296</v>
      </c>
      <c r="S48" s="191"/>
      <c r="T48" s="191">
        <f>T24/$B$24</f>
        <v>0.98977463078208328</v>
      </c>
      <c r="U48" s="191"/>
      <c r="V48" s="191">
        <f>V24/$B$24</f>
        <v>0.9814820431172161</v>
      </c>
      <c r="W48" s="191"/>
      <c r="X48" s="191">
        <f>X24/$B$24</f>
        <v>0.97022398374732466</v>
      </c>
      <c r="Y48" s="191"/>
      <c r="Z48" s="191">
        <f>Z24/$B$24</f>
        <v>0.95503105587811465</v>
      </c>
      <c r="AA48" s="191"/>
      <c r="AB48" s="191">
        <f>AB24/$B$24</f>
        <v>0.93446026537492399</v>
      </c>
      <c r="AC48" s="191"/>
      <c r="AD48" s="191">
        <f>AD24/$B$24</f>
        <v>0.90627601216938214</v>
      </c>
      <c r="AE48" s="191"/>
      <c r="AF48" s="191">
        <f>AF24/$B$24</f>
        <v>0.86685232768040321</v>
      </c>
      <c r="AG48" s="191"/>
      <c r="AH48" s="191">
        <f>AH24/$B$24</f>
        <v>0.8100025196323879</v>
      </c>
      <c r="AI48" s="191"/>
      <c r="AJ48" s="191">
        <f>AJ24/$B$24</f>
        <v>0.72462363992096546</v>
      </c>
      <c r="AK48" s="191"/>
      <c r="AL48" s="191">
        <f>AL24/$B$24</f>
        <v>0.59007175329611294</v>
      </c>
      <c r="AM48" s="191"/>
      <c r="AN48" s="191">
        <f>AN24/$B$24</f>
        <v>0.36859195936095718</v>
      </c>
      <c r="AO48" s="191"/>
      <c r="AP48" s="191">
        <f>AP24/$B$24</f>
        <v>0.30890886143569585</v>
      </c>
      <c r="AQ48" s="191"/>
      <c r="AR48" s="191">
        <f>AR24/$B$24</f>
        <v>0.24279814830992769</v>
      </c>
      <c r="AS48" s="191"/>
      <c r="AT48" s="191">
        <f>AT24/$B$24</f>
        <v>0.16966598693959731</v>
      </c>
      <c r="AU48" s="191"/>
      <c r="AV48" s="191">
        <f>AV24/$B$24</f>
        <v>8.8922864466975907E-2</v>
      </c>
    </row>
    <row r="49" spans="1:48 16321:16384" x14ac:dyDescent="0.2">
      <c r="A49" t="s">
        <v>160</v>
      </c>
      <c r="B49" s="191">
        <f>B13/B35/$B$13*$B$35</f>
        <v>1</v>
      </c>
      <c r="C49" s="191"/>
      <c r="D49" s="191">
        <f>D13/D35/$B$13*$B$35</f>
        <v>0.99650964000014663</v>
      </c>
      <c r="E49" s="191"/>
      <c r="F49" s="191">
        <f>F13/F35/$B$13*$B$35</f>
        <v>0.99280391139436419</v>
      </c>
      <c r="G49" s="191"/>
      <c r="H49" s="191">
        <f>H13/H35/$B$13*$B$35</f>
        <v>0.98885993930493166</v>
      </c>
      <c r="I49" s="191"/>
      <c r="J49" s="191">
        <f>J13/J35/$B$13*$B$35</f>
        <v>0.98465095095294819</v>
      </c>
      <c r="K49" s="191"/>
      <c r="L49" s="191">
        <f>L13/L35/$B$13*$B$35</f>
        <v>0.98014536355181969</v>
      </c>
      <c r="M49" s="191"/>
      <c r="N49" s="191">
        <f>N13/N35/$B$13*$B$35</f>
        <v>0.9753055317885273</v>
      </c>
      <c r="O49" s="191"/>
      <c r="P49" s="191">
        <f>P13/P35/$B$13*$B$35</f>
        <v>0.9700861333993156</v>
      </c>
      <c r="Q49" s="191"/>
      <c r="R49" s="191">
        <f>R13/R35/$B$13*$B$35</f>
        <v>0.96443195159260209</v>
      </c>
      <c r="S49" s="191"/>
      <c r="T49" s="191">
        <f>T13/T35/$B$13*$B$35</f>
        <v>0.95827484202665014</v>
      </c>
      <c r="U49" s="191"/>
      <c r="V49" s="191">
        <f>V13/V35/$B$13*$B$35</f>
        <v>0.95152947899868479</v>
      </c>
      <c r="W49" s="191"/>
      <c r="X49" s="191">
        <f>X13/X35/$B$13*$B$35</f>
        <v>0.94408730489012538</v>
      </c>
      <c r="Y49" s="191"/>
      <c r="Z49" s="191">
        <f>Z13/Z35/$B$13*$B$35</f>
        <v>0.93580784066403644</v>
      </c>
      <c r="AA49" s="191"/>
      <c r="AB49" s="191">
        <f>AB13/AB35/$B$13*$B$35</f>
        <v>0.92650589784043491</v>
      </c>
      <c r="AC49" s="191"/>
      <c r="AD49" s="191">
        <f>AD13/AD35/$B$13*$B$35</f>
        <v>0.91593299604059519</v>
      </c>
      <c r="AE49" s="191"/>
      <c r="AF49" s="191">
        <f>AF13/AF35/$B$13*$B$35</f>
        <v>0.90375097113702307</v>
      </c>
      <c r="AG49" s="191"/>
      <c r="AH49" s="191">
        <f>AH13/AH35/$B$13*$B$35</f>
        <v>0.88949853165791404</v>
      </c>
      <c r="AI49" s="191"/>
      <c r="AJ49" s="191">
        <f>AJ13/AJ35/$B$13*$B$35</f>
        <v>0.87256561213377104</v>
      </c>
      <c r="AK49" s="191"/>
      <c r="AL49" s="191">
        <f>AL13/AL35/$B$13*$B$35</f>
        <v>0.85224188718237803</v>
      </c>
      <c r="AM49" s="191"/>
      <c r="AN49" s="191">
        <f>AN13/AN35/$B$13*$B$35</f>
        <v>0.82803233166206713</v>
      </c>
      <c r="AO49" s="191"/>
      <c r="AP49" s="191">
        <f>AP13/AP35/$B$13*$B$35</f>
        <v>0.82274088087363217</v>
      </c>
      <c r="AQ49" s="191"/>
      <c r="AR49" s="191">
        <f>AR13/AR35/$B$13*$B$35</f>
        <v>0.81732110856095874</v>
      </c>
      <c r="AS49" s="191"/>
      <c r="AT49" s="191">
        <f>AT13/AT35/$B$13*$B$35</f>
        <v>0.81178877620932244</v>
      </c>
      <c r="AU49" s="191"/>
      <c r="AV49" s="191">
        <f>AV13/AV35/$B$13*$B$35</f>
        <v>0.8061628399510804</v>
      </c>
    </row>
    <row r="51" spans="1:48 16321:16384" x14ac:dyDescent="0.2">
      <c r="A51" t="s">
        <v>166</v>
      </c>
      <c r="B51" s="29">
        <f>B30-B10*B23</f>
        <v>-405838.32800000021</v>
      </c>
      <c r="D51" s="29">
        <f>D30-D10*D23</f>
        <v>-371298.83894087607</v>
      </c>
      <c r="F51" s="29">
        <f>F30-F10*F23</f>
        <v>-336600.32706301427</v>
      </c>
      <c r="H51" s="29">
        <f>H30-H10*H23</f>
        <v>-301728.02600711398</v>
      </c>
      <c r="J51" s="29">
        <f>J30-J10*J23</f>
        <v>-266666.57244523941</v>
      </c>
      <c r="L51" s="29">
        <f>L30-L10*L23</f>
        <v>-231401.26873417012</v>
      </c>
      <c r="N51" s="29">
        <f>N30-N10*N23</f>
        <v>-195918.04790973291</v>
      </c>
      <c r="P51" s="29">
        <f>P30-P10*P23</f>
        <v>-160205.68831912987</v>
      </c>
      <c r="R51" s="29">
        <f>R30-R10*R23</f>
        <v>-124258.23327189172</v>
      </c>
      <c r="T51" s="29">
        <f>T30-T10*T23</f>
        <v>-88079.868108029943</v>
      </c>
      <c r="V51" s="29">
        <f>V30-V10*V23</f>
        <v>-51693.337109438144</v>
      </c>
      <c r="X51" s="29">
        <f>X30-X10*X23</f>
        <v>-15155.6799457944</v>
      </c>
      <c r="Z51" s="29">
        <f>Z30-Z10*Z23</f>
        <v>21412.030992429238</v>
      </c>
      <c r="AB51" s="29">
        <f>AB30-AB10*AB23</f>
        <v>57765.952885732055</v>
      </c>
      <c r="AD51" s="29">
        <f>AD30-AD10*AD23</f>
        <v>93417.349674265366</v>
      </c>
      <c r="AF51" s="29">
        <f>AF30-AF10*AF23</f>
        <v>127365.25255993661</v>
      </c>
      <c r="AH51" s="29">
        <f>AH30-AH10*AH23</f>
        <v>157478.20741917146</v>
      </c>
      <c r="AJ51" s="29">
        <f>AJ30-AJ10*AJ23</f>
        <v>178998.96445850562</v>
      </c>
      <c r="AL51" s="29">
        <f>AL30-AL10*AL23</f>
        <v>180912.4298980732</v>
      </c>
      <c r="AN51" s="29">
        <f>AN30-AN10*AN23</f>
        <v>138049.46721478598</v>
      </c>
      <c r="AP51" s="29">
        <f>AP30-AP10*AP23</f>
        <v>120192.74490837741</v>
      </c>
      <c r="AQ51" s="29"/>
      <c r="AR51" s="29">
        <f>AR30-AR10*AR23</f>
        <v>98068.443342279526</v>
      </c>
      <c r="AT51" s="29">
        <f>AT30-AT10*AT23</f>
        <v>71082.007777829887</v>
      </c>
      <c r="AV51" s="29">
        <f>AV30-AV10*AV23</f>
        <v>38607.244979380193</v>
      </c>
      <c r="XFD51" s="29"/>
    </row>
    <row r="52" spans="1:48 16321:16384" x14ac:dyDescent="0.2">
      <c r="A52" t="s">
        <v>167</v>
      </c>
      <c r="B52" s="29">
        <f t="array" ref="B52">Calibration!sL*SUM(B13:C13*B26:C26)</f>
        <v>2049247.8195702801</v>
      </c>
      <c r="D52" s="29">
        <f t="array" ref="D52">Calibration!sL*SUM(D13:E13*D26:E26)</f>
        <v>2036253.0959246412</v>
      </c>
      <c r="F52" s="29">
        <f t="array" ref="F52">Calibration!sL*SUM(F13:G13*F26:G26)</f>
        <v>2022235.9275567927</v>
      </c>
      <c r="H52" s="29">
        <f t="array" ref="H52">Calibration!sL*SUM(H13:I13*H26:I26)</f>
        <v>2007045.1953361023</v>
      </c>
      <c r="J52" s="29">
        <f t="array" ref="J52">Calibration!sL*SUM(J13:K13*J26:K26)</f>
        <v>1990496.1376754725</v>
      </c>
      <c r="L52" s="29">
        <f t="array" ref="L52">Calibration!sL*SUM(L13:M13*L26:M26)</f>
        <v>1972360.448765469</v>
      </c>
      <c r="N52" s="29">
        <f t="array" ref="N52">Calibration!sL*SUM(N13:O13*N26:O26)</f>
        <v>1952351.7806166427</v>
      </c>
      <c r="P52" s="29">
        <f t="array" ref="P52">Calibration!sL*SUM(P13:Q13*P26:Q26)</f>
        <v>1930105.843736795</v>
      </c>
      <c r="R52" s="29">
        <f t="array" ref="R52">Calibration!sL*SUM(R13:S13*R26:S26)</f>
        <v>1905151.0199258749</v>
      </c>
      <c r="T52" s="29">
        <f t="array" ref="T52">Calibration!sL*SUM(T13:U13*T26:U26)</f>
        <v>1876864.7608839474</v>
      </c>
      <c r="V52" s="29">
        <f t="array" ref="V52">Calibration!sL*SUM(V13:W13*V26:W26)</f>
        <v>1844406.6180972876</v>
      </c>
      <c r="X52" s="29">
        <f t="array" ref="X52">Calibration!sL*SUM(X13:Y13*X26:Y26)</f>
        <v>1806612.3354375751</v>
      </c>
      <c r="Z52" s="29">
        <f t="array" ref="Z52">Calibration!sL*SUM(Z13:AA13*Z26:AA26)</f>
        <v>1761820.105914837</v>
      </c>
      <c r="AB52" s="29">
        <f t="array" ref="AB52">Calibration!sL*SUM(AB13:AC13*AB26:AC26)</f>
        <v>1707573.8422959475</v>
      </c>
      <c r="AD52" s="29">
        <f t="array" ref="AD52">Calibration!sL*SUM(AD13:AE13*AD26:AE26)</f>
        <v>1640094.0810289169</v>
      </c>
      <c r="AF52" s="29">
        <f t="array" ref="AF52">Calibration!sL*SUM(AF13:AG13*AF26:AG26)</f>
        <v>1553289.5913445749</v>
      </c>
      <c r="AH52" s="29">
        <f t="array" ref="AH52">Calibration!sL*SUM(AH13:AI13*AH26:AI26)</f>
        <v>1436828.6174315966</v>
      </c>
      <c r="AJ52" s="29">
        <f t="array" ref="AJ52">Calibration!sL*SUM(AJ13:AK13*AJ26:AK26)</f>
        <v>1272270.355350086</v>
      </c>
      <c r="AL52" s="29">
        <f t="array" ref="AL52">Calibration!sL*SUM(AL13:AM13*AL26:AM26)</f>
        <v>1025496.2379450145</v>
      </c>
      <c r="AN52" s="29">
        <f t="array" ref="AN52">Calibration!sL*SUM(AN13:AO13*AN26:AO26)</f>
        <v>634358.75887088838</v>
      </c>
      <c r="AP52" s="29">
        <f t="array" ref="AP52">Calibration!sL*SUM(AP13:AQ13*AP26:AQ26)</f>
        <v>530666.68744674535</v>
      </c>
      <c r="AQ52" s="29"/>
      <c r="AR52" s="29">
        <f t="array" ref="AR52">Calibration!sL*SUM(AR13:AS13*AR26:AS26)</f>
        <v>416354.4025191968</v>
      </c>
      <c r="AT52" s="29">
        <f t="array" ref="AT52">Calibration!sL*SUM(AT13:AU13*AT26:AU26)</f>
        <v>290446.43672394316</v>
      </c>
      <c r="AV52" s="29">
        <f t="array" ref="AV52">Calibration!sL*SUM(AV13:AW13*AV26:AW26)</f>
        <v>151973.67758278415</v>
      </c>
    </row>
    <row r="53" spans="1:48 16321:16384" x14ac:dyDescent="0.2">
      <c r="A53" t="s">
        <v>168</v>
      </c>
      <c r="B53" s="29">
        <f t="array" ref="B53">Calibration!sK*SUM(B15:C15*B27:C27)</f>
        <v>2740714.444429684</v>
      </c>
      <c r="D53" s="29">
        <f t="array" ref="D53">Calibration!sK*SUM(D15:E15*D27:E27)</f>
        <v>2718139.1699633063</v>
      </c>
      <c r="F53" s="29">
        <f t="array" ref="F53">Calibration!sK*SUM(F15:G15*F27:G27)</f>
        <v>2694166.2508107959</v>
      </c>
      <c r="H53" s="29">
        <f t="array" ref="H53">Calibration!sK*SUM(H15:I15*H27:I27)</f>
        <v>2668579.9783131159</v>
      </c>
      <c r="J53" s="29">
        <f t="array" ref="J53">Calibration!sK*SUM(J15:K15*J27:K27)</f>
        <v>2641116.8078396828</v>
      </c>
      <c r="L53" s="29">
        <f t="array" ref="L53">Calibration!sK*SUM(L15:M15*L27:M27)</f>
        <v>2611451.2361972593</v>
      </c>
      <c r="N53" s="29">
        <f t="array" ref="N53">Calibration!sK*SUM(N15:O15*N27:O27)</f>
        <v>2579175.9063169863</v>
      </c>
      <c r="P53" s="29">
        <f t="array" ref="P53">Calibration!sK*SUM(P15:Q15*P27:Q27)</f>
        <v>2543773.8689470706</v>
      </c>
      <c r="R53" s="29">
        <f t="array" ref="R53">Calibration!sK*SUM(R15:S15*R27:S27)</f>
        <v>2504578.3539164644</v>
      </c>
      <c r="T53" s="29">
        <f t="array" ref="T53">Calibration!sK*SUM(T15:U15*T27:U27)</f>
        <v>2460713.4575868435</v>
      </c>
      <c r="V53" s="29">
        <f t="array" ref="V53">Calibration!sK*SUM(V15:W15*V27:W27)</f>
        <v>2411004.1692530997</v>
      </c>
      <c r="X53" s="29">
        <f t="array" ref="X53">Calibration!sK*SUM(X15:Y15*X27:Y27)</f>
        <v>2353835.7753480133</v>
      </c>
      <c r="Z53" s="29">
        <f t="array" ref="Z53">Calibration!sK*SUM(Z15:AA15*Z27:AA27)</f>
        <v>2286926.4908731254</v>
      </c>
      <c r="AB53" s="29">
        <f t="array" ref="AB53">Calibration!sK*SUM(AB15:AC15*AB27:AC27)</f>
        <v>2206946.3141466756</v>
      </c>
      <c r="AD53" s="29">
        <f t="array" ref="AD53">Calibration!sK*SUM(AD15:AE15*AD27:AE27)</f>
        <v>2108851.3638523025</v>
      </c>
      <c r="AF53" s="29">
        <f t="array" ref="AF53">Calibration!sK*SUM(AF15:AG15*AF27:AG27)</f>
        <v>1984673.2025777837</v>
      </c>
      <c r="AH53" s="29">
        <f t="array" ref="AH53">Calibration!sK*SUM(AH15:AI15*AH27:AI27)</f>
        <v>1821236.5694105239</v>
      </c>
      <c r="AJ53" s="29">
        <f t="array" ref="AJ53">Calibration!sK*SUM(AJ15:AK15*AJ27:AK27)</f>
        <v>1595795.9037873219</v>
      </c>
      <c r="AL53" s="29">
        <f t="array" ref="AL53">Calibration!sK*SUM(AL15:AM15*AL27:AM27)</f>
        <v>1268113.8235655208</v>
      </c>
      <c r="AN53" s="29">
        <f t="array" ref="AN53">Calibration!sK*SUM(AN15:AO15*AN27:AO27)</f>
        <v>769372.50838187814</v>
      </c>
      <c r="AP53" s="29">
        <f t="array" ref="AP53">Calibration!sK*SUM(AP15:AQ15*AP27:AQ27)</f>
        <v>640654.16203802335</v>
      </c>
      <c r="AQ53" s="29"/>
      <c r="AR53" s="29">
        <f t="array" ref="AR53">Calibration!sK*SUM(AR15:AS15*AR27:AS27)</f>
        <v>500215.62823698361</v>
      </c>
      <c r="AT53" s="29">
        <f t="array" ref="AT53">Calibration!sK*SUM(AT15:AU15*AT27:AU27)</f>
        <v>347173.77841035667</v>
      </c>
      <c r="AV53" s="29">
        <f t="array" ref="AV53">Calibration!sK*SUM(AV15:AW15*AV27:AW27)</f>
        <v>180690.35719587526</v>
      </c>
      <c r="XFD53" s="29"/>
    </row>
    <row r="55" spans="1:48 16321:16384" x14ac:dyDescent="0.2">
      <c r="A55" t="s">
        <v>169</v>
      </c>
      <c r="B55" s="193">
        <f>B30/B32</f>
        <v>0.19850271905982084</v>
      </c>
      <c r="D55" s="193">
        <f>D30/D32</f>
        <v>0.20072908193973646</v>
      </c>
      <c r="F55" s="193">
        <f>F30/F32</f>
        <v>0.20297538785529146</v>
      </c>
      <c r="H55" s="193">
        <f>H30/H32</f>
        <v>0.20524480612279405</v>
      </c>
      <c r="J55" s="193">
        <f>J30/J32</f>
        <v>0.20754108888629563</v>
      </c>
      <c r="L55" s="193">
        <f>L30/L32</f>
        <v>0.20986866993453299</v>
      </c>
      <c r="N55" s="193">
        <f>N30/N32</f>
        <v>0.21223292281160919</v>
      </c>
      <c r="P55" s="193">
        <f>P30/P32</f>
        <v>0.21464038982053907</v>
      </c>
      <c r="R55" s="193">
        <f>R30/R32</f>
        <v>0.21709917937125295</v>
      </c>
      <c r="T55" s="193">
        <f>T30/T32</f>
        <v>0.21961949688915394</v>
      </c>
      <c r="V55" s="193">
        <f>V30/V32</f>
        <v>0.22221443546587705</v>
      </c>
      <c r="X55" s="193">
        <f>X30/X32</f>
        <v>0.22490113558223807</v>
      </c>
      <c r="Z55" s="193">
        <f>Z30/Z32</f>
        <v>0.22770255794796931</v>
      </c>
      <c r="AB55" s="193">
        <f>AB30/AB32</f>
        <v>0.23065024334052342</v>
      </c>
      <c r="AD55" s="193">
        <f>AD30/AD32</f>
        <v>0.23378863966943811</v>
      </c>
      <c r="AF55" s="193">
        <f>AF30/AF32</f>
        <v>0.23718185432805813</v>
      </c>
      <c r="AH55" s="193">
        <f>AH30/AH32</f>
        <v>0.2409235567927433</v>
      </c>
      <c r="AJ55" s="193">
        <f>AJ30/AJ32</f>
        <v>0.2451482363661594</v>
      </c>
      <c r="AL55" s="193">
        <f>AL30/AL32</f>
        <v>0.25003001887110426</v>
      </c>
      <c r="AN55" s="193">
        <f>AN30/AN32</f>
        <v>0.25571981576238756</v>
      </c>
      <c r="AP55" s="193">
        <f>AP30/AP32</f>
        <v>0.25695558278438202</v>
      </c>
      <c r="AR55" s="193">
        <f>AR30/AR32</f>
        <v>0.25821992537885624</v>
      </c>
      <c r="AT55" s="193">
        <f>AT30/AT32</f>
        <v>0.25950948041835298</v>
      </c>
      <c r="AV55" s="193">
        <f>AV30/AV32</f>
        <v>0.26082005692765875</v>
      </c>
      <c r="XCS55" s="193"/>
      <c r="XFD55" s="193"/>
    </row>
    <row r="56" spans="1:48 16321:16384" x14ac:dyDescent="0.2">
      <c r="A56" t="s">
        <v>170</v>
      </c>
      <c r="B56" s="193">
        <f>(Model!$C$52*B5*B20+B2*C5*C20)/B32</f>
        <v>2.9221206744340551E-2</v>
      </c>
      <c r="D56" s="193">
        <f>(Model!$C$52*D5*D20+D2*E5*E20)/D32</f>
        <v>3.1792044922592924E-2</v>
      </c>
      <c r="F56" s="193">
        <f>(Model!$C$52*F5*F20+F2*G5*G20)/F32</f>
        <v>3.4384528866320666E-2</v>
      </c>
      <c r="H56" s="193">
        <f>(Model!$C$52*H5*H20+H2*I5*I20)/H32</f>
        <v>3.7001725419230906E-2</v>
      </c>
      <c r="J56" s="193">
        <f>(Model!$C$52*J5*J20+J2*K5*K20)/J32</f>
        <v>3.9647207089849867E-2</v>
      </c>
      <c r="L56" s="193">
        <f>(Model!$C$52*L5*L20+L2*M5*M20)/L32</f>
        <v>4.2325132773952681E-2</v>
      </c>
      <c r="N56" s="193">
        <f>(Model!$C$52*N5*N20+N2*O5*O20)/N32</f>
        <v>4.504045303116825E-2</v>
      </c>
      <c r="P56" s="193">
        <f>(Model!$C$52*P5*P20+P2*Q5*Q20)/P32</f>
        <v>4.7799090943017992E-2</v>
      </c>
      <c r="R56" s="193">
        <f>(Model!$C$52*R5*R20+R2*S5*S20)/R32</f>
        <v>5.060825178980155E-2</v>
      </c>
      <c r="T56" s="193">
        <f>(Model!$C$52*T5*T20+T2*U5*U20)/T32</f>
        <v>5.3476831787302538E-2</v>
      </c>
      <c r="V56" s="193">
        <f>(Model!$C$52*V5*V20+V2*W5*W20)/V32</f>
        <v>5.6416019721521646E-2</v>
      </c>
      <c r="X56" s="193">
        <f>(Model!$C$52*X5*X20+X2*Y5*Y20)/X32</f>
        <v>5.9440165677665316E-2</v>
      </c>
      <c r="Z56" s="193">
        <f>(Model!$C$52*Z5*Z20+Z2*AA5*AA20)/Z32</f>
        <v>6.256809990350462E-2</v>
      </c>
      <c r="AB56" s="193">
        <f>(Model!$C$52*AB5*AB20+AB2*AC5*AC20)/AB32</f>
        <v>6.5825135419812358E-2</v>
      </c>
      <c r="AD56" s="193">
        <f>(Model!$C$52*AD5*AD20+AD2*AE5*AE20)/AD32</f>
        <v>6.924614616500134E-2</v>
      </c>
      <c r="AF56" s="193">
        <f>(Model!$C$52*AF5*AF20+AF2*AG5*AG20)/AF32</f>
        <v>7.2880174335709286E-2</v>
      </c>
      <c r="AH56" s="193">
        <f>(Model!$C$52*AH5*AH20+AH2*AI5*AI20)/AH32</f>
        <v>7.679663442442064E-2</v>
      </c>
      <c r="AJ56" s="193">
        <f>(Model!$C$52*AJ5*AJ20+AJ2*AK5*AK20)/AJ32</f>
        <v>8.1090476916506934E-2</v>
      </c>
      <c r="AL56" s="193">
        <f>(Model!$C$52*AL5*AL20+AL2*AM5*AM20)/AL32</f>
        <v>8.5872888322931801E-2</v>
      </c>
      <c r="AN56" s="193">
        <f>(Model!$C$52*AN5*AN20+AN2*AO5*AO20)/AN32</f>
        <v>9.1206650639727868E-2</v>
      </c>
      <c r="AP56" s="193">
        <f>(Model!$C$52*AP5*AP20+AP2*AQ5*AQ20)/AP32</f>
        <v>9.233235166032204E-2</v>
      </c>
      <c r="AR56" s="193">
        <f>(Model!$C$52*AR5*AR20+AR2*AS5*AS20)/AR32</f>
        <v>9.3472470778256253E-2</v>
      </c>
      <c r="AT56" s="193">
        <f>(Model!$C$52*AT5*AT20+AT2*AU5*AU20)/AT32</f>
        <v>9.462346561653448E-2</v>
      </c>
      <c r="AV56" s="193">
        <f>(Model!$C$52*AV5*AV20+AV2*AW5*AW20)/AV32</f>
        <v>9.578120086063989E-2</v>
      </c>
      <c r="XFD56" s="193"/>
    </row>
    <row r="57" spans="1:48 16321:16384" x14ac:dyDescent="0.2">
      <c r="A57" t="s">
        <v>171</v>
      </c>
      <c r="B57" s="193">
        <f t="array" ref="B57">SUM(Model!tauL*B13:C13*B26:C26)/B32</f>
        <v>0.15852881819439493</v>
      </c>
      <c r="D57" s="193">
        <f t="array" ref="D57">SUM(Model!tauL*D13:E13*D26:E26)/D32</f>
        <v>0.15825972786939943</v>
      </c>
      <c r="F57" s="193">
        <f t="array" ref="F57">SUM(Model!tauL*F13:G13*F26:G26)/F32</f>
        <v>0.1579894765448224</v>
      </c>
      <c r="H57" s="193">
        <f t="array" ref="H57">SUM(Model!tauL*H13:I13*H26:I26)/H32</f>
        <v>0.15771824525391234</v>
      </c>
      <c r="J57" s="193">
        <f t="array" ref="J57">SUM(Model!tauL*J13:K13*J26:K26)/J32</f>
        <v>0.15744630310975807</v>
      </c>
      <c r="L57" s="193">
        <f t="array" ref="L57">SUM(Model!tauL*L13:M13*L26:M26)/L32</f>
        <v>0.15717403064336882</v>
      </c>
      <c r="N57" s="193">
        <f t="array" ref="N57">SUM(Model!tauL*N13:O13*N26:O26)/N32</f>
        <v>0.15690197175376686</v>
      </c>
      <c r="P57" s="193">
        <f t="array" ref="P57">SUM(Model!tauL*P13:Q13*P26:Q26)/P32</f>
        <v>0.15663088789525359</v>
      </c>
      <c r="R57" s="193">
        <f t="array" ref="R57">SUM(Model!tauL*R13:S13*R26:S26)/R32</f>
        <v>0.15636184865503766</v>
      </c>
      <c r="T57" s="193">
        <f t="array" ref="T57">SUM(Model!tauL*T13:U13*T26:U26)/T32</f>
        <v>0.15609635922865453</v>
      </c>
      <c r="V57" s="193">
        <f t="array" ref="V57">SUM(Model!tauL*V13:W13*V26:W26)/V32</f>
        <v>0.15583655406368241</v>
      </c>
      <c r="X57" s="193">
        <f t="array" ref="X57">SUM(Model!tauL*X13:Y13*X26:Y26)/X32</f>
        <v>0.15558549269989244</v>
      </c>
      <c r="Y57" s="193"/>
      <c r="Z57" s="193">
        <f t="array" ref="Z57">SUM(Model!tauL*Z13:AA13*Z26:AA26)/Z32</f>
        <v>0.15534761883171891</v>
      </c>
      <c r="AB57" s="193">
        <f t="array" ref="AB57">SUM(Model!tauL*AB13:AC13*AB26:AC26)/AB32</f>
        <v>0.15512951239340705</v>
      </c>
      <c r="AD57" s="193">
        <f t="array" ref="AD57">SUM(Model!tauL*AD13:AE13*AD26:AE26)/AD32</f>
        <v>0.15494112193418935</v>
      </c>
      <c r="AF57" s="193">
        <f t="array" ref="AF57">SUM(Model!tauL*AF13:AG13*AF26:AG26)/AF32</f>
        <v>0.15479785450596861</v>
      </c>
      <c r="AH57" s="193">
        <f t="array" ref="AH57">SUM(Model!tauL*AH13:AI13*AH26:AI26)/AH32</f>
        <v>0.15472413201616741</v>
      </c>
      <c r="AJ57" s="193">
        <f t="array" ref="AJ57">SUM(Model!tauL*AJ13:AK13*AJ26:AK26)/AJ32</f>
        <v>0.15475915731528289</v>
      </c>
      <c r="AL57" s="193">
        <f t="array" ref="AL57">SUM(Model!tauL*AL13:AM13*AL26:AM26)/AL32</f>
        <v>0.15496435776590797</v>
      </c>
      <c r="AN57" s="193">
        <f t="array" ref="AN57">SUM(Model!tauL*AN13:AO13*AN26:AO26)/AN32</f>
        <v>0.15542415356785549</v>
      </c>
      <c r="AP57" s="193">
        <f t="array" ref="AP57">SUM(Model!tauL*AP13:AQ13*AP26:AQ26)/AP32</f>
        <v>0.1555542008398125</v>
      </c>
      <c r="AR57" s="193">
        <f t="array" ref="AR57">SUM(Model!tauL*AR13:AS13*AR26:AS26)/AR32</f>
        <v>0.15569801346547521</v>
      </c>
      <c r="AT57" s="193">
        <f t="array" ref="AT57">SUM(Model!tauL*AT13:AU13*AT26:AU26)/AT32</f>
        <v>0.15585571183025543</v>
      </c>
      <c r="AV57" s="193">
        <f t="array" ref="AV57">SUM(Model!tauL*AV13:AW13*AV26:AW26)/AV32</f>
        <v>0.15602718408504387</v>
      </c>
      <c r="XFD57" s="193"/>
    </row>
    <row r="58" spans="1:48 16321:16384" x14ac:dyDescent="0.2">
      <c r="A58" t="s">
        <v>172</v>
      </c>
      <c r="B58" s="193">
        <f t="array" ref="B58">SUM(Model!tauY/(1+Model!tauY)*B3:C3*B18:C18)/B32</f>
        <v>1.075269412108535E-2</v>
      </c>
      <c r="D58" s="193">
        <f t="array" ref="D58">SUM(Model!tauY/(1+Model!tauY)*D3:E3*D18:E18)/D32</f>
        <v>1.067730914774408E-2</v>
      </c>
      <c r="F58" s="193">
        <f t="array" ref="F58">SUM(Model!tauY/(1+Model!tauY)*F3:G3*F18:G18)/F32</f>
        <v>1.0601382444148386E-2</v>
      </c>
      <c r="H58" s="193">
        <f t="array" ref="H58">SUM(Model!tauY/(1+Model!tauY)*H3:I3*H18:I18)/H32</f>
        <v>1.0524835449650825E-2</v>
      </c>
      <c r="J58" s="193">
        <f t="array" ref="J58">SUM(Model!tauY/(1+Model!tauY)*J3:K3*J18:K18)/J32</f>
        <v>1.0447578686687718E-2</v>
      </c>
      <c r="L58" s="193">
        <f t="array" ref="L58">SUM(Model!tauY/(1+Model!tauY)*L3:M3*L18:M18)/L32</f>
        <v>1.0369506517211481E-2</v>
      </c>
      <c r="N58" s="193">
        <f t="array" ref="N58">SUM(Model!tauY/(1+Model!tauY)*N3:O3*N18:O18)/N32</f>
        <v>1.0290498026674123E-2</v>
      </c>
      <c r="P58" s="193">
        <f t="array" ref="P58">SUM(Model!tauY/(1+Model!tauY)*P3:Q3*P18:Q18)/P32</f>
        <v>1.0210410982267481E-2</v>
      </c>
      <c r="R58" s="193">
        <f t="array" ref="R58">SUM(Model!tauY/(1+Model!tauY)*R3:S3*R18:S18)/R32</f>
        <v>1.0129078926413711E-2</v>
      </c>
      <c r="T58" s="193">
        <f t="array" ref="T58">SUM(Model!tauY/(1+Model!tauY)*T3:U3*T18:U18)/T32</f>
        <v>1.0046305873196854E-2</v>
      </c>
      <c r="V58" s="193">
        <f t="array" ref="V58">SUM(Model!tauY/(1+Model!tauY)*V3:W3*V18:W18)/V32</f>
        <v>9.9618616806729492E-3</v>
      </c>
      <c r="X58" s="193">
        <f t="array" ref="X58">SUM(Model!tauY/(1+Model!tauY)*X3:Y3*X18:Y18)/X32</f>
        <v>9.8754772046803115E-3</v>
      </c>
      <c r="Y58" s="193"/>
      <c r="Z58" s="193">
        <f t="array" ref="Z58">SUM(Model!tauY/(1+Model!tauY)*Z3:AA3*Z18:AA18)/Z32</f>
        <v>9.7868392127457848E-3</v>
      </c>
      <c r="AB58" s="193">
        <f t="array" ref="AB58">SUM(Model!tauY/(1+Model!tauY)*AB3:AC3*AB18:AC18)/AB32</f>
        <v>9.6955955273040195E-3</v>
      </c>
      <c r="AD58" s="193">
        <f t="array" ref="AD58">SUM(Model!tauY/(1+Model!tauY)*AD3:AE3*AD18:AE18)/AD32</f>
        <v>9.60137157024743E-3</v>
      </c>
      <c r="AF58" s="193">
        <f t="array" ref="AF58">SUM(Model!tauY/(1+Model!tauY)*AF3:AG3*AF18:AG18)/AF32</f>
        <v>9.5038254863802126E-3</v>
      </c>
      <c r="AH58" s="193">
        <f t="array" ref="AH58">SUM(Model!tauY/(1+Model!tauY)*AH3:AI3*AH18:AI18)/AH32</f>
        <v>9.4027903521552089E-3</v>
      </c>
      <c r="AJ58" s="193">
        <f t="array" ref="AJ58">SUM(Model!tauY/(1+Model!tauY)*AJ3:AK3*AJ18:AK18)/AJ32</f>
        <v>9.298602134369581E-3</v>
      </c>
      <c r="AL58" s="193">
        <f t="array" ref="AL58">SUM(Model!tauY/(1+Model!tauY)*AL3:AM3*AL18:AM18)/AL32</f>
        <v>9.192772782264479E-3</v>
      </c>
      <c r="AN58" s="193">
        <f t="array" ref="AN58">SUM(Model!tauY/(1+Model!tauY)*AN3:AO3*AN18:AO18)/AN32</f>
        <v>9.0890115548042071E-3</v>
      </c>
      <c r="AP58" s="193">
        <f t="array" ref="AP58">SUM(Model!tauY/(1+Model!tauY)*AP3:AQ3*AP18:AQ18)/AP32</f>
        <v>9.0690302842474733E-3</v>
      </c>
      <c r="AR58" s="193">
        <f t="array" ref="AR58">SUM(Model!tauY/(1+Model!tauY)*AR3:AS3*AR18:AS18)/AR32</f>
        <v>9.0494411351248003E-3</v>
      </c>
      <c r="AT58" s="193">
        <f t="array" ref="AT58">SUM(Model!tauY/(1+Model!tauY)*AT3:AU3*AT18:AU18)/AT32</f>
        <v>9.0303029715630787E-3</v>
      </c>
      <c r="AV58" s="193">
        <f t="array" ref="AV58">SUM(Model!tauY/(1+Model!tauY)*AV3:AW3*AV18:AW18)/AV32</f>
        <v>9.0116719819749967E-3</v>
      </c>
      <c r="XFD58" s="193"/>
    </row>
    <row r="59" spans="1:48 16321:16384" x14ac:dyDescent="0.2">
      <c r="A59" t="s">
        <v>173</v>
      </c>
      <c r="B59" s="193">
        <f>(B2*C5*C20)/B32</f>
        <v>5.5174232040962052E-4</v>
      </c>
      <c r="D59" s="193">
        <f>(D2*E5*E20)/D32</f>
        <v>3.1683649580255551E-3</v>
      </c>
      <c r="F59" s="193">
        <f>(F2*G5*G20)/F32</f>
        <v>5.8073075454730368E-3</v>
      </c>
      <c r="H59" s="193">
        <f>(H2*I5*I20)/H32</f>
        <v>8.4717267554708254E-3</v>
      </c>
      <c r="J59" s="193">
        <f>(J2*K5*K20)/J32</f>
        <v>1.1165299994806345E-2</v>
      </c>
      <c r="L59" s="193">
        <f>(L2*M5*M20)/L32</f>
        <v>1.389231087032749E-2</v>
      </c>
      <c r="N59" s="193">
        <f>(N2*O5*O20)/N32</f>
        <v>1.6657858197241686E-2</v>
      </c>
      <c r="P59" s="193">
        <f>(P2*Q5*Q20)/P32</f>
        <v>1.9468044440486706E-2</v>
      </c>
      <c r="R59" s="193">
        <f>(R2*S5*S20)/R32</f>
        <v>2.233029414016496E-2</v>
      </c>
      <c r="T59" s="193">
        <f>(T2*U5*U20)/T32</f>
        <v>2.5253775554324041E-2</v>
      </c>
      <c r="V59" s="193">
        <f>(V2*W5*W20)/V32</f>
        <v>2.8250020142606032E-2</v>
      </c>
      <c r="X59" s="193">
        <f>(X2*Y5*Y20)/X32</f>
        <v>3.1333817271420622E-2</v>
      </c>
      <c r="Z59" s="193">
        <f>(Z2*AA5*AA20)/Z32</f>
        <v>3.4524572259563076E-2</v>
      </c>
      <c r="AB59" s="193">
        <f>(AB2*AC5*AC20)/AB32</f>
        <v>3.7848365556593093E-2</v>
      </c>
      <c r="AD59" s="193">
        <f>(AD2*AE5*AE20)/AD32</f>
        <v>4.1341117809609911E-2</v>
      </c>
      <c r="AF59" s="193">
        <f>(AF2*AG5*AG20)/AF32</f>
        <v>4.5053323687774753E-2</v>
      </c>
      <c r="AH59" s="193">
        <f>(AH2*AI5*AI20)/AH32</f>
        <v>4.9056421912824923E-2</v>
      </c>
      <c r="AJ59" s="193">
        <f>(AJ2*AK5*AK20)/AJ32</f>
        <v>5.3448094820525247E-2</v>
      </c>
      <c r="AL59" s="193">
        <f>(AL2*AM5*AM20)/AL32</f>
        <v>5.8342731280661315E-2</v>
      </c>
      <c r="AN59" s="193">
        <f>(AN2*AO5*AO20)/AN32</f>
        <v>6.380515062315327E-2</v>
      </c>
      <c r="AP59" s="193">
        <f>(AP2*AQ5*AQ20)/AP32</f>
        <v>6.495841599208331E-2</v>
      </c>
      <c r="AR59" s="193">
        <f>(AR2*AS5*AS20)/AR32</f>
        <v>6.6126587325238836E-2</v>
      </c>
      <c r="AT59" s="193">
        <f>(AT2*AU5*AU20)/AT32</f>
        <v>6.730603620322427E-2</v>
      </c>
      <c r="AV59" s="193">
        <f>(AV2*AW5*AW20)/AV32</f>
        <v>6.8492525516011385E-2</v>
      </c>
      <c r="XFD59" s="193"/>
    </row>
    <row r="60" spans="1:48 16321:16384" x14ac:dyDescent="0.2">
      <c r="A60" t="s">
        <v>174</v>
      </c>
      <c r="B60" s="193">
        <f>Model!$C$52*B5*B20/B32</f>
        <v>2.8669464423930927E-2</v>
      </c>
      <c r="D60" s="193">
        <f>Model!$C$52*D5*D20/D32</f>
        <v>2.862367996456737E-2</v>
      </c>
      <c r="F60" s="193">
        <f>Model!$C$52*F5*F20/F32</f>
        <v>2.857722132084763E-2</v>
      </c>
      <c r="H60" s="193">
        <f>Model!$C$52*H5*H20/H32</f>
        <v>2.8529998663760082E-2</v>
      </c>
      <c r="J60" s="193">
        <f>Model!$C$52*J5*J20/J32</f>
        <v>2.8481907095043522E-2</v>
      </c>
      <c r="L60" s="193">
        <f>Model!$C$52*L5*L20/L32</f>
        <v>2.8432821903625193E-2</v>
      </c>
      <c r="N60" s="193">
        <f>Model!$C$52*N5*N20/N32</f>
        <v>2.838259483392656E-2</v>
      </c>
      <c r="P60" s="193">
        <f>Model!$C$52*P5*P20/P32</f>
        <v>2.8331046502531286E-2</v>
      </c>
      <c r="R60" s="193">
        <f>Model!$C$52*R5*R20/R32</f>
        <v>2.827795764963659E-2</v>
      </c>
      <c r="T60" s="193">
        <f>Model!$C$52*T5*T20/T32</f>
        <v>2.8223056232978497E-2</v>
      </c>
      <c r="V60" s="193">
        <f>Model!$C$52*V5*V20/V32</f>
        <v>2.816599957891561E-2</v>
      </c>
      <c r="X60" s="193">
        <f>Model!$C$52*X5*X20/X32</f>
        <v>2.8106348406244697E-2</v>
      </c>
      <c r="Z60" s="193">
        <f>Model!$C$52*Z5*Z20/Z32</f>
        <v>2.8043527643941541E-2</v>
      </c>
      <c r="AB60" s="193">
        <f>Model!$C$52*AB5*AB20/AB32</f>
        <v>2.7976769863219255E-2</v>
      </c>
      <c r="AD60" s="193">
        <f>Model!$C$52*AD5*AD20/AD32</f>
        <v>2.790502835539143E-2</v>
      </c>
      <c r="AF60" s="193">
        <f>Model!$C$52*AF5*AF20/AF32</f>
        <v>2.7826850647934529E-2</v>
      </c>
      <c r="AH60" s="193">
        <f>Model!$C$52*AH5*AH20/AH32</f>
        <v>2.7740212511595714E-2</v>
      </c>
      <c r="AJ60" s="193">
        <f>Model!$C$52*AJ5*AJ20/AJ32</f>
        <v>2.7642382095981681E-2</v>
      </c>
      <c r="AL60" s="193">
        <f>Model!$C$52*AL5*AL20/AL32</f>
        <v>2.7530157042270485E-2</v>
      </c>
      <c r="AN60" s="193">
        <f>Model!$C$52*AN5*AN20/AN32</f>
        <v>2.7401500016574602E-2</v>
      </c>
      <c r="AP60" s="193">
        <f>Model!$C$52*AP5*AP20/AP32</f>
        <v>2.7373935668238723E-2</v>
      </c>
      <c r="AR60" s="193">
        <f>Model!$C$52*AR5*AR20/AR32</f>
        <v>2.734588345301742E-2</v>
      </c>
      <c r="AT60" s="193">
        <f>Model!$C$52*AT5*AT20/AT32</f>
        <v>2.7317429413310217E-2</v>
      </c>
      <c r="AV60" s="193">
        <f>Model!$C$52*AV5*AV20/AV32</f>
        <v>2.7288675344628505E-2</v>
      </c>
      <c r="XFD60" s="193"/>
    </row>
    <row r="62" spans="1:48 16321:16384" x14ac:dyDescent="0.2">
      <c r="A62" t="s">
        <v>175</v>
      </c>
      <c r="B62">
        <f>B13/B15</f>
        <v>1</v>
      </c>
      <c r="D62">
        <f>D13/D15</f>
        <v>1.0008376699646737</v>
      </c>
      <c r="F62">
        <f>F13/F15</f>
        <v>1.0017259117050965</v>
      </c>
      <c r="H62">
        <f>H13/H15</f>
        <v>1.002677900097886</v>
      </c>
      <c r="J62">
        <f>J13/J15</f>
        <v>1.003710223622907</v>
      </c>
      <c r="L62">
        <f>L13/L15</f>
        <v>1.0048439227800114</v>
      </c>
      <c r="N62">
        <f>N13/N15</f>
        <v>1.0061060104258066</v>
      </c>
      <c r="P62">
        <f>P13/P15</f>
        <v>1.0075315371459999</v>
      </c>
      <c r="R62">
        <f>R13/R15</f>
        <v>1.0091666081215216</v>
      </c>
      <c r="T62">
        <f>T13/T15</f>
        <v>1.0110727835088196</v>
      </c>
      <c r="V62">
        <f>V13/V15</f>
        <v>1.0133336779007664</v>
      </c>
      <c r="X62">
        <f>X13/X15</f>
        <v>1.0160650802559821</v>
      </c>
      <c r="Z62">
        <f>Z13/Z15</f>
        <v>1.019430953682458</v>
      </c>
      <c r="AB62">
        <f>AB13/AB15</f>
        <v>1.0236692671146497</v>
      </c>
      <c r="AD62">
        <f>AD13/AD15</f>
        <v>1.0291349899842563</v>
      </c>
      <c r="AF62">
        <f>AF13/AF15</f>
        <v>1.0363728464009505</v>
      </c>
      <c r="AH62">
        <f>AH13/AH15</f>
        <v>1.0462401739450877</v>
      </c>
      <c r="AJ62">
        <f>AJ13/AJ15</f>
        <v>1.0601014817259569</v>
      </c>
      <c r="AL62">
        <f>AL13/AL15</f>
        <v>1.0800606677030369</v>
      </c>
      <c r="AN62">
        <f>AN13/AN15</f>
        <v>1.1089103983854707</v>
      </c>
      <c r="AP62">
        <f>AP13/AP15</f>
        <v>1.1159820481289675</v>
      </c>
      <c r="AR62">
        <f>AR13/AR15</f>
        <v>1.1235163872784353</v>
      </c>
      <c r="AT62">
        <f>AT13/AT15</f>
        <v>1.1315136317997967</v>
      </c>
      <c r="AV62">
        <f>AV13/AV15</f>
        <v>1.1399660198816566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0.99931459615341345</v>
      </c>
      <c r="E65" s="191"/>
      <c r="F65" s="191">
        <f t="array" ref="F65">SQRT((F9:G9*$B$22:$C$22+F10:G10*$B$23:$C$23+F11:G11*$B$24:$C$24+F4:G4*($B$25:$C$25-$B$19:$C$19))/($B$9:$C$9*$B$22:$C$22+$B$10:$C$10*$B$23:$C$23+$B$11:$C$11*$B$24:$C$24+$B$4:$C$4*($B$25:$C$25-$B$19:$C$19))*(F9:G9*F22:G22+F10:G10*F23:G23+F11:G11*F24:G24+F4:G4*(F25:G25-F19:G19))/($B$9:$C$9*F22:G22+$B$10:$C$10*F23:G23+$B$11:$C$11*F24:G24+$B$4:$C$4*(F25:G25-F19:G19)))</f>
        <v>0.99862914427228322</v>
      </c>
      <c r="G65" s="191"/>
      <c r="H65" s="191">
        <f t="array" ref="H65">SQRT((H9:I9*$B$22:$C$22+H10:I10*$B$23:$C$23+H11:I11*$B$24:$C$24+H4:I4*($B$25:$C$25-$B$19:$C$19))/($B$9:$C$9*$B$22:$C$22+$B$10:$C$10*$B$23:$C$23+$B$11:$C$11*$B$24:$C$24+$B$4:$C$4*($B$25:$C$25-$B$19:$C$19))*(H9:I9*H22:I22+H10:I10*H23:I23+H11:I11*H24:I24+H4:I4*(H25:I25-H19:I19))/($B$9:$C$9*H22:I22+$B$10:$C$10*H23:I23+$B$11:$C$11*H24:I24+$B$4:$C$4*(H25:I25-H19:I19)))</f>
        <v>0.9979431340116659</v>
      </c>
      <c r="I65" s="191"/>
      <c r="J65" s="191">
        <f t="array" ref="J65">SQRT((J9:K9*$B$22:$C$22+J10:K10*$B$23:$C$23+J11:K11*$B$24:$C$24+J4:K4*($B$25:$C$25-$B$19:$C$19))/($B$9:$C$9*$B$22:$C$22+$B$10:$C$10*$B$23:$C$23+$B$11:$C$11*$B$24:$C$24+$B$4:$C$4*($B$25:$C$25-$B$19:$C$19))*(J9:K9*J22:K22+J10:K10*J23:K23+J11:K11*J24:K24+J4:K4*(J25:K25-J19:K19))/($B$9:$C$9*J22:K22+$B$10:$C$10*J23:K23+$B$11:$C$11*J24:K24+$B$4:$C$4*(J25:K25-J19:K19)))</f>
        <v>0.99725599340378068</v>
      </c>
      <c r="K65" s="191"/>
      <c r="L65" s="191">
        <f t="array" ref="L65">SQRT((L9:M9*$B$22:$C$22+L10:M10*$B$23:$C$23+L11:M11*$B$24:$C$24+L4:M4*($B$25:$C$25-$B$19:$C$19))/($B$9:$C$9*$B$22:$C$22+$B$10:$C$10*$B$23:$C$23+$B$11:$C$11*$B$24:$C$24+$B$4:$C$4*($B$25:$C$25-$B$19:$C$19))*(L9:M9*L22:M22+L10:M10*L23:M23+L11:M11*L24:M24+L4:M4*(L25:M25-L19:M19))/($B$9:$C$9*L22:M22+$B$10:$C$10*L23:M23+$B$11:$C$11*L24:M24+$B$4:$C$4*(L25:M25-L19:M19)))</f>
        <v>0.99656708274768602</v>
      </c>
      <c r="M65" s="191"/>
      <c r="N65" s="191">
        <f t="array" ref="N65">SQRT((N9:O9*$B$22:$C$22+N10:O10*$B$23:$C$23+N11:O11*$B$24:$C$24+N4:O4*($B$25:$C$25-$B$19:$C$19))/($B$9:$C$9*$B$22:$C$22+$B$10:$C$10*$B$23:$C$23+$B$11:$C$11*$B$24:$C$24+$B$4:$C$4*($B$25:$C$25-$B$19:$C$19))*(N9:O9*N22:O22+N10:O10*N23:O23+N11:O11*N24:O24+N4:O4*(N25:O25-N19:O19))/($B$9:$C$9*N22:O22+$B$10:$C$10*N23:O23+$B$11:$C$11*N24:O24+$B$4:$C$4*(N25:O25-N19:O19)))</f>
        <v>0.99587573785187378</v>
      </c>
      <c r="O65" s="191"/>
      <c r="P65" s="191">
        <f t="array" ref="P65">SQRT((P9:Q9*$B$22:$C$22+P10:Q10*$B$23:$C$23+P11:Q11*$B$24:$C$24+P4:Q4*($B$25:$C$25-$B$19:$C$19))/($B$9:$C$9*$B$22:$C$22+$B$10:$C$10*$B$23:$C$23+$B$11:$C$11*$B$24:$C$24+$B$4:$C$4*($B$25:$C$25-$B$19:$C$19))*(P9:Q9*P22:Q22+P10:Q10*P23:Q23+P11:Q11*P24:Q24+P4:Q4*(P25:Q25-P19:Q19))/($B$9:$C$9*P22:Q22+$B$10:$C$10*P23:Q23+$B$11:$C$11*P24:Q24+$B$4:$C$4*(P25:Q25-P19:Q19)))</f>
        <v>0.99518130657062509</v>
      </c>
      <c r="Q65" s="191"/>
      <c r="R65" s="191">
        <f t="array" ref="R65">SQRT((R9:S9*$B$22:$C$22+R10:S10*$B$23:$C$23+R11:S11*$B$24:$C$24+R4:S4*($B$25:$C$25-$B$19:$C$19))/($B$9:$C$9*$B$22:$C$22+$B$10:$C$10*$B$23:$C$23+$B$11:$C$11*$B$24:$C$24+$B$4:$C$4*($B$25:$C$25-$B$19:$C$19))*(R9:S9*R22:S22+R10:S10*R23:S23+R11:S11*R24:S24+R4:S4*(R25:S25-R19:S19))/($B$9:$C$9*R22:S22+$B$10:$C$10*R23:S23+$B$11:$C$11*R24:S24+$B$4:$C$4*(R25:S25-R19:S19)))</f>
        <v>0.99448324988956172</v>
      </c>
      <c r="S65" s="191"/>
      <c r="T65" s="191">
        <f t="array" ref="T65">SQRT((T9:U9*$B$22:$C$22+T10:U10*$B$23:$C$23+T11:U11*$B$24:$C$24+T4:U4*($B$25:$C$25-$B$19:$C$19))/($B$9:$C$9*$B$22:$C$22+$B$10:$C$10*$B$23:$C$23+$B$11:$C$11*$B$24:$C$24+$B$4:$C$4*($B$25:$C$25-$B$19:$C$19))*(T9:U9*T22:U22+T10:U10*T23:U23+T11:U11*T24:U24+T4:U4*(T25:U25-T19:U19))/($B$9:$C$9*T22:U22+$B$10:$C$10*T23:U23+$B$11:$C$11*T24:U24+$B$4:$C$4*(T25:U25-T19:U19)))</f>
        <v>0.99378131463046127</v>
      </c>
      <c r="U65" s="191"/>
      <c r="V65" s="191">
        <f t="array" ref="V65">SQRT((V9:W9*$B$22:$C$22+V10:W10*$B$23:$C$23+V11:W11*$B$24:$C$24+V4:W4*($B$25:$C$25-$B$19:$C$19))/($B$9:$C$9*$B$22:$C$22+$B$10:$C$10*$B$23:$C$23+$B$11:$C$11*$B$24:$C$24+$B$4:$C$4*($B$25:$C$25-$B$19:$C$19))*(V9:W9*V22:W22+V10:W10*V23:W23+V11:W11*V24:W24+V4:W4*(V25:W25-V19:W19))/($B$9:$C$9*V22:W22+$B$10:$C$10*V23:W23+$B$11:$C$11*V24:W24+$B$4:$C$4*(V25:W25-V19:W19)))</f>
        <v>0.99307585136523646</v>
      </c>
      <c r="W65" s="191"/>
      <c r="X65" s="191">
        <f t="array" ref="X65">SQRT((X9:Y9*$B$22:$C$22+X10:Y10*$B$23:$C$23+X11:Y11*$B$24:$C$24+X4:Y4*($B$25:$C$25-$B$19:$C$19))/($B$9:$C$9*$B$22:$C$22+$B$10:$C$10*$B$23:$C$23+$B$11:$C$11*$B$24:$C$24+$B$4:$C$4*($B$25:$C$25-$B$19:$C$19))*(X9:Y9*X22:Y22+X10:Y10*X23:Y23+X11:Y11*X24:Y24+X4:Y4*(X25:Y25-X19:Y19))/($B$9:$C$9*X22:Y22+$B$10:$C$10*X23:Y23+$B$11:$C$11*X24:Y24+$B$4:$C$4*(X25:Y25-X19:Y19)))</f>
        <v>0.99236837739139616</v>
      </c>
      <c r="Y65" s="191"/>
      <c r="Z65" s="191">
        <f t="array" ref="Z65">SQRT((Z9:AA9*$B$22:$C$22+Z10:AA10*$B$23:$C$23+Z11:AA11*$B$24:$C$24+Z4:AA4*($B$25:$C$25-$B$19:$C$19))/($B$9:$C$9*$B$22:$C$22+$B$10:$C$10*$B$23:$C$23+$B$11:$C$11*$B$24:$C$24+$B$4:$C$4*($B$25:$C$25-$B$19:$C$19))*(Z9:AA9*Z22:AA22+Z10:AA10*Z23:AA23+Z11:AA11*Z24:AA24+Z4:AA4*(Z25:AA25-Z19:AA19))/($B$9:$C$9*Z22:AA22+$B$10:$C$10*Z23:AA23+$B$11:$C$11*Z24:AA24+$B$4:$C$4*(Z25:AA25-Z19:AA19)))</f>
        <v>0.99166258805970942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0.99096617451477054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0.99029408686905951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0.98967433526775761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0.98915784080049818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0.98883289135361851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0.98883664879503119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0.98932792487719545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0.98949334620279017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0.98968056723891773</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0.98988830772583336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0.99011474362339114</v>
      </c>
    </row>
    <row r="66" spans="1:48 16384:16384" x14ac:dyDescent="0.2">
      <c r="A66" t="s">
        <v>182</v>
      </c>
      <c r="B66" s="191">
        <f t="array" ref="B66">SQRT((B9:C9*$B$22:$C$22)/($B$9:$C$9*$B$22:$C$22)*(B9:C9*B22:C22)/($B$9:$C$9*B22:C22))</f>
        <v>1</v>
      </c>
      <c r="C66" s="191"/>
      <c r="D66" s="191">
        <f t="array" ref="D66">SQRT((D9:E9*$B$22:$C$22)/($B$9:$C$9*$B$22:$C$22)*(D9:E9*D22:E22)/($B$9:$C$9*D22:E22))</f>
        <v>0.99924654930868695</v>
      </c>
      <c r="E66" s="191"/>
      <c r="F66" s="191">
        <f t="array" ref="F66">SQRT((F9:G9*$B$22:$C$22)/($B$9:$C$9*$B$22:$C$22)*(F9:G9*F22:G22)/($B$9:$C$9*F22:G22))</f>
        <v>0.99849269570152588</v>
      </c>
      <c r="G66" s="191"/>
      <c r="H66" s="191">
        <f t="array" ref="H66">SQRT((H9:I9*$B$22:$C$22)/($B$9:$C$9*$B$22:$C$22)*(H9:I9*H22:I22)/($B$9:$C$9*H22:I22))</f>
        <v>0.99773787778350465</v>
      </c>
      <c r="I66" s="191"/>
      <c r="J66" s="191">
        <f t="array" ref="J66">SQRT((J9:K9*$B$22:$C$22)/($B$9:$C$9*$B$22:$C$22)*(J9:K9*J22:K22)/($B$9:$C$9*J22:K22))</f>
        <v>0.99698146510182639</v>
      </c>
      <c r="K66" s="191"/>
      <c r="L66" s="191">
        <f t="array" ref="L66">SQRT((L9:M9*$B$22:$C$22)/($B$9:$C$9*$B$22:$C$22)*(L9:M9*L22:M22)/($B$9:$C$9*L22:M22))</f>
        <v>0.99622275122470505</v>
      </c>
      <c r="M66" s="191"/>
      <c r="N66" s="191">
        <f t="array" ref="N66">SQRT((N9:O9*$B$22:$C$22)/($B$9:$C$9*$B$22:$C$22)*(N9:O9*N22:O22)/($B$9:$C$9*N22:O22))</f>
        <v>0.99546100119518244</v>
      </c>
      <c r="O66" s="191"/>
      <c r="P66" s="191">
        <f t="array" ref="P66">SQRT((P9:Q9*$B$22:$C$22)/($B$9:$C$9*$B$22:$C$22)*(P9:Q9*P22:Q22)/($B$9:$C$9*P22:Q22))</f>
        <v>0.99469549173372207</v>
      </c>
      <c r="Q66" s="191"/>
      <c r="R66" s="191">
        <f t="array" ref="R66">SQRT((R9:S9*$B$22:$C$22)/($B$9:$C$9*$B$22:$C$22)*(R9:S9*R22:S22)/($B$9:$C$9*R22:S22))</f>
        <v>0.99392562279246377</v>
      </c>
      <c r="S66" s="191"/>
      <c r="T66" s="191">
        <f t="array" ref="T66">SQRT((T9:U9*$B$22:$C$22)/($B$9:$C$9*$B$22:$C$22)*(T9:U9*T22:U22)/($B$9:$C$9*T22:U22))</f>
        <v>0.99315110854130106</v>
      </c>
      <c r="U66" s="191"/>
      <c r="V66" s="191">
        <f t="array" ref="V66">SQRT((V9:W9*$B$22:$C$22)/($B$9:$C$9*$B$22:$C$22)*(V9:W9*V22:W22)/($B$9:$C$9*V22:W22))</f>
        <v>0.99237232939044218</v>
      </c>
      <c r="W66" s="191"/>
      <c r="X66" s="191">
        <f t="array" ref="X66">SQRT((X9:Y9*$B$22:$C$22)/($B$9:$C$9*$B$22:$C$22)*(X9:Y9*X22:Y22)/($B$9:$C$9*X22:Y22))</f>
        <v>0.99159095604609504</v>
      </c>
      <c r="Y66" s="191"/>
      <c r="Z66" s="191">
        <f t="array" ref="Z66">SQRT((Z9:AA9*$B$22:$C$22)/($B$9:$C$9*$B$22:$C$22)*(Z9:AA9*Z22:AA22)/($B$9:$C$9*Z22:AA22))</f>
        <v>0.99081107149162462</v>
      </c>
      <c r="AA66" s="191"/>
      <c r="AB66" s="191">
        <f t="array" ref="AB66">SQRT((AB9:AC9*$B$22:$C$22)/($B$9:$C$9*$B$22:$C$22)*(AB9:AC9*AB22:AC22)/($B$9:$C$9*AB22:AC22))</f>
        <v>0.9900411888804731</v>
      </c>
      <c r="AC66" s="191"/>
      <c r="AD66" s="191">
        <f t="array" ref="AD66">SQRT((AD9:AE9*$B$22:$C$22)/($B$9:$C$9*$B$22:$C$22)*(AD9:AE9*AD22:AE22)/($B$9:$C$9*AD22:AE22))</f>
        <v>0.98929787573019989</v>
      </c>
      <c r="AE66" s="191"/>
      <c r="AF66" s="191">
        <f t="array" ref="AF66">SQRT((AF9:AG9*$B$22:$C$22)/($B$9:$C$9*$B$22:$C$22)*(AF9:AG9*AF22:AG22)/($B$9:$C$9*AF22:AG22))</f>
        <v>0.98861219815197598</v>
      </c>
      <c r="AG66" s="191"/>
      <c r="AH66" s="191">
        <f t="array" ref="AH66">SQRT((AH9:AI9*$B$22:$C$22)/($B$9:$C$9*$B$22:$C$22)*(AH9:AI9*AH22:AI22)/($B$9:$C$9*AH22:AI22))</f>
        <v>0.98804066197807416</v>
      </c>
      <c r="AI66" s="191"/>
      <c r="AJ66" s="191">
        <f t="array" ref="AJ66">SQRT((AJ9:AK9*$B$22:$C$22)/($B$9:$C$9*$B$22:$C$22)*(AJ9:AK9*AJ22:AK22)/($B$9:$C$9*AJ22:AK22))</f>
        <v>0.98768125150524777</v>
      </c>
      <c r="AK66" s="191"/>
      <c r="AL66" s="191">
        <f t="array" ref="AL66">SQRT((AL9:AM9*$B$22:$C$22)/($B$9:$C$9*$B$22:$C$22)*(AL9:AM9*AL22:AM22)/($B$9:$C$9*AL22:AM22))</f>
        <v>0.98768612227409103</v>
      </c>
      <c r="AM66" s="191"/>
      <c r="AN66" s="191">
        <f t="array" ref="AN66">SQRT((AN9:AO9*$B$22:$C$22)/($B$9:$C$9*$B$22:$C$22)*(AN9:AO9*AN22:AO22)/($B$9:$C$9*AN22:AO22))</f>
        <v>0.98823113125926698</v>
      </c>
      <c r="AO66" s="191"/>
      <c r="AP66" s="191">
        <f t="array" ref="AP66">SQRT((AP9:AQ9*$B$22:$C$22)/($B$9:$C$9*$B$22:$C$22)*(AP9:AQ9*AP22:AQ22)/($B$9:$C$9*AP22:AQ22))</f>
        <v>0.98841448789895936</v>
      </c>
      <c r="AQ66" s="191"/>
      <c r="AR66" s="191">
        <f t="array" ref="AR66">SQRT((AR9:AS9*$B$22:$C$22)/($B$9:$C$9*$B$22:$C$22)*(AR9:AS9*AR22:AS22)/($B$9:$C$9*AR22:AS22))</f>
        <v>0.98862195369962591</v>
      </c>
      <c r="AS66" s="191"/>
      <c r="AT66" s="191">
        <f t="array" ref="AT66">SQRT((AT9:AU9*$B$22:$C$22)/($B$9:$C$9*$B$22:$C$22)*(AT9:AU9*AT22:AU22)/($B$9:$C$9*AT22:AU22))</f>
        <v>0.98885209866791446</v>
      </c>
      <c r="AU66" s="191"/>
      <c r="AV66" s="191">
        <f t="array" ref="AV66">SQRT((AV9:AW9*$B$22:$C$22)/($B$9:$C$9*$B$22:$C$22)*(AV9:AW9*AV22:AW22)/($B$9:$C$9*AV22:AW22))</f>
        <v>0.98910289074233038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0.99924654930868695</v>
      </c>
      <c r="E68" s="191"/>
      <c r="F68" s="191">
        <f>F66/F67</f>
        <v>0.99849269570152588</v>
      </c>
      <c r="G68" s="191"/>
      <c r="H68" s="191">
        <f>H66/H67</f>
        <v>0.99773787778350465</v>
      </c>
      <c r="I68" s="191"/>
      <c r="J68" s="191">
        <f>J66/J67</f>
        <v>0.99698146510182639</v>
      </c>
      <c r="K68" s="191"/>
      <c r="L68" s="191">
        <f>L66/L67</f>
        <v>0.99622275122470505</v>
      </c>
      <c r="M68" s="191"/>
      <c r="N68" s="191">
        <f>N66/N67</f>
        <v>0.99546100119518244</v>
      </c>
      <c r="O68" s="191"/>
      <c r="P68" s="191">
        <f>P66/P67</f>
        <v>0.99469549173372207</v>
      </c>
      <c r="Q68" s="191"/>
      <c r="R68" s="191">
        <f>R66/R67</f>
        <v>0.99392562279246377</v>
      </c>
      <c r="S68" s="191"/>
      <c r="T68" s="191">
        <f>T66/T67</f>
        <v>0.99315110854130106</v>
      </c>
      <c r="U68" s="191"/>
      <c r="V68" s="191">
        <f>V66/V67</f>
        <v>0.99237232939044218</v>
      </c>
      <c r="W68" s="191"/>
      <c r="X68" s="191">
        <f>X66/X67</f>
        <v>0.99159095604609504</v>
      </c>
      <c r="Y68" s="191"/>
      <c r="Z68" s="191">
        <f>Z66/Z67</f>
        <v>0.99081107149162462</v>
      </c>
      <c r="AA68" s="191"/>
      <c r="AB68" s="191">
        <f>AB66/AB67</f>
        <v>0.9900411888804731</v>
      </c>
      <c r="AC68" s="191"/>
      <c r="AD68" s="191">
        <f>AD66/AD67</f>
        <v>0.98929787573019989</v>
      </c>
      <c r="AE68" s="191"/>
      <c r="AF68" s="191">
        <f>AF66/AF67</f>
        <v>0.98861219815197598</v>
      </c>
      <c r="AG68" s="191"/>
      <c r="AH68" s="191">
        <f>AH66/AH67</f>
        <v>0.98804066197807416</v>
      </c>
      <c r="AI68" s="191"/>
      <c r="AJ68" s="191">
        <f>AJ66/AJ67</f>
        <v>0.98768125150524777</v>
      </c>
      <c r="AK68" s="191"/>
      <c r="AL68" s="191">
        <f>AL66/AL67</f>
        <v>0.98768612227409103</v>
      </c>
      <c r="AM68" s="191"/>
      <c r="AN68" s="191">
        <f>AN66/AN67</f>
        <v>0.98823113125926698</v>
      </c>
      <c r="AO68" s="191"/>
      <c r="AP68" s="191">
        <f>AP66/AP67</f>
        <v>0.98841448789895936</v>
      </c>
      <c r="AQ68" s="191"/>
      <c r="AR68" s="191">
        <f>AR66/AR67</f>
        <v>0.98862195369962591</v>
      </c>
      <c r="AS68" s="191"/>
      <c r="AT68" s="191">
        <f>AT66/AT67</f>
        <v>0.98885209866791446</v>
      </c>
      <c r="AU68" s="191"/>
      <c r="AV68" s="191">
        <f>AV66/AV67</f>
        <v>0.98910289074233038</v>
      </c>
      <c r="XFD68" s="191"/>
    </row>
    <row r="69" spans="1:48 16384:16384" x14ac:dyDescent="0.2">
      <c r="A69" t="s">
        <v>177</v>
      </c>
      <c r="B69" s="191">
        <f>B32/B65/($B$32)</f>
        <v>1</v>
      </c>
      <c r="C69" s="191"/>
      <c r="D69" s="191">
        <f>D32/D65/($B$32)</f>
        <v>0.99603099344224155</v>
      </c>
      <c r="E69" s="191"/>
      <c r="F69" s="191">
        <f>F32/F65/($B$32)</f>
        <v>0.99154668208063046</v>
      </c>
      <c r="G69" s="191"/>
      <c r="H69" s="191">
        <f>H32/H65/($B$32)</f>
        <v>0.98646836290576034</v>
      </c>
      <c r="I69" s="191"/>
      <c r="J69" s="191">
        <f>J32/J65/($B$32)</f>
        <v>0.98069950666968653</v>
      </c>
      <c r="K69" s="191"/>
      <c r="L69" s="191">
        <f>L32/L65/($B$32)</f>
        <v>0.97412053122633324</v>
      </c>
      <c r="M69" s="191"/>
      <c r="N69" s="191">
        <f>N32/N65/($B$32)</f>
        <v>0.96658101334755619</v>
      </c>
      <c r="O69" s="191"/>
      <c r="P69" s="191">
        <f>P32/P65/($B$32)</f>
        <v>0.9578891334351326</v>
      </c>
      <c r="Q69" s="191"/>
      <c r="R69" s="191">
        <f>R32/R65/($B$32)</f>
        <v>0.94779601602897623</v>
      </c>
      <c r="S69" s="191"/>
      <c r="T69" s="191">
        <f>T32/T65/($B$32)</f>
        <v>0.93597256751791669</v>
      </c>
      <c r="U69" s="191"/>
      <c r="V69" s="191">
        <f>V32/V65/($B$32)</f>
        <v>0.92197395907410673</v>
      </c>
      <c r="W69" s="191"/>
      <c r="X69" s="191">
        <f>X32/X65/($B$32)</f>
        <v>0.90518363871634766</v>
      </c>
      <c r="Y69" s="191"/>
      <c r="Z69" s="191">
        <f>Z32/Z65/($B$32)</f>
        <v>0.8847218889722408</v>
      </c>
      <c r="AA69" s="191"/>
      <c r="AB69" s="191">
        <f>AB32/AB65/($B$32)</f>
        <v>0.85929043141690975</v>
      </c>
      <c r="AC69" s="191"/>
      <c r="AD69" s="191">
        <f>AD32/AD65/($B$32)</f>
        <v>0.82689738675010016</v>
      </c>
      <c r="AE69" s="191"/>
      <c r="AF69" s="191">
        <f>AF32/AF65/($B$32)</f>
        <v>0.78434824161138694</v>
      </c>
      <c r="AG69" s="191"/>
      <c r="AH69" s="191">
        <f>AH32/AH65/($B$32)</f>
        <v>0.72626490218385864</v>
      </c>
      <c r="AI69" s="191"/>
      <c r="AJ69" s="191">
        <f>AJ32/AJ65/($B$32)</f>
        <v>0.64315239061345941</v>
      </c>
      <c r="AK69" s="191"/>
      <c r="AL69" s="191">
        <f>AL32/AL65/($B$32)</f>
        <v>0.51771582119508852</v>
      </c>
      <c r="AM69" s="191"/>
      <c r="AN69" s="191">
        <f>AN32/AN65/($B$32)</f>
        <v>0.31914636517698458</v>
      </c>
      <c r="AO69" s="191"/>
      <c r="AP69" s="191">
        <f>AP32/AP65/($B$32)</f>
        <v>0.26671100993519242</v>
      </c>
      <c r="AQ69" s="191"/>
      <c r="AR69" s="191">
        <f>AR32/AR65/($B$32)</f>
        <v>0.2090252672248013</v>
      </c>
      <c r="AS69" s="191"/>
      <c r="AT69" s="191">
        <f>AT32/AT65/($B$32)</f>
        <v>0.14563671542796158</v>
      </c>
      <c r="AU69" s="191"/>
      <c r="AV69" s="191">
        <f>AV32/AV65/($B$32)</f>
        <v>7.6102042901125933E-2</v>
      </c>
    </row>
    <row r="70" spans="1:48 16384:16384" x14ac:dyDescent="0.2">
      <c r="A70" t="s">
        <v>178</v>
      </c>
      <c r="B70" s="138">
        <f>B18/$B$18</f>
        <v>1</v>
      </c>
      <c r="C70" s="138"/>
      <c r="D70" s="138">
        <f>D18/$B$18</f>
        <v>0.99480804238564524</v>
      </c>
      <c r="E70" s="138"/>
      <c r="F70" s="138">
        <f>F18/$B$18</f>
        <v>0.98908854997296303</v>
      </c>
      <c r="G70" s="138"/>
      <c r="H70" s="138">
        <f>H18/$B$18</f>
        <v>0.98276251569597994</v>
      </c>
      <c r="I70" s="138"/>
      <c r="J70" s="138">
        <f>J18/$B$18</f>
        <v>0.97573325799867427</v>
      </c>
      <c r="K70" s="138"/>
      <c r="L70" s="138">
        <f>L18/$B$18</f>
        <v>0.96788124420915256</v>
      </c>
      <c r="M70" s="138"/>
      <c r="N70" s="138">
        <f>N18/$B$18</f>
        <v>0.95905645217618918</v>
      </c>
      <c r="O70" s="138"/>
      <c r="P70" s="138">
        <f>P18/$B$18</f>
        <v>0.94906796965220208</v>
      </c>
      <c r="Q70" s="138"/>
      <c r="R70" s="138">
        <f>R18/$B$18</f>
        <v>0.93766862957013153</v>
      </c>
      <c r="S70" s="138"/>
      <c r="T70" s="138">
        <f>T18/$B$18</f>
        <v>0.92453230517017604</v>
      </c>
      <c r="U70" s="138"/>
      <c r="V70" s="138">
        <f>V18/$B$18</f>
        <v>0.9092191775982823</v>
      </c>
      <c r="W70" s="138"/>
      <c r="X70" s="138">
        <f>X18/$B$18</f>
        <v>0.8911211170253247</v>
      </c>
      <c r="Y70" s="138"/>
      <c r="Z70" s="138">
        <f>Z18/$B$18</f>
        <v>0.86937271181709874</v>
      </c>
      <c r="AA70" s="138"/>
      <c r="AB70" s="138">
        <f>AB18/$B$18</f>
        <v>0.84270070146243814</v>
      </c>
      <c r="AC70" s="138"/>
      <c r="AD70" s="138">
        <f>AD18/$B$18</f>
        <v>0.80915866097952127</v>
      </c>
      <c r="AE70" s="138"/>
      <c r="AF70" s="138">
        <f>AF18/$B$18</f>
        <v>0.76563894795679777</v>
      </c>
      <c r="AG70" s="138"/>
      <c r="AH70" s="138">
        <f>AH18/$B$18</f>
        <v>0.70693961675789052</v>
      </c>
      <c r="AI70" s="138"/>
      <c r="AJ70" s="138">
        <f>AJ18/$B$18</f>
        <v>0.62394508370345358</v>
      </c>
      <c r="AK70" s="138"/>
      <c r="AL70" s="138">
        <f>AL18/$B$18</f>
        <v>0.50021392408675436</v>
      </c>
      <c r="AM70" s="138"/>
      <c r="AN70" s="138">
        <f>AN18/$B$18</f>
        <v>0.30683059749822572</v>
      </c>
      <c r="AO70" s="138"/>
      <c r="AP70" s="138">
        <f>AP18/$B$18</f>
        <v>0.25613676747029662</v>
      </c>
      <c r="AQ70" s="138"/>
      <c r="AR70" s="138">
        <f>AR18/$B$18</f>
        <v>0.20051113185070632</v>
      </c>
      <c r="AS70" s="138"/>
      <c r="AT70" s="138">
        <f>AT18/$B$18</f>
        <v>0.13954281290344875</v>
      </c>
      <c r="AU70" s="138"/>
      <c r="AV70" s="138">
        <f>AV18/$B$18</f>
        <v>7.2831632723421566E-2</v>
      </c>
    </row>
    <row r="71" spans="1:48 16384:16384" x14ac:dyDescent="0.2">
      <c r="A71" t="s">
        <v>179</v>
      </c>
      <c r="B71" s="138">
        <f>C18/$C$18</f>
        <v>1</v>
      </c>
      <c r="D71" s="138">
        <f>E18/$C$18</f>
        <v>0.93791657774366521</v>
      </c>
      <c r="E71" s="138"/>
      <c r="F71" s="138">
        <f>G18/$C$18</f>
        <v>0.87615854502798496</v>
      </c>
      <c r="G71" s="138"/>
      <c r="H71" s="138">
        <f>I18/$C$18</f>
        <v>0.8147604514866772</v>
      </c>
      <c r="I71" s="138"/>
      <c r="J71" s="138">
        <f>K18/$C$18</f>
        <v>0.75376380972064427</v>
      </c>
      <c r="K71" s="138"/>
      <c r="L71" s="138">
        <f>M18/$C$18</f>
        <v>0.69321746750531221</v>
      </c>
      <c r="M71" s="138"/>
      <c r="N71" s="138">
        <f>O18/$C$18</f>
        <v>0.63318201954870823</v>
      </c>
      <c r="O71" s="138"/>
      <c r="P71" s="138">
        <f>Q18/$C$18</f>
        <v>0.57373199547670672</v>
      </c>
      <c r="Q71" s="138"/>
      <c r="R71" s="138">
        <f>S18/$C$18</f>
        <v>0.51496138550800585</v>
      </c>
      <c r="S71" s="138"/>
      <c r="T71" s="138">
        <f>U18/$C$18</f>
        <v>0.45699043358012392</v>
      </c>
      <c r="U71" s="138"/>
      <c r="V71" s="138">
        <f>W18/$C$18</f>
        <v>0.39997615417850307</v>
      </c>
      <c r="W71" s="138"/>
      <c r="X71" s="138">
        <f>Y18/$C$18</f>
        <v>0.34412746786610771</v>
      </c>
      <c r="Y71" s="138"/>
      <c r="Z71" s="138">
        <f>AA18/$C$18</f>
        <v>0.28972680737768713</v>
      </c>
      <c r="AA71" s="138"/>
      <c r="AB71" s="138">
        <f>AC18/$C$18</f>
        <v>0.23716480009950899</v>
      </c>
      <c r="AC71" s="138"/>
      <c r="AD71" s="138">
        <f>AE18/$C$18</f>
        <v>0.18698972401705319</v>
      </c>
      <c r="AE71" s="138"/>
      <c r="AF71" s="138">
        <f>AG18/$C$18</f>
        <v>0.1399799488332919</v>
      </c>
      <c r="AG71" s="138"/>
      <c r="AH71" s="138">
        <f>AI18/$C$18</f>
        <v>9.7238606916065173E-2</v>
      </c>
      <c r="AI71" s="138"/>
      <c r="AJ71" s="138">
        <f>AK18/$C$18</f>
        <v>6.0277064365570933E-2</v>
      </c>
      <c r="AK71" s="138"/>
      <c r="AL71" s="138">
        <f>AM18/$C$18</f>
        <v>3.0946584680514918E-2</v>
      </c>
      <c r="AM71" s="138"/>
      <c r="AN71" s="138">
        <f>AO18/$C$18</f>
        <v>1.0856136165127712E-2</v>
      </c>
      <c r="AO71" s="138"/>
      <c r="AP71" s="138">
        <f>AQ18/$C$18</f>
        <v>7.9924059239747051E-3</v>
      </c>
      <c r="AQ71" s="138"/>
      <c r="AR71" s="138">
        <f>AS18/$C$18</f>
        <v>5.4948168076979498E-3</v>
      </c>
      <c r="AS71" s="138"/>
      <c r="AT71" s="138">
        <f>AU18/$C$18</f>
        <v>3.3456403414271313E-3</v>
      </c>
      <c r="AU71" s="138"/>
      <c r="AV71" s="138">
        <f>AW18/$C$18</f>
        <v>1.5226814624031595E-3</v>
      </c>
      <c r="XFD71" s="138"/>
    </row>
    <row r="72" spans="1:48 16384:16384" x14ac:dyDescent="0.2">
      <c r="A72" t="s">
        <v>180</v>
      </c>
      <c r="B72" s="138">
        <f>C19/$C$19</f>
        <v>1</v>
      </c>
      <c r="D72" s="138">
        <f>E19/$C$19</f>
        <v>0.99463202273642248</v>
      </c>
      <c r="E72" s="138"/>
      <c r="F72" s="138">
        <f>G19/$C$19</f>
        <v>0.9893884626282311</v>
      </c>
      <c r="G72" s="138"/>
      <c r="H72" s="138">
        <f>I19/$C$19</f>
        <v>0.98423471174937205</v>
      </c>
      <c r="I72" s="138"/>
      <c r="J72" s="138">
        <f>K19/$C$19</f>
        <v>0.97911961500081091</v>
      </c>
      <c r="K72" s="138"/>
      <c r="L72" s="138">
        <f>M19/$C$19</f>
        <v>0.97396756177244215</v>
      </c>
      <c r="M72" s="138"/>
      <c r="N72" s="138">
        <f>O19/$C$19</f>
        <v>0.96866863715754481</v>
      </c>
      <c r="O72" s="138"/>
      <c r="P72" s="138">
        <f>Q19/$C$19</f>
        <v>0.96306213770722493</v>
      </c>
      <c r="Q72" s="138"/>
      <c r="R72" s="138">
        <f>S19/$C$19</f>
        <v>0.95691272576477404</v>
      </c>
      <c r="S72" s="138"/>
      <c r="T72" s="138">
        <f>U19/$C$19</f>
        <v>0.94987319198850462</v>
      </c>
      <c r="U72" s="138"/>
      <c r="V72" s="138">
        <f>W19/$C$19</f>
        <v>0.94142646494469762</v>
      </c>
      <c r="W72" s="138"/>
      <c r="X72" s="138">
        <f>Y19/$C$19</f>
        <v>0.9307926760571329</v>
      </c>
      <c r="Y72" s="138"/>
      <c r="Z72" s="138">
        <f>AA19/$C$19</f>
        <v>0.91677783806725566</v>
      </c>
      <c r="AA72" s="138"/>
      <c r="AB72" s="138">
        <f>AC19/$C$19</f>
        <v>0.89752336334776972</v>
      </c>
      <c r="AC72" s="138"/>
      <c r="AD72" s="138">
        <f>AE19/$C$19</f>
        <v>0.87008442347009141</v>
      </c>
      <c r="AE72" s="138"/>
      <c r="AF72" s="138">
        <f>AG19/$C$19</f>
        <v>0.82972011141612967</v>
      </c>
      <c r="AG72" s="138"/>
      <c r="AH72" s="138">
        <f>AI19/$C$19</f>
        <v>0.76873261784835367</v>
      </c>
      <c r="AI72" s="138"/>
      <c r="AJ72" s="138">
        <f>AK19/$C$19</f>
        <v>0.67477593412815373</v>
      </c>
      <c r="AK72" s="138"/>
      <c r="AL72" s="138">
        <f>AM19/$C$19</f>
        <v>0.52930052873672406</v>
      </c>
      <c r="AM72" s="138"/>
      <c r="AN72" s="138">
        <f>AO19/$C$19</f>
        <v>0.30945811456493577</v>
      </c>
      <c r="AO72" s="138"/>
      <c r="AP72" s="138">
        <f>AQ19/$C$19</f>
        <v>0.25486161765764753</v>
      </c>
      <c r="AQ72" s="138"/>
      <c r="AR72" s="138">
        <f>AS19/$C$19</f>
        <v>0.1965632023300202</v>
      </c>
      <c r="AS72" s="138"/>
      <c r="AT72" s="138">
        <f>AU19/$C$19</f>
        <v>0.13458989818083203</v>
      </c>
      <c r="AU72" s="138"/>
      <c r="AV72" s="138">
        <f>AW19/$C$19</f>
        <v>6.9023598143552717E-2</v>
      </c>
      <c r="XFD72" s="138"/>
    </row>
    <row r="73" spans="1:48 16384:16384" x14ac:dyDescent="0.2">
      <c r="A73" t="s">
        <v>184</v>
      </c>
      <c r="B73" s="193">
        <f t="array" ref="B73">SUM(B9:C9*B22:C22)/B32</f>
        <v>0.47641153352875065</v>
      </c>
      <c r="D73" s="193">
        <f t="array" ref="D73">SUM(D9:E9*D22:E22)/D32</f>
        <v>0.47509127112912197</v>
      </c>
      <c r="E73" s="138"/>
      <c r="F73" s="193">
        <f t="array" ref="F73">SUM(F9:G9*F22:G22)/F32</f>
        <v>0.47375919499887986</v>
      </c>
      <c r="G73" s="138"/>
      <c r="H73" s="193">
        <f t="array" ref="H73">SUM(H9:I9*H22:I22)/H32</f>
        <v>0.47241343674637998</v>
      </c>
      <c r="I73" s="138"/>
      <c r="J73" s="193">
        <f t="array" ref="J73">SUM(J9:K9*J22:K22)/J32</f>
        <v>0.47105180649367789</v>
      </c>
      <c r="K73" s="138"/>
      <c r="L73" s="193">
        <f t="array" ref="L73">SUM(L9:M9*L22:M22)/L32</f>
        <v>0.4696716689978962</v>
      </c>
      <c r="M73" s="138"/>
      <c r="N73" s="193">
        <f t="array" ref="N73">SUM(N9:O9*N22:O22)/N32</f>
        <v>0.46826987288488064</v>
      </c>
      <c r="O73" s="138"/>
      <c r="P73" s="193">
        <f t="array" ref="P73">SUM(P9:Q9*P22:Q22)/P32</f>
        <v>0.46684256100914046</v>
      </c>
      <c r="Q73" s="138"/>
      <c r="R73" s="193">
        <f t="array" ref="R73">SUM(R9:S9*R22:S22)/R32</f>
        <v>0.4653849624696953</v>
      </c>
      <c r="S73" s="138"/>
      <c r="T73" s="193">
        <f t="array" ref="T73">SUM(T9:U9*T22:U22)/T32</f>
        <v>0.46389107345098157</v>
      </c>
      <c r="U73" s="138"/>
      <c r="V73" s="193">
        <f t="array" ref="V73">SUM(V9:W9*V22:W22)/V32</f>
        <v>0.46235319990395479</v>
      </c>
      <c r="W73" s="138"/>
      <c r="X73" s="193">
        <f t="array" ref="X73">SUM(X9:Y9*X22:Y22)/X32</f>
        <v>0.46076126349630925</v>
      </c>
      <c r="Y73" s="138"/>
      <c r="Z73" s="193">
        <f t="array" ref="Z73">SUM(Z9:AA9*Z22:AA22)/Z32</f>
        <v>0.45910178445881922</v>
      </c>
      <c r="AA73" s="138"/>
      <c r="AB73" s="193">
        <f t="array" ref="AB73">SUM(AB9:AC9*AB22:AC22)/AB32</f>
        <v>0.45735624241010753</v>
      </c>
      <c r="AC73" s="138"/>
      <c r="AD73" s="193">
        <f t="array" ref="AD73">SUM(AD9:AE9*AD22:AE22)/AD32</f>
        <v>0.45549855494055669</v>
      </c>
      <c r="AE73" s="138"/>
      <c r="AF73" s="193">
        <f t="array" ref="AF73">SUM(AF9:AG9*AF22:AG22)/AF32</f>
        <v>0.45349112245616602</v>
      </c>
      <c r="AG73" s="138"/>
      <c r="AH73" s="193">
        <f t="array" ref="AH73">SUM(AH9:AI9*AH22:AI22)/AH32</f>
        <v>0.45127903999948477</v>
      </c>
      <c r="AI73" s="138"/>
      <c r="AJ73" s="193">
        <f t="array" ref="AJ73">SUM(AJ9:AK9*AJ22:AK22)/AJ32</f>
        <v>0.44878355180117513</v>
      </c>
      <c r="AK73" s="138"/>
      <c r="AL73" s="193">
        <f t="array" ref="AL73">SUM(AL9:AM9*AL22:AM22)/AL32</f>
        <v>0.44590288253897908</v>
      </c>
      <c r="AM73" s="138"/>
      <c r="AN73" s="193">
        <f t="array" ref="AN73">SUM(AN9:AO9*AN22:AO22)/AN32</f>
        <v>0.44254938591758469</v>
      </c>
      <c r="AO73" s="138"/>
      <c r="AP73" s="193">
        <f t="array" ref="AP73">SUM(AP9:AQ9*AP22:AQ22)/AP32</f>
        <v>0.44182158323238457</v>
      </c>
      <c r="AQ73" s="138"/>
      <c r="AR73" s="193">
        <f t="array" ref="AR73">SUM(AR9:AS9*AR22:AS22)/AR32</f>
        <v>0.44107714603741738</v>
      </c>
      <c r="AS73" s="138"/>
      <c r="AT73" s="193">
        <f t="array" ref="AT73">SUM(AT9:AU9*AT22:AU22)/AT32</f>
        <v>0.44031806062344486</v>
      </c>
      <c r="AU73" s="138"/>
      <c r="AV73" s="193">
        <f t="array" ref="AV73">SUM(AV9:AW9*AV22:AW22)/AV32</f>
        <v>0.43954680082708525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0.22170465330140937</v>
      </c>
      <c r="E75" s="138"/>
      <c r="F75" s="193">
        <f t="array" ref="F75">SUM(F11:G11*F24:G24)/F32</f>
        <v>0.22303672939136623</v>
      </c>
      <c r="G75" s="138"/>
      <c r="H75" s="193">
        <f t="array" ref="H75">SUM(H11:I11*H24:I24)/H32</f>
        <v>0.2243824851704469</v>
      </c>
      <c r="I75" s="138"/>
      <c r="J75" s="193">
        <f t="array" ref="J75">SUM(J11:K11*J24:K24)/J32</f>
        <v>0.22574411677631975</v>
      </c>
      <c r="K75" s="138"/>
      <c r="L75" s="193">
        <f t="array" ref="L75">SUM(L11:M11*L24:M24)/L32</f>
        <v>0.22712425293294425</v>
      </c>
      <c r="M75" s="138"/>
      <c r="N75" s="193">
        <f t="array" ref="N75">SUM(N11:O11*N24:O24)/N32</f>
        <v>0.22852604906391072</v>
      </c>
      <c r="O75" s="138"/>
      <c r="P75" s="193">
        <f t="array" ref="P75">SUM(P11:Q11*P24:Q24)/P32</f>
        <v>0.22995336092274155</v>
      </c>
      <c r="Q75" s="138"/>
      <c r="R75" s="193">
        <f t="array" ref="R75">SUM(R11:S11*R24:S24)/R32</f>
        <v>0.23141095982524937</v>
      </c>
      <c r="S75" s="138"/>
      <c r="T75" s="193">
        <f t="array" ref="T75">SUM(T11:U11*T24:U24)/T32</f>
        <v>0.23290484842610978</v>
      </c>
      <c r="U75" s="138"/>
      <c r="V75" s="193">
        <f t="array" ref="V75">SUM(V11:W11*V24:W24)/V32</f>
        <v>0.23444272199027477</v>
      </c>
      <c r="W75" s="138"/>
      <c r="X75" s="193">
        <f t="array" ref="X75">SUM(X11:Y11*X24:Y24)/X32</f>
        <v>0.23603465832474371</v>
      </c>
      <c r="Y75" s="138"/>
      <c r="Z75" s="193">
        <f t="array" ref="Z75">SUM(Z11:AA11*Z24:AA24)/Z32</f>
        <v>0.23769413739521869</v>
      </c>
      <c r="AA75" s="138"/>
      <c r="AB75" s="193">
        <f t="array" ref="AB75">SUM(AB11:AC11*AB24:AC24)/AB32</f>
        <v>0.23943967948707331</v>
      </c>
      <c r="AC75" s="138"/>
      <c r="AD75" s="193">
        <f t="array" ref="AD75">SUM(AD11:AE11*AD24:AE24)/AD32</f>
        <v>0.24129736690924833</v>
      </c>
      <c r="AE75" s="138"/>
      <c r="AF75" s="193">
        <f t="array" ref="AF75">SUM(AF11:AG11*AF24:AG24)/AF32</f>
        <v>0.2433047993109031</v>
      </c>
      <c r="AG75" s="138"/>
      <c r="AH75" s="193">
        <f t="array" ref="AH75">SUM(AH11:AI11*AH24:AI24)/AH32</f>
        <v>0.24551688182353451</v>
      </c>
      <c r="AI75" s="138"/>
      <c r="AJ75" s="193">
        <f t="array" ref="AJ75">SUM(AJ11:AK11*AJ24:AK24)/AJ32</f>
        <v>0.24801237008381902</v>
      </c>
      <c r="AK75" s="138"/>
      <c r="AL75" s="193">
        <f t="array" ref="AL75">SUM(AL11:AM11*AL24:AM24)/AL32</f>
        <v>0.25089303929551926</v>
      </c>
      <c r="AM75" s="138"/>
      <c r="AN75" s="193">
        <f t="array" ref="AN75">SUM(AN11:AO11*AN24:AO24)/AN32</f>
        <v>0.25424653587096369</v>
      </c>
      <c r="AO75" s="138"/>
      <c r="AP75" s="193">
        <f t="array" ref="AP75">SUM(AP11:AQ11*AP24:AQ24)/AP32</f>
        <v>0.25497433853576007</v>
      </c>
      <c r="AQ75" s="138"/>
      <c r="AR75" s="193">
        <f t="array" ref="AR75">SUM(AR11:AS11*AR24:AS24)/AR32</f>
        <v>0.25571877602300463</v>
      </c>
      <c r="AS75" s="138"/>
      <c r="AT75" s="193">
        <f t="array" ref="AT75">SUM(AT11:AU11*AT24:AU24)/AT32</f>
        <v>0.25647786138414935</v>
      </c>
      <c r="AU75" s="138"/>
      <c r="AV75" s="193">
        <f t="array" ref="AV75">SUM(AV11:AW11*AV24:AW24)/AV32</f>
        <v>0.25724912074331563</v>
      </c>
      <c r="XFD75" s="193"/>
    </row>
    <row r="76" spans="1:48 16384:16384" x14ac:dyDescent="0.2">
      <c r="A76" t="s">
        <v>187</v>
      </c>
      <c r="B76" s="193">
        <f t="array" ref="B76">SUM(B12:C12*B25:C25)/B32</f>
        <v>0.22301874374724867</v>
      </c>
      <c r="D76" s="193">
        <f t="array" ref="D76">SUM(D12:E12*D25:E25)/D32</f>
        <v>0.22270514484041889</v>
      </c>
      <c r="E76" s="138"/>
      <c r="F76" s="193">
        <f t="array" ref="F76">SUM(F12:G12*F25:G25)/F32</f>
        <v>0.22240007790045926</v>
      </c>
      <c r="G76" s="138"/>
      <c r="H76" s="193">
        <f t="array" ref="H76">SUM(H12:I12*H25:I25)/H32</f>
        <v>0.22210403849564805</v>
      </c>
      <c r="I76" s="138"/>
      <c r="J76" s="193">
        <f t="array" ref="J76">SUM(J12:K12*J25:K25)/J32</f>
        <v>0.22181752880362918</v>
      </c>
      <c r="K76" s="138"/>
      <c r="L76" s="193">
        <f t="array" ref="L76">SUM(L12:M12*L25:M25)/L32</f>
        <v>0.22154102755030394</v>
      </c>
      <c r="M76" s="138"/>
      <c r="N76" s="193">
        <f t="array" ref="N76">SUM(N12:O12*N25:O25)/N32</f>
        <v>0.22127494677784773</v>
      </c>
      <c r="O76" s="138"/>
      <c r="P76" s="193">
        <f t="array" ref="P76">SUM(P12:Q12*P25:Q25)/P32</f>
        <v>0.22101954924826853</v>
      </c>
      <c r="Q76" s="138"/>
      <c r="R76" s="193">
        <f t="array" ref="R76">SUM(R12:S12*R25:S25)/R32</f>
        <v>0.22077481613534483</v>
      </c>
      <c r="S76" s="138"/>
      <c r="T76" s="193">
        <f t="array" ref="T76">SUM(T12:U12*T25:U25)/T32</f>
        <v>0.22054022180818339</v>
      </c>
      <c r="U76" s="138"/>
      <c r="V76" s="193">
        <f t="array" ref="V76">SUM(V12:W12*V25:W25)/V32</f>
        <v>0.22031435581805736</v>
      </c>
      <c r="W76" s="138"/>
      <c r="X76" s="193">
        <f t="array" ref="X76">SUM(X12:Y12*X25:Y25)/X32</f>
        <v>0.22009428130335223</v>
      </c>
      <c r="Y76" s="138"/>
      <c r="Z76" s="193">
        <f t="array" ref="Z76">SUM(Z12:AA12*Z25:AA25)/Z32</f>
        <v>0.21987441814425535</v>
      </c>
      <c r="AA76" s="138"/>
      <c r="AB76" s="193">
        <f t="array" ref="AB76">SUM(AB12:AC12*AB25:AC25)/AB32</f>
        <v>0.2196446317598354</v>
      </c>
      <c r="AC76" s="138"/>
      <c r="AD76" s="193">
        <f t="array" ref="AD76">SUM(AD12:AE12*AD25:AE25)/AD32</f>
        <v>0.21938687654052857</v>
      </c>
      <c r="AE76" s="138"/>
      <c r="AF76" s="193">
        <f t="array" ref="AF76">SUM(AF12:AG12*AF25:AG25)/AF32</f>
        <v>0.21906942168852503</v>
      </c>
      <c r="AG76" s="138"/>
      <c r="AH76" s="193">
        <f t="array" ref="AH76">SUM(AH12:AI12*AH25:AI25)/AH32</f>
        <v>0.21863740651494346</v>
      </c>
      <c r="AI76" s="138"/>
      <c r="AJ76" s="193">
        <f t="array" ref="AJ76">SUM(AJ12:AK12*AJ25:AK25)/AJ32</f>
        <v>0.21799984763155478</v>
      </c>
      <c r="AK76" s="138"/>
      <c r="AL76" s="193">
        <f t="array" ref="AL76">SUM(AL12:AM12*AL25:AM25)/AL32</f>
        <v>0.21702215272369105</v>
      </c>
      <c r="AM76" s="138"/>
      <c r="AN76" s="193">
        <f t="array" ref="AN76">SUM(AN12:AO12*AN25:AO25)/AN32</f>
        <v>0.21556159343453099</v>
      </c>
      <c r="AO76" s="138"/>
      <c r="AP76" s="193">
        <f t="array" ref="AP76">SUM(AP12:AQ12*AP25:AQ25)/AP32</f>
        <v>0.21520582208220831</v>
      </c>
      <c r="AQ76" s="138"/>
      <c r="AR76" s="193">
        <f t="array" ref="AR76">SUM(AR12:AS12*AR25:AS25)/AR32</f>
        <v>0.21483030639905371</v>
      </c>
      <c r="AS76" s="138"/>
      <c r="AT76" s="193">
        <f t="array" ref="AT76">SUM(AT12:AU12*AT25:AU25)/AT32</f>
        <v>0.21443675448586139</v>
      </c>
      <c r="AU76" s="138"/>
      <c r="AV76" s="193">
        <f t="array" ref="AV76">SUM(AV12:AW12*AV25:AW25)/AV32</f>
        <v>0.21402742210747239</v>
      </c>
      <c r="XFD76" s="193"/>
    </row>
    <row r="77" spans="1:48 16384:16384" x14ac:dyDescent="0.2">
      <c r="A77" t="s">
        <v>188</v>
      </c>
      <c r="B77" s="193">
        <f t="array" ref="B77">SUM(B4:C4*B19:C19)/B32</f>
        <v>0.14586087017236485</v>
      </c>
      <c r="D77" s="193">
        <f t="array" ref="D77">SUM(D4:E4*D19:E19)/D32</f>
        <v>0.14554727383537525</v>
      </c>
      <c r="E77" s="138"/>
      <c r="F77" s="193">
        <f t="array" ref="F77">SUM(F4:G4*F19:G19)/F32</f>
        <v>0.14524220685513003</v>
      </c>
      <c r="G77" s="138"/>
      <c r="H77" s="193">
        <f t="array" ref="H77">SUM(H4:I4*H19:I19)/H32</f>
        <v>0.1449461649768998</v>
      </c>
      <c r="I77" s="138"/>
      <c r="J77" s="193">
        <f t="array" ref="J77">SUM(J4:K4*J19:K19)/J32</f>
        <v>0.14465965663805155</v>
      </c>
      <c r="K77" s="138"/>
      <c r="L77" s="193">
        <f t="array" ref="L77">SUM(L4:M4*L19:M19)/L32</f>
        <v>0.14438315404556912</v>
      </c>
      <c r="M77" s="138"/>
      <c r="N77" s="193">
        <f t="array" ref="N77">SUM(N4:O4*N19:O19)/N32</f>
        <v>0.14411707329106385</v>
      </c>
      <c r="O77" s="138"/>
      <c r="P77" s="193">
        <f t="array" ref="P77">SUM(P4:Q4*P19:Q19)/P32</f>
        <v>0.14386167574457517</v>
      </c>
      <c r="Q77" s="138"/>
      <c r="R77" s="193">
        <f t="array" ref="R77">SUM(R4:S4*R19:S19)/R32</f>
        <v>0.14361694299471431</v>
      </c>
      <c r="S77" s="138"/>
      <c r="T77" s="193">
        <f t="array" ref="T77">SUM(T4:U4*T19:U19)/T32</f>
        <v>0.14338234824969953</v>
      </c>
      <c r="U77" s="138"/>
      <c r="V77" s="193">
        <f t="array" ref="V77">SUM(V4:W4*V19:W19)/V32</f>
        <v>0.14315648227671154</v>
      </c>
      <c r="W77" s="138"/>
      <c r="X77" s="193">
        <f t="array" ref="X77">SUM(X4:Y4*X19:Y19)/X32</f>
        <v>0.14293640768882987</v>
      </c>
      <c r="Y77" s="138"/>
      <c r="Z77" s="193">
        <f t="array" ref="Z77">SUM(Z4:AA4*Z19:AA19)/Z32</f>
        <v>0.14271654456271798</v>
      </c>
      <c r="AA77" s="138"/>
      <c r="AB77" s="193">
        <f t="array" ref="AB77">SUM(AB4:AC4*AB19:AC19)/AB32</f>
        <v>0.14248675822144102</v>
      </c>
      <c r="AC77" s="138"/>
      <c r="AD77" s="193">
        <f t="array" ref="AD77">SUM(AD4:AE4*AD19:AE19)/AD32</f>
        <v>0.14222900295475818</v>
      </c>
      <c r="AE77" s="138"/>
      <c r="AF77" s="193">
        <f t="array" ref="AF77">SUM(AF4:AG4*AF19:AG19)/AF32</f>
        <v>0.14191154802001901</v>
      </c>
      <c r="AG77" s="138"/>
      <c r="AH77" s="193">
        <f t="array" ref="AH77">SUM(AH4:AI4*AH19:AI19)/AH32</f>
        <v>0.14147953290238757</v>
      </c>
      <c r="AI77" s="138"/>
      <c r="AJ77" s="193">
        <f t="array" ref="AJ77">SUM(AJ4:AK4*AJ19:AK19)/AJ32</f>
        <v>0.14084197408097363</v>
      </c>
      <c r="AK77" s="138"/>
      <c r="AL77" s="193">
        <f t="array" ref="AL77">SUM(AL4:AM4*AL19:AM19)/AL32</f>
        <v>0.13986427912261407</v>
      </c>
      <c r="AM77" s="138"/>
      <c r="AN77" s="193">
        <f t="array" ref="AN77">SUM(AN4:AO4*AN19:AO19)/AN32</f>
        <v>0.13840371978750401</v>
      </c>
      <c r="AO77" s="138"/>
      <c r="AP77" s="193">
        <f t="array" ref="AP77">SUM(AP4:AQ4*AP19:AQ19)/AP32</f>
        <v>0.13804794841477758</v>
      </c>
      <c r="AQ77" s="138"/>
      <c r="AR77" s="193">
        <f t="array" ref="AR77">SUM(AR4:AS4*AR19:AS19)/AR32</f>
        <v>0.1376724330239005</v>
      </c>
      <c r="AS77" s="138"/>
      <c r="AT77" s="193">
        <f t="array" ref="AT77">SUM(AT4:AU4*AT19:AU19)/AT32</f>
        <v>0.13727888105788025</v>
      </c>
      <c r="AU77" s="138"/>
      <c r="AV77" s="193">
        <f t="array" ref="AV77">SUM(AV4:AW4*AV19:AW19)/AV32</f>
        <v>0.13686954824229808</v>
      </c>
      <c r="XFD77" s="193"/>
    </row>
    <row r="78" spans="1:48 16384:16384" x14ac:dyDescent="0.2">
      <c r="A78" t="s">
        <v>189</v>
      </c>
      <c r="B78" s="193">
        <f t="array" ref="B78">SUM(B13:C13*B26:C26)/B32</f>
        <v>0.346887593115773</v>
      </c>
      <c r="D78" s="193">
        <f t="array" ref="D78">SUM(D13:E13*D26:E26)/D32</f>
        <v>0.34629877843695567</v>
      </c>
      <c r="E78" s="138"/>
      <c r="F78" s="193">
        <f t="array" ref="F78">SUM(F13:G13*F26:G26)/F32</f>
        <v>0.34570742329669391</v>
      </c>
      <c r="G78" s="138"/>
      <c r="H78" s="193">
        <f t="array" ref="H78">SUM(H13:I13*H26:I26)/H32</f>
        <v>0.34511392382604172</v>
      </c>
      <c r="I78" s="138"/>
      <c r="J78" s="193">
        <f t="array" ref="J78">SUM(J13:K13*J26:K26)/J32</f>
        <v>0.34451886888948929</v>
      </c>
      <c r="K78" s="138"/>
      <c r="L78" s="193">
        <f t="array" ref="L78">SUM(L13:M13*L26:M26)/L32</f>
        <v>0.34392309115258823</v>
      </c>
      <c r="M78" s="138"/>
      <c r="N78" s="193">
        <f t="array" ref="N78">SUM(N13:O13*N26:O26)/N32</f>
        <v>0.34332778075745196</v>
      </c>
      <c r="O78" s="138"/>
      <c r="P78" s="193">
        <f t="array" ref="P78">SUM(P13:Q13*P26:Q26)/P32</f>
        <v>0.34273460389356541</v>
      </c>
      <c r="Q78" s="138"/>
      <c r="R78" s="193">
        <f t="array" ref="R78">SUM(R13:S13*R26:S26)/R32</f>
        <v>0.34214590099679776</v>
      </c>
      <c r="S78" s="138"/>
      <c r="T78" s="193">
        <f t="array" ref="T78">SUM(T13:U13*T26:U26)/T32</f>
        <v>0.34156496568696154</v>
      </c>
      <c r="U78" s="138"/>
      <c r="V78" s="193">
        <f t="array" ref="V78">SUM(V13:W13*V26:W26)/V32</f>
        <v>0.34099646849268034</v>
      </c>
      <c r="W78" s="138"/>
      <c r="X78" s="193">
        <f t="array" ref="X78">SUM(X13:Y13*X26:Y26)/X32</f>
        <v>0.34044710419916319</v>
      </c>
      <c r="Y78" s="138"/>
      <c r="Z78" s="193">
        <f t="array" ref="Z78">SUM(Z13:AA13*Z26:AA26)/Z32</f>
        <v>0.3399265963537399</v>
      </c>
      <c r="AA78" s="138"/>
      <c r="AB78" s="193">
        <f t="array" ref="AB78">SUM(AB13:AC13*AB26:AC26)/AB32</f>
        <v>0.33944934295406926</v>
      </c>
      <c r="AC78" s="138"/>
      <c r="AD78" s="193">
        <f t="array" ref="AD78">SUM(AD13:AE13*AD26:AE26)/AD32</f>
        <v>0.33903711309133305</v>
      </c>
      <c r="AE78" s="138"/>
      <c r="AF78" s="193">
        <f t="array" ref="AF78">SUM(AF13:AG13*AF26:AG26)/AF32</f>
        <v>0.33872361997435013</v>
      </c>
      <c r="AG78" s="138"/>
      <c r="AH78" s="193">
        <f t="array" ref="AH78">SUM(AH13:AI13*AH26:AI26)/AH32</f>
        <v>0.33856230282497052</v>
      </c>
      <c r="AI78" s="138"/>
      <c r="AJ78" s="193">
        <f t="array" ref="AJ78">SUM(AJ13:AK13*AJ26:AK26)/AJ32</f>
        <v>0.33863894404293143</v>
      </c>
      <c r="AK78" s="138"/>
      <c r="AL78" s="193">
        <f t="array" ref="AL78">SUM(AL13:AM13*AL26:AM26)/AL32</f>
        <v>0.33908795698098493</v>
      </c>
      <c r="AM78" s="138"/>
      <c r="AN78" s="193">
        <f t="array" ref="AN78">SUM(AN13:AO13*AN26:AO26)/AN32</f>
        <v>0.3400940671688924</v>
      </c>
      <c r="AO78" s="138"/>
      <c r="AP78" s="193">
        <f t="array" ref="AP78">SUM(AP13:AQ13*AP26:AQ26)/AP32</f>
        <v>0.34037863237081756</v>
      </c>
      <c r="AQ78" s="138"/>
      <c r="AR78" s="193">
        <f t="array" ref="AR78">SUM(AR13:AS13*AR26:AS26)/AR32</f>
        <v>0.34069331847107354</v>
      </c>
      <c r="AS78" s="138"/>
      <c r="AT78" s="193">
        <f t="array" ref="AT78">SUM(AT13:AU13*AT26:AU26)/AT32</f>
        <v>0.34103838889309501</v>
      </c>
      <c r="AU78" s="138"/>
      <c r="AV78" s="193">
        <f t="array" ref="AV78">SUM(AV13:AW13*AV26:AW26)/AV32</f>
        <v>0.34141359889230627</v>
      </c>
      <c r="XFD78" s="193"/>
    </row>
    <row r="79" spans="1:48 16384:16384" x14ac:dyDescent="0.2">
      <c r="A79" t="s">
        <v>190</v>
      </c>
      <c r="B79" s="193">
        <f t="array" ref="B79">SUM(B15:C15*B27:C27)/B32</f>
        <v>0.45460968782439864</v>
      </c>
      <c r="D79" s="193">
        <f t="array" ref="D79">SUM(D15:E15*D27:E27)/D32</f>
        <v>0.45297215228099785</v>
      </c>
      <c r="F79" s="193">
        <f t="array" ref="F79">SUM(F15:G15*F27:G27)/F32</f>
        <v>0.45131720213134463</v>
      </c>
      <c r="H79" s="193">
        <f t="array" ref="H79">SUM(H15:I15*H27:I27)/H32</f>
        <v>0.44964126916513081</v>
      </c>
      <c r="J79" s="193">
        <f t="array" ref="J79">SUM(J15:K15*J27:K27)/J32</f>
        <v>0.44794005075323701</v>
      </c>
      <c r="L79" s="193">
        <f t="array" ref="L79">SUM(L15:M15*L27:M27)/L32</f>
        <v>0.44620823730022147</v>
      </c>
      <c r="N79" s="193">
        <f t="array" ref="N79">SUM(N15:O15*N27:O27)/N32</f>
        <v>0.44443929386911063</v>
      </c>
      <c r="P79" s="193">
        <f t="array" ref="P79">SUM(P15:Q15*P27:Q27)/P32</f>
        <v>0.44262500352864842</v>
      </c>
      <c r="R79" s="193">
        <f t="array" ref="R79">SUM(R15:S15*R27:S27)/R32</f>
        <v>0.44075492012680573</v>
      </c>
      <c r="T79" s="193">
        <f t="array" ref="T79">SUM(T15:U15*T27:U27)/T32</f>
        <v>0.43881553610812241</v>
      </c>
      <c r="V79" s="193">
        <f t="array" ref="V79">SUM(V15:W15*V27:W27)/V32</f>
        <v>0.43678909100776425</v>
      </c>
      <c r="X79" s="193">
        <f t="array" ref="X79">SUM(X15:Y15*X27:Y27)/X32</f>
        <v>0.43465176237950975</v>
      </c>
      <c r="Z79" s="193">
        <f t="array" ref="Z79">SUM(Z15:AA15*Z27:AA27)/Z32</f>
        <v>0.43237084492538613</v>
      </c>
      <c r="AB79" s="193">
        <f t="array" ref="AB79">SUM(AB15:AC15*AB27:AC27)/AB32</f>
        <v>0.42990041075693181</v>
      </c>
      <c r="AD79" s="193">
        <f t="array" ref="AD79">SUM(AD15:AE15*AD27:AE27)/AD32</f>
        <v>0.42717424773629575</v>
      </c>
      <c r="AF79" s="193">
        <f t="array" ref="AF79">SUM(AF15:AG15*AF27:AG27)/AF32</f>
        <v>0.42409452732461378</v>
      </c>
      <c r="AH79" s="193">
        <f t="array" ref="AH79">SUM(AH15:AI15*AH27:AI27)/AH32</f>
        <v>0.42051414140156135</v>
      </c>
      <c r="AJ79" s="193">
        <f t="array" ref="AJ79">SUM(AJ15:AK15*AJ27:AK27)/AJ32</f>
        <v>0.41621281861647225</v>
      </c>
      <c r="AL79" s="193">
        <f t="array" ref="AL79">SUM(AL15:AM15*AL27:AM27)/AL32</f>
        <v>0.4108820258433718</v>
      </c>
      <c r="AN79" s="193">
        <f t="array" ref="AN79">SUM(AN15:AO15*AN27:AO27)/AN32</f>
        <v>0.40418611610780125</v>
      </c>
      <c r="AP79" s="193">
        <f t="array" ref="AP79">SUM(AP15:AQ15*AP27:AQ27)/AP32</f>
        <v>0.40266578399051589</v>
      </c>
      <c r="AR79" s="193">
        <f t="array" ref="AR79">SUM(AR15:AS15*AR27:AS27)/AR32</f>
        <v>0.40108675800383375</v>
      </c>
      <c r="AT79" s="193">
        <f t="array" ref="AT79">SUM(AT15:AU15*AT27:AU27)/AT32</f>
        <v>0.39945213211431696</v>
      </c>
      <c r="AV79" s="193">
        <f t="array" ref="AV79">SUM(AV15:AW15*AV27:AW27)/AV32</f>
        <v>0.39776634193354321</v>
      </c>
      <c r="XFD79" s="193"/>
    </row>
    <row r="80" spans="1:48 16384:16384" x14ac:dyDescent="0.2">
      <c r="A80" t="s">
        <v>169</v>
      </c>
      <c r="B80" s="236">
        <f>B55</f>
        <v>0.19850271905982084</v>
      </c>
      <c r="D80" s="236">
        <f>D55</f>
        <v>0.20072908193973646</v>
      </c>
      <c r="F80" s="236">
        <f>F55</f>
        <v>0.20297538785529146</v>
      </c>
      <c r="H80" s="236">
        <f>H55</f>
        <v>0.20524480612279405</v>
      </c>
      <c r="J80" s="236">
        <f>J55</f>
        <v>0.20754108888629563</v>
      </c>
      <c r="L80" s="236">
        <f>L55</f>
        <v>0.20986866993453299</v>
      </c>
      <c r="N80" s="236">
        <f>N55</f>
        <v>0.21223292281160919</v>
      </c>
      <c r="P80" s="236">
        <f>P55</f>
        <v>0.21464038982053907</v>
      </c>
      <c r="R80" s="236">
        <f>R55</f>
        <v>0.21709917937125295</v>
      </c>
      <c r="T80" s="236">
        <f>T55</f>
        <v>0.21961949688915394</v>
      </c>
      <c r="V80" s="236">
        <f>V55</f>
        <v>0.22221443546587705</v>
      </c>
      <c r="X80" s="236">
        <f>X55</f>
        <v>0.22490113558223807</v>
      </c>
      <c r="Z80" s="236">
        <f>Z55</f>
        <v>0.22770255794796931</v>
      </c>
      <c r="AB80" s="236">
        <f>AB55</f>
        <v>0.23065024334052342</v>
      </c>
      <c r="AD80" s="236">
        <f>AD55</f>
        <v>0.23378863966943811</v>
      </c>
      <c r="AF80" s="236">
        <f>AF55</f>
        <v>0.23718185432805813</v>
      </c>
      <c r="AH80" s="236">
        <f>AH55</f>
        <v>0.2409235567927433</v>
      </c>
      <c r="AJ80" s="236">
        <f>AJ55</f>
        <v>0.2451482363661594</v>
      </c>
      <c r="AL80" s="236">
        <f>AL55</f>
        <v>0.25003001887110426</v>
      </c>
      <c r="AN80" s="236">
        <f>AN55</f>
        <v>0.25571981576238756</v>
      </c>
      <c r="AP80" s="236">
        <f>AP55</f>
        <v>0.25695558278438202</v>
      </c>
      <c r="AR80" s="236">
        <f>AR55</f>
        <v>0.25821992537885624</v>
      </c>
      <c r="AT80" s="236">
        <f>AT55</f>
        <v>0.25950948041835298</v>
      </c>
      <c r="AV80" s="236">
        <f>AV55</f>
        <v>0.26082005692765875</v>
      </c>
      <c r="XFD80" s="236"/>
    </row>
    <row r="81" spans="1:48 16384:16384" x14ac:dyDescent="0.2">
      <c r="A81" t="s">
        <v>191</v>
      </c>
      <c r="B81" s="236">
        <f>B51/B$32</f>
        <v>-2.7543485504603994E-2</v>
      </c>
      <c r="D81" s="236">
        <f>D51/D$32</f>
        <v>-2.5317122624688385E-2</v>
      </c>
      <c r="F81" s="236">
        <f>F51/F$32</f>
        <v>-2.3070816709133371E-2</v>
      </c>
      <c r="H81" s="236">
        <f>H51/H$32</f>
        <v>-2.0801398441630776E-2</v>
      </c>
      <c r="J81" s="236">
        <f>J51/J$32</f>
        <v>-1.8505115678129208E-2</v>
      </c>
      <c r="L81" s="236">
        <f>L51/L$32</f>
        <v>-1.617753462989184E-2</v>
      </c>
      <c r="N81" s="236">
        <f>N51/N$32</f>
        <v>-1.3813281752815661E-2</v>
      </c>
      <c r="P81" s="236">
        <f>P51/P$32</f>
        <v>-1.1405814743885776E-2</v>
      </c>
      <c r="R81" s="236">
        <f>R51/R$32</f>
        <v>-8.9470251931719185E-3</v>
      </c>
      <c r="T81" s="236">
        <f>T51/T$32</f>
        <v>-6.4267076752709262E-3</v>
      </c>
      <c r="V81" s="236">
        <f>V51/V$32</f>
        <v>-3.8317690985478141E-3</v>
      </c>
      <c r="X81" s="236">
        <f>X51/X$32</f>
        <v>-1.1450689821867679E-3</v>
      </c>
      <c r="Z81" s="236">
        <f>Z51/Z$32</f>
        <v>1.6563533835444761E-3</v>
      </c>
      <c r="AB81" s="236">
        <f>AB51/AB$32</f>
        <v>4.6040387760985929E-3</v>
      </c>
      <c r="AD81" s="236">
        <f>AD51/AD$32</f>
        <v>7.7424351050132617E-3</v>
      </c>
      <c r="AF81" s="236">
        <f>AF51/AF$32</f>
        <v>1.1135649763633288E-2</v>
      </c>
      <c r="AH81" s="236">
        <f>AH51/AH$32</f>
        <v>1.4877352228318432E-2</v>
      </c>
      <c r="AJ81" s="236">
        <f>AJ51/AJ$32</f>
        <v>1.9102031801734535E-2</v>
      </c>
      <c r="AL81" s="236">
        <f>AL51/AL$32</f>
        <v>2.3983814306679424E-2</v>
      </c>
      <c r="AN81" s="236">
        <f>AN51/AN$32</f>
        <v>2.967361119796268E-2</v>
      </c>
      <c r="AP81" s="236">
        <f>AP51/AP$32</f>
        <v>3.0909378219957179E-2</v>
      </c>
      <c r="AR81" s="236">
        <f>AR51/AR$32</f>
        <v>3.2173720814431393E-2</v>
      </c>
      <c r="AT81" s="236">
        <f>AT51/AT$32</f>
        <v>3.3463275853928109E-2</v>
      </c>
      <c r="AV81" s="236">
        <f>AV51/AV$32</f>
        <v>3.4773852363233916E-2</v>
      </c>
      <c r="XFD81" s="236"/>
    </row>
    <row r="82" spans="1:48 16384:16384" x14ac:dyDescent="0.2">
      <c r="A82" t="s">
        <v>192</v>
      </c>
      <c r="B82" s="236">
        <f>B52/B$32</f>
        <v>0.13907860278212886</v>
      </c>
      <c r="D82" s="236">
        <f>D52/D$32</f>
        <v>0.13884252768329938</v>
      </c>
      <c r="F82" s="236">
        <f>F52/F$32</f>
        <v>0.13860543403023182</v>
      </c>
      <c r="H82" s="236">
        <f>H52/H$32</f>
        <v>0.138367480644846</v>
      </c>
      <c r="J82" s="236">
        <f>J52/J$32</f>
        <v>0.13812890362221175</v>
      </c>
      <c r="L82" s="236">
        <f>L52/L$32</f>
        <v>0.13789003680523323</v>
      </c>
      <c r="N82" s="236">
        <f>N52/N$32</f>
        <v>0.13765135736088194</v>
      </c>
      <c r="P82" s="236">
        <f>P52/P$32</f>
        <v>0.13741353331911954</v>
      </c>
      <c r="R82" s="236">
        <f>R52/R$32</f>
        <v>0.13717750303737661</v>
      </c>
      <c r="T82" s="236">
        <f>T52/T$32</f>
        <v>0.13694458703576032</v>
      </c>
      <c r="V82" s="236">
        <f>V52/V$32</f>
        <v>0.13671665788223825</v>
      </c>
      <c r="X82" s="236">
        <f>X52/X$32</f>
        <v>0.13649639973557329</v>
      </c>
      <c r="Z82" s="236">
        <f>Z52/Z$32</f>
        <v>0.13628771108450802</v>
      </c>
      <c r="AB82" s="236">
        <f>AB52/AB$32</f>
        <v>0.13609636455809285</v>
      </c>
      <c r="AD82" s="236">
        <f>AD52/AD$32</f>
        <v>0.13593108809830523</v>
      </c>
      <c r="AF82" s="236">
        <f>AF52/AF$32</f>
        <v>0.13580539843526432</v>
      </c>
      <c r="AH82" s="236">
        <f>AH52/AH$32</f>
        <v>0.13574072110408913</v>
      </c>
      <c r="AJ82" s="236">
        <f>AJ52/AJ$32</f>
        <v>0.13577144907972466</v>
      </c>
      <c r="AL82" s="236">
        <f>AL52/AL$32</f>
        <v>0.13595147307970307</v>
      </c>
      <c r="AN82" s="236">
        <f>AN52/AN$32</f>
        <v>0.13635485562193289</v>
      </c>
      <c r="AP82" s="236">
        <f>AP52/AP$32</f>
        <v>0.13646894713592647</v>
      </c>
      <c r="AR82" s="236">
        <f>AR52/AR$32</f>
        <v>0.13659511510505287</v>
      </c>
      <c r="AT82" s="236">
        <f>AT52/AT$32</f>
        <v>0.1367334651443988</v>
      </c>
      <c r="AV82" s="236">
        <f>AV52/AV$32</f>
        <v>0.13688389912784418</v>
      </c>
    </row>
    <row r="83" spans="1:48 16384:16384" x14ac:dyDescent="0.2">
      <c r="A83" t="s">
        <v>193</v>
      </c>
      <c r="B83" s="236">
        <f>B53/B$32</f>
        <v>0.18600714462929618</v>
      </c>
      <c r="D83" s="236">
        <f>D53/D$32</f>
        <v>0.18533713402720225</v>
      </c>
      <c r="F83" s="236">
        <f>F53/F$32</f>
        <v>0.18465999810140621</v>
      </c>
      <c r="H83" s="236">
        <f>H53/H$32</f>
        <v>0.18397427689047602</v>
      </c>
      <c r="J83" s="236">
        <f>J53/J$32</f>
        <v>0.18327820993972202</v>
      </c>
      <c r="L83" s="236">
        <f>L53/L$32</f>
        <v>0.18256962478623001</v>
      </c>
      <c r="N83" s="236">
        <f>N53/N$32</f>
        <v>0.1818458476089192</v>
      </c>
      <c r="P83" s="236">
        <f>P53/P$32</f>
        <v>0.18110351638546265</v>
      </c>
      <c r="R83" s="236">
        <f>R53/R$32</f>
        <v>0.18033835699024589</v>
      </c>
      <c r="T83" s="236">
        <f>T53/T$32</f>
        <v>0.17954484270025936</v>
      </c>
      <c r="V83" s="236">
        <f>V53/V$32</f>
        <v>0.1787157066810304</v>
      </c>
      <c r="X83" s="236">
        <f>X53/X$32</f>
        <v>0.17784120179051949</v>
      </c>
      <c r="Z83" s="236">
        <f>Z53/Z$32</f>
        <v>0.17690794639772961</v>
      </c>
      <c r="AB83" s="236">
        <f>AB53/AB$32</f>
        <v>0.17589714874432294</v>
      </c>
      <c r="AD83" s="236">
        <f>AD53/AD$32</f>
        <v>0.17478171761110353</v>
      </c>
      <c r="AF83" s="236">
        <f>AF53/AF$32</f>
        <v>0.17352162567867024</v>
      </c>
      <c r="AH83" s="236">
        <f>AH53/AH$32</f>
        <v>0.17205668249761963</v>
      </c>
      <c r="AJ83" s="236">
        <f>AJ53/AJ$32</f>
        <v>0.17029676230495447</v>
      </c>
      <c r="AL83" s="236">
        <f>AL53/AL$32</f>
        <v>0.16811562633515106</v>
      </c>
      <c r="AN83" s="236">
        <f>AN53/AN$32</f>
        <v>0.16537594197741234</v>
      </c>
      <c r="AP83" s="236">
        <f>AP53/AP$32</f>
        <v>0.16475388608287608</v>
      </c>
      <c r="AR83" s="236">
        <f>AR53/AR$32</f>
        <v>0.16410781512806694</v>
      </c>
      <c r="AT83" s="236">
        <f>AT53/AT$32</f>
        <v>0.16343899503384227</v>
      </c>
      <c r="AV83" s="236">
        <f>AV53/AV$32</f>
        <v>0.16274924066571506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3.4329412891687047E-2</v>
      </c>
      <c r="E2" s="227"/>
      <c r="F2" s="226">
        <v>6.5272919849351421E-2</v>
      </c>
      <c r="G2" s="227"/>
      <c r="H2" s="226">
        <v>9.894330995358934E-2</v>
      </c>
      <c r="I2" s="227"/>
      <c r="J2" s="226">
        <v>0.13575348366790152</v>
      </c>
      <c r="K2" s="227"/>
      <c r="L2" s="226">
        <v>0.17620817837857161</v>
      </c>
      <c r="M2" s="227"/>
      <c r="N2" s="226">
        <v>0.22093251656763291</v>
      </c>
      <c r="O2" s="227"/>
      <c r="P2" s="226">
        <v>0.27071080956303667</v>
      </c>
      <c r="Q2" s="227"/>
      <c r="R2" s="226">
        <v>0.3265424744879114</v>
      </c>
      <c r="S2" s="227"/>
      <c r="T2" s="226">
        <v>0.38972318471501421</v>
      </c>
      <c r="U2" s="227"/>
      <c r="V2" s="226">
        <v>0.46196614398460667</v>
      </c>
      <c r="W2" s="227"/>
      <c r="X2" s="226">
        <v>0.54558784951091899</v>
      </c>
      <c r="Y2" s="227"/>
      <c r="Z2" s="226">
        <v>0.64380210416473915</v>
      </c>
      <c r="AA2" s="227"/>
      <c r="AB2" s="226">
        <v>0.76119840991715693</v>
      </c>
      <c r="AC2" s="227"/>
      <c r="AD2" s="226">
        <v>0.9045469863585297</v>
      </c>
      <c r="AE2" s="227"/>
      <c r="AF2" s="226">
        <v>1.0841879005104624</v>
      </c>
      <c r="AG2" s="227"/>
      <c r="AH2" s="226">
        <v>1.3164506840180725</v>
      </c>
      <c r="AI2" s="227"/>
      <c r="AJ2" s="226">
        <v>1.6277027135394759</v>
      </c>
      <c r="AK2" s="227"/>
      <c r="AL2" s="226">
        <v>2.0598782667121989</v>
      </c>
      <c r="AM2" s="227"/>
      <c r="AN2" s="226">
        <v>2.6722208079807093</v>
      </c>
      <c r="AO2" s="227"/>
      <c r="AP2" s="226">
        <v>2.8218410642448011</v>
      </c>
      <c r="AQ2" s="227"/>
      <c r="AR2" s="226">
        <v>2.9813834866720024</v>
      </c>
      <c r="AS2" s="227"/>
      <c r="AT2" s="226">
        <v>3.151010647438401</v>
      </c>
      <c r="AU2" s="227"/>
      <c r="AV2" s="226">
        <v>3.3307345789872422</v>
      </c>
      <c r="AW2" s="227"/>
    </row>
    <row r="3" spans="1:49" x14ac:dyDescent="0.2">
      <c r="A3" t="s">
        <v>12</v>
      </c>
      <c r="B3" s="84">
        <v>1000</v>
      </c>
      <c r="C3" s="85">
        <v>1000</v>
      </c>
      <c r="D3" s="84">
        <v>999.28205279128792</v>
      </c>
      <c r="E3" s="85">
        <v>1013.2313958331561</v>
      </c>
      <c r="F3" s="84">
        <v>998.56393851196185</v>
      </c>
      <c r="G3" s="85">
        <v>1027.6496948752899</v>
      </c>
      <c r="H3" s="84">
        <v>997.84512328279197</v>
      </c>
      <c r="I3" s="85">
        <v>1043.4260662576496</v>
      </c>
      <c r="J3" s="84">
        <v>997.12500812154076</v>
      </c>
      <c r="K3" s="85">
        <v>1060.7674412528638</v>
      </c>
      <c r="L3" s="84">
        <v>996.4029225313235</v>
      </c>
      <c r="M3" s="85">
        <v>1079.9262910276504</v>
      </c>
      <c r="N3" s="84">
        <v>995.67816967576891</v>
      </c>
      <c r="O3" s="85">
        <v>1101.2144525062911</v>
      </c>
      <c r="P3" s="84">
        <v>994.95006472056139</v>
      </c>
      <c r="Q3" s="85">
        <v>1125.0216835869446</v>
      </c>
      <c r="R3" s="84">
        <v>994.21804085892859</v>
      </c>
      <c r="S3" s="85">
        <v>1151.8421055489962</v>
      </c>
      <c r="T3" s="84">
        <v>993.48183065478554</v>
      </c>
      <c r="U3" s="85">
        <v>1182.3119830958806</v>
      </c>
      <c r="V3" s="84">
        <v>992.74180004714856</v>
      </c>
      <c r="W3" s="85">
        <v>1217.2652817805788</v>
      </c>
      <c r="X3" s="84">
        <v>991.99954006507744</v>
      </c>
      <c r="Y3" s="85">
        <v>1257.8170267467474</v>
      </c>
      <c r="Z3" s="84">
        <v>991.25893016227121</v>
      </c>
      <c r="AA3" s="85">
        <v>1305.4917341979835</v>
      </c>
      <c r="AB3" s="84">
        <v>990.52804993670293</v>
      </c>
      <c r="AC3" s="85">
        <v>1362.4267067456535</v>
      </c>
      <c r="AD3" s="84">
        <v>989.82261165053069</v>
      </c>
      <c r="AE3" s="85">
        <v>1431.70100362223</v>
      </c>
      <c r="AF3" s="84">
        <v>989.17206277406171</v>
      </c>
      <c r="AG3" s="85">
        <v>1517.8764673870521</v>
      </c>
      <c r="AH3" s="84">
        <v>988.62994756037608</v>
      </c>
      <c r="AI3" s="85">
        <v>1627.8792528863082</v>
      </c>
      <c r="AJ3" s="84">
        <v>988.28910369775326</v>
      </c>
      <c r="AK3" s="85">
        <v>1772.3242800033377</v>
      </c>
      <c r="AL3" s="84">
        <v>988.29372251299196</v>
      </c>
      <c r="AM3" s="85">
        <v>1966.9097876079663</v>
      </c>
      <c r="AN3" s="84">
        <v>988.81059790939446</v>
      </c>
      <c r="AO3" s="85">
        <v>2231.3951877476993</v>
      </c>
      <c r="AP3" s="84">
        <v>988.98451564483298</v>
      </c>
      <c r="AQ3" s="85">
        <v>2294.224333804354</v>
      </c>
      <c r="AR3" s="84">
        <v>989.18131724110742</v>
      </c>
      <c r="AS3" s="85">
        <v>2360.5185333574245</v>
      </c>
      <c r="AT3" s="84">
        <v>989.3996518636352</v>
      </c>
      <c r="AU3" s="85">
        <v>2430.251994946163</v>
      </c>
      <c r="AV3" s="84">
        <v>989.63759752950284</v>
      </c>
      <c r="AW3" s="85">
        <v>2503.3406075858952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999.24654930868701</v>
      </c>
      <c r="E5" s="42">
        <v>1011.5438277849557</v>
      </c>
      <c r="F5" s="41">
        <v>998.49269570152592</v>
      </c>
      <c r="G5" s="42">
        <v>1023.9554916395267</v>
      </c>
      <c r="H5" s="41">
        <v>997.7378777835047</v>
      </c>
      <c r="I5" s="42">
        <v>1037.3371616987577</v>
      </c>
      <c r="J5" s="41">
        <v>996.98146510182653</v>
      </c>
      <c r="K5" s="42">
        <v>1051.8079262181798</v>
      </c>
      <c r="L5" s="41">
        <v>996.22275122470501</v>
      </c>
      <c r="M5" s="42">
        <v>1067.507178587683</v>
      </c>
      <c r="N5" s="41">
        <v>995.46100119518258</v>
      </c>
      <c r="O5" s="42">
        <v>1084.5992362952945</v>
      </c>
      <c r="P5" s="41">
        <v>994.69549173372206</v>
      </c>
      <c r="Q5" s="42">
        <v>1103.2786955325573</v>
      </c>
      <c r="R5" s="41">
        <v>993.92562279246374</v>
      </c>
      <c r="S5" s="42">
        <v>1123.7773293370913</v>
      </c>
      <c r="T5" s="41">
        <v>993.15110854130103</v>
      </c>
      <c r="U5" s="42">
        <v>1146.3724277880856</v>
      </c>
      <c r="V5" s="41">
        <v>992.37232939044213</v>
      </c>
      <c r="W5" s="42">
        <v>1171.3969417843966</v>
      </c>
      <c r="X5" s="41">
        <v>991.59095604609513</v>
      </c>
      <c r="Y5" s="42">
        <v>1199.2510739425625</v>
      </c>
      <c r="Z5" s="41">
        <v>990.8110714916246</v>
      </c>
      <c r="AA5" s="42">
        <v>1230.4133258701752</v>
      </c>
      <c r="AB5" s="41">
        <v>990.0411888804731</v>
      </c>
      <c r="AC5" s="42">
        <v>1265.4483397625313</v>
      </c>
      <c r="AD5" s="41">
        <v>989.29787573019985</v>
      </c>
      <c r="AE5" s="42">
        <v>1304.9985700840102</v>
      </c>
      <c r="AF5" s="41">
        <v>988.61219815197603</v>
      </c>
      <c r="AG5" s="42">
        <v>1349.7331264762718</v>
      </c>
      <c r="AH5" s="41">
        <v>988.04066197807413</v>
      </c>
      <c r="AI5" s="42">
        <v>1400.1879439894017</v>
      </c>
      <c r="AJ5" s="41">
        <v>987.68125150524781</v>
      </c>
      <c r="AK5" s="42">
        <v>1456.3544120835477</v>
      </c>
      <c r="AL5" s="41">
        <v>987.68612227409096</v>
      </c>
      <c r="AM5" s="42">
        <v>1516.7904767681373</v>
      </c>
      <c r="AN5" s="41">
        <v>988.23113125926704</v>
      </c>
      <c r="AO5" s="42">
        <v>1577.2769758364745</v>
      </c>
      <c r="AP5" s="41">
        <v>988.41448789895946</v>
      </c>
      <c r="AQ5" s="42">
        <v>1588.7702858759708</v>
      </c>
      <c r="AR5" s="41">
        <v>988.62195369962603</v>
      </c>
      <c r="AS5" s="42">
        <v>1599.908865591211</v>
      </c>
      <c r="AT5" s="41">
        <v>988.85209866791456</v>
      </c>
      <c r="AU5" s="42">
        <v>1610.6293902587413</v>
      </c>
      <c r="AV5" s="41">
        <v>989.10289074233049</v>
      </c>
      <c r="AW5" s="42">
        <v>1620.8745312392075</v>
      </c>
    </row>
    <row r="6" spans="1:49" x14ac:dyDescent="0.2">
      <c r="A6" t="s">
        <v>77</v>
      </c>
      <c r="B6" s="41">
        <v>999.99999999999943</v>
      </c>
      <c r="C6" s="42">
        <v>999.99999999999909</v>
      </c>
      <c r="D6" s="41">
        <v>999.18896458638005</v>
      </c>
      <c r="E6" s="42">
        <v>1014.2677022994354</v>
      </c>
      <c r="F6" s="41">
        <v>998.37758902326971</v>
      </c>
      <c r="G6" s="42">
        <v>1029.7830440664827</v>
      </c>
      <c r="H6" s="41">
        <v>997.56526931412054</v>
      </c>
      <c r="I6" s="42">
        <v>1046.7235971728653</v>
      </c>
      <c r="J6" s="41">
        <v>996.75132741208006</v>
      </c>
      <c r="K6" s="42">
        <v>1065.3038143640038</v>
      </c>
      <c r="L6" s="41">
        <v>995.9350038957009</v>
      </c>
      <c r="M6" s="42">
        <v>1085.7850730135297</v>
      </c>
      <c r="N6" s="41">
        <v>995.11550896993708</v>
      </c>
      <c r="O6" s="42">
        <v>1108.4898952712738</v>
      </c>
      <c r="P6" s="41">
        <v>994.29206579401523</v>
      </c>
      <c r="Q6" s="42">
        <v>1133.8210008919157</v>
      </c>
      <c r="R6" s="41">
        <v>993.46403042634199</v>
      </c>
      <c r="S6" s="42">
        <v>1162.2884623460973</v>
      </c>
      <c r="T6" s="41">
        <v>992.63109713050801</v>
      </c>
      <c r="U6" s="42">
        <v>1194.5484801432858</v>
      </c>
      <c r="V6" s="41">
        <v>991.79367669626106</v>
      </c>
      <c r="W6" s="42">
        <v>1231.4603850529613</v>
      </c>
      <c r="X6" s="41">
        <v>990.95356693380927</v>
      </c>
      <c r="Y6" s="42">
        <v>1274.1721246388288</v>
      </c>
      <c r="Z6" s="41">
        <v>990.11515793789442</v>
      </c>
      <c r="AA6" s="42">
        <v>1324.2519158532937</v>
      </c>
      <c r="AB6" s="41">
        <v>989.28759949307334</v>
      </c>
      <c r="AC6" s="42">
        <v>1383.8965475800896</v>
      </c>
      <c r="AD6" s="41">
        <v>988.48869336635926</v>
      </c>
      <c r="AE6" s="42">
        <v>1456.2682701723745</v>
      </c>
      <c r="AF6" s="41">
        <v>987.75181390371824</v>
      </c>
      <c r="AG6" s="42">
        <v>1546.0485003838542</v>
      </c>
      <c r="AH6" s="41">
        <v>987.13765818592628</v>
      </c>
      <c r="AI6" s="42">
        <v>1660.3392446973871</v>
      </c>
      <c r="AJ6" s="41">
        <v>986.75147389188987</v>
      </c>
      <c r="AK6" s="42">
        <v>1810.0155360577594</v>
      </c>
      <c r="AL6" s="41">
        <v>986.75670736059703</v>
      </c>
      <c r="AM6" s="42">
        <v>2011.143691622656</v>
      </c>
      <c r="AN6" s="41">
        <v>987.34232483168</v>
      </c>
      <c r="AO6" s="42">
        <v>2283.9149037195343</v>
      </c>
      <c r="AP6" s="41">
        <v>987.53935429640785</v>
      </c>
      <c r="AQ6" s="42">
        <v>2348.639912774157</v>
      </c>
      <c r="AR6" s="41">
        <v>987.76229739040559</v>
      </c>
      <c r="AS6" s="42">
        <v>2416.9109855627262</v>
      </c>
      <c r="AT6" s="41">
        <v>988.00961982688068</v>
      </c>
      <c r="AU6" s="42">
        <v>2488.7006111534674</v>
      </c>
      <c r="AV6" s="41">
        <v>988.27914032611704</v>
      </c>
      <c r="AW6" s="42">
        <v>2563.9215423475293</v>
      </c>
    </row>
    <row r="7" spans="1:49" x14ac:dyDescent="0.2">
      <c r="A7" t="s">
        <v>13</v>
      </c>
      <c r="B7" s="33">
        <v>1015.9116825427475</v>
      </c>
      <c r="C7" s="34">
        <v>1015.9116825427475</v>
      </c>
      <c r="D7" s="33">
        <v>1015.1462431832226</v>
      </c>
      <c r="E7" s="34">
        <v>1015.1462431832226</v>
      </c>
      <c r="F7" s="33">
        <v>1014.3803944967807</v>
      </c>
      <c r="G7" s="34">
        <v>1014.3803944967807</v>
      </c>
      <c r="H7" s="33">
        <v>1013.6135661556704</v>
      </c>
      <c r="I7" s="34">
        <v>1013.6135661556704</v>
      </c>
      <c r="J7" s="33">
        <v>1012.84511767553</v>
      </c>
      <c r="K7" s="34">
        <v>1012.84511767553</v>
      </c>
      <c r="L7" s="33">
        <v>1012.074331384055</v>
      </c>
      <c r="M7" s="34">
        <v>1012.074331384055</v>
      </c>
      <c r="N7" s="33">
        <v>1011.3004606298858</v>
      </c>
      <c r="O7" s="34">
        <v>1011.3004606298858</v>
      </c>
      <c r="P7" s="33">
        <v>1010.5227706248911</v>
      </c>
      <c r="Q7" s="34">
        <v>1010.5227706248911</v>
      </c>
      <c r="R7" s="33">
        <v>1009.7406517734399</v>
      </c>
      <c r="S7" s="34">
        <v>1009.7406517734399</v>
      </c>
      <c r="T7" s="33">
        <v>1008.9538136973879</v>
      </c>
      <c r="U7" s="34">
        <v>1008.9538136973879</v>
      </c>
      <c r="V7" s="33">
        <v>1008.1626428599096</v>
      </c>
      <c r="W7" s="34">
        <v>1008.1626428599096</v>
      </c>
      <c r="X7" s="33">
        <v>1007.3688365509601</v>
      </c>
      <c r="Y7" s="34">
        <v>1007.3688365509601</v>
      </c>
      <c r="Z7" s="33">
        <v>1006.5765427210388</v>
      </c>
      <c r="AA7" s="34">
        <v>1006.5765427210388</v>
      </c>
      <c r="AB7" s="33">
        <v>1005.7944099821834</v>
      </c>
      <c r="AC7" s="34">
        <v>1005.7944099821834</v>
      </c>
      <c r="AD7" s="33">
        <v>1005.0392694690332</v>
      </c>
      <c r="AE7" s="34">
        <v>1005.0392694690332</v>
      </c>
      <c r="AF7" s="33">
        <v>1004.342681606858</v>
      </c>
      <c r="AG7" s="34">
        <v>1004.342681606858</v>
      </c>
      <c r="AH7" s="33">
        <v>1003.7620513307953</v>
      </c>
      <c r="AI7" s="34">
        <v>1003.7620513307953</v>
      </c>
      <c r="AJ7" s="33">
        <v>1003.3969220326228</v>
      </c>
      <c r="AK7" s="34">
        <v>1003.3969220326228</v>
      </c>
      <c r="AL7" s="33">
        <v>1003.4018703035936</v>
      </c>
      <c r="AM7" s="34">
        <v>1003.4018703035936</v>
      </c>
      <c r="AN7" s="33">
        <v>1003.9555512987247</v>
      </c>
      <c r="AO7" s="34">
        <v>1003.9555512987247</v>
      </c>
      <c r="AP7" s="33">
        <v>1004.14182545106</v>
      </c>
      <c r="AQ7" s="34">
        <v>1004.14182545106</v>
      </c>
      <c r="AR7" s="33">
        <v>1004.3525923816852</v>
      </c>
      <c r="AS7" s="34">
        <v>1004.3525923816852</v>
      </c>
      <c r="AT7" s="33">
        <v>1004.5863993436479</v>
      </c>
      <c r="AU7" s="34">
        <v>1004.5863993436479</v>
      </c>
      <c r="AV7" s="33">
        <v>1004.8411819419363</v>
      </c>
      <c r="AW7" s="34">
        <v>1004.8411819419363</v>
      </c>
    </row>
    <row r="8" spans="1:49" x14ac:dyDescent="0.2">
      <c r="B8" s="35">
        <v>1005.7716594496609</v>
      </c>
      <c r="C8" s="36">
        <v>1005.7716594496609</v>
      </c>
      <c r="D8" s="35">
        <v>1046.2695335070232</v>
      </c>
      <c r="E8" s="36">
        <v>1046.2695335070232</v>
      </c>
      <c r="F8" s="35">
        <v>1090.7920563746168</v>
      </c>
      <c r="G8" s="36">
        <v>1090.7920563746168</v>
      </c>
      <c r="H8" s="35">
        <v>1139.9747340150943</v>
      </c>
      <c r="I8" s="36">
        <v>1139.9747340150943</v>
      </c>
      <c r="J8" s="35">
        <v>1194.5945163518088</v>
      </c>
      <c r="K8" s="36">
        <v>1194.5945163518088</v>
      </c>
      <c r="L8" s="35">
        <v>1255.6106739326672</v>
      </c>
      <c r="M8" s="36">
        <v>1255.6106739326672</v>
      </c>
      <c r="N8" s="35">
        <v>1324.2224750373468</v>
      </c>
      <c r="O8" s="36">
        <v>1324.2224750373468</v>
      </c>
      <c r="P8" s="35">
        <v>1401.948164373827</v>
      </c>
      <c r="Q8" s="36">
        <v>1401.948164373827</v>
      </c>
      <c r="R8" s="35">
        <v>1490.7383592322417</v>
      </c>
      <c r="S8" s="36">
        <v>1490.7383592322417</v>
      </c>
      <c r="T8" s="35">
        <v>1593.140341215141</v>
      </c>
      <c r="U8" s="36">
        <v>1593.140341215141</v>
      </c>
      <c r="V8" s="35">
        <v>1712.5426700558953</v>
      </c>
      <c r="W8" s="36">
        <v>1712.5426700558953</v>
      </c>
      <c r="X8" s="35">
        <v>1853.5478883985452</v>
      </c>
      <c r="Y8" s="36">
        <v>1853.5478883985452</v>
      </c>
      <c r="Z8" s="35">
        <v>2022.5560140577288</v>
      </c>
      <c r="AA8" s="36">
        <v>2022.5560140577288</v>
      </c>
      <c r="AB8" s="35">
        <v>2228.7056038220762</v>
      </c>
      <c r="AC8" s="36">
        <v>2228.7056038220762</v>
      </c>
      <c r="AD8" s="35">
        <v>2485.4310938556923</v>
      </c>
      <c r="AE8" s="36">
        <v>2485.4310938556923</v>
      </c>
      <c r="AF8" s="35">
        <v>2813.0974511200038</v>
      </c>
      <c r="AG8" s="36">
        <v>2813.0974511200038</v>
      </c>
      <c r="AH8" s="35">
        <v>3243.4663206081082</v>
      </c>
      <c r="AI8" s="36">
        <v>3243.4663206081082</v>
      </c>
      <c r="AJ8" s="35">
        <v>3826.8664405071258</v>
      </c>
      <c r="AK8" s="36">
        <v>3826.8664405071258</v>
      </c>
      <c r="AL8" s="35">
        <v>4641.1942150188579</v>
      </c>
      <c r="AM8" s="36">
        <v>4641.1942150188579</v>
      </c>
      <c r="AN8" s="35">
        <v>5792.1093306155881</v>
      </c>
      <c r="AO8" s="36">
        <v>5792.1093306155881</v>
      </c>
      <c r="AP8" s="35">
        <v>6072.0275202127368</v>
      </c>
      <c r="AQ8" s="36">
        <v>6072.0275202127368</v>
      </c>
      <c r="AR8" s="35">
        <v>6369.8507376449834</v>
      </c>
      <c r="AS8" s="36">
        <v>6369.8507376449834</v>
      </c>
      <c r="AT8" s="35">
        <v>6685.7397480412546</v>
      </c>
      <c r="AU8" s="36">
        <v>6685.7397480412546</v>
      </c>
      <c r="AV8" s="35">
        <v>7019.5773806373718</v>
      </c>
      <c r="AW8" s="36">
        <v>7019.5773806373718</v>
      </c>
    </row>
    <row r="9" spans="1:49" x14ac:dyDescent="0.2">
      <c r="A9" t="s">
        <v>14</v>
      </c>
      <c r="B9" s="41">
        <v>1015.9116825427475</v>
      </c>
      <c r="C9" s="42">
        <v>1005.7716594496609</v>
      </c>
      <c r="D9" s="41">
        <v>1015.1462431832226</v>
      </c>
      <c r="E9" s="42">
        <v>1046.2695335070232</v>
      </c>
      <c r="F9" s="41">
        <v>1014.3803944967807</v>
      </c>
      <c r="G9" s="42">
        <v>1090.7920563746168</v>
      </c>
      <c r="H9" s="41">
        <v>1013.6135661556704</v>
      </c>
      <c r="I9" s="42">
        <v>1139.9747340150943</v>
      </c>
      <c r="J9" s="41">
        <v>1012.84511767553</v>
      </c>
      <c r="K9" s="42">
        <v>1194.5945163518088</v>
      </c>
      <c r="L9" s="41">
        <v>1012.074331384055</v>
      </c>
      <c r="M9" s="42">
        <v>1255.6106739326672</v>
      </c>
      <c r="N9" s="41">
        <v>1011.3004606298858</v>
      </c>
      <c r="O9" s="42">
        <v>1324.2224750373468</v>
      </c>
      <c r="P9" s="41">
        <v>1010.5227706248911</v>
      </c>
      <c r="Q9" s="42">
        <v>1401.948164373827</v>
      </c>
      <c r="R9" s="41">
        <v>1009.7406517734399</v>
      </c>
      <c r="S9" s="42">
        <v>1490.7383592322417</v>
      </c>
      <c r="T9" s="41">
        <v>1008.9538136973879</v>
      </c>
      <c r="U9" s="42">
        <v>1593.140341215141</v>
      </c>
      <c r="V9" s="41">
        <v>1008.1626428599096</v>
      </c>
      <c r="W9" s="42">
        <v>1712.5426700558953</v>
      </c>
      <c r="X9" s="41">
        <v>1007.3688365509601</v>
      </c>
      <c r="Y9" s="42">
        <v>1853.5478883985452</v>
      </c>
      <c r="Z9" s="41">
        <v>1006.5765427210388</v>
      </c>
      <c r="AA9" s="42">
        <v>2022.5560140577288</v>
      </c>
      <c r="AB9" s="41">
        <v>1005.7944099821834</v>
      </c>
      <c r="AC9" s="42">
        <v>2228.7056038220762</v>
      </c>
      <c r="AD9" s="41">
        <v>1005.0392694690332</v>
      </c>
      <c r="AE9" s="42">
        <v>2485.4310938556923</v>
      </c>
      <c r="AF9" s="41">
        <v>1004.342681606858</v>
      </c>
      <c r="AG9" s="42">
        <v>2813.0974511200038</v>
      </c>
      <c r="AH9" s="41">
        <v>1003.7620513307953</v>
      </c>
      <c r="AI9" s="42">
        <v>3243.4663206081082</v>
      </c>
      <c r="AJ9" s="41">
        <v>1003.3969220326228</v>
      </c>
      <c r="AK9" s="42">
        <v>3826.8664405071258</v>
      </c>
      <c r="AL9" s="41">
        <v>1003.4018703035936</v>
      </c>
      <c r="AM9" s="42">
        <v>4641.1942150188579</v>
      </c>
      <c r="AN9" s="41">
        <v>1003.9555512987247</v>
      </c>
      <c r="AO9" s="42">
        <v>5792.1093306155881</v>
      </c>
      <c r="AP9" s="41">
        <v>1004.14182545106</v>
      </c>
      <c r="AQ9" s="42">
        <v>6072.0275202127368</v>
      </c>
      <c r="AR9" s="41">
        <v>1004.3525923816852</v>
      </c>
      <c r="AS9" s="42">
        <v>6369.8507376449834</v>
      </c>
      <c r="AT9" s="41">
        <v>1004.5863993436479</v>
      </c>
      <c r="AU9" s="42">
        <v>6685.7397480412546</v>
      </c>
      <c r="AV9" s="41">
        <v>1004.8411819419363</v>
      </c>
      <c r="AW9" s="42">
        <v>7019.5773806373718</v>
      </c>
    </row>
    <row r="10" spans="1:49" x14ac:dyDescent="0.2">
      <c r="A10" t="s">
        <v>15</v>
      </c>
      <c r="B10" s="41">
        <v>1015.9116825427475</v>
      </c>
      <c r="C10" s="42">
        <v>1005.7716594496609</v>
      </c>
      <c r="D10" s="41">
        <v>1015.1462431832226</v>
      </c>
      <c r="E10" s="42">
        <v>1046.2695335070232</v>
      </c>
      <c r="F10" s="41">
        <v>1014.3803944967807</v>
      </c>
      <c r="G10" s="42">
        <v>1090.7920563746168</v>
      </c>
      <c r="H10" s="41">
        <v>1013.6135661556704</v>
      </c>
      <c r="I10" s="42">
        <v>1139.9747340150943</v>
      </c>
      <c r="J10" s="41">
        <v>1012.84511767553</v>
      </c>
      <c r="K10" s="42">
        <v>1194.5945163518088</v>
      </c>
      <c r="L10" s="41">
        <v>1012.074331384055</v>
      </c>
      <c r="M10" s="42">
        <v>1255.6106739326672</v>
      </c>
      <c r="N10" s="41">
        <v>1011.3004606298858</v>
      </c>
      <c r="O10" s="42">
        <v>1324.2224750373468</v>
      </c>
      <c r="P10" s="41">
        <v>1010.5227706248911</v>
      </c>
      <c r="Q10" s="42">
        <v>1401.948164373827</v>
      </c>
      <c r="R10" s="41">
        <v>1009.7406517734399</v>
      </c>
      <c r="S10" s="42">
        <v>1490.7383592322417</v>
      </c>
      <c r="T10" s="41">
        <v>1008.9538136973879</v>
      </c>
      <c r="U10" s="42">
        <v>1593.140341215141</v>
      </c>
      <c r="V10" s="41">
        <v>1008.1626428599096</v>
      </c>
      <c r="W10" s="42">
        <v>1712.5426700558953</v>
      </c>
      <c r="X10" s="41">
        <v>1007.3688365509601</v>
      </c>
      <c r="Y10" s="42">
        <v>1853.5478883985452</v>
      </c>
      <c r="Z10" s="41">
        <v>1006.5765427210388</v>
      </c>
      <c r="AA10" s="42">
        <v>2022.5560140577288</v>
      </c>
      <c r="AB10" s="41">
        <v>1005.7944099821834</v>
      </c>
      <c r="AC10" s="42">
        <v>2228.7056038220762</v>
      </c>
      <c r="AD10" s="41">
        <v>1005.0392694690332</v>
      </c>
      <c r="AE10" s="42">
        <v>2485.4310938556923</v>
      </c>
      <c r="AF10" s="41">
        <v>1004.342681606858</v>
      </c>
      <c r="AG10" s="42">
        <v>2813.0974511200038</v>
      </c>
      <c r="AH10" s="41">
        <v>1003.7620513307953</v>
      </c>
      <c r="AI10" s="42">
        <v>3243.4663206081082</v>
      </c>
      <c r="AJ10" s="41">
        <v>1003.3969220326228</v>
      </c>
      <c r="AK10" s="42">
        <v>3826.8664405071258</v>
      </c>
      <c r="AL10" s="41">
        <v>1003.4018703035936</v>
      </c>
      <c r="AM10" s="42">
        <v>4641.1942150188579</v>
      </c>
      <c r="AN10" s="41">
        <v>1003.9555512987247</v>
      </c>
      <c r="AO10" s="42">
        <v>5792.1093306155881</v>
      </c>
      <c r="AP10" s="41">
        <v>1004.14182545106</v>
      </c>
      <c r="AQ10" s="42">
        <v>6072.0275202127368</v>
      </c>
      <c r="AR10" s="41">
        <v>1004.3525923816852</v>
      </c>
      <c r="AS10" s="42">
        <v>6369.8507376449834</v>
      </c>
      <c r="AT10" s="41">
        <v>1004.5863993436479</v>
      </c>
      <c r="AU10" s="42">
        <v>6685.7397480412546</v>
      </c>
      <c r="AV10" s="41">
        <v>1004.8411819419363</v>
      </c>
      <c r="AW10" s="42">
        <v>7019.5773806373718</v>
      </c>
    </row>
    <row r="11" spans="1:49" x14ac:dyDescent="0.2">
      <c r="A11" t="s">
        <v>29</v>
      </c>
      <c r="B11" s="41">
        <v>1015.9116825427475</v>
      </c>
      <c r="C11" s="42">
        <v>1005.7716594496609</v>
      </c>
      <c r="D11" s="41">
        <v>1015.1462431832226</v>
      </c>
      <c r="E11" s="42">
        <v>1046.2695335070232</v>
      </c>
      <c r="F11" s="41">
        <v>1014.3803944967807</v>
      </c>
      <c r="G11" s="42">
        <v>1090.7920563746168</v>
      </c>
      <c r="H11" s="41">
        <v>1013.6135661556704</v>
      </c>
      <c r="I11" s="42">
        <v>1139.9747340150943</v>
      </c>
      <c r="J11" s="41">
        <v>1012.84511767553</v>
      </c>
      <c r="K11" s="42">
        <v>1194.5945163518088</v>
      </c>
      <c r="L11" s="41">
        <v>1012.074331384055</v>
      </c>
      <c r="M11" s="42">
        <v>1255.6106739326672</v>
      </c>
      <c r="N11" s="41">
        <v>1011.3004606298858</v>
      </c>
      <c r="O11" s="42">
        <v>1324.2224750373468</v>
      </c>
      <c r="P11" s="41">
        <v>1010.5227706248911</v>
      </c>
      <c r="Q11" s="42">
        <v>1401.948164373827</v>
      </c>
      <c r="R11" s="41">
        <v>1009.7406517734399</v>
      </c>
      <c r="S11" s="42">
        <v>1490.7383592322417</v>
      </c>
      <c r="T11" s="41">
        <v>1008.9538136973879</v>
      </c>
      <c r="U11" s="42">
        <v>1593.140341215141</v>
      </c>
      <c r="V11" s="41">
        <v>1008.1626428599096</v>
      </c>
      <c r="W11" s="42">
        <v>1712.5426700558953</v>
      </c>
      <c r="X11" s="41">
        <v>1007.3688365509601</v>
      </c>
      <c r="Y11" s="42">
        <v>1853.5478883985452</v>
      </c>
      <c r="Z11" s="41">
        <v>1006.5765427210388</v>
      </c>
      <c r="AA11" s="42">
        <v>2022.5560140577288</v>
      </c>
      <c r="AB11" s="41">
        <v>1005.7944099821834</v>
      </c>
      <c r="AC11" s="42">
        <v>2228.7056038220762</v>
      </c>
      <c r="AD11" s="41">
        <v>1005.0392694690332</v>
      </c>
      <c r="AE11" s="42">
        <v>2485.4310938556923</v>
      </c>
      <c r="AF11" s="41">
        <v>1004.342681606858</v>
      </c>
      <c r="AG11" s="42">
        <v>2813.0974511200038</v>
      </c>
      <c r="AH11" s="41">
        <v>1003.7620513307953</v>
      </c>
      <c r="AI11" s="42">
        <v>3243.4663206081082</v>
      </c>
      <c r="AJ11" s="41">
        <v>1003.3969220326228</v>
      </c>
      <c r="AK11" s="42">
        <v>3826.8664405071258</v>
      </c>
      <c r="AL11" s="41">
        <v>1003.4018703035936</v>
      </c>
      <c r="AM11" s="42">
        <v>4641.1942150188579</v>
      </c>
      <c r="AN11" s="41">
        <v>1003.9555512987247</v>
      </c>
      <c r="AO11" s="42">
        <v>5792.1093306155881</v>
      </c>
      <c r="AP11" s="41">
        <v>1004.14182545106</v>
      </c>
      <c r="AQ11" s="42">
        <v>6072.0275202127368</v>
      </c>
      <c r="AR11" s="41">
        <v>1004.3525923816852</v>
      </c>
      <c r="AS11" s="42">
        <v>6369.8507376449834</v>
      </c>
      <c r="AT11" s="41">
        <v>1004.5863993436479</v>
      </c>
      <c r="AU11" s="42">
        <v>6685.7397480412546</v>
      </c>
      <c r="AV11" s="41">
        <v>1004.8411819419363</v>
      </c>
      <c r="AW11" s="42">
        <v>7019.5773806373718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997.9582695101667</v>
      </c>
      <c r="E13" s="98">
        <v>997.9582695101667</v>
      </c>
      <c r="F13" s="97">
        <v>995.84875725577933</v>
      </c>
      <c r="G13" s="98">
        <v>995.84875725577933</v>
      </c>
      <c r="H13" s="97">
        <v>993.6674902552096</v>
      </c>
      <c r="I13" s="98">
        <v>993.6674902552096</v>
      </c>
      <c r="J13" s="97">
        <v>991.4104123249117</v>
      </c>
      <c r="K13" s="98">
        <v>991.4104123249117</v>
      </c>
      <c r="L13" s="97">
        <v>989.07348387911122</v>
      </c>
      <c r="M13" s="98">
        <v>989.07348387911122</v>
      </c>
      <c r="N13" s="97">
        <v>986.65292194596009</v>
      </c>
      <c r="O13" s="98">
        <v>986.65292194596009</v>
      </c>
      <c r="P13" s="97">
        <v>984.14552878688903</v>
      </c>
      <c r="Q13" s="98">
        <v>984.14552878688903</v>
      </c>
      <c r="R13" s="97">
        <v>981.54927789662986</v>
      </c>
      <c r="S13" s="98">
        <v>981.54927789662986</v>
      </c>
      <c r="T13" s="97">
        <v>978.86426349472947</v>
      </c>
      <c r="U13" s="98">
        <v>978.86426349472947</v>
      </c>
      <c r="V13" s="97">
        <v>976.09429082155418</v>
      </c>
      <c r="W13" s="98">
        <v>976.09429082155418</v>
      </c>
      <c r="X13" s="97">
        <v>973.2495430826724</v>
      </c>
      <c r="Y13" s="98">
        <v>973.2495430826724</v>
      </c>
      <c r="Z13" s="97">
        <v>970.35120599155755</v>
      </c>
      <c r="AA13" s="98">
        <v>970.35120599155755</v>
      </c>
      <c r="AB13" s="97">
        <v>967.43949026603423</v>
      </c>
      <c r="AC13" s="98">
        <v>967.43949026603423</v>
      </c>
      <c r="AD13" s="97">
        <v>964.58800766687455</v>
      </c>
      <c r="AE13" s="98">
        <v>964.58800766687455</v>
      </c>
      <c r="AF13" s="97">
        <v>961.92974090165478</v>
      </c>
      <c r="AG13" s="98">
        <v>961.92974090165478</v>
      </c>
      <c r="AH13" s="97">
        <v>959.70377006894205</v>
      </c>
      <c r="AI13" s="98">
        <v>959.70377006894205</v>
      </c>
      <c r="AJ13" s="97">
        <v>958.33456455392866</v>
      </c>
      <c r="AK13" s="98">
        <v>958.33456455392866</v>
      </c>
      <c r="AL13" s="97">
        <v>958.53830854817704</v>
      </c>
      <c r="AM13" s="98">
        <v>958.53830854817704</v>
      </c>
      <c r="AN13" s="97">
        <v>961.34435881915374</v>
      </c>
      <c r="AO13" s="98">
        <v>961.34435881915374</v>
      </c>
      <c r="AP13" s="97">
        <v>962.31155285520504</v>
      </c>
      <c r="AQ13" s="98">
        <v>962.31155285520504</v>
      </c>
      <c r="AR13" s="97">
        <v>963.42763052033808</v>
      </c>
      <c r="AS13" s="98">
        <v>963.42763052033808</v>
      </c>
      <c r="AT13" s="97">
        <v>964.69435735469426</v>
      </c>
      <c r="AU13" s="98">
        <v>964.69435735469426</v>
      </c>
      <c r="AV13" s="97">
        <v>966.11075806528845</v>
      </c>
      <c r="AW13" s="98">
        <v>966.11075806528845</v>
      </c>
    </row>
    <row r="14" spans="1:49" x14ac:dyDescent="0.2">
      <c r="A14" t="s">
        <v>36</v>
      </c>
      <c r="B14" s="41">
        <v>1457.0034251455234</v>
      </c>
      <c r="C14" s="42">
        <v>1457.0034251455236</v>
      </c>
      <c r="D14" s="41">
        <v>1454.028616828612</v>
      </c>
      <c r="E14" s="42">
        <v>1454.0286168286123</v>
      </c>
      <c r="F14" s="41">
        <v>1450.9550502485833</v>
      </c>
      <c r="G14" s="42">
        <v>1450.9550502485836</v>
      </c>
      <c r="H14" s="41">
        <v>1447.7769367575963</v>
      </c>
      <c r="I14" s="42">
        <v>1447.7769367575966</v>
      </c>
      <c r="J14" s="41">
        <v>1444.4883664823319</v>
      </c>
      <c r="K14" s="42">
        <v>1444.4883664823321</v>
      </c>
      <c r="L14" s="41">
        <v>1441.0834537324806</v>
      </c>
      <c r="M14" s="42">
        <v>1441.0834537324808</v>
      </c>
      <c r="N14" s="41">
        <v>1437.5566867051025</v>
      </c>
      <c r="O14" s="42">
        <v>1437.5566867051027</v>
      </c>
      <c r="P14" s="41">
        <v>1433.9034062841495</v>
      </c>
      <c r="Q14" s="42">
        <v>1433.9034062841497</v>
      </c>
      <c r="R14" s="41">
        <v>1430.1206598445049</v>
      </c>
      <c r="S14" s="42">
        <v>1430.1206598445051</v>
      </c>
      <c r="T14" s="41">
        <v>1426.2085846643708</v>
      </c>
      <c r="U14" s="42">
        <v>1426.2085846643711</v>
      </c>
      <c r="V14" s="41">
        <v>1422.172724991995</v>
      </c>
      <c r="W14" s="42">
        <v>1422.1727249919952</v>
      </c>
      <c r="X14" s="41">
        <v>1418.0279177927691</v>
      </c>
      <c r="Y14" s="42">
        <v>1418.0279177927694</v>
      </c>
      <c r="Z14" s="41">
        <v>1413.8050307237886</v>
      </c>
      <c r="AA14" s="42">
        <v>1413.8050307237888</v>
      </c>
      <c r="AB14" s="41">
        <v>1409.5626509386509</v>
      </c>
      <c r="AC14" s="42">
        <v>1409.5626509386511</v>
      </c>
      <c r="AD14" s="41">
        <v>1405.4080310249324</v>
      </c>
      <c r="AE14" s="42">
        <v>1405.4080310249326</v>
      </c>
      <c r="AF14" s="41">
        <v>1401.5349272430567</v>
      </c>
      <c r="AG14" s="42">
        <v>1401.5349272430569</v>
      </c>
      <c r="AH14" s="41">
        <v>1398.2916801155202</v>
      </c>
      <c r="AI14" s="42">
        <v>1398.2916801155204</v>
      </c>
      <c r="AJ14" s="41">
        <v>1396.2967429904177</v>
      </c>
      <c r="AK14" s="42">
        <v>1396.2967429904179</v>
      </c>
      <c r="AL14" s="41">
        <v>1396.5935986878903</v>
      </c>
      <c r="AM14" s="42">
        <v>1396.5935986878906</v>
      </c>
      <c r="AN14" s="41">
        <v>1400.682023543834</v>
      </c>
      <c r="AO14" s="42">
        <v>1400.6820235438342</v>
      </c>
      <c r="AP14" s="41">
        <v>1402.0912285671409</v>
      </c>
      <c r="AQ14" s="42">
        <v>1402.0912285671411</v>
      </c>
      <c r="AR14" s="41">
        <v>1403.7173575479683</v>
      </c>
      <c r="AS14" s="42">
        <v>1403.7173575479685</v>
      </c>
      <c r="AT14" s="41">
        <v>1405.5629828843489</v>
      </c>
      <c r="AU14" s="42">
        <v>1405.5629828843491</v>
      </c>
      <c r="AV14" s="41">
        <v>1407.6266835710633</v>
      </c>
      <c r="AW14" s="42">
        <v>1407.6266835710635</v>
      </c>
    </row>
    <row r="15" spans="1:49" x14ac:dyDescent="0.2">
      <c r="A15" t="s">
        <v>18</v>
      </c>
      <c r="B15" s="154">
        <v>1000</v>
      </c>
      <c r="C15" s="155">
        <v>1000</v>
      </c>
      <c r="D15" s="154">
        <v>997.12300951401176</v>
      </c>
      <c r="E15" s="155">
        <v>997.12300951401176</v>
      </c>
      <c r="F15" s="154">
        <v>994.13297152380403</v>
      </c>
      <c r="G15" s="155">
        <v>994.13297152380403</v>
      </c>
      <c r="H15" s="154">
        <v>991.01365469230268</v>
      </c>
      <c r="I15" s="155">
        <v>991.01365469230268</v>
      </c>
      <c r="J15" s="154">
        <v>987.74565506207671</v>
      </c>
      <c r="K15" s="155">
        <v>987.74565506207671</v>
      </c>
      <c r="L15" s="154">
        <v>984.30558364002479</v>
      </c>
      <c r="M15" s="155">
        <v>984.30558364002479</v>
      </c>
      <c r="N15" s="154">
        <v>980.66497140632964</v>
      </c>
      <c r="O15" s="155">
        <v>980.66497140632964</v>
      </c>
      <c r="P15" s="154">
        <v>976.78880759866274</v>
      </c>
      <c r="Q15" s="155">
        <v>976.78880759866274</v>
      </c>
      <c r="R15" s="154">
        <v>972.63352750414606</v>
      </c>
      <c r="S15" s="155">
        <v>972.63352750414606</v>
      </c>
      <c r="T15" s="154">
        <v>968.14421222741851</v>
      </c>
      <c r="U15" s="155">
        <v>968.14421222741851</v>
      </c>
      <c r="V15" s="154">
        <v>963.25061735206725</v>
      </c>
      <c r="W15" s="155">
        <v>963.25061735206725</v>
      </c>
      <c r="X15" s="154">
        <v>957.8614224567948</v>
      </c>
      <c r="Y15" s="155">
        <v>957.8614224567948</v>
      </c>
      <c r="Z15" s="154">
        <v>951.85574117245392</v>
      </c>
      <c r="AA15" s="155">
        <v>951.85574117245392</v>
      </c>
      <c r="AB15" s="154">
        <v>945.07036730026414</v>
      </c>
      <c r="AC15" s="155">
        <v>945.07036730026414</v>
      </c>
      <c r="AD15" s="154">
        <v>937.28035394232461</v>
      </c>
      <c r="AE15" s="155">
        <v>937.28035394232461</v>
      </c>
      <c r="AF15" s="154">
        <v>928.16957163841471</v>
      </c>
      <c r="AG15" s="155">
        <v>928.16957163841471</v>
      </c>
      <c r="AH15" s="154">
        <v>917.2882039600521</v>
      </c>
      <c r="AI15" s="155">
        <v>917.2882039600521</v>
      </c>
      <c r="AJ15" s="154">
        <v>904.00266490870206</v>
      </c>
      <c r="AK15" s="155">
        <v>904.00266490870206</v>
      </c>
      <c r="AL15" s="154">
        <v>887.48561743915627</v>
      </c>
      <c r="AM15" s="155">
        <v>887.48561743915627</v>
      </c>
      <c r="AN15" s="154">
        <v>866.92699447929499</v>
      </c>
      <c r="AO15" s="155">
        <v>866.92699447929499</v>
      </c>
      <c r="AP15" s="154">
        <v>862.30020856392514</v>
      </c>
      <c r="AQ15" s="155">
        <v>862.30020856392514</v>
      </c>
      <c r="AR15" s="154">
        <v>857.5109730745537</v>
      </c>
      <c r="AS15" s="155">
        <v>857.5109730745537</v>
      </c>
      <c r="AT15" s="154">
        <v>852.56980582747542</v>
      </c>
      <c r="AU15" s="155">
        <v>852.56980582747542</v>
      </c>
      <c r="AV15" s="154">
        <v>847.49083851252294</v>
      </c>
      <c r="AW15" s="155">
        <v>847.49083851252294</v>
      </c>
    </row>
    <row r="16" spans="1:49" s="29" customFormat="1" x14ac:dyDescent="0.2">
      <c r="A16" t="s">
        <v>61</v>
      </c>
      <c r="B16" s="41">
        <v>1000</v>
      </c>
      <c r="C16" s="42">
        <v>1000</v>
      </c>
      <c r="D16" s="41">
        <v>997.56830855888359</v>
      </c>
      <c r="E16" s="42">
        <v>997.36140369532654</v>
      </c>
      <c r="F16" s="41">
        <v>995.04764516388559</v>
      </c>
      <c r="G16" s="42">
        <v>994.62265605791106</v>
      </c>
      <c r="H16" s="41">
        <v>992.4283022023551</v>
      </c>
      <c r="I16" s="42">
        <v>991.7710197152569</v>
      </c>
      <c r="J16" s="41">
        <v>989.69904137213121</v>
      </c>
      <c r="K16" s="42">
        <v>988.791464321891</v>
      </c>
      <c r="L16" s="41">
        <v>986.84676551092798</v>
      </c>
      <c r="M16" s="42">
        <v>985.66611369534348</v>
      </c>
      <c r="N16" s="41">
        <v>983.85613160380672</v>
      </c>
      <c r="O16" s="42">
        <v>982.37353026677658</v>
      </c>
      <c r="P16" s="41">
        <v>980.7090382662883</v>
      </c>
      <c r="Q16" s="42">
        <v>978.88776221635521</v>
      </c>
      <c r="R16" s="41">
        <v>977.38398992769532</v>
      </c>
      <c r="S16" s="42">
        <v>975.17706925786081</v>
      </c>
      <c r="T16" s="41">
        <v>973.8552814382474</v>
      </c>
      <c r="U16" s="42">
        <v>971.20218655170265</v>
      </c>
      <c r="V16" s="41">
        <v>970.09196779572596</v>
      </c>
      <c r="W16" s="42">
        <v>966.91393133355325</v>
      </c>
      <c r="X16" s="41">
        <v>966.0565596380452</v>
      </c>
      <c r="Y16" s="42">
        <v>962.24983731925988</v>
      </c>
      <c r="Z16" s="41">
        <v>961.70345029204009</v>
      </c>
      <c r="AA16" s="42">
        <v>957.12937733804574</v>
      </c>
      <c r="AB16" s="41">
        <v>956.97709938267815</v>
      </c>
      <c r="AC16" s="42">
        <v>951.44708206347241</v>
      </c>
      <c r="AD16" s="41">
        <v>951.81036060301335</v>
      </c>
      <c r="AE16" s="42">
        <v>945.06265428321547</v>
      </c>
      <c r="AF16" s="41">
        <v>946.12403794564682</v>
      </c>
      <c r="AG16" s="42">
        <v>937.78711827051154</v>
      </c>
      <c r="AH16" s="41">
        <v>939.8308188238816</v>
      </c>
      <c r="AI16" s="42">
        <v>929.36531485442617</v>
      </c>
      <c r="AJ16" s="41">
        <v>932.85177713790165</v>
      </c>
      <c r="AK16" s="42">
        <v>919.46175615957497</v>
      </c>
      <c r="AL16" s="41">
        <v>925.16369031307283</v>
      </c>
      <c r="AM16" s="42">
        <v>907.68188417902945</v>
      </c>
      <c r="AN16" s="41">
        <v>916.90218034386874</v>
      </c>
      <c r="AO16" s="42">
        <v>893.72612931603089</v>
      </c>
      <c r="AP16" s="41">
        <v>915.212600201898</v>
      </c>
      <c r="AQ16" s="42">
        <v>890.6773023922392</v>
      </c>
      <c r="AR16" s="41">
        <v>913.52109875192752</v>
      </c>
      <c r="AS16" s="42">
        <v>887.55262031137386</v>
      </c>
      <c r="AT16" s="41">
        <v>911.83312150803044</v>
      </c>
      <c r="AU16" s="42">
        <v>884.35993174477301</v>
      </c>
      <c r="AV16" s="41">
        <v>910.15439464421127</v>
      </c>
      <c r="AW16" s="42">
        <v>881.10890767677279</v>
      </c>
    </row>
    <row r="17" spans="1:49" x14ac:dyDescent="0.2">
      <c r="A17" t="s">
        <v>62</v>
      </c>
      <c r="B17" s="35">
        <v>999.99999999998658</v>
      </c>
      <c r="C17" s="36">
        <v>1000.0000000000002</v>
      </c>
      <c r="D17" s="35">
        <v>999.31507182253006</v>
      </c>
      <c r="E17" s="36">
        <v>1020.0798986557719</v>
      </c>
      <c r="F17" s="35">
        <v>998.63019544430654</v>
      </c>
      <c r="G17" s="36">
        <v>1041.983044013449</v>
      </c>
      <c r="H17" s="35">
        <v>997.94486262014732</v>
      </c>
      <c r="I17" s="36">
        <v>1065.9781724537875</v>
      </c>
      <c r="J17" s="35">
        <v>997.25850890482729</v>
      </c>
      <c r="K17" s="36">
        <v>1092.3910363357502</v>
      </c>
      <c r="L17" s="35">
        <v>996.57049185347546</v>
      </c>
      <c r="M17" s="36">
        <v>1121.6202095323054</v>
      </c>
      <c r="N17" s="35">
        <v>995.88015355920345</v>
      </c>
      <c r="O17" s="36">
        <v>1154.15941157206</v>
      </c>
      <c r="P17" s="35">
        <v>995.18684374088491</v>
      </c>
      <c r="Q17" s="36">
        <v>1190.6276250562805</v>
      </c>
      <c r="R17" s="35">
        <v>994.49002701592781</v>
      </c>
      <c r="S17" s="36">
        <v>1231.8120865746694</v>
      </c>
      <c r="T17" s="35">
        <v>993.78945194442383</v>
      </c>
      <c r="U17" s="36">
        <v>1278.7299315026532</v>
      </c>
      <c r="V17" s="35">
        <v>993.08547262951492</v>
      </c>
      <c r="W17" s="36">
        <v>1332.7190994116729</v>
      </c>
      <c r="X17" s="35">
        <v>992.37960479250887</v>
      </c>
      <c r="Y17" s="36">
        <v>1395.5752987607584</v>
      </c>
      <c r="Z17" s="35">
        <v>991.67553943186397</v>
      </c>
      <c r="AA17" s="36">
        <v>1469.7638207616117</v>
      </c>
      <c r="AB17" s="35">
        <v>990.98095230078923</v>
      </c>
      <c r="AC17" s="36">
        <v>1558.7565362758901</v>
      </c>
      <c r="AD17" s="35">
        <v>990.31075989036628</v>
      </c>
      <c r="AE17" s="36">
        <v>1667.5803940790061</v>
      </c>
      <c r="AF17" s="35">
        <v>989.69290303122898</v>
      </c>
      <c r="AG17" s="36">
        <v>1803.7264652952656</v>
      </c>
      <c r="AH17" s="35">
        <v>989.178169092085</v>
      </c>
      <c r="AI17" s="36">
        <v>1978.6478181448595</v>
      </c>
      <c r="AJ17" s="35">
        <v>988.85460520392098</v>
      </c>
      <c r="AK17" s="36">
        <v>2210.0546741460898</v>
      </c>
      <c r="AL17" s="35">
        <v>988.85898968125684</v>
      </c>
      <c r="AM17" s="36">
        <v>2524.4728133251447</v>
      </c>
      <c r="AN17" s="35">
        <v>989.34968102799462</v>
      </c>
      <c r="AO17" s="36">
        <v>2956.0329451267949</v>
      </c>
      <c r="AP17" s="35">
        <v>989.51481421883364</v>
      </c>
      <c r="AQ17" s="36">
        <v>3059.1758553009258</v>
      </c>
      <c r="AR17" s="35">
        <v>989.70169105847469</v>
      </c>
      <c r="AS17" s="36">
        <v>3168.2449038465697</v>
      </c>
      <c r="AT17" s="35">
        <v>989.90903440621935</v>
      </c>
      <c r="AU17" s="36">
        <v>3283.2248596317459</v>
      </c>
      <c r="AV17" s="35">
        <v>990.13502478620296</v>
      </c>
      <c r="AW17" s="36">
        <v>3404.0030827867122</v>
      </c>
    </row>
    <row r="18" spans="1:49" x14ac:dyDescent="0.2">
      <c r="A18" t="s">
        <v>19</v>
      </c>
      <c r="B18" s="33">
        <v>27857.010133999996</v>
      </c>
      <c r="C18" s="34">
        <v>1236.7674480000003</v>
      </c>
      <c r="D18" s="33">
        <v>27712.377718121617</v>
      </c>
      <c r="E18" s="34">
        <v>1159.9846922929266</v>
      </c>
      <c r="F18" s="33">
        <v>27553.049760020192</v>
      </c>
      <c r="G18" s="34">
        <v>1083.6043677776543</v>
      </c>
      <c r="H18" s="33">
        <v>27376.825359058243</v>
      </c>
      <c r="I18" s="34">
        <v>1007.6692043165058</v>
      </c>
      <c r="J18" s="33">
        <v>27181.011256149901</v>
      </c>
      <c r="K18" s="34">
        <v>932.23054334295909</v>
      </c>
      <c r="L18" s="33">
        <v>26962.277628442887</v>
      </c>
      <c r="M18" s="34">
        <v>857.34879819556807</v>
      </c>
      <c r="N18" s="33">
        <v>26716.445307350186</v>
      </c>
      <c r="O18" s="34">
        <v>783.09891043674213</v>
      </c>
      <c r="P18" s="33">
        <v>26438.196048456193</v>
      </c>
      <c r="Q18" s="34">
        <v>709.57305588167424</v>
      </c>
      <c r="R18" s="33">
        <v>26120.644516269043</v>
      </c>
      <c r="S18" s="34">
        <v>636.88747857328076</v>
      </c>
      <c r="T18" s="33">
        <v>25754.705794335972</v>
      </c>
      <c r="U18" s="34">
        <v>565.19089229930353</v>
      </c>
      <c r="V18" s="33">
        <v>25328.127844382492</v>
      </c>
      <c r="W18" s="34">
        <v>494.67748746420193</v>
      </c>
      <c r="X18" s="33">
        <v>24823.969987595869</v>
      </c>
      <c r="Y18" s="34">
        <v>425.60565021946815</v>
      </c>
      <c r="Z18" s="33">
        <v>24218.124443311979</v>
      </c>
      <c r="AA18" s="34">
        <v>358.32468417768979</v>
      </c>
      <c r="AB18" s="33">
        <v>23475.121980568045</v>
      </c>
      <c r="AC18" s="34">
        <v>293.31770457449994</v>
      </c>
      <c r="AD18" s="33">
        <v>22540.741018920391</v>
      </c>
      <c r="AE18" s="34">
        <v>231.26280377479523</v>
      </c>
      <c r="AF18" s="33">
        <v>21328.411932217612</v>
      </c>
      <c r="AG18" s="34">
        <v>173.12264408972104</v>
      </c>
      <c r="AH18" s="33">
        <v>19693.22406815063</v>
      </c>
      <c r="AI18" s="34">
        <v>120.26154372265711</v>
      </c>
      <c r="AJ18" s="33">
        <v>17381.244519786582</v>
      </c>
      <c r="AK18" s="34">
        <v>74.548711068338918</v>
      </c>
      <c r="AL18" s="33">
        <v>13934.464352452622</v>
      </c>
      <c r="AM18" s="34">
        <v>38.273728559636339</v>
      </c>
      <c r="AN18" s="33">
        <v>8547.3830639293483</v>
      </c>
      <c r="AO18" s="34">
        <v>13.426515820085511</v>
      </c>
      <c r="AP18" s="33">
        <v>7135.2045271100542</v>
      </c>
      <c r="AQ18" s="34">
        <v>9.8847474779742797</v>
      </c>
      <c r="AR18" s="33">
        <v>5585.6406319449352</v>
      </c>
      <c r="AS18" s="34">
        <v>6.7958105604841021</v>
      </c>
      <c r="AT18" s="33">
        <v>3887.2455531782375</v>
      </c>
      <c r="AU18" s="34">
        <v>4.1377790669926826</v>
      </c>
      <c r="AV18" s="33">
        <v>2028.8715308521203</v>
      </c>
      <c r="AW18" s="34">
        <v>1.8832028663732641</v>
      </c>
    </row>
    <row r="19" spans="1:49" x14ac:dyDescent="0.2">
      <c r="A19" t="s">
        <v>3</v>
      </c>
      <c r="B19" s="41">
        <v>1886.3937399999918</v>
      </c>
      <c r="C19" s="42">
        <v>262.78711299999759</v>
      </c>
      <c r="D19" s="41">
        <v>1873.2078740012576</v>
      </c>
      <c r="E19" s="42">
        <v>261.37647775225241</v>
      </c>
      <c r="F19" s="41">
        <v>1859.0670743445933</v>
      </c>
      <c r="G19" s="42">
        <v>259.99853772957886</v>
      </c>
      <c r="H19" s="41">
        <v>1843.8259964856441</v>
      </c>
      <c r="I19" s="42">
        <v>258.64419841500228</v>
      </c>
      <c r="J19" s="41">
        <v>1827.3070440665711</v>
      </c>
      <c r="K19" s="42">
        <v>257.30001690773224</v>
      </c>
      <c r="L19" s="41">
        <v>1809.2909964251146</v>
      </c>
      <c r="M19" s="42">
        <v>255.94612371382689</v>
      </c>
      <c r="N19" s="41">
        <v>1789.5033950572881</v>
      </c>
      <c r="O19" s="42">
        <v>254.55363461227338</v>
      </c>
      <c r="P19" s="41">
        <v>1767.5959154576462</v>
      </c>
      <c r="Q19" s="42">
        <v>253.08031880768775</v>
      </c>
      <c r="R19" s="41">
        <v>1743.1190310505281</v>
      </c>
      <c r="S19" s="42">
        <v>251.46433259668339</v>
      </c>
      <c r="T19" s="41">
        <v>1715.4816870643599</v>
      </c>
      <c r="U19" s="42">
        <v>249.61443383875158</v>
      </c>
      <c r="V19" s="41">
        <v>1683.889765037813</v>
      </c>
      <c r="W19" s="42">
        <v>247.39474282461052</v>
      </c>
      <c r="X19" s="41">
        <v>1647.2494122608223</v>
      </c>
      <c r="Y19" s="42">
        <v>244.60032014259593</v>
      </c>
      <c r="Z19" s="41">
        <v>1604.0095965387868</v>
      </c>
      <c r="AA19" s="42">
        <v>240.9174013280734</v>
      </c>
      <c r="AB19" s="41">
        <v>1551.8952588546902</v>
      </c>
      <c r="AC19" s="42">
        <v>235.85757350420826</v>
      </c>
      <c r="AD19" s="41">
        <v>1487.4354115648612</v>
      </c>
      <c r="AE19" s="42">
        <v>228.64697370997266</v>
      </c>
      <c r="AF19" s="41">
        <v>1405.0896145709057</v>
      </c>
      <c r="AG19" s="42">
        <v>218.03975267708105</v>
      </c>
      <c r="AH19" s="41">
        <v>1295.5614681883549</v>
      </c>
      <c r="AI19" s="42">
        <v>202.01302531329927</v>
      </c>
      <c r="AJ19" s="41">
        <v>1142.4621862195047</v>
      </c>
      <c r="AK19" s="42">
        <v>177.32241965141407</v>
      </c>
      <c r="AL19" s="41">
        <v>915.91758696128431</v>
      </c>
      <c r="AM19" s="42">
        <v>139.09335785609596</v>
      </c>
      <c r="AN19" s="41">
        <v>562.56901094015404</v>
      </c>
      <c r="AO19" s="42">
        <v>81.321604520941975</v>
      </c>
      <c r="AP19" s="41">
        <v>469.83236835162683</v>
      </c>
      <c r="AQ19" s="42">
        <v>66.9743487187624</v>
      </c>
      <c r="AR19" s="41">
        <v>367.98388959466706</v>
      </c>
      <c r="AS19" s="42">
        <v>51.654276462340405</v>
      </c>
      <c r="AT19" s="41">
        <v>256.23650729668532</v>
      </c>
      <c r="AU19" s="42">
        <v>35.368490781904477</v>
      </c>
      <c r="AV19" s="41">
        <v>133.81923260232219</v>
      </c>
      <c r="AW19" s="42">
        <v>18.138512085016213</v>
      </c>
    </row>
    <row r="20" spans="1:49" x14ac:dyDescent="0.2">
      <c r="A20" t="s">
        <v>127</v>
      </c>
      <c r="B20" s="82">
        <v>26548.356269999993</v>
      </c>
      <c r="C20" s="83">
        <v>1408.5418709999938</v>
      </c>
      <c r="D20" s="82">
        <v>26402.554687415235</v>
      </c>
      <c r="E20" s="83">
        <v>1338.1147774499941</v>
      </c>
      <c r="F20" s="82">
        <v>26242.823851195924</v>
      </c>
      <c r="G20" s="83">
        <v>1267.6876838999945</v>
      </c>
      <c r="H20" s="82">
        <v>26067.075184069174</v>
      </c>
      <c r="I20" s="83">
        <v>1197.2605903499946</v>
      </c>
      <c r="J20" s="82">
        <v>25872.753456929098</v>
      </c>
      <c r="K20" s="83">
        <v>1126.8334967999949</v>
      </c>
      <c r="L20" s="82">
        <v>25656.700300035525</v>
      </c>
      <c r="M20" s="83">
        <v>1056.4064032499953</v>
      </c>
      <c r="N20" s="82">
        <v>25414.953311283411</v>
      </c>
      <c r="O20" s="83">
        <v>985.97930969999561</v>
      </c>
      <c r="P20" s="82">
        <v>25142.472321363515</v>
      </c>
      <c r="Q20" s="83">
        <v>915.55221614999596</v>
      </c>
      <c r="R20" s="82">
        <v>24832.735445910472</v>
      </c>
      <c r="S20" s="83">
        <v>845.12512259999642</v>
      </c>
      <c r="T20" s="82">
        <v>24477.142344111478</v>
      </c>
      <c r="U20" s="83">
        <v>774.69802904999653</v>
      </c>
      <c r="V20" s="82">
        <v>24064.101757078755</v>
      </c>
      <c r="W20" s="83">
        <v>704.27093549999688</v>
      </c>
      <c r="X20" s="82">
        <v>23577.596860480098</v>
      </c>
      <c r="Y20" s="83">
        <v>633.84384194999734</v>
      </c>
      <c r="Z20" s="82">
        <v>22994.848424689975</v>
      </c>
      <c r="AA20" s="83">
        <v>563.41674839999746</v>
      </c>
      <c r="AB20" s="82">
        <v>22282.359195531488</v>
      </c>
      <c r="AC20" s="83">
        <v>492.98965484999781</v>
      </c>
      <c r="AD20" s="82">
        <v>21388.939598580211</v>
      </c>
      <c r="AE20" s="83">
        <v>422.56256129999809</v>
      </c>
      <c r="AF20" s="82">
        <v>20232.865047191208</v>
      </c>
      <c r="AG20" s="83">
        <v>352.13546774999827</v>
      </c>
      <c r="AH20" s="82">
        <v>18677.282066359327</v>
      </c>
      <c r="AI20" s="83">
        <v>281.70837419999856</v>
      </c>
      <c r="AJ20" s="82">
        <v>16482.136449613383</v>
      </c>
      <c r="AK20" s="83">
        <v>211.28128064999879</v>
      </c>
      <c r="AL20" s="82">
        <v>13213.680008773732</v>
      </c>
      <c r="AM20" s="83">
        <v>140.85418709999902</v>
      </c>
      <c r="AN20" s="82">
        <v>8107.0720760685554</v>
      </c>
      <c r="AO20" s="83">
        <v>70.42709354999927</v>
      </c>
      <c r="AP20" s="82">
        <v>6768.1506812957659</v>
      </c>
      <c r="AQ20" s="83">
        <v>56.341674839999328</v>
      </c>
      <c r="AR20" s="82">
        <v>5298.7520241029479</v>
      </c>
      <c r="AS20" s="83">
        <v>42.256256129999379</v>
      </c>
      <c r="AT20" s="82">
        <v>3687.9380511133627</v>
      </c>
      <c r="AU20" s="83">
        <v>28.170837419999433</v>
      </c>
      <c r="AV20" s="82">
        <v>1925.0449879306686</v>
      </c>
      <c r="AW20" s="83">
        <v>14.08541870999948</v>
      </c>
    </row>
    <row r="21" spans="1:49" x14ac:dyDescent="0.2">
      <c r="A21" t="s">
        <v>76</v>
      </c>
      <c r="B21" s="82">
        <v>24661.962529999968</v>
      </c>
      <c r="C21" s="83">
        <v>1145.7547579999991</v>
      </c>
      <c r="D21" s="82">
        <v>24529.34795987777</v>
      </c>
      <c r="E21" s="83">
        <v>1076.8215087079539</v>
      </c>
      <c r="F21" s="82">
        <v>24383.761337400669</v>
      </c>
      <c r="G21" s="83">
        <v>1008.0348908603188</v>
      </c>
      <c r="H21" s="82">
        <v>24223.259390613144</v>
      </c>
      <c r="I21" s="83">
        <v>939.42537583691103</v>
      </c>
      <c r="J21" s="82">
        <v>24045.46444469097</v>
      </c>
      <c r="K21" s="83">
        <v>871.03076027325881</v>
      </c>
      <c r="L21" s="82">
        <v>23847.437303524075</v>
      </c>
      <c r="M21" s="83">
        <v>802.8985894180197</v>
      </c>
      <c r="N21" s="82">
        <v>23625.489967300084</v>
      </c>
      <c r="O21" s="83">
        <v>735.08905078689645</v>
      </c>
      <c r="P21" s="82">
        <v>23374.930519073241</v>
      </c>
      <c r="Q21" s="83">
        <v>667.67942173198185</v>
      </c>
      <c r="R21" s="82">
        <v>23089.686501104428</v>
      </c>
      <c r="S21" s="83">
        <v>600.77007618634002</v>
      </c>
      <c r="T21" s="82">
        <v>22761.748479587102</v>
      </c>
      <c r="U21" s="83">
        <v>534.49319470491275</v>
      </c>
      <c r="V21" s="82">
        <v>22380.319084336821</v>
      </c>
      <c r="W21" s="83">
        <v>469.02532177034709</v>
      </c>
      <c r="X21" s="82">
        <v>21930.474973854551</v>
      </c>
      <c r="Y21" s="83">
        <v>404.60591551275303</v>
      </c>
      <c r="Z21" s="82">
        <v>21390.987341335294</v>
      </c>
      <c r="AA21" s="83">
        <v>341.56497925644561</v>
      </c>
      <c r="AB21" s="82">
        <v>20730.63297332589</v>
      </c>
      <c r="AC21" s="83">
        <v>280.36443951901202</v>
      </c>
      <c r="AD21" s="82">
        <v>19901.69157163698</v>
      </c>
      <c r="AE21" s="83">
        <v>221.66009509753803</v>
      </c>
      <c r="AF21" s="82">
        <v>18827.97613009184</v>
      </c>
      <c r="AG21" s="83">
        <v>166.3913828165137</v>
      </c>
      <c r="AH21" s="82">
        <v>17381.924928423952</v>
      </c>
      <c r="AI21" s="83">
        <v>115.89898839090532</v>
      </c>
      <c r="AJ21" s="82">
        <v>15339.865579439294</v>
      </c>
      <c r="AK21" s="83">
        <v>72.031431233610718</v>
      </c>
      <c r="AL21" s="82">
        <v>12297.915678054462</v>
      </c>
      <c r="AM21" s="83">
        <v>37.069915240975476</v>
      </c>
      <c r="AN21" s="82">
        <v>7544.5889542547884</v>
      </c>
      <c r="AO21" s="83">
        <v>13.030883753837045</v>
      </c>
      <c r="AP21" s="82">
        <v>6298.3878002065712</v>
      </c>
      <c r="AQ21" s="83">
        <v>9.5968864600420005</v>
      </c>
      <c r="AR21" s="82">
        <v>4930.8206048269521</v>
      </c>
      <c r="AS21" s="83">
        <v>6.600111394447449</v>
      </c>
      <c r="AT21" s="82">
        <v>3431.7366008016656</v>
      </c>
      <c r="AU21" s="83">
        <v>4.0198839555381385</v>
      </c>
      <c r="AV21" s="82">
        <v>1791.2432404318249</v>
      </c>
      <c r="AW21" s="83">
        <v>1.8300811128229841</v>
      </c>
    </row>
    <row r="22" spans="1:49" x14ac:dyDescent="0.2">
      <c r="A22" t="s">
        <v>28</v>
      </c>
      <c r="B22" s="41">
        <v>6533.6044688320644</v>
      </c>
      <c r="C22" s="42">
        <v>379.90788307663382</v>
      </c>
      <c r="D22" s="41">
        <v>6484.4983801797925</v>
      </c>
      <c r="E22" s="42">
        <v>367.91222565143249</v>
      </c>
      <c r="F22" s="41">
        <v>6431.7172370498211</v>
      </c>
      <c r="G22" s="42">
        <v>355.59432673536787</v>
      </c>
      <c r="H22" s="41">
        <v>6374.7273974611999</v>
      </c>
      <c r="I22" s="42">
        <v>342.9301476450064</v>
      </c>
      <c r="J22" s="41">
        <v>6312.879278873319</v>
      </c>
      <c r="K22" s="42">
        <v>329.89230586671846</v>
      </c>
      <c r="L22" s="41">
        <v>6245.3739682465912</v>
      </c>
      <c r="M22" s="42">
        <v>316.44951415538964</v>
      </c>
      <c r="N22" s="41">
        <v>6171.214877937924</v>
      </c>
      <c r="O22" s="42">
        <v>302.565478309779</v>
      </c>
      <c r="P22" s="41">
        <v>6089.1417928255578</v>
      </c>
      <c r="Q22" s="42">
        <v>288.19781314193835</v>
      </c>
      <c r="R22" s="41">
        <v>5997.5343955309672</v>
      </c>
      <c r="S22" s="42">
        <v>273.29635768047564</v>
      </c>
      <c r="T22" s="41">
        <v>5894.2705987283362</v>
      </c>
      <c r="U22" s="42">
        <v>257.80097580248895</v>
      </c>
      <c r="V22" s="41">
        <v>5776.5114139439993</v>
      </c>
      <c r="W22" s="42">
        <v>241.63843324276033</v>
      </c>
      <c r="X22" s="41">
        <v>5640.3652579154677</v>
      </c>
      <c r="Y22" s="42">
        <v>224.71799945033911</v>
      </c>
      <c r="Z22" s="41">
        <v>5480.3466344726994</v>
      </c>
      <c r="AA22" s="42">
        <v>206.92511401385468</v>
      </c>
      <c r="AB22" s="41">
        <v>5288.4676100406623</v>
      </c>
      <c r="AC22" s="42">
        <v>188.11190653840086</v>
      </c>
      <c r="AD22" s="41">
        <v>5052.6557171141994</v>
      </c>
      <c r="AE22" s="42">
        <v>168.08318381720525</v>
      </c>
      <c r="AF22" s="41">
        <v>4753.8801458061107</v>
      </c>
      <c r="AG22" s="42">
        <v>146.57552165151247</v>
      </c>
      <c r="AH22" s="41">
        <v>4360.7427103456293</v>
      </c>
      <c r="AI22" s="42">
        <v>123.22745207209884</v>
      </c>
      <c r="AJ22" s="41">
        <v>3819.1463702337032</v>
      </c>
      <c r="AK22" s="42">
        <v>97.543478041533774</v>
      </c>
      <c r="AL22" s="41">
        <v>3033.505500999604</v>
      </c>
      <c r="AM22" s="42">
        <v>68.876060762282833</v>
      </c>
      <c r="AN22" s="41">
        <v>1840.1014738076028</v>
      </c>
      <c r="AO22" s="42">
        <v>36.511119958170589</v>
      </c>
      <c r="AP22" s="41">
        <v>1532.3056994061335</v>
      </c>
      <c r="AQ22" s="42">
        <v>29.544373794489321</v>
      </c>
      <c r="AR22" s="41">
        <v>1196.4972641976401</v>
      </c>
      <c r="AS22" s="42">
        <v>22.408429115758846</v>
      </c>
      <c r="AT22" s="41">
        <v>830.52425482084936</v>
      </c>
      <c r="AU22" s="42">
        <v>15.103978487031702</v>
      </c>
      <c r="AV22" s="41">
        <v>432.32632194694912</v>
      </c>
      <c r="AW22" s="42">
        <v>7.6332481696503169</v>
      </c>
    </row>
    <row r="23" spans="1:49" x14ac:dyDescent="0.2">
      <c r="A23" t="s">
        <v>7</v>
      </c>
      <c r="B23" s="116">
        <v>3278.5018080150408</v>
      </c>
      <c r="C23" s="8">
        <v>0</v>
      </c>
      <c r="D23" s="116">
        <v>3265.71178663813</v>
      </c>
      <c r="E23" s="8">
        <v>0</v>
      </c>
      <c r="F23" s="116">
        <v>3251.2318248503448</v>
      </c>
      <c r="G23" s="8">
        <v>0</v>
      </c>
      <c r="H23" s="116">
        <v>3234.8036434298197</v>
      </c>
      <c r="I23" s="8">
        <v>0</v>
      </c>
      <c r="J23" s="116">
        <v>3216.1104484626212</v>
      </c>
      <c r="K23" s="8">
        <v>0</v>
      </c>
      <c r="L23" s="116">
        <v>3194.759768758503</v>
      </c>
      <c r="M23" s="8">
        <v>0</v>
      </c>
      <c r="N23" s="116">
        <v>3170.2578671299921</v>
      </c>
      <c r="O23" s="8">
        <v>0</v>
      </c>
      <c r="P23" s="116">
        <v>3141.975064904389</v>
      </c>
      <c r="Q23" s="8">
        <v>0</v>
      </c>
      <c r="R23" s="116">
        <v>3109.0942849323137</v>
      </c>
      <c r="S23" s="8">
        <v>0</v>
      </c>
      <c r="T23" s="116">
        <v>3070.5349335637989</v>
      </c>
      <c r="U23" s="8">
        <v>0</v>
      </c>
      <c r="V23" s="116">
        <v>3024.8361680757043</v>
      </c>
      <c r="W23" s="8">
        <v>0</v>
      </c>
      <c r="X23" s="116">
        <v>2969.9728727413412</v>
      </c>
      <c r="Y23" s="8">
        <v>0</v>
      </c>
      <c r="Z23" s="116">
        <v>2903.0550954554778</v>
      </c>
      <c r="AA23" s="8">
        <v>0</v>
      </c>
      <c r="AB23" s="116">
        <v>2819.8173011495041</v>
      </c>
      <c r="AC23" s="8">
        <v>0</v>
      </c>
      <c r="AD23" s="116">
        <v>2713.7145065766949</v>
      </c>
      <c r="AE23" s="8">
        <v>0</v>
      </c>
      <c r="AF23" s="116">
        <v>2574.249861618317</v>
      </c>
      <c r="AG23" s="8">
        <v>0</v>
      </c>
      <c r="AH23" s="116">
        <v>2383.7530633509818</v>
      </c>
      <c r="AI23" s="8">
        <v>0</v>
      </c>
      <c r="AJ23" s="116">
        <v>2111.0348828841279</v>
      </c>
      <c r="AK23" s="8">
        <v>0</v>
      </c>
      <c r="AL23" s="116">
        <v>1699.3094282608693</v>
      </c>
      <c r="AM23" s="8">
        <v>0</v>
      </c>
      <c r="AN23" s="116">
        <v>1047.4832012622803</v>
      </c>
      <c r="AO23" s="8">
        <v>0</v>
      </c>
      <c r="AP23" s="116">
        <v>875.36695300626445</v>
      </c>
      <c r="AQ23" s="8">
        <v>0</v>
      </c>
      <c r="AR23" s="116">
        <v>686.02352277111174</v>
      </c>
      <c r="AS23" s="8">
        <v>0</v>
      </c>
      <c r="AT23" s="116">
        <v>477.97057153018699</v>
      </c>
      <c r="AU23" s="8">
        <v>0</v>
      </c>
      <c r="AV23" s="116">
        <v>249.7559246033463</v>
      </c>
      <c r="AW23" s="8">
        <v>0</v>
      </c>
    </row>
    <row r="24" spans="1:49" x14ac:dyDescent="0.2">
      <c r="A24" t="s">
        <v>8</v>
      </c>
      <c r="B24" s="97">
        <v>3196.3846373657216</v>
      </c>
      <c r="C24" s="8">
        <v>0</v>
      </c>
      <c r="D24" s="97">
        <v>3202.9889678266231</v>
      </c>
      <c r="E24" s="8">
        <v>0</v>
      </c>
      <c r="F24" s="97">
        <v>3207.9464200916177</v>
      </c>
      <c r="G24" s="8">
        <v>0</v>
      </c>
      <c r="H24" s="97">
        <v>3210.9952120179537</v>
      </c>
      <c r="I24" s="8">
        <v>0</v>
      </c>
      <c r="J24" s="97">
        <v>3211.8124435766299</v>
      </c>
      <c r="K24" s="8">
        <v>0</v>
      </c>
      <c r="L24" s="97">
        <v>3209.9960588928943</v>
      </c>
      <c r="M24" s="8">
        <v>0</v>
      </c>
      <c r="N24" s="97">
        <v>3205.0372457481963</v>
      </c>
      <c r="O24" s="8">
        <v>0</v>
      </c>
      <c r="P24" s="97">
        <v>3196.2833771194478</v>
      </c>
      <c r="Q24" s="8">
        <v>0</v>
      </c>
      <c r="R24" s="97">
        <v>3182.8824290581147</v>
      </c>
      <c r="S24" s="8">
        <v>0</v>
      </c>
      <c r="T24" s="97">
        <v>3163.7004242861804</v>
      </c>
      <c r="U24" s="8">
        <v>0</v>
      </c>
      <c r="V24" s="97">
        <v>3137.1941244701902</v>
      </c>
      <c r="W24" s="8">
        <v>0</v>
      </c>
      <c r="X24" s="97">
        <v>3101.209036453718</v>
      </c>
      <c r="Y24" s="8">
        <v>0</v>
      </c>
      <c r="Z24" s="97">
        <v>3052.6465952159697</v>
      </c>
      <c r="AA24" s="8">
        <v>0</v>
      </c>
      <c r="AB24" s="97">
        <v>2986.8944364731024</v>
      </c>
      <c r="AC24" s="8">
        <v>0</v>
      </c>
      <c r="AD24" s="97">
        <v>2896.8067225112827</v>
      </c>
      <c r="AE24" s="8">
        <v>0</v>
      </c>
      <c r="AF24" s="97">
        <v>2770.7934630623572</v>
      </c>
      <c r="AG24" s="8">
        <v>0</v>
      </c>
      <c r="AH24" s="97">
        <v>2589.0796099804911</v>
      </c>
      <c r="AI24" s="8">
        <v>0</v>
      </c>
      <c r="AJ24" s="97">
        <v>2316.1758705154043</v>
      </c>
      <c r="AK24" s="8">
        <v>0</v>
      </c>
      <c r="AL24" s="97">
        <v>1886.0962871791514</v>
      </c>
      <c r="AM24" s="8">
        <v>0</v>
      </c>
      <c r="AN24" s="97">
        <v>1178.1616763578938</v>
      </c>
      <c r="AO24" s="8">
        <v>0</v>
      </c>
      <c r="AP24" s="97">
        <v>987.39153903919464</v>
      </c>
      <c r="AQ24" s="8">
        <v>0</v>
      </c>
      <c r="AR24" s="97">
        <v>776.0762712386969</v>
      </c>
      <c r="AS24" s="8">
        <v>0</v>
      </c>
      <c r="AT24" s="97">
        <v>542.31775413722198</v>
      </c>
      <c r="AU24" s="8">
        <v>0</v>
      </c>
      <c r="AV24" s="97">
        <v>284.23167789279597</v>
      </c>
      <c r="AW24" s="8">
        <v>0</v>
      </c>
    </row>
    <row r="25" spans="1:49" x14ac:dyDescent="0.2">
      <c r="A25" t="s">
        <v>0</v>
      </c>
      <c r="B25" s="41">
        <v>3195.0476040000012</v>
      </c>
      <c r="C25" s="42">
        <v>91.012690000004397</v>
      </c>
      <c r="D25" s="41">
        <v>3183.0279035754452</v>
      </c>
      <c r="E25" s="42">
        <v>83.147440725750357</v>
      </c>
      <c r="F25" s="41">
        <v>3169.2810306793886</v>
      </c>
      <c r="G25" s="42">
        <v>75.508258921207741</v>
      </c>
      <c r="H25" s="41">
        <v>3153.5493979371595</v>
      </c>
      <c r="I25" s="42">
        <v>68.109630976001441</v>
      </c>
      <c r="J25" s="41">
        <v>3135.5174657442171</v>
      </c>
      <c r="K25" s="42">
        <v>60.96728707722086</v>
      </c>
      <c r="L25" s="41">
        <v>3114.7946634506702</v>
      </c>
      <c r="M25" s="42">
        <v>54.098250373666851</v>
      </c>
      <c r="N25" s="41">
        <v>3090.8898906294576</v>
      </c>
      <c r="O25" s="42">
        <v>47.521125652699411</v>
      </c>
      <c r="P25" s="41">
        <v>3063.1769161555417</v>
      </c>
      <c r="Q25" s="42">
        <v>41.25620102128071</v>
      </c>
      <c r="R25" s="41">
        <v>3030.8430048191376</v>
      </c>
      <c r="S25" s="42">
        <v>35.325695012034828</v>
      </c>
      <c r="T25" s="41">
        <v>2992.812894747919</v>
      </c>
      <c r="U25" s="42">
        <v>29.753966994639782</v>
      </c>
      <c r="V25" s="41">
        <v>2947.6322782307179</v>
      </c>
      <c r="W25" s="42">
        <v>24.56776108473376</v>
      </c>
      <c r="X25" s="41">
        <v>2893.2844103416846</v>
      </c>
      <c r="Y25" s="42">
        <v>19.79640594504701</v>
      </c>
      <c r="Z25" s="41">
        <v>2826.8913164035353</v>
      </c>
      <c r="AA25" s="42">
        <v>15.471854716659552</v>
      </c>
      <c r="AB25" s="41">
        <v>2744.2086675526571</v>
      </c>
      <c r="AC25" s="42">
        <v>11.628558604300123</v>
      </c>
      <c r="AD25" s="41">
        <v>2638.7380462523915</v>
      </c>
      <c r="AE25" s="42">
        <v>8.3026175384012557</v>
      </c>
      <c r="AF25" s="41">
        <v>2500.1016511942044</v>
      </c>
      <c r="AG25" s="42">
        <v>5.5296153924853702</v>
      </c>
      <c r="AH25" s="41">
        <v>2310.9584089921245</v>
      </c>
      <c r="AI25" s="42">
        <v>3.3396142282088448</v>
      </c>
      <c r="AJ25" s="41">
        <v>2041.0595980054388</v>
      </c>
      <c r="AK25" s="42">
        <v>1.7464962979428647</v>
      </c>
      <c r="AL25" s="41">
        <v>1636.2928637111677</v>
      </c>
      <c r="AM25" s="42">
        <v>0.72802416400811831</v>
      </c>
      <c r="AN25" s="41">
        <v>1002.6509602454552</v>
      </c>
      <c r="AO25" s="42">
        <v>0.19843772908043117</v>
      </c>
      <c r="AP25" s="41">
        <v>836.70097209308119</v>
      </c>
      <c r="AQ25" s="42">
        <v>0.13819989723632753</v>
      </c>
      <c r="AR25" s="41">
        <v>654.73266900784847</v>
      </c>
      <c r="AS25" s="42">
        <v>8.9751215620103353E-2</v>
      </c>
      <c r="AT25" s="41">
        <v>455.45062254493149</v>
      </c>
      <c r="AU25" s="42">
        <v>5.1555925361196651E-2</v>
      </c>
      <c r="AV25" s="41">
        <v>237.59921781382482</v>
      </c>
      <c r="AW25" s="42">
        <v>2.2114194382724457E-2</v>
      </c>
    </row>
    <row r="26" spans="1:49" x14ac:dyDescent="0.2">
      <c r="A26" t="s">
        <v>27</v>
      </c>
      <c r="B26" s="33">
        <v>5036.2953101960647</v>
      </c>
      <c r="C26" s="34">
        <v>74.905331803938267</v>
      </c>
      <c r="D26" s="33">
        <v>5018.3032350964322</v>
      </c>
      <c r="E26" s="34">
        <v>70.876912431633585</v>
      </c>
      <c r="F26" s="33">
        <v>4998.0173975788721</v>
      </c>
      <c r="G26" s="34">
        <v>66.836058057856633</v>
      </c>
      <c r="H26" s="33">
        <v>4975.0595484083815</v>
      </c>
      <c r="I26" s="34">
        <v>62.782175194463065</v>
      </c>
      <c r="J26" s="33">
        <v>4948.9622993179346</v>
      </c>
      <c r="K26" s="34">
        <v>58.71473244743899</v>
      </c>
      <c r="L26" s="33">
        <v>4919.1421599342912</v>
      </c>
      <c r="M26" s="34">
        <v>54.633287682148662</v>
      </c>
      <c r="N26" s="33">
        <v>4884.8596162729436</v>
      </c>
      <c r="O26" s="34">
        <v>50.537630761552258</v>
      </c>
      <c r="P26" s="33">
        <v>4845.1643600328434</v>
      </c>
      <c r="Q26" s="34">
        <v>46.427908929769124</v>
      </c>
      <c r="R26" s="33">
        <v>4798.8139931866735</v>
      </c>
      <c r="S26" s="34">
        <v>42.304889732290967</v>
      </c>
      <c r="T26" s="33">
        <v>4744.1531940690347</v>
      </c>
      <c r="U26" s="34">
        <v>38.170351948907125</v>
      </c>
      <c r="V26" s="33">
        <v>4678.9278552122987</v>
      </c>
      <c r="W26" s="34">
        <v>34.027733345036523</v>
      </c>
      <c r="X26" s="33">
        <v>4599.9912353875461</v>
      </c>
      <c r="Y26" s="34">
        <v>29.88317728868817</v>
      </c>
      <c r="Z26" s="33">
        <v>4502.8225109709156</v>
      </c>
      <c r="AA26" s="34">
        <v>25.747225286521999</v>
      </c>
      <c r="AB26" s="33">
        <v>4380.7078673505657</v>
      </c>
      <c r="AC26" s="34">
        <v>21.637703423943115</v>
      </c>
      <c r="AD26" s="33">
        <v>4223.2893500997016</v>
      </c>
      <c r="AE26" s="34">
        <v>17.584471089851764</v>
      </c>
      <c r="AF26" s="33">
        <v>4013.8810322962818</v>
      </c>
      <c r="AG26" s="34">
        <v>13.637315788104051</v>
      </c>
      <c r="AH26" s="33">
        <v>3724.3098757900189</v>
      </c>
      <c r="AI26" s="34">
        <v>9.8784460961348497</v>
      </c>
      <c r="AJ26" s="33">
        <v>3304.8008513592281</v>
      </c>
      <c r="AK26" s="34">
        <v>6.4394840668514597</v>
      </c>
      <c r="AL26" s="33">
        <v>2664.8993428277645</v>
      </c>
      <c r="AM26" s="34">
        <v>3.5136406952011505</v>
      </c>
      <c r="AN26" s="33">
        <v>1644.5021558121857</v>
      </c>
      <c r="AO26" s="34">
        <v>1.3256924879949248</v>
      </c>
      <c r="AP26" s="33">
        <v>1374.4259496219356</v>
      </c>
      <c r="AQ26" s="34">
        <v>0.99163995198073629</v>
      </c>
      <c r="AR26" s="33">
        <v>1077.1922595056042</v>
      </c>
      <c r="AS26" s="34">
        <v>0.69294779524497707</v>
      </c>
      <c r="AT26" s="33">
        <v>750.51019798399886</v>
      </c>
      <c r="AU26" s="34">
        <v>0.42897933287324685</v>
      </c>
      <c r="AV26" s="33">
        <v>392.14805024523287</v>
      </c>
      <c r="AW26" s="34">
        <v>0.19855822323373129</v>
      </c>
    </row>
    <row r="27" spans="1:49" x14ac:dyDescent="0.2">
      <c r="A27" t="s">
        <v>2</v>
      </c>
      <c r="B27" s="35">
        <v>6425.1981589998923</v>
      </c>
      <c r="C27" s="36">
        <v>273.22915400000028</v>
      </c>
      <c r="D27" s="35">
        <v>6403.8526937647293</v>
      </c>
      <c r="E27" s="36">
        <v>258.5673691601308</v>
      </c>
      <c r="F27" s="35">
        <v>6379.6635559840615</v>
      </c>
      <c r="G27" s="36">
        <v>243.85830453965215</v>
      </c>
      <c r="H27" s="35">
        <v>6352.1691597900999</v>
      </c>
      <c r="I27" s="36">
        <v>229.09988399290705</v>
      </c>
      <c r="J27" s="35">
        <v>6320.7991326994688</v>
      </c>
      <c r="K27" s="36">
        <v>214.29039291734819</v>
      </c>
      <c r="L27" s="35">
        <v>6284.8410076463897</v>
      </c>
      <c r="M27" s="36">
        <v>199.42812723283731</v>
      </c>
      <c r="N27" s="35">
        <v>6243.3912191787367</v>
      </c>
      <c r="O27" s="36">
        <v>184.51246398299892</v>
      </c>
      <c r="P27" s="35">
        <v>6195.2872507782395</v>
      </c>
      <c r="Q27" s="36">
        <v>169.54390644219626</v>
      </c>
      <c r="R27" s="35">
        <v>6139.0068414395819</v>
      </c>
      <c r="S27" s="36">
        <v>154.52519435254882</v>
      </c>
      <c r="T27" s="35">
        <v>6072.5174185124724</v>
      </c>
      <c r="U27" s="36">
        <v>139.46261698042665</v>
      </c>
      <c r="V27" s="35">
        <v>5993.043513598067</v>
      </c>
      <c r="W27" s="36">
        <v>124.36841695743723</v>
      </c>
      <c r="X27" s="35">
        <v>5896.6968402360044</v>
      </c>
      <c r="Y27" s="36">
        <v>109.26456586816984</v>
      </c>
      <c r="Z27" s="35">
        <v>5777.8666208308587</v>
      </c>
      <c r="AA27" s="36">
        <v>94.188611405035331</v>
      </c>
      <c r="AB27" s="35">
        <v>5628.1741995186558</v>
      </c>
      <c r="AC27" s="36">
        <v>79.204407189580351</v>
      </c>
      <c r="AD27" s="35">
        <v>5434.6036868647943</v>
      </c>
      <c r="AE27" s="36">
        <v>64.419073634348351</v>
      </c>
      <c r="AF27" s="35">
        <v>5176.0044657420949</v>
      </c>
      <c r="AG27" s="36">
        <v>50.011587205993628</v>
      </c>
      <c r="AH27" s="35">
        <v>4816.2671097951161</v>
      </c>
      <c r="AI27" s="36">
        <v>36.278363280891384</v>
      </c>
      <c r="AJ27" s="35">
        <v>4290.6675419971771</v>
      </c>
      <c r="AK27" s="36">
        <v>23.695585357316144</v>
      </c>
      <c r="AL27" s="35">
        <v>3479.2897156890631</v>
      </c>
      <c r="AM27" s="36">
        <v>12.965491024533851</v>
      </c>
      <c r="AN27" s="35">
        <v>2164.1069645834937</v>
      </c>
      <c r="AO27" s="36">
        <v>4.9112442412884816</v>
      </c>
      <c r="AP27" s="35">
        <v>1812.1487649542912</v>
      </c>
      <c r="AQ27" s="36">
        <v>3.677196857918704</v>
      </c>
      <c r="AR27" s="35">
        <v>1423.1228304989529</v>
      </c>
      <c r="AS27" s="36">
        <v>2.5721825455315628</v>
      </c>
      <c r="AT27" s="35">
        <v>993.64184712277722</v>
      </c>
      <c r="AU27" s="36">
        <v>1.5940417625372614</v>
      </c>
      <c r="AV27" s="35">
        <v>520.34689816712284</v>
      </c>
      <c r="AW27" s="36">
        <v>0.73864533211403061</v>
      </c>
    </row>
    <row r="28" spans="1:49" x14ac:dyDescent="0.2">
      <c r="A28" t="s">
        <v>35</v>
      </c>
      <c r="B28" s="41">
        <v>13763.097675999892</v>
      </c>
      <c r="C28" s="42">
        <v>382.36647900000014</v>
      </c>
      <c r="D28" s="41">
        <v>13715.537336697378</v>
      </c>
      <c r="E28" s="42">
        <v>361.83526944525948</v>
      </c>
      <c r="F28" s="41">
        <v>13661.790506450427</v>
      </c>
      <c r="G28" s="42">
        <v>341.23865450609725</v>
      </c>
      <c r="H28" s="41">
        <v>13600.844330506034</v>
      </c>
      <c r="I28" s="42">
        <v>320.57369321262775</v>
      </c>
      <c r="J28" s="41">
        <v>13531.447225208782</v>
      </c>
      <c r="K28" s="42">
        <v>299.83789624222743</v>
      </c>
      <c r="L28" s="41">
        <v>13452.036256582369</v>
      </c>
      <c r="M28" s="42">
        <v>279.02891481251078</v>
      </c>
      <c r="N28" s="41">
        <v>13360.629927647205</v>
      </c>
      <c r="O28" s="42">
        <v>258.14581870776834</v>
      </c>
      <c r="P28" s="41">
        <v>13254.68045979915</v>
      </c>
      <c r="Q28" s="42">
        <v>237.18932438657012</v>
      </c>
      <c r="R28" s="41">
        <v>13130.854450459881</v>
      </c>
      <c r="S28" s="42">
        <v>216.16328802756681</v>
      </c>
      <c r="T28" s="41">
        <v>12984.706091076376</v>
      </c>
      <c r="U28" s="42">
        <v>195.07658827821533</v>
      </c>
      <c r="V28" s="41">
        <v>12810.173524457972</v>
      </c>
      <c r="W28" s="42">
        <v>173.94647364120954</v>
      </c>
      <c r="X28" s="41">
        <v>12598.780366557407</v>
      </c>
      <c r="Y28" s="42">
        <v>152.80386283449397</v>
      </c>
      <c r="Z28" s="41">
        <v>12338.323866493609</v>
      </c>
      <c r="AA28" s="42">
        <v>131.70165929582436</v>
      </c>
      <c r="AB28" s="41">
        <v>12010.635217796442</v>
      </c>
      <c r="AC28" s="42">
        <v>110.7296861581863</v>
      </c>
      <c r="AD28" s="41">
        <v>11587.59401413975</v>
      </c>
      <c r="AE28" s="42">
        <v>90.038569021442868</v>
      </c>
      <c r="AF28" s="41">
        <v>11023.717705072482</v>
      </c>
      <c r="AG28" s="42">
        <v>69.87983369357832</v>
      </c>
      <c r="AH28" s="41">
        <v>10241.818343935807</v>
      </c>
      <c r="AI28" s="42">
        <v>50.669702142502487</v>
      </c>
      <c r="AJ28" s="41">
        <v>9104.6163660042002</v>
      </c>
      <c r="AK28" s="42">
        <v>33.076202174732074</v>
      </c>
      <c r="AL28" s="41">
        <v>7360.4282314837028</v>
      </c>
      <c r="AM28" s="42">
        <v>18.083224085911233</v>
      </c>
      <c r="AN28" s="41">
        <v>4558.3350584809559</v>
      </c>
      <c r="AO28" s="42">
        <v>6.8416527674012801</v>
      </c>
      <c r="AP28" s="41">
        <v>3812.9794383039807</v>
      </c>
      <c r="AQ28" s="42">
        <v>5.121066051454731</v>
      </c>
      <c r="AR28" s="41">
        <v>2991.0824380580525</v>
      </c>
      <c r="AS28" s="42">
        <v>3.5810582188249187</v>
      </c>
      <c r="AT28" s="41">
        <v>2085.9500980639104</v>
      </c>
      <c r="AU28" s="42">
        <v>2.2185416550993162</v>
      </c>
      <c r="AV28" s="41">
        <v>1091.0097169488038</v>
      </c>
      <c r="AW28" s="42">
        <v>1.0276720587587931</v>
      </c>
    </row>
    <row r="29" spans="1:49" x14ac:dyDescent="0.2">
      <c r="A29" t="s">
        <v>53</v>
      </c>
      <c r="B29" s="35">
        <v>14362.768558000087</v>
      </c>
      <c r="C29" s="36">
        <v>817.26651000000015</v>
      </c>
      <c r="D29" s="35">
        <v>14287.867207602963</v>
      </c>
      <c r="E29" s="36">
        <v>764.72268211522146</v>
      </c>
      <c r="F29" s="35">
        <v>14205.390152814954</v>
      </c>
      <c r="G29" s="36">
        <v>712.59202826638216</v>
      </c>
      <c r="H29" s="35">
        <v>14114.20302892009</v>
      </c>
      <c r="I29" s="36">
        <v>660.91152066375525</v>
      </c>
      <c r="J29" s="35">
        <v>14012.917701317474</v>
      </c>
      <c r="K29" s="36">
        <v>609.72458020552835</v>
      </c>
      <c r="L29" s="35">
        <v>13899.818030322513</v>
      </c>
      <c r="M29" s="36">
        <v>559.08147341302947</v>
      </c>
      <c r="N29" s="35">
        <v>13772.750153565969</v>
      </c>
      <c r="O29" s="36">
        <v>509.04293373202864</v>
      </c>
      <c r="P29" s="35">
        <v>13628.973272429565</v>
      </c>
      <c r="Q29" s="36">
        <v>459.68200298074078</v>
      </c>
      <c r="R29" s="35">
        <v>13464.939116634061</v>
      </c>
      <c r="S29" s="36">
        <v>411.08850995381567</v>
      </c>
      <c r="T29" s="35">
        <v>13275.966122521231</v>
      </c>
      <c r="U29" s="36">
        <v>363.3745045937905</v>
      </c>
      <c r="V29" s="35">
        <v>13055.740988479052</v>
      </c>
      <c r="W29" s="36">
        <v>316.68253858240206</v>
      </c>
      <c r="X29" s="35">
        <v>12795.534911351677</v>
      </c>
      <c r="Y29" s="36">
        <v>271.19739291670919</v>
      </c>
      <c r="Z29" s="35">
        <v>12482.926828793221</v>
      </c>
      <c r="AA29" s="36">
        <v>227.16252336720405</v>
      </c>
      <c r="AB29" s="35">
        <v>12099.64275293645</v>
      </c>
      <c r="AC29" s="36">
        <v>184.90605600292781</v>
      </c>
      <c r="AD29" s="35">
        <v>11617.74822490648</v>
      </c>
      <c r="AE29" s="36">
        <v>144.87698039867911</v>
      </c>
      <c r="AF29" s="35">
        <v>10992.643669846646</v>
      </c>
      <c r="AG29" s="36">
        <v>107.69673725029212</v>
      </c>
      <c r="AH29" s="35">
        <v>10149.670644603571</v>
      </c>
      <c r="AI29" s="36">
        <v>74.223464508527201</v>
      </c>
      <c r="AJ29" s="35">
        <v>8957.9910883565299</v>
      </c>
      <c r="AK29" s="36">
        <v>45.600001276984059</v>
      </c>
      <c r="AL29" s="35">
        <v>7181.5817501196398</v>
      </c>
      <c r="AM29" s="36">
        <v>23.176147157844674</v>
      </c>
      <c r="AN29" s="35">
        <v>4405.2558251754881</v>
      </c>
      <c r="AO29" s="36">
        <v>8.0406750699966008</v>
      </c>
      <c r="AP29" s="35">
        <v>3677.452912967251</v>
      </c>
      <c r="AQ29" s="36">
        <v>5.9061196281613491</v>
      </c>
      <c r="AR29" s="35">
        <v>2878.8349454075842</v>
      </c>
      <c r="AS29" s="36">
        <v>4.0511932014951553</v>
      </c>
      <c r="AT29" s="35">
        <v>2003.4991443333454</v>
      </c>
      <c r="AU29" s="36">
        <v>2.4610231175792805</v>
      </c>
      <c r="AV29" s="35">
        <v>1045.6959892948653</v>
      </c>
      <c r="AW29" s="36">
        <v>1.1175276134666428</v>
      </c>
    </row>
    <row r="30" spans="1:49" x14ac:dyDescent="0.2">
      <c r="A30" t="s">
        <v>48</v>
      </c>
      <c r="B30" s="119">
        <v>2924829.9599999995</v>
      </c>
      <c r="D30" s="119">
        <v>2943876.2125839912</v>
      </c>
      <c r="F30" s="119">
        <v>2961385.4940291666</v>
      </c>
      <c r="H30" s="119">
        <v>2977112.8308231412</v>
      </c>
      <c r="J30" s="119">
        <v>2990755.1931853858</v>
      </c>
      <c r="L30" s="119">
        <v>3001933.08816477</v>
      </c>
      <c r="N30" s="119">
        <v>3010165.1934343474</v>
      </c>
      <c r="P30" s="119">
        <v>3014831.6595023754</v>
      </c>
      <c r="R30" s="119">
        <v>3015120.6564207398</v>
      </c>
      <c r="T30" s="119">
        <v>3009948.0632022205</v>
      </c>
      <c r="V30" s="119">
        <v>2997833.4883160056</v>
      </c>
      <c r="X30" s="119">
        <v>2976702.4374555629</v>
      </c>
      <c r="Z30" s="119">
        <v>2943559.1923046992</v>
      </c>
      <c r="AB30" s="119">
        <v>2893922.4315529503</v>
      </c>
      <c r="AD30" s="119">
        <v>2820806.9949116246</v>
      </c>
      <c r="AF30" s="119">
        <v>2712794.2617037604</v>
      </c>
      <c r="AH30" s="119">
        <v>2550199.0721544204</v>
      </c>
      <c r="AJ30" s="119">
        <v>2297204.8682479379</v>
      </c>
      <c r="AL30" s="119">
        <v>1886002.6884395597</v>
      </c>
      <c r="AN30" s="119">
        <v>1189676.0420142116</v>
      </c>
      <c r="AP30" s="119">
        <v>999185.31503962004</v>
      </c>
      <c r="AR30" s="119">
        <v>787077.9468722617</v>
      </c>
      <c r="AT30" s="119">
        <v>551244.74322356598</v>
      </c>
      <c r="AV30" s="119">
        <v>289572.28345480782</v>
      </c>
    </row>
    <row r="31" spans="1:49" x14ac:dyDescent="0.2">
      <c r="A31" t="s">
        <v>47</v>
      </c>
      <c r="B31" s="80">
        <v>1</v>
      </c>
      <c r="D31" s="80">
        <v>0.99114934332042826</v>
      </c>
      <c r="F31" s="80">
        <v>0.98166614459058887</v>
      </c>
      <c r="H31" s="80">
        <v>0.97146258590138856</v>
      </c>
      <c r="J31" s="80">
        <v>0.96043246741692112</v>
      </c>
      <c r="L31" s="80">
        <v>0.94844609452914197</v>
      </c>
      <c r="N31" s="80">
        <v>0.93534288640881957</v>
      </c>
      <c r="P31" s="80">
        <v>0.92092141547988471</v>
      </c>
      <c r="R31" s="80">
        <v>0.90492493004255348</v>
      </c>
      <c r="T31" s="80">
        <v>0.88702030125232556</v>
      </c>
      <c r="V31" s="80">
        <v>0.86676635465258844</v>
      </c>
      <c r="X31" s="80">
        <v>0.8435649856287798</v>
      </c>
      <c r="Z31" s="80">
        <v>0.81658326158989336</v>
      </c>
      <c r="AB31" s="80">
        <v>0.78462436299384619</v>
      </c>
      <c r="AD31" s="80">
        <v>0.745906238242249</v>
      </c>
      <c r="AF31" s="80">
        <v>0.69766660412182113</v>
      </c>
      <c r="AH31" s="80">
        <v>0.63543558279791368</v>
      </c>
      <c r="AJ31" s="80">
        <v>0.55168620671551427</v>
      </c>
      <c r="AL31" s="80">
        <v>0.43348621898851247</v>
      </c>
      <c r="AN31" s="80">
        <v>0.25946963882461987</v>
      </c>
      <c r="AP31" s="80">
        <v>0.21542713133580568</v>
      </c>
      <c r="AR31" s="80">
        <v>0.16770148114360714</v>
      </c>
      <c r="AT31" s="80">
        <v>0.11604095383281747</v>
      </c>
      <c r="AV31" s="80">
        <v>6.0210534874297054E-2</v>
      </c>
    </row>
    <row r="32" spans="1:49" x14ac:dyDescent="0.2">
      <c r="A32" t="s">
        <v>64</v>
      </c>
      <c r="B32" s="86">
        <v>14734457.915000005</v>
      </c>
      <c r="D32" s="86">
        <v>14665917.783990122</v>
      </c>
      <c r="F32" s="86">
        <v>14589874.788860835</v>
      </c>
      <c r="H32" s="86">
        <v>14505179.873063346</v>
      </c>
      <c r="J32" s="86">
        <v>14410424.505500758</v>
      </c>
      <c r="L32" s="86">
        <v>14303864.836524677</v>
      </c>
      <c r="N32" s="86">
        <v>14183309.326170627</v>
      </c>
      <c r="P32" s="86">
        <v>14045966.19500681</v>
      </c>
      <c r="R32" s="86">
        <v>13888217.657721765</v>
      </c>
      <c r="T32" s="86">
        <v>13705286.214736197</v>
      </c>
      <c r="V32" s="86">
        <v>13490723.417814812</v>
      </c>
      <c r="X32" s="86">
        <v>13235604.301193457</v>
      </c>
      <c r="Z32" s="86">
        <v>12927211.792575957</v>
      </c>
      <c r="AB32" s="86">
        <v>12546799.81967533</v>
      </c>
      <c r="AD32" s="86">
        <v>12065629.018159572</v>
      </c>
      <c r="AF32" s="86">
        <v>11437613.005384292</v>
      </c>
      <c r="AH32" s="86">
        <v>10585096.393659225</v>
      </c>
      <c r="AJ32" s="86">
        <v>9370676.7068753317</v>
      </c>
      <c r="AL32" s="86">
        <v>7543105.011769942</v>
      </c>
      <c r="AN32" s="86">
        <v>4652263.800782836</v>
      </c>
      <c r="AP32" s="86">
        <v>3888552.6603952479</v>
      </c>
      <c r="AR32" s="86">
        <v>3048091.4504079157</v>
      </c>
      <c r="AT32" s="86">
        <v>2124179.5958086355</v>
      </c>
      <c r="AV32" s="86">
        <v>1110237.789477685</v>
      </c>
    </row>
    <row r="33" spans="1:49 16319:16321" x14ac:dyDescent="0.2">
      <c r="A33" t="s">
        <v>54</v>
      </c>
      <c r="B33" s="117">
        <v>7019665.6909999885</v>
      </c>
      <c r="D33" s="117">
        <v>6967649.522271065</v>
      </c>
      <c r="F33" s="117">
        <v>6912087.3351051603</v>
      </c>
      <c r="H33" s="117">
        <v>6852441.8744582748</v>
      </c>
      <c r="J33" s="117">
        <v>6788056.4956568955</v>
      </c>
      <c r="L33" s="117">
        <v>6718120.0708908625</v>
      </c>
      <c r="N33" s="117">
        <v>6641616.4552528597</v>
      </c>
      <c r="P33" s="117">
        <v>6557254.8303247886</v>
      </c>
      <c r="R33" s="117">
        <v>6463367.6534098024</v>
      </c>
      <c r="T33" s="117">
        <v>6357759.9341069125</v>
      </c>
      <c r="V33" s="117">
        <v>6237479.1412458923</v>
      </c>
      <c r="X33" s="117">
        <v>6098453.7609550804</v>
      </c>
      <c r="Z33" s="117">
        <v>5934906.0020487122</v>
      </c>
      <c r="AB33" s="117">
        <v>5738357.2197985221</v>
      </c>
      <c r="AD33" s="117">
        <v>5495876.5822205301</v>
      </c>
      <c r="AF33" s="117">
        <v>5186855.9600309655</v>
      </c>
      <c r="AH33" s="117">
        <v>4776832.138832543</v>
      </c>
      <c r="AJ33" s="117">
        <v>4205405.575292049</v>
      </c>
      <c r="AL33" s="117">
        <v>3363492.2680424359</v>
      </c>
      <c r="AN33" s="117">
        <v>2058856.4881630517</v>
      </c>
      <c r="AP33" s="117">
        <v>1718046.4928983287</v>
      </c>
      <c r="AR33" s="117">
        <v>1344443.4778069754</v>
      </c>
      <c r="AT33" s="117">
        <v>935314.64004235086</v>
      </c>
      <c r="AV33" s="117">
        <v>488001.46852225135</v>
      </c>
    </row>
    <row r="34" spans="1:49 16319:16321" x14ac:dyDescent="0.2">
      <c r="A34" t="s">
        <v>75</v>
      </c>
      <c r="B34" s="117">
        <v>1136879.4410000162</v>
      </c>
      <c r="D34" s="117">
        <v>1131590.9925476853</v>
      </c>
      <c r="F34" s="117">
        <v>1125723.6775264239</v>
      </c>
      <c r="H34" s="117">
        <v>1119188.8340125147</v>
      </c>
      <c r="J34" s="117">
        <v>1111877.6918471344</v>
      </c>
      <c r="L34" s="117">
        <v>1103655.7936853957</v>
      </c>
      <c r="N34" s="117">
        <v>1094353.9866125956</v>
      </c>
      <c r="P34" s="117">
        <v>1083756.8829114886</v>
      </c>
      <c r="R34" s="117">
        <v>1071585.3361839608</v>
      </c>
      <c r="T34" s="117">
        <v>1057470.7408394474</v>
      </c>
      <c r="V34" s="117">
        <v>1040915.5314530281</v>
      </c>
      <c r="X34" s="117">
        <v>1021231.0838833135</v>
      </c>
      <c r="Z34" s="117">
        <v>997436.17325333459</v>
      </c>
      <c r="AB34" s="117">
        <v>968084.39379805862</v>
      </c>
      <c r="AD34" s="117">
        <v>930958.27851595916</v>
      </c>
      <c r="AF34" s="117">
        <v>882501.89933870314</v>
      </c>
      <c r="AH34" s="117">
        <v>816723.52971867938</v>
      </c>
      <c r="AJ34" s="117">
        <v>723021.48843246291</v>
      </c>
      <c r="AL34" s="117">
        <v>582009.94305779552</v>
      </c>
      <c r="AN34" s="117">
        <v>358958.78251343954</v>
      </c>
      <c r="AP34" s="117">
        <v>300032.45491992828</v>
      </c>
      <c r="AR34" s="117">
        <v>235184.25416646112</v>
      </c>
      <c r="AT34" s="117">
        <v>163897.18039170289</v>
      </c>
      <c r="AV34" s="117">
        <v>85663.587320869148</v>
      </c>
    </row>
    <row r="35" spans="1:49 16319:16321" x14ac:dyDescent="0.2">
      <c r="A35" t="s">
        <v>78</v>
      </c>
      <c r="B35" s="233">
        <v>1</v>
      </c>
      <c r="D35" s="233">
        <v>1.001453703458423</v>
      </c>
      <c r="F35" s="233">
        <v>1.0030669156582379</v>
      </c>
      <c r="H35" s="233">
        <v>1.0048617107025866</v>
      </c>
      <c r="J35" s="233">
        <v>1.006864829984089</v>
      </c>
      <c r="L35" s="233">
        <v>1.0091089757288021</v>
      </c>
      <c r="N35" s="233">
        <v>1.0116347029598241</v>
      </c>
      <c r="P35" s="233">
        <v>1.0144929351152638</v>
      </c>
      <c r="R35" s="233">
        <v>1.0177486097134809</v>
      </c>
      <c r="T35" s="233">
        <v>1.0214859250865178</v>
      </c>
      <c r="V35" s="233">
        <v>1.0258161332518247</v>
      </c>
      <c r="X35" s="233">
        <v>1.0308893447051923</v>
      </c>
      <c r="Z35" s="233">
        <v>1.0369128829942369</v>
      </c>
      <c r="AB35" s="233">
        <v>1.0441806064278816</v>
      </c>
      <c r="AD35" s="233">
        <v>1.0531207106159575</v>
      </c>
      <c r="AF35" s="233">
        <v>1.0643747798040384</v>
      </c>
      <c r="AH35" s="233">
        <v>1.0789267614418365</v>
      </c>
      <c r="AJ35" s="233">
        <v>1.0982951324547598</v>
      </c>
      <c r="AL35" s="233">
        <v>1.1247256476881566</v>
      </c>
      <c r="AN35" s="233">
        <v>1.1609985770597824</v>
      </c>
      <c r="AP35" s="233">
        <v>1.1696411047830382</v>
      </c>
      <c r="AR35" s="233">
        <v>1.1787626924460892</v>
      </c>
      <c r="AT35" s="233">
        <v>1.1883563626727756</v>
      </c>
      <c r="AV35" s="233">
        <v>1.1984064635426683</v>
      </c>
    </row>
    <row r="36" spans="1:49 16319:16321" x14ac:dyDescent="0.2">
      <c r="A36" t="s">
        <v>21</v>
      </c>
      <c r="B36" s="37">
        <v>0.47195767671987948</v>
      </c>
      <c r="C36" s="38">
        <v>0.3173883442817898</v>
      </c>
      <c r="D36" s="37">
        <v>0.47196941515969887</v>
      </c>
      <c r="E36" s="38">
        <v>0.31893601756101553</v>
      </c>
      <c r="F36" s="37">
        <v>0.47198124887794929</v>
      </c>
      <c r="G36" s="38">
        <v>0.32060186586971001</v>
      </c>
      <c r="H36" s="37">
        <v>0.47199318723403577</v>
      </c>
      <c r="I36" s="38">
        <v>0.32240131266653149</v>
      </c>
      <c r="J36" s="37">
        <v>0.47200524185239823</v>
      </c>
      <c r="K36" s="38">
        <v>0.32435273000487608</v>
      </c>
      <c r="L36" s="37">
        <v>0.47201742407995628</v>
      </c>
      <c r="M36" s="38">
        <v>0.32647817509349963</v>
      </c>
      <c r="N36" s="37">
        <v>0.47202974758063976</v>
      </c>
      <c r="O36" s="38">
        <v>0.32880442371182028</v>
      </c>
      <c r="P36" s="37">
        <v>0.47204222539882612</v>
      </c>
      <c r="Q36" s="38">
        <v>0.33136431267967698</v>
      </c>
      <c r="R36" s="37">
        <v>0.47205486920973494</v>
      </c>
      <c r="S36" s="38">
        <v>0.33419861503312615</v>
      </c>
      <c r="T36" s="37">
        <v>0.47206768550613815</v>
      </c>
      <c r="U36" s="38">
        <v>0.33735864182295106</v>
      </c>
      <c r="V36" s="37">
        <v>0.47208067027041023</v>
      </c>
      <c r="W36" s="38">
        <v>0.3409099522196723</v>
      </c>
      <c r="X36" s="37">
        <v>0.47209379707482518</v>
      </c>
      <c r="Y36" s="38">
        <v>0.34493772387018468</v>
      </c>
      <c r="Z36" s="37">
        <v>0.47210699803429629</v>
      </c>
      <c r="AA36" s="38">
        <v>0.34955467931001982</v>
      </c>
      <c r="AB36" s="37">
        <v>0.47212012713768503</v>
      </c>
      <c r="AC36" s="38">
        <v>0.35491302123380863</v>
      </c>
      <c r="AD36" s="37">
        <v>0.47213289535128478</v>
      </c>
      <c r="AE36" s="38">
        <v>0.36122251525120508</v>
      </c>
      <c r="AF36" s="37">
        <v>0.47214475411680634</v>
      </c>
      <c r="AG36" s="38">
        <v>0.3687776871917714</v>
      </c>
      <c r="AH36" s="37">
        <v>0.47215469805642518</v>
      </c>
      <c r="AI36" s="38">
        <v>0.37799630411291574</v>
      </c>
      <c r="AJ36" s="37">
        <v>0.47216097896264425</v>
      </c>
      <c r="AK36" s="38">
        <v>0.38946210387765806</v>
      </c>
      <c r="AL36" s="37">
        <v>0.4721608937276367</v>
      </c>
      <c r="AM36" s="38">
        <v>0.40392329041482805</v>
      </c>
      <c r="AN36" s="37">
        <v>0.47215137814380415</v>
      </c>
      <c r="AO36" s="38">
        <v>0.42207755691314236</v>
      </c>
      <c r="AP36" s="37">
        <v>0.47214818788108703</v>
      </c>
      <c r="AQ36" s="38">
        <v>0.42617193502417738</v>
      </c>
      <c r="AR36" s="37">
        <v>0.47214458483354393</v>
      </c>
      <c r="AS36" s="38">
        <v>0.43041062267612634</v>
      </c>
      <c r="AT36" s="37">
        <v>0.47214059622270893</v>
      </c>
      <c r="AU36" s="38">
        <v>0.4347834084535403</v>
      </c>
      <c r="AV36" s="37">
        <v>0.47213625971828582</v>
      </c>
      <c r="AW36" s="38">
        <v>0.4392769743150628</v>
      </c>
    </row>
    <row r="37" spans="1:49 16319:16321" x14ac:dyDescent="0.2">
      <c r="B37" s="39">
        <v>2.1403217525954241E-2</v>
      </c>
      <c r="C37" s="40">
        <v>0.34962461301992537</v>
      </c>
      <c r="D37" s="39">
        <v>2.0551941518411932E-2</v>
      </c>
      <c r="E37" s="40">
        <v>0.34540057625894977</v>
      </c>
      <c r="F37" s="39">
        <v>1.9690767175188983E-2</v>
      </c>
      <c r="G37" s="40">
        <v>0.34104021564344056</v>
      </c>
      <c r="H37" s="39">
        <v>1.8819431584146253E-2</v>
      </c>
      <c r="I37" s="40">
        <v>0.33653320231590439</v>
      </c>
      <c r="J37" s="39">
        <v>1.7937662982038E-2</v>
      </c>
      <c r="K37" s="40">
        <v>0.33186787909642534</v>
      </c>
      <c r="L37" s="39">
        <v>1.704519156668596E-2</v>
      </c>
      <c r="M37" s="40">
        <v>0.32703106599795689</v>
      </c>
      <c r="N37" s="39">
        <v>1.6141740936980228E-2</v>
      </c>
      <c r="O37" s="40">
        <v>0.32200769770458887</v>
      </c>
      <c r="P37" s="39">
        <v>1.5227040774712659E-2</v>
      </c>
      <c r="Q37" s="40">
        <v>0.31678048779639351</v>
      </c>
      <c r="R37" s="39">
        <v>1.4300831643846757E-2</v>
      </c>
      <c r="S37" s="40">
        <v>0.31132943520655465</v>
      </c>
      <c r="T37" s="39">
        <v>1.3362880569184271E-2</v>
      </c>
      <c r="U37" s="40">
        <v>0.30563123389195856</v>
      </c>
      <c r="V37" s="39">
        <v>1.2413004387779014E-2</v>
      </c>
      <c r="W37" s="40">
        <v>0.29965851330048593</v>
      </c>
      <c r="X37" s="39">
        <v>1.145111460112024E-2</v>
      </c>
      <c r="Y37" s="40">
        <v>0.29337891342137418</v>
      </c>
      <c r="Z37" s="39">
        <v>1.0477301580438605E-2</v>
      </c>
      <c r="AA37" s="40">
        <v>0.28675400596774248</v>
      </c>
      <c r="AB37" s="39">
        <v>9.4919886712684746E-3</v>
      </c>
      <c r="AC37" s="40">
        <v>0.2797381431798272</v>
      </c>
      <c r="AD37" s="39">
        <v>8.4962451004972923E-3</v>
      </c>
      <c r="AE37" s="40">
        <v>0.27227775714236707</v>
      </c>
      <c r="AF37" s="39">
        <v>7.4924224942377153E-3</v>
      </c>
      <c r="AG37" s="40">
        <v>0.26431247345974218</v>
      </c>
      <c r="AH37" s="39">
        <v>6.4854886278316905E-3</v>
      </c>
      <c r="AI37" s="40">
        <v>0.25578203626910717</v>
      </c>
      <c r="AJ37" s="39">
        <v>5.4858202878671916E-3</v>
      </c>
      <c r="AK37" s="40">
        <v>0.2466497109933668</v>
      </c>
      <c r="AL37" s="39">
        <v>4.5146001618263177E-3</v>
      </c>
      <c r="AM37" s="40">
        <v>0.23696651638630156</v>
      </c>
      <c r="AN37" s="39">
        <v>3.6114030220951426E-3</v>
      </c>
      <c r="AO37" s="40">
        <v>0.22700816746409958</v>
      </c>
      <c r="AP37" s="39">
        <v>3.4438953197231093E-3</v>
      </c>
      <c r="AQ37" s="40">
        <v>0.2250339560495454</v>
      </c>
      <c r="AR37" s="39">
        <v>3.2819531360483651E-3</v>
      </c>
      <c r="AS37" s="40">
        <v>0.22308094455849789</v>
      </c>
      <c r="AT37" s="39">
        <v>3.1260596300480277E-3</v>
      </c>
      <c r="AU37" s="40">
        <v>0.2211566558111222</v>
      </c>
      <c r="AV37" s="39">
        <v>2.9766514179182012E-3</v>
      </c>
      <c r="AW37" s="40">
        <v>0.21926872178798668</v>
      </c>
    </row>
    <row r="38" spans="1:49 16319:16321" x14ac:dyDescent="0.2">
      <c r="A38" t="s">
        <v>22</v>
      </c>
      <c r="B38" s="37">
        <v>0.18079094942242827</v>
      </c>
      <c r="C38" s="38">
        <v>6.0565413429233668E-2</v>
      </c>
      <c r="D38" s="37">
        <v>0.18108526399793096</v>
      </c>
      <c r="E38" s="38">
        <v>6.1101592893895967E-2</v>
      </c>
      <c r="F38" s="37">
        <v>0.1813961590862096</v>
      </c>
      <c r="G38" s="38">
        <v>6.1679391524537289E-2</v>
      </c>
      <c r="H38" s="37">
        <v>0.18172521770360311</v>
      </c>
      <c r="I38" s="38">
        <v>6.2304350401427351E-2</v>
      </c>
      <c r="J38" s="37">
        <v>0.18207425222997162</v>
      </c>
      <c r="K38" s="38">
        <v>6.2983060216938613E-2</v>
      </c>
      <c r="L38" s="37">
        <v>0.18244534930331771</v>
      </c>
      <c r="M38" s="38">
        <v>6.3723525124352448E-2</v>
      </c>
      <c r="N38" s="37">
        <v>0.1828409266306483</v>
      </c>
      <c r="O38" s="38">
        <v>6.4535437462640469E-2</v>
      </c>
      <c r="P38" s="37">
        <v>0.18326380329250064</v>
      </c>
      <c r="Q38" s="38">
        <v>6.5430766493917256E-2</v>
      </c>
      <c r="R38" s="37">
        <v>0.18371728883633667</v>
      </c>
      <c r="S38" s="38">
        <v>6.642443313073132E-2</v>
      </c>
      <c r="T38" s="37">
        <v>0.18420529560513865</v>
      </c>
      <c r="U38" s="38">
        <v>6.7535327389340816E-2</v>
      </c>
      <c r="V38" s="37">
        <v>0.18473247939839482</v>
      </c>
      <c r="W38" s="38">
        <v>6.878771362624217E-2</v>
      </c>
      <c r="X38" s="37">
        <v>0.1853044149540177</v>
      </c>
      <c r="Y38" s="38">
        <v>7.0213300207078042E-2</v>
      </c>
      <c r="Z38" s="37">
        <v>0.18592779641176568</v>
      </c>
      <c r="AA38" s="38">
        <v>7.1854456093664476E-2</v>
      </c>
      <c r="AB38" s="37">
        <v>0.18661065407782654</v>
      </c>
      <c r="AC38" s="38">
        <v>7.3768828428995639E-2</v>
      </c>
      <c r="AD38" s="37">
        <v>0.18736248939441388</v>
      </c>
      <c r="AE38" s="38">
        <v>7.6036746086394436E-2</v>
      </c>
      <c r="AF38" s="37">
        <v>0.1881940880105151</v>
      </c>
      <c r="AG38" s="38">
        <v>7.8772571085712478E-2</v>
      </c>
      <c r="AH38" s="37">
        <v>0.18911631040715443</v>
      </c>
      <c r="AI38" s="38">
        <v>8.2141354504114555E-2</v>
      </c>
      <c r="AJ38" s="37">
        <v>0.19013603126042475</v>
      </c>
      <c r="AK38" s="38">
        <v>8.6379549351944862E-2</v>
      </c>
      <c r="AL38" s="37">
        <v>0.19124519431984568</v>
      </c>
      <c r="AM38" s="38">
        <v>9.1802937091074344E-2</v>
      </c>
      <c r="AN38" s="37">
        <v>0.19239832162806866</v>
      </c>
      <c r="AO38" s="38">
        <v>9.873689539111434E-2</v>
      </c>
      <c r="AP38" s="37">
        <v>0.19262600593996068</v>
      </c>
      <c r="AQ38" s="38">
        <v>0.10032021093005777</v>
      </c>
      <c r="AR38" s="37">
        <v>0.19285026203530084</v>
      </c>
      <c r="AS38" s="38">
        <v>0.10196690874143712</v>
      </c>
      <c r="AT38" s="37">
        <v>0.19306992257547939</v>
      </c>
      <c r="AU38" s="38">
        <v>0.10367381291457567</v>
      </c>
      <c r="AV38" s="37">
        <v>0.19328382516192724</v>
      </c>
      <c r="AW38" s="38">
        <v>0.10543644913631714</v>
      </c>
    </row>
    <row r="39" spans="1:49 16319:16321" x14ac:dyDescent="0.2">
      <c r="A39" t="s">
        <v>23</v>
      </c>
      <c r="B39" s="39">
        <v>0.23064923795098236</v>
      </c>
      <c r="C39" s="40">
        <v>0.22092201281804777</v>
      </c>
      <c r="D39" s="39">
        <v>0.23108275871893649</v>
      </c>
      <c r="E39" s="40">
        <v>0.22290584598062588</v>
      </c>
      <c r="F39" s="39">
        <v>0.23154110385417409</v>
      </c>
      <c r="G39" s="40">
        <v>0.22504367072622364</v>
      </c>
      <c r="H39" s="39">
        <v>0.23202723750759294</v>
      </c>
      <c r="I39" s="40">
        <v>0.22735624251641562</v>
      </c>
      <c r="J39" s="39">
        <v>0.23254466410882127</v>
      </c>
      <c r="K39" s="40">
        <v>0.22986845308555043</v>
      </c>
      <c r="L39" s="39">
        <v>0.23309755556468353</v>
      </c>
      <c r="M39" s="40">
        <v>0.23261026043608704</v>
      </c>
      <c r="N39" s="39">
        <v>0.23369094006907665</v>
      </c>
      <c r="O39" s="40">
        <v>0.23561833827618847</v>
      </c>
      <c r="P39" s="39">
        <v>0.23433093693016929</v>
      </c>
      <c r="Q39" s="40">
        <v>0.23893791490085661</v>
      </c>
      <c r="R39" s="39">
        <v>0.23502509050325876</v>
      </c>
      <c r="S39" s="40">
        <v>0.24262558073634516</v>
      </c>
      <c r="T39" s="39">
        <v>0.23578283001966782</v>
      </c>
      <c r="U39" s="40">
        <v>0.24675312161005694</v>
      </c>
      <c r="V39" s="39">
        <v>0.23661612695654724</v>
      </c>
      <c r="W39" s="40">
        <v>0.25141313301919233</v>
      </c>
      <c r="X39" s="39">
        <v>0.23754044349805803</v>
      </c>
      <c r="Y39" s="40">
        <v>0.25672724460266538</v>
      </c>
      <c r="Z39" s="39">
        <v>0.23857613888950269</v>
      </c>
      <c r="AA39" s="40">
        <v>0.26285828346206841</v>
      </c>
      <c r="AB39" s="39">
        <v>0.23975058379579361</v>
      </c>
      <c r="AC39" s="40">
        <v>0.270029411639089</v>
      </c>
      <c r="AD39" s="39">
        <v>0.24110137649436911</v>
      </c>
      <c r="AE39" s="40">
        <v>0.27855354420540512</v>
      </c>
      <c r="AF39" s="39">
        <v>0.24268119362058488</v>
      </c>
      <c r="AG39" s="40">
        <v>0.28887952508439657</v>
      </c>
      <c r="AH39" s="39">
        <v>0.24456468342247459</v>
      </c>
      <c r="AI39" s="40">
        <v>0.30166221185847453</v>
      </c>
      <c r="AJ39" s="39">
        <v>0.24685617517852287</v>
      </c>
      <c r="AK39" s="40">
        <v>0.31785372299186188</v>
      </c>
      <c r="AL39" s="39">
        <v>0.24968952000488409</v>
      </c>
      <c r="AM39" s="40">
        <v>0.33875693621883812</v>
      </c>
      <c r="AN39" s="39">
        <v>0.25318942048077864</v>
      </c>
      <c r="AO39" s="40">
        <v>0.36578694779039128</v>
      </c>
      <c r="AP39" s="39">
        <v>0.25397292510243702</v>
      </c>
      <c r="AQ39" s="40">
        <v>0.37200716215689167</v>
      </c>
      <c r="AR39" s="39">
        <v>0.25478238294815214</v>
      </c>
      <c r="AS39" s="40">
        <v>0.37849532776680761</v>
      </c>
      <c r="AT39" s="39">
        <v>0.25561591968646519</v>
      </c>
      <c r="AU39" s="40">
        <v>0.38524090743583445</v>
      </c>
      <c r="AV39" s="39">
        <v>0.25647109255290235</v>
      </c>
      <c r="AW39" s="40">
        <v>0.3922282327110827</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0.11184298767447384</v>
      </c>
      <c r="E42" s="135"/>
      <c r="F42" s="177">
        <f>10.8%+(1-10.8%)*(1-SUM(F26:G26)/SUM($B$26:$C$26))</f>
        <v>0.11608844988324786</v>
      </c>
      <c r="G42" s="135"/>
      <c r="H42" s="177">
        <f>10.8%+(1-10.8%)*(1-SUM(H26:I26)/SUM($B$26:$C$26))</f>
        <v>0.12080250175908978</v>
      </c>
      <c r="I42" s="135"/>
      <c r="J42" s="177">
        <f>10.8%+(1-10.8%)*(1-SUM(J26:K26)/SUM($B$26:$C$26))</f>
        <v>0.12606680402457379</v>
      </c>
      <c r="K42" s="135"/>
      <c r="L42" s="177">
        <f>10.8%+(1-10.8%)*(1-SUM(L26:M26)/SUM($B$26:$C$26))</f>
        <v>0.13198326381141082</v>
      </c>
      <c r="M42" s="135"/>
      <c r="N42" s="177">
        <f>10.8%+(1-10.8%)*(1-SUM(N26:O26)/SUM($B$26:$C$26))</f>
        <v>0.13868097679841238</v>
      </c>
      <c r="O42" s="135"/>
      <c r="P42" s="177">
        <f>10.8%+(1-10.8%)*(1-SUM(P26:Q26)/SUM($B$26:$C$26))</f>
        <v>0.14632576384101822</v>
      </c>
      <c r="Q42" s="135"/>
      <c r="R42" s="177">
        <f>10.8%+(1-10.8%)*(1-SUM(R26:S26)/SUM($B$26:$C$26))</f>
        <v>0.15513431265457395</v>
      </c>
      <c r="S42" s="135"/>
      <c r="T42" s="177">
        <f>10.8%+(1-10.8%)*(1-SUM(T26:U26)/SUM($B$26:$C$26))</f>
        <v>0.16539519736427491</v>
      </c>
      <c r="U42" s="135"/>
      <c r="V42" s="177">
        <f>10.8%+(1-10.8%)*(1-SUM(V26:W26)/SUM($B$26:$C$26))</f>
        <v>0.17750120188039753</v>
      </c>
      <c r="W42" s="135"/>
      <c r="X42" s="177">
        <f>10.8%+(1-10.8%)*(1-SUM(X26:Y26)/SUM($B$26:$C$26))</f>
        <v>0.19200041920263991</v>
      </c>
      <c r="Y42" s="162"/>
      <c r="Z42" s="177">
        <f>10.8%+(1-10.8%)*(1-SUM(Z26:AA26)/SUM($B$26:$C$26))</f>
        <v>0.20967997782200321</v>
      </c>
      <c r="AA42" s="135"/>
      <c r="AB42" s="177">
        <f>10.8%+(1-10.8%)*(1-SUM(AB26:AC26)/SUM($B$26:$C$26))</f>
        <v>0.23170845283149044</v>
      </c>
      <c r="AC42" s="135"/>
      <c r="AD42" s="177">
        <f>10.8%+(1-10.8%)*(1-SUM(AD26:AE26)/SUM($B$26:$C$26))</f>
        <v>0.25988828976573775</v>
      </c>
      <c r="AE42" s="135"/>
      <c r="AF42" s="177">
        <f>10.8%+(1-10.8%)*(1-SUM(AF26:AG26)/SUM($B$26:$C$26))</f>
        <v>0.29712280575126959</v>
      </c>
      <c r="AG42" s="135"/>
      <c r="AH42" s="177">
        <f>10.8%+(1-10.8%)*(1-SUM(AH26:AI26)/SUM($B$26:$C$26))</f>
        <v>0.34831437534428789</v>
      </c>
      <c r="AI42" s="135"/>
      <c r="AJ42" s="177">
        <f>10.8%+(1-10.8%)*(1-SUM(AJ26:AK26)/SUM($B$26:$C$26))</f>
        <v>0.42212670053893364</v>
      </c>
      <c r="AK42" s="135"/>
      <c r="AL42" s="177">
        <f>10.8%+(1-10.8%)*(1-SUM(AL26:AM26)/SUM($B$26:$C$26))</f>
        <v>0.53431208281209086</v>
      </c>
      <c r="AM42" s="135"/>
      <c r="AN42" s="177">
        <f>10.8%+(1-10.8%)*(1-SUM(AN26:AO26)/SUM($B$26:$C$26))</f>
        <v>0.71277229294811939</v>
      </c>
      <c r="AO42" s="135"/>
      <c r="AP42" s="177">
        <f>10.8%+(1-10.8%)*(1-SUM(AP26:AQ26)/SUM($B$26:$C$26))</f>
        <v>0.75996393492784897</v>
      </c>
      <c r="AQ42" s="135"/>
      <c r="AR42" s="177">
        <f>10.8%+(1-10.8%)*(1-SUM(AR26:AS26)/SUM($B$26:$C$26))</f>
        <v>0.81188889416477006</v>
      </c>
      <c r="AS42" s="135"/>
      <c r="AT42" s="177">
        <f>10.8%+(1-10.8%)*(1-SUM(AT26:AU26)/SUM($B$26:$C$26))</f>
        <v>0.86894708443600766</v>
      </c>
      <c r="AU42" s="135"/>
      <c r="AV42" s="177">
        <f>10.8%+(1-10.8%)*(1-SUM(AV26:AW26)/SUM($B$26:$C$26))</f>
        <v>0.93152818696295037</v>
      </c>
    </row>
    <row r="43" spans="1:49 16319:16321" x14ac:dyDescent="0.2">
      <c r="A43" t="s">
        <v>108</v>
      </c>
      <c r="B43" s="162">
        <f>SUM(B15:C15*B27:C27)/SUM(B15:C15*B27:C27,B13:C13*B26:C26)</f>
        <v>0.56058995943838641</v>
      </c>
      <c r="C43" s="135"/>
      <c r="D43" s="162">
        <f t="array" ref="D43">SUM(D15:E15*D27:E27)/SUM(D15:E15*D27:E27,D13:E13*D26:E26)</f>
        <v>0.566731673669291</v>
      </c>
      <c r="E43" s="135"/>
      <c r="F43" s="162">
        <f t="array" ref="F43">SUM(F15:G15*F27:G27)/SUM(F15:G15*F27:G27,F13:G13*F26:G26)</f>
        <v>0.5662525193484037</v>
      </c>
      <c r="G43" s="135"/>
      <c r="H43" s="162">
        <f t="array" ref="H43">SUM(H15:I15*H27:I27)/SUM(H15:I15*H27:I27,H13:I13*H26:I26)</f>
        <v>0.56576071868475986</v>
      </c>
      <c r="I43" s="135"/>
      <c r="J43" s="162">
        <f t="array" ref="J43">SUM(J15:K15*J27:K27)/SUM(J15:K15*J27:K27,J13:K13*J26:K26)</f>
        <v>0.56525333951088241</v>
      </c>
      <c r="K43" s="135"/>
      <c r="L43" s="162">
        <f t="array" ref="L43">SUM(L15:M15*L27:M27)/SUM(L15:M15*L27:M27,L13:M13*L26:M26)</f>
        <v>0.56472667420232681</v>
      </c>
      <c r="M43" s="135"/>
      <c r="N43" s="162">
        <f t="array" ref="N43">SUM(N15:O15*N27:O27)/SUM(N15:O15*N27:O27,N13:O13*N26:O26)</f>
        <v>0.56417602129385147</v>
      </c>
      <c r="O43" s="135"/>
      <c r="P43" s="162">
        <f t="array" ref="P43">SUM(P15:Q15*P27:Q27)/SUM(P15:Q15*P27:Q27,P13:Q13*P26:Q26)</f>
        <v>0.56359532543502799</v>
      </c>
      <c r="Q43" s="135"/>
      <c r="R43" s="162">
        <f t="array" ref="R43">SUM(R15:S15*R27:S27)/SUM(R15:S15*R27:S27,R13:S13*R26:S26)</f>
        <v>0.5629766992634434</v>
      </c>
      <c r="S43" s="135"/>
      <c r="T43" s="162">
        <f t="array" ref="T43">SUM(T15:U15*T27:U27)/SUM(T15:U15*T27:U27,T13:U13*T26:U26)</f>
        <v>0.56230971314471512</v>
      </c>
      <c r="U43" s="135"/>
      <c r="V43" s="162">
        <f t="array" ref="V43">SUM(V15:W15*V27:W27)/SUM(V15:W15*V27:W27,V13:W13*V26:W26)</f>
        <v>0.56158035550094909</v>
      </c>
      <c r="W43" s="135"/>
      <c r="X43" s="162">
        <f t="array" ref="X43">SUM(X15:Y15*X27:Y27)/SUM(X15:Y15*X27:Y27,X13:Y13*X26:Y26)</f>
        <v>0.56076944648117655</v>
      </c>
      <c r="Y43" s="135"/>
      <c r="Z43" s="162">
        <f t="array" ref="Z43">SUM(Z15:AA15*Z27:AA27)/SUM(Z15:AA15*Z27:AA27,Z13:AA13*Z26:AA26)</f>
        <v>0.55985015852087672</v>
      </c>
      <c r="AA43" s="135"/>
      <c r="AB43" s="162">
        <f t="array" ref="AB43">SUM(AB15:AC15*AB27:AC27)/SUM(AB15:AC15*AB27:AC27,AB13:AC13*AB26:AC26)</f>
        <v>0.55878410135739098</v>
      </c>
      <c r="AC43" s="135"/>
      <c r="AD43" s="162">
        <f t="array" ref="AD43">SUM(AD15:AE15*AD27:AE27)/SUM(AD15:AE15*AD27:AE27,AD13:AE13*AD26:AE26)</f>
        <v>0.55751489677062527</v>
      </c>
      <c r="AE43" s="135"/>
      <c r="AF43" s="162">
        <f t="array" ref="AF43">SUM(AF15:AG15*AF27:AG27)/SUM(AF15:AG15*AF27:AG27,AF13:AG13*AF26:AG26)</f>
        <v>0.5559575749820258</v>
      </c>
      <c r="AG43" s="135"/>
      <c r="AH43" s="162">
        <f t="array" ref="AH43">SUM(AH15:AI15*AH27:AI27)/SUM(AH15:AI15*AH27:AI27,AH13:AI13*AH26:AI26)</f>
        <v>0.55398128159548965</v>
      </c>
      <c r="AI43" s="135"/>
      <c r="AJ43" s="162">
        <f t="array" ref="AJ43">SUM(AJ15:AK15*AJ27:AK27)/SUM(AJ15:AK15*AJ27:AK27,AJ13:AK13*AJ26:AK26)</f>
        <v>0.55138351555293574</v>
      </c>
      <c r="AK43" s="135"/>
      <c r="AL43" s="162">
        <f t="array" ref="AL43">SUM(AL15:AM15*AL27:AM27)/SUM(AL15:AM15*AL27:AM27,AL13:AM13*AL26:AM26)</f>
        <v>0.54786462825619586</v>
      </c>
      <c r="AM43" s="135"/>
      <c r="AN43" s="162">
        <f t="array" ref="AN43">SUM(AN15:AO15*AN27:AO27)/SUM(AN15:AO15*AN27:AO27,AN13:AO13*AN26:AO26)</f>
        <v>0.54305639890662105</v>
      </c>
      <c r="AO43" s="135"/>
      <c r="AP43" s="162">
        <f t="array" ref="AP43">SUM(AP15:AQ15*AP27:AQ27)/SUM(AP15:AQ15*AP27:AQ27,AP13:AQ13*AP26:AQ26)</f>
        <v>0.54191347801569967</v>
      </c>
      <c r="AQ43" s="135"/>
      <c r="AR43" s="162">
        <f t="array" ref="AR43">SUM(AR15:AS15*AR27:AS27)/SUM(AR15:AS15*AR27:AS27,AR13:AS13*AR26:AS26)</f>
        <v>0.54070845352153596</v>
      </c>
      <c r="AS43" s="135"/>
      <c r="AT43" s="162">
        <f t="array" ref="AT43">SUM(AT15:AU15*AT27:AU27)/SUM(AT15:AU15*AT27:AU27,AT13:AU13*AT26:AU26)</f>
        <v>0.53944260025216262</v>
      </c>
      <c r="AU43" s="135"/>
      <c r="AV43" s="162">
        <f t="array" ref="AV43">SUM(AV15:AW15*AV27:AW27)/SUM(AV15:AW15*AV27:AW27,AV13:AW13*AV26:AW26)</f>
        <v>0.53811842010909872</v>
      </c>
    </row>
    <row r="44" spans="1:49 16319:16321" x14ac:dyDescent="0.2">
      <c r="A44" t="s">
        <v>142</v>
      </c>
      <c r="B44" s="193">
        <f>(SUM(B11:C11*B24:C24)+B34)/B32</f>
        <v>0.29754226190682465</v>
      </c>
      <c r="D44" s="193">
        <f>(SUM(D11:E11*D24:E24)+D34)/D32</f>
        <v>0.29886252430645299</v>
      </c>
      <c r="F44" s="193">
        <f>(SUM(F11:G11*F24:G24)+F34)/F32</f>
        <v>0.30019460043669544</v>
      </c>
      <c r="H44" s="193">
        <f>(SUM(H11:I11*H24:I24)+H34)/H32</f>
        <v>0.30154035868919515</v>
      </c>
      <c r="J44" s="193">
        <f>(SUM(J11:K11*J24:K24)+J34)/J32</f>
        <v>0.30290198894189735</v>
      </c>
      <c r="L44" s="193">
        <f>(SUM(L11:M11*L24:M24)+L34)/L32</f>
        <v>0.30428212643767905</v>
      </c>
      <c r="N44" s="193">
        <f>(SUM(N11:O11*N24:O24)+N34)/N32</f>
        <v>0.30568392255069465</v>
      </c>
      <c r="P44" s="193">
        <f>(SUM(P11:Q11*P24:Q24)+P34)/P32</f>
        <v>0.30711123442643495</v>
      </c>
      <c r="R44" s="193">
        <f>(SUM(R11:S11*R24:S24)+R34)/R32</f>
        <v>0.30856883296587989</v>
      </c>
      <c r="T44" s="193">
        <f>(SUM(T11:U11*T24:U24)+T34)/T32</f>
        <v>0.31006272198459367</v>
      </c>
      <c r="V44" s="193">
        <f>(SUM(V11:W11*V24:W24)+V34)/V32</f>
        <v>0.31160059553162056</v>
      </c>
      <c r="X44" s="193">
        <f>(SUM(X11:Y11*X24:Y24)+X34)/X32</f>
        <v>0.31319253193926611</v>
      </c>
      <c r="Z44" s="193">
        <f>(SUM(Z11:AA11*Z24:AA24)+Z34)/Z32</f>
        <v>0.31485201097675602</v>
      </c>
      <c r="AB44" s="193">
        <f>(SUM(AB11:AC11*AB24:AC24)+AB34)/AB32</f>
        <v>0.31659755302546772</v>
      </c>
      <c r="AD44" s="193">
        <f>(SUM(AD11:AE11*AD24:AE24)+AD34)/AD32</f>
        <v>0.31845524049501872</v>
      </c>
      <c r="AF44" s="193">
        <f>(SUM(AF11:AG11*AF24:AG24)+AF34)/AF32</f>
        <v>0.32046267297940917</v>
      </c>
      <c r="AH44" s="193">
        <f>(SUM(AH11:AI11*AH24:AI24)+AH34)/AH32</f>
        <v>0.32267475543609037</v>
      </c>
      <c r="AJ44" s="193">
        <f>(SUM(AJ11:AK11*AJ24:AK24)+AJ34)/AJ32</f>
        <v>0.32517024363440011</v>
      </c>
      <c r="AL44" s="193">
        <f>(SUM(AL11:AM11*AL24:AM24)+AL34)/AL32</f>
        <v>0.32805091289659627</v>
      </c>
      <c r="AN44" s="193">
        <f>(SUM(AN11:AO11*AN24:AO24)+AN34)/AN32</f>
        <v>0.33140440951799061</v>
      </c>
      <c r="AP44" s="193">
        <f>(SUM(AP11:AQ11*AP24:AQ24)+AP34)/AP32</f>
        <v>0.33213221220319084</v>
      </c>
      <c r="AR44" s="193">
        <f>(SUM(AR11:AS11*AR24:AS24)+AR34)/AR32</f>
        <v>0.33287664939815786</v>
      </c>
      <c r="AT44" s="193">
        <f>(SUM(AT11:AU11*AT24:AU24)+AT34)/AT32</f>
        <v>0.33363573481213055</v>
      </c>
      <c r="AV44" s="193">
        <f>(SUM(AV11:AW11*AV24:AW24)+AV34)/AV32</f>
        <v>0.33440699460848994</v>
      </c>
    </row>
    <row r="45" spans="1:49 16319:16321" x14ac:dyDescent="0.2">
      <c r="A45" t="s">
        <v>82</v>
      </c>
      <c r="B45" s="193">
        <f>SUM(B11:C11*B24:C24)/B32</f>
        <v>0.22038438833194082</v>
      </c>
      <c r="D45" s="193">
        <f>SUM(D11:E11*D24:E24)/D32</f>
        <v>0.22170465330140937</v>
      </c>
      <c r="F45" s="193">
        <f>SUM(F11:G11*F24:G24)/F32</f>
        <v>0.22303672939136623</v>
      </c>
      <c r="H45" s="193">
        <f>SUM(H11:I11*H24:I24)/H32</f>
        <v>0.2243824851704469</v>
      </c>
      <c r="J45" s="193">
        <f>SUM(J11:K11*J24:K24)/J32</f>
        <v>0.22574411677631975</v>
      </c>
      <c r="L45" s="193">
        <f>SUM(L11:M11*L24:M24)/L32</f>
        <v>0.22712425293294425</v>
      </c>
      <c r="N45" s="193">
        <f>SUM(N11:O11*N24:O24)/N32</f>
        <v>0.22852604906391072</v>
      </c>
      <c r="P45" s="193">
        <f>SUM(P11:Q11*P24:Q24)/P32</f>
        <v>0.22995336092274155</v>
      </c>
      <c r="R45" s="193">
        <f>SUM(R11:S11*R24:S24)/R32</f>
        <v>0.23141095982524937</v>
      </c>
      <c r="T45" s="193">
        <f>SUM(T11:U11*T24:U24)/T32</f>
        <v>0.23290484842610978</v>
      </c>
      <c r="V45" s="193">
        <f>SUM(V11:W11*V24:W24)/V32</f>
        <v>0.23444272199027477</v>
      </c>
      <c r="X45" s="193">
        <f>SUM(X11:Y11*X24:Y24)/X32</f>
        <v>0.23603465832474371</v>
      </c>
      <c r="Z45" s="193">
        <f>SUM(Z11:AA11*Z24:AA24)/Z32</f>
        <v>0.23769413739521869</v>
      </c>
      <c r="AB45" s="193">
        <f>SUM(AB11:AC11*AB24:AC24)/AB32</f>
        <v>0.23943967948707331</v>
      </c>
      <c r="AD45" s="193">
        <f>SUM(AD11:AE11*AD24:AE24)/AD32</f>
        <v>0.24129736690924833</v>
      </c>
      <c r="AF45" s="193">
        <f>SUM(AF11:AG11*AF24:AG24)/AF32</f>
        <v>0.2433047993109031</v>
      </c>
      <c r="AH45" s="193">
        <f>SUM(AH11:AI11*AH24:AI24)/AH32</f>
        <v>0.24551688182353451</v>
      </c>
      <c r="AJ45" s="193">
        <f>SUM(AJ11:AK11*AJ24:AK24)/AJ32</f>
        <v>0.24801237008381902</v>
      </c>
      <c r="AL45" s="193">
        <f>SUM(AL11:AM11*AL24:AM24)/AL32</f>
        <v>0.25089303929551926</v>
      </c>
      <c r="AN45" s="193">
        <f>SUM(AN11:AO11*AN24:AO24)/AN32</f>
        <v>0.25424653587096369</v>
      </c>
      <c r="AP45" s="193">
        <f>SUM(AP11:AQ11*AP24:AQ24)/AP32</f>
        <v>0.25497433853576007</v>
      </c>
      <c r="AR45" s="193">
        <f>SUM(AR11:AS11*AR24:AS24)/AR32</f>
        <v>0.25571877602300463</v>
      </c>
      <c r="AT45" s="193">
        <f>SUM(AT11:AU11*AT24:AU24)/AT32</f>
        <v>0.25647786138414935</v>
      </c>
      <c r="AV45" s="193">
        <f>SUM(AV11:AW11*AV24:AW24)/AV32</f>
        <v>0.25724912074331563</v>
      </c>
      <c r="XCQ45" s="193"/>
    </row>
    <row r="46" spans="1:49 16319:16321" x14ac:dyDescent="0.2">
      <c r="A46" t="s">
        <v>139</v>
      </c>
      <c r="B46" s="193">
        <f>B34/B32</f>
        <v>7.7157873574883795E-2</v>
      </c>
      <c r="D46" s="193">
        <f>D34/D32</f>
        <v>7.7157871005043635E-2</v>
      </c>
      <c r="F46" s="193">
        <f>F34/F32</f>
        <v>7.7157871045329202E-2</v>
      </c>
      <c r="H46" s="193">
        <f>H34/H32</f>
        <v>7.7157873518748268E-2</v>
      </c>
      <c r="J46" s="193">
        <f>J34/J32</f>
        <v>7.715787216557761E-2</v>
      </c>
      <c r="L46" s="193">
        <f>L34/L32</f>
        <v>7.7157873504734839E-2</v>
      </c>
      <c r="N46" s="193">
        <f>N34/N32</f>
        <v>7.7157873486783907E-2</v>
      </c>
      <c r="P46" s="193">
        <f>P34/P32</f>
        <v>7.7157873503693367E-2</v>
      </c>
      <c r="R46" s="193">
        <f>R34/R32</f>
        <v>7.7157873140630523E-2</v>
      </c>
      <c r="T46" s="193">
        <f>T34/T32</f>
        <v>7.7157873558483858E-2</v>
      </c>
      <c r="V46" s="193">
        <f>V34/V32</f>
        <v>7.7157873541345831E-2</v>
      </c>
      <c r="X46" s="193">
        <f>X34/X32</f>
        <v>7.7157873614522365E-2</v>
      </c>
      <c r="Z46" s="193">
        <f>Z34/Z32</f>
        <v>7.7157873581537348E-2</v>
      </c>
      <c r="AB46" s="193">
        <f>AB34/AB32</f>
        <v>7.7157873538394386E-2</v>
      </c>
      <c r="AD46" s="193">
        <f>AD34/AD32</f>
        <v>7.7157873585770392E-2</v>
      </c>
      <c r="AF46" s="193">
        <f>AF34/AF32</f>
        <v>7.7157873668506058E-2</v>
      </c>
      <c r="AH46" s="193">
        <f>AH34/AH32</f>
        <v>7.7157873612555869E-2</v>
      </c>
      <c r="AJ46" s="193">
        <f>AJ34/AJ32</f>
        <v>7.7157873550581138E-2</v>
      </c>
      <c r="AL46" s="193">
        <f>AL34/AL32</f>
        <v>7.7157873601076982E-2</v>
      </c>
      <c r="AN46" s="193">
        <f>AN34/AN32</f>
        <v>7.7157873647026975E-2</v>
      </c>
      <c r="AP46" s="193">
        <f>AP34/AP32</f>
        <v>7.7157873667430751E-2</v>
      </c>
      <c r="AR46" s="193">
        <f>AR34/AR32</f>
        <v>7.715787337515323E-2</v>
      </c>
      <c r="AT46" s="193">
        <f>AT34/AT32</f>
        <v>7.7157873427981166E-2</v>
      </c>
      <c r="AV46" s="193">
        <f>AV34/AV32</f>
        <v>7.7157873865174295E-2</v>
      </c>
      <c r="XCS46" s="193"/>
    </row>
    <row r="48" spans="1:49 16319:16321" x14ac:dyDescent="0.2">
      <c r="A48" t="s">
        <v>159</v>
      </c>
      <c r="B48" s="191">
        <f>B24/$B$24</f>
        <v>1</v>
      </c>
      <c r="C48" s="191"/>
      <c r="D48" s="191">
        <f>D24/$B$24</f>
        <v>1.0020661876495391</v>
      </c>
      <c r="E48" s="191"/>
      <c r="F48" s="191">
        <f>F24/$B$24</f>
        <v>1.0036171437538333</v>
      </c>
      <c r="G48" s="191"/>
      <c r="H48" s="191">
        <f>H24/$B$24</f>
        <v>1.004570968863207</v>
      </c>
      <c r="I48" s="191"/>
      <c r="J48" s="191">
        <f>J24/$B$24</f>
        <v>1.0048266425856756</v>
      </c>
      <c r="K48" s="191"/>
      <c r="L48" s="191">
        <f>L24/$B$24</f>
        <v>1.0042583803488652</v>
      </c>
      <c r="M48" s="191"/>
      <c r="N48" s="191">
        <f>N24/$B$24</f>
        <v>1.0027069984886443</v>
      </c>
      <c r="O48" s="191"/>
      <c r="P48" s="191">
        <f>P24/$B$24</f>
        <v>0.99996832038138028</v>
      </c>
      <c r="Q48" s="191"/>
      <c r="R48" s="191">
        <f>R24/$B$24</f>
        <v>0.99577578738498296</v>
      </c>
      <c r="S48" s="191"/>
      <c r="T48" s="191">
        <f>T24/$B$24</f>
        <v>0.98977463078208328</v>
      </c>
      <c r="U48" s="191"/>
      <c r="V48" s="191">
        <f>V24/$B$24</f>
        <v>0.9814820431172161</v>
      </c>
      <c r="W48" s="191"/>
      <c r="X48" s="191">
        <f>X24/$B$24</f>
        <v>0.97022398374732466</v>
      </c>
      <c r="Y48" s="191"/>
      <c r="Z48" s="191">
        <f>Z24/$B$24</f>
        <v>0.95503105587811465</v>
      </c>
      <c r="AA48" s="191"/>
      <c r="AB48" s="191">
        <f>AB24/$B$24</f>
        <v>0.93446026537492399</v>
      </c>
      <c r="AC48" s="191"/>
      <c r="AD48" s="191">
        <f>AD24/$B$24</f>
        <v>0.90627601216938214</v>
      </c>
      <c r="AE48" s="191"/>
      <c r="AF48" s="191">
        <f>AF24/$B$24</f>
        <v>0.86685232768040321</v>
      </c>
      <c r="AG48" s="191"/>
      <c r="AH48" s="191">
        <f>AH24/$B$24</f>
        <v>0.8100025196323879</v>
      </c>
      <c r="AI48" s="191"/>
      <c r="AJ48" s="191">
        <f>AJ24/$B$24</f>
        <v>0.72462363992096546</v>
      </c>
      <c r="AK48" s="191"/>
      <c r="AL48" s="191">
        <f>AL24/$B$24</f>
        <v>0.59007175329611294</v>
      </c>
      <c r="AM48" s="191"/>
      <c r="AN48" s="191">
        <f>AN24/$B$24</f>
        <v>0.36859195936095718</v>
      </c>
      <c r="AO48" s="191"/>
      <c r="AP48" s="191">
        <f>AP24/$B$24</f>
        <v>0.30890886143569585</v>
      </c>
      <c r="AQ48" s="191"/>
      <c r="AR48" s="191">
        <f>AR24/$B$24</f>
        <v>0.24279814830992769</v>
      </c>
      <c r="AS48" s="191"/>
      <c r="AT48" s="191">
        <f>AT24/$B$24</f>
        <v>0.16966598693959731</v>
      </c>
      <c r="AU48" s="191"/>
      <c r="AV48" s="191">
        <f>AV24/$B$24</f>
        <v>8.8922864466975907E-2</v>
      </c>
    </row>
    <row r="49" spans="1:48 16321:16384" x14ac:dyDescent="0.2">
      <c r="A49" t="s">
        <v>160</v>
      </c>
      <c r="B49" s="191">
        <f>B13/B35/$B$13*$B$35</f>
        <v>1</v>
      </c>
      <c r="C49" s="191"/>
      <c r="D49" s="191">
        <f>D13/D35/$B$13*$B$35</f>
        <v>0.99650964000014663</v>
      </c>
      <c r="E49" s="191"/>
      <c r="F49" s="191">
        <f>F13/F35/$B$13*$B$35</f>
        <v>0.99280391139436419</v>
      </c>
      <c r="G49" s="191"/>
      <c r="H49" s="191">
        <f>H13/H35/$B$13*$B$35</f>
        <v>0.98885993930493166</v>
      </c>
      <c r="I49" s="191"/>
      <c r="J49" s="191">
        <f>J13/J35/$B$13*$B$35</f>
        <v>0.98465095095294819</v>
      </c>
      <c r="K49" s="191"/>
      <c r="L49" s="191">
        <f>L13/L35/$B$13*$B$35</f>
        <v>0.98014536355181969</v>
      </c>
      <c r="M49" s="191"/>
      <c r="N49" s="191">
        <f>N13/N35/$B$13*$B$35</f>
        <v>0.9753055317885273</v>
      </c>
      <c r="O49" s="191"/>
      <c r="P49" s="191">
        <f>P13/P35/$B$13*$B$35</f>
        <v>0.9700861333993156</v>
      </c>
      <c r="Q49" s="191"/>
      <c r="R49" s="191">
        <f>R13/R35/$B$13*$B$35</f>
        <v>0.96443195159260209</v>
      </c>
      <c r="S49" s="191"/>
      <c r="T49" s="191">
        <f>T13/T35/$B$13*$B$35</f>
        <v>0.95827484202665014</v>
      </c>
      <c r="U49" s="191"/>
      <c r="V49" s="191">
        <f>V13/V35/$B$13*$B$35</f>
        <v>0.95152947899868479</v>
      </c>
      <c r="W49" s="191"/>
      <c r="X49" s="191">
        <f>X13/X35/$B$13*$B$35</f>
        <v>0.94408730489012538</v>
      </c>
      <c r="Y49" s="191"/>
      <c r="Z49" s="191">
        <f>Z13/Z35/$B$13*$B$35</f>
        <v>0.93580784066403644</v>
      </c>
      <c r="AA49" s="191"/>
      <c r="AB49" s="191">
        <f>AB13/AB35/$B$13*$B$35</f>
        <v>0.92650589784043491</v>
      </c>
      <c r="AC49" s="191"/>
      <c r="AD49" s="191">
        <f>AD13/AD35/$B$13*$B$35</f>
        <v>0.91593299604059519</v>
      </c>
      <c r="AE49" s="191"/>
      <c r="AF49" s="191">
        <f>AF13/AF35/$B$13*$B$35</f>
        <v>0.90375097113702307</v>
      </c>
      <c r="AG49" s="191"/>
      <c r="AH49" s="191">
        <f>AH13/AH35/$B$13*$B$35</f>
        <v>0.88949853165791404</v>
      </c>
      <c r="AI49" s="191"/>
      <c r="AJ49" s="191">
        <f>AJ13/AJ35/$B$13*$B$35</f>
        <v>0.87256561213377104</v>
      </c>
      <c r="AK49" s="191"/>
      <c r="AL49" s="191">
        <f>AL13/AL35/$B$13*$B$35</f>
        <v>0.85224188718237803</v>
      </c>
      <c r="AM49" s="191"/>
      <c r="AN49" s="191">
        <f>AN13/AN35/$B$13*$B$35</f>
        <v>0.82803233166206713</v>
      </c>
      <c r="AO49" s="191"/>
      <c r="AP49" s="191">
        <f>AP13/AP35/$B$13*$B$35</f>
        <v>0.82274088087363217</v>
      </c>
      <c r="AQ49" s="191"/>
      <c r="AR49" s="191">
        <f>AR13/AR35/$B$13*$B$35</f>
        <v>0.81732110856095874</v>
      </c>
      <c r="AS49" s="191"/>
      <c r="AT49" s="191">
        <f>AT13/AT35/$B$13*$B$35</f>
        <v>0.81178877620932244</v>
      </c>
      <c r="AU49" s="191"/>
      <c r="AV49" s="191">
        <f>AV13/AV35/$B$13*$B$35</f>
        <v>0.8061628399510804</v>
      </c>
    </row>
    <row r="51" spans="1:48 16321:16384" x14ac:dyDescent="0.2">
      <c r="A51" t="s">
        <v>166</v>
      </c>
      <c r="B51" s="29">
        <f>B30-B10*B23</f>
        <v>-405838.32800000021</v>
      </c>
      <c r="D51" s="29">
        <f>D30-D10*D23</f>
        <v>-371298.83894087607</v>
      </c>
      <c r="F51" s="29">
        <f>F30-F10*F23</f>
        <v>-336600.32706301427</v>
      </c>
      <c r="H51" s="29">
        <f>H30-H10*H23</f>
        <v>-301728.02600711398</v>
      </c>
      <c r="J51" s="29">
        <f>J30-J10*J23</f>
        <v>-266666.57244523941</v>
      </c>
      <c r="L51" s="29">
        <f>L30-L10*L23</f>
        <v>-231401.26873417012</v>
      </c>
      <c r="N51" s="29">
        <f>N30-N10*N23</f>
        <v>-195918.04790973291</v>
      </c>
      <c r="P51" s="29">
        <f>P30-P10*P23</f>
        <v>-160205.68831912987</v>
      </c>
      <c r="R51" s="29">
        <f>R30-R10*R23</f>
        <v>-124258.23327189172</v>
      </c>
      <c r="T51" s="29">
        <f>T30-T10*T23</f>
        <v>-88079.868108029943</v>
      </c>
      <c r="V51" s="29">
        <f>V30-V10*V23</f>
        <v>-51693.337109438144</v>
      </c>
      <c r="X51" s="29">
        <f>X30-X10*X23</f>
        <v>-15155.6799457944</v>
      </c>
      <c r="Z51" s="29">
        <f>Z30-Z10*Z23</f>
        <v>21412.030992429238</v>
      </c>
      <c r="AB51" s="29">
        <f>AB30-AB10*AB23</f>
        <v>57765.952885732055</v>
      </c>
      <c r="AD51" s="29">
        <f>AD30-AD10*AD23</f>
        <v>93417.349674265366</v>
      </c>
      <c r="AF51" s="29">
        <f>AF30-AF10*AF23</f>
        <v>127365.25255993661</v>
      </c>
      <c r="AH51" s="29">
        <f>AH30-AH10*AH23</f>
        <v>157478.20741917146</v>
      </c>
      <c r="AJ51" s="29">
        <f>AJ30-AJ10*AJ23</f>
        <v>178998.96445850562</v>
      </c>
      <c r="AL51" s="29">
        <f>AL30-AL10*AL23</f>
        <v>180912.4298980732</v>
      </c>
      <c r="AN51" s="29">
        <f>AN30-AN10*AN23</f>
        <v>138049.46721478598</v>
      </c>
      <c r="AP51" s="29">
        <f>AP30-AP10*AP23</f>
        <v>120192.74490837741</v>
      </c>
      <c r="AQ51" s="29"/>
      <c r="AR51" s="29">
        <f>AR30-AR10*AR23</f>
        <v>98068.443342279526</v>
      </c>
      <c r="AT51" s="29">
        <f>AT30-AT10*AT23</f>
        <v>71082.007777829887</v>
      </c>
      <c r="AV51" s="29">
        <f>AV30-AV10*AV23</f>
        <v>38607.244979380193</v>
      </c>
      <c r="XFD51" s="29"/>
    </row>
    <row r="52" spans="1:48 16321:16384" x14ac:dyDescent="0.2">
      <c r="A52" t="s">
        <v>167</v>
      </c>
      <c r="B52" s="29">
        <f t="array" ref="B52">Calibration!sL*SUM(B13:C13*B26:C26)</f>
        <v>2049247.8195702801</v>
      </c>
      <c r="D52" s="29">
        <f t="array" ref="D52">Calibration!sL*SUM(D13:E13*D26:E26)</f>
        <v>2036253.0959246412</v>
      </c>
      <c r="F52" s="29">
        <f t="array" ref="F52">Calibration!sL*SUM(F13:G13*F26:G26)</f>
        <v>2022235.9275567927</v>
      </c>
      <c r="H52" s="29">
        <f t="array" ref="H52">Calibration!sL*SUM(H13:I13*H26:I26)</f>
        <v>2007045.1953361023</v>
      </c>
      <c r="J52" s="29">
        <f t="array" ref="J52">Calibration!sL*SUM(J13:K13*J26:K26)</f>
        <v>1990496.1376754725</v>
      </c>
      <c r="L52" s="29">
        <f t="array" ref="L52">Calibration!sL*SUM(L13:M13*L26:M26)</f>
        <v>1972360.448765469</v>
      </c>
      <c r="N52" s="29">
        <f t="array" ref="N52">Calibration!sL*SUM(N13:O13*N26:O26)</f>
        <v>1952351.7806166427</v>
      </c>
      <c r="P52" s="29">
        <f t="array" ref="P52">Calibration!sL*SUM(P13:Q13*P26:Q26)</f>
        <v>1930105.843736795</v>
      </c>
      <c r="R52" s="29">
        <f t="array" ref="R52">Calibration!sL*SUM(R13:S13*R26:S26)</f>
        <v>1905151.0199258749</v>
      </c>
      <c r="T52" s="29">
        <f t="array" ref="T52">Calibration!sL*SUM(T13:U13*T26:U26)</f>
        <v>1876864.7608839474</v>
      </c>
      <c r="V52" s="29">
        <f t="array" ref="V52">Calibration!sL*SUM(V13:W13*V26:W26)</f>
        <v>1844406.6180972876</v>
      </c>
      <c r="X52" s="29">
        <f t="array" ref="X52">Calibration!sL*SUM(X13:Y13*X26:Y26)</f>
        <v>1806612.3354375751</v>
      </c>
      <c r="Z52" s="29">
        <f t="array" ref="Z52">Calibration!sL*SUM(Z13:AA13*Z26:AA26)</f>
        <v>1761820.105914837</v>
      </c>
      <c r="AB52" s="29">
        <f t="array" ref="AB52">Calibration!sL*SUM(AB13:AC13*AB26:AC26)</f>
        <v>1707573.8422959475</v>
      </c>
      <c r="AD52" s="29">
        <f t="array" ref="AD52">Calibration!sL*SUM(AD13:AE13*AD26:AE26)</f>
        <v>1640094.0810289169</v>
      </c>
      <c r="AF52" s="29">
        <f t="array" ref="AF52">Calibration!sL*SUM(AF13:AG13*AF26:AG26)</f>
        <v>1553289.5913445749</v>
      </c>
      <c r="AH52" s="29">
        <f t="array" ref="AH52">Calibration!sL*SUM(AH13:AI13*AH26:AI26)</f>
        <v>1436828.6174315966</v>
      </c>
      <c r="AJ52" s="29">
        <f t="array" ref="AJ52">Calibration!sL*SUM(AJ13:AK13*AJ26:AK26)</f>
        <v>1272270.355350086</v>
      </c>
      <c r="AL52" s="29">
        <f t="array" ref="AL52">Calibration!sL*SUM(AL13:AM13*AL26:AM26)</f>
        <v>1025496.2379450145</v>
      </c>
      <c r="AN52" s="29">
        <f t="array" ref="AN52">Calibration!sL*SUM(AN13:AO13*AN26:AO26)</f>
        <v>634358.75887088838</v>
      </c>
      <c r="AP52" s="29">
        <f t="array" ref="AP52">Calibration!sL*SUM(AP13:AQ13*AP26:AQ26)</f>
        <v>530666.68744674535</v>
      </c>
      <c r="AQ52" s="29"/>
      <c r="AR52" s="29">
        <f t="array" ref="AR52">Calibration!sL*SUM(AR13:AS13*AR26:AS26)</f>
        <v>416354.4025191968</v>
      </c>
      <c r="AT52" s="29">
        <f t="array" ref="AT52">Calibration!sL*SUM(AT13:AU13*AT26:AU26)</f>
        <v>290446.43672394316</v>
      </c>
      <c r="AV52" s="29">
        <f t="array" ref="AV52">Calibration!sL*SUM(AV13:AW13*AV26:AW26)</f>
        <v>151973.67758278415</v>
      </c>
    </row>
    <row r="53" spans="1:48 16321:16384" x14ac:dyDescent="0.2">
      <c r="A53" t="s">
        <v>168</v>
      </c>
      <c r="B53" s="29">
        <f t="array" ref="B53">Calibration!sK*SUM(B15:C15*B27:C27)</f>
        <v>2740714.444429684</v>
      </c>
      <c r="D53" s="29">
        <f t="array" ref="D53">Calibration!sK*SUM(D15:E15*D27:E27)</f>
        <v>2718139.1699633063</v>
      </c>
      <c r="F53" s="29">
        <f t="array" ref="F53">Calibration!sK*SUM(F15:G15*F27:G27)</f>
        <v>2694166.2508107959</v>
      </c>
      <c r="H53" s="29">
        <f t="array" ref="H53">Calibration!sK*SUM(H15:I15*H27:I27)</f>
        <v>2668579.9783131159</v>
      </c>
      <c r="J53" s="29">
        <f t="array" ref="J53">Calibration!sK*SUM(J15:K15*J27:K27)</f>
        <v>2641116.8078396828</v>
      </c>
      <c r="L53" s="29">
        <f t="array" ref="L53">Calibration!sK*SUM(L15:M15*L27:M27)</f>
        <v>2611451.2361972593</v>
      </c>
      <c r="N53" s="29">
        <f t="array" ref="N53">Calibration!sK*SUM(N15:O15*N27:O27)</f>
        <v>2579175.9063169863</v>
      </c>
      <c r="P53" s="29">
        <f t="array" ref="P53">Calibration!sK*SUM(P15:Q15*P27:Q27)</f>
        <v>2543773.8689470706</v>
      </c>
      <c r="R53" s="29">
        <f t="array" ref="R53">Calibration!sK*SUM(R15:S15*R27:S27)</f>
        <v>2504578.3539164644</v>
      </c>
      <c r="T53" s="29">
        <f t="array" ref="T53">Calibration!sK*SUM(T15:U15*T27:U27)</f>
        <v>2460713.4575868435</v>
      </c>
      <c r="V53" s="29">
        <f t="array" ref="V53">Calibration!sK*SUM(V15:W15*V27:W27)</f>
        <v>2411004.1692530997</v>
      </c>
      <c r="X53" s="29">
        <f t="array" ref="X53">Calibration!sK*SUM(X15:Y15*X27:Y27)</f>
        <v>2353835.7753480133</v>
      </c>
      <c r="Z53" s="29">
        <f t="array" ref="Z53">Calibration!sK*SUM(Z15:AA15*Z27:AA27)</f>
        <v>2286926.4908731254</v>
      </c>
      <c r="AB53" s="29">
        <f t="array" ref="AB53">Calibration!sK*SUM(AB15:AC15*AB27:AC27)</f>
        <v>2206946.3141466756</v>
      </c>
      <c r="AD53" s="29">
        <f t="array" ref="AD53">Calibration!sK*SUM(AD15:AE15*AD27:AE27)</f>
        <v>2108851.3638523025</v>
      </c>
      <c r="AF53" s="29">
        <f t="array" ref="AF53">Calibration!sK*SUM(AF15:AG15*AF27:AG27)</f>
        <v>1984673.2025777837</v>
      </c>
      <c r="AH53" s="29">
        <f t="array" ref="AH53">Calibration!sK*SUM(AH15:AI15*AH27:AI27)</f>
        <v>1821236.5694105239</v>
      </c>
      <c r="AJ53" s="29">
        <f t="array" ref="AJ53">Calibration!sK*SUM(AJ15:AK15*AJ27:AK27)</f>
        <v>1595795.9037873219</v>
      </c>
      <c r="AL53" s="29">
        <f t="array" ref="AL53">Calibration!sK*SUM(AL15:AM15*AL27:AM27)</f>
        <v>1268113.8235655208</v>
      </c>
      <c r="AN53" s="29">
        <f t="array" ref="AN53">Calibration!sK*SUM(AN15:AO15*AN27:AO27)</f>
        <v>769372.50838187814</v>
      </c>
      <c r="AP53" s="29">
        <f t="array" ref="AP53">Calibration!sK*SUM(AP15:AQ15*AP27:AQ27)</f>
        <v>640654.16203802335</v>
      </c>
      <c r="AQ53" s="29"/>
      <c r="AR53" s="29">
        <f t="array" ref="AR53">Calibration!sK*SUM(AR15:AS15*AR27:AS27)</f>
        <v>500215.62823698361</v>
      </c>
      <c r="AT53" s="29">
        <f t="array" ref="AT53">Calibration!sK*SUM(AT15:AU15*AT27:AU27)</f>
        <v>347173.77841035667</v>
      </c>
      <c r="AV53" s="29">
        <f t="array" ref="AV53">Calibration!sK*SUM(AV15:AW15*AV27:AW27)</f>
        <v>180690.35719587526</v>
      </c>
      <c r="XFD53" s="29"/>
    </row>
    <row r="55" spans="1:48 16321:16384" x14ac:dyDescent="0.2">
      <c r="A55" t="s">
        <v>169</v>
      </c>
      <c r="B55" s="193">
        <f>B30/B32</f>
        <v>0.19850271905982084</v>
      </c>
      <c r="D55" s="193">
        <f>D30/D32</f>
        <v>0.20072908193973646</v>
      </c>
      <c r="F55" s="193">
        <f>F30/F32</f>
        <v>0.20297538785529146</v>
      </c>
      <c r="H55" s="193">
        <f>H30/H32</f>
        <v>0.20524480612279405</v>
      </c>
      <c r="J55" s="193">
        <f>J30/J32</f>
        <v>0.20754108888629563</v>
      </c>
      <c r="L55" s="193">
        <f>L30/L32</f>
        <v>0.20986866993453299</v>
      </c>
      <c r="N55" s="193">
        <f>N30/N32</f>
        <v>0.21223292281160919</v>
      </c>
      <c r="P55" s="193">
        <f>P30/P32</f>
        <v>0.21464038982053907</v>
      </c>
      <c r="R55" s="193">
        <f>R30/R32</f>
        <v>0.21709917937125295</v>
      </c>
      <c r="T55" s="193">
        <f>T30/T32</f>
        <v>0.21961949688915394</v>
      </c>
      <c r="V55" s="193">
        <f>V30/V32</f>
        <v>0.22221443546587705</v>
      </c>
      <c r="X55" s="193">
        <f>X30/X32</f>
        <v>0.22490113558223807</v>
      </c>
      <c r="Z55" s="193">
        <f>Z30/Z32</f>
        <v>0.22770255794796931</v>
      </c>
      <c r="AB55" s="193">
        <f>AB30/AB32</f>
        <v>0.23065024334052342</v>
      </c>
      <c r="AD55" s="193">
        <f>AD30/AD32</f>
        <v>0.23378863966943811</v>
      </c>
      <c r="AF55" s="193">
        <f>AF30/AF32</f>
        <v>0.23718185432805813</v>
      </c>
      <c r="AH55" s="193">
        <f>AH30/AH32</f>
        <v>0.2409235567927433</v>
      </c>
      <c r="AJ55" s="193">
        <f>AJ30/AJ32</f>
        <v>0.2451482363661594</v>
      </c>
      <c r="AL55" s="193">
        <f>AL30/AL32</f>
        <v>0.25003001887110426</v>
      </c>
      <c r="AN55" s="193">
        <f>AN30/AN32</f>
        <v>0.25571981576238756</v>
      </c>
      <c r="AP55" s="193">
        <f>AP30/AP32</f>
        <v>0.25695558278438202</v>
      </c>
      <c r="AR55" s="193">
        <f>AR30/AR32</f>
        <v>0.25821992537885624</v>
      </c>
      <c r="AT55" s="193">
        <f>AT30/AT32</f>
        <v>0.25950948041835298</v>
      </c>
      <c r="AV55" s="193">
        <f>AV30/AV32</f>
        <v>0.26082005692765875</v>
      </c>
      <c r="XCS55" s="193"/>
      <c r="XFD55" s="193"/>
    </row>
    <row r="56" spans="1:48 16321:16384" x14ac:dyDescent="0.2">
      <c r="A56" t="s">
        <v>170</v>
      </c>
      <c r="B56" s="193">
        <f>(Model!$C$52*B5*B20+B2*C5*C20)/B32</f>
        <v>2.9221206744340551E-2</v>
      </c>
      <c r="D56" s="193">
        <f>(Model!$C$52*D5*D20+D2*E5*E20)/D32</f>
        <v>3.1792044922592924E-2</v>
      </c>
      <c r="F56" s="193">
        <f>(Model!$C$52*F5*F20+F2*G5*G20)/F32</f>
        <v>3.4384528866320666E-2</v>
      </c>
      <c r="H56" s="193">
        <f>(Model!$C$52*H5*H20+H2*I5*I20)/H32</f>
        <v>3.7001725419230906E-2</v>
      </c>
      <c r="J56" s="193">
        <f>(Model!$C$52*J5*J20+J2*K5*K20)/J32</f>
        <v>3.9647207089849867E-2</v>
      </c>
      <c r="L56" s="193">
        <f>(Model!$C$52*L5*L20+L2*M5*M20)/L32</f>
        <v>4.2325132773952681E-2</v>
      </c>
      <c r="N56" s="193">
        <f>(Model!$C$52*N5*N20+N2*O5*O20)/N32</f>
        <v>4.504045303116825E-2</v>
      </c>
      <c r="P56" s="193">
        <f>(Model!$C$52*P5*P20+P2*Q5*Q20)/P32</f>
        <v>4.7799090943017992E-2</v>
      </c>
      <c r="R56" s="193">
        <f>(Model!$C$52*R5*R20+R2*S5*S20)/R32</f>
        <v>5.060825178980155E-2</v>
      </c>
      <c r="T56" s="193">
        <f>(Model!$C$52*T5*T20+T2*U5*U20)/T32</f>
        <v>5.3476831787302538E-2</v>
      </c>
      <c r="V56" s="193">
        <f>(Model!$C$52*V5*V20+V2*W5*W20)/V32</f>
        <v>5.6416019721521646E-2</v>
      </c>
      <c r="X56" s="193">
        <f>(Model!$C$52*X5*X20+X2*Y5*Y20)/X32</f>
        <v>5.9440165677665316E-2</v>
      </c>
      <c r="Z56" s="193">
        <f>(Model!$C$52*Z5*Z20+Z2*AA5*AA20)/Z32</f>
        <v>6.256809990350462E-2</v>
      </c>
      <c r="AB56" s="193">
        <f>(Model!$C$52*AB5*AB20+AB2*AC5*AC20)/AB32</f>
        <v>6.5825135419812358E-2</v>
      </c>
      <c r="AD56" s="193">
        <f>(Model!$C$52*AD5*AD20+AD2*AE5*AE20)/AD32</f>
        <v>6.924614616500134E-2</v>
      </c>
      <c r="AF56" s="193">
        <f>(Model!$C$52*AF5*AF20+AF2*AG5*AG20)/AF32</f>
        <v>7.2880174335709286E-2</v>
      </c>
      <c r="AH56" s="193">
        <f>(Model!$C$52*AH5*AH20+AH2*AI5*AI20)/AH32</f>
        <v>7.679663442442064E-2</v>
      </c>
      <c r="AJ56" s="193">
        <f>(Model!$C$52*AJ5*AJ20+AJ2*AK5*AK20)/AJ32</f>
        <v>8.1090476916506934E-2</v>
      </c>
      <c r="AL56" s="193">
        <f>(Model!$C$52*AL5*AL20+AL2*AM5*AM20)/AL32</f>
        <v>8.5872888322931801E-2</v>
      </c>
      <c r="AN56" s="193">
        <f>(Model!$C$52*AN5*AN20+AN2*AO5*AO20)/AN32</f>
        <v>9.1206650639727868E-2</v>
      </c>
      <c r="AP56" s="193">
        <f>(Model!$C$52*AP5*AP20+AP2*AQ5*AQ20)/AP32</f>
        <v>9.233235166032204E-2</v>
      </c>
      <c r="AR56" s="193">
        <f>(Model!$C$52*AR5*AR20+AR2*AS5*AS20)/AR32</f>
        <v>9.3472470778256253E-2</v>
      </c>
      <c r="AT56" s="193">
        <f>(Model!$C$52*AT5*AT20+AT2*AU5*AU20)/AT32</f>
        <v>9.462346561653448E-2</v>
      </c>
      <c r="AV56" s="193">
        <f>(Model!$C$52*AV5*AV20+AV2*AW5*AW20)/AV32</f>
        <v>9.578120086063989E-2</v>
      </c>
      <c r="XFD56" s="193"/>
    </row>
    <row r="57" spans="1:48 16321:16384" x14ac:dyDescent="0.2">
      <c r="A57" t="s">
        <v>171</v>
      </c>
      <c r="B57" s="193">
        <f t="array" ref="B57">SUM(Model!tauL*B13:C13*B26:C26)/B32</f>
        <v>0.15852881819439493</v>
      </c>
      <c r="D57" s="193">
        <f t="array" ref="D57">SUM(Model!tauL*D13:E13*D26:E26)/D32</f>
        <v>0.15825972786939943</v>
      </c>
      <c r="F57" s="193">
        <f t="array" ref="F57">SUM(Model!tauL*F13:G13*F26:G26)/F32</f>
        <v>0.1579894765448224</v>
      </c>
      <c r="H57" s="193">
        <f t="array" ref="H57">SUM(Model!tauL*H13:I13*H26:I26)/H32</f>
        <v>0.15771824525391234</v>
      </c>
      <c r="J57" s="193">
        <f t="array" ref="J57">SUM(Model!tauL*J13:K13*J26:K26)/J32</f>
        <v>0.15744630310975807</v>
      </c>
      <c r="L57" s="193">
        <f t="array" ref="L57">SUM(Model!tauL*L13:M13*L26:M26)/L32</f>
        <v>0.15717403064336882</v>
      </c>
      <c r="N57" s="193">
        <f t="array" ref="N57">SUM(Model!tauL*N13:O13*N26:O26)/N32</f>
        <v>0.15690197175376686</v>
      </c>
      <c r="P57" s="193">
        <f t="array" ref="P57">SUM(Model!tauL*P13:Q13*P26:Q26)/P32</f>
        <v>0.15663088789525359</v>
      </c>
      <c r="R57" s="193">
        <f t="array" ref="R57">SUM(Model!tauL*R13:S13*R26:S26)/R32</f>
        <v>0.15636184865503766</v>
      </c>
      <c r="T57" s="193">
        <f t="array" ref="T57">SUM(Model!tauL*T13:U13*T26:U26)/T32</f>
        <v>0.15609635922865453</v>
      </c>
      <c r="V57" s="193">
        <f t="array" ref="V57">SUM(Model!tauL*V13:W13*V26:W26)/V32</f>
        <v>0.15583655406368241</v>
      </c>
      <c r="X57" s="193">
        <f t="array" ref="X57">SUM(Model!tauL*X13:Y13*X26:Y26)/X32</f>
        <v>0.15558549269989244</v>
      </c>
      <c r="Y57" s="193"/>
      <c r="Z57" s="193">
        <f t="array" ref="Z57">SUM(Model!tauL*Z13:AA13*Z26:AA26)/Z32</f>
        <v>0.15534761883171891</v>
      </c>
      <c r="AB57" s="193">
        <f t="array" ref="AB57">SUM(Model!tauL*AB13:AC13*AB26:AC26)/AB32</f>
        <v>0.15512951239340705</v>
      </c>
      <c r="AD57" s="193">
        <f t="array" ref="AD57">SUM(Model!tauL*AD13:AE13*AD26:AE26)/AD32</f>
        <v>0.15494112193418935</v>
      </c>
      <c r="AF57" s="193">
        <f t="array" ref="AF57">SUM(Model!tauL*AF13:AG13*AF26:AG26)/AF32</f>
        <v>0.15479785450596861</v>
      </c>
      <c r="AH57" s="193">
        <f t="array" ref="AH57">SUM(Model!tauL*AH13:AI13*AH26:AI26)/AH32</f>
        <v>0.15472413201616741</v>
      </c>
      <c r="AJ57" s="193">
        <f t="array" ref="AJ57">SUM(Model!tauL*AJ13:AK13*AJ26:AK26)/AJ32</f>
        <v>0.15475915731528289</v>
      </c>
      <c r="AL57" s="193">
        <f t="array" ref="AL57">SUM(Model!tauL*AL13:AM13*AL26:AM26)/AL32</f>
        <v>0.15496435776590797</v>
      </c>
      <c r="AN57" s="193">
        <f t="array" ref="AN57">SUM(Model!tauL*AN13:AO13*AN26:AO26)/AN32</f>
        <v>0.15542415356785549</v>
      </c>
      <c r="AP57" s="193">
        <f t="array" ref="AP57">SUM(Model!tauL*AP13:AQ13*AP26:AQ26)/AP32</f>
        <v>0.1555542008398125</v>
      </c>
      <c r="AR57" s="193">
        <f t="array" ref="AR57">SUM(Model!tauL*AR13:AS13*AR26:AS26)/AR32</f>
        <v>0.15569801346547521</v>
      </c>
      <c r="AT57" s="193">
        <f t="array" ref="AT57">SUM(Model!tauL*AT13:AU13*AT26:AU26)/AT32</f>
        <v>0.15585571183025543</v>
      </c>
      <c r="AV57" s="193">
        <f t="array" ref="AV57">SUM(Model!tauL*AV13:AW13*AV26:AW26)/AV32</f>
        <v>0.15602718408504387</v>
      </c>
      <c r="XFD57" s="193"/>
    </row>
    <row r="58" spans="1:48 16321:16384" x14ac:dyDescent="0.2">
      <c r="A58" t="s">
        <v>172</v>
      </c>
      <c r="B58" s="193">
        <f t="array" ref="B58">SUM(Model!tauY/(1+Model!tauY)*B3:C3*B18:C18)/B32</f>
        <v>1.075269412108535E-2</v>
      </c>
      <c r="D58" s="193">
        <f t="array" ref="D58">SUM(Model!tauY/(1+Model!tauY)*D3:E3*D18:E18)/D32</f>
        <v>1.067730914774408E-2</v>
      </c>
      <c r="F58" s="193">
        <f t="array" ref="F58">SUM(Model!tauY/(1+Model!tauY)*F3:G3*F18:G18)/F32</f>
        <v>1.0601382444148386E-2</v>
      </c>
      <c r="H58" s="193">
        <f t="array" ref="H58">SUM(Model!tauY/(1+Model!tauY)*H3:I3*H18:I18)/H32</f>
        <v>1.0524835449650825E-2</v>
      </c>
      <c r="J58" s="193">
        <f t="array" ref="J58">SUM(Model!tauY/(1+Model!tauY)*J3:K3*J18:K18)/J32</f>
        <v>1.0447578686687718E-2</v>
      </c>
      <c r="L58" s="193">
        <f t="array" ref="L58">SUM(Model!tauY/(1+Model!tauY)*L3:M3*L18:M18)/L32</f>
        <v>1.0369506517211481E-2</v>
      </c>
      <c r="N58" s="193">
        <f t="array" ref="N58">SUM(Model!tauY/(1+Model!tauY)*N3:O3*N18:O18)/N32</f>
        <v>1.0290498026674123E-2</v>
      </c>
      <c r="P58" s="193">
        <f t="array" ref="P58">SUM(Model!tauY/(1+Model!tauY)*P3:Q3*P18:Q18)/P32</f>
        <v>1.0210410982267481E-2</v>
      </c>
      <c r="R58" s="193">
        <f t="array" ref="R58">SUM(Model!tauY/(1+Model!tauY)*R3:S3*R18:S18)/R32</f>
        <v>1.0129078926413711E-2</v>
      </c>
      <c r="T58" s="193">
        <f t="array" ref="T58">SUM(Model!tauY/(1+Model!tauY)*T3:U3*T18:U18)/T32</f>
        <v>1.0046305873196854E-2</v>
      </c>
      <c r="V58" s="193">
        <f t="array" ref="V58">SUM(Model!tauY/(1+Model!tauY)*V3:W3*V18:W18)/V32</f>
        <v>9.9618616806729492E-3</v>
      </c>
      <c r="X58" s="193">
        <f t="array" ref="X58">SUM(Model!tauY/(1+Model!tauY)*X3:Y3*X18:Y18)/X32</f>
        <v>9.8754772046803115E-3</v>
      </c>
      <c r="Y58" s="193"/>
      <c r="Z58" s="193">
        <f t="array" ref="Z58">SUM(Model!tauY/(1+Model!tauY)*Z3:AA3*Z18:AA18)/Z32</f>
        <v>9.7868392127457848E-3</v>
      </c>
      <c r="AB58" s="193">
        <f t="array" ref="AB58">SUM(Model!tauY/(1+Model!tauY)*AB3:AC3*AB18:AC18)/AB32</f>
        <v>9.6955955273040195E-3</v>
      </c>
      <c r="AD58" s="193">
        <f t="array" ref="AD58">SUM(Model!tauY/(1+Model!tauY)*AD3:AE3*AD18:AE18)/AD32</f>
        <v>9.60137157024743E-3</v>
      </c>
      <c r="AF58" s="193">
        <f t="array" ref="AF58">SUM(Model!tauY/(1+Model!tauY)*AF3:AG3*AF18:AG18)/AF32</f>
        <v>9.5038254863802126E-3</v>
      </c>
      <c r="AH58" s="193">
        <f t="array" ref="AH58">SUM(Model!tauY/(1+Model!tauY)*AH3:AI3*AH18:AI18)/AH32</f>
        <v>9.4027903521552089E-3</v>
      </c>
      <c r="AJ58" s="193">
        <f t="array" ref="AJ58">SUM(Model!tauY/(1+Model!tauY)*AJ3:AK3*AJ18:AK18)/AJ32</f>
        <v>9.298602134369581E-3</v>
      </c>
      <c r="AL58" s="193">
        <f t="array" ref="AL58">SUM(Model!tauY/(1+Model!tauY)*AL3:AM3*AL18:AM18)/AL32</f>
        <v>9.192772782264479E-3</v>
      </c>
      <c r="AN58" s="193">
        <f t="array" ref="AN58">SUM(Model!tauY/(1+Model!tauY)*AN3:AO3*AN18:AO18)/AN32</f>
        <v>9.0890115548042071E-3</v>
      </c>
      <c r="AP58" s="193">
        <f t="array" ref="AP58">SUM(Model!tauY/(1+Model!tauY)*AP3:AQ3*AP18:AQ18)/AP32</f>
        <v>9.0690302842474733E-3</v>
      </c>
      <c r="AR58" s="193">
        <f t="array" ref="AR58">SUM(Model!tauY/(1+Model!tauY)*AR3:AS3*AR18:AS18)/AR32</f>
        <v>9.0494411351248003E-3</v>
      </c>
      <c r="AT58" s="193">
        <f t="array" ref="AT58">SUM(Model!tauY/(1+Model!tauY)*AT3:AU3*AT18:AU18)/AT32</f>
        <v>9.0303029715630787E-3</v>
      </c>
      <c r="AV58" s="193">
        <f t="array" ref="AV58">SUM(Model!tauY/(1+Model!tauY)*AV3:AW3*AV18:AW18)/AV32</f>
        <v>9.0116719819749967E-3</v>
      </c>
      <c r="XFD58" s="193"/>
    </row>
    <row r="59" spans="1:48 16321:16384" x14ac:dyDescent="0.2">
      <c r="A59" t="s">
        <v>173</v>
      </c>
      <c r="B59" s="193">
        <f>(B2*C5*C20)/B32</f>
        <v>5.5174232040962052E-4</v>
      </c>
      <c r="D59" s="193">
        <f>(D2*E5*E20)/D32</f>
        <v>3.1683649580255551E-3</v>
      </c>
      <c r="F59" s="193">
        <f>(F2*G5*G20)/F32</f>
        <v>5.8073075454730368E-3</v>
      </c>
      <c r="H59" s="193">
        <f>(H2*I5*I20)/H32</f>
        <v>8.4717267554708254E-3</v>
      </c>
      <c r="J59" s="193">
        <f>(J2*K5*K20)/J32</f>
        <v>1.1165299994806345E-2</v>
      </c>
      <c r="L59" s="193">
        <f>(L2*M5*M20)/L32</f>
        <v>1.389231087032749E-2</v>
      </c>
      <c r="N59" s="193">
        <f>(N2*O5*O20)/N32</f>
        <v>1.6657858197241686E-2</v>
      </c>
      <c r="P59" s="193">
        <f>(P2*Q5*Q20)/P32</f>
        <v>1.9468044440486706E-2</v>
      </c>
      <c r="R59" s="193">
        <f>(R2*S5*S20)/R32</f>
        <v>2.233029414016496E-2</v>
      </c>
      <c r="T59" s="193">
        <f>(T2*U5*U20)/T32</f>
        <v>2.5253775554324041E-2</v>
      </c>
      <c r="V59" s="193">
        <f>(V2*W5*W20)/V32</f>
        <v>2.8250020142606032E-2</v>
      </c>
      <c r="X59" s="193">
        <f>(X2*Y5*Y20)/X32</f>
        <v>3.1333817271420622E-2</v>
      </c>
      <c r="Z59" s="193">
        <f>(Z2*AA5*AA20)/Z32</f>
        <v>3.4524572259563076E-2</v>
      </c>
      <c r="AB59" s="193">
        <f>(AB2*AC5*AC20)/AB32</f>
        <v>3.7848365556593093E-2</v>
      </c>
      <c r="AD59" s="193">
        <f>(AD2*AE5*AE20)/AD32</f>
        <v>4.1341117809609911E-2</v>
      </c>
      <c r="AF59" s="193">
        <f>(AF2*AG5*AG20)/AF32</f>
        <v>4.5053323687774753E-2</v>
      </c>
      <c r="AH59" s="193">
        <f>(AH2*AI5*AI20)/AH32</f>
        <v>4.9056421912824923E-2</v>
      </c>
      <c r="AJ59" s="193">
        <f>(AJ2*AK5*AK20)/AJ32</f>
        <v>5.3448094820525247E-2</v>
      </c>
      <c r="AL59" s="193">
        <f>(AL2*AM5*AM20)/AL32</f>
        <v>5.8342731280661315E-2</v>
      </c>
      <c r="AN59" s="193">
        <f>(AN2*AO5*AO20)/AN32</f>
        <v>6.380515062315327E-2</v>
      </c>
      <c r="AP59" s="193">
        <f>(AP2*AQ5*AQ20)/AP32</f>
        <v>6.495841599208331E-2</v>
      </c>
      <c r="AR59" s="193">
        <f>(AR2*AS5*AS20)/AR32</f>
        <v>6.6126587325238836E-2</v>
      </c>
      <c r="AT59" s="193">
        <f>(AT2*AU5*AU20)/AT32</f>
        <v>6.730603620322427E-2</v>
      </c>
      <c r="AV59" s="193">
        <f>(AV2*AW5*AW20)/AV32</f>
        <v>6.8492525516011385E-2</v>
      </c>
      <c r="XFD59" s="193"/>
    </row>
    <row r="60" spans="1:48 16321:16384" x14ac:dyDescent="0.2">
      <c r="A60" t="s">
        <v>174</v>
      </c>
      <c r="B60" s="193">
        <f>Model!$C$52*B5*B20/B32</f>
        <v>2.8669464423930927E-2</v>
      </c>
      <c r="D60" s="193">
        <f>Model!$C$52*D5*D20/D32</f>
        <v>2.862367996456737E-2</v>
      </c>
      <c r="F60" s="193">
        <f>Model!$C$52*F5*F20/F32</f>
        <v>2.857722132084763E-2</v>
      </c>
      <c r="H60" s="193">
        <f>Model!$C$52*H5*H20/H32</f>
        <v>2.8529998663760082E-2</v>
      </c>
      <c r="J60" s="193">
        <f>Model!$C$52*J5*J20/J32</f>
        <v>2.8481907095043522E-2</v>
      </c>
      <c r="L60" s="193">
        <f>Model!$C$52*L5*L20/L32</f>
        <v>2.8432821903625193E-2</v>
      </c>
      <c r="N60" s="193">
        <f>Model!$C$52*N5*N20/N32</f>
        <v>2.838259483392656E-2</v>
      </c>
      <c r="P60" s="193">
        <f>Model!$C$52*P5*P20/P32</f>
        <v>2.8331046502531286E-2</v>
      </c>
      <c r="R60" s="193">
        <f>Model!$C$52*R5*R20/R32</f>
        <v>2.827795764963659E-2</v>
      </c>
      <c r="T60" s="193">
        <f>Model!$C$52*T5*T20/T32</f>
        <v>2.8223056232978497E-2</v>
      </c>
      <c r="V60" s="193">
        <f>Model!$C$52*V5*V20/V32</f>
        <v>2.816599957891561E-2</v>
      </c>
      <c r="X60" s="193">
        <f>Model!$C$52*X5*X20/X32</f>
        <v>2.8106348406244697E-2</v>
      </c>
      <c r="Z60" s="193">
        <f>Model!$C$52*Z5*Z20/Z32</f>
        <v>2.8043527643941541E-2</v>
      </c>
      <c r="AB60" s="193">
        <f>Model!$C$52*AB5*AB20/AB32</f>
        <v>2.7976769863219255E-2</v>
      </c>
      <c r="AD60" s="193">
        <f>Model!$C$52*AD5*AD20/AD32</f>
        <v>2.790502835539143E-2</v>
      </c>
      <c r="AF60" s="193">
        <f>Model!$C$52*AF5*AF20/AF32</f>
        <v>2.7826850647934529E-2</v>
      </c>
      <c r="AH60" s="193">
        <f>Model!$C$52*AH5*AH20/AH32</f>
        <v>2.7740212511595714E-2</v>
      </c>
      <c r="AJ60" s="193">
        <f>Model!$C$52*AJ5*AJ20/AJ32</f>
        <v>2.7642382095981681E-2</v>
      </c>
      <c r="AL60" s="193">
        <f>Model!$C$52*AL5*AL20/AL32</f>
        <v>2.7530157042270485E-2</v>
      </c>
      <c r="AN60" s="193">
        <f>Model!$C$52*AN5*AN20/AN32</f>
        <v>2.7401500016574602E-2</v>
      </c>
      <c r="AP60" s="193">
        <f>Model!$C$52*AP5*AP20/AP32</f>
        <v>2.7373935668238723E-2</v>
      </c>
      <c r="AR60" s="193">
        <f>Model!$C$52*AR5*AR20/AR32</f>
        <v>2.734588345301742E-2</v>
      </c>
      <c r="AT60" s="193">
        <f>Model!$C$52*AT5*AT20/AT32</f>
        <v>2.7317429413310217E-2</v>
      </c>
      <c r="AV60" s="193">
        <f>Model!$C$52*AV5*AV20/AV32</f>
        <v>2.7288675344628505E-2</v>
      </c>
      <c r="XFD60" s="193"/>
    </row>
    <row r="62" spans="1:48 16321:16384" x14ac:dyDescent="0.2">
      <c r="A62" t="s">
        <v>175</v>
      </c>
      <c r="B62">
        <f>B13/B15</f>
        <v>1</v>
      </c>
      <c r="D62">
        <f>D13/D15</f>
        <v>1.0008376699646737</v>
      </c>
      <c r="F62">
        <f>F13/F15</f>
        <v>1.0017259117050965</v>
      </c>
      <c r="H62">
        <f>H13/H15</f>
        <v>1.002677900097886</v>
      </c>
      <c r="J62">
        <f>J13/J15</f>
        <v>1.003710223622907</v>
      </c>
      <c r="L62">
        <f>L13/L15</f>
        <v>1.0048439227800114</v>
      </c>
      <c r="N62">
        <f>N13/N15</f>
        <v>1.0061060104258066</v>
      </c>
      <c r="P62">
        <f>P13/P15</f>
        <v>1.0075315371459999</v>
      </c>
      <c r="R62">
        <f>R13/R15</f>
        <v>1.0091666081215216</v>
      </c>
      <c r="T62">
        <f>T13/T15</f>
        <v>1.0110727835088196</v>
      </c>
      <c r="V62">
        <f>V13/V15</f>
        <v>1.0133336779007664</v>
      </c>
      <c r="X62">
        <f>X13/X15</f>
        <v>1.0160650802559821</v>
      </c>
      <c r="Z62">
        <f>Z13/Z15</f>
        <v>1.019430953682458</v>
      </c>
      <c r="AB62">
        <f>AB13/AB15</f>
        <v>1.0236692671146497</v>
      </c>
      <c r="AD62">
        <f>AD13/AD15</f>
        <v>1.0291349899842563</v>
      </c>
      <c r="AF62">
        <f>AF13/AF15</f>
        <v>1.0363728464009505</v>
      </c>
      <c r="AH62">
        <f>AH13/AH15</f>
        <v>1.0462401739450877</v>
      </c>
      <c r="AJ62">
        <f>AJ13/AJ15</f>
        <v>1.0601014817259569</v>
      </c>
      <c r="AL62">
        <f>AL13/AL15</f>
        <v>1.0800606677030369</v>
      </c>
      <c r="AN62">
        <f>AN13/AN15</f>
        <v>1.1089103983854707</v>
      </c>
      <c r="AP62">
        <f>AP13/AP15</f>
        <v>1.1159820481289675</v>
      </c>
      <c r="AR62">
        <f>AR13/AR15</f>
        <v>1.1235163872784353</v>
      </c>
      <c r="AT62">
        <f>AT13/AT15</f>
        <v>1.1315136317997967</v>
      </c>
      <c r="AV62">
        <f>AV13/AV15</f>
        <v>1.1399660198816566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0.99931459615341345</v>
      </c>
      <c r="E65" s="191"/>
      <c r="F65" s="191">
        <f t="array" ref="F65">SQRT((F9:G9*$B$22:$C$22+F10:G10*$B$23:$C$23+F11:G11*$B$24:$C$24+F4:G4*($B$25:$C$25-$B$19:$C$19))/($B$9:$C$9*$B$22:$C$22+$B$10:$C$10*$B$23:$C$23+$B$11:$C$11*$B$24:$C$24+$B$4:$C$4*($B$25:$C$25-$B$19:$C$19))*(F9:G9*F22:G22+F10:G10*F23:G23+F11:G11*F24:G24+F4:G4*(F25:G25-F19:G19))/($B$9:$C$9*F22:G22+$B$10:$C$10*F23:G23+$B$11:$C$11*F24:G24+$B$4:$C$4*(F25:G25-F19:G19)))</f>
        <v>0.99862914427228322</v>
      </c>
      <c r="G65" s="191"/>
      <c r="H65" s="191">
        <f t="array" ref="H65">SQRT((H9:I9*$B$22:$C$22+H10:I10*$B$23:$C$23+H11:I11*$B$24:$C$24+H4:I4*($B$25:$C$25-$B$19:$C$19))/($B$9:$C$9*$B$22:$C$22+$B$10:$C$10*$B$23:$C$23+$B$11:$C$11*$B$24:$C$24+$B$4:$C$4*($B$25:$C$25-$B$19:$C$19))*(H9:I9*H22:I22+H10:I10*H23:I23+H11:I11*H24:I24+H4:I4*(H25:I25-H19:I19))/($B$9:$C$9*H22:I22+$B$10:$C$10*H23:I23+$B$11:$C$11*H24:I24+$B$4:$C$4*(H25:I25-H19:I19)))</f>
        <v>0.9979431340116659</v>
      </c>
      <c r="I65" s="191"/>
      <c r="J65" s="191">
        <f t="array" ref="J65">SQRT((J9:K9*$B$22:$C$22+J10:K10*$B$23:$C$23+J11:K11*$B$24:$C$24+J4:K4*($B$25:$C$25-$B$19:$C$19))/($B$9:$C$9*$B$22:$C$22+$B$10:$C$10*$B$23:$C$23+$B$11:$C$11*$B$24:$C$24+$B$4:$C$4*($B$25:$C$25-$B$19:$C$19))*(J9:K9*J22:K22+J10:K10*J23:K23+J11:K11*J24:K24+J4:K4*(J25:K25-J19:K19))/($B$9:$C$9*J22:K22+$B$10:$C$10*J23:K23+$B$11:$C$11*J24:K24+$B$4:$C$4*(J25:K25-J19:K19)))</f>
        <v>0.99725599340378068</v>
      </c>
      <c r="K65" s="191"/>
      <c r="L65" s="191">
        <f t="array" ref="L65">SQRT((L9:M9*$B$22:$C$22+L10:M10*$B$23:$C$23+L11:M11*$B$24:$C$24+L4:M4*($B$25:$C$25-$B$19:$C$19))/($B$9:$C$9*$B$22:$C$22+$B$10:$C$10*$B$23:$C$23+$B$11:$C$11*$B$24:$C$24+$B$4:$C$4*($B$25:$C$25-$B$19:$C$19))*(L9:M9*L22:M22+L10:M10*L23:M23+L11:M11*L24:M24+L4:M4*(L25:M25-L19:M19))/($B$9:$C$9*L22:M22+$B$10:$C$10*L23:M23+$B$11:$C$11*L24:M24+$B$4:$C$4*(L25:M25-L19:M19)))</f>
        <v>0.99656708274768602</v>
      </c>
      <c r="M65" s="191"/>
      <c r="N65" s="191">
        <f t="array" ref="N65">SQRT((N9:O9*$B$22:$C$22+N10:O10*$B$23:$C$23+N11:O11*$B$24:$C$24+N4:O4*($B$25:$C$25-$B$19:$C$19))/($B$9:$C$9*$B$22:$C$22+$B$10:$C$10*$B$23:$C$23+$B$11:$C$11*$B$24:$C$24+$B$4:$C$4*($B$25:$C$25-$B$19:$C$19))*(N9:O9*N22:O22+N10:O10*N23:O23+N11:O11*N24:O24+N4:O4*(N25:O25-N19:O19))/($B$9:$C$9*N22:O22+$B$10:$C$10*N23:O23+$B$11:$C$11*N24:O24+$B$4:$C$4*(N25:O25-N19:O19)))</f>
        <v>0.99587573785187378</v>
      </c>
      <c r="O65" s="191"/>
      <c r="P65" s="191">
        <f t="array" ref="P65">SQRT((P9:Q9*$B$22:$C$22+P10:Q10*$B$23:$C$23+P11:Q11*$B$24:$C$24+P4:Q4*($B$25:$C$25-$B$19:$C$19))/($B$9:$C$9*$B$22:$C$22+$B$10:$C$10*$B$23:$C$23+$B$11:$C$11*$B$24:$C$24+$B$4:$C$4*($B$25:$C$25-$B$19:$C$19))*(P9:Q9*P22:Q22+P10:Q10*P23:Q23+P11:Q11*P24:Q24+P4:Q4*(P25:Q25-P19:Q19))/($B$9:$C$9*P22:Q22+$B$10:$C$10*P23:Q23+$B$11:$C$11*P24:Q24+$B$4:$C$4*(P25:Q25-P19:Q19)))</f>
        <v>0.99518130657062509</v>
      </c>
      <c r="Q65" s="191"/>
      <c r="R65" s="191">
        <f t="array" ref="R65">SQRT((R9:S9*$B$22:$C$22+R10:S10*$B$23:$C$23+R11:S11*$B$24:$C$24+R4:S4*($B$25:$C$25-$B$19:$C$19))/($B$9:$C$9*$B$22:$C$22+$B$10:$C$10*$B$23:$C$23+$B$11:$C$11*$B$24:$C$24+$B$4:$C$4*($B$25:$C$25-$B$19:$C$19))*(R9:S9*R22:S22+R10:S10*R23:S23+R11:S11*R24:S24+R4:S4*(R25:S25-R19:S19))/($B$9:$C$9*R22:S22+$B$10:$C$10*R23:S23+$B$11:$C$11*R24:S24+$B$4:$C$4*(R25:S25-R19:S19)))</f>
        <v>0.99448324988956172</v>
      </c>
      <c r="S65" s="191"/>
      <c r="T65" s="191">
        <f t="array" ref="T65">SQRT((T9:U9*$B$22:$C$22+T10:U10*$B$23:$C$23+T11:U11*$B$24:$C$24+T4:U4*($B$25:$C$25-$B$19:$C$19))/($B$9:$C$9*$B$22:$C$22+$B$10:$C$10*$B$23:$C$23+$B$11:$C$11*$B$24:$C$24+$B$4:$C$4*($B$25:$C$25-$B$19:$C$19))*(T9:U9*T22:U22+T10:U10*T23:U23+T11:U11*T24:U24+T4:U4*(T25:U25-T19:U19))/($B$9:$C$9*T22:U22+$B$10:$C$10*T23:U23+$B$11:$C$11*T24:U24+$B$4:$C$4*(T25:U25-T19:U19)))</f>
        <v>0.99378131463046127</v>
      </c>
      <c r="U65" s="191"/>
      <c r="V65" s="191">
        <f t="array" ref="V65">SQRT((V9:W9*$B$22:$C$22+V10:W10*$B$23:$C$23+V11:W11*$B$24:$C$24+V4:W4*($B$25:$C$25-$B$19:$C$19))/($B$9:$C$9*$B$22:$C$22+$B$10:$C$10*$B$23:$C$23+$B$11:$C$11*$B$24:$C$24+$B$4:$C$4*($B$25:$C$25-$B$19:$C$19))*(V9:W9*V22:W22+V10:W10*V23:W23+V11:W11*V24:W24+V4:W4*(V25:W25-V19:W19))/($B$9:$C$9*V22:W22+$B$10:$C$10*V23:W23+$B$11:$C$11*V24:W24+$B$4:$C$4*(V25:W25-V19:W19)))</f>
        <v>0.99307585136523646</v>
      </c>
      <c r="W65" s="191"/>
      <c r="X65" s="191">
        <f t="array" ref="X65">SQRT((X9:Y9*$B$22:$C$22+X10:Y10*$B$23:$C$23+X11:Y11*$B$24:$C$24+X4:Y4*($B$25:$C$25-$B$19:$C$19))/($B$9:$C$9*$B$22:$C$22+$B$10:$C$10*$B$23:$C$23+$B$11:$C$11*$B$24:$C$24+$B$4:$C$4*($B$25:$C$25-$B$19:$C$19))*(X9:Y9*X22:Y22+X10:Y10*X23:Y23+X11:Y11*X24:Y24+X4:Y4*(X25:Y25-X19:Y19))/($B$9:$C$9*X22:Y22+$B$10:$C$10*X23:Y23+$B$11:$C$11*X24:Y24+$B$4:$C$4*(X25:Y25-X19:Y19)))</f>
        <v>0.99236837739139616</v>
      </c>
      <c r="Y65" s="191"/>
      <c r="Z65" s="191">
        <f t="array" ref="Z65">SQRT((Z9:AA9*$B$22:$C$22+Z10:AA10*$B$23:$C$23+Z11:AA11*$B$24:$C$24+Z4:AA4*($B$25:$C$25-$B$19:$C$19))/($B$9:$C$9*$B$22:$C$22+$B$10:$C$10*$B$23:$C$23+$B$11:$C$11*$B$24:$C$24+$B$4:$C$4*($B$25:$C$25-$B$19:$C$19))*(Z9:AA9*Z22:AA22+Z10:AA10*Z23:AA23+Z11:AA11*Z24:AA24+Z4:AA4*(Z25:AA25-Z19:AA19))/($B$9:$C$9*Z22:AA22+$B$10:$C$10*Z23:AA23+$B$11:$C$11*Z24:AA24+$B$4:$C$4*(Z25:AA25-Z19:AA19)))</f>
        <v>0.99166258805970942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0.99096617451477054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0.99029408686905951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0.98967433526775761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0.98915784080049818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0.98883289135361851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0.98883664879503119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0.98932792487719545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0.98949334620279017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0.98968056723891773</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0.98988830772583336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0.99011474362339114</v>
      </c>
    </row>
    <row r="66" spans="1:48 16384:16384" x14ac:dyDescent="0.2">
      <c r="A66" t="s">
        <v>182</v>
      </c>
      <c r="B66" s="191">
        <f t="array" ref="B66">SQRT((B9:C9*$B$22:$C$22)/($B$9:$C$9*$B$22:$C$22)*(B9:C9*B22:C22)/($B$9:$C$9*B22:C22))</f>
        <v>1</v>
      </c>
      <c r="C66" s="191"/>
      <c r="D66" s="191">
        <f t="array" ref="D66">SQRT((D9:E9*$B$22:$C$22)/($B$9:$C$9*$B$22:$C$22)*(D9:E9*D22:E22)/($B$9:$C$9*D22:E22))</f>
        <v>0.99924654930868695</v>
      </c>
      <c r="E66" s="191"/>
      <c r="F66" s="191">
        <f t="array" ref="F66">SQRT((F9:G9*$B$22:$C$22)/($B$9:$C$9*$B$22:$C$22)*(F9:G9*F22:G22)/($B$9:$C$9*F22:G22))</f>
        <v>0.99849269570152588</v>
      </c>
      <c r="G66" s="191"/>
      <c r="H66" s="191">
        <f t="array" ref="H66">SQRT((H9:I9*$B$22:$C$22)/($B$9:$C$9*$B$22:$C$22)*(H9:I9*H22:I22)/($B$9:$C$9*H22:I22))</f>
        <v>0.99773787778350465</v>
      </c>
      <c r="I66" s="191"/>
      <c r="J66" s="191">
        <f t="array" ref="J66">SQRT((J9:K9*$B$22:$C$22)/($B$9:$C$9*$B$22:$C$22)*(J9:K9*J22:K22)/($B$9:$C$9*J22:K22))</f>
        <v>0.99698146510182639</v>
      </c>
      <c r="K66" s="191"/>
      <c r="L66" s="191">
        <f t="array" ref="L66">SQRT((L9:M9*$B$22:$C$22)/($B$9:$C$9*$B$22:$C$22)*(L9:M9*L22:M22)/($B$9:$C$9*L22:M22))</f>
        <v>0.99622275122470505</v>
      </c>
      <c r="M66" s="191"/>
      <c r="N66" s="191">
        <f t="array" ref="N66">SQRT((N9:O9*$B$22:$C$22)/($B$9:$C$9*$B$22:$C$22)*(N9:O9*N22:O22)/($B$9:$C$9*N22:O22))</f>
        <v>0.99546100119518244</v>
      </c>
      <c r="O66" s="191"/>
      <c r="P66" s="191">
        <f t="array" ref="P66">SQRT((P9:Q9*$B$22:$C$22)/($B$9:$C$9*$B$22:$C$22)*(P9:Q9*P22:Q22)/($B$9:$C$9*P22:Q22))</f>
        <v>0.99469549173372207</v>
      </c>
      <c r="Q66" s="191"/>
      <c r="R66" s="191">
        <f t="array" ref="R66">SQRT((R9:S9*$B$22:$C$22)/($B$9:$C$9*$B$22:$C$22)*(R9:S9*R22:S22)/($B$9:$C$9*R22:S22))</f>
        <v>0.99392562279246377</v>
      </c>
      <c r="S66" s="191"/>
      <c r="T66" s="191">
        <f t="array" ref="T66">SQRT((T9:U9*$B$22:$C$22)/($B$9:$C$9*$B$22:$C$22)*(T9:U9*T22:U22)/($B$9:$C$9*T22:U22))</f>
        <v>0.99315110854130106</v>
      </c>
      <c r="U66" s="191"/>
      <c r="V66" s="191">
        <f t="array" ref="V66">SQRT((V9:W9*$B$22:$C$22)/($B$9:$C$9*$B$22:$C$22)*(V9:W9*V22:W22)/($B$9:$C$9*V22:W22))</f>
        <v>0.99237232939044218</v>
      </c>
      <c r="W66" s="191"/>
      <c r="X66" s="191">
        <f t="array" ref="X66">SQRT((X9:Y9*$B$22:$C$22)/($B$9:$C$9*$B$22:$C$22)*(X9:Y9*X22:Y22)/($B$9:$C$9*X22:Y22))</f>
        <v>0.99159095604609504</v>
      </c>
      <c r="Y66" s="191"/>
      <c r="Z66" s="191">
        <f t="array" ref="Z66">SQRT((Z9:AA9*$B$22:$C$22)/($B$9:$C$9*$B$22:$C$22)*(Z9:AA9*Z22:AA22)/($B$9:$C$9*Z22:AA22))</f>
        <v>0.99081107149162462</v>
      </c>
      <c r="AA66" s="191"/>
      <c r="AB66" s="191">
        <f t="array" ref="AB66">SQRT((AB9:AC9*$B$22:$C$22)/($B$9:$C$9*$B$22:$C$22)*(AB9:AC9*AB22:AC22)/($B$9:$C$9*AB22:AC22))</f>
        <v>0.9900411888804731</v>
      </c>
      <c r="AC66" s="191"/>
      <c r="AD66" s="191">
        <f t="array" ref="AD66">SQRT((AD9:AE9*$B$22:$C$22)/($B$9:$C$9*$B$22:$C$22)*(AD9:AE9*AD22:AE22)/($B$9:$C$9*AD22:AE22))</f>
        <v>0.98929787573019989</v>
      </c>
      <c r="AE66" s="191"/>
      <c r="AF66" s="191">
        <f t="array" ref="AF66">SQRT((AF9:AG9*$B$22:$C$22)/($B$9:$C$9*$B$22:$C$22)*(AF9:AG9*AF22:AG22)/($B$9:$C$9*AF22:AG22))</f>
        <v>0.98861219815197598</v>
      </c>
      <c r="AG66" s="191"/>
      <c r="AH66" s="191">
        <f t="array" ref="AH66">SQRT((AH9:AI9*$B$22:$C$22)/($B$9:$C$9*$B$22:$C$22)*(AH9:AI9*AH22:AI22)/($B$9:$C$9*AH22:AI22))</f>
        <v>0.98804066197807416</v>
      </c>
      <c r="AI66" s="191"/>
      <c r="AJ66" s="191">
        <f t="array" ref="AJ66">SQRT((AJ9:AK9*$B$22:$C$22)/($B$9:$C$9*$B$22:$C$22)*(AJ9:AK9*AJ22:AK22)/($B$9:$C$9*AJ22:AK22))</f>
        <v>0.98768125150524777</v>
      </c>
      <c r="AK66" s="191"/>
      <c r="AL66" s="191">
        <f t="array" ref="AL66">SQRT((AL9:AM9*$B$22:$C$22)/($B$9:$C$9*$B$22:$C$22)*(AL9:AM9*AL22:AM22)/($B$9:$C$9*AL22:AM22))</f>
        <v>0.98768612227409103</v>
      </c>
      <c r="AM66" s="191"/>
      <c r="AN66" s="191">
        <f t="array" ref="AN66">SQRT((AN9:AO9*$B$22:$C$22)/($B$9:$C$9*$B$22:$C$22)*(AN9:AO9*AN22:AO22)/($B$9:$C$9*AN22:AO22))</f>
        <v>0.98823113125926698</v>
      </c>
      <c r="AO66" s="191"/>
      <c r="AP66" s="191">
        <f t="array" ref="AP66">SQRT((AP9:AQ9*$B$22:$C$22)/($B$9:$C$9*$B$22:$C$22)*(AP9:AQ9*AP22:AQ22)/($B$9:$C$9*AP22:AQ22))</f>
        <v>0.98841448789895936</v>
      </c>
      <c r="AQ66" s="191"/>
      <c r="AR66" s="191">
        <f t="array" ref="AR66">SQRT((AR9:AS9*$B$22:$C$22)/($B$9:$C$9*$B$22:$C$22)*(AR9:AS9*AR22:AS22)/($B$9:$C$9*AR22:AS22))</f>
        <v>0.98862195369962591</v>
      </c>
      <c r="AS66" s="191"/>
      <c r="AT66" s="191">
        <f t="array" ref="AT66">SQRT((AT9:AU9*$B$22:$C$22)/($B$9:$C$9*$B$22:$C$22)*(AT9:AU9*AT22:AU22)/($B$9:$C$9*AT22:AU22))</f>
        <v>0.98885209866791446</v>
      </c>
      <c r="AU66" s="191"/>
      <c r="AV66" s="191">
        <f t="array" ref="AV66">SQRT((AV9:AW9*$B$22:$C$22)/($B$9:$C$9*$B$22:$C$22)*(AV9:AW9*AV22:AW22)/($B$9:$C$9*AV22:AW22))</f>
        <v>0.98910289074233038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0.99924654930868695</v>
      </c>
      <c r="E68" s="191"/>
      <c r="F68" s="191">
        <f>F66/F67</f>
        <v>0.99849269570152588</v>
      </c>
      <c r="G68" s="191"/>
      <c r="H68" s="191">
        <f>H66/H67</f>
        <v>0.99773787778350465</v>
      </c>
      <c r="I68" s="191"/>
      <c r="J68" s="191">
        <f>J66/J67</f>
        <v>0.99698146510182639</v>
      </c>
      <c r="K68" s="191"/>
      <c r="L68" s="191">
        <f>L66/L67</f>
        <v>0.99622275122470505</v>
      </c>
      <c r="M68" s="191"/>
      <c r="N68" s="191">
        <f>N66/N67</f>
        <v>0.99546100119518244</v>
      </c>
      <c r="O68" s="191"/>
      <c r="P68" s="191">
        <f>P66/P67</f>
        <v>0.99469549173372207</v>
      </c>
      <c r="Q68" s="191"/>
      <c r="R68" s="191">
        <f>R66/R67</f>
        <v>0.99392562279246377</v>
      </c>
      <c r="S68" s="191"/>
      <c r="T68" s="191">
        <f>T66/T67</f>
        <v>0.99315110854130106</v>
      </c>
      <c r="U68" s="191"/>
      <c r="V68" s="191">
        <f>V66/V67</f>
        <v>0.99237232939044218</v>
      </c>
      <c r="W68" s="191"/>
      <c r="X68" s="191">
        <f>X66/X67</f>
        <v>0.99159095604609504</v>
      </c>
      <c r="Y68" s="191"/>
      <c r="Z68" s="191">
        <f>Z66/Z67</f>
        <v>0.99081107149162462</v>
      </c>
      <c r="AA68" s="191"/>
      <c r="AB68" s="191">
        <f>AB66/AB67</f>
        <v>0.9900411888804731</v>
      </c>
      <c r="AC68" s="191"/>
      <c r="AD68" s="191">
        <f>AD66/AD67</f>
        <v>0.98929787573019989</v>
      </c>
      <c r="AE68" s="191"/>
      <c r="AF68" s="191">
        <f>AF66/AF67</f>
        <v>0.98861219815197598</v>
      </c>
      <c r="AG68" s="191"/>
      <c r="AH68" s="191">
        <f>AH66/AH67</f>
        <v>0.98804066197807416</v>
      </c>
      <c r="AI68" s="191"/>
      <c r="AJ68" s="191">
        <f>AJ66/AJ67</f>
        <v>0.98768125150524777</v>
      </c>
      <c r="AK68" s="191"/>
      <c r="AL68" s="191">
        <f>AL66/AL67</f>
        <v>0.98768612227409103</v>
      </c>
      <c r="AM68" s="191"/>
      <c r="AN68" s="191">
        <f>AN66/AN67</f>
        <v>0.98823113125926698</v>
      </c>
      <c r="AO68" s="191"/>
      <c r="AP68" s="191">
        <f>AP66/AP67</f>
        <v>0.98841448789895936</v>
      </c>
      <c r="AQ68" s="191"/>
      <c r="AR68" s="191">
        <f>AR66/AR67</f>
        <v>0.98862195369962591</v>
      </c>
      <c r="AS68" s="191"/>
      <c r="AT68" s="191">
        <f>AT66/AT67</f>
        <v>0.98885209866791446</v>
      </c>
      <c r="AU68" s="191"/>
      <c r="AV68" s="191">
        <f>AV66/AV67</f>
        <v>0.98910289074233038</v>
      </c>
      <c r="XFD68" s="191"/>
    </row>
    <row r="69" spans="1:48 16384:16384" x14ac:dyDescent="0.2">
      <c r="A69" t="s">
        <v>177</v>
      </c>
      <c r="B69" s="191">
        <f>B32/B65/($B$32)</f>
        <v>1</v>
      </c>
      <c r="C69" s="191"/>
      <c r="D69" s="191">
        <f>D32/D65/($B$32)</f>
        <v>0.99603099344224155</v>
      </c>
      <c r="E69" s="191"/>
      <c r="F69" s="191">
        <f>F32/F65/($B$32)</f>
        <v>0.99154668208063046</v>
      </c>
      <c r="G69" s="191"/>
      <c r="H69" s="191">
        <f>H32/H65/($B$32)</f>
        <v>0.98646836290576034</v>
      </c>
      <c r="I69" s="191"/>
      <c r="J69" s="191">
        <f>J32/J65/($B$32)</f>
        <v>0.98069950666968653</v>
      </c>
      <c r="K69" s="191"/>
      <c r="L69" s="191">
        <f>L32/L65/($B$32)</f>
        <v>0.97412053122633324</v>
      </c>
      <c r="M69" s="191"/>
      <c r="N69" s="191">
        <f>N32/N65/($B$32)</f>
        <v>0.96658101334755619</v>
      </c>
      <c r="O69" s="191"/>
      <c r="P69" s="191">
        <f>P32/P65/($B$32)</f>
        <v>0.9578891334351326</v>
      </c>
      <c r="Q69" s="191"/>
      <c r="R69" s="191">
        <f>R32/R65/($B$32)</f>
        <v>0.94779601602897623</v>
      </c>
      <c r="S69" s="191"/>
      <c r="T69" s="191">
        <f>T32/T65/($B$32)</f>
        <v>0.93597256751791669</v>
      </c>
      <c r="U69" s="191"/>
      <c r="V69" s="191">
        <f>V32/V65/($B$32)</f>
        <v>0.92197395907410673</v>
      </c>
      <c r="W69" s="191"/>
      <c r="X69" s="191">
        <f>X32/X65/($B$32)</f>
        <v>0.90518363871634766</v>
      </c>
      <c r="Y69" s="191"/>
      <c r="Z69" s="191">
        <f>Z32/Z65/($B$32)</f>
        <v>0.8847218889722408</v>
      </c>
      <c r="AA69" s="191"/>
      <c r="AB69" s="191">
        <f>AB32/AB65/($B$32)</f>
        <v>0.85929043141690975</v>
      </c>
      <c r="AC69" s="191"/>
      <c r="AD69" s="191">
        <f>AD32/AD65/($B$32)</f>
        <v>0.82689738675010016</v>
      </c>
      <c r="AE69" s="191"/>
      <c r="AF69" s="191">
        <f>AF32/AF65/($B$32)</f>
        <v>0.78434824161138694</v>
      </c>
      <c r="AG69" s="191"/>
      <c r="AH69" s="191">
        <f>AH32/AH65/($B$32)</f>
        <v>0.72626490218385864</v>
      </c>
      <c r="AI69" s="191"/>
      <c r="AJ69" s="191">
        <f>AJ32/AJ65/($B$32)</f>
        <v>0.64315239061345941</v>
      </c>
      <c r="AK69" s="191"/>
      <c r="AL69" s="191">
        <f>AL32/AL65/($B$32)</f>
        <v>0.51771582119508852</v>
      </c>
      <c r="AM69" s="191"/>
      <c r="AN69" s="191">
        <f>AN32/AN65/($B$32)</f>
        <v>0.31914636517698458</v>
      </c>
      <c r="AO69" s="191"/>
      <c r="AP69" s="191">
        <f>AP32/AP65/($B$32)</f>
        <v>0.26671100993519242</v>
      </c>
      <c r="AQ69" s="191"/>
      <c r="AR69" s="191">
        <f>AR32/AR65/($B$32)</f>
        <v>0.2090252672248013</v>
      </c>
      <c r="AS69" s="191"/>
      <c r="AT69" s="191">
        <f>AT32/AT65/($B$32)</f>
        <v>0.14563671542796158</v>
      </c>
      <c r="AU69" s="191"/>
      <c r="AV69" s="191">
        <f>AV32/AV65/($B$32)</f>
        <v>7.6102042901125933E-2</v>
      </c>
    </row>
    <row r="70" spans="1:48 16384:16384" x14ac:dyDescent="0.2">
      <c r="A70" t="s">
        <v>178</v>
      </c>
      <c r="B70" s="138">
        <f>B18/$B$18</f>
        <v>1</v>
      </c>
      <c r="C70" s="138"/>
      <c r="D70" s="138">
        <f>D18/$B$18</f>
        <v>0.99480804238564524</v>
      </c>
      <c r="E70" s="138"/>
      <c r="F70" s="138">
        <f>F18/$B$18</f>
        <v>0.98908854997296303</v>
      </c>
      <c r="G70" s="138"/>
      <c r="H70" s="138">
        <f>H18/$B$18</f>
        <v>0.98276251569597994</v>
      </c>
      <c r="I70" s="138"/>
      <c r="J70" s="138">
        <f>J18/$B$18</f>
        <v>0.97573325799867427</v>
      </c>
      <c r="K70" s="138"/>
      <c r="L70" s="138">
        <f>L18/$B$18</f>
        <v>0.96788124420915256</v>
      </c>
      <c r="M70" s="138"/>
      <c r="N70" s="138">
        <f>N18/$B$18</f>
        <v>0.95905645217618918</v>
      </c>
      <c r="O70" s="138"/>
      <c r="P70" s="138">
        <f>P18/$B$18</f>
        <v>0.94906796965220208</v>
      </c>
      <c r="Q70" s="138"/>
      <c r="R70" s="138">
        <f>R18/$B$18</f>
        <v>0.93766862957013153</v>
      </c>
      <c r="S70" s="138"/>
      <c r="T70" s="138">
        <f>T18/$B$18</f>
        <v>0.92453230517017604</v>
      </c>
      <c r="U70" s="138"/>
      <c r="V70" s="138">
        <f>V18/$B$18</f>
        <v>0.9092191775982823</v>
      </c>
      <c r="W70" s="138"/>
      <c r="X70" s="138">
        <f>X18/$B$18</f>
        <v>0.8911211170253247</v>
      </c>
      <c r="Y70" s="138"/>
      <c r="Z70" s="138">
        <f>Z18/$B$18</f>
        <v>0.86937271181709874</v>
      </c>
      <c r="AA70" s="138"/>
      <c r="AB70" s="138">
        <f>AB18/$B$18</f>
        <v>0.84270070146243814</v>
      </c>
      <c r="AC70" s="138"/>
      <c r="AD70" s="138">
        <f>AD18/$B$18</f>
        <v>0.80915866097952127</v>
      </c>
      <c r="AE70" s="138"/>
      <c r="AF70" s="138">
        <f>AF18/$B$18</f>
        <v>0.76563894795679777</v>
      </c>
      <c r="AG70" s="138"/>
      <c r="AH70" s="138">
        <f>AH18/$B$18</f>
        <v>0.70693961675789052</v>
      </c>
      <c r="AI70" s="138"/>
      <c r="AJ70" s="138">
        <f>AJ18/$B$18</f>
        <v>0.62394508370345358</v>
      </c>
      <c r="AK70" s="138"/>
      <c r="AL70" s="138">
        <f>AL18/$B$18</f>
        <v>0.50021392408675436</v>
      </c>
      <c r="AM70" s="138"/>
      <c r="AN70" s="138">
        <f>AN18/$B$18</f>
        <v>0.30683059749822572</v>
      </c>
      <c r="AO70" s="138"/>
      <c r="AP70" s="138">
        <f>AP18/$B$18</f>
        <v>0.25613676747029662</v>
      </c>
      <c r="AQ70" s="138"/>
      <c r="AR70" s="138">
        <f>AR18/$B$18</f>
        <v>0.20051113185070632</v>
      </c>
      <c r="AS70" s="138"/>
      <c r="AT70" s="138">
        <f>AT18/$B$18</f>
        <v>0.13954281290344875</v>
      </c>
      <c r="AU70" s="138"/>
      <c r="AV70" s="138">
        <f>AV18/$B$18</f>
        <v>7.2831632723421566E-2</v>
      </c>
    </row>
    <row r="71" spans="1:48 16384:16384" x14ac:dyDescent="0.2">
      <c r="A71" t="s">
        <v>179</v>
      </c>
      <c r="B71" s="138">
        <f>C18/$C$18</f>
        <v>1</v>
      </c>
      <c r="D71" s="138">
        <f>E18/$C$18</f>
        <v>0.93791657774366521</v>
      </c>
      <c r="E71" s="138"/>
      <c r="F71" s="138">
        <f>G18/$C$18</f>
        <v>0.87615854502798496</v>
      </c>
      <c r="G71" s="138"/>
      <c r="H71" s="138">
        <f>I18/$C$18</f>
        <v>0.8147604514866772</v>
      </c>
      <c r="I71" s="138"/>
      <c r="J71" s="138">
        <f>K18/$C$18</f>
        <v>0.75376380972064427</v>
      </c>
      <c r="K71" s="138"/>
      <c r="L71" s="138">
        <f>M18/$C$18</f>
        <v>0.69321746750531221</v>
      </c>
      <c r="M71" s="138"/>
      <c r="N71" s="138">
        <f>O18/$C$18</f>
        <v>0.63318201954870823</v>
      </c>
      <c r="O71" s="138"/>
      <c r="P71" s="138">
        <f>Q18/$C$18</f>
        <v>0.57373199547670672</v>
      </c>
      <c r="Q71" s="138"/>
      <c r="R71" s="138">
        <f>S18/$C$18</f>
        <v>0.51496138550800585</v>
      </c>
      <c r="S71" s="138"/>
      <c r="T71" s="138">
        <f>U18/$C$18</f>
        <v>0.45699043358012392</v>
      </c>
      <c r="U71" s="138"/>
      <c r="V71" s="138">
        <f>W18/$C$18</f>
        <v>0.39997615417850307</v>
      </c>
      <c r="W71" s="138"/>
      <c r="X71" s="138">
        <f>Y18/$C$18</f>
        <v>0.34412746786610771</v>
      </c>
      <c r="Y71" s="138"/>
      <c r="Z71" s="138">
        <f>AA18/$C$18</f>
        <v>0.28972680737768713</v>
      </c>
      <c r="AA71" s="138"/>
      <c r="AB71" s="138">
        <f>AC18/$C$18</f>
        <v>0.23716480009950899</v>
      </c>
      <c r="AC71" s="138"/>
      <c r="AD71" s="138">
        <f>AE18/$C$18</f>
        <v>0.18698972401705319</v>
      </c>
      <c r="AE71" s="138"/>
      <c r="AF71" s="138">
        <f>AG18/$C$18</f>
        <v>0.1399799488332919</v>
      </c>
      <c r="AG71" s="138"/>
      <c r="AH71" s="138">
        <f>AI18/$C$18</f>
        <v>9.7238606916065173E-2</v>
      </c>
      <c r="AI71" s="138"/>
      <c r="AJ71" s="138">
        <f>AK18/$C$18</f>
        <v>6.0277064365570933E-2</v>
      </c>
      <c r="AK71" s="138"/>
      <c r="AL71" s="138">
        <f>AM18/$C$18</f>
        <v>3.0946584680514918E-2</v>
      </c>
      <c r="AM71" s="138"/>
      <c r="AN71" s="138">
        <f>AO18/$C$18</f>
        <v>1.0856136165127712E-2</v>
      </c>
      <c r="AO71" s="138"/>
      <c r="AP71" s="138">
        <f>AQ18/$C$18</f>
        <v>7.9924059239747051E-3</v>
      </c>
      <c r="AQ71" s="138"/>
      <c r="AR71" s="138">
        <f>AS18/$C$18</f>
        <v>5.4948168076979498E-3</v>
      </c>
      <c r="AS71" s="138"/>
      <c r="AT71" s="138">
        <f>AU18/$C$18</f>
        <v>3.3456403414271313E-3</v>
      </c>
      <c r="AU71" s="138"/>
      <c r="AV71" s="138">
        <f>AW18/$C$18</f>
        <v>1.5226814624031595E-3</v>
      </c>
      <c r="XFD71" s="138"/>
    </row>
    <row r="72" spans="1:48 16384:16384" x14ac:dyDescent="0.2">
      <c r="A72" t="s">
        <v>180</v>
      </c>
      <c r="B72" s="138">
        <f>C19/$C$19</f>
        <v>1</v>
      </c>
      <c r="D72" s="138">
        <f>E19/$C$19</f>
        <v>0.99463202273642248</v>
      </c>
      <c r="E72" s="138"/>
      <c r="F72" s="138">
        <f>G19/$C$19</f>
        <v>0.9893884626282311</v>
      </c>
      <c r="G72" s="138"/>
      <c r="H72" s="138">
        <f>I19/$C$19</f>
        <v>0.98423471174937205</v>
      </c>
      <c r="I72" s="138"/>
      <c r="J72" s="138">
        <f>K19/$C$19</f>
        <v>0.97911961500081091</v>
      </c>
      <c r="K72" s="138"/>
      <c r="L72" s="138">
        <f>M19/$C$19</f>
        <v>0.97396756177244215</v>
      </c>
      <c r="M72" s="138"/>
      <c r="N72" s="138">
        <f>O19/$C$19</f>
        <v>0.96866863715754481</v>
      </c>
      <c r="O72" s="138"/>
      <c r="P72" s="138">
        <f>Q19/$C$19</f>
        <v>0.96306213770722493</v>
      </c>
      <c r="Q72" s="138"/>
      <c r="R72" s="138">
        <f>S19/$C$19</f>
        <v>0.95691272576477404</v>
      </c>
      <c r="S72" s="138"/>
      <c r="T72" s="138">
        <f>U19/$C$19</f>
        <v>0.94987319198850462</v>
      </c>
      <c r="U72" s="138"/>
      <c r="V72" s="138">
        <f>W19/$C$19</f>
        <v>0.94142646494469762</v>
      </c>
      <c r="W72" s="138"/>
      <c r="X72" s="138">
        <f>Y19/$C$19</f>
        <v>0.9307926760571329</v>
      </c>
      <c r="Y72" s="138"/>
      <c r="Z72" s="138">
        <f>AA19/$C$19</f>
        <v>0.91677783806725566</v>
      </c>
      <c r="AA72" s="138"/>
      <c r="AB72" s="138">
        <f>AC19/$C$19</f>
        <v>0.89752336334776972</v>
      </c>
      <c r="AC72" s="138"/>
      <c r="AD72" s="138">
        <f>AE19/$C$19</f>
        <v>0.87008442347009141</v>
      </c>
      <c r="AE72" s="138"/>
      <c r="AF72" s="138">
        <f>AG19/$C$19</f>
        <v>0.82972011141612967</v>
      </c>
      <c r="AG72" s="138"/>
      <c r="AH72" s="138">
        <f>AI19/$C$19</f>
        <v>0.76873261784835367</v>
      </c>
      <c r="AI72" s="138"/>
      <c r="AJ72" s="138">
        <f>AK19/$C$19</f>
        <v>0.67477593412815373</v>
      </c>
      <c r="AK72" s="138"/>
      <c r="AL72" s="138">
        <f>AM19/$C$19</f>
        <v>0.52930052873672406</v>
      </c>
      <c r="AM72" s="138"/>
      <c r="AN72" s="138">
        <f>AO19/$C$19</f>
        <v>0.30945811456493577</v>
      </c>
      <c r="AO72" s="138"/>
      <c r="AP72" s="138">
        <f>AQ19/$C$19</f>
        <v>0.25486161765764753</v>
      </c>
      <c r="AQ72" s="138"/>
      <c r="AR72" s="138">
        <f>AS19/$C$19</f>
        <v>0.1965632023300202</v>
      </c>
      <c r="AS72" s="138"/>
      <c r="AT72" s="138">
        <f>AU19/$C$19</f>
        <v>0.13458989818083203</v>
      </c>
      <c r="AU72" s="138"/>
      <c r="AV72" s="138">
        <f>AW19/$C$19</f>
        <v>6.9023598143552717E-2</v>
      </c>
      <c r="XFD72" s="138"/>
    </row>
    <row r="73" spans="1:48 16384:16384" x14ac:dyDescent="0.2">
      <c r="A73" t="s">
        <v>184</v>
      </c>
      <c r="B73" s="193">
        <f t="array" ref="B73">SUM(B9:C9*B22:C22)/B32</f>
        <v>0.47641153352875065</v>
      </c>
      <c r="D73" s="193">
        <f t="array" ref="D73">SUM(D9:E9*D22:E22)/D32</f>
        <v>0.47509127112912197</v>
      </c>
      <c r="E73" s="138"/>
      <c r="F73" s="193">
        <f t="array" ref="F73">SUM(F9:G9*F22:G22)/F32</f>
        <v>0.47375919499887986</v>
      </c>
      <c r="G73" s="138"/>
      <c r="H73" s="193">
        <f t="array" ref="H73">SUM(H9:I9*H22:I22)/H32</f>
        <v>0.47241343674637998</v>
      </c>
      <c r="I73" s="138"/>
      <c r="J73" s="193">
        <f t="array" ref="J73">SUM(J9:K9*J22:K22)/J32</f>
        <v>0.47105180649367789</v>
      </c>
      <c r="K73" s="138"/>
      <c r="L73" s="193">
        <f t="array" ref="L73">SUM(L9:M9*L22:M22)/L32</f>
        <v>0.4696716689978962</v>
      </c>
      <c r="M73" s="138"/>
      <c r="N73" s="193">
        <f t="array" ref="N73">SUM(N9:O9*N22:O22)/N32</f>
        <v>0.46826987288488064</v>
      </c>
      <c r="O73" s="138"/>
      <c r="P73" s="193">
        <f t="array" ref="P73">SUM(P9:Q9*P22:Q22)/P32</f>
        <v>0.46684256100914046</v>
      </c>
      <c r="Q73" s="138"/>
      <c r="R73" s="193">
        <f t="array" ref="R73">SUM(R9:S9*R22:S22)/R32</f>
        <v>0.4653849624696953</v>
      </c>
      <c r="S73" s="138"/>
      <c r="T73" s="193">
        <f t="array" ref="T73">SUM(T9:U9*T22:U22)/T32</f>
        <v>0.46389107345098157</v>
      </c>
      <c r="U73" s="138"/>
      <c r="V73" s="193">
        <f t="array" ref="V73">SUM(V9:W9*V22:W22)/V32</f>
        <v>0.46235319990395479</v>
      </c>
      <c r="W73" s="138"/>
      <c r="X73" s="193">
        <f t="array" ref="X73">SUM(X9:Y9*X22:Y22)/X32</f>
        <v>0.46076126349630925</v>
      </c>
      <c r="Y73" s="138"/>
      <c r="Z73" s="193">
        <f t="array" ref="Z73">SUM(Z9:AA9*Z22:AA22)/Z32</f>
        <v>0.45910178445881922</v>
      </c>
      <c r="AA73" s="138"/>
      <c r="AB73" s="193">
        <f t="array" ref="AB73">SUM(AB9:AC9*AB22:AC22)/AB32</f>
        <v>0.45735624241010753</v>
      </c>
      <c r="AC73" s="138"/>
      <c r="AD73" s="193">
        <f t="array" ref="AD73">SUM(AD9:AE9*AD22:AE22)/AD32</f>
        <v>0.45549855494055669</v>
      </c>
      <c r="AE73" s="138"/>
      <c r="AF73" s="193">
        <f t="array" ref="AF73">SUM(AF9:AG9*AF22:AG22)/AF32</f>
        <v>0.45349112245616602</v>
      </c>
      <c r="AG73" s="138"/>
      <c r="AH73" s="193">
        <f t="array" ref="AH73">SUM(AH9:AI9*AH22:AI22)/AH32</f>
        <v>0.45127903999948477</v>
      </c>
      <c r="AI73" s="138"/>
      <c r="AJ73" s="193">
        <f t="array" ref="AJ73">SUM(AJ9:AK9*AJ22:AK22)/AJ32</f>
        <v>0.44878355180117513</v>
      </c>
      <c r="AK73" s="138"/>
      <c r="AL73" s="193">
        <f t="array" ref="AL73">SUM(AL9:AM9*AL22:AM22)/AL32</f>
        <v>0.44590288253897908</v>
      </c>
      <c r="AM73" s="138"/>
      <c r="AN73" s="193">
        <f t="array" ref="AN73">SUM(AN9:AO9*AN22:AO22)/AN32</f>
        <v>0.44254938591758469</v>
      </c>
      <c r="AO73" s="138"/>
      <c r="AP73" s="193">
        <f t="array" ref="AP73">SUM(AP9:AQ9*AP22:AQ22)/AP32</f>
        <v>0.44182158323238457</v>
      </c>
      <c r="AQ73" s="138"/>
      <c r="AR73" s="193">
        <f t="array" ref="AR73">SUM(AR9:AS9*AR22:AS22)/AR32</f>
        <v>0.44107714603741738</v>
      </c>
      <c r="AS73" s="138"/>
      <c r="AT73" s="193">
        <f t="array" ref="AT73">SUM(AT9:AU9*AT22:AU22)/AT32</f>
        <v>0.44031806062344486</v>
      </c>
      <c r="AU73" s="138"/>
      <c r="AV73" s="193">
        <f t="array" ref="AV73">SUM(AV9:AW9*AV22:AW22)/AV32</f>
        <v>0.43954680082708525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0.22170465330140937</v>
      </c>
      <c r="E75" s="138"/>
      <c r="F75" s="193">
        <f t="array" ref="F75">SUM(F11:G11*F24:G24)/F32</f>
        <v>0.22303672939136623</v>
      </c>
      <c r="G75" s="138"/>
      <c r="H75" s="193">
        <f t="array" ref="H75">SUM(H11:I11*H24:I24)/H32</f>
        <v>0.2243824851704469</v>
      </c>
      <c r="I75" s="138"/>
      <c r="J75" s="193">
        <f t="array" ref="J75">SUM(J11:K11*J24:K24)/J32</f>
        <v>0.22574411677631975</v>
      </c>
      <c r="K75" s="138"/>
      <c r="L75" s="193">
        <f t="array" ref="L75">SUM(L11:M11*L24:M24)/L32</f>
        <v>0.22712425293294425</v>
      </c>
      <c r="M75" s="138"/>
      <c r="N75" s="193">
        <f t="array" ref="N75">SUM(N11:O11*N24:O24)/N32</f>
        <v>0.22852604906391072</v>
      </c>
      <c r="O75" s="138"/>
      <c r="P75" s="193">
        <f t="array" ref="P75">SUM(P11:Q11*P24:Q24)/P32</f>
        <v>0.22995336092274155</v>
      </c>
      <c r="Q75" s="138"/>
      <c r="R75" s="193">
        <f t="array" ref="R75">SUM(R11:S11*R24:S24)/R32</f>
        <v>0.23141095982524937</v>
      </c>
      <c r="S75" s="138"/>
      <c r="T75" s="193">
        <f t="array" ref="T75">SUM(T11:U11*T24:U24)/T32</f>
        <v>0.23290484842610978</v>
      </c>
      <c r="U75" s="138"/>
      <c r="V75" s="193">
        <f t="array" ref="V75">SUM(V11:W11*V24:W24)/V32</f>
        <v>0.23444272199027477</v>
      </c>
      <c r="W75" s="138"/>
      <c r="X75" s="193">
        <f t="array" ref="X75">SUM(X11:Y11*X24:Y24)/X32</f>
        <v>0.23603465832474371</v>
      </c>
      <c r="Y75" s="138"/>
      <c r="Z75" s="193">
        <f t="array" ref="Z75">SUM(Z11:AA11*Z24:AA24)/Z32</f>
        <v>0.23769413739521869</v>
      </c>
      <c r="AA75" s="138"/>
      <c r="AB75" s="193">
        <f t="array" ref="AB75">SUM(AB11:AC11*AB24:AC24)/AB32</f>
        <v>0.23943967948707331</v>
      </c>
      <c r="AC75" s="138"/>
      <c r="AD75" s="193">
        <f t="array" ref="AD75">SUM(AD11:AE11*AD24:AE24)/AD32</f>
        <v>0.24129736690924833</v>
      </c>
      <c r="AE75" s="138"/>
      <c r="AF75" s="193">
        <f t="array" ref="AF75">SUM(AF11:AG11*AF24:AG24)/AF32</f>
        <v>0.2433047993109031</v>
      </c>
      <c r="AG75" s="138"/>
      <c r="AH75" s="193">
        <f t="array" ref="AH75">SUM(AH11:AI11*AH24:AI24)/AH32</f>
        <v>0.24551688182353451</v>
      </c>
      <c r="AI75" s="138"/>
      <c r="AJ75" s="193">
        <f t="array" ref="AJ75">SUM(AJ11:AK11*AJ24:AK24)/AJ32</f>
        <v>0.24801237008381902</v>
      </c>
      <c r="AK75" s="138"/>
      <c r="AL75" s="193">
        <f t="array" ref="AL75">SUM(AL11:AM11*AL24:AM24)/AL32</f>
        <v>0.25089303929551926</v>
      </c>
      <c r="AM75" s="138"/>
      <c r="AN75" s="193">
        <f t="array" ref="AN75">SUM(AN11:AO11*AN24:AO24)/AN32</f>
        <v>0.25424653587096369</v>
      </c>
      <c r="AO75" s="138"/>
      <c r="AP75" s="193">
        <f t="array" ref="AP75">SUM(AP11:AQ11*AP24:AQ24)/AP32</f>
        <v>0.25497433853576007</v>
      </c>
      <c r="AQ75" s="138"/>
      <c r="AR75" s="193">
        <f t="array" ref="AR75">SUM(AR11:AS11*AR24:AS24)/AR32</f>
        <v>0.25571877602300463</v>
      </c>
      <c r="AS75" s="138"/>
      <c r="AT75" s="193">
        <f t="array" ref="AT75">SUM(AT11:AU11*AT24:AU24)/AT32</f>
        <v>0.25647786138414935</v>
      </c>
      <c r="AU75" s="138"/>
      <c r="AV75" s="193">
        <f t="array" ref="AV75">SUM(AV11:AW11*AV24:AW24)/AV32</f>
        <v>0.25724912074331563</v>
      </c>
      <c r="XFD75" s="193"/>
    </row>
    <row r="76" spans="1:48 16384:16384" x14ac:dyDescent="0.2">
      <c r="A76" t="s">
        <v>187</v>
      </c>
      <c r="B76" s="193">
        <f t="array" ref="B76">SUM(B12:C12*B25:C25)/B32</f>
        <v>0.22301874374724867</v>
      </c>
      <c r="D76" s="193">
        <f t="array" ref="D76">SUM(D12:E12*D25:E25)/D32</f>
        <v>0.22270514484041889</v>
      </c>
      <c r="E76" s="138"/>
      <c r="F76" s="193">
        <f t="array" ref="F76">SUM(F12:G12*F25:G25)/F32</f>
        <v>0.22240007790045926</v>
      </c>
      <c r="G76" s="138"/>
      <c r="H76" s="193">
        <f t="array" ref="H76">SUM(H12:I12*H25:I25)/H32</f>
        <v>0.22210403849564805</v>
      </c>
      <c r="I76" s="138"/>
      <c r="J76" s="193">
        <f t="array" ref="J76">SUM(J12:K12*J25:K25)/J32</f>
        <v>0.22181752880362918</v>
      </c>
      <c r="K76" s="138"/>
      <c r="L76" s="193">
        <f t="array" ref="L76">SUM(L12:M12*L25:M25)/L32</f>
        <v>0.22154102755030394</v>
      </c>
      <c r="M76" s="138"/>
      <c r="N76" s="193">
        <f t="array" ref="N76">SUM(N12:O12*N25:O25)/N32</f>
        <v>0.22127494677784773</v>
      </c>
      <c r="O76" s="138"/>
      <c r="P76" s="193">
        <f t="array" ref="P76">SUM(P12:Q12*P25:Q25)/P32</f>
        <v>0.22101954924826853</v>
      </c>
      <c r="Q76" s="138"/>
      <c r="R76" s="193">
        <f t="array" ref="R76">SUM(R12:S12*R25:S25)/R32</f>
        <v>0.22077481613534483</v>
      </c>
      <c r="S76" s="138"/>
      <c r="T76" s="193">
        <f t="array" ref="T76">SUM(T12:U12*T25:U25)/T32</f>
        <v>0.22054022180818339</v>
      </c>
      <c r="U76" s="138"/>
      <c r="V76" s="193">
        <f t="array" ref="V76">SUM(V12:W12*V25:W25)/V32</f>
        <v>0.22031435581805736</v>
      </c>
      <c r="W76" s="138"/>
      <c r="X76" s="193">
        <f t="array" ref="X76">SUM(X12:Y12*X25:Y25)/X32</f>
        <v>0.22009428130335223</v>
      </c>
      <c r="Y76" s="138"/>
      <c r="Z76" s="193">
        <f t="array" ref="Z76">SUM(Z12:AA12*Z25:AA25)/Z32</f>
        <v>0.21987441814425535</v>
      </c>
      <c r="AA76" s="138"/>
      <c r="AB76" s="193">
        <f t="array" ref="AB76">SUM(AB12:AC12*AB25:AC25)/AB32</f>
        <v>0.2196446317598354</v>
      </c>
      <c r="AC76" s="138"/>
      <c r="AD76" s="193">
        <f t="array" ref="AD76">SUM(AD12:AE12*AD25:AE25)/AD32</f>
        <v>0.21938687654052857</v>
      </c>
      <c r="AE76" s="138"/>
      <c r="AF76" s="193">
        <f t="array" ref="AF76">SUM(AF12:AG12*AF25:AG25)/AF32</f>
        <v>0.21906942168852503</v>
      </c>
      <c r="AG76" s="138"/>
      <c r="AH76" s="193">
        <f t="array" ref="AH76">SUM(AH12:AI12*AH25:AI25)/AH32</f>
        <v>0.21863740651494346</v>
      </c>
      <c r="AI76" s="138"/>
      <c r="AJ76" s="193">
        <f t="array" ref="AJ76">SUM(AJ12:AK12*AJ25:AK25)/AJ32</f>
        <v>0.21799984763155478</v>
      </c>
      <c r="AK76" s="138"/>
      <c r="AL76" s="193">
        <f t="array" ref="AL76">SUM(AL12:AM12*AL25:AM25)/AL32</f>
        <v>0.21702215272369105</v>
      </c>
      <c r="AM76" s="138"/>
      <c r="AN76" s="193">
        <f t="array" ref="AN76">SUM(AN12:AO12*AN25:AO25)/AN32</f>
        <v>0.21556159343453099</v>
      </c>
      <c r="AO76" s="138"/>
      <c r="AP76" s="193">
        <f t="array" ref="AP76">SUM(AP12:AQ12*AP25:AQ25)/AP32</f>
        <v>0.21520582208220831</v>
      </c>
      <c r="AQ76" s="138"/>
      <c r="AR76" s="193">
        <f t="array" ref="AR76">SUM(AR12:AS12*AR25:AS25)/AR32</f>
        <v>0.21483030639905371</v>
      </c>
      <c r="AS76" s="138"/>
      <c r="AT76" s="193">
        <f t="array" ref="AT76">SUM(AT12:AU12*AT25:AU25)/AT32</f>
        <v>0.21443675448586139</v>
      </c>
      <c r="AU76" s="138"/>
      <c r="AV76" s="193">
        <f t="array" ref="AV76">SUM(AV12:AW12*AV25:AW25)/AV32</f>
        <v>0.21402742210747239</v>
      </c>
      <c r="XFD76" s="193"/>
    </row>
    <row r="77" spans="1:48 16384:16384" x14ac:dyDescent="0.2">
      <c r="A77" t="s">
        <v>188</v>
      </c>
      <c r="B77" s="193">
        <f t="array" ref="B77">SUM(B4:C4*B19:C19)/B32</f>
        <v>0.14586087017236485</v>
      </c>
      <c r="D77" s="193">
        <f t="array" ref="D77">SUM(D4:E4*D19:E19)/D32</f>
        <v>0.14554727383537525</v>
      </c>
      <c r="E77" s="138"/>
      <c r="F77" s="193">
        <f t="array" ref="F77">SUM(F4:G4*F19:G19)/F32</f>
        <v>0.14524220685513003</v>
      </c>
      <c r="G77" s="138"/>
      <c r="H77" s="193">
        <f t="array" ref="H77">SUM(H4:I4*H19:I19)/H32</f>
        <v>0.1449461649768998</v>
      </c>
      <c r="I77" s="138"/>
      <c r="J77" s="193">
        <f t="array" ref="J77">SUM(J4:K4*J19:K19)/J32</f>
        <v>0.14465965663805155</v>
      </c>
      <c r="K77" s="138"/>
      <c r="L77" s="193">
        <f t="array" ref="L77">SUM(L4:M4*L19:M19)/L32</f>
        <v>0.14438315404556912</v>
      </c>
      <c r="M77" s="138"/>
      <c r="N77" s="193">
        <f t="array" ref="N77">SUM(N4:O4*N19:O19)/N32</f>
        <v>0.14411707329106385</v>
      </c>
      <c r="O77" s="138"/>
      <c r="P77" s="193">
        <f t="array" ref="P77">SUM(P4:Q4*P19:Q19)/P32</f>
        <v>0.14386167574457517</v>
      </c>
      <c r="Q77" s="138"/>
      <c r="R77" s="193">
        <f t="array" ref="R77">SUM(R4:S4*R19:S19)/R32</f>
        <v>0.14361694299471431</v>
      </c>
      <c r="S77" s="138"/>
      <c r="T77" s="193">
        <f t="array" ref="T77">SUM(T4:U4*T19:U19)/T32</f>
        <v>0.14338234824969953</v>
      </c>
      <c r="U77" s="138"/>
      <c r="V77" s="193">
        <f t="array" ref="V77">SUM(V4:W4*V19:W19)/V32</f>
        <v>0.14315648227671154</v>
      </c>
      <c r="W77" s="138"/>
      <c r="X77" s="193">
        <f t="array" ref="X77">SUM(X4:Y4*X19:Y19)/X32</f>
        <v>0.14293640768882987</v>
      </c>
      <c r="Y77" s="138"/>
      <c r="Z77" s="193">
        <f t="array" ref="Z77">SUM(Z4:AA4*Z19:AA19)/Z32</f>
        <v>0.14271654456271798</v>
      </c>
      <c r="AA77" s="138"/>
      <c r="AB77" s="193">
        <f t="array" ref="AB77">SUM(AB4:AC4*AB19:AC19)/AB32</f>
        <v>0.14248675822144102</v>
      </c>
      <c r="AC77" s="138"/>
      <c r="AD77" s="193">
        <f t="array" ref="AD77">SUM(AD4:AE4*AD19:AE19)/AD32</f>
        <v>0.14222900295475818</v>
      </c>
      <c r="AE77" s="138"/>
      <c r="AF77" s="193">
        <f t="array" ref="AF77">SUM(AF4:AG4*AF19:AG19)/AF32</f>
        <v>0.14191154802001901</v>
      </c>
      <c r="AG77" s="138"/>
      <c r="AH77" s="193">
        <f t="array" ref="AH77">SUM(AH4:AI4*AH19:AI19)/AH32</f>
        <v>0.14147953290238757</v>
      </c>
      <c r="AI77" s="138"/>
      <c r="AJ77" s="193">
        <f t="array" ref="AJ77">SUM(AJ4:AK4*AJ19:AK19)/AJ32</f>
        <v>0.14084197408097363</v>
      </c>
      <c r="AK77" s="138"/>
      <c r="AL77" s="193">
        <f t="array" ref="AL77">SUM(AL4:AM4*AL19:AM19)/AL32</f>
        <v>0.13986427912261407</v>
      </c>
      <c r="AM77" s="138"/>
      <c r="AN77" s="193">
        <f t="array" ref="AN77">SUM(AN4:AO4*AN19:AO19)/AN32</f>
        <v>0.13840371978750401</v>
      </c>
      <c r="AO77" s="138"/>
      <c r="AP77" s="193">
        <f t="array" ref="AP77">SUM(AP4:AQ4*AP19:AQ19)/AP32</f>
        <v>0.13804794841477758</v>
      </c>
      <c r="AQ77" s="138"/>
      <c r="AR77" s="193">
        <f t="array" ref="AR77">SUM(AR4:AS4*AR19:AS19)/AR32</f>
        <v>0.1376724330239005</v>
      </c>
      <c r="AS77" s="138"/>
      <c r="AT77" s="193">
        <f t="array" ref="AT77">SUM(AT4:AU4*AT19:AU19)/AT32</f>
        <v>0.13727888105788025</v>
      </c>
      <c r="AU77" s="138"/>
      <c r="AV77" s="193">
        <f t="array" ref="AV77">SUM(AV4:AW4*AV19:AW19)/AV32</f>
        <v>0.13686954824229808</v>
      </c>
      <c r="XFD77" s="193"/>
    </row>
    <row r="78" spans="1:48 16384:16384" x14ac:dyDescent="0.2">
      <c r="A78" t="s">
        <v>189</v>
      </c>
      <c r="B78" s="193">
        <f t="array" ref="B78">SUM(B13:C13*B26:C26)/B32</f>
        <v>0.346887593115773</v>
      </c>
      <c r="D78" s="193">
        <f t="array" ref="D78">SUM(D13:E13*D26:E26)/D32</f>
        <v>0.34629877843695567</v>
      </c>
      <c r="E78" s="138"/>
      <c r="F78" s="193">
        <f t="array" ref="F78">SUM(F13:G13*F26:G26)/F32</f>
        <v>0.34570742329669391</v>
      </c>
      <c r="G78" s="138"/>
      <c r="H78" s="193">
        <f t="array" ref="H78">SUM(H13:I13*H26:I26)/H32</f>
        <v>0.34511392382604172</v>
      </c>
      <c r="I78" s="138"/>
      <c r="J78" s="193">
        <f t="array" ref="J78">SUM(J13:K13*J26:K26)/J32</f>
        <v>0.34451886888948929</v>
      </c>
      <c r="K78" s="138"/>
      <c r="L78" s="193">
        <f t="array" ref="L78">SUM(L13:M13*L26:M26)/L32</f>
        <v>0.34392309115258823</v>
      </c>
      <c r="M78" s="138"/>
      <c r="N78" s="193">
        <f t="array" ref="N78">SUM(N13:O13*N26:O26)/N32</f>
        <v>0.34332778075745196</v>
      </c>
      <c r="O78" s="138"/>
      <c r="P78" s="193">
        <f t="array" ref="P78">SUM(P13:Q13*P26:Q26)/P32</f>
        <v>0.34273460389356541</v>
      </c>
      <c r="Q78" s="138"/>
      <c r="R78" s="193">
        <f t="array" ref="R78">SUM(R13:S13*R26:S26)/R32</f>
        <v>0.34214590099679776</v>
      </c>
      <c r="S78" s="138"/>
      <c r="T78" s="193">
        <f t="array" ref="T78">SUM(T13:U13*T26:U26)/T32</f>
        <v>0.34156496568696154</v>
      </c>
      <c r="U78" s="138"/>
      <c r="V78" s="193">
        <f t="array" ref="V78">SUM(V13:W13*V26:W26)/V32</f>
        <v>0.34099646849268034</v>
      </c>
      <c r="W78" s="138"/>
      <c r="X78" s="193">
        <f t="array" ref="X78">SUM(X13:Y13*X26:Y26)/X32</f>
        <v>0.34044710419916319</v>
      </c>
      <c r="Y78" s="138"/>
      <c r="Z78" s="193">
        <f t="array" ref="Z78">SUM(Z13:AA13*Z26:AA26)/Z32</f>
        <v>0.3399265963537399</v>
      </c>
      <c r="AA78" s="138"/>
      <c r="AB78" s="193">
        <f t="array" ref="AB78">SUM(AB13:AC13*AB26:AC26)/AB32</f>
        <v>0.33944934295406926</v>
      </c>
      <c r="AC78" s="138"/>
      <c r="AD78" s="193">
        <f t="array" ref="AD78">SUM(AD13:AE13*AD26:AE26)/AD32</f>
        <v>0.33903711309133305</v>
      </c>
      <c r="AE78" s="138"/>
      <c r="AF78" s="193">
        <f t="array" ref="AF78">SUM(AF13:AG13*AF26:AG26)/AF32</f>
        <v>0.33872361997435013</v>
      </c>
      <c r="AG78" s="138"/>
      <c r="AH78" s="193">
        <f t="array" ref="AH78">SUM(AH13:AI13*AH26:AI26)/AH32</f>
        <v>0.33856230282497052</v>
      </c>
      <c r="AI78" s="138"/>
      <c r="AJ78" s="193">
        <f t="array" ref="AJ78">SUM(AJ13:AK13*AJ26:AK26)/AJ32</f>
        <v>0.33863894404293143</v>
      </c>
      <c r="AK78" s="138"/>
      <c r="AL78" s="193">
        <f t="array" ref="AL78">SUM(AL13:AM13*AL26:AM26)/AL32</f>
        <v>0.33908795698098493</v>
      </c>
      <c r="AM78" s="138"/>
      <c r="AN78" s="193">
        <f t="array" ref="AN78">SUM(AN13:AO13*AN26:AO26)/AN32</f>
        <v>0.3400940671688924</v>
      </c>
      <c r="AO78" s="138"/>
      <c r="AP78" s="193">
        <f t="array" ref="AP78">SUM(AP13:AQ13*AP26:AQ26)/AP32</f>
        <v>0.34037863237081756</v>
      </c>
      <c r="AQ78" s="138"/>
      <c r="AR78" s="193">
        <f t="array" ref="AR78">SUM(AR13:AS13*AR26:AS26)/AR32</f>
        <v>0.34069331847107354</v>
      </c>
      <c r="AS78" s="138"/>
      <c r="AT78" s="193">
        <f t="array" ref="AT78">SUM(AT13:AU13*AT26:AU26)/AT32</f>
        <v>0.34103838889309501</v>
      </c>
      <c r="AU78" s="138"/>
      <c r="AV78" s="193">
        <f t="array" ref="AV78">SUM(AV13:AW13*AV26:AW26)/AV32</f>
        <v>0.34141359889230627</v>
      </c>
      <c r="XFD78" s="193"/>
    </row>
    <row r="79" spans="1:48 16384:16384" x14ac:dyDescent="0.2">
      <c r="A79" t="s">
        <v>190</v>
      </c>
      <c r="B79" s="193">
        <f t="array" ref="B79">SUM(B15:C15*B27:C27)/B32</f>
        <v>0.45460968782439864</v>
      </c>
      <c r="D79" s="193">
        <f t="array" ref="D79">SUM(D15:E15*D27:E27)/D32</f>
        <v>0.45297215228099785</v>
      </c>
      <c r="F79" s="193">
        <f t="array" ref="F79">SUM(F15:G15*F27:G27)/F32</f>
        <v>0.45131720213134463</v>
      </c>
      <c r="H79" s="193">
        <f t="array" ref="H79">SUM(H15:I15*H27:I27)/H32</f>
        <v>0.44964126916513081</v>
      </c>
      <c r="J79" s="193">
        <f t="array" ref="J79">SUM(J15:K15*J27:K27)/J32</f>
        <v>0.44794005075323701</v>
      </c>
      <c r="L79" s="193">
        <f t="array" ref="L79">SUM(L15:M15*L27:M27)/L32</f>
        <v>0.44620823730022147</v>
      </c>
      <c r="N79" s="193">
        <f t="array" ref="N79">SUM(N15:O15*N27:O27)/N32</f>
        <v>0.44443929386911063</v>
      </c>
      <c r="P79" s="193">
        <f t="array" ref="P79">SUM(P15:Q15*P27:Q27)/P32</f>
        <v>0.44262500352864842</v>
      </c>
      <c r="R79" s="193">
        <f t="array" ref="R79">SUM(R15:S15*R27:S27)/R32</f>
        <v>0.44075492012680573</v>
      </c>
      <c r="T79" s="193">
        <f t="array" ref="T79">SUM(T15:U15*T27:U27)/T32</f>
        <v>0.43881553610812241</v>
      </c>
      <c r="V79" s="193">
        <f t="array" ref="V79">SUM(V15:W15*V27:W27)/V32</f>
        <v>0.43678909100776425</v>
      </c>
      <c r="X79" s="193">
        <f t="array" ref="X79">SUM(X15:Y15*X27:Y27)/X32</f>
        <v>0.43465176237950975</v>
      </c>
      <c r="Z79" s="193">
        <f t="array" ref="Z79">SUM(Z15:AA15*Z27:AA27)/Z32</f>
        <v>0.43237084492538613</v>
      </c>
      <c r="AB79" s="193">
        <f t="array" ref="AB79">SUM(AB15:AC15*AB27:AC27)/AB32</f>
        <v>0.42990041075693181</v>
      </c>
      <c r="AD79" s="193">
        <f t="array" ref="AD79">SUM(AD15:AE15*AD27:AE27)/AD32</f>
        <v>0.42717424773629575</v>
      </c>
      <c r="AF79" s="193">
        <f t="array" ref="AF79">SUM(AF15:AG15*AF27:AG27)/AF32</f>
        <v>0.42409452732461378</v>
      </c>
      <c r="AH79" s="193">
        <f t="array" ref="AH79">SUM(AH15:AI15*AH27:AI27)/AH32</f>
        <v>0.42051414140156135</v>
      </c>
      <c r="AJ79" s="193">
        <f t="array" ref="AJ79">SUM(AJ15:AK15*AJ27:AK27)/AJ32</f>
        <v>0.41621281861647225</v>
      </c>
      <c r="AL79" s="193">
        <f t="array" ref="AL79">SUM(AL15:AM15*AL27:AM27)/AL32</f>
        <v>0.4108820258433718</v>
      </c>
      <c r="AN79" s="193">
        <f t="array" ref="AN79">SUM(AN15:AO15*AN27:AO27)/AN32</f>
        <v>0.40418611610780125</v>
      </c>
      <c r="AP79" s="193">
        <f t="array" ref="AP79">SUM(AP15:AQ15*AP27:AQ27)/AP32</f>
        <v>0.40266578399051589</v>
      </c>
      <c r="AR79" s="193">
        <f t="array" ref="AR79">SUM(AR15:AS15*AR27:AS27)/AR32</f>
        <v>0.40108675800383375</v>
      </c>
      <c r="AT79" s="193">
        <f t="array" ref="AT79">SUM(AT15:AU15*AT27:AU27)/AT32</f>
        <v>0.39945213211431696</v>
      </c>
      <c r="AV79" s="193">
        <f t="array" ref="AV79">SUM(AV15:AW15*AV27:AW27)/AV32</f>
        <v>0.39776634193354321</v>
      </c>
      <c r="XFD79" s="193"/>
    </row>
    <row r="80" spans="1:48 16384:16384" x14ac:dyDescent="0.2">
      <c r="A80" t="s">
        <v>169</v>
      </c>
      <c r="B80" s="236">
        <f>B55</f>
        <v>0.19850271905982084</v>
      </c>
      <c r="D80" s="236">
        <f>D55</f>
        <v>0.20072908193973646</v>
      </c>
      <c r="F80" s="236">
        <f>F55</f>
        <v>0.20297538785529146</v>
      </c>
      <c r="H80" s="236">
        <f>H55</f>
        <v>0.20524480612279405</v>
      </c>
      <c r="J80" s="236">
        <f>J55</f>
        <v>0.20754108888629563</v>
      </c>
      <c r="L80" s="236">
        <f>L55</f>
        <v>0.20986866993453299</v>
      </c>
      <c r="N80" s="236">
        <f>N55</f>
        <v>0.21223292281160919</v>
      </c>
      <c r="P80" s="236">
        <f>P55</f>
        <v>0.21464038982053907</v>
      </c>
      <c r="R80" s="236">
        <f>R55</f>
        <v>0.21709917937125295</v>
      </c>
      <c r="T80" s="236">
        <f>T55</f>
        <v>0.21961949688915394</v>
      </c>
      <c r="V80" s="236">
        <f>V55</f>
        <v>0.22221443546587705</v>
      </c>
      <c r="X80" s="236">
        <f>X55</f>
        <v>0.22490113558223807</v>
      </c>
      <c r="Z80" s="236">
        <f>Z55</f>
        <v>0.22770255794796931</v>
      </c>
      <c r="AB80" s="236">
        <f>AB55</f>
        <v>0.23065024334052342</v>
      </c>
      <c r="AD80" s="236">
        <f>AD55</f>
        <v>0.23378863966943811</v>
      </c>
      <c r="AF80" s="236">
        <f>AF55</f>
        <v>0.23718185432805813</v>
      </c>
      <c r="AH80" s="236">
        <f>AH55</f>
        <v>0.2409235567927433</v>
      </c>
      <c r="AJ80" s="236">
        <f>AJ55</f>
        <v>0.2451482363661594</v>
      </c>
      <c r="AL80" s="236">
        <f>AL55</f>
        <v>0.25003001887110426</v>
      </c>
      <c r="AN80" s="236">
        <f>AN55</f>
        <v>0.25571981576238756</v>
      </c>
      <c r="AP80" s="236">
        <f>AP55</f>
        <v>0.25695558278438202</v>
      </c>
      <c r="AR80" s="236">
        <f>AR55</f>
        <v>0.25821992537885624</v>
      </c>
      <c r="AT80" s="236">
        <f>AT55</f>
        <v>0.25950948041835298</v>
      </c>
      <c r="AV80" s="236">
        <f>AV55</f>
        <v>0.26082005692765875</v>
      </c>
      <c r="XFD80" s="236"/>
    </row>
    <row r="81" spans="1:48 16384:16384" x14ac:dyDescent="0.2">
      <c r="A81" t="s">
        <v>191</v>
      </c>
      <c r="B81" s="236">
        <f>B51/B$32</f>
        <v>-2.7543485504603994E-2</v>
      </c>
      <c r="D81" s="236">
        <f>D51/D$32</f>
        <v>-2.5317122624688385E-2</v>
      </c>
      <c r="F81" s="236">
        <f>F51/F$32</f>
        <v>-2.3070816709133371E-2</v>
      </c>
      <c r="H81" s="236">
        <f>H51/H$32</f>
        <v>-2.0801398441630776E-2</v>
      </c>
      <c r="J81" s="236">
        <f>J51/J$32</f>
        <v>-1.8505115678129208E-2</v>
      </c>
      <c r="L81" s="236">
        <f>L51/L$32</f>
        <v>-1.617753462989184E-2</v>
      </c>
      <c r="N81" s="236">
        <f>N51/N$32</f>
        <v>-1.3813281752815661E-2</v>
      </c>
      <c r="P81" s="236">
        <f>P51/P$32</f>
        <v>-1.1405814743885776E-2</v>
      </c>
      <c r="R81" s="236">
        <f>R51/R$32</f>
        <v>-8.9470251931719185E-3</v>
      </c>
      <c r="T81" s="236">
        <f>T51/T$32</f>
        <v>-6.4267076752709262E-3</v>
      </c>
      <c r="V81" s="236">
        <f>V51/V$32</f>
        <v>-3.8317690985478141E-3</v>
      </c>
      <c r="X81" s="236">
        <f>X51/X$32</f>
        <v>-1.1450689821867679E-3</v>
      </c>
      <c r="Z81" s="236">
        <f>Z51/Z$32</f>
        <v>1.6563533835444761E-3</v>
      </c>
      <c r="AB81" s="236">
        <f>AB51/AB$32</f>
        <v>4.6040387760985929E-3</v>
      </c>
      <c r="AD81" s="236">
        <f>AD51/AD$32</f>
        <v>7.7424351050132617E-3</v>
      </c>
      <c r="AF81" s="236">
        <f>AF51/AF$32</f>
        <v>1.1135649763633288E-2</v>
      </c>
      <c r="AH81" s="236">
        <f>AH51/AH$32</f>
        <v>1.4877352228318432E-2</v>
      </c>
      <c r="AJ81" s="236">
        <f>AJ51/AJ$32</f>
        <v>1.9102031801734535E-2</v>
      </c>
      <c r="AL81" s="236">
        <f>AL51/AL$32</f>
        <v>2.3983814306679424E-2</v>
      </c>
      <c r="AN81" s="236">
        <f>AN51/AN$32</f>
        <v>2.967361119796268E-2</v>
      </c>
      <c r="AP81" s="236">
        <f>AP51/AP$32</f>
        <v>3.0909378219957179E-2</v>
      </c>
      <c r="AR81" s="236">
        <f>AR51/AR$32</f>
        <v>3.2173720814431393E-2</v>
      </c>
      <c r="AT81" s="236">
        <f>AT51/AT$32</f>
        <v>3.3463275853928109E-2</v>
      </c>
      <c r="AV81" s="236">
        <f>AV51/AV$32</f>
        <v>3.4773852363233916E-2</v>
      </c>
      <c r="XFD81" s="236"/>
    </row>
    <row r="82" spans="1:48 16384:16384" x14ac:dyDescent="0.2">
      <c r="A82" t="s">
        <v>192</v>
      </c>
      <c r="B82" s="236">
        <f>B52/B$32</f>
        <v>0.13907860278212886</v>
      </c>
      <c r="D82" s="236">
        <f>D52/D$32</f>
        <v>0.13884252768329938</v>
      </c>
      <c r="F82" s="236">
        <f>F52/F$32</f>
        <v>0.13860543403023182</v>
      </c>
      <c r="H82" s="236">
        <f>H52/H$32</f>
        <v>0.138367480644846</v>
      </c>
      <c r="J82" s="236">
        <f>J52/J$32</f>
        <v>0.13812890362221175</v>
      </c>
      <c r="L82" s="236">
        <f>L52/L$32</f>
        <v>0.13789003680523323</v>
      </c>
      <c r="N82" s="236">
        <f>N52/N$32</f>
        <v>0.13765135736088194</v>
      </c>
      <c r="P82" s="236">
        <f>P52/P$32</f>
        <v>0.13741353331911954</v>
      </c>
      <c r="R82" s="236">
        <f>R52/R$32</f>
        <v>0.13717750303737661</v>
      </c>
      <c r="T82" s="236">
        <f>T52/T$32</f>
        <v>0.13694458703576032</v>
      </c>
      <c r="V82" s="236">
        <f>V52/V$32</f>
        <v>0.13671665788223825</v>
      </c>
      <c r="X82" s="236">
        <f>X52/X$32</f>
        <v>0.13649639973557329</v>
      </c>
      <c r="Z82" s="236">
        <f>Z52/Z$32</f>
        <v>0.13628771108450802</v>
      </c>
      <c r="AB82" s="236">
        <f>AB52/AB$32</f>
        <v>0.13609636455809285</v>
      </c>
      <c r="AD82" s="236">
        <f>AD52/AD$32</f>
        <v>0.13593108809830523</v>
      </c>
      <c r="AF82" s="236">
        <f>AF52/AF$32</f>
        <v>0.13580539843526432</v>
      </c>
      <c r="AH82" s="236">
        <f>AH52/AH$32</f>
        <v>0.13574072110408913</v>
      </c>
      <c r="AJ82" s="236">
        <f>AJ52/AJ$32</f>
        <v>0.13577144907972466</v>
      </c>
      <c r="AL82" s="236">
        <f>AL52/AL$32</f>
        <v>0.13595147307970307</v>
      </c>
      <c r="AN82" s="236">
        <f>AN52/AN$32</f>
        <v>0.13635485562193289</v>
      </c>
      <c r="AP82" s="236">
        <f>AP52/AP$32</f>
        <v>0.13646894713592647</v>
      </c>
      <c r="AR82" s="236">
        <f>AR52/AR$32</f>
        <v>0.13659511510505287</v>
      </c>
      <c r="AT82" s="236">
        <f>AT52/AT$32</f>
        <v>0.1367334651443988</v>
      </c>
      <c r="AV82" s="236">
        <f>AV52/AV$32</f>
        <v>0.13688389912784418</v>
      </c>
    </row>
    <row r="83" spans="1:48 16384:16384" x14ac:dyDescent="0.2">
      <c r="A83" t="s">
        <v>193</v>
      </c>
      <c r="B83" s="236">
        <f>B53/B$32</f>
        <v>0.18600714462929618</v>
      </c>
      <c r="D83" s="236">
        <f>D53/D$32</f>
        <v>0.18533713402720225</v>
      </c>
      <c r="F83" s="236">
        <f>F53/F$32</f>
        <v>0.18465999810140621</v>
      </c>
      <c r="H83" s="236">
        <f>H53/H$32</f>
        <v>0.18397427689047602</v>
      </c>
      <c r="J83" s="236">
        <f>J53/J$32</f>
        <v>0.18327820993972202</v>
      </c>
      <c r="L83" s="236">
        <f>L53/L$32</f>
        <v>0.18256962478623001</v>
      </c>
      <c r="N83" s="236">
        <f>N53/N$32</f>
        <v>0.1818458476089192</v>
      </c>
      <c r="P83" s="236">
        <f>P53/P$32</f>
        <v>0.18110351638546265</v>
      </c>
      <c r="R83" s="236">
        <f>R53/R$32</f>
        <v>0.18033835699024589</v>
      </c>
      <c r="T83" s="236">
        <f>T53/T$32</f>
        <v>0.17954484270025936</v>
      </c>
      <c r="V83" s="236">
        <f>V53/V$32</f>
        <v>0.1787157066810304</v>
      </c>
      <c r="X83" s="236">
        <f>X53/X$32</f>
        <v>0.17784120179051949</v>
      </c>
      <c r="Z83" s="236">
        <f>Z53/Z$32</f>
        <v>0.17690794639772961</v>
      </c>
      <c r="AB83" s="236">
        <f>AB53/AB$32</f>
        <v>0.17589714874432294</v>
      </c>
      <c r="AD83" s="236">
        <f>AD53/AD$32</f>
        <v>0.17478171761110353</v>
      </c>
      <c r="AF83" s="236">
        <f>AF53/AF$32</f>
        <v>0.17352162567867024</v>
      </c>
      <c r="AH83" s="236">
        <f>AH53/AH$32</f>
        <v>0.17205668249761963</v>
      </c>
      <c r="AJ83" s="236">
        <f>AJ53/AJ$32</f>
        <v>0.17029676230495447</v>
      </c>
      <c r="AL83" s="236">
        <f>AL53/AL$32</f>
        <v>0.16811562633515106</v>
      </c>
      <c r="AN83" s="236">
        <f>AN53/AN$32</f>
        <v>0.16537594197741234</v>
      </c>
      <c r="AP83" s="236">
        <f>AP53/AP$32</f>
        <v>0.16475388608287608</v>
      </c>
      <c r="AR83" s="236">
        <f>AR53/AR$32</f>
        <v>0.16410781512806694</v>
      </c>
      <c r="AT83" s="236">
        <f>AT53/AT$32</f>
        <v>0.16343899503384227</v>
      </c>
      <c r="AV83" s="236">
        <f>AV53/AV$32</f>
        <v>0.16274924066571506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activeCell="M17" sqref="M17"/>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3.2448554934034694E-2</v>
      </c>
      <c r="E2" s="227"/>
      <c r="F2" s="226">
        <v>6.1123564371438406E-2</v>
      </c>
      <c r="G2" s="227"/>
      <c r="H2" s="226">
        <v>9.2044520429936924E-2</v>
      </c>
      <c r="I2" s="227"/>
      <c r="J2" s="226">
        <v>0.12550211832853883</v>
      </c>
      <c r="K2" s="227"/>
      <c r="L2" s="226">
        <v>0.16183991020998698</v>
      </c>
      <c r="M2" s="227"/>
      <c r="N2" s="226">
        <v>0.20146659550949511</v>
      </c>
      <c r="O2" s="227"/>
      <c r="P2" s="226">
        <v>0.24487340927590068</v>
      </c>
      <c r="Q2" s="227"/>
      <c r="R2" s="226">
        <v>0.29265783594979689</v>
      </c>
      <c r="S2" s="227"/>
      <c r="T2" s="226">
        <v>0.3455606332140147</v>
      </c>
      <c r="U2" s="227"/>
      <c r="V2" s="226">
        <v>0.40452705311549814</v>
      </c>
      <c r="W2" s="227"/>
      <c r="X2" s="226">
        <v>0.47082692466987286</v>
      </c>
      <c r="Y2" s="227"/>
      <c r="Z2" s="226">
        <v>0.54631921854008592</v>
      </c>
      <c r="AA2" s="227"/>
      <c r="AB2" s="226">
        <v>0.63411053758784997</v>
      </c>
      <c r="AC2" s="227"/>
      <c r="AD2" s="226">
        <v>0.74033239566618614</v>
      </c>
      <c r="AE2" s="227"/>
      <c r="AF2" s="226">
        <v>0.87916367949943808</v>
      </c>
      <c r="AG2" s="227"/>
      <c r="AH2" s="226">
        <v>1.0874880907166968</v>
      </c>
      <c r="AI2" s="227"/>
      <c r="AJ2" s="226">
        <v>1.4723254498473253</v>
      </c>
      <c r="AK2" s="227"/>
      <c r="AL2" s="226">
        <v>2.42100966900896</v>
      </c>
      <c r="AM2" s="227"/>
      <c r="AN2" s="226">
        <v>6.3024687136492439</v>
      </c>
      <c r="AO2" s="227"/>
      <c r="AP2" s="226">
        <v>8.6030045822412156</v>
      </c>
      <c r="AQ2" s="227"/>
      <c r="AR2" s="226">
        <v>12.773970638262533</v>
      </c>
      <c r="AS2" s="227"/>
      <c r="AT2" s="226">
        <v>21.997898996507043</v>
      </c>
      <c r="AU2" s="227"/>
      <c r="AV2" s="226">
        <v>53.686091391096191</v>
      </c>
      <c r="AW2" s="227"/>
    </row>
    <row r="3" spans="1:49" x14ac:dyDescent="0.2">
      <c r="A3" t="s">
        <v>12</v>
      </c>
      <c r="B3" s="84">
        <v>1000</v>
      </c>
      <c r="C3" s="85">
        <v>1000</v>
      </c>
      <c r="D3" s="84">
        <v>999.65644957055076</v>
      </c>
      <c r="E3" s="85">
        <v>1013.0987650490615</v>
      </c>
      <c r="F3" s="84">
        <v>999.55425922190159</v>
      </c>
      <c r="G3" s="85">
        <v>1027.4606676116407</v>
      </c>
      <c r="H3" s="84">
        <v>999.74410081007102</v>
      </c>
      <c r="I3" s="85">
        <v>1043.2696382785073</v>
      </c>
      <c r="J3" s="84">
        <v>1000.292186408736</v>
      </c>
      <c r="K3" s="85">
        <v>1060.7487934586707</v>
      </c>
      <c r="L3" s="84">
        <v>1001.2861460265417</v>
      </c>
      <c r="M3" s="85">
        <v>1080.1717795519137</v>
      </c>
      <c r="N3" s="84">
        <v>1002.8447594018113</v>
      </c>
      <c r="O3" s="85">
        <v>1101.8793135115868</v>
      </c>
      <c r="P3" s="84">
        <v>1005.13186161277</v>
      </c>
      <c r="Q3" s="85">
        <v>1126.3024242020965</v>
      </c>
      <c r="R3" s="84">
        <v>1008.3789659444483</v>
      </c>
      <c r="S3" s="85">
        <v>1153.9976885072097</v>
      </c>
      <c r="T3" s="84">
        <v>1012.9217694178717</v>
      </c>
      <c r="U3" s="85">
        <v>1185.7027030487466</v>
      </c>
      <c r="V3" s="84">
        <v>1019.2613876579923</v>
      </c>
      <c r="W3" s="85">
        <v>1222.427985656728</v>
      </c>
      <c r="X3" s="84">
        <v>1028.1694532474432</v>
      </c>
      <c r="Y3" s="85">
        <v>1265.6195952476207</v>
      </c>
      <c r="Z3" s="84">
        <v>1040.8744691009363</v>
      </c>
      <c r="AA3" s="85">
        <v>1317.4694706922899</v>
      </c>
      <c r="AB3" s="84">
        <v>1059.397922525633</v>
      </c>
      <c r="AC3" s="85">
        <v>1381.5543072996443</v>
      </c>
      <c r="AD3" s="84">
        <v>1087.161126777652</v>
      </c>
      <c r="AE3" s="85">
        <v>1464.2493644678532</v>
      </c>
      <c r="AF3" s="84">
        <v>1130.063358951222</v>
      </c>
      <c r="AG3" s="85">
        <v>1578.0609888313372</v>
      </c>
      <c r="AH3" s="84">
        <v>1198.4614489104688</v>
      </c>
      <c r="AI3" s="85">
        <v>1750.0656406309411</v>
      </c>
      <c r="AJ3" s="84">
        <v>1312.0608381945926</v>
      </c>
      <c r="AK3" s="85">
        <v>2046.9792780873893</v>
      </c>
      <c r="AL3" s="84">
        <v>1519.2152547359085</v>
      </c>
      <c r="AM3" s="85">
        <v>2679.1868062643562</v>
      </c>
      <c r="AN3" s="84">
        <v>2009.2818644380798</v>
      </c>
      <c r="AO3" s="85">
        <v>4756.4818213995959</v>
      </c>
      <c r="AP3" s="84">
        <v>2208.1937535710426</v>
      </c>
      <c r="AQ3" s="85">
        <v>5846.1569160289182</v>
      </c>
      <c r="AR3" s="84">
        <v>2499.5036306535139</v>
      </c>
      <c r="AS3" s="85">
        <v>7705.613641748575</v>
      </c>
      <c r="AT3" s="84">
        <v>2987.415813080494</v>
      </c>
      <c r="AU3" s="85">
        <v>11538.66565061031</v>
      </c>
      <c r="AV3" s="84">
        <v>4079.3285302631648</v>
      </c>
      <c r="AW3" s="85">
        <v>23555.716678328085</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999.63948900586047</v>
      </c>
      <c r="E5" s="42">
        <v>1011.4288400316805</v>
      </c>
      <c r="F5" s="41">
        <v>999.53224349576442</v>
      </c>
      <c r="G5" s="42">
        <v>1023.7938958069786</v>
      </c>
      <c r="H5" s="41">
        <v>999.73147228907192</v>
      </c>
      <c r="I5" s="42">
        <v>1037.2054945354059</v>
      </c>
      <c r="J5" s="41">
        <v>1000.3065702533758</v>
      </c>
      <c r="K5" s="42">
        <v>1051.7924934361515</v>
      </c>
      <c r="L5" s="41">
        <v>1001.3491805698591</v>
      </c>
      <c r="M5" s="42">
        <v>1067.7063840999801</v>
      </c>
      <c r="N5" s="41">
        <v>1002.9832104325031</v>
      </c>
      <c r="O5" s="42">
        <v>1085.1271114654048</v>
      </c>
      <c r="P5" s="41">
        <v>1005.3790612593791</v>
      </c>
      <c r="Q5" s="42">
        <v>1104.270610434553</v>
      </c>
      <c r="R5" s="41">
        <v>1008.7766735504152</v>
      </c>
      <c r="S5" s="42">
        <v>1125.3999402220988</v>
      </c>
      <c r="T5" s="41">
        <v>1013.5224705866674</v>
      </c>
      <c r="U5" s="42">
        <v>1148.841642520407</v>
      </c>
      <c r="V5" s="41">
        <v>1020.1308259863104</v>
      </c>
      <c r="W5" s="42">
        <v>1175.0129921930884</v>
      </c>
      <c r="X5" s="41">
        <v>1029.3884465297049</v>
      </c>
      <c r="Y5" s="42">
        <v>1204.4673229223979</v>
      </c>
      <c r="Z5" s="41">
        <v>1042.5368699365235</v>
      </c>
      <c r="AA5" s="42">
        <v>1237.9784724267545</v>
      </c>
      <c r="AB5" s="41">
        <v>1061.595113523422</v>
      </c>
      <c r="AC5" s="42">
        <v>1276.7001971408197</v>
      </c>
      <c r="AD5" s="41">
        <v>1089.925074922076</v>
      </c>
      <c r="AE5" s="42">
        <v>1322.460126802679</v>
      </c>
      <c r="AF5" s="41">
        <v>1133.1906644447172</v>
      </c>
      <c r="AG5" s="42">
        <v>1378.2184985085041</v>
      </c>
      <c r="AH5" s="41">
        <v>1201.0144008567904</v>
      </c>
      <c r="AI5" s="42">
        <v>1448.3831372589077</v>
      </c>
      <c r="AJ5" s="41">
        <v>1310.9636143860928</v>
      </c>
      <c r="AK5" s="42">
        <v>1537.415625371131</v>
      </c>
      <c r="AL5" s="41">
        <v>1504.3677483317128</v>
      </c>
      <c r="AM5" s="42">
        <v>1641.95019084214</v>
      </c>
      <c r="AN5" s="41">
        <v>1933.8761745684856</v>
      </c>
      <c r="AO5" s="42">
        <v>1728.6912376860839</v>
      </c>
      <c r="AP5" s="41">
        <v>2098.900833184553</v>
      </c>
      <c r="AQ5" s="42">
        <v>1738.4287737893928</v>
      </c>
      <c r="AR5" s="41">
        <v>2332.115363419256</v>
      </c>
      <c r="AS5" s="42">
        <v>1744.9485714112018</v>
      </c>
      <c r="AT5" s="41">
        <v>2702.2425591954279</v>
      </c>
      <c r="AU5" s="42">
        <v>1748.5380902081699</v>
      </c>
      <c r="AV5" s="41">
        <v>3450.2215882793012</v>
      </c>
      <c r="AW5" s="42">
        <v>1749.8890050876976</v>
      </c>
    </row>
    <row r="6" spans="1:49" x14ac:dyDescent="0.2">
      <c r="A6" t="s">
        <v>77</v>
      </c>
      <c r="B6" s="41">
        <v>999.99999999999943</v>
      </c>
      <c r="C6" s="42">
        <v>999.99999999999909</v>
      </c>
      <c r="D6" s="41">
        <v>999.61192407269459</v>
      </c>
      <c r="E6" s="42">
        <v>1014.12482700896</v>
      </c>
      <c r="F6" s="41">
        <v>999.49648277576455</v>
      </c>
      <c r="G6" s="42">
        <v>1029.579843292237</v>
      </c>
      <c r="H6" s="41">
        <v>999.71093854579101</v>
      </c>
      <c r="I6" s="42">
        <v>1046.5558038572722</v>
      </c>
      <c r="J6" s="41">
        <v>1000.3300277408908</v>
      </c>
      <c r="K6" s="42">
        <v>1065.2838563306534</v>
      </c>
      <c r="L6" s="41">
        <v>1001.4525293700833</v>
      </c>
      <c r="M6" s="42">
        <v>1086.0472061610699</v>
      </c>
      <c r="N6" s="41">
        <v>1003.2121293402688</v>
      </c>
      <c r="O6" s="42">
        <v>1109.1981545740548</v>
      </c>
      <c r="P6" s="41">
        <v>1005.7928895363611</v>
      </c>
      <c r="Q6" s="42">
        <v>1135.1820175792859</v>
      </c>
      <c r="R6" s="41">
        <v>1009.4543494126111</v>
      </c>
      <c r="S6" s="42">
        <v>1164.573419991877</v>
      </c>
      <c r="T6" s="41">
        <v>1014.571877326382</v>
      </c>
      <c r="U6" s="42">
        <v>1198.1334632127932</v>
      </c>
      <c r="V6" s="41">
        <v>1021.704053254724</v>
      </c>
      <c r="W6" s="42">
        <v>1236.9044748654719</v>
      </c>
      <c r="X6" s="41">
        <v>1031.7076458623533</v>
      </c>
      <c r="Y6" s="42">
        <v>1282.3777206864818</v>
      </c>
      <c r="Z6" s="41">
        <v>1045.9399880853452</v>
      </c>
      <c r="AA6" s="42">
        <v>1336.8134755001827</v>
      </c>
      <c r="AB6" s="41">
        <v>1066.6204005549314</v>
      </c>
      <c r="AC6" s="42">
        <v>1403.8996161424009</v>
      </c>
      <c r="AD6" s="41">
        <v>1097.4739094314787</v>
      </c>
      <c r="AE6" s="42">
        <v>1490.2074294618428</v>
      </c>
      <c r="AF6" s="41">
        <v>1144.8541597539202</v>
      </c>
      <c r="AG6" s="42">
        <v>1608.6171292731096</v>
      </c>
      <c r="AH6" s="41">
        <v>1219.7690740241278</v>
      </c>
      <c r="AI6" s="42">
        <v>1786.9750794915055</v>
      </c>
      <c r="AJ6" s="41">
        <v>1342.9054390123574</v>
      </c>
      <c r="AK6" s="42">
        <v>2093.7821993849425</v>
      </c>
      <c r="AL6" s="41">
        <v>1564.7337586243593</v>
      </c>
      <c r="AM6" s="42">
        <v>2744.8173197496003</v>
      </c>
      <c r="AN6" s="41">
        <v>2082.6440122463009</v>
      </c>
      <c r="AO6" s="42">
        <v>4878.1176441507532</v>
      </c>
      <c r="AP6" s="41">
        <v>2291.5138832472103</v>
      </c>
      <c r="AQ6" s="42">
        <v>5996.28960662803</v>
      </c>
      <c r="AR6" s="41">
        <v>2596.7025134577307</v>
      </c>
      <c r="AS6" s="42">
        <v>7904.0449767913451</v>
      </c>
      <c r="AT6" s="41">
        <v>3106.7563712340398</v>
      </c>
      <c r="AU6" s="42">
        <v>11836.249562259678</v>
      </c>
      <c r="AV6" s="41">
        <v>4245.9952908370506</v>
      </c>
      <c r="AW6" s="42">
        <v>24163.562611910256</v>
      </c>
    </row>
    <row r="7" spans="1:49" x14ac:dyDescent="0.2">
      <c r="A7" t="s">
        <v>13</v>
      </c>
      <c r="B7" s="33">
        <v>1015.9116825427475</v>
      </c>
      <c r="C7" s="34">
        <v>1015.9116825427475</v>
      </c>
      <c r="D7" s="33">
        <v>1015.545435212116</v>
      </c>
      <c r="E7" s="34">
        <v>1015.545435212116</v>
      </c>
      <c r="F7" s="33">
        <v>1015.4364832455092</v>
      </c>
      <c r="G7" s="34">
        <v>1015.4364832455092</v>
      </c>
      <c r="H7" s="33">
        <v>1015.6388821041292</v>
      </c>
      <c r="I7" s="34">
        <v>1015.6388821041292</v>
      </c>
      <c r="J7" s="33">
        <v>1016.2231308446719</v>
      </c>
      <c r="K7" s="34">
        <v>1016.2231308446719</v>
      </c>
      <c r="L7" s="33">
        <v>1017.282330845527</v>
      </c>
      <c r="M7" s="34">
        <v>1017.282330845527</v>
      </c>
      <c r="N7" s="33">
        <v>1018.9423608726108</v>
      </c>
      <c r="O7" s="34">
        <v>1018.9423608726108</v>
      </c>
      <c r="P7" s="33">
        <v>1021.3763337172638</v>
      </c>
      <c r="Q7" s="34">
        <v>1021.3763337172638</v>
      </c>
      <c r="R7" s="33">
        <v>1024.8280077364782</v>
      </c>
      <c r="S7" s="34">
        <v>1024.8280077364782</v>
      </c>
      <c r="T7" s="33">
        <v>1029.6493183885834</v>
      </c>
      <c r="U7" s="34">
        <v>1029.6493183885834</v>
      </c>
      <c r="V7" s="33">
        <v>1036.3628238414753</v>
      </c>
      <c r="W7" s="34">
        <v>1036.3628238414753</v>
      </c>
      <c r="X7" s="33">
        <v>1045.7677487040576</v>
      </c>
      <c r="Y7" s="34">
        <v>1045.7677487040576</v>
      </c>
      <c r="Z7" s="33">
        <v>1059.125385650063</v>
      </c>
      <c r="AA7" s="34">
        <v>1059.125385650063</v>
      </c>
      <c r="AB7" s="33">
        <v>1078.4868779587387</v>
      </c>
      <c r="AC7" s="34">
        <v>1078.4868779587387</v>
      </c>
      <c r="AD7" s="33">
        <v>1107.2676167096163</v>
      </c>
      <c r="AE7" s="34">
        <v>1107.2676167096163</v>
      </c>
      <c r="AF7" s="33">
        <v>1151.2216345577665</v>
      </c>
      <c r="AG7" s="34">
        <v>1151.2216345577665</v>
      </c>
      <c r="AH7" s="33">
        <v>1220.1245607324918</v>
      </c>
      <c r="AI7" s="34">
        <v>1220.1245607324918</v>
      </c>
      <c r="AJ7" s="33">
        <v>1331.8232512432971</v>
      </c>
      <c r="AK7" s="34">
        <v>1331.8232512432971</v>
      </c>
      <c r="AL7" s="33">
        <v>1528.3047703707148</v>
      </c>
      <c r="AM7" s="34">
        <v>1528.3047703707148</v>
      </c>
      <c r="AN7" s="33">
        <v>1964.6473983352021</v>
      </c>
      <c r="AO7" s="34">
        <v>1964.6473983352021</v>
      </c>
      <c r="AP7" s="33">
        <v>2132.2978769308938</v>
      </c>
      <c r="AQ7" s="34">
        <v>2132.2978769308938</v>
      </c>
      <c r="AR7" s="33">
        <v>2369.2232427350473</v>
      </c>
      <c r="AS7" s="34">
        <v>2369.2232427350473</v>
      </c>
      <c r="AT7" s="33">
        <v>2745.239784950847</v>
      </c>
      <c r="AU7" s="34">
        <v>2745.239784950847</v>
      </c>
      <c r="AV7" s="33">
        <v>3505.1204188941351</v>
      </c>
      <c r="AW7" s="34">
        <v>3505.1204188941351</v>
      </c>
    </row>
    <row r="8" spans="1:49" x14ac:dyDescent="0.2">
      <c r="B8" s="35">
        <v>1005.7716594496609</v>
      </c>
      <c r="C8" s="36">
        <v>1005.7716594496609</v>
      </c>
      <c r="D8" s="35">
        <v>1044.2482443093154</v>
      </c>
      <c r="E8" s="36">
        <v>1044.2482443093154</v>
      </c>
      <c r="F8" s="35">
        <v>1086.3718279004222</v>
      </c>
      <c r="G8" s="36">
        <v>1086.3718279004222</v>
      </c>
      <c r="H8" s="35">
        <v>1132.6745768672129</v>
      </c>
      <c r="I8" s="36">
        <v>1132.6745768672129</v>
      </c>
      <c r="J8" s="35">
        <v>1183.7946794044442</v>
      </c>
      <c r="K8" s="36">
        <v>1183.7946794044442</v>
      </c>
      <c r="L8" s="35">
        <v>1240.5038894333509</v>
      </c>
      <c r="M8" s="36">
        <v>1240.5038894333509</v>
      </c>
      <c r="N8" s="35">
        <v>1303.7439763073924</v>
      </c>
      <c r="O8" s="36">
        <v>1303.7439763073924</v>
      </c>
      <c r="P8" s="35">
        <v>1374.677119574842</v>
      </c>
      <c r="Q8" s="36">
        <v>1374.677119574842</v>
      </c>
      <c r="R8" s="35">
        <v>1454.7570513055291</v>
      </c>
      <c r="S8" s="36">
        <v>1454.7570513055291</v>
      </c>
      <c r="T8" s="35">
        <v>1545.8360879723875</v>
      </c>
      <c r="U8" s="36">
        <v>1545.8360879723875</v>
      </c>
      <c r="V8" s="35">
        <v>1650.3375352973821</v>
      </c>
      <c r="W8" s="36">
        <v>1650.3375352973821</v>
      </c>
      <c r="X8" s="35">
        <v>1771.5629684393052</v>
      </c>
      <c r="Y8" s="36">
        <v>1771.5629684393052</v>
      </c>
      <c r="Z8" s="35">
        <v>1914.3099040523884</v>
      </c>
      <c r="AA8" s="36">
        <v>1914.3099040523884</v>
      </c>
      <c r="AB8" s="35">
        <v>2086.269245488299</v>
      </c>
      <c r="AC8" s="36">
        <v>2086.269245488299</v>
      </c>
      <c r="AD8" s="35">
        <v>2301.5202006515146</v>
      </c>
      <c r="AE8" s="36">
        <v>2301.5202006515146</v>
      </c>
      <c r="AF8" s="35">
        <v>2589.8981448114314</v>
      </c>
      <c r="AG8" s="36">
        <v>2589.8981448114314</v>
      </c>
      <c r="AH8" s="35">
        <v>3023.4825498228565</v>
      </c>
      <c r="AI8" s="36">
        <v>3023.4825498228565</v>
      </c>
      <c r="AJ8" s="35">
        <v>3800.9917775979884</v>
      </c>
      <c r="AK8" s="36">
        <v>3800.9917775979884</v>
      </c>
      <c r="AL8" s="35">
        <v>5617.1274789020681</v>
      </c>
      <c r="AM8" s="36">
        <v>5617.1274789020681</v>
      </c>
      <c r="AN8" s="35">
        <v>12623.713678762217</v>
      </c>
      <c r="AO8" s="36">
        <v>12623.713678762217</v>
      </c>
      <c r="AP8" s="35">
        <v>16694.139480599519</v>
      </c>
      <c r="AQ8" s="36">
        <v>16694.139480599519</v>
      </c>
      <c r="AR8" s="35">
        <v>24034.870387896048</v>
      </c>
      <c r="AS8" s="36">
        <v>24034.870387896048</v>
      </c>
      <c r="AT8" s="35">
        <v>40212.702390152815</v>
      </c>
      <c r="AU8" s="36">
        <v>40212.702390152815</v>
      </c>
      <c r="AV8" s="35">
        <v>95694.590056500223</v>
      </c>
      <c r="AW8" s="36">
        <v>95694.590056500223</v>
      </c>
    </row>
    <row r="9" spans="1:49" x14ac:dyDescent="0.2">
      <c r="A9" t="s">
        <v>14</v>
      </c>
      <c r="B9" s="41">
        <v>1015.9116825427475</v>
      </c>
      <c r="C9" s="42">
        <v>1005.7716594496609</v>
      </c>
      <c r="D9" s="41">
        <v>1015.545435212116</v>
      </c>
      <c r="E9" s="42">
        <v>1044.2482443093154</v>
      </c>
      <c r="F9" s="41">
        <v>1015.4364832455092</v>
      </c>
      <c r="G9" s="42">
        <v>1086.3718279004222</v>
      </c>
      <c r="H9" s="41">
        <v>1015.6388821041292</v>
      </c>
      <c r="I9" s="42">
        <v>1132.6745768672129</v>
      </c>
      <c r="J9" s="41">
        <v>1016.2231308446719</v>
      </c>
      <c r="K9" s="42">
        <v>1183.7946794044442</v>
      </c>
      <c r="L9" s="41">
        <v>1017.282330845527</v>
      </c>
      <c r="M9" s="42">
        <v>1240.5038894333509</v>
      </c>
      <c r="N9" s="41">
        <v>1018.9423608726108</v>
      </c>
      <c r="O9" s="42">
        <v>1303.7439763073924</v>
      </c>
      <c r="P9" s="41">
        <v>1021.3763337172638</v>
      </c>
      <c r="Q9" s="42">
        <v>1374.677119574842</v>
      </c>
      <c r="R9" s="41">
        <v>1024.8280077364782</v>
      </c>
      <c r="S9" s="42">
        <v>1454.7570513055291</v>
      </c>
      <c r="T9" s="41">
        <v>1029.6493183885834</v>
      </c>
      <c r="U9" s="42">
        <v>1545.8360879723875</v>
      </c>
      <c r="V9" s="41">
        <v>1036.3628238414753</v>
      </c>
      <c r="W9" s="42">
        <v>1650.3375352973821</v>
      </c>
      <c r="X9" s="41">
        <v>1045.7677487040576</v>
      </c>
      <c r="Y9" s="42">
        <v>1771.5629684393052</v>
      </c>
      <c r="Z9" s="41">
        <v>1059.125385650063</v>
      </c>
      <c r="AA9" s="42">
        <v>1914.3099040523884</v>
      </c>
      <c r="AB9" s="41">
        <v>1078.4868779587387</v>
      </c>
      <c r="AC9" s="42">
        <v>2086.269245488299</v>
      </c>
      <c r="AD9" s="41">
        <v>1107.2676167096163</v>
      </c>
      <c r="AE9" s="42">
        <v>2301.5202006515146</v>
      </c>
      <c r="AF9" s="41">
        <v>1151.2216345577665</v>
      </c>
      <c r="AG9" s="42">
        <v>2589.8981448114314</v>
      </c>
      <c r="AH9" s="41">
        <v>1220.1245607324918</v>
      </c>
      <c r="AI9" s="42">
        <v>3023.4825498228565</v>
      </c>
      <c r="AJ9" s="41">
        <v>1331.8232512432971</v>
      </c>
      <c r="AK9" s="42">
        <v>3800.9917775979884</v>
      </c>
      <c r="AL9" s="41">
        <v>1528.3047703707148</v>
      </c>
      <c r="AM9" s="42">
        <v>5617.1274789020681</v>
      </c>
      <c r="AN9" s="41">
        <v>1964.6473983352021</v>
      </c>
      <c r="AO9" s="42">
        <v>12623.713678762217</v>
      </c>
      <c r="AP9" s="41">
        <v>2132.2978769308938</v>
      </c>
      <c r="AQ9" s="42">
        <v>16694.139480599519</v>
      </c>
      <c r="AR9" s="41">
        <v>2369.2232427350473</v>
      </c>
      <c r="AS9" s="42">
        <v>24034.870387896048</v>
      </c>
      <c r="AT9" s="41">
        <v>2745.239784950847</v>
      </c>
      <c r="AU9" s="42">
        <v>40212.702390152815</v>
      </c>
      <c r="AV9" s="41">
        <v>3505.1204188941351</v>
      </c>
      <c r="AW9" s="42">
        <v>95694.590056500223</v>
      </c>
    </row>
    <row r="10" spans="1:49" x14ac:dyDescent="0.2">
      <c r="A10" t="s">
        <v>15</v>
      </c>
      <c r="B10" s="41">
        <v>1015.9116825427475</v>
      </c>
      <c r="C10" s="42">
        <v>1005.7716594496609</v>
      </c>
      <c r="D10" s="41">
        <v>1015.545435212116</v>
      </c>
      <c r="E10" s="42">
        <v>1044.2482443093154</v>
      </c>
      <c r="F10" s="41">
        <v>1015.4364832455092</v>
      </c>
      <c r="G10" s="42">
        <v>1086.3718279004222</v>
      </c>
      <c r="H10" s="41">
        <v>1015.6388821041292</v>
      </c>
      <c r="I10" s="42">
        <v>1132.6745768672129</v>
      </c>
      <c r="J10" s="41">
        <v>1016.2231308446719</v>
      </c>
      <c r="K10" s="42">
        <v>1183.7946794044442</v>
      </c>
      <c r="L10" s="41">
        <v>1017.282330845527</v>
      </c>
      <c r="M10" s="42">
        <v>1240.5038894333509</v>
      </c>
      <c r="N10" s="41">
        <v>1018.9423608726108</v>
      </c>
      <c r="O10" s="42">
        <v>1303.7439763073924</v>
      </c>
      <c r="P10" s="41">
        <v>1021.3763337172638</v>
      </c>
      <c r="Q10" s="42">
        <v>1374.677119574842</v>
      </c>
      <c r="R10" s="41">
        <v>1024.8280077364782</v>
      </c>
      <c r="S10" s="42">
        <v>1454.7570513055291</v>
      </c>
      <c r="T10" s="41">
        <v>1029.6493183885834</v>
      </c>
      <c r="U10" s="42">
        <v>1545.8360879723875</v>
      </c>
      <c r="V10" s="41">
        <v>1036.3628238414753</v>
      </c>
      <c r="W10" s="42">
        <v>1650.3375352973821</v>
      </c>
      <c r="X10" s="41">
        <v>1045.7677487040576</v>
      </c>
      <c r="Y10" s="42">
        <v>1771.5629684393052</v>
      </c>
      <c r="Z10" s="41">
        <v>1059.125385650063</v>
      </c>
      <c r="AA10" s="42">
        <v>1914.3099040523884</v>
      </c>
      <c r="AB10" s="41">
        <v>1078.4868779587387</v>
      </c>
      <c r="AC10" s="42">
        <v>2086.269245488299</v>
      </c>
      <c r="AD10" s="41">
        <v>1107.2676167096163</v>
      </c>
      <c r="AE10" s="42">
        <v>2301.5202006515146</v>
      </c>
      <c r="AF10" s="41">
        <v>1151.2216345577665</v>
      </c>
      <c r="AG10" s="42">
        <v>2589.8981448114314</v>
      </c>
      <c r="AH10" s="41">
        <v>1220.1245607324918</v>
      </c>
      <c r="AI10" s="42">
        <v>3023.4825498228565</v>
      </c>
      <c r="AJ10" s="41">
        <v>1331.8232512432971</v>
      </c>
      <c r="AK10" s="42">
        <v>3800.9917775979884</v>
      </c>
      <c r="AL10" s="41">
        <v>1528.3047703707148</v>
      </c>
      <c r="AM10" s="42">
        <v>5617.1274789020681</v>
      </c>
      <c r="AN10" s="41">
        <v>1964.6473983352021</v>
      </c>
      <c r="AO10" s="42">
        <v>12623.713678762217</v>
      </c>
      <c r="AP10" s="41">
        <v>2132.2978769308938</v>
      </c>
      <c r="AQ10" s="42">
        <v>16694.139480599519</v>
      </c>
      <c r="AR10" s="41">
        <v>2369.2232427350473</v>
      </c>
      <c r="AS10" s="42">
        <v>24034.870387896048</v>
      </c>
      <c r="AT10" s="41">
        <v>2745.239784950847</v>
      </c>
      <c r="AU10" s="42">
        <v>40212.702390152815</v>
      </c>
      <c r="AV10" s="41">
        <v>3505.1204188941351</v>
      </c>
      <c r="AW10" s="42">
        <v>95694.590056500223</v>
      </c>
    </row>
    <row r="11" spans="1:49" x14ac:dyDescent="0.2">
      <c r="A11" t="s">
        <v>29</v>
      </c>
      <c r="B11" s="41">
        <v>1015.9116825427475</v>
      </c>
      <c r="C11" s="42">
        <v>1005.7716594496609</v>
      </c>
      <c r="D11" s="41">
        <v>1015.545435212116</v>
      </c>
      <c r="E11" s="42">
        <v>1044.2482443093154</v>
      </c>
      <c r="F11" s="41">
        <v>1015.4364832455092</v>
      </c>
      <c r="G11" s="42">
        <v>1086.3718279004222</v>
      </c>
      <c r="H11" s="41">
        <v>1015.6388821041292</v>
      </c>
      <c r="I11" s="42">
        <v>1132.6745768672129</v>
      </c>
      <c r="J11" s="41">
        <v>1016.2231308446719</v>
      </c>
      <c r="K11" s="42">
        <v>1183.7946794044442</v>
      </c>
      <c r="L11" s="41">
        <v>1017.282330845527</v>
      </c>
      <c r="M11" s="42">
        <v>1240.5038894333509</v>
      </c>
      <c r="N11" s="41">
        <v>1018.9423608726108</v>
      </c>
      <c r="O11" s="42">
        <v>1303.7439763073924</v>
      </c>
      <c r="P11" s="41">
        <v>1021.3763337172638</v>
      </c>
      <c r="Q11" s="42">
        <v>1374.677119574842</v>
      </c>
      <c r="R11" s="41">
        <v>1024.8280077364782</v>
      </c>
      <c r="S11" s="42">
        <v>1454.7570513055291</v>
      </c>
      <c r="T11" s="41">
        <v>1029.6493183885834</v>
      </c>
      <c r="U11" s="42">
        <v>1545.8360879723875</v>
      </c>
      <c r="V11" s="41">
        <v>1036.3628238414753</v>
      </c>
      <c r="W11" s="42">
        <v>1650.3375352973821</v>
      </c>
      <c r="X11" s="41">
        <v>1045.7677487040576</v>
      </c>
      <c r="Y11" s="42">
        <v>1771.5629684393052</v>
      </c>
      <c r="Z11" s="41">
        <v>1059.125385650063</v>
      </c>
      <c r="AA11" s="42">
        <v>1914.3099040523884</v>
      </c>
      <c r="AB11" s="41">
        <v>1078.4868779587387</v>
      </c>
      <c r="AC11" s="42">
        <v>2086.269245488299</v>
      </c>
      <c r="AD11" s="41">
        <v>1107.2676167096163</v>
      </c>
      <c r="AE11" s="42">
        <v>2301.5202006515146</v>
      </c>
      <c r="AF11" s="41">
        <v>1151.2216345577665</v>
      </c>
      <c r="AG11" s="42">
        <v>2589.8981448114314</v>
      </c>
      <c r="AH11" s="41">
        <v>1220.1245607324918</v>
      </c>
      <c r="AI11" s="42">
        <v>3023.4825498228565</v>
      </c>
      <c r="AJ11" s="41">
        <v>1331.8232512432971</v>
      </c>
      <c r="AK11" s="42">
        <v>3800.9917775979884</v>
      </c>
      <c r="AL11" s="41">
        <v>1528.3047703707148</v>
      </c>
      <c r="AM11" s="42">
        <v>5617.1274789020681</v>
      </c>
      <c r="AN11" s="41">
        <v>1964.6473983352021</v>
      </c>
      <c r="AO11" s="42">
        <v>12623.713678762217</v>
      </c>
      <c r="AP11" s="41">
        <v>2132.2978769308938</v>
      </c>
      <c r="AQ11" s="42">
        <v>16694.139480599519</v>
      </c>
      <c r="AR11" s="41">
        <v>2369.2232427350473</v>
      </c>
      <c r="AS11" s="42">
        <v>24034.870387896048</v>
      </c>
      <c r="AT11" s="41">
        <v>2745.239784950847</v>
      </c>
      <c r="AU11" s="42">
        <v>40212.702390152815</v>
      </c>
      <c r="AV11" s="41">
        <v>3505.1204188941351</v>
      </c>
      <c r="AW11" s="42">
        <v>95694.590056500223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996.6108731491662</v>
      </c>
      <c r="E13" s="98">
        <v>996.6108731491662</v>
      </c>
      <c r="F13" s="97">
        <v>993.2959771945915</v>
      </c>
      <c r="G13" s="98">
        <v>993.2959771945915</v>
      </c>
      <c r="H13" s="97">
        <v>990.08655467809569</v>
      </c>
      <c r="I13" s="98">
        <v>990.08655467809569</v>
      </c>
      <c r="J13" s="97">
        <v>987.02592998569071</v>
      </c>
      <c r="K13" s="98">
        <v>987.02592998569071</v>
      </c>
      <c r="L13" s="97">
        <v>984.17451607834732</v>
      </c>
      <c r="M13" s="98">
        <v>984.17451607834732</v>
      </c>
      <c r="N13" s="97">
        <v>981.61831523267324</v>
      </c>
      <c r="O13" s="98">
        <v>981.61831523267324</v>
      </c>
      <c r="P13" s="97">
        <v>979.48120996969874</v>
      </c>
      <c r="Q13" s="98">
        <v>979.48120996969874</v>
      </c>
      <c r="R13" s="97">
        <v>977.94528434692518</v>
      </c>
      <c r="S13" s="98">
        <v>977.94528434692518</v>
      </c>
      <c r="T13" s="97">
        <v>977.28416610651266</v>
      </c>
      <c r="U13" s="98">
        <v>977.28416610651266</v>
      </c>
      <c r="V13" s="97">
        <v>977.91970186005199</v>
      </c>
      <c r="W13" s="98">
        <v>977.91970186005199</v>
      </c>
      <c r="X13" s="97">
        <v>980.52086262099272</v>
      </c>
      <c r="Y13" s="98">
        <v>980.52086262099272</v>
      </c>
      <c r="Z13" s="97">
        <v>986.18201531645991</v>
      </c>
      <c r="AA13" s="98">
        <v>986.18201531645991</v>
      </c>
      <c r="AB13" s="97">
        <v>996.75085964085758</v>
      </c>
      <c r="AC13" s="98">
        <v>996.75085964085758</v>
      </c>
      <c r="AD13" s="97">
        <v>1015.4351784065491</v>
      </c>
      <c r="AE13" s="98">
        <v>1015.4351784065491</v>
      </c>
      <c r="AF13" s="97">
        <v>1047.9154258736526</v>
      </c>
      <c r="AG13" s="98">
        <v>1047.9154258736526</v>
      </c>
      <c r="AH13" s="97">
        <v>1104.4621475032282</v>
      </c>
      <c r="AI13" s="98">
        <v>1104.4621475032282</v>
      </c>
      <c r="AJ13" s="97">
        <v>1205.2879628365745</v>
      </c>
      <c r="AK13" s="98">
        <v>1205.2879628365745</v>
      </c>
      <c r="AL13" s="97">
        <v>1402.3225003046739</v>
      </c>
      <c r="AM13" s="98">
        <v>1402.3225003046739</v>
      </c>
      <c r="AN13" s="97">
        <v>1918.9378564034701</v>
      </c>
      <c r="AO13" s="98">
        <v>1918.9378564034701</v>
      </c>
      <c r="AP13" s="97">
        <v>2147.6904880527736</v>
      </c>
      <c r="AQ13" s="98">
        <v>2147.6904880527736</v>
      </c>
      <c r="AR13" s="97">
        <v>2502.2773876090823</v>
      </c>
      <c r="AS13" s="98">
        <v>2502.2773876090823</v>
      </c>
      <c r="AT13" s="97">
        <v>3147.4277763125178</v>
      </c>
      <c r="AU13" s="98">
        <v>3147.4277763125178</v>
      </c>
      <c r="AV13" s="97">
        <v>4815.0897110598426</v>
      </c>
      <c r="AW13" s="98">
        <v>4815.0897110598426</v>
      </c>
    </row>
    <row r="14" spans="1:49" x14ac:dyDescent="0.2">
      <c r="A14" t="s">
        <v>36</v>
      </c>
      <c r="B14" s="41">
        <v>1457.0034251455234</v>
      </c>
      <c r="C14" s="42">
        <v>1457.0034251455236</v>
      </c>
      <c r="D14" s="41">
        <v>1452.0654557156058</v>
      </c>
      <c r="E14" s="42">
        <v>1452.065455715606</v>
      </c>
      <c r="F14" s="41">
        <v>1447.2356409557894</v>
      </c>
      <c r="G14" s="42">
        <v>1447.2356409557897</v>
      </c>
      <c r="H14" s="41">
        <v>1442.5595013565157</v>
      </c>
      <c r="I14" s="42">
        <v>1442.559501356516</v>
      </c>
      <c r="J14" s="41">
        <v>1438.1001606965967</v>
      </c>
      <c r="K14" s="42">
        <v>1438.100160696597</v>
      </c>
      <c r="L14" s="41">
        <v>1433.9456408670899</v>
      </c>
      <c r="M14" s="42">
        <v>1433.9456408670901</v>
      </c>
      <c r="N14" s="41">
        <v>1430.2212474795829</v>
      </c>
      <c r="O14" s="42">
        <v>1430.2212474795831</v>
      </c>
      <c r="P14" s="41">
        <v>1427.1074777915326</v>
      </c>
      <c r="Q14" s="42">
        <v>1427.1074777915328</v>
      </c>
      <c r="R14" s="41">
        <v>1424.8696288983826</v>
      </c>
      <c r="S14" s="42">
        <v>1424.8696288983829</v>
      </c>
      <c r="T14" s="41">
        <v>1423.9063773576754</v>
      </c>
      <c r="U14" s="42">
        <v>1423.9063773576756</v>
      </c>
      <c r="V14" s="41">
        <v>1424.8323551273847</v>
      </c>
      <c r="W14" s="42">
        <v>1424.832355127385</v>
      </c>
      <c r="X14" s="41">
        <v>1428.6222552654294</v>
      </c>
      <c r="Y14" s="42">
        <v>1428.6222552654297</v>
      </c>
      <c r="Z14" s="41">
        <v>1436.870574132997</v>
      </c>
      <c r="AA14" s="42">
        <v>1436.8705741329973</v>
      </c>
      <c r="AB14" s="41">
        <v>1452.2694165134742</v>
      </c>
      <c r="AC14" s="42">
        <v>1452.2694165134744</v>
      </c>
      <c r="AD14" s="41">
        <v>1479.4925329515975</v>
      </c>
      <c r="AE14" s="42">
        <v>1479.4925329515977</v>
      </c>
      <c r="AF14" s="41">
        <v>1526.8163647607414</v>
      </c>
      <c r="AG14" s="42">
        <v>1526.8163647607416</v>
      </c>
      <c r="AH14" s="41">
        <v>1609.2051318557835</v>
      </c>
      <c r="AI14" s="42">
        <v>1609.2051318557837</v>
      </c>
      <c r="AJ14" s="41">
        <v>1756.1086901395593</v>
      </c>
      <c r="AK14" s="42">
        <v>1756.1086901395595</v>
      </c>
      <c r="AL14" s="41">
        <v>2043.1886861025439</v>
      </c>
      <c r="AM14" s="42">
        <v>2043.1886861025444</v>
      </c>
      <c r="AN14" s="41">
        <v>2795.899029421264</v>
      </c>
      <c r="AO14" s="42">
        <v>2795.8990294212645</v>
      </c>
      <c r="AP14" s="41">
        <v>3129.1923972453519</v>
      </c>
      <c r="AQ14" s="42">
        <v>3129.1923972453524</v>
      </c>
      <c r="AR14" s="41">
        <v>3645.826724410625</v>
      </c>
      <c r="AS14" s="42">
        <v>3645.8267244106255</v>
      </c>
      <c r="AT14" s="41">
        <v>4585.8130504854962</v>
      </c>
      <c r="AU14" s="42">
        <v>4585.8130504854971</v>
      </c>
      <c r="AV14" s="41">
        <v>7015.6022013971588</v>
      </c>
      <c r="AW14" s="42">
        <v>7015.6022013971597</v>
      </c>
    </row>
    <row r="15" spans="1:49" x14ac:dyDescent="0.2">
      <c r="A15" t="s">
        <v>18</v>
      </c>
      <c r="B15" s="154">
        <v>1000</v>
      </c>
      <c r="C15" s="155">
        <v>1000</v>
      </c>
      <c r="D15" s="154">
        <v>999.63948900586047</v>
      </c>
      <c r="E15" s="155">
        <v>999.63948900586047</v>
      </c>
      <c r="F15" s="154">
        <v>999.53224349576442</v>
      </c>
      <c r="G15" s="155">
        <v>999.53224349576442</v>
      </c>
      <c r="H15" s="154">
        <v>999.73147228907192</v>
      </c>
      <c r="I15" s="155">
        <v>999.73147228907192</v>
      </c>
      <c r="J15" s="154">
        <v>1000.3065702533758</v>
      </c>
      <c r="K15" s="155">
        <v>1000.3065702533758</v>
      </c>
      <c r="L15" s="154">
        <v>1001.3491805698591</v>
      </c>
      <c r="M15" s="155">
        <v>1001.3491805698591</v>
      </c>
      <c r="N15" s="154">
        <v>1002.9832104325031</v>
      </c>
      <c r="O15" s="155">
        <v>1002.9832104325031</v>
      </c>
      <c r="P15" s="154">
        <v>1005.3790612593791</v>
      </c>
      <c r="Q15" s="155">
        <v>1005.3790612593791</v>
      </c>
      <c r="R15" s="154">
        <v>1008.7766735504152</v>
      </c>
      <c r="S15" s="155">
        <v>1008.7766735504152</v>
      </c>
      <c r="T15" s="154">
        <v>1013.5224705866674</v>
      </c>
      <c r="U15" s="155">
        <v>1013.5224705866674</v>
      </c>
      <c r="V15" s="154">
        <v>1020.1308259863104</v>
      </c>
      <c r="W15" s="155">
        <v>1020.1308259863104</v>
      </c>
      <c r="X15" s="154">
        <v>1029.3884465297049</v>
      </c>
      <c r="Y15" s="155">
        <v>1029.3884465297049</v>
      </c>
      <c r="Z15" s="154">
        <v>1042.5368699365235</v>
      </c>
      <c r="AA15" s="155">
        <v>1042.5368699365235</v>
      </c>
      <c r="AB15" s="154">
        <v>1061.595113523422</v>
      </c>
      <c r="AC15" s="155">
        <v>1061.595113523422</v>
      </c>
      <c r="AD15" s="154">
        <v>1089.925074922076</v>
      </c>
      <c r="AE15" s="155">
        <v>1089.925074922076</v>
      </c>
      <c r="AF15" s="154">
        <v>1133.1906644447172</v>
      </c>
      <c r="AG15" s="155">
        <v>1133.1906644447172</v>
      </c>
      <c r="AH15" s="154">
        <v>1201.0144008567904</v>
      </c>
      <c r="AI15" s="155">
        <v>1201.0144008567904</v>
      </c>
      <c r="AJ15" s="154">
        <v>1310.9636143860928</v>
      </c>
      <c r="AK15" s="155">
        <v>1310.9636143860928</v>
      </c>
      <c r="AL15" s="154">
        <v>1504.3677483317126</v>
      </c>
      <c r="AM15" s="155">
        <v>1504.3677483317126</v>
      </c>
      <c r="AN15" s="154">
        <v>1933.8761745684851</v>
      </c>
      <c r="AO15" s="155">
        <v>1933.8761745684851</v>
      </c>
      <c r="AP15" s="154">
        <v>2098.900833184553</v>
      </c>
      <c r="AQ15" s="155">
        <v>2098.900833184553</v>
      </c>
      <c r="AR15" s="154">
        <v>2332.115363419256</v>
      </c>
      <c r="AS15" s="155">
        <v>2332.115363419256</v>
      </c>
      <c r="AT15" s="154">
        <v>2702.2425591954279</v>
      </c>
      <c r="AU15" s="155">
        <v>2702.2425591954279</v>
      </c>
      <c r="AV15" s="154">
        <v>3450.2215882793012</v>
      </c>
      <c r="AW15" s="155">
        <v>3450.2215882793012</v>
      </c>
    </row>
    <row r="16" spans="1:49" s="29" customFormat="1" x14ac:dyDescent="0.2">
      <c r="A16" t="s">
        <v>61</v>
      </c>
      <c r="B16" s="41">
        <v>1000</v>
      </c>
      <c r="C16" s="42">
        <v>1000</v>
      </c>
      <c r="D16" s="41">
        <v>998.02441650281162</v>
      </c>
      <c r="E16" s="42">
        <v>998.77490282790882</v>
      </c>
      <c r="F16" s="41">
        <v>996.20587375228172</v>
      </c>
      <c r="G16" s="42">
        <v>997.75165425117689</v>
      </c>
      <c r="H16" s="41">
        <v>994.58572057254855</v>
      </c>
      <c r="I16" s="42">
        <v>996.9771327020552</v>
      </c>
      <c r="J16" s="41">
        <v>993.2192691477203</v>
      </c>
      <c r="K16" s="42">
        <v>996.51321717396775</v>
      </c>
      <c r="L16" s="41">
        <v>992.18128439839711</v>
      </c>
      <c r="M16" s="42">
        <v>996.44254408203437</v>
      </c>
      <c r="N16" s="41">
        <v>991.57517888246275</v>
      </c>
      <c r="O16" s="42">
        <v>996.87808524406512</v>
      </c>
      <c r="P16" s="41">
        <v>991.54619064488134</v>
      </c>
      <c r="Q16" s="42">
        <v>997.97681727205406</v>
      </c>
      <c r="R16" s="41">
        <v>992.30295163082928</v>
      </c>
      <c r="S16" s="42">
        <v>999.96197824875344</v>
      </c>
      <c r="T16" s="41">
        <v>994.15247771178883</v>
      </c>
      <c r="U16" s="42">
        <v>1003.158971729673</v>
      </c>
      <c r="V16" s="41">
        <v>997.55903926006715</v>
      </c>
      <c r="W16" s="42">
        <v>1008.0554476201713</v>
      </c>
      <c r="X16" s="41">
        <v>1003.2455758243588</v>
      </c>
      <c r="Y16" s="42">
        <v>1015.4041032123257</v>
      </c>
      <c r="Z16" s="41">
        <v>1012.3739113481233</v>
      </c>
      <c r="AA16" s="42">
        <v>1026.4039627778807</v>
      </c>
      <c r="AB16" s="41">
        <v>1026.8702969541989</v>
      </c>
      <c r="AC16" s="42">
        <v>1043.0245662800519</v>
      </c>
      <c r="AD16" s="41">
        <v>1050.0133106310593</v>
      </c>
      <c r="AE16" s="42">
        <v>1068.5833568531123</v>
      </c>
      <c r="AF16" s="41">
        <v>1087.4764018201067</v>
      </c>
      <c r="AG16" s="42">
        <v>1108.7492618635206</v>
      </c>
      <c r="AH16" s="41">
        <v>1149.2346718578642</v>
      </c>
      <c r="AI16" s="42">
        <v>1173.33264433473</v>
      </c>
      <c r="AJ16" s="41">
        <v>1254.2901937280428</v>
      </c>
      <c r="AK16" s="42">
        <v>1280.6657804335066</v>
      </c>
      <c r="AL16" s="41">
        <v>1449.6938891237471</v>
      </c>
      <c r="AM16" s="42">
        <v>1475.132138020854</v>
      </c>
      <c r="AN16" s="41">
        <v>1925.9073723404631</v>
      </c>
      <c r="AO16" s="42">
        <v>1929.6106192526574</v>
      </c>
      <c r="AP16" s="41">
        <v>2124.8715528905859</v>
      </c>
      <c r="AQ16" s="42">
        <v>2112.8094984404729</v>
      </c>
      <c r="AR16" s="41">
        <v>2422.391316264836</v>
      </c>
      <c r="AS16" s="42">
        <v>2380.5000916599415</v>
      </c>
      <c r="AT16" s="41">
        <v>2937.0649313274521</v>
      </c>
      <c r="AU16" s="42">
        <v>2828.2642283119712</v>
      </c>
      <c r="AV16" s="41">
        <v>4161.0013523414391</v>
      </c>
      <c r="AW16" s="42">
        <v>3832.7384139016785</v>
      </c>
    </row>
    <row r="17" spans="1:49" x14ac:dyDescent="0.2">
      <c r="A17" t="s">
        <v>62</v>
      </c>
      <c r="B17" s="35">
        <v>999.99999999998658</v>
      </c>
      <c r="C17" s="36">
        <v>1000.0000000000002</v>
      </c>
      <c r="D17" s="35">
        <v>999.67222143807612</v>
      </c>
      <c r="E17" s="36">
        <v>1019.6889875432975</v>
      </c>
      <c r="F17" s="35">
        <v>999.57473213812193</v>
      </c>
      <c r="G17" s="36">
        <v>1041.1857294191443</v>
      </c>
      <c r="H17" s="35">
        <v>999.75584450313988</v>
      </c>
      <c r="I17" s="36">
        <v>1064.7487041952038</v>
      </c>
      <c r="J17" s="35">
        <v>1000.2788094214573</v>
      </c>
      <c r="K17" s="36">
        <v>1090.6892266469972</v>
      </c>
      <c r="L17" s="35">
        <v>1001.2275297206494</v>
      </c>
      <c r="M17" s="36">
        <v>1119.3860648987622</v>
      </c>
      <c r="N17" s="35">
        <v>1002.716019529854</v>
      </c>
      <c r="O17" s="36">
        <v>1151.3058435211797</v>
      </c>
      <c r="P17" s="35">
        <v>1004.9020202099904</v>
      </c>
      <c r="Q17" s="36">
        <v>1187.0317693551285</v>
      </c>
      <c r="R17" s="35">
        <v>1008.0092183654148</v>
      </c>
      <c r="S17" s="36">
        <v>1227.3061264765136</v>
      </c>
      <c r="T17" s="35">
        <v>1012.3633756361766</v>
      </c>
      <c r="U17" s="36">
        <v>1273.0963904034397</v>
      </c>
      <c r="V17" s="35">
        <v>1018.4533268426228</v>
      </c>
      <c r="W17" s="36">
        <v>1325.7044383307534</v>
      </c>
      <c r="X17" s="35">
        <v>1027.0367684361224</v>
      </c>
      <c r="Y17" s="36">
        <v>1386.9613003520274</v>
      </c>
      <c r="Z17" s="35">
        <v>1039.3302005236437</v>
      </c>
      <c r="AA17" s="36">
        <v>1459.6075320618565</v>
      </c>
      <c r="AB17" s="35">
        <v>1057.357523151072</v>
      </c>
      <c r="AC17" s="36">
        <v>1548.1059406961633</v>
      </c>
      <c r="AD17" s="35">
        <v>1084.595224537898</v>
      </c>
      <c r="AE17" s="36">
        <v>1660.5281400142128</v>
      </c>
      <c r="AF17" s="35">
        <v>1127.1605757561222</v>
      </c>
      <c r="AG17" s="36">
        <v>1813.2343692155223</v>
      </c>
      <c r="AH17" s="35">
        <v>1196.090765807322</v>
      </c>
      <c r="AI17" s="36">
        <v>2043.2503929935388</v>
      </c>
      <c r="AJ17" s="35">
        <v>1313.081768504313</v>
      </c>
      <c r="AK17" s="36">
        <v>2445.9295103112563</v>
      </c>
      <c r="AL17" s="35">
        <v>1533.1143276352075</v>
      </c>
      <c r="AM17" s="36">
        <v>3333.5917417933515</v>
      </c>
      <c r="AN17" s="35">
        <v>2081.2296991781959</v>
      </c>
      <c r="AO17" s="36">
        <v>6427.033468649458</v>
      </c>
      <c r="AP17" s="35">
        <v>2313.3482312384972</v>
      </c>
      <c r="AQ17" s="36">
        <v>8111.4025823713473</v>
      </c>
      <c r="AR17" s="35">
        <v>2662.5490703766595</v>
      </c>
      <c r="AS17" s="36">
        <v>11043.620196197406</v>
      </c>
      <c r="AT17" s="35">
        <v>3270.923524018282</v>
      </c>
      <c r="AU17" s="36">
        <v>17235.857221883231</v>
      </c>
      <c r="AV17" s="35">
        <v>4732.6412210231047</v>
      </c>
      <c r="AW17" s="36">
        <v>37290.242095241105</v>
      </c>
    </row>
    <row r="18" spans="1:49" x14ac:dyDescent="0.2">
      <c r="A18" t="s">
        <v>19</v>
      </c>
      <c r="B18" s="33">
        <v>27857.010133999996</v>
      </c>
      <c r="C18" s="34">
        <v>1236.7674480000003</v>
      </c>
      <c r="D18" s="33">
        <v>27642.290799603335</v>
      </c>
      <c r="E18" s="34">
        <v>1160.1340494840224</v>
      </c>
      <c r="F18" s="33">
        <v>27403.958710020219</v>
      </c>
      <c r="G18" s="34">
        <v>1083.8046559841805</v>
      </c>
      <c r="H18" s="33">
        <v>27138.030876308825</v>
      </c>
      <c r="I18" s="34">
        <v>1007.8246955349935</v>
      </c>
      <c r="J18" s="33">
        <v>26839.595907818737</v>
      </c>
      <c r="K18" s="34">
        <v>932.24790502221538</v>
      </c>
      <c r="L18" s="33">
        <v>26502.561732687522</v>
      </c>
      <c r="M18" s="34">
        <v>857.13670763756829</v>
      </c>
      <c r="N18" s="33">
        <v>26119.272632513977</v>
      </c>
      <c r="O18" s="34">
        <v>782.5674098497642</v>
      </c>
      <c r="P18" s="33">
        <v>25680.052771659579</v>
      </c>
      <c r="Q18" s="34">
        <v>708.6316148030561</v>
      </c>
      <c r="R18" s="33">
        <v>25172.573268356475</v>
      </c>
      <c r="S18" s="34">
        <v>635.4415278979767</v>
      </c>
      <c r="T18" s="33">
        <v>24581.055658814817</v>
      </c>
      <c r="U18" s="34">
        <v>563.13409358673937</v>
      </c>
      <c r="V18" s="33">
        <v>23885.313870542002</v>
      </c>
      <c r="W18" s="34">
        <v>491.87907615118809</v>
      </c>
      <c r="X18" s="33">
        <v>23059.822991486973</v>
      </c>
      <c r="Y18" s="34">
        <v>421.88229774626041</v>
      </c>
      <c r="Z18" s="33">
        <v>22073.333734914933</v>
      </c>
      <c r="AA18" s="34">
        <v>353.39192361759439</v>
      </c>
      <c r="AB18" s="33">
        <v>20890.514072325281</v>
      </c>
      <c r="AC18" s="34">
        <v>286.70242122540589</v>
      </c>
      <c r="AD18" s="33">
        <v>19478.795042560509</v>
      </c>
      <c r="AE18" s="34">
        <v>222.17209171368759</v>
      </c>
      <c r="AF18" s="33">
        <v>17824.809226305915</v>
      </c>
      <c r="AG18" s="34">
        <v>160.33628210602353</v>
      </c>
      <c r="AH18" s="33">
        <v>15957.52770272604</v>
      </c>
      <c r="AI18" s="34">
        <v>102.38813406311652</v>
      </c>
      <c r="AJ18" s="33">
        <v>13945.521568623284</v>
      </c>
      <c r="AK18" s="34">
        <v>51.544505564088752</v>
      </c>
      <c r="AL18" s="33">
        <v>11807.041688411788</v>
      </c>
      <c r="AM18" s="34">
        <v>15.088750435355733</v>
      </c>
      <c r="AN18" s="33">
        <v>9235.8496742839743</v>
      </c>
      <c r="AO18" s="34">
        <v>0.92722661277825336</v>
      </c>
      <c r="AP18" s="33">
        <v>8556.5378654349915</v>
      </c>
      <c r="AQ18" s="34">
        <v>0.33221639035556549</v>
      </c>
      <c r="AR18" s="33">
        <v>7740.2175178510934</v>
      </c>
      <c r="AS18" s="34">
        <v>8.3764076760557554E-2</v>
      </c>
      <c r="AT18" s="33">
        <v>6675.6960712383761</v>
      </c>
      <c r="AU18" s="34">
        <v>1.1195536065625461E-2</v>
      </c>
      <c r="AV18" s="33">
        <v>5057.151449557362</v>
      </c>
      <c r="AW18" s="34">
        <v>3.2326356465548183E-4</v>
      </c>
    </row>
    <row r="19" spans="1:49" x14ac:dyDescent="0.2">
      <c r="A19" t="s">
        <v>3</v>
      </c>
      <c r="B19" s="41">
        <v>1886.3937399999918</v>
      </c>
      <c r="C19" s="42">
        <v>262.78711299999759</v>
      </c>
      <c r="D19" s="41">
        <v>1870.2344070000531</v>
      </c>
      <c r="E19" s="42">
        <v>261.25765520971606</v>
      </c>
      <c r="F19" s="41">
        <v>1853.6318384910628</v>
      </c>
      <c r="G19" s="42">
        <v>259.83445231239455</v>
      </c>
      <c r="H19" s="41">
        <v>1836.5224955662172</v>
      </c>
      <c r="I19" s="42">
        <v>258.51290668880324</v>
      </c>
      <c r="J19" s="41">
        <v>1818.8349266797402</v>
      </c>
      <c r="K19" s="42">
        <v>257.28492136157638</v>
      </c>
      <c r="L19" s="41">
        <v>1800.4901735998096</v>
      </c>
      <c r="M19" s="42">
        <v>256.13722487204825</v>
      </c>
      <c r="N19" s="41">
        <v>1781.4047298306034</v>
      </c>
      <c r="O19" s="42">
        <v>255.04956342998787</v>
      </c>
      <c r="P19" s="41">
        <v>1761.4970453522915</v>
      </c>
      <c r="Q19" s="42">
        <v>253.99171198632561</v>
      </c>
      <c r="R19" s="41">
        <v>1740.7028215769701</v>
      </c>
      <c r="S19" s="42">
        <v>252.91982400477065</v>
      </c>
      <c r="T19" s="41">
        <v>1719.0077838496741</v>
      </c>
      <c r="U19" s="42">
        <v>251.77203121148241</v>
      </c>
      <c r="V19" s="41">
        <v>1696.5166151263295</v>
      </c>
      <c r="W19" s="42">
        <v>250.4636639983085</v>
      </c>
      <c r="X19" s="41">
        <v>1673.5974888889741</v>
      </c>
      <c r="Y19" s="42">
        <v>248.88380037873853</v>
      </c>
      <c r="Z19" s="41">
        <v>1651.1865028323812</v>
      </c>
      <c r="AA19" s="42">
        <v>246.89736833702716</v>
      </c>
      <c r="AB19" s="41">
        <v>1631.4293866292087</v>
      </c>
      <c r="AC19" s="42">
        <v>244.35872559556773</v>
      </c>
      <c r="AD19" s="41">
        <v>1619.0077135258859</v>
      </c>
      <c r="AE19" s="42">
        <v>241.13246023811513</v>
      </c>
      <c r="AF19" s="41">
        <v>1623.7449444659128</v>
      </c>
      <c r="AG19" s="42">
        <v>237.03719325792466</v>
      </c>
      <c r="AH19" s="41">
        <v>1665.4277132382126</v>
      </c>
      <c r="AI19" s="42">
        <v>231.29584570692455</v>
      </c>
      <c r="AJ19" s="41">
        <v>1784.0474103599386</v>
      </c>
      <c r="AK19" s="42">
        <v>220.22187031552087</v>
      </c>
      <c r="AL19" s="41">
        <v>2076.6443534936634</v>
      </c>
      <c r="AM19" s="42">
        <v>191.00466771012466</v>
      </c>
      <c r="AN19" s="41">
        <v>2914.4267162439874</v>
      </c>
      <c r="AO19" s="42">
        <v>117.33937922017122</v>
      </c>
      <c r="AP19" s="41">
        <v>3276.5103035621496</v>
      </c>
      <c r="AQ19" s="42">
        <v>96.004515019128988</v>
      </c>
      <c r="AR19" s="41">
        <v>3814.452922889715</v>
      </c>
      <c r="AS19" s="42">
        <v>73.089643928268487</v>
      </c>
      <c r="AT19" s="41">
        <v>4718.8029258624074</v>
      </c>
      <c r="AU19" s="42">
        <v>49.128606898073841</v>
      </c>
      <c r="AV19" s="41">
        <v>6688.7424122481752</v>
      </c>
      <c r="AW19" s="42">
        <v>24.64030466964261</v>
      </c>
    </row>
    <row r="20" spans="1:49" x14ac:dyDescent="0.2">
      <c r="A20" t="s">
        <v>127</v>
      </c>
      <c r="B20" s="82">
        <v>26548.356269999993</v>
      </c>
      <c r="C20" s="83">
        <v>1408.5418709999938</v>
      </c>
      <c r="D20" s="82">
        <v>26339.924483906379</v>
      </c>
      <c r="E20" s="83">
        <v>1338.1147774499941</v>
      </c>
      <c r="F20" s="82">
        <v>26111.700404345142</v>
      </c>
      <c r="G20" s="83">
        <v>1267.6876838999945</v>
      </c>
      <c r="H20" s="82">
        <v>25860.37477285682</v>
      </c>
      <c r="I20" s="83">
        <v>1197.2605903499946</v>
      </c>
      <c r="J20" s="82">
        <v>25581.872668359269</v>
      </c>
      <c r="K20" s="83">
        <v>1126.8334967999949</v>
      </c>
      <c r="L20" s="82">
        <v>25271.146910469524</v>
      </c>
      <c r="M20" s="83">
        <v>1056.4064032499953</v>
      </c>
      <c r="N20" s="82">
        <v>24921.866495216997</v>
      </c>
      <c r="O20" s="83">
        <v>985.97930969999561</v>
      </c>
      <c r="P20" s="82">
        <v>24526.045926919611</v>
      </c>
      <c r="Q20" s="83">
        <v>915.55221614999596</v>
      </c>
      <c r="R20" s="82">
        <v>24073.534608001832</v>
      </c>
      <c r="S20" s="83">
        <v>845.12512259999642</v>
      </c>
      <c r="T20" s="82">
        <v>23551.38053467538</v>
      </c>
      <c r="U20" s="83">
        <v>774.69802904999653</v>
      </c>
      <c r="V20" s="82">
        <v>22943.077149371667</v>
      </c>
      <c r="W20" s="83">
        <v>704.27093549999688</v>
      </c>
      <c r="X20" s="82">
        <v>22227.863778492181</v>
      </c>
      <c r="Y20" s="83">
        <v>633.84384194999711</v>
      </c>
      <c r="Z20" s="82">
        <v>21380.535301640881</v>
      </c>
      <c r="AA20" s="83">
        <v>563.41674839999746</v>
      </c>
      <c r="AB20" s="82">
        <v>20373.035863309804</v>
      </c>
      <c r="AC20" s="83">
        <v>492.98965484999781</v>
      </c>
      <c r="AD20" s="82">
        <v>19180.543885855368</v>
      </c>
      <c r="AE20" s="83">
        <v>422.56256129999809</v>
      </c>
      <c r="AF20" s="82">
        <v>17795.783984583319</v>
      </c>
      <c r="AG20" s="83">
        <v>352.13546774999827</v>
      </c>
      <c r="AH20" s="82">
        <v>16249.299671029676</v>
      </c>
      <c r="AI20" s="83">
        <v>281.70837419999856</v>
      </c>
      <c r="AJ20" s="82">
        <v>14609.333587641951</v>
      </c>
      <c r="AK20" s="83">
        <v>211.28128064999879</v>
      </c>
      <c r="AL20" s="82">
        <v>12913.958540497122</v>
      </c>
      <c r="AM20" s="83">
        <v>140.85418709999902</v>
      </c>
      <c r="AN20" s="82">
        <v>10967.334868902377</v>
      </c>
      <c r="AO20" s="83">
        <v>70.427093549999285</v>
      </c>
      <c r="AP20" s="82">
        <v>10467.259440060339</v>
      </c>
      <c r="AQ20" s="83">
        <v>56.341674839999335</v>
      </c>
      <c r="AR20" s="82">
        <v>9870.4622045590731</v>
      </c>
      <c r="AS20" s="83">
        <v>42.256256129999379</v>
      </c>
      <c r="AT20" s="82">
        <v>9094.7019552509555</v>
      </c>
      <c r="AU20" s="83">
        <v>28.170837419999433</v>
      </c>
      <c r="AV20" s="82">
        <v>7907.8019757719157</v>
      </c>
      <c r="AW20" s="83">
        <v>14.08541870999948</v>
      </c>
    </row>
    <row r="21" spans="1:49" x14ac:dyDescent="0.2">
      <c r="A21" t="s">
        <v>76</v>
      </c>
      <c r="B21" s="82">
        <v>24661.962529999968</v>
      </c>
      <c r="C21" s="83">
        <v>1145.7547579999991</v>
      </c>
      <c r="D21" s="82">
        <v>24469.690338758734</v>
      </c>
      <c r="E21" s="83">
        <v>1076.9386680256821</v>
      </c>
      <c r="F21" s="82">
        <v>24258.069002852211</v>
      </c>
      <c r="G21" s="83">
        <v>1008.1942463754391</v>
      </c>
      <c r="H21" s="82">
        <v>24023.852419922834</v>
      </c>
      <c r="I21" s="83">
        <v>939.55081702358484</v>
      </c>
      <c r="J21" s="82">
        <v>23763.037925586221</v>
      </c>
      <c r="K21" s="83">
        <v>871.04493058538537</v>
      </c>
      <c r="L21" s="82">
        <v>23470.660255469393</v>
      </c>
      <c r="M21" s="83">
        <v>802.72260791183339</v>
      </c>
      <c r="N21" s="82">
        <v>23140.478730356448</v>
      </c>
      <c r="O21" s="83">
        <v>734.64180230021861</v>
      </c>
      <c r="P21" s="82">
        <v>22764.603162248302</v>
      </c>
      <c r="Q21" s="83">
        <v>666.87607934365474</v>
      </c>
      <c r="R21" s="82">
        <v>22332.973628331445</v>
      </c>
      <c r="S21" s="83">
        <v>599.5190424636794</v>
      </c>
      <c r="T21" s="82">
        <v>21832.702158120541</v>
      </c>
      <c r="U21" s="83">
        <v>532.68969772405489</v>
      </c>
      <c r="V21" s="82">
        <v>21247.271714309503</v>
      </c>
      <c r="W21" s="83">
        <v>466.53871878434899</v>
      </c>
      <c r="X21" s="82">
        <v>20555.734727932217</v>
      </c>
      <c r="Y21" s="83">
        <v>401.25492732465841</v>
      </c>
      <c r="Z21" s="82">
        <v>19732.307862741749</v>
      </c>
      <c r="AA21" s="83">
        <v>337.07054838010237</v>
      </c>
      <c r="AB21" s="82">
        <v>18747.518729331896</v>
      </c>
      <c r="AC21" s="83">
        <v>274.26553479541275</v>
      </c>
      <c r="AD21" s="82">
        <v>17573.400066807208</v>
      </c>
      <c r="AE21" s="83">
        <v>213.18487337139109</v>
      </c>
      <c r="AF21" s="82">
        <v>16196.186386840625</v>
      </c>
      <c r="AG21" s="83">
        <v>154.34527750096748</v>
      </c>
      <c r="AH21" s="82">
        <v>14634.093923150956</v>
      </c>
      <c r="AI21" s="83">
        <v>98.896621166691077</v>
      </c>
      <c r="AJ21" s="82">
        <v>12933.343516606359</v>
      </c>
      <c r="AK21" s="83">
        <v>49.959955095974621</v>
      </c>
      <c r="AL21" s="82">
        <v>11088.594645986333</v>
      </c>
      <c r="AM21" s="83">
        <v>14.671611024758606</v>
      </c>
      <c r="AN21" s="82">
        <v>8784.5261972788339</v>
      </c>
      <c r="AO21" s="83">
        <v>0.90348784151846706</v>
      </c>
      <c r="AP21" s="82">
        <v>8157.5893530622534</v>
      </c>
      <c r="AQ21" s="83">
        <v>0.32377913868175007</v>
      </c>
      <c r="AR21" s="82">
        <v>7395.7657948495353</v>
      </c>
      <c r="AS21" s="83">
        <v>8.1648054394097822E-2</v>
      </c>
      <c r="AT21" s="82">
        <v>6391.646266402905</v>
      </c>
      <c r="AU21" s="83">
        <v>1.0913538906830299E-2</v>
      </c>
      <c r="AV21" s="82">
        <v>4850.4355917169605</v>
      </c>
      <c r="AW21" s="83">
        <v>3.151300479316104E-4</v>
      </c>
    </row>
    <row r="22" spans="1:49" x14ac:dyDescent="0.2">
      <c r="A22" t="s">
        <v>28</v>
      </c>
      <c r="B22" s="41">
        <v>6533.6044688320644</v>
      </c>
      <c r="C22" s="42">
        <v>379.90788307663382</v>
      </c>
      <c r="D22" s="41">
        <v>6470.3672021984776</v>
      </c>
      <c r="E22" s="42">
        <v>367.63191851889025</v>
      </c>
      <c r="F22" s="41">
        <v>6401.4584611650453</v>
      </c>
      <c r="G22" s="42">
        <v>355.02439737252104</v>
      </c>
      <c r="H22" s="41">
        <v>6325.9509516526332</v>
      </c>
      <c r="I22" s="42">
        <v>342.05868767071178</v>
      </c>
      <c r="J22" s="41">
        <v>6242.7064850570023</v>
      </c>
      <c r="K22" s="42">
        <v>328.70447904822794</v>
      </c>
      <c r="L22" s="41">
        <v>6150.3194858681645</v>
      </c>
      <c r="M22" s="42">
        <v>314.92714516810867</v>
      </c>
      <c r="N22" s="41">
        <v>6047.0330910227585</v>
      </c>
      <c r="O22" s="42">
        <v>300.68673101301903</v>
      </c>
      <c r="P22" s="41">
        <v>5930.6387778324179</v>
      </c>
      <c r="Q22" s="42">
        <v>285.93698876002964</v>
      </c>
      <c r="R22" s="41">
        <v>5798.3390581282383</v>
      </c>
      <c r="S22" s="42">
        <v>270.62410965505728</v>
      </c>
      <c r="T22" s="41">
        <v>5646.5780188852186</v>
      </c>
      <c r="U22" s="42">
        <v>254.68542522241779</v>
      </c>
      <c r="V22" s="41">
        <v>5470.8414593052985</v>
      </c>
      <c r="W22" s="42">
        <v>238.04820583826117</v>
      </c>
      <c r="X22" s="41">
        <v>5265.4760478602675</v>
      </c>
      <c r="Y22" s="42">
        <v>220.62950066081243</v>
      </c>
      <c r="Z22" s="41">
        <v>5023.6503984993633</v>
      </c>
      <c r="AA22" s="42">
        <v>202.33816285954879</v>
      </c>
      <c r="AB22" s="41">
        <v>4737.8051914202633</v>
      </c>
      <c r="AC22" s="42">
        <v>183.08228067594533</v>
      </c>
      <c r="AD22" s="41">
        <v>4401.3161306354514</v>
      </c>
      <c r="AE22" s="42">
        <v>162.78545200210596</v>
      </c>
      <c r="AF22" s="41">
        <v>4012.3474765504111</v>
      </c>
      <c r="AG22" s="42">
        <v>141.40703550850409</v>
      </c>
      <c r="AH22" s="41">
        <v>3579.1958744682643</v>
      </c>
      <c r="AI22" s="42">
        <v>118.91877276497596</v>
      </c>
      <c r="AJ22" s="41">
        <v>3119.8311690781784</v>
      </c>
      <c r="AK22" s="42">
        <v>95.098649687659787</v>
      </c>
      <c r="AL22" s="41">
        <v>2642.5766423192299</v>
      </c>
      <c r="AM22" s="42">
        <v>69.033505232490896</v>
      </c>
      <c r="AN22" s="41">
        <v>2088.6235346186809</v>
      </c>
      <c r="AO22" s="42">
        <v>38.806778776968123</v>
      </c>
      <c r="AP22" s="41">
        <v>1945.6188246496404</v>
      </c>
      <c r="AQ22" s="42">
        <v>32.044895794458633</v>
      </c>
      <c r="AR22" s="41">
        <v>1775.1102586818181</v>
      </c>
      <c r="AS22" s="42">
        <v>24.962579416906028</v>
      </c>
      <c r="AT22" s="41">
        <v>1554.3178117713164</v>
      </c>
      <c r="AU22" s="42">
        <v>17.469487826123871</v>
      </c>
      <c r="AV22" s="41">
        <v>1219.6900203733223</v>
      </c>
      <c r="AW22" s="42">
        <v>9.3765899352040645</v>
      </c>
    </row>
    <row r="23" spans="1:49" x14ac:dyDescent="0.2">
      <c r="A23" t="s">
        <v>7</v>
      </c>
      <c r="B23" s="116">
        <v>3278.5018080150408</v>
      </c>
      <c r="C23" s="8">
        <v>0</v>
      </c>
      <c r="D23" s="116">
        <v>3257.0857134147659</v>
      </c>
      <c r="E23" s="8">
        <v>0</v>
      </c>
      <c r="F23" s="116">
        <v>3232.8283263179542</v>
      </c>
      <c r="G23" s="8">
        <v>0</v>
      </c>
      <c r="H23" s="116">
        <v>3205.2438863427928</v>
      </c>
      <c r="I23" s="8">
        <v>0</v>
      </c>
      <c r="J23" s="116">
        <v>3173.7326249114499</v>
      </c>
      <c r="K23" s="8">
        <v>0</v>
      </c>
      <c r="L23" s="116">
        <v>3137.5500991823392</v>
      </c>
      <c r="M23" s="8">
        <v>0</v>
      </c>
      <c r="N23" s="116">
        <v>3095.7599409295394</v>
      </c>
      <c r="O23" s="8">
        <v>0</v>
      </c>
      <c r="P23" s="116">
        <v>3047.178536502161</v>
      </c>
      <c r="Q23" s="8">
        <v>0</v>
      </c>
      <c r="R23" s="116">
        <v>2990.2981566996782</v>
      </c>
      <c r="S23" s="8">
        <v>0</v>
      </c>
      <c r="T23" s="116">
        <v>2923.1914922219134</v>
      </c>
      <c r="U23" s="8">
        <v>0</v>
      </c>
      <c r="V23" s="116">
        <v>2843.398710095682</v>
      </c>
      <c r="W23" s="8">
        <v>0</v>
      </c>
      <c r="X23" s="116">
        <v>2747.8243645816724</v>
      </c>
      <c r="Y23" s="8">
        <v>0</v>
      </c>
      <c r="Z23" s="116">
        <v>2632.714350785835</v>
      </c>
      <c r="AA23" s="8">
        <v>0</v>
      </c>
      <c r="AB23" s="116">
        <v>2493.9112378923851</v>
      </c>
      <c r="AC23" s="8">
        <v>0</v>
      </c>
      <c r="AD23" s="116">
        <v>2327.8106418232051</v>
      </c>
      <c r="AE23" s="8">
        <v>0</v>
      </c>
      <c r="AF23" s="116">
        <v>2133.6119747434273</v>
      </c>
      <c r="AG23" s="8">
        <v>0</v>
      </c>
      <c r="AH23" s="116">
        <v>1916.5774538535647</v>
      </c>
      <c r="AI23" s="8">
        <v>0</v>
      </c>
      <c r="AJ23" s="116">
        <v>1688.4454639390767</v>
      </c>
      <c r="AK23" s="8">
        <v>0</v>
      </c>
      <c r="AL23" s="116">
        <v>1458.2707402377639</v>
      </c>
      <c r="AM23" s="8">
        <v>0</v>
      </c>
      <c r="AN23" s="116">
        <v>1204.7032788243939</v>
      </c>
      <c r="AO23" s="8">
        <v>0</v>
      </c>
      <c r="AP23" s="116">
        <v>1140.7087508515262</v>
      </c>
      <c r="AQ23" s="8">
        <v>0</v>
      </c>
      <c r="AR23" s="116">
        <v>1064.2494653803469</v>
      </c>
      <c r="AS23" s="8">
        <v>0</v>
      </c>
      <c r="AT23" s="116">
        <v>964.12705255355854</v>
      </c>
      <c r="AU23" s="8">
        <v>0</v>
      </c>
      <c r="AV23" s="116">
        <v>808.06274453090157</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3172.599985495076</v>
      </c>
      <c r="E25" s="42">
        <v>83.17992149572477</v>
      </c>
      <c r="F25" s="41">
        <v>3145.8889458395693</v>
      </c>
      <c r="G25" s="42">
        <v>75.550006486631901</v>
      </c>
      <c r="H25" s="41">
        <v>3114.1782196653708</v>
      </c>
      <c r="I25" s="42">
        <v>68.140570239577556</v>
      </c>
      <c r="J25" s="41">
        <v>3076.5576046408846</v>
      </c>
      <c r="K25" s="42">
        <v>60.970566169129967</v>
      </c>
      <c r="L25" s="41">
        <v>3031.895799748575</v>
      </c>
      <c r="M25" s="42">
        <v>54.060286842677286</v>
      </c>
      <c r="N25" s="41">
        <v>2978.7667053302316</v>
      </c>
      <c r="O25" s="42">
        <v>47.431581212187282</v>
      </c>
      <c r="P25" s="41">
        <v>2915.363170938107</v>
      </c>
      <c r="Q25" s="42">
        <v>41.107814770840235</v>
      </c>
      <c r="R25" s="41">
        <v>2839.3758789272329</v>
      </c>
      <c r="S25" s="42">
        <v>35.113944685819554</v>
      </c>
      <c r="T25" s="41">
        <v>2747.8406964839264</v>
      </c>
      <c r="U25" s="42">
        <v>29.476377259249233</v>
      </c>
      <c r="V25" s="41">
        <v>2636.9545173685519</v>
      </c>
      <c r="W25" s="42">
        <v>24.222874866201309</v>
      </c>
      <c r="X25" s="41">
        <v>2501.8968858605399</v>
      </c>
      <c r="Y25" s="42">
        <v>19.382010604938017</v>
      </c>
      <c r="Z25" s="41">
        <v>2336.7596687671034</v>
      </c>
      <c r="AA25" s="42">
        <v>14.982676558745561</v>
      </c>
      <c r="AB25" s="41">
        <v>2134.8812567887931</v>
      </c>
      <c r="AC25" s="42">
        <v>11.053742488969499</v>
      </c>
      <c r="AD25" s="41">
        <v>1890.2406076841785</v>
      </c>
      <c r="AE25" s="42">
        <v>7.6255877001291186</v>
      </c>
      <c r="AF25" s="41">
        <v>1600.8923680166072</v>
      </c>
      <c r="AG25" s="42">
        <v>4.7380337071258207</v>
      </c>
      <c r="AH25" s="41">
        <v>1274.2666030682749</v>
      </c>
      <c r="AI25" s="42">
        <v>2.4601118703559721</v>
      </c>
      <c r="AJ25" s="41">
        <v>929.11537457749955</v>
      </c>
      <c r="AK25" s="42">
        <v>0.90525178586749322</v>
      </c>
      <c r="AL25" s="41">
        <v>586.73946772204465</v>
      </c>
      <c r="AM25" s="42">
        <v>0.15468962565857133</v>
      </c>
      <c r="AN25" s="41">
        <v>262.38436816098101</v>
      </c>
      <c r="AO25" s="42">
        <v>3.0159775898134602E-3</v>
      </c>
      <c r="AP25" s="41">
        <v>201.26421029526597</v>
      </c>
      <c r="AQ25" s="42">
        <v>7.1530955087120414E-4</v>
      </c>
      <c r="AR25" s="41">
        <v>142.09815946097621</v>
      </c>
      <c r="AS25" s="42">
        <v>1.0381431705302335E-4</v>
      </c>
      <c r="AT25" s="41">
        <v>85.792245709390301</v>
      </c>
      <c r="AU25" s="42">
        <v>6.1879617369341528E-6</v>
      </c>
      <c r="AV25" s="41">
        <v>34.855508693338436</v>
      </c>
      <c r="AW25" s="42">
        <v>4.2872421924740107E-8</v>
      </c>
    </row>
    <row r="26" spans="1:49" x14ac:dyDescent="0.2">
      <c r="A26" t="s">
        <v>27</v>
      </c>
      <c r="B26" s="33">
        <v>5036.2953101960647</v>
      </c>
      <c r="C26" s="34">
        <v>74.905331803938267</v>
      </c>
      <c r="D26" s="33">
        <v>5007.8833601529323</v>
      </c>
      <c r="E26" s="34">
        <v>70.857949507511492</v>
      </c>
      <c r="F26" s="33">
        <v>4975.6030043145802</v>
      </c>
      <c r="G26" s="34">
        <v>66.788708587622551</v>
      </c>
      <c r="H26" s="33">
        <v>4938.7428372810527</v>
      </c>
      <c r="I26" s="34">
        <v>62.6967116911175</v>
      </c>
      <c r="J26" s="33">
        <v>4896.4168782187699</v>
      </c>
      <c r="K26" s="34">
        <v>58.581062494856937</v>
      </c>
      <c r="L26" s="33">
        <v>4847.5152181823978</v>
      </c>
      <c r="M26" s="34">
        <v>54.440883213429565</v>
      </c>
      <c r="N26" s="33">
        <v>4790.6287928609636</v>
      </c>
      <c r="O26" s="34">
        <v>50.275438928029132</v>
      </c>
      <c r="P26" s="33">
        <v>4723.9582303432926</v>
      </c>
      <c r="Q26" s="34">
        <v>46.084222049916427</v>
      </c>
      <c r="R26" s="33">
        <v>4645.186241344798</v>
      </c>
      <c r="S26" s="34">
        <v>41.867158619438356</v>
      </c>
      <c r="T26" s="33">
        <v>4551.3135079585782</v>
      </c>
      <c r="U26" s="34">
        <v>37.624846301296188</v>
      </c>
      <c r="V26" s="33">
        <v>4438.4559979766927</v>
      </c>
      <c r="W26" s="34">
        <v>33.359009363205885</v>
      </c>
      <c r="X26" s="33">
        <v>4301.6334322419889</v>
      </c>
      <c r="Y26" s="34">
        <v>29.072980678067573</v>
      </c>
      <c r="Z26" s="33">
        <v>4134.6415951757363</v>
      </c>
      <c r="AA26" s="34">
        <v>24.772564830637656</v>
      </c>
      <c r="AB26" s="33">
        <v>3930.2838338929391</v>
      </c>
      <c r="AC26" s="34">
        <v>20.467457045173116</v>
      </c>
      <c r="AD26" s="33">
        <v>3681.5739224981166</v>
      </c>
      <c r="AE26" s="34">
        <v>16.174675799669711</v>
      </c>
      <c r="AF26" s="33">
        <v>3384.8012164221509</v>
      </c>
      <c r="AG26" s="34">
        <v>11.929640120256238</v>
      </c>
      <c r="AH26" s="33">
        <v>3044.0415863345447</v>
      </c>
      <c r="AI26" s="34">
        <v>7.8220662590489498</v>
      </c>
      <c r="AJ26" s="33">
        <v>2670.9135576257336</v>
      </c>
      <c r="AK26" s="34">
        <v>4.0906957441034946</v>
      </c>
      <c r="AL26" s="33">
        <v>2266.8295192157188</v>
      </c>
      <c r="AM26" s="34">
        <v>1.2823242779271014</v>
      </c>
      <c r="AN26" s="33">
        <v>1763.8105930726119</v>
      </c>
      <c r="AO26" s="34">
        <v>9.2318480945304565E-2</v>
      </c>
      <c r="AP26" s="33">
        <v>1626.3641302366323</v>
      </c>
      <c r="AQ26" s="34">
        <v>3.5068557318100962E-2</v>
      </c>
      <c r="AR26" s="33">
        <v>1458.6653433182971</v>
      </c>
      <c r="AS26" s="34">
        <v>9.5619744085006526E-3</v>
      </c>
      <c r="AT26" s="33">
        <v>1236.866093901232</v>
      </c>
      <c r="AU26" s="34">
        <v>1.4314086009791834E-3</v>
      </c>
      <c r="AV26" s="33">
        <v>898.18343347206257</v>
      </c>
      <c r="AW26" s="34">
        <v>5.0249946763849515E-5</v>
      </c>
    </row>
    <row r="27" spans="1:49" x14ac:dyDescent="0.2">
      <c r="A27" t="s">
        <v>2</v>
      </c>
      <c r="B27" s="35">
        <v>6425.1981589998923</v>
      </c>
      <c r="C27" s="36">
        <v>273.22915400000028</v>
      </c>
      <c r="D27" s="35">
        <v>6383.1376802971827</v>
      </c>
      <c r="E27" s="36">
        <v>258.34811127953861</v>
      </c>
      <c r="F27" s="35">
        <v>6335.8607387163502</v>
      </c>
      <c r="G27" s="36">
        <v>243.39390134507835</v>
      </c>
      <c r="H27" s="35">
        <v>6282.4449436000104</v>
      </c>
      <c r="I27" s="36">
        <v>228.36394010433088</v>
      </c>
      <c r="J27" s="35">
        <v>6221.7471751725825</v>
      </c>
      <c r="K27" s="36">
        <v>213.2558379302256</v>
      </c>
      <c r="L27" s="35">
        <v>6152.3423069497758</v>
      </c>
      <c r="M27" s="36">
        <v>198.06713935535902</v>
      </c>
      <c r="N27" s="35">
        <v>6072.430553861097</v>
      </c>
      <c r="O27" s="36">
        <v>182.79633706353329</v>
      </c>
      <c r="P27" s="35">
        <v>5979.7258538759443</v>
      </c>
      <c r="Q27" s="36">
        <v>167.44280112325202</v>
      </c>
      <c r="R27" s="35">
        <v>5871.3007663658827</v>
      </c>
      <c r="S27" s="36">
        <v>152.00777188294256</v>
      </c>
      <c r="T27" s="35">
        <v>5743.3903756429236</v>
      </c>
      <c r="U27" s="36">
        <v>136.4951112300906</v>
      </c>
      <c r="V27" s="35">
        <v>5591.154002944716</v>
      </c>
      <c r="W27" s="36">
        <v>120.91343949901174</v>
      </c>
      <c r="X27" s="35">
        <v>5408.4398218269689</v>
      </c>
      <c r="Y27" s="36">
        <v>105.27750131644319</v>
      </c>
      <c r="Z27" s="35">
        <v>5187.6767270128348</v>
      </c>
      <c r="AA27" s="36">
        <v>89.611775918780921</v>
      </c>
      <c r="AB27" s="35">
        <v>4920.2544918555059</v>
      </c>
      <c r="AC27" s="36">
        <v>73.955810692777661</v>
      </c>
      <c r="AD27" s="35">
        <v>4598.1753692065386</v>
      </c>
      <c r="AE27" s="36">
        <v>58.376529172203121</v>
      </c>
      <c r="AF27" s="35">
        <v>4218.0865007774109</v>
      </c>
      <c r="AG27" s="36">
        <v>43.007587576752989</v>
      </c>
      <c r="AH27" s="35">
        <v>3787.0994157119567</v>
      </c>
      <c r="AI27" s="36">
        <v>28.175800318604718</v>
      </c>
      <c r="AJ27" s="35">
        <v>3322.6548157046327</v>
      </c>
      <c r="AK27" s="36">
        <v>14.734538887229533</v>
      </c>
      <c r="AL27" s="35">
        <v>2831.668205943789</v>
      </c>
      <c r="AM27" s="36">
        <v>4.6284571839594282</v>
      </c>
      <c r="AN27" s="35">
        <v>2245.0031747127455</v>
      </c>
      <c r="AO27" s="36">
        <v>0.33635495650856101</v>
      </c>
      <c r="AP27" s="35">
        <v>2089.2338707855374</v>
      </c>
      <c r="AQ27" s="36">
        <v>0.12835985183956863</v>
      </c>
      <c r="AR27" s="35">
        <v>1900.6696047960609</v>
      </c>
      <c r="AS27" s="36">
        <v>3.5249232220854819E-2</v>
      </c>
      <c r="AT27" s="35">
        <v>1651.8380128366314</v>
      </c>
      <c r="AU27" s="36">
        <v>5.3421075312062444E-3</v>
      </c>
      <c r="AV27" s="35">
        <v>1266.3903644619843</v>
      </c>
      <c r="AW27" s="36">
        <v>1.9269190057557301E-4</v>
      </c>
    </row>
    <row r="28" spans="1:49" x14ac:dyDescent="0.2">
      <c r="A28" t="s">
        <v>35</v>
      </c>
      <c r="B28" s="41">
        <v>13763.097675999892</v>
      </c>
      <c r="C28" s="42">
        <v>382.36647900000014</v>
      </c>
      <c r="D28" s="41">
        <v>13679.636186413734</v>
      </c>
      <c r="E28" s="42">
        <v>361.58833553804624</v>
      </c>
      <c r="F28" s="41">
        <v>13585.311488958132</v>
      </c>
      <c r="G28" s="42">
        <v>340.7050745549908</v>
      </c>
      <c r="H28" s="41">
        <v>13478.16287767993</v>
      </c>
      <c r="I28" s="42">
        <v>319.71280459357234</v>
      </c>
      <c r="J28" s="41">
        <v>13355.75425239343</v>
      </c>
      <c r="K28" s="42">
        <v>298.60783187690544</v>
      </c>
      <c r="L28" s="41">
        <v>13215.040890138111</v>
      </c>
      <c r="M28" s="42">
        <v>277.38642483841159</v>
      </c>
      <c r="N28" s="41">
        <v>13052.167153783672</v>
      </c>
      <c r="O28" s="42">
        <v>256.04601180660154</v>
      </c>
      <c r="P28" s="41">
        <v>12862.222053446183</v>
      </c>
      <c r="Q28" s="42">
        <v>234.5852329348551</v>
      </c>
      <c r="R28" s="41">
        <v>12638.89826390039</v>
      </c>
      <c r="S28" s="42">
        <v>213.00523607318024</v>
      </c>
      <c r="T28" s="41">
        <v>12374.057107071252</v>
      </c>
      <c r="U28" s="42">
        <v>191.31077562043686</v>
      </c>
      <c r="V28" s="41">
        <v>12057.195404607943</v>
      </c>
      <c r="W28" s="42">
        <v>169.51301953501329</v>
      </c>
      <c r="X28" s="41">
        <v>11674.902938974161</v>
      </c>
      <c r="Y28" s="42">
        <v>147.6316180764791</v>
      </c>
      <c r="Z28" s="41">
        <v>11210.570494428986</v>
      </c>
      <c r="AA28" s="42">
        <v>125.69958272323332</v>
      </c>
      <c r="AB28" s="41">
        <v>10645.11182028089</v>
      </c>
      <c r="AC28" s="42">
        <v>103.77069979720723</v>
      </c>
      <c r="AD28" s="41">
        <v>9960.3763647269843</v>
      </c>
      <c r="AE28" s="42">
        <v>81.936850730416907</v>
      </c>
      <c r="AF28" s="41">
        <v>9147.6616105120538</v>
      </c>
      <c r="AG28" s="42">
        <v>60.383504915658207</v>
      </c>
      <c r="AH28" s="41">
        <v>8220.1211896906025</v>
      </c>
      <c r="AI28" s="42">
        <v>39.568362244312119</v>
      </c>
      <c r="AJ28" s="41">
        <v>7212.2815923656344</v>
      </c>
      <c r="AK28" s="42">
        <v>20.692479728693868</v>
      </c>
      <c r="AL28" s="41">
        <v>6133.3160170497904</v>
      </c>
      <c r="AM28" s="42">
        <v>6.4963211916193719</v>
      </c>
      <c r="AN28" s="41">
        <v>4814.8704396897347</v>
      </c>
      <c r="AO28" s="42">
        <v>0.4708628667344773</v>
      </c>
      <c r="AP28" s="41">
        <v>4458.7640936260668</v>
      </c>
      <c r="AQ28" s="42">
        <v>0.17945340703726484</v>
      </c>
      <c r="AR28" s="41">
        <v>4025.2050984910948</v>
      </c>
      <c r="AS28" s="42">
        <v>4.9177304490680154E-2</v>
      </c>
      <c r="AT28" s="41">
        <v>3450.9634248085431</v>
      </c>
      <c r="AU28" s="42">
        <v>7.4249931669597606E-3</v>
      </c>
      <c r="AV28" s="41">
        <v>2564.4368132036525</v>
      </c>
      <c r="AW28" s="42">
        <v>2.6544034122217799E-4</v>
      </c>
    </row>
    <row r="29" spans="1:49" x14ac:dyDescent="0.2">
      <c r="A29" t="s">
        <v>53</v>
      </c>
      <c r="B29" s="35">
        <v>14362.768558000087</v>
      </c>
      <c r="C29" s="36">
        <v>817.26651000000015</v>
      </c>
      <c r="D29" s="35">
        <v>14251.90422438831</v>
      </c>
      <c r="E29" s="36">
        <v>764.8887069573799</v>
      </c>
      <c r="F29" s="35">
        <v>14128.977641964877</v>
      </c>
      <c r="G29" s="36">
        <v>712.86881686765378</v>
      </c>
      <c r="H29" s="35">
        <v>13991.955694809563</v>
      </c>
      <c r="I29" s="36">
        <v>661.24585025430565</v>
      </c>
      <c r="J29" s="35">
        <v>13838.330492136345</v>
      </c>
      <c r="K29" s="36">
        <v>610.06499322963396</v>
      </c>
      <c r="L29" s="35">
        <v>13664.989810579438</v>
      </c>
      <c r="M29" s="36">
        <v>559.37786473783819</v>
      </c>
      <c r="N29" s="35">
        <v>13468.020469731784</v>
      </c>
      <c r="O29" s="36">
        <v>509.24594136441323</v>
      </c>
      <c r="P29" s="35">
        <v>13242.473014557987</v>
      </c>
      <c r="Q29" s="36">
        <v>459.74140211843388</v>
      </c>
      <c r="R29" s="35">
        <v>12982.034694443444</v>
      </c>
      <c r="S29" s="36">
        <v>410.9504521844824</v>
      </c>
      <c r="T29" s="35">
        <v>12678.615342596093</v>
      </c>
      <c r="U29" s="36">
        <v>362.97570772518515</v>
      </c>
      <c r="V29" s="35">
        <v>12321.844435637737</v>
      </c>
      <c r="W29" s="36">
        <v>315.94086744874721</v>
      </c>
      <c r="X29" s="35">
        <v>11898.568712537694</v>
      </c>
      <c r="Y29" s="36">
        <v>269.99178860006998</v>
      </c>
      <c r="Z29" s="35">
        <v>11392.602799939734</v>
      </c>
      <c r="AA29" s="36">
        <v>225.29877946918916</v>
      </c>
      <c r="AB29" s="35">
        <v>10785.464840811401</v>
      </c>
      <c r="AC29" s="36">
        <v>182.05623892652437</v>
      </c>
      <c r="AD29" s="35">
        <v>10059.678635803926</v>
      </c>
      <c r="AE29" s="36">
        <v>140.4896212109204</v>
      </c>
      <c r="AF29" s="35">
        <v>9206.8369698988481</v>
      </c>
      <c r="AG29" s="36">
        <v>100.92340842112517</v>
      </c>
      <c r="AH29" s="35">
        <v>8238.9377012826371</v>
      </c>
      <c r="AI29" s="36">
        <v>64.088742032747945</v>
      </c>
      <c r="AJ29" s="35">
        <v>7186.2440656833651</v>
      </c>
      <c r="AK29" s="36">
        <v>32.003123205150303</v>
      </c>
      <c r="AL29" s="35">
        <v>6048.8956977033367</v>
      </c>
      <c r="AM29" s="36">
        <v>9.2365681021977863</v>
      </c>
      <c r="AN29" s="35">
        <v>4646.0631713970806</v>
      </c>
      <c r="AO29" s="36">
        <v>0.5514522242339579</v>
      </c>
      <c r="AP29" s="35">
        <v>4270.3065424131564</v>
      </c>
      <c r="AQ29" s="36">
        <v>0.19575722093154393</v>
      </c>
      <c r="AR29" s="35">
        <v>3818.0897386360512</v>
      </c>
      <c r="AS29" s="36">
        <v>4.8800804485465893E-2</v>
      </c>
      <c r="AT29" s="35">
        <v>3230.2632448353597</v>
      </c>
      <c r="AU29" s="36">
        <v>6.4287049737245406E-3</v>
      </c>
      <c r="AV29" s="35">
        <v>2349.8989679501442</v>
      </c>
      <c r="AW29" s="36">
        <v>1.8188957412486616E-4</v>
      </c>
    </row>
    <row r="30" spans="1:49" x14ac:dyDescent="0.2">
      <c r="A30" t="s">
        <v>48</v>
      </c>
      <c r="B30" s="119">
        <v>2924829.9599999995</v>
      </c>
      <c r="D30" s="119">
        <v>2932310.9761181325</v>
      </c>
      <c r="F30" s="119">
        <v>2937628.6417424609</v>
      </c>
      <c r="H30" s="119">
        <v>2940430.5417489391</v>
      </c>
      <c r="J30" s="119">
        <v>2940283.1068749698</v>
      </c>
      <c r="L30" s="119">
        <v>2936650.6828404772</v>
      </c>
      <c r="N30" s="119">
        <v>2928865.5067846631</v>
      </c>
      <c r="P30" s="119">
        <v>2916093.5039210543</v>
      </c>
      <c r="R30" s="119">
        <v>2897290.8921724712</v>
      </c>
      <c r="T30" s="119">
        <v>2871158.9245708999</v>
      </c>
      <c r="V30" s="119">
        <v>2836108.5892004296</v>
      </c>
      <c r="X30" s="119">
        <v>2790278.9483013852</v>
      </c>
      <c r="Z30" s="119">
        <v>2731711.5106865102</v>
      </c>
      <c r="AB30" s="119">
        <v>2658931.9706128202</v>
      </c>
      <c r="AD30" s="119">
        <v>2572460.8367261384</v>
      </c>
      <c r="AF30" s="119">
        <v>2478068.0576046412</v>
      </c>
      <c r="AH30" s="119">
        <v>2392199.0472471891</v>
      </c>
      <c r="AJ30" s="119">
        <v>2348668.0938651497</v>
      </c>
      <c r="AL30" s="119">
        <v>2411952.1461925497</v>
      </c>
      <c r="AN30" s="119">
        <v>2743472.9788893508</v>
      </c>
      <c r="AP30" s="119">
        <v>2881959.7650138792</v>
      </c>
      <c r="AR30" s="119">
        <v>3071881.6626430536</v>
      </c>
      <c r="AT30" s="119">
        <v>3352300.7266024631</v>
      </c>
      <c r="AV30" s="119">
        <v>3835830.3127996684</v>
      </c>
    </row>
    <row r="31" spans="1:49" x14ac:dyDescent="0.2">
      <c r="A31" t="s">
        <v>47</v>
      </c>
      <c r="B31" s="80">
        <v>1</v>
      </c>
      <c r="D31" s="80">
        <v>0.98906693046785021</v>
      </c>
      <c r="F31" s="80">
        <v>0.97721824238842314</v>
      </c>
      <c r="H31" s="80">
        <v>0.96431150768065177</v>
      </c>
      <c r="J31" s="80">
        <v>0.95017307241085558</v>
      </c>
      <c r="L31" s="80">
        <v>0.93458994791108685</v>
      </c>
      <c r="N31" s="80">
        <v>0.91729780555077012</v>
      </c>
      <c r="P31" s="80">
        <v>0.89796677526049307</v>
      </c>
      <c r="R31" s="80">
        <v>0.87618214380107051</v>
      </c>
      <c r="T31" s="80">
        <v>0.85142080834275002</v>
      </c>
      <c r="V31" s="80">
        <v>0.82302390789892799</v>
      </c>
      <c r="X31" s="80">
        <v>0.7901729587319466</v>
      </c>
      <c r="Z31" s="80">
        <v>0.7518870190657444</v>
      </c>
      <c r="AB31" s="80">
        <v>0.7070896287021613</v>
      </c>
      <c r="AD31" s="80">
        <v>0.65484484329438264</v>
      </c>
      <c r="AF31" s="80">
        <v>0.59488964812411593</v>
      </c>
      <c r="AH31" s="80">
        <v>0.52833449452391534</v>
      </c>
      <c r="AJ31" s="80">
        <v>0.45744025150765083</v>
      </c>
      <c r="AL31" s="80">
        <v>0.38248784210091791</v>
      </c>
      <c r="AN31" s="80">
        <v>0.29249469737721107</v>
      </c>
      <c r="AP31" s="80">
        <v>0.2688664653420455</v>
      </c>
      <c r="AR31" s="80">
        <v>0.24071569627050157</v>
      </c>
      <c r="AT31" s="80">
        <v>0.20458729900365438</v>
      </c>
      <c r="AV31" s="80">
        <v>0.15125036338528894</v>
      </c>
    </row>
    <row r="32" spans="1:49" x14ac:dyDescent="0.2">
      <c r="A32" t="s">
        <v>64</v>
      </c>
      <c r="B32" s="86">
        <v>14734457.915000005</v>
      </c>
      <c r="D32" s="86">
        <v>14632931.062597157</v>
      </c>
      <c r="F32" s="86">
        <v>14522393.034372607</v>
      </c>
      <c r="H32" s="86">
        <v>14401349.157218359</v>
      </c>
      <c r="J32" s="86">
        <v>14267970.173470357</v>
      </c>
      <c r="L32" s="86">
        <v>14120008.270836262</v>
      </c>
      <c r="N32" s="86">
        <v>13954673.333197115</v>
      </c>
      <c r="P32" s="86">
        <v>13768495.019820081</v>
      </c>
      <c r="R32" s="86">
        <v>13557145.577267045</v>
      </c>
      <c r="T32" s="86">
        <v>13315251.7791015</v>
      </c>
      <c r="V32" s="86">
        <v>13036240.631335668</v>
      </c>
      <c r="X32" s="86">
        <v>12712383.758532604</v>
      </c>
      <c r="Z32" s="86">
        <v>12335418.80278638</v>
      </c>
      <c r="AB32" s="86">
        <v>11898675.981061213</v>
      </c>
      <c r="AD32" s="86">
        <v>11402577.391155681</v>
      </c>
      <c r="AF32" s="86">
        <v>10866186.715274399</v>
      </c>
      <c r="AH32" s="86">
        <v>10345067.409996698</v>
      </c>
      <c r="AJ32" s="86">
        <v>9948014.5294341315</v>
      </c>
      <c r="AL32" s="86">
        <v>9859409.6419000812</v>
      </c>
      <c r="AN32" s="86">
        <v>10470501.670527596</v>
      </c>
      <c r="AP32" s="86">
        <v>10760325.979921371</v>
      </c>
      <c r="AR32" s="86">
        <v>11154553.885592163</v>
      </c>
      <c r="AT32" s="86">
        <v>11708933.346249036</v>
      </c>
      <c r="AV32" s="86">
        <v>12529992.401600601</v>
      </c>
    </row>
    <row r="33" spans="1:49 16319:16321" x14ac:dyDescent="0.2">
      <c r="A33" t="s">
        <v>54</v>
      </c>
      <c r="B33" s="117">
        <v>7019665.6909999885</v>
      </c>
      <c r="D33" s="117">
        <v>6954850.8618042693</v>
      </c>
      <c r="F33" s="117">
        <v>6885962.9709704742</v>
      </c>
      <c r="H33" s="117">
        <v>6812322.9321032092</v>
      </c>
      <c r="J33" s="117">
        <v>6733101.3425826617</v>
      </c>
      <c r="L33" s="117">
        <v>6647279.6904978082</v>
      </c>
      <c r="N33" s="117">
        <v>6553596.6883553155</v>
      </c>
      <c r="P33" s="117">
        <v>6450485.1275924491</v>
      </c>
      <c r="R33" s="117">
        <v>6335992.5968961418</v>
      </c>
      <c r="T33" s="117">
        <v>6207697.1297625275</v>
      </c>
      <c r="V33" s="117">
        <v>6062636.5928597348</v>
      </c>
      <c r="X33" s="117">
        <v>5897324.0855419198</v>
      </c>
      <c r="Z33" s="117">
        <v>5708013.6148115303</v>
      </c>
      <c r="AB33" s="117">
        <v>5491619.6608396238</v>
      </c>
      <c r="AD33" s="117">
        <v>5248088.8285093382</v>
      </c>
      <c r="AF33" s="117">
        <v>4985331.0392948519</v>
      </c>
      <c r="AH33" s="117">
        <v>4726613.6284123901</v>
      </c>
      <c r="AJ33" s="117">
        <v>4516532.8764553424</v>
      </c>
      <c r="AL33" s="117">
        <v>4426432.4877330577</v>
      </c>
      <c r="AN33" s="117">
        <v>4593294.4574657772</v>
      </c>
      <c r="AP33" s="117">
        <v>4683600.8491511773</v>
      </c>
      <c r="AR33" s="117">
        <v>4805604.8441192824</v>
      </c>
      <c r="AT33" s="117">
        <v>4969470.4101926759</v>
      </c>
      <c r="AV33" s="117">
        <v>5172449.325109194</v>
      </c>
    </row>
    <row r="34" spans="1:49 16319:16321" x14ac:dyDescent="0.2">
      <c r="A34" t="s">
        <v>75</v>
      </c>
      <c r="B34" s="117">
        <v>1136879.4410000162</v>
      </c>
      <c r="D34" s="117">
        <v>1124287.8447810316</v>
      </c>
      <c r="F34" s="117">
        <v>1107972.661522744</v>
      </c>
      <c r="H34" s="117">
        <v>1087283.387649928</v>
      </c>
      <c r="J34" s="117">
        <v>1061408.3227686982</v>
      </c>
      <c r="L34" s="117">
        <v>1029328.6881193942</v>
      </c>
      <c r="N34" s="117">
        <v>989743.99328182777</v>
      </c>
      <c r="P34" s="117">
        <v>940982.2283703303</v>
      </c>
      <c r="R34" s="117">
        <v>880867.17803131149</v>
      </c>
      <c r="T34" s="117">
        <v>806537.25868201908</v>
      </c>
      <c r="V34" s="117">
        <v>714197.11311011517</v>
      </c>
      <c r="X34" s="117">
        <v>598797.60719776538</v>
      </c>
      <c r="Z34" s="117">
        <v>453658.47415644082</v>
      </c>
      <c r="AB34" s="117">
        <v>270146.88705298607</v>
      </c>
      <c r="AD34" s="117">
        <v>37726.021620306536</v>
      </c>
      <c r="AF34" s="117">
        <v>-255151.7360001046</v>
      </c>
      <c r="AH34" s="117">
        <v>-619996.84400650626</v>
      </c>
      <c r="AJ34" s="117">
        <v>-1074248.6543120923</v>
      </c>
      <c r="AL34" s="117">
        <v>-1680754.8638560849</v>
      </c>
      <c r="AN34" s="117">
        <v>-2769378.7113255877</v>
      </c>
      <c r="AP34" s="117">
        <v>-3171249.8929764614</v>
      </c>
      <c r="AR34" s="117">
        <v>-3745444.3035426904</v>
      </c>
      <c r="AT34" s="117">
        <v>-4682139.2808631286</v>
      </c>
      <c r="AV34" s="117">
        <v>-6678527.2081816075</v>
      </c>
    </row>
    <row r="35" spans="1:49 16319:16321" x14ac:dyDescent="0.2">
      <c r="A35" t="s">
        <v>78</v>
      </c>
      <c r="B35" s="233">
        <v>1</v>
      </c>
      <c r="D35" s="233">
        <v>1.0017187429850769</v>
      </c>
      <c r="F35" s="233">
        <v>1.0038237284506446</v>
      </c>
      <c r="H35" s="233">
        <v>1.0063852254804098</v>
      </c>
      <c r="J35" s="233">
        <v>1.0094927312122051</v>
      </c>
      <c r="L35" s="233">
        <v>1.0132617619109938</v>
      </c>
      <c r="N35" s="233">
        <v>1.0178447573523119</v>
      </c>
      <c r="P35" s="233">
        <v>1.0234465759839813</v>
      </c>
      <c r="R35" s="233">
        <v>1.0303492609146212</v>
      </c>
      <c r="T35" s="233">
        <v>1.038951607449367</v>
      </c>
      <c r="V35" s="233">
        <v>1.049834970795432</v>
      </c>
      <c r="X35" s="233">
        <v>1.0638758597570384</v>
      </c>
      <c r="Z35" s="233">
        <v>1.0824462060636915</v>
      </c>
      <c r="AB35" s="233">
        <v>1.107779218574789</v>
      </c>
      <c r="AD35" s="233">
        <v>1.1436489627890329</v>
      </c>
      <c r="AF35" s="233">
        <v>1.1966451432606333</v>
      </c>
      <c r="AH35" s="233">
        <v>1.2787235413237075</v>
      </c>
      <c r="AJ35" s="233">
        <v>1.413950953635404</v>
      </c>
      <c r="AL35" s="233">
        <v>1.6657951533013442</v>
      </c>
      <c r="AN35" s="233">
        <v>2.310678697999565</v>
      </c>
      <c r="AP35" s="233">
        <v>2.5949590179336499</v>
      </c>
      <c r="AR35" s="233">
        <v>3.0355262597971508</v>
      </c>
      <c r="AT35" s="233">
        <v>3.8375403316610166</v>
      </c>
      <c r="AV35" s="233">
        <v>5.9136777192011856</v>
      </c>
    </row>
    <row r="36" spans="1:49 16319:16321" x14ac:dyDescent="0.2">
      <c r="A36" t="s">
        <v>21</v>
      </c>
      <c r="B36" s="37">
        <v>0.47195767671987948</v>
      </c>
      <c r="C36" s="38">
        <v>0.3173883442817898</v>
      </c>
      <c r="D36" s="37">
        <v>0.47196328188556541</v>
      </c>
      <c r="E36" s="38">
        <v>0.31887752194680552</v>
      </c>
      <c r="F36" s="37">
        <v>0.47196495332122507</v>
      </c>
      <c r="G36" s="38">
        <v>0.32046448895601909</v>
      </c>
      <c r="H36" s="37">
        <v>0.47196184989006723</v>
      </c>
      <c r="I36" s="38">
        <v>0.32215924229491072</v>
      </c>
      <c r="J36" s="37">
        <v>0.47195292600015692</v>
      </c>
      <c r="K36" s="38">
        <v>0.32397296580355717</v>
      </c>
      <c r="L36" s="37">
        <v>0.47193687976822901</v>
      </c>
      <c r="M36" s="38">
        <v>0.32591813128923691</v>
      </c>
      <c r="N36" s="37">
        <v>0.47191207160067855</v>
      </c>
      <c r="O36" s="38">
        <v>0.32800850273671173</v>
      </c>
      <c r="P36" s="37">
        <v>0.47187644347928215</v>
      </c>
      <c r="Q36" s="38">
        <v>0.33025909482797589</v>
      </c>
      <c r="R36" s="37">
        <v>0.47182742108998366</v>
      </c>
      <c r="S36" s="38">
        <v>0.33268593510579914</v>
      </c>
      <c r="T36" s="37">
        <v>0.47176185307175039</v>
      </c>
      <c r="U36" s="38">
        <v>0.33530561258530822</v>
      </c>
      <c r="V36" s="37">
        <v>0.4716760722263475</v>
      </c>
      <c r="W36" s="38">
        <v>0.33813456538426245</v>
      </c>
      <c r="X36" s="37">
        <v>0.47156638529689943</v>
      </c>
      <c r="Y36" s="38">
        <v>0.34118846428209099</v>
      </c>
      <c r="Z36" s="37">
        <v>0.47143075105007737</v>
      </c>
      <c r="AA36" s="38">
        <v>0.3444832989417928</v>
      </c>
      <c r="AB36" s="37">
        <v>0.4712736943245146</v>
      </c>
      <c r="AC36" s="38">
        <v>0.34804399184060364</v>
      </c>
      <c r="AD36" s="37">
        <v>0.47111956927534326</v>
      </c>
      <c r="AE36" s="38">
        <v>0.35193901416344953</v>
      </c>
      <c r="AF36" s="37">
        <v>0.47104556431316902</v>
      </c>
      <c r="AG36" s="38">
        <v>0.35639224994195923</v>
      </c>
      <c r="AH36" s="37">
        <v>0.47125519653722181</v>
      </c>
      <c r="AI36" s="38">
        <v>0.36209132273954231</v>
      </c>
      <c r="AJ36" s="37">
        <v>0.47223414877162317</v>
      </c>
      <c r="AK36" s="38">
        <v>0.3709573299803996</v>
      </c>
      <c r="AL36" s="37">
        <v>0.47521349319798689</v>
      </c>
      <c r="AM36" s="38">
        <v>0.38843478727398106</v>
      </c>
      <c r="AN36" s="37">
        <v>0.48476537878685089</v>
      </c>
      <c r="AO36" s="38">
        <v>0.43490158077482316</v>
      </c>
      <c r="AP36" s="37">
        <v>0.48902913567102185</v>
      </c>
      <c r="AQ36" s="38">
        <v>0.45425369185164616</v>
      </c>
      <c r="AR36" s="37">
        <v>0.49542244001688729</v>
      </c>
      <c r="AS36" s="38">
        <v>0.48223751607000248</v>
      </c>
      <c r="AT36" s="37">
        <v>0.50629425180299326</v>
      </c>
      <c r="AU36" s="38">
        <v>0.52752362552827226</v>
      </c>
      <c r="AV36" s="37">
        <v>0.53066719463508072</v>
      </c>
      <c r="AW36" s="38">
        <v>0.62169623976207511</v>
      </c>
    </row>
    <row r="37" spans="1:49 16319:16321" x14ac:dyDescent="0.2">
      <c r="B37" s="39">
        <v>2.1403217525954241E-2</v>
      </c>
      <c r="C37" s="40">
        <v>0.34962461301992537</v>
      </c>
      <c r="D37" s="39">
        <v>2.0599802943946005E-2</v>
      </c>
      <c r="E37" s="40">
        <v>0.34569898316137682</v>
      </c>
      <c r="F37" s="39">
        <v>1.9791210985619735E-2</v>
      </c>
      <c r="G37" s="40">
        <v>0.34167208691024403</v>
      </c>
      <c r="H37" s="39">
        <v>1.8977830744649146E-2</v>
      </c>
      <c r="I37" s="40">
        <v>0.33753979802380402</v>
      </c>
      <c r="J37" s="39">
        <v>1.8160200967307541E-2</v>
      </c>
      <c r="K37" s="40">
        <v>0.33329826098443277</v>
      </c>
      <c r="L37" s="39">
        <v>1.7339048013355538E-2</v>
      </c>
      <c r="M37" s="40">
        <v>0.32894410218507053</v>
      </c>
      <c r="N37" s="39">
        <v>1.6515357427733475E-2</v>
      </c>
      <c r="O37" s="40">
        <v>0.32447486072295662</v>
      </c>
      <c r="P37" s="39">
        <v>1.5690443634552482E-2</v>
      </c>
      <c r="Q37" s="40">
        <v>0.31988947415938424</v>
      </c>
      <c r="R37" s="39">
        <v>1.4866054415588529E-2</v>
      </c>
      <c r="S37" s="40">
        <v>0.31518905156397864</v>
      </c>
      <c r="T37" s="39">
        <v>1.4044484468807371E-2</v>
      </c>
      <c r="U37" s="40">
        <v>0.3103778358769177</v>
      </c>
      <c r="V37" s="39">
        <v>1.3228682688394913E-2</v>
      </c>
      <c r="W37" s="40">
        <v>0.30546430133557662</v>
      </c>
      <c r="X37" s="39">
        <v>1.2422249250776479E-2</v>
      </c>
      <c r="Y37" s="40">
        <v>0.30046173247798247</v>
      </c>
      <c r="Z37" s="39">
        <v>1.1629031138457358E-2</v>
      </c>
      <c r="AA37" s="40">
        <v>0.29538618697570357</v>
      </c>
      <c r="AB37" s="39">
        <v>1.0851494435088316E-2</v>
      </c>
      <c r="AC37" s="40">
        <v>0.29024544001991581</v>
      </c>
      <c r="AD37" s="39">
        <v>1.0085727685426578E-2</v>
      </c>
      <c r="AE37" s="40">
        <v>0.28500107683852727</v>
      </c>
      <c r="AF37" s="39">
        <v>9.30840974975463E-3</v>
      </c>
      <c r="AG37" s="40">
        <v>0.27946135995759619</v>
      </c>
      <c r="AH37" s="39">
        <v>8.4495706739318825E-3</v>
      </c>
      <c r="AI37" s="40">
        <v>0.27303304964112624</v>
      </c>
      <c r="AJ37" s="39">
        <v>7.3543752255026311E-3</v>
      </c>
      <c r="AK37" s="40">
        <v>0.26427709707413971</v>
      </c>
      <c r="AL37" s="39">
        <v>5.7630933885427253E-3</v>
      </c>
      <c r="AM37" s="40">
        <v>0.25022601861722671</v>
      </c>
      <c r="AN37" s="39">
        <v>3.4010440415241589E-3</v>
      </c>
      <c r="AO37" s="40">
        <v>0.22516960012187237</v>
      </c>
      <c r="AP37" s="39">
        <v>2.8310954575143294E-3</v>
      </c>
      <c r="AQ37" s="40">
        <v>0.21794089705990821</v>
      </c>
      <c r="AR37" s="39">
        <v>2.2319946723056857E-3</v>
      </c>
      <c r="AS37" s="40">
        <v>0.2095463271908847</v>
      </c>
      <c r="AT37" s="39">
        <v>1.602696744338037E-3</v>
      </c>
      <c r="AU37" s="40">
        <v>0.19947545079035081</v>
      </c>
      <c r="AV37" s="39">
        <v>9.3111083726058169E-4</v>
      </c>
      <c r="AW37" s="40">
        <v>0.18637214158567086</v>
      </c>
    </row>
    <row r="38" spans="1:49 16319:16321" x14ac:dyDescent="0.2">
      <c r="A38" t="s">
        <v>22</v>
      </c>
      <c r="B38" s="37">
        <v>0.18079094942242827</v>
      </c>
      <c r="C38" s="38">
        <v>6.0565413429233668E-2</v>
      </c>
      <c r="D38" s="37">
        <v>0.18116745086209696</v>
      </c>
      <c r="E38" s="38">
        <v>6.1077381134556005E-2</v>
      </c>
      <c r="F38" s="37">
        <v>0.18156511827231947</v>
      </c>
      <c r="G38" s="38">
        <v>6.1624304914037406E-2</v>
      </c>
      <c r="H38" s="37">
        <v>0.18198604238425109</v>
      </c>
      <c r="I38" s="38">
        <v>6.2209937868049153E-2</v>
      </c>
      <c r="J38" s="37">
        <v>0.18243258561103662</v>
      </c>
      <c r="K38" s="38">
        <v>6.2838502697907334E-2</v>
      </c>
      <c r="L38" s="37">
        <v>0.18290742106653063</v>
      </c>
      <c r="M38" s="38">
        <v>6.3514819431172168E-2</v>
      </c>
      <c r="N38" s="37">
        <v>0.18341356056360694</v>
      </c>
      <c r="O38" s="38">
        <v>6.4244227775446097E-2</v>
      </c>
      <c r="P38" s="37">
        <v>0.18395438172762002</v>
      </c>
      <c r="Q38" s="38">
        <v>6.5032692709771661E-2</v>
      </c>
      <c r="R38" s="37">
        <v>0.18453362680978239</v>
      </c>
      <c r="S38" s="38">
        <v>6.5886720935494691E-2</v>
      </c>
      <c r="T38" s="37">
        <v>0.18515533145243368</v>
      </c>
      <c r="U38" s="38">
        <v>6.6813298519459718E-2</v>
      </c>
      <c r="V38" s="37">
        <v>0.18582364134015777</v>
      </c>
      <c r="W38" s="38">
        <v>6.7819533256487582E-2</v>
      </c>
      <c r="X38" s="37">
        <v>0.18654234396465352</v>
      </c>
      <c r="Y38" s="38">
        <v>6.8912539903614095E-2</v>
      </c>
      <c r="Z38" s="37">
        <v>0.18731387133587732</v>
      </c>
      <c r="AA38" s="38">
        <v>7.0099408546314329E-2</v>
      </c>
      <c r="AB38" s="37">
        <v>0.18813724833605625</v>
      </c>
      <c r="AC38" s="38">
        <v>7.1389201938694372E-2</v>
      </c>
      <c r="AD38" s="37">
        <v>0.18900419222308168</v>
      </c>
      <c r="AE38" s="38">
        <v>7.2802464409049E-2</v>
      </c>
      <c r="AF38" s="37">
        <v>0.1898927036720735</v>
      </c>
      <c r="AG38" s="38">
        <v>7.4403871435460109E-2</v>
      </c>
      <c r="AH38" s="37">
        <v>0.19075897238232764</v>
      </c>
      <c r="AI38" s="38">
        <v>7.6396218474174812E-2</v>
      </c>
      <c r="AJ38" s="37">
        <v>0.19152482354157005</v>
      </c>
      <c r="AK38" s="38">
        <v>7.9362401469100466E-2</v>
      </c>
      <c r="AL38" s="37">
        <v>0.19198962610935263</v>
      </c>
      <c r="AM38" s="38">
        <v>8.4985452136737472E-2</v>
      </c>
      <c r="AN38" s="37">
        <v>0.19097437217755003</v>
      </c>
      <c r="AO38" s="38">
        <v>9.9564097571240198E-2</v>
      </c>
      <c r="AP38" s="37">
        <v>0.19007268544985889</v>
      </c>
      <c r="AQ38" s="38">
        <v>0.10555938339034895</v>
      </c>
      <c r="AR38" s="37">
        <v>0.18845275858904603</v>
      </c>
      <c r="AS38" s="38">
        <v>0.11415364173157283</v>
      </c>
      <c r="AT38" s="37">
        <v>0.18527897026800788</v>
      </c>
      <c r="AU38" s="38">
        <v>0.12785529809279525</v>
      </c>
      <c r="AV38" s="37">
        <v>0.17760659185927247</v>
      </c>
      <c r="AW38" s="38">
        <v>0.15544574847896453</v>
      </c>
    </row>
    <row r="39" spans="1:49 16319:16321" x14ac:dyDescent="0.2">
      <c r="A39" t="s">
        <v>23</v>
      </c>
      <c r="B39" s="39">
        <v>0.23064923795098236</v>
      </c>
      <c r="C39" s="40">
        <v>0.22092201281804777</v>
      </c>
      <c r="D39" s="39">
        <v>0.2309192724500525</v>
      </c>
      <c r="E39" s="40">
        <v>0.22268815521313309</v>
      </c>
      <c r="F39" s="39">
        <v>0.23120238961678377</v>
      </c>
      <c r="G39" s="40">
        <v>0.22457358897767182</v>
      </c>
      <c r="H39" s="39">
        <v>0.2314996608351754</v>
      </c>
      <c r="I39" s="40">
        <v>0.22659093502675703</v>
      </c>
      <c r="J39" s="39">
        <v>0.23181225218670687</v>
      </c>
      <c r="K39" s="40">
        <v>0.22875442978350671</v>
      </c>
      <c r="L39" s="39">
        <v>0.23214141972402796</v>
      </c>
      <c r="M39" s="40">
        <v>0.23107998711345556</v>
      </c>
      <c r="N39" s="39">
        <v>0.23248850147159042</v>
      </c>
      <c r="O39" s="40">
        <v>0.23358541994308984</v>
      </c>
      <c r="P39" s="39">
        <v>0.23285488963150222</v>
      </c>
      <c r="Q39" s="40">
        <v>0.23629033425186366</v>
      </c>
      <c r="R39" s="39">
        <v>0.23324197744004507</v>
      </c>
      <c r="S39" s="40">
        <v>0.23921598638002167</v>
      </c>
      <c r="T39" s="39">
        <v>0.23365108705505624</v>
      </c>
      <c r="U39" s="40">
        <v>0.24238474065869411</v>
      </c>
      <c r="V39" s="39">
        <v>0.23408333812352963</v>
      </c>
      <c r="W39" s="40">
        <v>0.24581944091853741</v>
      </c>
      <c r="X39" s="39">
        <v>0.23453952026533811</v>
      </c>
      <c r="Y39" s="40">
        <v>0.24954235311328934</v>
      </c>
      <c r="Z39" s="39">
        <v>0.23502008302475508</v>
      </c>
      <c r="AA39" s="40">
        <v>0.25357618533396331</v>
      </c>
      <c r="AB39" s="39">
        <v>0.23552577379479692</v>
      </c>
      <c r="AC39" s="40">
        <v>0.25795321287026551</v>
      </c>
      <c r="AD39" s="39">
        <v>0.23606056530497296</v>
      </c>
      <c r="AE39" s="40">
        <v>0.26275365515950022</v>
      </c>
      <c r="AF39" s="39">
        <v>0.23664132654796352</v>
      </c>
      <c r="AG39" s="40">
        <v>0.26823365873180166</v>
      </c>
      <c r="AH39" s="39">
        <v>0.23732369363613906</v>
      </c>
      <c r="AI39" s="40">
        <v>0.27518618809124817</v>
      </c>
      <c r="AJ39" s="39">
        <v>0.23825963047380297</v>
      </c>
      <c r="AK39" s="40">
        <v>0.2858605146364066</v>
      </c>
      <c r="AL39" s="39">
        <v>0.23982876326446578</v>
      </c>
      <c r="AM39" s="40">
        <v>0.30674887253182326</v>
      </c>
      <c r="AN39" s="39">
        <v>0.2430748933651081</v>
      </c>
      <c r="AO39" s="40">
        <v>0.36275377763450845</v>
      </c>
      <c r="AP39" s="39">
        <v>0.24416813244352145</v>
      </c>
      <c r="AQ39" s="40">
        <v>0.38637422946588301</v>
      </c>
      <c r="AR39" s="39">
        <v>0.24555764749667414</v>
      </c>
      <c r="AS39" s="40">
        <v>0.42081562388153504</v>
      </c>
      <c r="AT39" s="39">
        <v>0.24744056577911386</v>
      </c>
      <c r="AU39" s="40">
        <v>0.47716406788313953</v>
      </c>
      <c r="AV39" s="39">
        <v>0.25041574829103208</v>
      </c>
      <c r="AW39" s="40">
        <v>0.59608295410877621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0.11366475990180602</v>
      </c>
      <c r="E42" s="135"/>
      <c r="F42" s="177">
        <f>10.8%+(1-10.8%)*(1-SUM(F26:G26)/SUM($B$26:$C$26))</f>
        <v>0.12000844362298824</v>
      </c>
      <c r="G42" s="135"/>
      <c r="H42" s="177">
        <f>10.8%+(1-10.8%)*(1-SUM(H26:I26)/SUM($B$26:$C$26))</f>
        <v>0.12715536130127664</v>
      </c>
      <c r="I42" s="135"/>
      <c r="J42" s="177">
        <f>10.8%+(1-10.8%)*(1-SUM(J26:K26)/SUM($B$26:$C$26))</f>
        <v>0.13526028956924832</v>
      </c>
      <c r="K42" s="135"/>
      <c r="L42" s="177">
        <f>10.8%+(1-10.8%)*(1-SUM(L26:M26)/SUM($B$26:$C$26))</f>
        <v>0.1445170814632491</v>
      </c>
      <c r="M42" s="135"/>
      <c r="N42" s="177">
        <f>10.8%+(1-10.8%)*(1-SUM(N26:O26)/SUM($B$26:$C$26))</f>
        <v>0.15517177328688822</v>
      </c>
      <c r="O42" s="135"/>
      <c r="P42" s="177">
        <f>10.8%+(1-10.8%)*(1-SUM(P26:Q26)/SUM($B$26:$C$26))</f>
        <v>0.16753847763843291</v>
      </c>
      <c r="Q42" s="135"/>
      <c r="R42" s="177">
        <f>10.8%+(1-10.8%)*(1-SUM(R26:S26)/SUM($B$26:$C$26))</f>
        <v>0.18202161769721889</v>
      </c>
      <c r="S42" s="135"/>
      <c r="T42" s="177">
        <f>10.8%+(1-10.8%)*(1-SUM(T26:U26)/SUM($B$26:$C$26))</f>
        <v>0.19914452616790757</v>
      </c>
      <c r="U42" s="135"/>
      <c r="V42" s="177">
        <f>10.8%+(1-10.8%)*(1-SUM(V26:W26)/SUM($B$26:$C$26))</f>
        <v>0.21958473831574021</v>
      </c>
      <c r="W42" s="135"/>
      <c r="X42" s="177">
        <f>10.8%+(1-10.8%)*(1-SUM(X26:Y26)/SUM($B$26:$C$26))</f>
        <v>0.2442108242471363</v>
      </c>
      <c r="Y42" s="162"/>
      <c r="Z42" s="177">
        <f>10.8%+(1-10.8%)*(1-SUM(Z26:AA26)/SUM($B$26:$C$26))</f>
        <v>0.27410452247988998</v>
      </c>
      <c r="AA42" s="135"/>
      <c r="AB42" s="177">
        <f>10.8%+(1-10.8%)*(1-SUM(AB26:AC26)/SUM($B$26:$C$26))</f>
        <v>0.31052009139327508</v>
      </c>
      <c r="AC42" s="135"/>
      <c r="AD42" s="177">
        <f>10.8%+(1-10.8%)*(1-SUM(AD26:AE26)/SUM($B$26:$C$26))</f>
        <v>0.35467378788108567</v>
      </c>
      <c r="AE42" s="135"/>
      <c r="AF42" s="177">
        <f>10.8%+(1-10.8%)*(1-SUM(AF26:AG26)/SUM($B$26:$C$26))</f>
        <v>0.40720700746151117</v>
      </c>
      <c r="AG42" s="135"/>
      <c r="AH42" s="177">
        <f>10.8%+(1-10.8%)*(1-SUM(AH26:AI26)/SUM($B$26:$C$26))</f>
        <v>0.46739277739481011</v>
      </c>
      <c r="AI42" s="135"/>
      <c r="AJ42" s="177">
        <f>10.8%+(1-10.8%)*(1-SUM(AJ26:AK26)/SUM($B$26:$C$26))</f>
        <v>0.53316178308503726</v>
      </c>
      <c r="AK42" s="135"/>
      <c r="AL42" s="177">
        <f>10.8%+(1-10.8%)*(1-SUM(AL26:AM26)/SUM($B$26:$C$26))</f>
        <v>0.60417211021387818</v>
      </c>
      <c r="AM42" s="135"/>
      <c r="AN42" s="177">
        <f>10.8%+(1-10.8%)*(1-SUM(AN26:AO26)/SUM($B$26:$C$26))</f>
        <v>0.69216598852004685</v>
      </c>
      <c r="AO42" s="135"/>
      <c r="AP42" s="177">
        <f>10.8%+(1-10.8%)*(1-SUM(AP26:AQ26)/SUM($B$26:$C$26))</f>
        <v>0.71616295525496554</v>
      </c>
      <c r="AQ42" s="135"/>
      <c r="AR42" s="177">
        <f>10.8%+(1-10.8%)*(1-SUM(AR26:AS26)/SUM($B$26:$C$26))</f>
        <v>0.7454339779132676</v>
      </c>
      <c r="AS42" s="135"/>
      <c r="AT42" s="177">
        <f>10.8%+(1-10.8%)*(1-SUM(AT26:AU26)/SUM($B$26:$C$26))</f>
        <v>0.78414350954834411</v>
      </c>
      <c r="AU42" s="135"/>
      <c r="AV42" s="177">
        <f>10.8%+(1-10.8%)*(1-SUM(AV26:AW26)/SUM($B$26:$C$26))</f>
        <v>0.8432502021351812</v>
      </c>
    </row>
    <row r="43" spans="1:49 16319:16321" x14ac:dyDescent="0.2">
      <c r="A43" t="s">
        <v>108</v>
      </c>
      <c r="B43" s="162">
        <f>SUM(B15:C15*B27:C27)/SUM(B15:C15*B27:C27,B13:C13*B26:C26)</f>
        <v>0.56058995943838641</v>
      </c>
      <c r="C43" s="135"/>
      <c r="D43" s="162">
        <f t="array" ref="D43">SUM(D15:E15*D27:E27)/SUM(D15:E15*D27:E27,D13:E13*D26:E26)</f>
        <v>0.56741363341696727</v>
      </c>
      <c r="E43" s="135"/>
      <c r="F43" s="162">
        <f t="array" ref="F43">SUM(F15:G15*F27:G27)/SUM(F15:G15*F27:G27,F13:G13*F26:G26)</f>
        <v>0.56765738481923655</v>
      </c>
      <c r="G43" s="135"/>
      <c r="H43" s="162">
        <f t="array" ref="H43">SUM(H15:I15*H27:I27)/SUM(H15:I15*H27:I27,H13:I13*H26:I26)</f>
        <v>0.56793532672313651</v>
      </c>
      <c r="I43" s="135"/>
      <c r="J43" s="162">
        <f t="array" ref="J43">SUM(J15:K15*J27:K27)/SUM(J15:K15*J27:K27,J13:K13*J26:K26)</f>
        <v>0.56825154640017084</v>
      </c>
      <c r="K43" s="135"/>
      <c r="L43" s="162">
        <f t="array" ref="L43">SUM(L15:M15*L27:M27)/SUM(L15:M15*L27:M27,L13:M13*L26:M26)</f>
        <v>0.56861074645547927</v>
      </c>
      <c r="M43" s="135"/>
      <c r="N43" s="162">
        <f t="array" ref="N43">SUM(N15:O15*N27:O27)/SUM(N15:O15*N27:O27,N13:O13*N26:O26)</f>
        <v>0.56901840299204809</v>
      </c>
      <c r="O43" s="135"/>
      <c r="P43" s="162">
        <f t="array" ref="P43">SUM(P15:Q15*P27:Q27)/SUM(P15:Q15*P27:Q27,P13:Q13*P26:Q26)</f>
        <v>0.56948082801524924</v>
      </c>
      <c r="Q43" s="135"/>
      <c r="R43" s="162">
        <f t="array" ref="R43">SUM(R15:S15*R27:S27)/SUM(R15:S15*R27:S27,R13:S13*R26:S26)</f>
        <v>0.57000523891139643</v>
      </c>
      <c r="S43" s="135"/>
      <c r="T43" s="162">
        <f t="array" ref="T43">SUM(T15:U15*T27:U27)/SUM(T15:U15*T27:U27,T13:U13*T26:U26)</f>
        <v>0.5705996821636905</v>
      </c>
      <c r="U43" s="135"/>
      <c r="V43" s="162">
        <f t="array" ref="V43">SUM(V15:W15*V27:W27)/SUM(V15:W15*V27:W27,V13:W13*V26:W26)</f>
        <v>0.57127261041507371</v>
      </c>
      <c r="W43" s="135"/>
      <c r="X43" s="162">
        <f t="array" ref="X43">SUM(X15:Y15*X27:Y27)/SUM(X15:Y15*X27:Y27,X13:Y13*X26:Y26)</f>
        <v>0.57203153649692973</v>
      </c>
      <c r="Y43" s="135"/>
      <c r="Z43" s="162">
        <f t="array" ref="Z43">SUM(Z15:AA15*Z27:AA27)/SUM(Z15:AA15*Z27:AA27,Z13:AA13*Z26:AA26)</f>
        <v>0.57287958485470314</v>
      </c>
      <c r="AA43" s="135"/>
      <c r="AB43" s="162">
        <f t="array" ref="AB43">SUM(AB15:AC15*AB27:AC27)/SUM(AB15:AC15*AB27:AC27,AB13:AC13*AB26:AC26)</f>
        <v>0.57380694247783615</v>
      </c>
      <c r="AC43" s="135"/>
      <c r="AD43" s="162">
        <f t="array" ref="AD43">SUM(AD15:AE15*AD27:AE27)/SUM(AD15:AE15*AD27:AE27,AD13:AE13*AD26:AE26)</f>
        <v>0.5747707372568821</v>
      </c>
      <c r="AE43" s="135"/>
      <c r="AF43" s="162">
        <f t="array" ref="AF43">SUM(AF15:AG15*AF27:AG27)/SUM(AF15:AG15*AF27:AG27,AF13:AG13*AF26:AG26)</f>
        <v>0.57565137213807116</v>
      </c>
      <c r="AG43" s="135"/>
      <c r="AH43" s="162">
        <f t="array" ref="AH43">SUM(AH15:AI15*AH27:AI27)/SUM(AH15:AI15*AH27:AI27,AH13:AI13*AH26:AI26)</f>
        <v>0.57616953651259561</v>
      </c>
      <c r="AI43" s="135"/>
      <c r="AJ43" s="162">
        <f t="array" ref="AJ43">SUM(AJ15:AK15*AJ27:AK27)/SUM(AJ15:AK15*AJ27:AK27,AJ13:AK13*AJ26:AK26)</f>
        <v>0.57573319581967175</v>
      </c>
      <c r="AK43" s="135"/>
      <c r="AL43" s="162">
        <f t="array" ref="AL43">SUM(AL15:AM15*AL27:AM27)/SUM(AL15:AM15*AL27:AM27,AL13:AM13*AL26:AM26)</f>
        <v>0.57292481722439204</v>
      </c>
      <c r="AM43" s="135"/>
      <c r="AN43" s="162">
        <f t="array" ref="AN43">SUM(AN15:AO15*AN27:AO27)/SUM(AN15:AO15*AN27:AO27,AN13:AO13*AN26:AO26)</f>
        <v>0.56195062723169764</v>
      </c>
      <c r="AO43" s="135"/>
      <c r="AP43" s="162">
        <f t="array" ref="AP43">SUM(AP15:AQ15*AP27:AQ27)/SUM(AP15:AQ15*AP27:AQ27,AP13:AQ13*AP26:AQ26)</f>
        <v>0.55663369874202995</v>
      </c>
      <c r="AQ43" s="135"/>
      <c r="AR43" s="162">
        <f t="array" ref="AR43">SUM(AR15:AS15*AR27:AS27)/SUM(AR15:AS15*AR27:AS27,AR13:AS13*AR26:AS26)</f>
        <v>0.54841553253954878</v>
      </c>
      <c r="AS43" s="135"/>
      <c r="AT43" s="162">
        <f t="array" ref="AT43">SUM(AT15:AU15*AT27:AU27)/SUM(AT15:AU15*AT27:AU27,AT13:AU13*AT26:AU26)</f>
        <v>0.53414833677947537</v>
      </c>
      <c r="AU43" s="135"/>
      <c r="AV43" s="162">
        <f t="array" ref="AV43">SUM(AV15:AW15*AV27:AW27)/SUM(AV15:AW15*AV27:AW27,AV13:AW13*AV26:AW26)</f>
        <v>0.50255884281360275</v>
      </c>
    </row>
    <row r="44" spans="1:49 16319:16321" x14ac:dyDescent="0.2">
      <c r="A44" t="s">
        <v>142</v>
      </c>
      <c r="B44" s="193">
        <f>(SUM(B11:C11*B24:C24)+B34)/B32</f>
        <v>0.29754226190682465</v>
      </c>
      <c r="D44" s="193">
        <f>(SUM(D11:E11*D24:E24)+D34)/D32</f>
        <v>0.29866618340127965</v>
      </c>
      <c r="F44" s="193">
        <f>(SUM(F11:G11*F24:G24)+F34)/F32</f>
        <v>0.29979206777317824</v>
      </c>
      <c r="H44" s="193">
        <f>(SUM(H11:I11*H24:I24)+H34)/H32</f>
        <v>0.30092013326034195</v>
      </c>
      <c r="J44" s="193">
        <f>(SUM(J11:K11*J24:K24)+J34)/J32</f>
        <v>0.30205055617158466</v>
      </c>
      <c r="L44" s="193">
        <f>(SUM(L11:M11*L24:M24)+L34)/L32</f>
        <v>0.30318355486657861</v>
      </c>
      <c r="N44" s="193">
        <f>(SUM(N11:O11*N24:O24)+N34)/N32</f>
        <v>0.3043192485082169</v>
      </c>
      <c r="P44" s="193">
        <f>(SUM(P11:Q11*P24:Q24)+P34)/P32</f>
        <v>0.30545777475162816</v>
      </c>
      <c r="R44" s="193">
        <f>(SUM(R11:S11*R24:S24)+R34)/R32</f>
        <v>0.30659932463012107</v>
      </c>
      <c r="T44" s="193">
        <f>(SUM(T11:U11*T24:U24)+T34)/T32</f>
        <v>0.30774427625054507</v>
      </c>
      <c r="V44" s="193">
        <f>(SUM(V11:W11*V24:W24)+V34)/V32</f>
        <v>0.30889360175621317</v>
      </c>
      <c r="X44" s="193">
        <f>(SUM(X11:Y11*X24:Y24)+X34)/X32</f>
        <v>0.31004992047714247</v>
      </c>
      <c r="Z44" s="193">
        <f>(SUM(Z11:AA11*Z24:AA24)+Z34)/Z32</f>
        <v>0.3112201253373878</v>
      </c>
      <c r="AB44" s="193">
        <f>(SUM(AB11:AC11*AB24:AC24)+AB34)/AB32</f>
        <v>0.31242180065056885</v>
      </c>
      <c r="AD44" s="193">
        <f>(SUM(AD11:AE11*AD24:AE24)+AD34)/AD32</f>
        <v>0.31369918382645101</v>
      </c>
      <c r="AF44" s="193">
        <f>(SUM(AF11:AG11*AF24:AG24)+AF34)/AF32</f>
        <v>0.31516073675501122</v>
      </c>
      <c r="AH44" s="193">
        <f>(SUM(AH11:AI11*AH24:AI24)+AH34)/AH32</f>
        <v>0.31705840354620529</v>
      </c>
      <c r="AJ44" s="193">
        <f>(SUM(AJ11:AK11*AJ24:AK24)+AJ34)/AJ32</f>
        <v>0.31994029725542572</v>
      </c>
      <c r="AL44" s="193">
        <f>(SUM(AL11:AM11*AL24:AM24)+AL34)/AL32</f>
        <v>0.32499867048348863</v>
      </c>
      <c r="AN44" s="193">
        <f>(SUM(AN11:AO11*AN24:AO24)+AN34)/AN32</f>
        <v>0.33526474289523711</v>
      </c>
      <c r="AP44" s="193">
        <f>(SUM(AP11:AQ11*AP24:AQ24)+AP34)/AP32</f>
        <v>0.33868809271516348</v>
      </c>
      <c r="AR44" s="193">
        <f>(SUM(AR11:AS11*AR24:AS24)+AR34)/AR32</f>
        <v>0.34313380089267659</v>
      </c>
      <c r="AT44" s="193">
        <f>(SUM(AT11:AU11*AT24:AU24)+AT34)/AT32</f>
        <v>0.34953679149177463</v>
      </c>
      <c r="AV44" s="193">
        <f>(SUM(AV11:AW11*AV24:AW24)+AV34)/AV32</f>
        <v>0.36114833160716475</v>
      </c>
    </row>
    <row r="45" spans="1:49 16319:16321" x14ac:dyDescent="0.2">
      <c r="A45" t="s">
        <v>82</v>
      </c>
      <c r="B45" s="193">
        <f>SUM(B11:C11*B24:C24)/B32</f>
        <v>0.22038438833194082</v>
      </c>
      <c r="D45" s="193">
        <f>SUM(D11:E11*D24:E24)/D32</f>
        <v>0.22183346684083652</v>
      </c>
      <c r="F45" s="193">
        <f>SUM(F11:G11*F24:G24)/F32</f>
        <v>0.22349798463548068</v>
      </c>
      <c r="H45" s="193">
        <f>SUM(H11:I11*H24:I24)/H32</f>
        <v>0.22542141603738292</v>
      </c>
      <c r="J45" s="193">
        <f>SUM(J11:K11*J24:K24)/J32</f>
        <v>0.22765957344145082</v>
      </c>
      <c r="L45" s="193">
        <f>SUM(L11:M11*L24:M24)/L32</f>
        <v>0.23028496526409309</v>
      </c>
      <c r="N45" s="193">
        <f>SUM(N11:O11*N24:O24)/N32</f>
        <v>0.23339361881774601</v>
      </c>
      <c r="P45" s="193">
        <f>SUM(P11:Q11*P24:Q24)/P32</f>
        <v>0.23711463143670788</v>
      </c>
      <c r="R45" s="193">
        <f>SUM(R11:S11*R24:S24)/R32</f>
        <v>0.24162494097310916</v>
      </c>
      <c r="T45" s="193">
        <f>SUM(T11:U11*T24:U24)/T32</f>
        <v>0.24717183856311867</v>
      </c>
      <c r="V45" s="193">
        <f>SUM(V11:W11*V24:W24)/V32</f>
        <v>0.25410809009625079</v>
      </c>
      <c r="X45" s="193">
        <f>SUM(X11:Y11*X24:Y24)/X32</f>
        <v>0.26294643315551014</v>
      </c>
      <c r="Z45" s="193">
        <f>SUM(Z11:AA11*Z24:AA24)/Z32</f>
        <v>0.27444322449523995</v>
      </c>
      <c r="AB45" s="193">
        <f>SUM(AB11:AC11*AB24:AC24)/AB32</f>
        <v>0.28971785548196599</v>
      </c>
      <c r="AD45" s="193">
        <f>SUM(AD11:AE11*AD24:AE24)/AD32</f>
        <v>0.31039063170475539</v>
      </c>
      <c r="AF45" s="193">
        <f>SUM(AF11:AG11*AF24:AG24)/AF32</f>
        <v>0.33864199496323272</v>
      </c>
      <c r="AH45" s="193">
        <f>SUM(AH11:AI11*AH24:AI24)/AH32</f>
        <v>0.37699004240700074</v>
      </c>
      <c r="AJ45" s="193">
        <f>SUM(AJ11:AK11*AJ24:AK24)/AJ32</f>
        <v>0.42792653422096405</v>
      </c>
      <c r="AL45" s="193">
        <f>SUM(AL11:AM11*AL24:AM24)/AL32</f>
        <v>0.49547083107952344</v>
      </c>
      <c r="AN45" s="193">
        <f>SUM(AN11:AO11*AN24:AO24)/AN32</f>
        <v>0.59975815481272376</v>
      </c>
      <c r="AP45" s="193">
        <f>SUM(AP11:AQ11*AP24:AQ24)/AP32</f>
        <v>0.63340499059483479</v>
      </c>
      <c r="AR45" s="193">
        <f>SUM(AR11:AS11*AR24:AS24)/AR32</f>
        <v>0.6789109500246121</v>
      </c>
      <c r="AT45" s="193">
        <f>SUM(AT11:AU11*AT24:AU24)/AT32</f>
        <v>0.74941431597721841</v>
      </c>
      <c r="AV45" s="193">
        <f>SUM(AV11:AW11*AV24:AW24)/AV32</f>
        <v>0.89415162435684603</v>
      </c>
      <c r="XCQ45" s="193"/>
    </row>
    <row r="46" spans="1:49 16319:16321" x14ac:dyDescent="0.2">
      <c r="A46" t="s">
        <v>139</v>
      </c>
      <c r="B46" s="193">
        <f>B34/B32</f>
        <v>7.7157873574883795E-2</v>
      </c>
      <c r="D46" s="193">
        <f>D34/D32</f>
        <v>7.6832716560443146E-2</v>
      </c>
      <c r="F46" s="193">
        <f>F34/F32</f>
        <v>7.6294083137697588E-2</v>
      </c>
      <c r="H46" s="193">
        <f>H34/H32</f>
        <v>7.5498717222959005E-2</v>
      </c>
      <c r="J46" s="193">
        <f>J34/J32</f>
        <v>7.4390982730133851E-2</v>
      </c>
      <c r="L46" s="193">
        <f>L34/L32</f>
        <v>7.2898589602485547E-2</v>
      </c>
      <c r="N46" s="193">
        <f>N34/N32</f>
        <v>7.0925629690470893E-2</v>
      </c>
      <c r="P46" s="193">
        <f>P34/P32</f>
        <v>6.8343143314920307E-2</v>
      </c>
      <c r="R46" s="193">
        <f>R34/R32</f>
        <v>6.4974383657011928E-2</v>
      </c>
      <c r="T46" s="193">
        <f>T34/T32</f>
        <v>6.0572437687426393E-2</v>
      </c>
      <c r="V46" s="193">
        <f>V34/V32</f>
        <v>5.4785511659962351E-2</v>
      </c>
      <c r="X46" s="193">
        <f>X34/X32</f>
        <v>4.7103487321632338E-2</v>
      </c>
      <c r="Z46" s="193">
        <f>Z34/Z32</f>
        <v>3.6776900842147846E-2</v>
      </c>
      <c r="AB46" s="193">
        <f>AB34/AB32</f>
        <v>2.2703945168602899E-2</v>
      </c>
      <c r="AD46" s="193">
        <f>AD34/AD32</f>
        <v>3.3085521216956112E-3</v>
      </c>
      <c r="AF46" s="193">
        <f>AF34/AF32</f>
        <v>-2.3481258208221518E-2</v>
      </c>
      <c r="AH46" s="193">
        <f>AH34/AH32</f>
        <v>-5.9931638860795416E-2</v>
      </c>
      <c r="AJ46" s="193">
        <f>AJ34/AJ32</f>
        <v>-0.10798623696553833</v>
      </c>
      <c r="AL46" s="193">
        <f>AL34/AL32</f>
        <v>-0.17047216059603482</v>
      </c>
      <c r="AN46" s="193">
        <f>AN34/AN32</f>
        <v>-0.26449341191748665</v>
      </c>
      <c r="AP46" s="193">
        <f>AP34/AP32</f>
        <v>-0.29471689787967137</v>
      </c>
      <c r="AR46" s="193">
        <f>AR34/AR32</f>
        <v>-0.33577714913193552</v>
      </c>
      <c r="AT46" s="193">
        <f>AT34/AT32</f>
        <v>-0.39987752448544384</v>
      </c>
      <c r="AV46" s="193">
        <f>AV34/AV32</f>
        <v>-0.53300329274968128</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0.99490089421638506</v>
      </c>
      <c r="E49" s="191"/>
      <c r="F49" s="191">
        <f>F13/F35/$B$13*$B$35</f>
        <v>0.98951235066708154</v>
      </c>
      <c r="G49" s="191"/>
      <c r="H49" s="191">
        <f>H13/H35/$B$13*$B$35</f>
        <v>0.9838047395871361</v>
      </c>
      <c r="I49" s="191"/>
      <c r="J49" s="191">
        <f>J13/J35/$B$13*$B$35</f>
        <v>0.9777444645891249</v>
      </c>
      <c r="K49" s="191"/>
      <c r="L49" s="191">
        <f>L13/L35/$B$13*$B$35</f>
        <v>0.97129345355163854</v>
      </c>
      <c r="M49" s="191"/>
      <c r="N49" s="191">
        <f>N13/N35/$B$13*$B$35</f>
        <v>0.96440867641360806</v>
      </c>
      <c r="O49" s="191"/>
      <c r="P49" s="191">
        <f>P13/P35/$B$13*$B$35</f>
        <v>0.95704185538750519</v>
      </c>
      <c r="Q49" s="191"/>
      <c r="R49" s="191">
        <f>R13/R35/$B$13*$B$35</f>
        <v>0.94913959901210776</v>
      </c>
      <c r="S49" s="191"/>
      <c r="T49" s="191">
        <f>T13/T35/$B$13*$B$35</f>
        <v>0.94064454888880888</v>
      </c>
      <c r="U49" s="191"/>
      <c r="V49" s="191">
        <f>V13/V35/$B$13*$B$35</f>
        <v>0.93149850125406697</v>
      </c>
      <c r="W49" s="191"/>
      <c r="X49" s="191">
        <f>X13/X35/$B$13*$B$35</f>
        <v>0.92164969590053314</v>
      </c>
      <c r="Y49" s="191"/>
      <c r="Z49" s="191">
        <f>Z13/Z35/$B$13*$B$35</f>
        <v>0.91106792170550843</v>
      </c>
      <c r="AA49" s="191"/>
      <c r="AB49" s="191">
        <f>AB13/AB35/$B$13*$B$35</f>
        <v>0.89977392871047468</v>
      </c>
      <c r="AC49" s="191"/>
      <c r="AD49" s="191">
        <f>AD13/AD35/$B$13*$B$35</f>
        <v>0.88789061280674175</v>
      </c>
      <c r="AE49" s="191"/>
      <c r="AF49" s="191">
        <f>AF13/AF35/$B$13*$B$35</f>
        <v>0.8757110926120335</v>
      </c>
      <c r="AG49" s="191"/>
      <c r="AH49" s="191">
        <f>AH13/AH35/$B$13*$B$35</f>
        <v>0.86372238549695612</v>
      </c>
      <c r="AI49" s="191"/>
      <c r="AJ49" s="191">
        <f>AJ13/AJ35/$B$13*$B$35</f>
        <v>0.85242558077256014</v>
      </c>
      <c r="AK49" s="191"/>
      <c r="AL49" s="191">
        <f>AL13/AL35/$B$13*$B$35</f>
        <v>0.84183370177629047</v>
      </c>
      <c r="AM49" s="191"/>
      <c r="AN49" s="191">
        <f>AN13/AN35/$B$13*$B$35</f>
        <v>0.83046503092998658</v>
      </c>
      <c r="AO49" s="191"/>
      <c r="AP49" s="191">
        <f>AP13/AP35/$B$13*$B$35</f>
        <v>0.8276394629780961</v>
      </c>
      <c r="AQ49" s="191"/>
      <c r="AR49" s="191">
        <f>AR13/AR35/$B$13*$B$35</f>
        <v>0.82433066738691207</v>
      </c>
      <c r="AS49" s="191"/>
      <c r="AT49" s="191">
        <f>AT13/AT35/$B$13*$B$35</f>
        <v>0.82016799936802365</v>
      </c>
      <c r="AU49" s="191"/>
      <c r="AV49" s="191">
        <f>AV13/AV35/$B$13*$B$35</f>
        <v>0.81422930698872464</v>
      </c>
    </row>
    <row r="51" spans="1:48 16321:16384" x14ac:dyDescent="0.2">
      <c r="A51" t="s">
        <v>166</v>
      </c>
      <c r="B51" s="29">
        <f>B30-B10*B23</f>
        <v>-405838.32800000021</v>
      </c>
      <c r="D51" s="29">
        <f>D30-D10*D23</f>
        <v>-375407.55223483127</v>
      </c>
      <c r="F51" s="29">
        <f>F30-F10*F23</f>
        <v>-345103.1848703078</v>
      </c>
      <c r="H51" s="29">
        <f>H30-H10*H23</f>
        <v>-314939.77584734932</v>
      </c>
      <c r="J51" s="29">
        <f>J30-J10*J23</f>
        <v>-284937.39767642273</v>
      </c>
      <c r="L51" s="29">
        <f>L30-L10*L23</f>
        <v>-255123.59520034725</v>
      </c>
      <c r="N51" s="29">
        <f>N30-N10*N23</f>
        <v>-225535.43612093618</v>
      </c>
      <c r="P51" s="29">
        <f>P30-P10*P23</f>
        <v>-196222.53787346045</v>
      </c>
      <c r="R51" s="29">
        <f>R30-R10*R23</f>
        <v>-167250.41029612301</v>
      </c>
      <c r="T51" s="29">
        <f>T30-T10*T23</f>
        <v>-138703.20291469945</v>
      </c>
      <c r="V51" s="29">
        <f>V30-V10*V23</f>
        <v>-110684.12730153976</v>
      </c>
      <c r="X51" s="29">
        <f>X30-X10*X23</f>
        <v>-83307.151281347964</v>
      </c>
      <c r="Z51" s="29">
        <f>Z30-Z10*Z23</f>
        <v>-56663.09139599232</v>
      </c>
      <c r="AB51" s="29">
        <f>AB30-AB10*AB23</f>
        <v>-30718.574247951154</v>
      </c>
      <c r="AD51" s="29">
        <f>AD30-AD10*AD23</f>
        <v>-5048.5047967243008</v>
      </c>
      <c r="AF51" s="29">
        <f>AF30-AF10*AF23</f>
        <v>21807.792528488673</v>
      </c>
      <c r="AH51" s="29">
        <f>AH30-AH10*AH23</f>
        <v>53735.823254310992</v>
      </c>
      <c r="AJ51" s="29">
        <f>AJ30-AJ10*AJ23</f>
        <v>99957.166534811258</v>
      </c>
      <c r="AL51" s="29">
        <f>AL30-AL10*AL23</f>
        <v>183270.01739514153</v>
      </c>
      <c r="AN51" s="29">
        <f>AN30-AN10*AN23</f>
        <v>376655.81638111779</v>
      </c>
      <c r="AP51" s="29">
        <f>AP30-AP10*AP23</f>
        <v>449628.91737667797</v>
      </c>
      <c r="AQ51" s="29"/>
      <c r="AR51" s="29">
        <f>AR30-AR10*AR23</f>
        <v>550437.0931955874</v>
      </c>
      <c r="AT51" s="29">
        <f>AT30-AT10*AT23</f>
        <v>705540.78418503795</v>
      </c>
      <c r="AV51" s="29">
        <f>AV30-AV10*AV23</f>
        <v>1003473.0871967701</v>
      </c>
      <c r="XFD51" s="29"/>
    </row>
    <row r="52" spans="1:48 16321:16384" x14ac:dyDescent="0.2">
      <c r="A52" t="s">
        <v>167</v>
      </c>
      <c r="B52" s="29">
        <f t="array" ref="B52">Calibration!sL*SUM(B13:C13*B26:C26)</f>
        <v>2049247.8195702801</v>
      </c>
      <c r="D52" s="29">
        <f t="array" ref="D52">Calibration!sL*SUM(D13:E13*D26:E26)</f>
        <v>2029332.7549395487</v>
      </c>
      <c r="F52" s="29">
        <f t="array" ref="F52">Calibration!sL*SUM(F13:G13*F26:G26)</f>
        <v>2008106.8100041391</v>
      </c>
      <c r="H52" s="29">
        <f t="array" ref="H52">Calibration!sL*SUM(H13:I13*H26:I26)</f>
        <v>1985362.1537406684</v>
      </c>
      <c r="J52" s="29">
        <f t="array" ref="J52">Calibration!sL*SUM(J13:K13*J26:K26)</f>
        <v>1960846.4777824534</v>
      </c>
      <c r="L52" s="29">
        <f t="array" ref="L52">Calibration!sL*SUM(L13:M13*L26:M26)</f>
        <v>1934252.1355720877</v>
      </c>
      <c r="N52" s="29">
        <f t="array" ref="N52">Calibration!sL*SUM(N13:O13*N26:O26)</f>
        <v>1905200.5401225481</v>
      </c>
      <c r="P52" s="29">
        <f t="array" ref="P52">Calibration!sL*SUM(P13:Q13*P26:Q26)</f>
        <v>1873224.8274849395</v>
      </c>
      <c r="R52" s="29">
        <f t="array" ref="R52">Calibration!sL*SUM(R13:S13*R26:S26)</f>
        <v>1837748.2182062049</v>
      </c>
      <c r="T52" s="29">
        <f t="array" ref="T52">Calibration!sL*SUM(T13:U13*T26:U26)</f>
        <v>1798061.8973705592</v>
      </c>
      <c r="V52" s="29">
        <f t="array" ref="V52">Calibration!sL*SUM(V13:W13*V26:W26)</f>
        <v>1753309.4634589171</v>
      </c>
      <c r="X52" s="29">
        <f t="array" ref="X52">Calibration!sL*SUM(X13:Y13*X26:Y26)</f>
        <v>1702500.0512673743</v>
      </c>
      <c r="Z52" s="29">
        <f t="array" ref="Z52">Calibration!sL*SUM(Z13:AA13*Z26:AA26)</f>
        <v>1644601.9320785946</v>
      </c>
      <c r="AB52" s="29">
        <f t="array" ref="AB52">Calibration!sL*SUM(AB13:AC13*AB26:AC26)</f>
        <v>1578839.0577932668</v>
      </c>
      <c r="AD52" s="29">
        <f t="array" ref="AD52">Calibration!sL*SUM(AD13:AE13*AD26:AE26)</f>
        <v>1505431.9815284095</v>
      </c>
      <c r="AF52" s="29">
        <f t="array" ref="AF52">Calibration!sL*SUM(AF13:AG13*AF26:AG26)</f>
        <v>1427114.838964313</v>
      </c>
      <c r="AH52" s="29">
        <f t="array" ref="AH52">Calibration!sL*SUM(AH13:AI13*AH26:AI26)</f>
        <v>1351411.2035176696</v>
      </c>
      <c r="AJ52" s="29">
        <f t="array" ref="AJ52">Calibration!sL*SUM(AJ13:AK13*AJ26:AK26)</f>
        <v>1292667.5541666227</v>
      </c>
      <c r="AL52" s="29">
        <f t="array" ref="AL52">Calibration!sL*SUM(AL13:AM13*AL26:AM26)</f>
        <v>1275216.4920613661</v>
      </c>
      <c r="AN52" s="29">
        <f t="array" ref="AN52">Calibration!sL*SUM(AN13:AO13*AN26:AO26)</f>
        <v>1357085.2795695397</v>
      </c>
      <c r="AP52" s="29">
        <f t="array" ref="AP52">Calibration!sL*SUM(AP13:AQ13*AP26:AQ26)</f>
        <v>1400458.9950690924</v>
      </c>
      <c r="AQ52" s="29"/>
      <c r="AR52" s="29">
        <f t="array" ref="AR52">Calibration!sL*SUM(AR13:AS13*AR26:AS26)</f>
        <v>1463408.3032013169</v>
      </c>
      <c r="AT52" s="29">
        <f t="array" ref="AT52">Calibration!sL*SUM(AT13:AU13*AT26:AU26)</f>
        <v>1560811.7009794058</v>
      </c>
      <c r="AV52" s="29">
        <f t="array" ref="AV52">Calibration!sL*SUM(AV13:AW13*AV26:AW26)</f>
        <v>1733967.6858743269</v>
      </c>
    </row>
    <row r="53" spans="1:48 16321:16384" x14ac:dyDescent="0.2">
      <c r="A53" t="s">
        <v>168</v>
      </c>
      <c r="B53" s="29">
        <f t="array" ref="B53">Calibration!sK*SUM(B15:C15*B27:C27)</f>
        <v>2740714.444429684</v>
      </c>
      <c r="D53" s="29">
        <f t="array" ref="D53">Calibration!sK*SUM(D15:E15*D27:E27)</f>
        <v>2716436.712694128</v>
      </c>
      <c r="F53" s="29">
        <f t="array" ref="F53">Calibration!sK*SUM(F15:G15*F27:G27)</f>
        <v>2690694.8249852853</v>
      </c>
      <c r="H53" s="29">
        <f t="array" ref="H53">Calibration!sK*SUM(H15:I15*H27:I27)</f>
        <v>2663233.5380338272</v>
      </c>
      <c r="J53" s="29">
        <f t="array" ref="J53">Calibration!sK*SUM(J15:K15*J27:K27)</f>
        <v>2633739.4901254848</v>
      </c>
      <c r="L53" s="29">
        <f t="array" ref="L53">Calibration!sK*SUM(L15:M15*L27:M27)</f>
        <v>2601825.7884678859</v>
      </c>
      <c r="N53" s="29">
        <f t="array" ref="N53">Calibration!sK*SUM(N15:O15*N27:O27)</f>
        <v>2567010.6466662236</v>
      </c>
      <c r="P53" s="29">
        <f t="array" ref="P53">Calibration!sK*SUM(P15:Q15*P27:Q27)</f>
        <v>2528691.8240028797</v>
      </c>
      <c r="R53" s="29">
        <f t="array" ref="R53">Calibration!sK*SUM(R15:S15*R27:S27)</f>
        <v>2486114.2389996899</v>
      </c>
      <c r="T53" s="29">
        <f t="array" ref="T53">Calibration!sK*SUM(T15:U15*T27:U27)</f>
        <v>2438333.9720477439</v>
      </c>
      <c r="V53" s="29">
        <f t="array" ref="V53">Calibration!sK*SUM(V15:W15*V27:W27)</f>
        <v>2384186.0209324532</v>
      </c>
      <c r="X53" s="29">
        <f t="array" ref="X53">Calibration!sK*SUM(X15:Y15*X27:Y27)</f>
        <v>2322280.7711558328</v>
      </c>
      <c r="Z53" s="29">
        <f t="array" ref="Z53">Calibration!sK*SUM(Z15:AA15*Z27:AA27)</f>
        <v>2251091.7679349091</v>
      </c>
      <c r="AB53" s="29">
        <f t="array" ref="AB53">Calibration!sK*SUM(AB15:AC15*AB27:AC27)</f>
        <v>2169285.316816526</v>
      </c>
      <c r="AD53" s="29">
        <f t="array" ref="AD53">Calibration!sK*SUM(AD15:AE15*AD27:AE27)</f>
        <v>2076596.0872332512</v>
      </c>
      <c r="AF53" s="29">
        <f t="array" ref="AF53">Calibration!sK*SUM(AF15:AG15*AF27:AG27)</f>
        <v>1975672.9399136042</v>
      </c>
      <c r="AH53" s="29">
        <f t="array" ref="AH53">Calibration!sK*SUM(AH15:AI15*AH27:AI27)</f>
        <v>1874843.5191780478</v>
      </c>
      <c r="AJ53" s="29">
        <f t="array" ref="AJ53">Calibration!sK*SUM(AJ15:AK15*AJ27:AK27)</f>
        <v>1790146.0065169132</v>
      </c>
      <c r="AL53" s="29">
        <f t="array" ref="AL53">Calibration!sK*SUM(AL15:AM15*AL27:AM27)</f>
        <v>1745808.5166111335</v>
      </c>
      <c r="AN53" s="29">
        <f t="array" ref="AN53">Calibration!sK*SUM(AN15:AO15*AN27:AO27)</f>
        <v>1776648.9550665217</v>
      </c>
      <c r="AP53" s="29">
        <f t="array" ref="AP53">Calibration!sK*SUM(AP15:AQ15*AP27:AQ27)</f>
        <v>1794306.3714119405</v>
      </c>
      <c r="AQ53" s="29"/>
      <c r="AR53" s="29">
        <f t="array" ref="AR53">Calibration!sK*SUM(AR15:AS15*AR27:AS27)</f>
        <v>1813659.0755049256</v>
      </c>
      <c r="AT53" s="29">
        <f t="array" ref="AT53">Calibration!sK*SUM(AT15:AU15*AT27:AU27)</f>
        <v>1826350.5084665292</v>
      </c>
      <c r="AV53" s="29">
        <f t="array" ref="AV53">Calibration!sK*SUM(AV15:AW15*AV27:AW27)</f>
        <v>1787745.0796590322</v>
      </c>
      <c r="XFD53" s="29"/>
    </row>
    <row r="55" spans="1:48 16321:16384" x14ac:dyDescent="0.2">
      <c r="A55" t="s">
        <v>169</v>
      </c>
      <c r="B55" s="193">
        <f>B30/B32</f>
        <v>0.19850271905982084</v>
      </c>
      <c r="D55" s="193">
        <f>D30/D32</f>
        <v>0.20039122466812775</v>
      </c>
      <c r="F55" s="193">
        <f>F30/F32</f>
        <v>0.20228268404452887</v>
      </c>
      <c r="H55" s="193">
        <f>H30/H32</f>
        <v>0.20417743571442493</v>
      </c>
      <c r="J55" s="193">
        <f>J30/J32</f>
        <v>0.20607578170734381</v>
      </c>
      <c r="L55" s="193">
        <f>L30/L32</f>
        <v>0.20797797186180778</v>
      </c>
      <c r="N55" s="193">
        <f>N30/N32</f>
        <v>0.20988420415525694</v>
      </c>
      <c r="P55" s="193">
        <f>P30/P32</f>
        <v>0.21179464420209088</v>
      </c>
      <c r="R55" s="193">
        <f>R30/R32</f>
        <v>0.21370950659633836</v>
      </c>
      <c r="T55" s="193">
        <f>T30/T32</f>
        <v>0.21562933786030464</v>
      </c>
      <c r="V55" s="193">
        <f>V30/V32</f>
        <v>0.2175557102239411</v>
      </c>
      <c r="X55" s="193">
        <f>X30/X32</f>
        <v>0.21949297640016086</v>
      </c>
      <c r="Z55" s="193">
        <f>Z30/Z32</f>
        <v>0.22145267658601578</v>
      </c>
      <c r="AB55" s="193">
        <f>AB30/AB32</f>
        <v>0.22346452452734802</v>
      </c>
      <c r="AD55" s="193">
        <f>AD30/AD32</f>
        <v>0.22560345336673157</v>
      </c>
      <c r="AF55" s="193">
        <f>AF30/AF32</f>
        <v>0.22805314527876339</v>
      </c>
      <c r="AH55" s="193">
        <f>AH30/AH32</f>
        <v>0.23124054705874098</v>
      </c>
      <c r="AJ55" s="193">
        <f>AJ30/AJ32</f>
        <v>0.23609415596608985</v>
      </c>
      <c r="AL55" s="193">
        <f>AL30/AL32</f>
        <v>0.24463454038285848</v>
      </c>
      <c r="AN55" s="193">
        <f>AN30/AN32</f>
        <v>0.26201924847705127</v>
      </c>
      <c r="AP55" s="193">
        <f>AP30/AP32</f>
        <v>0.26783201274678659</v>
      </c>
      <c r="AR55" s="193">
        <f>AR30/AR32</f>
        <v>0.27539260593925369</v>
      </c>
      <c r="AT55" s="193">
        <f>AT30/AT32</f>
        <v>0.28630282771883525</v>
      </c>
      <c r="AV55" s="193">
        <f>AV30/AV32</f>
        <v>0.30613189456600737</v>
      </c>
      <c r="XCS55" s="193"/>
      <c r="XFD55" s="193"/>
    </row>
    <row r="56" spans="1:48 16321:16384" x14ac:dyDescent="0.2">
      <c r="A56" t="s">
        <v>170</v>
      </c>
      <c r="B56" s="193">
        <f>(Model!$C$52*B5*B20+B2*C5*C20)/B32</f>
        <v>2.9221206744340551E-2</v>
      </c>
      <c r="D56" s="193">
        <f>(Model!$C$52*D5*D20+D2*E5*E20)/D32</f>
        <v>3.1632592936353475E-2</v>
      </c>
      <c r="F56" s="193">
        <f>(Model!$C$52*F5*F20+F2*G5*G20)/F32</f>
        <v>3.4058850778402053E-2</v>
      </c>
      <c r="H56" s="193">
        <f>(Model!$C$52*H5*H20+H2*I5*I20)/H32</f>
        <v>3.6501646034466977E-2</v>
      </c>
      <c r="J56" s="193">
        <f>(Model!$C$52*J5*J20+J2*K5*K20)/J32</f>
        <v>3.8962788988606778E-2</v>
      </c>
      <c r="L56" s="193">
        <f>(Model!$C$52*L5*L20+L2*M5*M20)/L32</f>
        <v>4.1444265558360914E-2</v>
      </c>
      <c r="N56" s="193">
        <f>(Model!$C$52*N5*N20+N2*O5*O20)/N32</f>
        <v>4.3948253569803933E-2</v>
      </c>
      <c r="P56" s="193">
        <f>(Model!$C$52*P5*P20+P2*Q5*Q20)/P32</f>
        <v>4.6477201523559469E-2</v>
      </c>
      <c r="R56" s="193">
        <f>(Model!$C$52*R5*R20+R2*S5*S20)/R32</f>
        <v>4.9033944064969137E-2</v>
      </c>
      <c r="T56" s="193">
        <f>(Model!$C$52*T5*T20+T2*U5*U20)/T32</f>
        <v>5.1622031280098672E-2</v>
      </c>
      <c r="V56" s="193">
        <f>(Model!$C$52*V5*V20+V2*W5*W20)/V32</f>
        <v>5.4246408893205561E-2</v>
      </c>
      <c r="X56" s="193">
        <f>(Model!$C$52*X5*X20+X2*Y5*Y20)/X32</f>
        <v>5.6915130471906022E-2</v>
      </c>
      <c r="Z56" s="193">
        <f>(Model!$C$52*Z5*Z20+Z2*AA5*AA20)/Z32</f>
        <v>5.9643520307247164E-2</v>
      </c>
      <c r="AB56" s="193">
        <f>(Model!$C$52*AB5*AB20+AB2*AC5*AC20)/AB32</f>
        <v>6.2464570809420826E-2</v>
      </c>
      <c r="AD56" s="193">
        <f>(Model!$C$52*AD5*AD20+AD2*AE5*AE20)/AD32</f>
        <v>6.5454808217239632E-2</v>
      </c>
      <c r="AF56" s="193">
        <f>(Model!$C$52*AF5*AF20+AF2*AG5*AG20)/AF32</f>
        <v>6.8796041128901406E-2</v>
      </c>
      <c r="AH56" s="193">
        <f>(Model!$C$52*AH5*AH20+AH2*AI5*AI20)/AH32</f>
        <v>7.2908699325581486E-2</v>
      </c>
      <c r="AJ56" s="193">
        <f>(Model!$C$52*AJ5*AJ20+AJ2*AK5*AK20)/AJ32</f>
        <v>7.8708837762402784E-2</v>
      </c>
      <c r="AL56" s="193">
        <f>(Model!$C$52*AL5*AL20+AL2*AM5*AM20)/AL32</f>
        <v>8.814341905315326E-2</v>
      </c>
      <c r="AN56" s="193">
        <f>(Model!$C$52*AN5*AN20+AN2*AO5*AO20)/AN32</f>
        <v>0.10551386312007066</v>
      </c>
      <c r="AP56" s="193">
        <f>(Model!$C$52*AP5*AP20+AP2*AQ5*AQ20)/AP32</f>
        <v>0.11079639346362059</v>
      </c>
      <c r="AR56" s="193">
        <f>(Model!$C$52*AR5*AR20+AR2*AS5*AS20)/AR32</f>
        <v>0.11727591969075478</v>
      </c>
      <c r="AT56" s="193">
        <f>(Model!$C$52*AT5*AT20+AT2*AU5*AU20)/AT32</f>
        <v>0.12593928315515251</v>
      </c>
      <c r="AV56" s="193">
        <f>(Model!$C$52*AV5*AV20+AV2*AW5*AW20)/AV32</f>
        <v>0.14025383853177259</v>
      </c>
      <c r="XFD56" s="193"/>
    </row>
    <row r="57" spans="1:48 16321:16384" x14ac:dyDescent="0.2">
      <c r="A57" t="s">
        <v>171</v>
      </c>
      <c r="B57" s="193">
        <f t="array" ref="B57">SUM(Model!tauL*B13:C13*B26:C26)/B32</f>
        <v>0.15852881819439493</v>
      </c>
      <c r="D57" s="193">
        <f t="array" ref="D57">SUM(Model!tauL*D13:E13*D26:E26)/D32</f>
        <v>0.15807742093905405</v>
      </c>
      <c r="F57" s="193">
        <f t="array" ref="F57">SUM(Model!tauL*F13:G13*F26:G26)/F32</f>
        <v>0.15761462957857228</v>
      </c>
      <c r="H57" s="193">
        <f t="array" ref="H57">SUM(Model!tauL*H13:I13*H26:I26)/H32</f>
        <v>0.15713917256308865</v>
      </c>
      <c r="J57" s="193">
        <f t="array" ref="J57">SUM(Model!tauL*J13:K13*J26:K26)/J32</f>
        <v>0.15664960447123594</v>
      </c>
      <c r="L57" s="193">
        <f t="array" ref="L57">SUM(Model!tauL*L13:M13*L26:M26)/L32</f>
        <v>0.15614426472706761</v>
      </c>
      <c r="N57" s="193">
        <f t="array" ref="N57">SUM(Model!tauL*N13:O13*N26:O26)/N32</f>
        <v>0.15562125900438237</v>
      </c>
      <c r="P57" s="193">
        <f t="array" ref="P57">SUM(Model!tauL*P13:Q13*P26:Q26)/P32</f>
        <v>0.15507840887786306</v>
      </c>
      <c r="R57" s="193">
        <f t="array" ref="R57">SUM(Model!tauL*R13:S13*R26:S26)/R32</f>
        <v>0.15451322379905982</v>
      </c>
      <c r="T57" s="193">
        <f t="array" ref="T57">SUM(Model!tauL*T13:U13*T26:U26)/T32</f>
        <v>0.15392287198741328</v>
      </c>
      <c r="V57" s="193">
        <f t="array" ref="V57">SUM(Model!tauL*V13:W13*V26:W26)/V32</f>
        <v>0.15330422062377869</v>
      </c>
      <c r="X57" s="193">
        <f t="array" ref="X57">SUM(Model!tauL*X13:Y13*X26:Y26)/X32</f>
        <v>0.15265394843521263</v>
      </c>
      <c r="Y57" s="193"/>
      <c r="Z57" s="193">
        <f t="array" ref="Z57">SUM(Model!tauL*Z13:AA13*Z26:AA26)/Z32</f>
        <v>0.15196892811380891</v>
      </c>
      <c r="AB57" s="193">
        <f t="array" ref="AB57">SUM(Model!tauL*AB13:AC13*AB26:AC26)/AB32</f>
        <v>0.15124712442587673</v>
      </c>
      <c r="AD57" s="193">
        <f t="array" ref="AD57">SUM(Model!tauL*AD13:AE13*AD26:AE26)/AD32</f>
        <v>0.15048943527712502</v>
      </c>
      <c r="AF57" s="193">
        <f t="array" ref="AF57">SUM(Model!tauL*AF13:AG13*AF26:AG26)/AF32</f>
        <v>0.14970270978854852</v>
      </c>
      <c r="AH57" s="193">
        <f t="array" ref="AH57">SUM(Model!tauL*AH13:AI13*AH26:AI26)/AH32</f>
        <v>0.14890253555608998</v>
      </c>
      <c r="AJ57" s="193">
        <f t="array" ref="AJ57">SUM(Model!tauL*AJ13:AK13*AJ26:AK26)/AJ32</f>
        <v>0.14811476038963575</v>
      </c>
      <c r="AL57" s="193">
        <f t="array" ref="AL57">SUM(Model!tauL*AL13:AM13*AL26:AM26)/AL32</f>
        <v>0.14742831862117689</v>
      </c>
      <c r="AN57" s="193">
        <f t="array" ref="AN57">SUM(Model!tauL*AN13:AO13*AN26:AO26)/AN32</f>
        <v>0.14773641369636159</v>
      </c>
      <c r="AP57" s="193">
        <f t="array" ref="AP57">SUM(Model!tauL*AP13:AQ13*AP26:AQ26)/AP32</f>
        <v>0.14835181775201262</v>
      </c>
      <c r="AR57" s="193">
        <f t="array" ref="AR57">SUM(Model!tauL*AR13:AS13*AR26:AS26)/AR32</f>
        <v>0.14954132076147786</v>
      </c>
      <c r="AT57" s="193">
        <f t="array" ref="AT57">SUM(Model!tauL*AT13:AU13*AT26:AU26)/AT32</f>
        <v>0.15194313451945399</v>
      </c>
      <c r="AV57" s="193">
        <f t="array" ref="AV57">SUM(Model!tauL*AV13:AW13*AV26:AW26)/AV32</f>
        <v>0.15773864110982927</v>
      </c>
      <c r="XFD57" s="193"/>
    </row>
    <row r="58" spans="1:48 16321:16384" x14ac:dyDescent="0.2">
      <c r="A58" t="s">
        <v>172</v>
      </c>
      <c r="B58" s="193">
        <f t="array" ref="B58">SUM(Model!tauY/(1+Model!tauY)*B3:C3*B18:C18)/B32</f>
        <v>1.075269412108535E-2</v>
      </c>
      <c r="D58" s="193">
        <f t="array" ref="D58">SUM(Model!tauY/(1+Model!tauY)*D3:E3*D18:E18)/D32</f>
        <v>1.0681210792720228E-2</v>
      </c>
      <c r="F58" s="193">
        <f t="array" ref="F58">SUM(Model!tauY/(1+Model!tauY)*F3:G3*F18:G18)/F32</f>
        <v>1.0609203687554532E-2</v>
      </c>
      <c r="H58" s="193">
        <f t="array" ref="H58">SUM(Model!tauY/(1+Model!tauY)*H3:I3*H18:I18)/H32</f>
        <v>1.0536617116869344E-2</v>
      </c>
      <c r="J58" s="193">
        <f t="array" ref="J58">SUM(Model!tauY/(1+Model!tauY)*J3:K3*J18:K18)/J32</f>
        <v>1.0463388247501088E-2</v>
      </c>
      <c r="L58" s="193">
        <f t="array" ref="L58">SUM(Model!tauY/(1+Model!tauY)*L3:M3*L18:M18)/L32</f>
        <v>1.0389441576379291E-2</v>
      </c>
      <c r="N58" s="193">
        <f t="array" ref="N58">SUM(Model!tauY/(1+Model!tauY)*N3:O3*N18:O18)/N32</f>
        <v>1.031469158107063E-2</v>
      </c>
      <c r="P58" s="193">
        <f t="array" ref="P58">SUM(Model!tauY/(1+Model!tauY)*P3:Q3*P18:Q18)/P32</f>
        <v>1.0239033800668346E-2</v>
      </c>
      <c r="R58" s="193">
        <f t="array" ref="R58">SUM(Model!tauY/(1+Model!tauY)*R3:S3*R18:S18)/R32</f>
        <v>1.0162338732309427E-2</v>
      </c>
      <c r="T58" s="193">
        <f t="array" ref="T58">SUM(Model!tauY/(1+Model!tauY)*T3:U3*T18:U18)/T32</f>
        <v>1.0084434592792678E-2</v>
      </c>
      <c r="V58" s="193">
        <f t="array" ref="V58">SUM(Model!tauY/(1+Model!tauY)*V3:W3*V18:W18)/V32</f>
        <v>1.0005080706956854E-2</v>
      </c>
      <c r="X58" s="193">
        <f t="array" ref="X58">SUM(Model!tauY/(1+Model!tauY)*X3:Y3*X18:Y18)/X32</f>
        <v>9.9238974930422035E-3</v>
      </c>
      <c r="Y58" s="193"/>
      <c r="Z58" s="193">
        <f t="array" ref="Z58">SUM(Model!tauY/(1+Model!tauY)*Z3:AA3*Z18:AA18)/Z32</f>
        <v>9.8402281649597328E-3</v>
      </c>
      <c r="AB58" s="193">
        <f t="array" ref="AB58">SUM(Model!tauY/(1+Model!tauY)*AB3:AC3*AB18:AC18)/AB32</f>
        <v>9.7528292920504543E-3</v>
      </c>
      <c r="AD58" s="193">
        <f t="array" ref="AD58">SUM(Model!tauY/(1+Model!tauY)*AD3:AE3*AD18:AE18)/AD32</f>
        <v>9.6592098723669046E-3</v>
      </c>
      <c r="AF58" s="193">
        <f t="array" ref="AF58">SUM(Model!tauY/(1+Model!tauY)*AF3:AG3*AF18:AG18)/AF32</f>
        <v>9.5543943613134383E-3</v>
      </c>
      <c r="AH58" s="193">
        <f t="array" ref="AH58">SUM(Model!tauY/(1+Model!tauY)*AH3:AI3*AH18:AI18)/AH32</f>
        <v>9.429312177069521E-3</v>
      </c>
      <c r="AJ58" s="193">
        <f t="array" ref="AJ58">SUM(Model!tauY/(1+Model!tauY)*AJ3:AK3*AJ18:AK18)/AJ32</f>
        <v>9.2705578140513181E-3</v>
      </c>
      <c r="AL58" s="193">
        <f t="array" ref="AL58">SUM(Model!tauY/(1+Model!tauY)*AL3:AM3*AL18:AM18)/AL32</f>
        <v>9.0628027085283523E-3</v>
      </c>
      <c r="AN58" s="193">
        <f t="array" ref="AN58">SUM(Model!tauY/(1+Model!tauY)*AN3:AO3*AN18:AO18)/AN32</f>
        <v>8.7689716606189939E-3</v>
      </c>
      <c r="AP58" s="193">
        <f t="array" ref="AP58">SUM(Model!tauY/(1+Model!tauY)*AP3:AQ3*AP18:AQ18)/AP32</f>
        <v>8.6838015311533762E-3</v>
      </c>
      <c r="AR58" s="193">
        <f t="array" ref="AR58">SUM(Model!tauY/(1+Model!tauY)*AR3:AS3*AR18:AS18)/AR32</f>
        <v>8.5753654870210534E-3</v>
      </c>
      <c r="AT58" s="193">
        <f t="array" ref="AT58">SUM(Model!tauY/(1+Model!tauY)*AT3:AU3*AT18:AU18)/AT32</f>
        <v>8.4204100442287853E-3</v>
      </c>
      <c r="AV58" s="193">
        <f t="array" ref="AV58">SUM(Model!tauY/(1+Model!tauY)*AV3:AW3*AV18:AW18)/AV32</f>
        <v>8.1394149244054907E-3</v>
      </c>
      <c r="XFD58" s="193"/>
    </row>
    <row r="59" spans="1:48 16321:16384" x14ac:dyDescent="0.2">
      <c r="A59" t="s">
        <v>173</v>
      </c>
      <c r="B59" s="193">
        <f>(B2*C5*C20)/B32</f>
        <v>5.5174232040962052E-4</v>
      </c>
      <c r="D59" s="193">
        <f>(D2*E5*E20)/D32</f>
        <v>3.0011847703746617E-3</v>
      </c>
      <c r="F59" s="193">
        <f>(F2*G5*G20)/F32</f>
        <v>5.4625483287104662E-3</v>
      </c>
      <c r="H59" s="193">
        <f>(H2*I5*I20)/H32</f>
        <v>7.9368515147388418E-3</v>
      </c>
      <c r="J59" s="193">
        <f>(J2*K5*K20)/J32</f>
        <v>1.0425062779880756E-2</v>
      </c>
      <c r="L59" s="193">
        <f>(L2*M5*M20)/L32</f>
        <v>1.2928065451408318E-2</v>
      </c>
      <c r="N59" s="193">
        <f>(N2*O5*O20)/N32</f>
        <v>1.5446560470383701E-2</v>
      </c>
      <c r="P59" s="193">
        <f>(P2*Q5*Q20)/P32</f>
        <v>1.7980997803201504E-2</v>
      </c>
      <c r="R59" s="193">
        <f>(R2*S5*S20)/R32</f>
        <v>2.0531458285017259E-2</v>
      </c>
      <c r="T59" s="193">
        <f>(T2*U5*U20)/T32</f>
        <v>2.3097634167019779E-2</v>
      </c>
      <c r="V59" s="193">
        <f>(V2*W5*W20)/V32</f>
        <v>2.5678972190303229E-2</v>
      </c>
      <c r="X59" s="193">
        <f>(X2*Y5*Y20)/X32</f>
        <v>2.8275584621671429E-2</v>
      </c>
      <c r="Z59" s="193">
        <f>(Z2*AA5*AA20)/Z32</f>
        <v>3.0891245943036411E-2</v>
      </c>
      <c r="AB59" s="193">
        <f>(AB2*AC5*AC20)/AB32</f>
        <v>3.3542317343317508E-2</v>
      </c>
      <c r="AD59" s="193">
        <f>(AD2*AE5*AE20)/AD32</f>
        <v>3.6282510372876171E-2</v>
      </c>
      <c r="AF59" s="193">
        <f>(AF2*AG5*AG20)/AF32</f>
        <v>3.9266339719182627E-2</v>
      </c>
      <c r="AH59" s="193">
        <f>(AH2*AI5*AI20)/AH32</f>
        <v>4.2891812796501103E-2</v>
      </c>
      <c r="AJ59" s="193">
        <f>(AJ2*AK5*AK20)/AJ32</f>
        <v>4.8075047224372232E-2</v>
      </c>
      <c r="AL59" s="193">
        <f>(AL2*AM5*AM20)/AL32</f>
        <v>5.6790455597720085E-2</v>
      </c>
      <c r="AN59" s="193">
        <f>(AN2*AO5*AO20)/AN32</f>
        <v>7.3282521586030838E-2</v>
      </c>
      <c r="AP59" s="193">
        <f>(AP2*AQ5*AQ20)/AP32</f>
        <v>7.8308946328998666E-2</v>
      </c>
      <c r="AR59" s="193">
        <f>(AR2*AS5*AS20)/AR32</f>
        <v>8.4439831037226853E-2</v>
      </c>
      <c r="AT59" s="193">
        <f>(AT2*AU5*AU20)/AT32</f>
        <v>9.2541966629010514E-2</v>
      </c>
      <c r="AV59" s="193">
        <f>(AV2*AW5*AW20)/AV32</f>
        <v>0.10560664424072912</v>
      </c>
      <c r="XFD59" s="193"/>
    </row>
    <row r="60" spans="1:48 16321:16384" x14ac:dyDescent="0.2">
      <c r="A60" t="s">
        <v>174</v>
      </c>
      <c r="B60" s="193">
        <f>Model!$C$52*B5*B20/B32</f>
        <v>2.8669464423930927E-2</v>
      </c>
      <c r="D60" s="193">
        <f>Model!$C$52*D5*D20/D32</f>
        <v>2.8631408165978811E-2</v>
      </c>
      <c r="F60" s="193">
        <f>Model!$C$52*F5*F20/F32</f>
        <v>2.8596302449691587E-2</v>
      </c>
      <c r="H60" s="193">
        <f>Model!$C$52*H5*H20/H32</f>
        <v>2.8564794519728133E-2</v>
      </c>
      <c r="J60" s="193">
        <f>Model!$C$52*J5*J20/J32</f>
        <v>2.8537726208726022E-2</v>
      </c>
      <c r="L60" s="193">
        <f>Model!$C$52*L5*L20/L32</f>
        <v>2.8516200106952598E-2</v>
      </c>
      <c r="N60" s="193">
        <f>Model!$C$52*N5*N20/N32</f>
        <v>2.8501693099420237E-2</v>
      </c>
      <c r="P60" s="193">
        <f>Model!$C$52*P5*P20/P32</f>
        <v>2.8496203720357969E-2</v>
      </c>
      <c r="R60" s="193">
        <f>Model!$C$52*R5*R20/R32</f>
        <v>2.8502485779951878E-2</v>
      </c>
      <c r="T60" s="193">
        <f>Model!$C$52*T5*T20/T32</f>
        <v>2.85243971130789E-2</v>
      </c>
      <c r="V60" s="193">
        <f>Model!$C$52*V5*V20/V32</f>
        <v>2.8567436702902332E-2</v>
      </c>
      <c r="X60" s="193">
        <f>Model!$C$52*X5*X20/X32</f>
        <v>2.8639545850234593E-2</v>
      </c>
      <c r="Z60" s="193">
        <f>Model!$C$52*Z5*Z20/Z32</f>
        <v>2.8752274364210746E-2</v>
      </c>
      <c r="AB60" s="193">
        <f>Model!$C$52*AB5*AB20/AB32</f>
        <v>2.8922253466103318E-2</v>
      </c>
      <c r="AD60" s="193">
        <f>Model!$C$52*AD5*AD20/AD32</f>
        <v>2.9172297844363464E-2</v>
      </c>
      <c r="AF60" s="193">
        <f>Model!$C$52*AF5*AF20/AF32</f>
        <v>2.9529701409718775E-2</v>
      </c>
      <c r="AH60" s="193">
        <f>Model!$C$52*AH5*AH20/AH32</f>
        <v>3.0016886529080383E-2</v>
      </c>
      <c r="AJ60" s="193">
        <f>Model!$C$52*AJ5*AJ20/AJ32</f>
        <v>3.0633790538030545E-2</v>
      </c>
      <c r="AL60" s="193">
        <f>Model!$C$52*AL5*AL20/AL32</f>
        <v>3.1352963455433182E-2</v>
      </c>
      <c r="AN60" s="193">
        <f>Model!$C$52*AN5*AN20/AN32</f>
        <v>3.223134153403983E-2</v>
      </c>
      <c r="AP60" s="193">
        <f>Model!$C$52*AP5*AP20/AP32</f>
        <v>3.2487447134621913E-2</v>
      </c>
      <c r="AR60" s="193">
        <f>Model!$C$52*AR5*AR20/AR32</f>
        <v>3.2836088653527926E-2</v>
      </c>
      <c r="AT60" s="193">
        <f>Model!$C$52*AT5*AT20/AT32</f>
        <v>3.3397316526141994E-2</v>
      </c>
      <c r="AV60" s="193">
        <f>Model!$C$52*AV5*AV20/AV32</f>
        <v>3.464719429104348E-2</v>
      </c>
      <c r="XFD60" s="193"/>
    </row>
    <row r="62" spans="1:48 16321:16384" x14ac:dyDescent="0.2">
      <c r="A62" t="s">
        <v>175</v>
      </c>
      <c r="B62">
        <f>B13/B15</f>
        <v>1</v>
      </c>
      <c r="D62">
        <f>D13/D15</f>
        <v>0.99697029190022668</v>
      </c>
      <c r="F62">
        <f>F13/F15</f>
        <v>0.99376081527959303</v>
      </c>
      <c r="H62">
        <f>H13/H15</f>
        <v>0.99035249176572149</v>
      </c>
      <c r="J62">
        <f>J13/J15</f>
        <v>0.98672342993376416</v>
      </c>
      <c r="L62">
        <f>L13/L15</f>
        <v>0.98284847601139713</v>
      </c>
      <c r="N62">
        <f>N13/N15</f>
        <v>0.97869865120611843</v>
      </c>
      <c r="P62">
        <f>P13/P15</f>
        <v>0.97424070951185349</v>
      </c>
      <c r="R62">
        <f>R13/R15</f>
        <v>0.96943685355552667</v>
      </c>
      <c r="T62">
        <f>T13/T15</f>
        <v>0.96424518890125988</v>
      </c>
      <c r="V62">
        <f>V13/V15</f>
        <v>0.95862185216739559</v>
      </c>
      <c r="X62">
        <f>X13/X15</f>
        <v>0.95252755743135109</v>
      </c>
      <c r="Z62">
        <f>Z13/Z15</f>
        <v>0.94594449726896002</v>
      </c>
      <c r="AB62">
        <f>AB13/AB15</f>
        <v>0.93891809310675223</v>
      </c>
      <c r="AD62">
        <f>AD13/AD15</f>
        <v>0.9316559475238676</v>
      </c>
      <c r="AF62">
        <f>AF13/AF15</f>
        <v>0.92474766934931385</v>
      </c>
      <c r="AH62">
        <f>AH13/AH15</f>
        <v>0.91960774718048099</v>
      </c>
      <c r="AJ62">
        <f>AJ13/AJ15</f>
        <v>0.91939085845719304</v>
      </c>
      <c r="AL62">
        <f>AL13/AL15</f>
        <v>0.93216735193891054</v>
      </c>
      <c r="AN62">
        <f>AN13/AN15</f>
        <v>0.99227545260577588</v>
      </c>
      <c r="AP62">
        <f>AP13/AP15</f>
        <v>1.0232453358904978</v>
      </c>
      <c r="AR62">
        <f>AR13/AR15</f>
        <v>1.0729646684117466</v>
      </c>
      <c r="AT62">
        <f>AT13/AT15</f>
        <v>1.1647465789487235</v>
      </c>
      <c r="AV62">
        <f>AV13/AV15</f>
        <v>1.3955885405787023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0.99967199709979293</v>
      </c>
      <c r="E65" s="191"/>
      <c r="F65" s="191">
        <f t="array" ref="F65">SQRT((F9:G9*$B$22:$C$22+F10:G10*$B$23:$C$23+F11:G11*$B$24:$C$24+F4:G4*($B$25:$C$25-$B$19:$C$19))/($B$9:$C$9*$B$22:$C$22+$B$10:$C$10*$B$23:$C$23+$B$11:$C$11*$B$24:$C$24+$B$4:$C$4*($B$25:$C$25-$B$19:$C$19))*(F9:G9*F22:G22+F10:G10*F23:G23+F11:G11*F24:G24+F4:G4*(F25:G25-F19:G19))/($B$9:$C$9*F22:G22+$B$10:$C$10*F23:G23+$B$11:$C$11*F24:G24+$B$4:$C$4*(F25:G25-F19:G19)))</f>
        <v>0.9995744114692674</v>
      </c>
      <c r="G65" s="191"/>
      <c r="H65" s="191">
        <f t="array" ref="H65">SQRT((H9:I9*$B$22:$C$22+H10:I10*$B$23:$C$23+H11:I11*$B$24:$C$24+H4:I4*($B$25:$C$25-$B$19:$C$19))/($B$9:$C$9*$B$22:$C$22+$B$10:$C$10*$B$23:$C$23+$B$11:$C$11*$B$24:$C$24+$B$4:$C$4*($B$25:$C$25-$B$19:$C$19))*(H9:I9*H22:I22+H10:I10*H23:I23+H11:I11*H24:I24+H4:I4*(H25:I25-H19:I19))/($B$9:$C$9*H22:I22+$B$10:$C$10*H23:I23+$B$11:$C$11*H24:I24+$B$4:$C$4*(H25:I25-H19:I19)))</f>
        <v>0.99975564363613179</v>
      </c>
      <c r="I65" s="191"/>
      <c r="J65" s="191">
        <f t="array" ref="J65">SQRT((J9:K9*$B$22:$C$22+J10:K10*$B$23:$C$23+J11:K11*$B$24:$C$24+J4:K4*($B$25:$C$25-$B$19:$C$19))/($B$9:$C$9*$B$22:$C$22+$B$10:$C$10*$B$23:$C$23+$B$11:$C$11*$B$24:$C$24+$B$4:$C$4*($B$25:$C$25-$B$19:$C$19))*(J9:K9*J22:K22+J10:K10*J23:K23+J11:K11*J24:K24+J4:K4*(J25:K25-J19:K19))/($B$9:$C$9*J22:K22+$B$10:$C$10*J23:K23+$B$11:$C$11*J24:K24+$B$4:$C$4*(J25:K25-J19:K19)))</f>
        <v>1.0002790579402876</v>
      </c>
      <c r="K65" s="191"/>
      <c r="L65" s="191">
        <f t="array" ref="L65">SQRT((L9:M9*$B$22:$C$22+L10:M10*$B$23:$C$23+L11:M11*$B$24:$C$24+L4:M4*($B$25:$C$25-$B$19:$C$19))/($B$9:$C$9*$B$22:$C$22+$B$10:$C$10*$B$23:$C$23+$B$11:$C$11*$B$24:$C$24+$B$4:$C$4*($B$25:$C$25-$B$19:$C$19))*(L9:M9*L22:M22+L10:M10*L23:M23+L11:M11*L24:M24+L4:M4*(L25:M25-L19:M19))/($B$9:$C$9*L22:M22+$B$10:$C$10*L23:M23+$B$11:$C$11*L24:M24+$B$4:$C$4*(L25:M25-L19:M19)))</f>
        <v>1.0012286978739471</v>
      </c>
      <c r="M65" s="191"/>
      <c r="N65" s="191">
        <f t="array" ref="N65">SQRT((N9:O9*$B$22:$C$22+N10:O10*$B$23:$C$23+N11:O11*$B$24:$C$24+N4:O4*($B$25:$C$25-$B$19:$C$19))/($B$9:$C$9*$B$22:$C$22+$B$10:$C$10*$B$23:$C$23+$B$11:$C$11*$B$24:$C$24+$B$4:$C$4*($B$25:$C$25-$B$19:$C$19))*(N9:O9*N22:O22+N10:O10*N23:O23+N11:O11*N24:O24+N4:O4*(N25:O25-N19:O19))/($B$9:$C$9*N22:O22+$B$10:$C$10*N23:O23+$B$11:$C$11*N24:O24+$B$4:$C$4*(N25:O25-N19:O19)))</f>
        <v>1.0027187615147792</v>
      </c>
      <c r="O65" s="191"/>
      <c r="P65" s="191">
        <f t="array" ref="P65">SQRT((P9:Q9*$B$22:$C$22+P10:Q10*$B$23:$C$23+P11:Q11*$B$24:$C$24+P4:Q4*($B$25:$C$25-$B$19:$C$19))/($B$9:$C$9*$B$22:$C$22+$B$10:$C$10*$B$23:$C$23+$B$11:$C$11*$B$24:$C$24+$B$4:$C$4*($B$25:$C$25-$B$19:$C$19))*(P9:Q9*P22:Q22+P10:Q10*P23:Q23+P11:Q11*P24:Q24+P4:Q4*(P25:Q25-P19:Q19))/($B$9:$C$9*P22:Q22+$B$10:$C$10*P23:Q23+$B$11:$C$11*P24:Q24+$B$4:$C$4*(P25:Q25-P19:Q19)))</f>
        <v>1.0049072208713019</v>
      </c>
      <c r="Q65" s="191"/>
      <c r="R65" s="191">
        <f t="array" ref="R65">SQRT((R9:S9*$B$22:$C$22+R10:S10*$B$23:$C$23+R11:S11*$B$24:$C$24+R4:S4*($B$25:$C$25-$B$19:$C$19))/($B$9:$C$9*$B$22:$C$22+$B$10:$C$10*$B$23:$C$23+$B$11:$C$11*$B$24:$C$24+$B$4:$C$4*($B$25:$C$25-$B$19:$C$19))*(R9:S9*R22:S22+R10:S10*R23:S23+R11:S11*R24:S24+R4:S4*(R25:S25-R19:S19))/($B$9:$C$9*R22:S22+$B$10:$C$10*R23:S23+$B$11:$C$11*R24:S24+$B$4:$C$4*(R25:S25-R19:S19)))</f>
        <v>1.0080180684374225</v>
      </c>
      <c r="S65" s="191"/>
      <c r="T65" s="191">
        <f t="array" ref="T65">SQRT((T9:U9*$B$22:$C$22+T10:U10*$B$23:$C$23+T11:U11*$B$24:$C$24+T4:U4*($B$25:$C$25-$B$19:$C$19))/($B$9:$C$9*$B$22:$C$22+$B$10:$C$10*$B$23:$C$23+$B$11:$C$11*$B$24:$C$24+$B$4:$C$4*($B$25:$C$25-$B$19:$C$19))*(T9:U9*T22:U22+T10:U10*T23:U23+T11:U11*T24:U24+T4:U4*(T25:U25-T19:U19))/($B$9:$C$9*T22:U22+$B$10:$C$10*T23:U23+$B$11:$C$11*T24:U24+$B$4:$C$4*(T25:U25-T19:U19)))</f>
        <v>1.012377442570197</v>
      </c>
      <c r="U65" s="191"/>
      <c r="V65" s="191">
        <f t="array" ref="V65">SQRT((V9:W9*$B$22:$C$22+V10:W10*$B$23:$C$23+V11:W11*$B$24:$C$24+V4:W4*($B$25:$C$25-$B$19:$C$19))/($B$9:$C$9*$B$22:$C$22+$B$10:$C$10*$B$23:$C$23+$B$11:$C$11*$B$24:$C$24+$B$4:$C$4*($B$25:$C$25-$B$19:$C$19))*(V9:W9*V22:W22+V10:W10*V23:W23+V11:W11*V24:W24+V4:W4*(V25:W25-V19:W19))/($B$9:$C$9*V22:W22+$B$10:$C$10*V23:W23+$B$11:$C$11*V24:W24+$B$4:$C$4*(V25:W25-V19:W19)))</f>
        <v>1.0184746725570148</v>
      </c>
      <c r="W65" s="191"/>
      <c r="X65" s="191">
        <f t="array" ref="X65">SQRT((X9:Y9*$B$22:$C$22+X10:Y10*$B$23:$C$23+X11:Y11*$B$24:$C$24+X4:Y4*($B$25:$C$25-$B$19:$C$19))/($B$9:$C$9*$B$22:$C$22+$B$10:$C$10*$B$23:$C$23+$B$11:$C$11*$B$24:$C$24+$B$4:$C$4*($B$25:$C$25-$B$19:$C$19))*(X9:Y9*X22:Y22+X10:Y10*X23:Y23+X11:Y11*X24:Y24+X4:Y4*(X25:Y25-X19:Y19))/($B$9:$C$9*X22:Y22+$B$10:$C$10*X23:Y23+$B$11:$C$11*X24:Y24+$B$4:$C$4*(X25:Y25-X19:Y19)))</f>
        <v>1.0270681092895924</v>
      </c>
      <c r="Y65" s="191"/>
      <c r="Z65" s="191">
        <f t="array" ref="Z65">SQRT((Z9:AA9*$B$22:$C$22+Z10:AA10*$B$23:$C$23+Z11:AA11*$B$24:$C$24+Z4:AA4*($B$25:$C$25-$B$19:$C$19))/($B$9:$C$9*$B$22:$C$22+$B$10:$C$10*$B$23:$C$23+$B$11:$C$11*$B$24:$C$24+$B$4:$C$4*($B$25:$C$25-$B$19:$C$19))*(Z9:AA9*Z22:AA22+Z10:AA10*Z23:AA23+Z11:AA11*Z24:AA24+Z4:AA4*(Z25:AA25-Z19:AA19))/($B$9:$C$9*Z22:AA22+$B$10:$C$10*Z23:AA23+$B$11:$C$11*Z24:AA24+$B$4:$C$4*(Z25:AA25-Z19:AA19)))</f>
        <v>1.0393752501403777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1.0574221216187152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1.0846922930359697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1.1273341899365108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1.1965384058583748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1.3148247059485376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1.5426727077111118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2.1770661909560847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2.4981918610648872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3.0917420991550775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4.901862425669159</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0.99963948900586042</v>
      </c>
      <c r="E66" s="191"/>
      <c r="F66" s="191">
        <f t="array" ref="F66">SQRT((F9:G9*$B$22:$C$22)/($B$9:$C$9*$B$22:$C$22)*(F9:G9*F22:G22)/($B$9:$C$9*F22:G22))</f>
        <v>0.99953224349576442</v>
      </c>
      <c r="G66" s="191"/>
      <c r="H66" s="191">
        <f t="array" ref="H66">SQRT((H9:I9*$B$22:$C$22)/($B$9:$C$9*$B$22:$C$22)*(H9:I9*H22:I22)/($B$9:$C$9*H22:I22))</f>
        <v>0.99973147228907189</v>
      </c>
      <c r="I66" s="191"/>
      <c r="J66" s="191">
        <f t="array" ref="J66">SQRT((J9:K9*$B$22:$C$22)/($B$9:$C$9*$B$22:$C$22)*(J9:K9*J22:K22)/($B$9:$C$9*J22:K22))</f>
        <v>1.0003065702533755</v>
      </c>
      <c r="K66" s="191"/>
      <c r="L66" s="191">
        <f t="array" ref="L66">SQRT((L9:M9*$B$22:$C$22)/($B$9:$C$9*$B$22:$C$22)*(L9:M9*L22:M22)/($B$9:$C$9*L22:M22))</f>
        <v>1.0013491805698591</v>
      </c>
      <c r="M66" s="191"/>
      <c r="N66" s="191">
        <f t="array" ref="N66">SQRT((N9:O9*$B$22:$C$22)/($B$9:$C$9*$B$22:$C$22)*(N9:O9*N22:O22)/($B$9:$C$9*N22:O22))</f>
        <v>1.0029832104325032</v>
      </c>
      <c r="O66" s="191"/>
      <c r="P66" s="191">
        <f t="array" ref="P66">SQRT((P9:Q9*$B$22:$C$22)/($B$9:$C$9*$B$22:$C$22)*(P9:Q9*P22:Q22)/($B$9:$C$9*P22:Q22))</f>
        <v>1.0053790612593791</v>
      </c>
      <c r="Q66" s="191"/>
      <c r="R66" s="191">
        <f t="array" ref="R66">SQRT((R9:S9*$B$22:$C$22)/($B$9:$C$9*$B$22:$C$22)*(R9:S9*R22:S22)/($B$9:$C$9*R22:S22))</f>
        <v>1.0087766735504151</v>
      </c>
      <c r="S66" s="191"/>
      <c r="T66" s="191">
        <f t="array" ref="T66">SQRT((T9:U9*$B$22:$C$22)/($B$9:$C$9*$B$22:$C$22)*(T9:U9*T22:U22)/($B$9:$C$9*T22:U22))</f>
        <v>1.0135224705866672</v>
      </c>
      <c r="U66" s="191"/>
      <c r="V66" s="191">
        <f t="array" ref="V66">SQRT((V9:W9*$B$22:$C$22)/($B$9:$C$9*$B$22:$C$22)*(V9:W9*V22:W22)/($B$9:$C$9*V22:W22))</f>
        <v>1.0201308259863104</v>
      </c>
      <c r="W66" s="191"/>
      <c r="X66" s="191">
        <f t="array" ref="X66">SQRT((X9:Y9*$B$22:$C$22)/($B$9:$C$9*$B$22:$C$22)*(X9:Y9*X22:Y22)/($B$9:$C$9*X22:Y22))</f>
        <v>1.029388446529705</v>
      </c>
      <c r="Y66" s="191"/>
      <c r="Z66" s="191">
        <f t="array" ref="Z66">SQRT((Z9:AA9*$B$22:$C$22)/($B$9:$C$9*$B$22:$C$22)*(Z9:AA9*Z22:AA22)/($B$9:$C$9*Z22:AA22))</f>
        <v>1.0425368699365234</v>
      </c>
      <c r="AA66" s="191"/>
      <c r="AB66" s="191">
        <f t="array" ref="AB66">SQRT((AB9:AC9*$B$22:$C$22)/($B$9:$C$9*$B$22:$C$22)*(AB9:AC9*AB22:AC22)/($B$9:$C$9*AB22:AC22))</f>
        <v>1.0615951135234221</v>
      </c>
      <c r="AC66" s="191"/>
      <c r="AD66" s="191">
        <f t="array" ref="AD66">SQRT((AD9:AE9*$B$22:$C$22)/($B$9:$C$9*$B$22:$C$22)*(AD9:AE9*AD22:AE22)/($B$9:$C$9*AD22:AE22))</f>
        <v>1.0899250749220761</v>
      </c>
      <c r="AE66" s="191"/>
      <c r="AF66" s="191">
        <f t="array" ref="AF66">SQRT((AF9:AG9*$B$22:$C$22)/($B$9:$C$9*$B$22:$C$22)*(AF9:AG9*AF22:AG22)/($B$9:$C$9*AF22:AG22))</f>
        <v>1.1331906644447172</v>
      </c>
      <c r="AG66" s="191"/>
      <c r="AH66" s="191">
        <f t="array" ref="AH66">SQRT((AH9:AI9*$B$22:$C$22)/($B$9:$C$9*$B$22:$C$22)*(AH9:AI9*AH22:AI22)/($B$9:$C$9*AH22:AI22))</f>
        <v>1.2010144008567905</v>
      </c>
      <c r="AI66" s="191"/>
      <c r="AJ66" s="191">
        <f t="array" ref="AJ66">SQRT((AJ9:AK9*$B$22:$C$22)/($B$9:$C$9*$B$22:$C$22)*(AJ9:AK9*AJ22:AK22)/($B$9:$C$9*AJ22:AK22))</f>
        <v>1.3109636143860928</v>
      </c>
      <c r="AK66" s="191"/>
      <c r="AL66" s="191">
        <f t="array" ref="AL66">SQRT((AL9:AM9*$B$22:$C$22)/($B$9:$C$9*$B$22:$C$22)*(AL9:AM9*AL22:AM22)/($B$9:$C$9*AL22:AM22))</f>
        <v>1.5043677483317126</v>
      </c>
      <c r="AM66" s="191"/>
      <c r="AN66" s="191">
        <f t="array" ref="AN66">SQRT((AN9:AO9*$B$22:$C$22)/($B$9:$C$9*$B$22:$C$22)*(AN9:AO9*AN22:AO22)/($B$9:$C$9*AN22:AO22))</f>
        <v>1.9338761745684854</v>
      </c>
      <c r="AO66" s="191"/>
      <c r="AP66" s="191">
        <f t="array" ref="AP66">SQRT((AP9:AQ9*$B$22:$C$22)/($B$9:$C$9*$B$22:$C$22)*(AP9:AQ9*AP22:AQ22)/($B$9:$C$9*AP22:AQ22))</f>
        <v>2.0989008331845529</v>
      </c>
      <c r="AQ66" s="191"/>
      <c r="AR66" s="191">
        <f t="array" ref="AR66">SQRT((AR9:AS9*$B$22:$C$22)/($B$9:$C$9*$B$22:$C$22)*(AR9:AS9*AR22:AS22)/($B$9:$C$9*AR22:AS22))</f>
        <v>2.332115363419256</v>
      </c>
      <c r="AS66" s="191"/>
      <c r="AT66" s="191">
        <f t="array" ref="AT66">SQRT((AT9:AU9*$B$22:$C$22)/($B$9:$C$9*$B$22:$C$22)*(AT9:AU9*AT22:AU22)/($B$9:$C$9*AT22:AU22))</f>
        <v>2.7022425591954278</v>
      </c>
      <c r="AU66" s="191"/>
      <c r="AV66" s="191">
        <f t="array" ref="AV66">SQRT((AV9:AW9*$B$22:$C$22)/($B$9:$C$9*$B$22:$C$22)*(AV9:AW9*AV22:AW22)/($B$9:$C$9*AV22:AW22))</f>
        <v>3.4502215882793013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0.99963948900586042</v>
      </c>
      <c r="E68" s="191"/>
      <c r="F68" s="191">
        <f>F66/F67</f>
        <v>0.99953224349576442</v>
      </c>
      <c r="G68" s="191"/>
      <c r="H68" s="191">
        <f>H66/H67</f>
        <v>0.99973147228907189</v>
      </c>
      <c r="I68" s="191"/>
      <c r="J68" s="191">
        <f>J66/J67</f>
        <v>1.0003065702533755</v>
      </c>
      <c r="K68" s="191"/>
      <c r="L68" s="191">
        <f>L66/L67</f>
        <v>1.0013491805698591</v>
      </c>
      <c r="M68" s="191"/>
      <c r="N68" s="191">
        <f>N66/N67</f>
        <v>1.0029832104325032</v>
      </c>
      <c r="O68" s="191"/>
      <c r="P68" s="191">
        <f>P66/P67</f>
        <v>1.0053790612593791</v>
      </c>
      <c r="Q68" s="191"/>
      <c r="R68" s="191">
        <f>R66/R67</f>
        <v>1.0087766735504151</v>
      </c>
      <c r="S68" s="191"/>
      <c r="T68" s="191">
        <f>T66/T67</f>
        <v>1.0135224705866672</v>
      </c>
      <c r="U68" s="191"/>
      <c r="V68" s="191">
        <f>V66/V67</f>
        <v>1.0201308259863104</v>
      </c>
      <c r="W68" s="191"/>
      <c r="X68" s="191">
        <f>X66/X67</f>
        <v>1.029388446529705</v>
      </c>
      <c r="Y68" s="191"/>
      <c r="Z68" s="191">
        <f>Z66/Z67</f>
        <v>1.0425368699365234</v>
      </c>
      <c r="AA68" s="191"/>
      <c r="AB68" s="191">
        <f>AB66/AB67</f>
        <v>1.0615951135234221</v>
      </c>
      <c r="AC68" s="191"/>
      <c r="AD68" s="191">
        <f>AD66/AD67</f>
        <v>1.0899250749220761</v>
      </c>
      <c r="AE68" s="191"/>
      <c r="AF68" s="191">
        <f>AF66/AF67</f>
        <v>1.1331906644447172</v>
      </c>
      <c r="AG68" s="191"/>
      <c r="AH68" s="191">
        <f>AH66/AH67</f>
        <v>1.2010144008567905</v>
      </c>
      <c r="AI68" s="191"/>
      <c r="AJ68" s="191">
        <f>AJ66/AJ67</f>
        <v>1.3109636143860928</v>
      </c>
      <c r="AK68" s="191"/>
      <c r="AL68" s="191">
        <f>AL66/AL67</f>
        <v>1.5043677483317126</v>
      </c>
      <c r="AM68" s="191"/>
      <c r="AN68" s="191">
        <f>AN66/AN67</f>
        <v>1.9338761745684854</v>
      </c>
      <c r="AO68" s="191"/>
      <c r="AP68" s="191">
        <f>AP66/AP67</f>
        <v>2.0989008331845529</v>
      </c>
      <c r="AQ68" s="191"/>
      <c r="AR68" s="191">
        <f>AR66/AR67</f>
        <v>2.332115363419256</v>
      </c>
      <c r="AS68" s="191"/>
      <c r="AT68" s="191">
        <f>AT66/AT67</f>
        <v>2.7022425591954278</v>
      </c>
      <c r="AU68" s="191"/>
      <c r="AV68" s="191">
        <f>AV66/AV67</f>
        <v>3.4502215882793013</v>
      </c>
      <c r="XFD68" s="191"/>
    </row>
    <row r="69" spans="1:48 16384:16384" x14ac:dyDescent="0.2">
      <c r="A69" t="s">
        <v>177</v>
      </c>
      <c r="B69" s="191">
        <f>B32/B65/($B$32)</f>
        <v>1</v>
      </c>
      <c r="C69" s="191"/>
      <c r="D69" s="191">
        <f>D32/D65/($B$32)</f>
        <v>0.99343541280445213</v>
      </c>
      <c r="E69" s="191"/>
      <c r="F69" s="191">
        <f>F32/F65/($B$32)</f>
        <v>0.98602719649383674</v>
      </c>
      <c r="G69" s="191"/>
      <c r="H69" s="191">
        <f>H32/H65/($B$32)</f>
        <v>0.97763142436234052</v>
      </c>
      <c r="I69" s="191"/>
      <c r="J69" s="191">
        <f>J32/J65/($B$32)</f>
        <v>0.96807020496933516</v>
      </c>
      <c r="K69" s="191"/>
      <c r="L69" s="191">
        <f>L32/L65/($B$32)</f>
        <v>0.9571224417514399</v>
      </c>
      <c r="M69" s="191"/>
      <c r="N69" s="191">
        <f>N32/N65/($B$32)</f>
        <v>0.94450958788267658</v>
      </c>
      <c r="O69" s="191"/>
      <c r="P69" s="191">
        <f>P32/P65/($B$32)</f>
        <v>0.92987879094434955</v>
      </c>
      <c r="Q69" s="191"/>
      <c r="R69" s="191">
        <f>R32/R65/($B$32)</f>
        <v>0.9127792947684823</v>
      </c>
      <c r="S69" s="191"/>
      <c r="T69" s="191">
        <f>T32/T65/($B$32)</f>
        <v>0.89263263444098284</v>
      </c>
      <c r="U69" s="191"/>
      <c r="V69" s="191">
        <f>V32/V65/($B$32)</f>
        <v>0.86869630104189999</v>
      </c>
      <c r="W69" s="191"/>
      <c r="X69" s="191">
        <f>X32/X65/($B$32)</f>
        <v>0.84002766215822056</v>
      </c>
      <c r="Y69" s="191"/>
      <c r="Z69" s="191">
        <f>Z32/Z65/($B$32)</f>
        <v>0.8054662824437363</v>
      </c>
      <c r="AA69" s="191"/>
      <c r="AB69" s="191">
        <f>AB32/AB65/($B$32)</f>
        <v>0.76368820625469935</v>
      </c>
      <c r="AC69" s="191"/>
      <c r="AD69" s="191">
        <f>AD32/AD65/($B$32)</f>
        <v>0.71344797804209981</v>
      </c>
      <c r="AE69" s="191"/>
      <c r="AF69" s="191">
        <f>AF32/AF65/($B$32)</f>
        <v>0.65416954578133679</v>
      </c>
      <c r="AG69" s="191"/>
      <c r="AH69" s="191">
        <f>AH32/AH65/($B$32)</f>
        <v>0.58677623927779698</v>
      </c>
      <c r="AI69" s="191"/>
      <c r="AJ69" s="191">
        <f>AJ32/AJ65/($B$32)</f>
        <v>0.51349283992605677</v>
      </c>
      <c r="AK69" s="191"/>
      <c r="AL69" s="191">
        <f>AL32/AL65/($B$32)</f>
        <v>0.43375346016357408</v>
      </c>
      <c r="AM69" s="191"/>
      <c r="AN69" s="191">
        <f>AN32/AN65/($B$32)</f>
        <v>0.32640867636325088</v>
      </c>
      <c r="AO69" s="191"/>
      <c r="AP69" s="191">
        <f>AP32/AP65/($B$32)</f>
        <v>0.29232467568388476</v>
      </c>
      <c r="AQ69" s="191"/>
      <c r="AR69" s="191">
        <f>AR32/AR65/($B$32)</f>
        <v>0.24485827382702741</v>
      </c>
      <c r="AS69" s="191"/>
      <c r="AT69" s="191">
        <f>AT32/AT65/($B$32)</f>
        <v>0.16211457153532718</v>
      </c>
      <c r="AU69" s="191"/>
      <c r="AV69" s="191" t="e">
        <f>AV32/AV65/($B$32)</f>
        <v>#NUM!</v>
      </c>
    </row>
    <row r="70" spans="1:48 16384:16384" x14ac:dyDescent="0.2">
      <c r="A70" t="s">
        <v>178</v>
      </c>
      <c r="B70" s="138">
        <f>B18/$B$18</f>
        <v>1</v>
      </c>
      <c r="C70" s="138"/>
      <c r="D70" s="138">
        <f>D18/$B$18</f>
        <v>0.99229208973382999</v>
      </c>
      <c r="E70" s="138"/>
      <c r="F70" s="138">
        <f>F18/$B$18</f>
        <v>0.98373653806347217</v>
      </c>
      <c r="G70" s="138"/>
      <c r="H70" s="138">
        <f>H18/$B$18</f>
        <v>0.97419036521749169</v>
      </c>
      <c r="I70" s="138"/>
      <c r="J70" s="138">
        <f>J18/$B$18</f>
        <v>0.96347726402484646</v>
      </c>
      <c r="K70" s="138"/>
      <c r="L70" s="138">
        <f>L18/$B$18</f>
        <v>0.95137854368443708</v>
      </c>
      <c r="M70" s="138"/>
      <c r="N70" s="138">
        <f>N18/$B$18</f>
        <v>0.93761938222634034</v>
      </c>
      <c r="O70" s="138"/>
      <c r="P70" s="138">
        <f>P18/$B$18</f>
        <v>0.92185244030609725</v>
      </c>
      <c r="Q70" s="138"/>
      <c r="R70" s="138">
        <f>R18/$B$18</f>
        <v>0.9036351405721349</v>
      </c>
      <c r="S70" s="138"/>
      <c r="T70" s="138">
        <f>T18/$B$18</f>
        <v>0.88240107393338607</v>
      </c>
      <c r="U70" s="138"/>
      <c r="V70" s="138">
        <f>V18/$B$18</f>
        <v>0.85742560869407647</v>
      </c>
      <c r="W70" s="138"/>
      <c r="X70" s="138">
        <f>X18/$B$18</f>
        <v>0.82779246159450659</v>
      </c>
      <c r="Y70" s="138"/>
      <c r="Z70" s="138">
        <f>Z18/$B$18</f>
        <v>0.79237985802266775</v>
      </c>
      <c r="AA70" s="138"/>
      <c r="AB70" s="138">
        <f>AB18/$B$18</f>
        <v>0.74991946270745047</v>
      </c>
      <c r="AC70" s="138"/>
      <c r="AD70" s="138">
        <f>AD18/$B$18</f>
        <v>0.69924212788314566</v>
      </c>
      <c r="AE70" s="138"/>
      <c r="AF70" s="138">
        <f>AF18/$B$18</f>
        <v>0.63986799518554238</v>
      </c>
      <c r="AG70" s="138"/>
      <c r="AH70" s="138">
        <f>AH18/$B$18</f>
        <v>0.57283705702679066</v>
      </c>
      <c r="AI70" s="138"/>
      <c r="AJ70" s="138">
        <f>AJ18/$B$18</f>
        <v>0.50061085168657482</v>
      </c>
      <c r="AK70" s="138"/>
      <c r="AL70" s="138">
        <f>AL18/$B$18</f>
        <v>0.42384454152174339</v>
      </c>
      <c r="AM70" s="138"/>
      <c r="AN70" s="138">
        <f>AN18/$B$18</f>
        <v>0.33154490126029174</v>
      </c>
      <c r="AO70" s="138"/>
      <c r="AP70" s="138">
        <f>AP18/$B$18</f>
        <v>0.30715923296418585</v>
      </c>
      <c r="AQ70" s="138"/>
      <c r="AR70" s="138">
        <f>AR18/$B$18</f>
        <v>0.27785528599869425</v>
      </c>
      <c r="AS70" s="138"/>
      <c r="AT70" s="138">
        <f>AT18/$B$18</f>
        <v>0.23964151354098714</v>
      </c>
      <c r="AU70" s="138"/>
      <c r="AV70" s="138">
        <f>AV18/$B$18</f>
        <v>0.18153963491527092</v>
      </c>
    </row>
    <row r="71" spans="1:48 16384:16384" x14ac:dyDescent="0.2">
      <c r="A71" t="s">
        <v>179</v>
      </c>
      <c r="B71" s="138">
        <f>C18/$C$18</f>
        <v>1</v>
      </c>
      <c r="D71" s="138">
        <f>E18/$C$18</f>
        <v>0.93803734191104138</v>
      </c>
      <c r="E71" s="138"/>
      <c r="F71" s="138">
        <f>G18/$C$18</f>
        <v>0.87632048994887535</v>
      </c>
      <c r="G71" s="138"/>
      <c r="H71" s="138">
        <f>I18/$C$18</f>
        <v>0.81488617537983032</v>
      </c>
      <c r="I71" s="138"/>
      <c r="J71" s="138">
        <f>K18/$C$18</f>
        <v>0.75377784767036915</v>
      </c>
      <c r="K71" s="138"/>
      <c r="L71" s="138">
        <f>M18/$C$18</f>
        <v>0.69304597968167747</v>
      </c>
      <c r="M71" s="138"/>
      <c r="N71" s="138">
        <f>O18/$C$18</f>
        <v>0.63275226972966381</v>
      </c>
      <c r="O71" s="138"/>
      <c r="P71" s="138">
        <f>Q18/$C$18</f>
        <v>0.57297078440170579</v>
      </c>
      <c r="Q71" s="138"/>
      <c r="R71" s="138">
        <f>S18/$C$18</f>
        <v>0.51379224843406179</v>
      </c>
      <c r="S71" s="138"/>
      <c r="T71" s="138">
        <f>U18/$C$18</f>
        <v>0.4553273895568597</v>
      </c>
      <c r="U71" s="138"/>
      <c r="V71" s="138">
        <f>W18/$C$18</f>
        <v>0.39771347228342313</v>
      </c>
      <c r="W71" s="138"/>
      <c r="X71" s="138">
        <f>Y18/$C$18</f>
        <v>0.34111691606089256</v>
      </c>
      <c r="Y71" s="138"/>
      <c r="Z71" s="138">
        <f>AA18/$C$18</f>
        <v>0.28573837724227868</v>
      </c>
      <c r="AA71" s="138"/>
      <c r="AB71" s="138">
        <f>AC18/$C$18</f>
        <v>0.23181595027346308</v>
      </c>
      <c r="AC71" s="138"/>
      <c r="AD71" s="138">
        <f>AE18/$C$18</f>
        <v>0.17963934292818445</v>
      </c>
      <c r="AE71" s="138"/>
      <c r="AF71" s="138">
        <f>AG18/$C$18</f>
        <v>0.12964141509813049</v>
      </c>
      <c r="AG71" s="138"/>
      <c r="AH71" s="138">
        <f>AI18/$C$18</f>
        <v>8.2786892740983997E-2</v>
      </c>
      <c r="AI71" s="138"/>
      <c r="AJ71" s="138">
        <f>AK18/$C$18</f>
        <v>4.1676796755479237E-2</v>
      </c>
      <c r="AK71" s="138"/>
      <c r="AL71" s="138">
        <f>AM18/$C$18</f>
        <v>1.2200151661297386E-2</v>
      </c>
      <c r="AM71" s="138"/>
      <c r="AN71" s="138">
        <f>AO18/$C$18</f>
        <v>7.497178344058851E-4</v>
      </c>
      <c r="AO71" s="138"/>
      <c r="AP71" s="138">
        <f>AQ18/$C$18</f>
        <v>2.686166998434498E-4</v>
      </c>
      <c r="AQ71" s="138"/>
      <c r="AR71" s="138">
        <f>AS18/$C$18</f>
        <v>6.772823532509204E-5</v>
      </c>
      <c r="AS71" s="138"/>
      <c r="AT71" s="138">
        <f>AU18/$C$18</f>
        <v>9.0522564154885962E-6</v>
      </c>
      <c r="AU71" s="138"/>
      <c r="AV71" s="138">
        <f>AW18/$C$18</f>
        <v>2.6137780807397331E-7</v>
      </c>
      <c r="XFD71" s="138"/>
    </row>
    <row r="72" spans="1:48 16384:16384" x14ac:dyDescent="0.2">
      <c r="A72" t="s">
        <v>180</v>
      </c>
      <c r="B72" s="138">
        <f>C19/$C$19</f>
        <v>1</v>
      </c>
      <c r="D72" s="138">
        <f>E19/$C$19</f>
        <v>0.9941798599907693</v>
      </c>
      <c r="E72" s="138"/>
      <c r="F72" s="138">
        <f>G19/$C$19</f>
        <v>0.98876405827555525</v>
      </c>
      <c r="G72" s="138"/>
      <c r="H72" s="138">
        <f>I19/$C$19</f>
        <v>0.98373509925049341</v>
      </c>
      <c r="I72" s="138"/>
      <c r="J72" s="138">
        <f>K19/$C$19</f>
        <v>0.97906217098849413</v>
      </c>
      <c r="K72" s="138"/>
      <c r="L72" s="138">
        <f>M19/$C$19</f>
        <v>0.97469477078980882</v>
      </c>
      <c r="M72" s="138"/>
      <c r="N72" s="138">
        <f>O19/$C$19</f>
        <v>0.9705558256579736</v>
      </c>
      <c r="O72" s="138"/>
      <c r="P72" s="138">
        <f>Q19/$C$19</f>
        <v>0.96653031835061087</v>
      </c>
      <c r="Q72" s="138"/>
      <c r="R72" s="138">
        <f>S19/$C$19</f>
        <v>0.9624513969403552</v>
      </c>
      <c r="S72" s="138"/>
      <c r="T72" s="138">
        <f>U19/$C$19</f>
        <v>0.95808363027103516</v>
      </c>
      <c r="U72" s="138"/>
      <c r="V72" s="138">
        <f>W19/$C$19</f>
        <v>0.95310481986348705</v>
      </c>
      <c r="W72" s="138"/>
      <c r="X72" s="138">
        <f>Y19/$C$19</f>
        <v>0.94709286744491461</v>
      </c>
      <c r="Y72" s="138"/>
      <c r="Z72" s="138">
        <f>AA19/$C$19</f>
        <v>0.93953377514760184</v>
      </c>
      <c r="AA72" s="138"/>
      <c r="AB72" s="138">
        <f>AC19/$C$19</f>
        <v>0.92987332143479184</v>
      </c>
      <c r="AC72" s="138"/>
      <c r="AD72" s="138">
        <f>AE19/$C$19</f>
        <v>0.91759621499444433</v>
      </c>
      <c r="AE72" s="138"/>
      <c r="AF72" s="138">
        <f>AG19/$C$19</f>
        <v>0.90201224311150607</v>
      </c>
      <c r="AG72" s="138"/>
      <c r="AH72" s="138">
        <f>AI19/$C$19</f>
        <v>0.88016433936365313</v>
      </c>
      <c r="AI72" s="138"/>
      <c r="AJ72" s="138">
        <f>AK19/$C$19</f>
        <v>0.83802385817725733</v>
      </c>
      <c r="AK72" s="138"/>
      <c r="AL72" s="138">
        <f>AM19/$C$19</f>
        <v>0.72684183607636199</v>
      </c>
      <c r="AM72" s="138"/>
      <c r="AN72" s="138">
        <f>AO19/$C$19</f>
        <v>0.4465187728599625</v>
      </c>
      <c r="AO72" s="138"/>
      <c r="AP72" s="138">
        <f>AQ19/$C$19</f>
        <v>0.3653318989775951</v>
      </c>
      <c r="AQ72" s="138"/>
      <c r="AR72" s="138">
        <f>AS19/$C$19</f>
        <v>0.27813252748154799</v>
      </c>
      <c r="AS72" s="138"/>
      <c r="AT72" s="138">
        <f>AU19/$C$19</f>
        <v>0.18695211624808364</v>
      </c>
      <c r="AU72" s="138"/>
      <c r="AV72" s="138">
        <f>AW19/$C$19</f>
        <v>9.3765270253731339E-2</v>
      </c>
      <c r="XFD72" s="138"/>
    </row>
    <row r="73" spans="1:48 16384:16384" x14ac:dyDescent="0.2">
      <c r="A73" t="s">
        <v>184</v>
      </c>
      <c r="B73" s="193">
        <f t="array" ref="B73">SUM(B9:C9*B22:C22)/B32</f>
        <v>0.47641153352875065</v>
      </c>
      <c r="D73" s="193">
        <f t="array" ref="D73">SUM(D9:E9*D22:E22)/D32</f>
        <v>0.47528761203429565</v>
      </c>
      <c r="E73" s="138"/>
      <c r="F73" s="193">
        <f t="array" ref="F73">SUM(F9:G9*F22:G22)/F32</f>
        <v>0.47416172766239689</v>
      </c>
      <c r="G73" s="138"/>
      <c r="H73" s="193">
        <f t="array" ref="H73">SUM(H9:I9*H22:I22)/H32</f>
        <v>0.47303366217523324</v>
      </c>
      <c r="I73" s="138"/>
      <c r="J73" s="193">
        <f t="array" ref="J73">SUM(J9:K9*J22:K22)/J32</f>
        <v>0.47190323926399075</v>
      </c>
      <c r="K73" s="138"/>
      <c r="L73" s="193">
        <f t="array" ref="L73">SUM(L9:M9*L22:M22)/L32</f>
        <v>0.47077024056899669</v>
      </c>
      <c r="M73" s="138"/>
      <c r="N73" s="193">
        <f t="array" ref="N73">SUM(N9:O9*N22:O22)/N32</f>
        <v>0.46963454692735829</v>
      </c>
      <c r="O73" s="138"/>
      <c r="P73" s="193">
        <f t="array" ref="P73">SUM(P9:Q9*P22:Q22)/P32</f>
        <v>0.46849602068394708</v>
      </c>
      <c r="Q73" s="138"/>
      <c r="R73" s="193">
        <f t="array" ref="R73">SUM(R9:S9*R22:S22)/R32</f>
        <v>0.46735447080545428</v>
      </c>
      <c r="S73" s="138"/>
      <c r="T73" s="193">
        <f t="array" ref="T73">SUM(T9:U9*T22:U22)/T32</f>
        <v>0.46620951918503029</v>
      </c>
      <c r="U73" s="138"/>
      <c r="V73" s="193">
        <f t="array" ref="V73">SUM(V9:W9*V22:W22)/V32</f>
        <v>0.46506019367936224</v>
      </c>
      <c r="W73" s="138"/>
      <c r="X73" s="193">
        <f t="array" ref="X73">SUM(X9:Y9*X22:Y22)/X32</f>
        <v>0.46390387495843283</v>
      </c>
      <c r="Y73" s="138"/>
      <c r="Z73" s="193">
        <f t="array" ref="Z73">SUM(Z9:AA9*Z22:AA22)/Z32</f>
        <v>0.46273367009818739</v>
      </c>
      <c r="AA73" s="138"/>
      <c r="AB73" s="193">
        <f t="array" ref="AB73">SUM(AB9:AC9*AB22:AC22)/AB32</f>
        <v>0.46153199478500651</v>
      </c>
      <c r="AC73" s="138"/>
      <c r="AD73" s="193">
        <f t="array" ref="AD73">SUM(AD9:AE9*AD22:AE22)/AD32</f>
        <v>0.4602546116091244</v>
      </c>
      <c r="AE73" s="138"/>
      <c r="AF73" s="193">
        <f t="array" ref="AF73">SUM(AF9:AG9*AF22:AG22)/AF32</f>
        <v>0.45879305868056403</v>
      </c>
      <c r="AG73" s="138"/>
      <c r="AH73" s="193">
        <f t="array" ref="AH73">SUM(AH9:AI9*AH22:AI22)/AH32</f>
        <v>0.45689539188937006</v>
      </c>
      <c r="AI73" s="138"/>
      <c r="AJ73" s="193">
        <f t="array" ref="AJ73">SUM(AJ9:AK9*AJ22:AK22)/AJ32</f>
        <v>0.45401349818014936</v>
      </c>
      <c r="AK73" s="138"/>
      <c r="AL73" s="193">
        <f t="array" ref="AL73">SUM(AL9:AM9*AL22:AM22)/AL32</f>
        <v>0.44895512495208673</v>
      </c>
      <c r="AM73" s="138"/>
      <c r="AN73" s="193">
        <f t="array" ref="AN73">SUM(AN9:AO9*AN22:AO22)/AN32</f>
        <v>0.43868905254033796</v>
      </c>
      <c r="AO73" s="138"/>
      <c r="AP73" s="193">
        <f t="array" ref="AP73">SUM(AP9:AQ9*AP22:AQ22)/AP32</f>
        <v>0.43526570272041171</v>
      </c>
      <c r="AQ73" s="138"/>
      <c r="AR73" s="193">
        <f t="array" ref="AR73">SUM(AR9:AS9*AR22:AS22)/AR32</f>
        <v>0.43081999454289854</v>
      </c>
      <c r="AS73" s="138"/>
      <c r="AT73" s="193">
        <f t="array" ref="AT73">SUM(AT9:AU9*AT22:AU22)/AT32</f>
        <v>0.42441700394380072</v>
      </c>
      <c r="AU73" s="138"/>
      <c r="AV73" s="193">
        <f t="array" ref="AV73">SUM(AV9:AW9*AV22:AW22)/AV32</f>
        <v>0.41280546382841038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0.22604620456442481</v>
      </c>
      <c r="AQ74" s="138"/>
      <c r="AR74" s="193">
        <f t="array" ref="AR74">SUM(AR10:AS10*AR23:AS23)/AR32</f>
        <v>0.22604620456442487</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0.22183346684083652</v>
      </c>
      <c r="E75" s="138"/>
      <c r="F75" s="193">
        <f t="array" ref="F75">SUM(F11:G11*F24:G24)/F32</f>
        <v>0.22349798463548068</v>
      </c>
      <c r="G75" s="138"/>
      <c r="H75" s="193">
        <f t="array" ref="H75">SUM(H11:I11*H24:I24)/H32</f>
        <v>0.22542141603738292</v>
      </c>
      <c r="I75" s="138"/>
      <c r="J75" s="193">
        <f t="array" ref="J75">SUM(J11:K11*J24:K24)/J32</f>
        <v>0.22765957344145082</v>
      </c>
      <c r="K75" s="138"/>
      <c r="L75" s="193">
        <f t="array" ref="L75">SUM(L11:M11*L24:M24)/L32</f>
        <v>0.23028496526409309</v>
      </c>
      <c r="M75" s="138"/>
      <c r="N75" s="193">
        <f t="array" ref="N75">SUM(N11:O11*N24:O24)/N32</f>
        <v>0.23339361881774601</v>
      </c>
      <c r="O75" s="138"/>
      <c r="P75" s="193">
        <f t="array" ref="P75">SUM(P11:Q11*P24:Q24)/P32</f>
        <v>0.23711463143670788</v>
      </c>
      <c r="Q75" s="138"/>
      <c r="R75" s="193">
        <f t="array" ref="R75">SUM(R11:S11*R24:S24)/R32</f>
        <v>0.24162494097310916</v>
      </c>
      <c r="S75" s="138"/>
      <c r="T75" s="193">
        <f t="array" ref="T75">SUM(T11:U11*T24:U24)/T32</f>
        <v>0.24717183856311867</v>
      </c>
      <c r="U75" s="138"/>
      <c r="V75" s="193">
        <f t="array" ref="V75">SUM(V11:W11*V24:W24)/V32</f>
        <v>0.25410809009625079</v>
      </c>
      <c r="W75" s="138"/>
      <c r="X75" s="193">
        <f t="array" ref="X75">SUM(X11:Y11*X24:Y24)/X32</f>
        <v>0.26294643315551014</v>
      </c>
      <c r="Y75" s="138"/>
      <c r="Z75" s="193">
        <f t="array" ref="Z75">SUM(Z11:AA11*Z24:AA24)/Z32</f>
        <v>0.27444322449523995</v>
      </c>
      <c r="AA75" s="138"/>
      <c r="AB75" s="193">
        <f t="array" ref="AB75">SUM(AB11:AC11*AB24:AC24)/AB32</f>
        <v>0.28971785548196599</v>
      </c>
      <c r="AC75" s="138"/>
      <c r="AD75" s="193">
        <f t="array" ref="AD75">SUM(AD11:AE11*AD24:AE24)/AD32</f>
        <v>0.31039063170475539</v>
      </c>
      <c r="AE75" s="138"/>
      <c r="AF75" s="193">
        <f t="array" ref="AF75">SUM(AF11:AG11*AF24:AG24)/AF32</f>
        <v>0.33864199496323272</v>
      </c>
      <c r="AG75" s="138"/>
      <c r="AH75" s="193">
        <f t="array" ref="AH75">SUM(AH11:AI11*AH24:AI24)/AH32</f>
        <v>0.37699004240700074</v>
      </c>
      <c r="AI75" s="138"/>
      <c r="AJ75" s="193">
        <f t="array" ref="AJ75">SUM(AJ11:AK11*AJ24:AK24)/AJ32</f>
        <v>0.42792653422096405</v>
      </c>
      <c r="AK75" s="138"/>
      <c r="AL75" s="193">
        <f t="array" ref="AL75">SUM(AL11:AM11*AL24:AM24)/AL32</f>
        <v>0.49547083107952344</v>
      </c>
      <c r="AM75" s="138"/>
      <c r="AN75" s="193">
        <f t="array" ref="AN75">SUM(AN11:AO11*AN24:AO24)/AN32</f>
        <v>0.59975815481272376</v>
      </c>
      <c r="AO75" s="138"/>
      <c r="AP75" s="193">
        <f t="array" ref="AP75">SUM(AP11:AQ11*AP24:AQ24)/AP32</f>
        <v>0.63340499059483479</v>
      </c>
      <c r="AQ75" s="138"/>
      <c r="AR75" s="193">
        <f t="array" ref="AR75">SUM(AR11:AS11*AR24:AS24)/AR32</f>
        <v>0.6789109500246121</v>
      </c>
      <c r="AS75" s="138"/>
      <c r="AT75" s="193">
        <f t="array" ref="AT75">SUM(AT11:AU11*AT24:AU24)/AT32</f>
        <v>0.74941431597721841</v>
      </c>
      <c r="AU75" s="138"/>
      <c r="AV75" s="193">
        <f t="array" ref="AV75">SUM(AV11:AW11*AV24:AW24)/AV32</f>
        <v>0.89415162435684603</v>
      </c>
      <c r="XFD75" s="193"/>
    </row>
    <row r="76" spans="1:48 16384:16384" x14ac:dyDescent="0.2">
      <c r="A76" t="s">
        <v>187</v>
      </c>
      <c r="B76" s="193">
        <f t="array" ref="B76">SUM(B12:C12*B25:C25)/B32</f>
        <v>0.22301874374724867</v>
      </c>
      <c r="D76" s="193">
        <f t="array" ref="D76">SUM(D12:E12*D25:E25)/D32</f>
        <v>0.2224967706786245</v>
      </c>
      <c r="E76" s="138"/>
      <c r="F76" s="193">
        <f t="array" ref="F76">SUM(F12:G12*F25:G25)/F32</f>
        <v>0.22182562782190759</v>
      </c>
      <c r="G76" s="138"/>
      <c r="H76" s="193">
        <f t="array" ref="H76">SUM(H12:I12*H25:I25)/H32</f>
        <v>0.22097365706253161</v>
      </c>
      <c r="I76" s="138"/>
      <c r="J76" s="193">
        <f t="array" ref="J76">SUM(J12:K12*J25:K25)/J32</f>
        <v>0.21990010720963563</v>
      </c>
      <c r="K76" s="138"/>
      <c r="L76" s="193">
        <f t="array" ref="L76">SUM(L12:M12*L25:M25)/L32</f>
        <v>0.21855200276086562</v>
      </c>
      <c r="M76" s="138"/>
      <c r="N76" s="193">
        <f t="array" ref="N76">SUM(N12:O12*N25:O25)/N32</f>
        <v>0.21685912771195592</v>
      </c>
      <c r="O76" s="138"/>
      <c r="P76" s="193">
        <f t="array" ref="P76">SUM(P12:Q12*P25:Q25)/P32</f>
        <v>0.21472724371494747</v>
      </c>
      <c r="Q76" s="138"/>
      <c r="R76" s="193">
        <f t="array" ref="R76">SUM(R12:S12*R25:S25)/R32</f>
        <v>0.21202765783035238</v>
      </c>
      <c r="S76" s="138"/>
      <c r="T76" s="193">
        <f t="array" ref="T76">SUM(T12:U12*T25:U25)/T32</f>
        <v>0.20858164155049769</v>
      </c>
      <c r="U76" s="138"/>
      <c r="V76" s="193">
        <f t="array" ref="V76">SUM(V12:W12*V25:W25)/V32</f>
        <v>0.2041368725457543</v>
      </c>
      <c r="W76" s="138"/>
      <c r="X76" s="193">
        <f t="array" ref="X76">SUM(X12:Y12*X25:Y25)/X32</f>
        <v>0.19833250351439283</v>
      </c>
      <c r="Y76" s="138"/>
      <c r="Z76" s="193">
        <f t="array" ref="Z76">SUM(Z12:AA12*Z25:AA25)/Z32</f>
        <v>0.19064957444287395</v>
      </c>
      <c r="AA76" s="138"/>
      <c r="AB76" s="193">
        <f t="array" ref="AB76">SUM(AB12:AC12*AB25:AC25)/AB32</f>
        <v>0.18035073840933116</v>
      </c>
      <c r="AC76" s="138"/>
      <c r="AD76" s="193">
        <f t="array" ref="AD76">SUM(AD12:AE12*AD25:AE25)/AD32</f>
        <v>0.16644186049167906</v>
      </c>
      <c r="AE76" s="138"/>
      <c r="AF76" s="193">
        <f t="array" ref="AF76">SUM(AF12:AG12*AF25:AG25)/AF32</f>
        <v>0.14776392526614029</v>
      </c>
      <c r="AG76" s="138"/>
      <c r="AH76" s="193">
        <f t="array" ref="AH76">SUM(AH12:AI12*AH25:AI25)/AH32</f>
        <v>0.12341405467352468</v>
      </c>
      <c r="AI76" s="138"/>
      <c r="AJ76" s="193">
        <f t="array" ref="AJ76">SUM(AJ12:AK12*AJ25:AK25)/AJ32</f>
        <v>9.3488064740117449E-2</v>
      </c>
      <c r="AK76" s="138"/>
      <c r="AL76" s="193">
        <f t="array" ref="AL76">SUM(AL12:AM12*AL25:AM25)/AL32</f>
        <v>5.9526298091271766E-2</v>
      </c>
      <c r="AM76" s="138"/>
      <c r="AN76" s="193">
        <f t="array" ref="AN76">SUM(AN12:AO12*AN25:AO25)/AN32</f>
        <v>2.5059676450569671E-2</v>
      </c>
      <c r="AO76" s="138"/>
      <c r="AP76" s="193">
        <f t="array" ref="AP76">SUM(AP12:AQ12*AP25:AQ25)/AP32</f>
        <v>1.8704352078215344E-2</v>
      </c>
      <c r="AQ76" s="138"/>
      <c r="AR76" s="193">
        <f t="array" ref="AR76">SUM(AR12:AS12*AR25:AS25)/AR32</f>
        <v>1.2739035978734678E-2</v>
      </c>
      <c r="AS76" s="138"/>
      <c r="AT76" s="193">
        <f t="array" ref="AT76">SUM(AT12:AU12*AT25:AU25)/AT32</f>
        <v>7.3270766311805549E-3</v>
      </c>
      <c r="AU76" s="138"/>
      <c r="AV76" s="193">
        <f t="array" ref="AV76">SUM(AV12:AW12*AV25:AW25)/AV32</f>
        <v>2.7817661510918684E-3</v>
      </c>
      <c r="XFD76" s="193"/>
    </row>
    <row r="77" spans="1:48 16384:16384" x14ac:dyDescent="0.2">
      <c r="A77" t="s">
        <v>188</v>
      </c>
      <c r="B77" s="193">
        <f t="array" ref="B77">SUM(B4:C4*B19:C19)/B32</f>
        <v>0.14586087017236485</v>
      </c>
      <c r="D77" s="193">
        <f t="array" ref="D77">SUM(D4:E4*D19:E19)/D32</f>
        <v>0.14566405411818134</v>
      </c>
      <c r="E77" s="138"/>
      <c r="F77" s="193">
        <f t="array" ref="F77">SUM(F4:G4*F19:G19)/F32</f>
        <v>0.14553154468421003</v>
      </c>
      <c r="G77" s="138"/>
      <c r="H77" s="193">
        <f t="array" ref="H77">SUM(H4:I4*H19:I19)/H32</f>
        <v>0.1454749398395726</v>
      </c>
      <c r="I77" s="138"/>
      <c r="J77" s="193">
        <f t="array" ref="J77">SUM(J4:K4*J19:K19)/J32</f>
        <v>0.14550912447950176</v>
      </c>
      <c r="K77" s="138"/>
      <c r="L77" s="193">
        <f t="array" ref="L77">SUM(L4:M4*L19:M19)/L32</f>
        <v>0.14565341315838007</v>
      </c>
      <c r="M77" s="138"/>
      <c r="N77" s="193">
        <f t="array" ref="N77">SUM(N4:O4*N19:O19)/N32</f>
        <v>0.14593349802148503</v>
      </c>
      <c r="O77" s="138"/>
      <c r="P77" s="193">
        <f t="array" ref="P77">SUM(P4:Q4*P19:Q19)/P32</f>
        <v>0.1463841004000272</v>
      </c>
      <c r="Q77" s="138"/>
      <c r="R77" s="193">
        <f t="array" ref="R77">SUM(R4:S4*R19:S19)/R32</f>
        <v>0.14705327417334046</v>
      </c>
      <c r="S77" s="138"/>
      <c r="T77" s="193">
        <f t="array" ref="T77">SUM(T4:U4*T19:U19)/T32</f>
        <v>0.14800920386307126</v>
      </c>
      <c r="U77" s="138"/>
      <c r="V77" s="193">
        <f t="array" ref="V77">SUM(V4:W4*V19:W19)/V32</f>
        <v>0.14935136088579198</v>
      </c>
      <c r="W77" s="138"/>
      <c r="X77" s="193">
        <f t="array" ref="X77">SUM(X4:Y4*X19:Y19)/X32</f>
        <v>0.15122901619276047</v>
      </c>
      <c r="Y77" s="138"/>
      <c r="Z77" s="193">
        <f t="array" ref="Z77">SUM(Z4:AA4*Z19:AA19)/Z32</f>
        <v>0.15387267360072612</v>
      </c>
      <c r="AA77" s="138"/>
      <c r="AB77" s="193">
        <f t="array" ref="AB77">SUM(AB4:AC4*AB19:AC19)/AB32</f>
        <v>0.15764679324072825</v>
      </c>
      <c r="AC77" s="138"/>
      <c r="AD77" s="193">
        <f t="array" ref="AD77">SUM(AD4:AE4*AD19:AE19)/AD32</f>
        <v>0.16313330836998347</v>
      </c>
      <c r="AE77" s="138"/>
      <c r="AF77" s="193">
        <f t="array" ref="AF77">SUM(AF4:AG4*AF19:AG19)/AF32</f>
        <v>0.17124518347436182</v>
      </c>
      <c r="AG77" s="138"/>
      <c r="AH77" s="193">
        <f t="array" ref="AH77">SUM(AH4:AI4*AH19:AI19)/AH32</f>
        <v>0.18334569353432009</v>
      </c>
      <c r="AI77" s="138"/>
      <c r="AJ77" s="193">
        <f t="array" ref="AJ77">SUM(AJ4:AK4*AJ19:AK19)/AJ32</f>
        <v>0.20147430170565578</v>
      </c>
      <c r="AK77" s="138"/>
      <c r="AL77" s="193">
        <f t="array" ref="AL77">SUM(AL4:AM4*AL19:AM19)/AL32</f>
        <v>0.22999845868730659</v>
      </c>
      <c r="AM77" s="138"/>
      <c r="AN77" s="193">
        <f t="array" ref="AN77">SUM(AN4:AO4*AN19:AO19)/AN32</f>
        <v>0.28955308836805638</v>
      </c>
      <c r="AO77" s="138"/>
      <c r="AP77" s="193">
        <f t="array" ref="AP77">SUM(AP4:AQ4*AP19:AQ19)/AP32</f>
        <v>0.31342124995788673</v>
      </c>
      <c r="AQ77" s="138"/>
      <c r="AR77" s="193">
        <f t="array" ref="AR77">SUM(AR4:AS4*AR19:AS19)/AR32</f>
        <v>0.34851618511067017</v>
      </c>
      <c r="AS77" s="138"/>
      <c r="AT77" s="193">
        <f t="array" ref="AT77">SUM(AT4:AU4*AT19:AU19)/AT32</f>
        <v>0.40720460111662443</v>
      </c>
      <c r="AU77" s="138"/>
      <c r="AV77" s="193">
        <f t="array" ref="AV77">SUM(AV4:AW4*AV19:AW19)/AV32</f>
        <v>0.53578505890077321</v>
      </c>
      <c r="XFD77" s="193"/>
    </row>
    <row r="78" spans="1:48 16384:16384" x14ac:dyDescent="0.2">
      <c r="A78" t="s">
        <v>189</v>
      </c>
      <c r="B78" s="193">
        <f t="array" ref="B78">SUM(B13:C13*B26:C26)/B32</f>
        <v>0.346887593115773</v>
      </c>
      <c r="D78" s="193">
        <f t="array" ref="D78">SUM(D13:E13*D26:E26)/D32</f>
        <v>0.34589986035382025</v>
      </c>
      <c r="E78" s="138"/>
      <c r="F78" s="193">
        <f t="array" ref="F78">SUM(F13:G13*F26:G26)/F32</f>
        <v>0.34488719538236101</v>
      </c>
      <c r="G78" s="138"/>
      <c r="H78" s="193">
        <f t="array" ref="H78">SUM(H13:I13*H26:I26)/H32</f>
        <v>0.34384681583743248</v>
      </c>
      <c r="I78" s="138"/>
      <c r="J78" s="193">
        <f t="array" ref="J78">SUM(J13:K13*J26:K26)/J32</f>
        <v>0.34277555889510913</v>
      </c>
      <c r="K78" s="138"/>
      <c r="L78" s="193">
        <f t="array" ref="L78">SUM(L13:M13*L26:M26)/L32</f>
        <v>0.34166979093722688</v>
      </c>
      <c r="M78" s="138"/>
      <c r="N78" s="193">
        <f t="array" ref="N78">SUM(N13:O13*N26:O26)/N32</f>
        <v>0.34052536686093327</v>
      </c>
      <c r="O78" s="138"/>
      <c r="P78" s="193">
        <f t="array" ref="P78">SUM(P13:Q13*P26:Q26)/P32</f>
        <v>0.33933751990694933</v>
      </c>
      <c r="Q78" s="138"/>
      <c r="R78" s="193">
        <f t="array" ref="R78">SUM(R13:S13*R26:S26)/R32</f>
        <v>0.33810080033833062</v>
      </c>
      <c r="S78" s="138"/>
      <c r="T78" s="193">
        <f t="array" ref="T78">SUM(T13:U13*T26:U26)/T32</f>
        <v>0.33680901174515204</v>
      </c>
      <c r="U78" s="138"/>
      <c r="V78" s="193">
        <f t="array" ref="V78">SUM(V13:W13*V26:W26)/V32</f>
        <v>0.33545529899466747</v>
      </c>
      <c r="W78" s="138"/>
      <c r="X78" s="193">
        <f t="array" ref="X78">SUM(X13:Y13*X26:Y26)/X32</f>
        <v>0.33403239458567108</v>
      </c>
      <c r="Y78" s="138"/>
      <c r="Z78" s="193">
        <f t="array" ref="Z78">SUM(Z13:AA13*Z26:AA26)/Z32</f>
        <v>0.33253345544492918</v>
      </c>
      <c r="AA78" s="138"/>
      <c r="AB78" s="193">
        <f t="array" ref="AB78">SUM(AB13:AC13*AB26:AC26)/AB32</f>
        <v>0.33095402814041319</v>
      </c>
      <c r="AC78" s="138"/>
      <c r="AD78" s="193">
        <f t="array" ref="AD78">SUM(AD13:AE13*AD26:AE26)/AD32</f>
        <v>0.32929607744013029</v>
      </c>
      <c r="AE78" s="138"/>
      <c r="AF78" s="193">
        <f t="array" ref="AF78">SUM(AF13:AG13*AF26:AG26)/AF32</f>
        <v>0.32757459036741088</v>
      </c>
      <c r="AG78" s="138"/>
      <c r="AH78" s="193">
        <f t="array" ref="AH78">SUM(AH13:AI13*AH26:AI26)/AH32</f>
        <v>0.32582367519165756</v>
      </c>
      <c r="AI78" s="138"/>
      <c r="AJ78" s="193">
        <f t="array" ref="AJ78">SUM(AJ13:AK13*AJ26:AK26)/AJ32</f>
        <v>0.32409989124801775</v>
      </c>
      <c r="AK78" s="138"/>
      <c r="AL78" s="193">
        <f t="array" ref="AL78">SUM(AL13:AM13*AL26:AM26)/AL32</f>
        <v>0.32259784174315842</v>
      </c>
      <c r="AM78" s="138"/>
      <c r="AN78" s="193">
        <f t="array" ref="AN78">SUM(AN13:AO13*AN26:AO26)/AN32</f>
        <v>0.32327200534507583</v>
      </c>
      <c r="AO78" s="138"/>
      <c r="AP78" s="193">
        <f t="array" ref="AP78">SUM(AP13:AQ13*AP26:AQ26)/AP32</f>
        <v>0.3246186124420688</v>
      </c>
      <c r="AQ78" s="138"/>
      <c r="AR78" s="193">
        <f t="array" ref="AR78">SUM(AR13:AS13*AR26:AS26)/AR32</f>
        <v>0.32722144415845356</v>
      </c>
      <c r="AS78" s="138"/>
      <c r="AT78" s="193">
        <f t="array" ref="AT78">SUM(AT13:AU13*AT26:AU26)/AT32</f>
        <v>0.33247701474244057</v>
      </c>
      <c r="AU78" s="138"/>
      <c r="AV78" s="193">
        <f t="array" ref="AV78">SUM(AV13:AW13*AV26:AW26)/AV32</f>
        <v>0.3451585533732065</v>
      </c>
      <c r="XFD78" s="193"/>
    </row>
    <row r="79" spans="1:48 16384:16384" x14ac:dyDescent="0.2">
      <c r="A79" t="s">
        <v>190</v>
      </c>
      <c r="B79" s="193">
        <f t="array" ref="B79">SUM(B15:C15*B27:C27)/B32</f>
        <v>0.45460968782439864</v>
      </c>
      <c r="D79" s="193">
        <f t="array" ref="D79">SUM(D15:E15*D27:E27)/D32</f>
        <v>0.453708927796526</v>
      </c>
      <c r="F79" s="193">
        <f t="array" ref="F79">SUM(F15:G15*F27:G27)/F32</f>
        <v>0.45283013173831371</v>
      </c>
      <c r="H79" s="193">
        <f t="array" ref="H79">SUM(H15:I15*H27:I27)/H32</f>
        <v>0.45197574755251219</v>
      </c>
      <c r="J79" s="193">
        <f t="array" ref="J79">SUM(J15:K15*J27:K27)/J32</f>
        <v>0.45114867183951796</v>
      </c>
      <c r="L79" s="193">
        <f t="array" ref="L79">SUM(L15:M15*L27:M27)/L32</f>
        <v>0.45035223587472634</v>
      </c>
      <c r="N79" s="193">
        <f t="array" ref="N79">SUM(N15:O15*N27:O27)/N32</f>
        <v>0.44959042746763594</v>
      </c>
      <c r="P79" s="193">
        <f t="array" ref="P79">SUM(P15:Q15*P27:Q27)/P32</f>
        <v>0.44886784233640459</v>
      </c>
      <c r="R79" s="193">
        <f t="array" ref="R79">SUM(R15:S15*R27:S27)/R32</f>
        <v>0.44818971046317746</v>
      </c>
      <c r="T79" s="193">
        <f t="array" ref="T79">SUM(T15:U15*T27:U27)/T32</f>
        <v>0.44756165067607612</v>
      </c>
      <c r="V79" s="193">
        <f t="array" ref="V79">SUM(V15:W15*V27:W27)/V32</f>
        <v>0.44698899344822862</v>
      </c>
      <c r="X79" s="193">
        <f t="array" ref="X79">SUM(X15:Y15*X27:Y27)/X32</f>
        <v>0.44647463588919173</v>
      </c>
      <c r="Z79" s="193">
        <f t="array" ref="Z79">SUM(Z15:AA15*Z27:AA27)/Z32</f>
        <v>0.44601386670029924</v>
      </c>
      <c r="AB79" s="193">
        <f t="array" ref="AB79">SUM(AB15:AC15*AB27:AC27)/AB32</f>
        <v>0.44558144633338714</v>
      </c>
      <c r="AD79" s="193">
        <f t="array" ref="AD79">SUM(AD15:AE15*AD27:AE27)/AD32</f>
        <v>0.44510048058569596</v>
      </c>
      <c r="AF79" s="193">
        <f t="array" ref="AF79">SUM(AF15:AG15*AF27:AG27)/AF32</f>
        <v>0.44437226855820466</v>
      </c>
      <c r="AH79" s="193">
        <f t="array" ref="AH79">SUM(AH15:AI15*AH27:AI27)/AH32</f>
        <v>0.44293577761096187</v>
      </c>
      <c r="AJ79" s="193">
        <f t="array" ref="AJ79">SUM(AJ15:AK15*AJ27:AK27)/AJ32</f>
        <v>0.43980595303355374</v>
      </c>
      <c r="AL79" s="193">
        <f t="array" ref="AL79">SUM(AL15:AM15*AL27:AM27)/AL32</f>
        <v>0.43276761790860596</v>
      </c>
      <c r="AN79" s="193">
        <f t="array" ref="AN79">SUM(AN15:AO15*AN27:AO27)/AN32</f>
        <v>0.41470874623578369</v>
      </c>
      <c r="AP79" s="193">
        <f t="array" ref="AP79">SUM(AP15:AQ15*AP27:AQ27)/AP32</f>
        <v>0.40754937488809906</v>
      </c>
      <c r="AR79" s="193">
        <f t="array" ref="AR79">SUM(AR15:AS15*AR27:AS27)/AR32</f>
        <v>0.3973859498881781</v>
      </c>
      <c r="AT79" s="193">
        <f t="array" ref="AT79">SUM(AT15:AU15*AT27:AU27)/AT32</f>
        <v>0.38122015753759653</v>
      </c>
      <c r="AV79" s="193">
        <f t="array" ref="AV79">SUM(AV15:AW15*AV27:AW27)/AV32</f>
        <v>0.34870955220429667</v>
      </c>
      <c r="XFD79" s="193"/>
    </row>
    <row r="80" spans="1:48 16384:16384" x14ac:dyDescent="0.2">
      <c r="A80" t="s">
        <v>169</v>
      </c>
      <c r="B80" s="236">
        <f>B55</f>
        <v>0.19850271905982084</v>
      </c>
      <c r="D80" s="236">
        <f>D55</f>
        <v>0.20039122466812775</v>
      </c>
      <c r="F80" s="236">
        <f>F55</f>
        <v>0.20228268404452887</v>
      </c>
      <c r="H80" s="236">
        <f>H55</f>
        <v>0.20417743571442493</v>
      </c>
      <c r="J80" s="236">
        <f>J55</f>
        <v>0.20607578170734381</v>
      </c>
      <c r="L80" s="236">
        <f>L55</f>
        <v>0.20797797186180778</v>
      </c>
      <c r="N80" s="236">
        <f>N55</f>
        <v>0.20988420415525694</v>
      </c>
      <c r="P80" s="236">
        <f>P55</f>
        <v>0.21179464420209088</v>
      </c>
      <c r="R80" s="236">
        <f>R55</f>
        <v>0.21370950659633836</v>
      </c>
      <c r="T80" s="236">
        <f>T55</f>
        <v>0.21562933786030464</v>
      </c>
      <c r="V80" s="236">
        <f>V55</f>
        <v>0.2175557102239411</v>
      </c>
      <c r="X80" s="236">
        <f>X55</f>
        <v>0.21949297640016086</v>
      </c>
      <c r="Z80" s="236">
        <f>Z55</f>
        <v>0.22145267658601578</v>
      </c>
      <c r="AB80" s="236">
        <f>AB55</f>
        <v>0.22346452452734802</v>
      </c>
      <c r="AD80" s="236">
        <f>AD55</f>
        <v>0.22560345336673157</v>
      </c>
      <c r="AF80" s="236">
        <f>AF55</f>
        <v>0.22805314527876339</v>
      </c>
      <c r="AH80" s="236">
        <f>AH55</f>
        <v>0.23124054705874098</v>
      </c>
      <c r="AJ80" s="236">
        <f>AJ55</f>
        <v>0.23609415596608985</v>
      </c>
      <c r="AL80" s="236">
        <f>AL55</f>
        <v>0.24463454038285848</v>
      </c>
      <c r="AN80" s="236">
        <f>AN55</f>
        <v>0.26201924847705127</v>
      </c>
      <c r="AP80" s="236">
        <f>AP55</f>
        <v>0.26783201274678659</v>
      </c>
      <c r="AR80" s="236">
        <f>AR55</f>
        <v>0.27539260593925369</v>
      </c>
      <c r="AT80" s="236">
        <f>AT55</f>
        <v>0.28630282771883525</v>
      </c>
      <c r="AV80" s="236">
        <f>AV55</f>
        <v>0.30613189456600737</v>
      </c>
      <c r="XFD80" s="236"/>
    </row>
    <row r="81" spans="1:48 16384:16384" x14ac:dyDescent="0.2">
      <c r="A81" t="s">
        <v>191</v>
      </c>
      <c r="B81" s="236">
        <f>B51/B$32</f>
        <v>-2.7543485504603994E-2</v>
      </c>
      <c r="D81" s="236">
        <f>D51/D$32</f>
        <v>-2.565497989629709E-2</v>
      </c>
      <c r="F81" s="236">
        <f>F51/F$32</f>
        <v>-2.3763520519895973E-2</v>
      </c>
      <c r="H81" s="236">
        <f>H51/H$32</f>
        <v>-2.1868768849999911E-2</v>
      </c>
      <c r="J81" s="236">
        <f>J51/J$32</f>
        <v>-1.9970422857081022E-2</v>
      </c>
      <c r="L81" s="236">
        <f>L51/L$32</f>
        <v>-1.8068232702617069E-2</v>
      </c>
      <c r="N81" s="236">
        <f>N51/N$32</f>
        <v>-1.61620004091679E-2</v>
      </c>
      <c r="P81" s="236">
        <f>P51/P$32</f>
        <v>-1.4251560362333963E-2</v>
      </c>
      <c r="R81" s="236">
        <f>R51/R$32</f>
        <v>-1.2336697968086483E-2</v>
      </c>
      <c r="T81" s="236">
        <f>T51/T$32</f>
        <v>-1.0416866704120183E-2</v>
      </c>
      <c r="V81" s="236">
        <f>V51/V$32</f>
        <v>-8.4904943404837466E-3</v>
      </c>
      <c r="X81" s="236">
        <f>X51/X$32</f>
        <v>-6.553228164263989E-3</v>
      </c>
      <c r="Z81" s="236">
        <f>Z51/Z$32</f>
        <v>-4.5935279784090509E-3</v>
      </c>
      <c r="AB81" s="236">
        <f>AB51/AB$32</f>
        <v>-2.581680037076818E-3</v>
      </c>
      <c r="AD81" s="236">
        <f>AD51/AD$32</f>
        <v>-4.4275119769326309E-4</v>
      </c>
      <c r="AF81" s="236">
        <f>AF51/AF$32</f>
        <v>2.0069407143385324E-3</v>
      </c>
      <c r="AH81" s="236">
        <f>AH51/AH$32</f>
        <v>5.1943424943161533E-3</v>
      </c>
      <c r="AJ81" s="236">
        <f>AJ51/AJ$32</f>
        <v>1.0047951401664978E-2</v>
      </c>
      <c r="AL81" s="236">
        <f>AL51/AL$32</f>
        <v>1.8588335818433666E-2</v>
      </c>
      <c r="AN81" s="236">
        <f>AN51/AN$32</f>
        <v>3.597304391262645E-2</v>
      </c>
      <c r="AP81" s="236">
        <f>AP51/AP$32</f>
        <v>4.1785808182361737E-2</v>
      </c>
      <c r="AR81" s="236">
        <f>AR51/AR$32</f>
        <v>4.9346401374828833E-2</v>
      </c>
      <c r="AT81" s="236">
        <f>AT51/AT$32</f>
        <v>6.0256623154410417E-2</v>
      </c>
      <c r="AV81" s="236">
        <f>AV51/AV$32</f>
        <v>8.0085690001582513E-2</v>
      </c>
      <c r="XFD81" s="236"/>
    </row>
    <row r="82" spans="1:48 16384:16384" x14ac:dyDescent="0.2">
      <c r="A82" t="s">
        <v>192</v>
      </c>
      <c r="B82" s="236">
        <f>B52/B$32</f>
        <v>0.13907860278212886</v>
      </c>
      <c r="D82" s="236">
        <f>D52/D$32</f>
        <v>0.13868258835214989</v>
      </c>
      <c r="F82" s="236">
        <f>F52/F$32</f>
        <v>0.13827657778240904</v>
      </c>
      <c r="H82" s="236">
        <f>H52/H$32</f>
        <v>0.13785945553202211</v>
      </c>
      <c r="J82" s="236">
        <f>J52/J$32</f>
        <v>0.13742995352123885</v>
      </c>
      <c r="L82" s="236">
        <f>L52/L$32</f>
        <v>0.13698661491347208</v>
      </c>
      <c r="N82" s="236">
        <f>N52/N$32</f>
        <v>0.13652777780116285</v>
      </c>
      <c r="P82" s="236">
        <f>P52/P$32</f>
        <v>0.13605153103432052</v>
      </c>
      <c r="R82" s="236">
        <f>R52/R$32</f>
        <v>0.13555568963482892</v>
      </c>
      <c r="T82" s="236">
        <f>T52/T$32</f>
        <v>0.13503776925890698</v>
      </c>
      <c r="V82" s="236">
        <f>V52/V$32</f>
        <v>0.13449502145921008</v>
      </c>
      <c r="X82" s="236">
        <f>X52/X$32</f>
        <v>0.13392453245636557</v>
      </c>
      <c r="Z82" s="236">
        <f>Z52/Z$32</f>
        <v>0.13332355863808243</v>
      </c>
      <c r="AB82" s="236">
        <f>AB52/AB$32</f>
        <v>0.13269031447753182</v>
      </c>
      <c r="AD82" s="236">
        <f>AD52/AD$32</f>
        <v>0.13202558771458864</v>
      </c>
      <c r="AF82" s="236">
        <f>AF52/AF$32</f>
        <v>0.13133538713799606</v>
      </c>
      <c r="AH82" s="236">
        <f>AH52/AH$32</f>
        <v>0.13063338787060655</v>
      </c>
      <c r="AJ82" s="236">
        <f>AJ52/AJ$32</f>
        <v>0.12994226640319884</v>
      </c>
      <c r="AL82" s="236">
        <f>AL52/AL$32</f>
        <v>0.12934004553802164</v>
      </c>
      <c r="AN82" s="236">
        <f>AN52/AN$32</f>
        <v>0.1296103398168082</v>
      </c>
      <c r="AP82" s="236">
        <f>AP52/AP$32</f>
        <v>0.13015023872718454</v>
      </c>
      <c r="AR82" s="236">
        <f>AR52/AR$32</f>
        <v>0.13119379925104274</v>
      </c>
      <c r="AT82" s="236">
        <f>AT52/AT$32</f>
        <v>0.13330092971102384</v>
      </c>
      <c r="AV82" s="236">
        <f>AV52/AV$32</f>
        <v>0.13838537409271109</v>
      </c>
    </row>
    <row r="83" spans="1:48 16384:16384" x14ac:dyDescent="0.2">
      <c r="A83" t="s">
        <v>193</v>
      </c>
      <c r="B83" s="236">
        <f>B53/B$32</f>
        <v>0.18600714462929618</v>
      </c>
      <c r="D83" s="236">
        <f>D53/D$32</f>
        <v>0.18563859154899862</v>
      </c>
      <c r="F83" s="236">
        <f>F53/F$32</f>
        <v>0.18527902520037587</v>
      </c>
      <c r="H83" s="236">
        <f>H53/H$32</f>
        <v>0.18492944716217369</v>
      </c>
      <c r="J83" s="236">
        <f>J53/J$32</f>
        <v>0.18459104260132383</v>
      </c>
      <c r="L83" s="236">
        <f>L53/L$32</f>
        <v>0.18426517453546731</v>
      </c>
      <c r="N83" s="236">
        <f>N53/N$32</f>
        <v>0.18395347460835926</v>
      </c>
      <c r="P83" s="236">
        <f>P53/P$32</f>
        <v>0.18365782319438448</v>
      </c>
      <c r="R83" s="236">
        <f>R53/R$32</f>
        <v>0.18338036018204801</v>
      </c>
      <c r="T83" s="236">
        <f>T53/T$32</f>
        <v>0.18312338455925767</v>
      </c>
      <c r="V83" s="236">
        <f>V53/V$32</f>
        <v>0.18288907733119791</v>
      </c>
      <c r="X83" s="236">
        <f>X53/X$32</f>
        <v>0.18267862387312753</v>
      </c>
      <c r="Z83" s="236">
        <f>Z53/Z$32</f>
        <v>0.18249009651998377</v>
      </c>
      <c r="AB83" s="236">
        <f>AB53/AB$32</f>
        <v>0.18231316831127398</v>
      </c>
      <c r="AD83" s="236">
        <f>AD53/AD$32</f>
        <v>0.18211637737656985</v>
      </c>
      <c r="AF83" s="236">
        <f>AF53/AF$32</f>
        <v>0.18181842367354473</v>
      </c>
      <c r="AH83" s="236">
        <f>AH53/AH$32</f>
        <v>0.18123067205597321</v>
      </c>
      <c r="AJ83" s="236">
        <f>AJ53/AJ$32</f>
        <v>0.179950079608372</v>
      </c>
      <c r="AL83" s="236">
        <f>AL53/AL$32</f>
        <v>0.17707028919783127</v>
      </c>
      <c r="AN83" s="236">
        <f>AN53/AN$32</f>
        <v>0.16968135921007865</v>
      </c>
      <c r="AP83" s="236">
        <f>AP53/AP$32</f>
        <v>0.16675204587296827</v>
      </c>
      <c r="AR83" s="236">
        <f>AR53/AR$32</f>
        <v>0.16259360025572583</v>
      </c>
      <c r="AT83" s="236">
        <f>AT53/AT$32</f>
        <v>0.15597923862566027</v>
      </c>
      <c r="AV83" s="236">
        <f>AV53/AV$32</f>
        <v>0.14267726765984812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topLeftCell="M1" workbookViewId="0">
      <selection activeCell="X5" sqref="X5"/>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0.99524971926380668</v>
      </c>
      <c r="D3" s="80">
        <f>NeoClassical!F$31</f>
        <v>0.99022176356011471</v>
      </c>
      <c r="E3" s="80">
        <f>NeoClassical!H$31</f>
        <v>0.98488146215198646</v>
      </c>
      <c r="F3" s="80">
        <f>NeoClassical!J$31</f>
        <v>0.97918743201020997</v>
      </c>
      <c r="G3" s="80">
        <f>NeoClassical!L$31</f>
        <v>0.97308981323910526</v>
      </c>
      <c r="H3" s="80">
        <f>NeoClassical!N$31</f>
        <v>0.96652778434678599</v>
      </c>
      <c r="I3" s="80">
        <f>NeoClassical!P$31</f>
        <v>0.95942607436847283</v>
      </c>
      <c r="J3" s="80">
        <f>NeoClassical!R$31</f>
        <v>0.9516900363256775</v>
      </c>
      <c r="K3" s="80">
        <f>NeoClassical!T$31</f>
        <v>0.94319831521355812</v>
      </c>
      <c r="L3" s="80">
        <f>NeoClassical!V$31</f>
        <v>0.93379179789809041</v>
      </c>
      <c r="M3" s="80">
        <f>NeoClassical!X$31</f>
        <v>0.9232560875181447</v>
      </c>
      <c r="N3" s="80">
        <f>NeoClassical!Z$31</f>
        <v>0.91129239280442631</v>
      </c>
      <c r="O3" s="80">
        <f>NeoClassical!AB$31</f>
        <v>0.89746689008893432</v>
      </c>
      <c r="P3" s="80">
        <f>NeoClassical!AD$31</f>
        <v>0.8811157532223346</v>
      </c>
      <c r="Q3" s="80">
        <f>NeoClassical!AF$31</f>
        <v>0.86115197006480271</v>
      </c>
      <c r="R3" s="80">
        <f>NeoClassical!AH$31</f>
        <v>0.83563014956050363</v>
      </c>
      <c r="S3" s="80">
        <f>NeoClassical!AJ$31</f>
        <v>0.80062674515837196</v>
      </c>
      <c r="T3" s="80">
        <f>NeoClassical!AL$31</f>
        <v>0.74679341304192881</v>
      </c>
      <c r="U3" s="80">
        <f>NeoClassical!AN$31</f>
        <v>0.64415709552961908</v>
      </c>
      <c r="V3" s="80">
        <f>NeoClassical!AP$31</f>
        <v>0.60917515428444147</v>
      </c>
      <c r="W3" s="80">
        <f>NeoClassical!AR$31</f>
        <v>0.56327812913658903</v>
      </c>
      <c r="X3" s="80">
        <f>NeoClassical!AT$31</f>
        <v>0.49790165615541859</v>
      </c>
      <c r="Y3" s="80">
        <f>NeoClassical!AV$31</f>
        <v>0.38799637862421721</v>
      </c>
    </row>
    <row r="4" spans="1:27" x14ac:dyDescent="0.2">
      <c r="A4" t="s">
        <v>163</v>
      </c>
      <c r="B4" s="80">
        <f>Kaldorian!B$31</f>
        <v>1</v>
      </c>
      <c r="C4" s="80">
        <f>Kaldorian!D$31</f>
        <v>0.9985280771584587</v>
      </c>
      <c r="D4" s="80">
        <f>Kaldorian!F$31</f>
        <v>0.99678463547503082</v>
      </c>
      <c r="E4" s="80">
        <f>Kaldorian!H$31</f>
        <v>0.99473578571044585</v>
      </c>
      <c r="F4" s="80">
        <f>Kaldorian!J$31</f>
        <v>0.99234107987103914</v>
      </c>
      <c r="G4" s="80">
        <f>Kaldorian!L$31</f>
        <v>0.98955171397195596</v>
      </c>
      <c r="H4" s="80">
        <f>Kaldorian!N$31</f>
        <v>0.98630812460883499</v>
      </c>
      <c r="I4" s="80">
        <f>Kaldorian!P$31</f>
        <v>0.98253651995375801</v>
      </c>
      <c r="J4" s="80">
        <f>Kaldorian!R$31</f>
        <v>0.97814412115678584</v>
      </c>
      <c r="K4" s="80">
        <f>Kaldorian!T$31</f>
        <v>0.97301201495539302</v>
      </c>
      <c r="L4" s="80">
        <f>Kaldorian!V$31</f>
        <v>0.96698439429945349</v>
      </c>
      <c r="M4" s="80">
        <f>Kaldorian!X$31</f>
        <v>0.95985189392553305</v>
      </c>
      <c r="N4" s="80">
        <f>Kaldorian!Z$31</f>
        <v>0.9513229057803837</v>
      </c>
      <c r="O4" s="80">
        <f>Kaldorian!AB$31</f>
        <v>0.94097640619690759</v>
      </c>
      <c r="P4" s="80">
        <f>Kaldorian!AD$31</f>
        <v>0.9281704239389551</v>
      </c>
      <c r="Q4" s="80">
        <f>Kaldorian!AF$31</f>
        <v>0.91185894208210827</v>
      </c>
      <c r="R4" s="80">
        <f>Kaldorian!AH$31</f>
        <v>0.89017535055036556</v>
      </c>
      <c r="S4" s="80">
        <f>Kaldorian!AJ$31</f>
        <v>0.8593420957661615</v>
      </c>
      <c r="T4" s="80">
        <f>Kaldorian!AL$31</f>
        <v>0.81017476421075962</v>
      </c>
      <c r="U4" s="80">
        <f>Kaldorian!AN$31</f>
        <v>0.71173154653269655</v>
      </c>
      <c r="V4" s="80">
        <f>Kaldorian!AP$31</f>
        <v>0.6768941067813008</v>
      </c>
      <c r="W4" s="80">
        <f>Kaldorian!AL$31</f>
        <v>0.81017476421075962</v>
      </c>
      <c r="X4" s="80">
        <f>Kaldorian!AN$31</f>
        <v>0.71173154653269655</v>
      </c>
      <c r="Y4" s="80">
        <f>Kaldorian!AV$31</f>
        <v>0.44420810459162086</v>
      </c>
    </row>
    <row r="5" spans="1:27" x14ac:dyDescent="0.2">
      <c r="A5" t="s">
        <v>90</v>
      </c>
      <c r="B5" s="80">
        <f>Johansen!B$31</f>
        <v>1</v>
      </c>
      <c r="C5" s="80">
        <f>Johansen!D$31</f>
        <v>0.99853520414348329</v>
      </c>
      <c r="D5" s="80">
        <f>Johansen!F$31</f>
        <v>0.99679900553654277</v>
      </c>
      <c r="E5" s="80">
        <f>Johansen!H$31</f>
        <v>0.99475754866618604</v>
      </c>
      <c r="F5" s="80">
        <f>Johansen!J$31</f>
        <v>0.99237041860692343</v>
      </c>
      <c r="G5" s="80">
        <f>Johansen!L$31</f>
        <v>0.98958887165487164</v>
      </c>
      <c r="H5" s="80">
        <f>Johansen!N$31</f>
        <v>0.9863533570741515</v>
      </c>
      <c r="I5" s="80">
        <f>Johansen!P$31</f>
        <v>0.98259015042132314</v>
      </c>
      <c r="J5" s="80">
        <f>Johansen!R$31</f>
        <v>0.97820650616152349</v>
      </c>
      <c r="K5" s="80">
        <f>Johansen!T$31</f>
        <v>0.97308351718849651</v>
      </c>
      <c r="L5" s="80">
        <f>Johansen!V$31</f>
        <v>0.96706538134101683</v>
      </c>
      <c r="M5" s="80">
        <f>Johansen!X$31</f>
        <v>0.95994241003334058</v>
      </c>
      <c r="N5" s="80">
        <f>Johansen!Z$31</f>
        <v>0.95142310813916009</v>
      </c>
      <c r="O5" s="80">
        <f>Johansen!AB$31</f>
        <v>0.9410855134246624</v>
      </c>
      <c r="P5" s="80">
        <f>Johansen!AD$31</f>
        <v>0.9282865521861775</v>
      </c>
      <c r="Q5" s="80">
        <f>Johansen!AF$31</f>
        <v>0.91197780070108081</v>
      </c>
      <c r="R5" s="80">
        <f>Johansen!AH$31</f>
        <v>0.89028815504404357</v>
      </c>
      <c r="S5" s="80">
        <f>Johansen!AJ$31</f>
        <v>0.85943257892062341</v>
      </c>
      <c r="T5" s="80">
        <f>Johansen!AL$31</f>
        <v>0.81022165203502483</v>
      </c>
      <c r="U5" s="80">
        <f>Johansen!AN$31</f>
        <v>0.71173774576219528</v>
      </c>
      <c r="V5" s="80">
        <f>Johansen!AP$31</f>
        <v>0.67689681806677859</v>
      </c>
      <c r="W5" s="80">
        <f>Johansen!AR$31</f>
        <v>0.63029710614583145</v>
      </c>
      <c r="X5" s="80">
        <f>Johansen!AT$31</f>
        <v>0.56232182027382049</v>
      </c>
      <c r="Y5" s="80">
        <f>Johansen!AV$31</f>
        <v>0.44420811034680352</v>
      </c>
    </row>
    <row r="6" spans="1:27" x14ac:dyDescent="0.2">
      <c r="A6" t="s">
        <v>146</v>
      </c>
      <c r="B6" s="80">
        <f>'Keynes-K'!B$31</f>
        <v>1</v>
      </c>
      <c r="C6" s="80">
        <f>'Keynes-K'!D$31</f>
        <v>0.99114934332042826</v>
      </c>
      <c r="D6" s="80">
        <f>'Keynes-K'!F$31</f>
        <v>0.98166614459058887</v>
      </c>
      <c r="E6" s="80">
        <f>'Keynes-K'!H$31</f>
        <v>0.97146258590138856</v>
      </c>
      <c r="F6" s="80">
        <f>'Keynes-K'!J$31</f>
        <v>0.96043246741692112</v>
      </c>
      <c r="G6" s="80">
        <f>'Keynes-K'!L$31</f>
        <v>0.94844609452914197</v>
      </c>
      <c r="H6" s="80">
        <f>'Keynes-K'!N$31</f>
        <v>0.93534288640881957</v>
      </c>
      <c r="I6" s="80">
        <f>'Keynes-K'!P$31</f>
        <v>0.92092141547988471</v>
      </c>
      <c r="J6" s="80">
        <f>'Keynes-K'!R$31</f>
        <v>0.90492493004255348</v>
      </c>
      <c r="K6" s="80">
        <f>'Keynes-K'!T$31</f>
        <v>0.88702030125232556</v>
      </c>
      <c r="L6" s="80">
        <f>'Keynes-K'!V$31</f>
        <v>0.86676635465258844</v>
      </c>
      <c r="M6" s="80">
        <f>'Keynes-K'!X$31</f>
        <v>0.8435649856287798</v>
      </c>
      <c r="N6" s="80">
        <f>'Keynes-K'!Z$31</f>
        <v>0.81658326158989336</v>
      </c>
      <c r="O6" s="80">
        <f>'Keynes-K'!AB$31</f>
        <v>0.78462436299384619</v>
      </c>
      <c r="P6" s="80">
        <f>'Keynes-K'!AD$31</f>
        <v>0.745906238242249</v>
      </c>
      <c r="Q6" s="80">
        <f>'Keynes-K'!AF$31</f>
        <v>0.69766660412182113</v>
      </c>
      <c r="R6" s="80">
        <f>'Keynes-K'!AH$31</f>
        <v>0.63543558279791368</v>
      </c>
      <c r="S6" s="80">
        <f>'Keynes-K'!AJ$31</f>
        <v>0.55168620671551427</v>
      </c>
      <c r="T6" s="80">
        <f>'Keynes-K'!AL$31</f>
        <v>0.43348621898851247</v>
      </c>
      <c r="U6" s="80">
        <f>'Keynes-K'!AN$31</f>
        <v>0.25946963882461987</v>
      </c>
      <c r="V6" s="80">
        <f>'Keynes-K'!AP$31</f>
        <v>0.21542713133580568</v>
      </c>
      <c r="W6" s="80">
        <f>'Keynes-K'!AR$31</f>
        <v>0.16770148114360714</v>
      </c>
      <c r="X6" s="80">
        <f>'Keynes-K'!AT$31</f>
        <v>0.11604095383281747</v>
      </c>
      <c r="Y6" s="80">
        <f>'Keynes-K'!AV$31</f>
        <v>6.0210534874297054E-2</v>
      </c>
    </row>
    <row r="7" spans="1:27" x14ac:dyDescent="0.2">
      <c r="A7" t="s">
        <v>144</v>
      </c>
      <c r="B7" s="80">
        <f>'Keynes-M'!B$31</f>
        <v>1</v>
      </c>
      <c r="C7" s="80">
        <f>'Keynes-M'!D$31</f>
        <v>1.0071990750628019</v>
      </c>
      <c r="D7" s="80">
        <f>'Keynes-M'!F$31</f>
        <v>1.014056227151845</v>
      </c>
      <c r="E7" s="80">
        <f>'Keynes-M'!H$31</f>
        <v>1.0205438177033006</v>
      </c>
      <c r="F7" s="80">
        <f>'Keynes-M'!J$31</f>
        <v>1.0266275762977095</v>
      </c>
      <c r="G7" s="80">
        <f>'Keynes-M'!L$31</f>
        <v>1.0322650012512375</v>
      </c>
      <c r="H7" s="80">
        <f>'Keynes-M'!N$31</f>
        <v>1.0374029185556666</v>
      </c>
      <c r="I7" s="80">
        <f>'Keynes-M'!P$31</f>
        <v>1.0419746288267444</v>
      </c>
      <c r="J7" s="80">
        <f>'Keynes-M'!R$31</f>
        <v>1.0458953595134663</v>
      </c>
      <c r="K7" s="80">
        <f>'Keynes-M'!T$31</f>
        <v>1.0490559186480131</v>
      </c>
      <c r="L7" s="80">
        <f>'Keynes-M'!V$31</f>
        <v>1.0513130861024953</v>
      </c>
      <c r="M7" s="80">
        <f>'Keynes-M'!X$31</f>
        <v>1.0524746549696293</v>
      </c>
      <c r="N7" s="80">
        <f>'Keynes-M'!Z$31</f>
        <v>1.0522749490192704</v>
      </c>
      <c r="O7" s="80">
        <f>'Keynes-M'!AB$31</f>
        <v>1.0503322601806966</v>
      </c>
      <c r="P7" s="80">
        <f>'Keynes-M'!AD$31</f>
        <v>1.0460687076926145</v>
      </c>
      <c r="Q7" s="80">
        <f>'Keynes-M'!AF$31</f>
        <v>1.038542367214516</v>
      </c>
      <c r="R7" s="80">
        <f>'Keynes-M'!AH$31</f>
        <v>1.0260429935516415</v>
      </c>
      <c r="S7" s="80">
        <f>'Keynes-M'!AJ$31</f>
        <v>1.0049317343846509</v>
      </c>
      <c r="T7" s="80">
        <f>'Keynes-M'!AL$31</f>
        <v>0.96555281572865037</v>
      </c>
      <c r="U7" s="80">
        <f>'Keynes-M'!AN$31</f>
        <v>0.87210750858219288</v>
      </c>
      <c r="V7" s="80">
        <f>'Keynes-M'!AP$31</f>
        <v>0.83566966696905809</v>
      </c>
      <c r="W7" s="80">
        <f>'Keynes-M'!AR$31</f>
        <v>0.78481755620706228</v>
      </c>
      <c r="X7" s="80">
        <f>'Keynes-K'!AT$31</f>
        <v>0.11604095383281747</v>
      </c>
      <c r="Y7" s="80">
        <f>'Keynes-K'!AV$31</f>
        <v>6.0210534874297054E-2</v>
      </c>
    </row>
    <row r="8" spans="1:27" x14ac:dyDescent="0.2">
      <c r="A8" t="s">
        <v>162</v>
      </c>
      <c r="B8" s="80">
        <f>Keynesian!B$31</f>
        <v>1</v>
      </c>
      <c r="C8" s="80">
        <f>Keynesian!D$31</f>
        <v>0.98296768724560157</v>
      </c>
      <c r="D8" s="80">
        <f>Keynesian!F$31</f>
        <v>0.96435954420644387</v>
      </c>
      <c r="E8" s="80">
        <f>Keynesian!H$31</f>
        <v>0.94398795743820529</v>
      </c>
      <c r="F8" s="80">
        <f>Keynesian!J$31</f>
        <v>0.9216356596886095</v>
      </c>
      <c r="G8" s="80">
        <f>Keynesian!L$31</f>
        <v>0.89705092662532016</v>
      </c>
      <c r="H8" s="80">
        <f>Keynesian!N$31</f>
        <v>0.86994277402223574</v>
      </c>
      <c r="I8" s="80">
        <f>Keynesian!P$31</f>
        <v>0.83997758604845374</v>
      </c>
      <c r="J8" s="80">
        <f>Keynesian!R$31</f>
        <v>0.80677952907477202</v>
      </c>
      <c r="K8" s="80">
        <f>Keynesian!T$31</f>
        <v>0.76994055992035648</v>
      </c>
      <c r="L8" s="80">
        <f>Keynesian!V$31</f>
        <v>0.72905703431628033</v>
      </c>
      <c r="M8" s="80">
        <f>Keynesian!X$31</f>
        <v>0.68383291617879549</v>
      </c>
      <c r="N8" s="80">
        <f>Keynesian!Z$31</f>
        <v>0.6343866547970427</v>
      </c>
      <c r="O8" s="80">
        <f>Keynesian!AB$31</f>
        <v>0.58234275676208103</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0.98906693046785021</v>
      </c>
      <c r="D9" s="80">
        <f>'Neo-K2'!F$31</f>
        <v>0.97721824238842314</v>
      </c>
      <c r="E9" s="80">
        <f>'Neo-K2'!H$31</f>
        <v>0.96431150768065177</v>
      </c>
      <c r="F9" s="80">
        <f>'Neo-K2'!J$31</f>
        <v>0.95017307241085558</v>
      </c>
      <c r="G9" s="80">
        <f>'Neo-K2'!L$31</f>
        <v>0.93458994791108685</v>
      </c>
      <c r="H9" s="80">
        <f>'Neo-K2'!N$31</f>
        <v>0.91729780555077012</v>
      </c>
      <c r="I9" s="80">
        <f>'Neo-K2'!P$31</f>
        <v>0.89796677526049307</v>
      </c>
      <c r="J9" s="80">
        <f>'Neo-K2'!R$31</f>
        <v>0.87618214380107051</v>
      </c>
      <c r="K9" s="80">
        <f>'Neo-K2'!T$31</f>
        <v>0.85142080834275002</v>
      </c>
      <c r="L9" s="80">
        <f>'Neo-K2'!V$31</f>
        <v>0.82302390789892799</v>
      </c>
      <c r="M9" s="80">
        <f>'Neo-K2'!X$31</f>
        <v>0.7901729587319466</v>
      </c>
      <c r="N9" s="80">
        <f>'Neo-K2'!Z$31</f>
        <v>0.7518870190657444</v>
      </c>
      <c r="O9" s="80">
        <f>'Neo-K2'!AB$31</f>
        <v>0.7070896287021613</v>
      </c>
      <c r="P9" s="80">
        <f>'Neo-K2'!AD$31</f>
        <v>0.65484484329438264</v>
      </c>
      <c r="Q9" s="80">
        <f>'Neo-K2'!AF$31</f>
        <v>0.59488964812411593</v>
      </c>
      <c r="R9" s="80">
        <f>'Neo-K2'!AH$31</f>
        <v>0.52833449452391534</v>
      </c>
      <c r="S9" s="80">
        <f>'Neo-K2'!AJ$31</f>
        <v>0.45744025150765083</v>
      </c>
      <c r="T9" s="80">
        <f>'Neo-K2'!AL$31</f>
        <v>0.38248784210091791</v>
      </c>
      <c r="U9" s="80">
        <f>'Neo-K2'!AN$31</f>
        <v>0.29249469737721107</v>
      </c>
      <c r="V9" s="80">
        <f>'Neo-K2'!AP$31</f>
        <v>0.2688664653420455</v>
      </c>
      <c r="W9" s="80">
        <f>'Neo-K2'!AR$31</f>
        <v>0.24071569627050157</v>
      </c>
      <c r="X9" s="80">
        <f>'Neo-K2'!AT$31</f>
        <v>0.20458729900365438</v>
      </c>
      <c r="Y9" s="80">
        <f>'Neo-K2'!AV$31</f>
        <v>0.15125036338528894</v>
      </c>
    </row>
    <row r="10" spans="1:27" x14ac:dyDescent="0.2">
      <c r="A10" t="s">
        <v>158</v>
      </c>
      <c r="B10" s="80">
        <f>'Neo-K1'!B$31</f>
        <v>1</v>
      </c>
      <c r="C10" s="80">
        <f>'Neo-K1'!D$31</f>
        <v>0.99114934332042826</v>
      </c>
      <c r="D10" s="80">
        <f>'Neo-K1'!F$31</f>
        <v>0.98166614459058887</v>
      </c>
      <c r="E10" s="80">
        <f>'Neo-K1'!H$31</f>
        <v>0.97146258590138856</v>
      </c>
      <c r="F10" s="80">
        <f>'Neo-K1'!J$31</f>
        <v>0.96043246741692112</v>
      </c>
      <c r="G10" s="80">
        <f>'Neo-K1'!L$31</f>
        <v>0.94844609452914197</v>
      </c>
      <c r="H10" s="80">
        <f>'Neo-K1'!N$31</f>
        <v>0.93534288640881957</v>
      </c>
      <c r="I10" s="80">
        <f>'Neo-K1'!P$31</f>
        <v>0.92092141547988471</v>
      </c>
      <c r="J10" s="80">
        <f>'Neo-K1'!R$31</f>
        <v>0.90492493004255348</v>
      </c>
      <c r="K10" s="80">
        <f>'Neo-K1'!T$31</f>
        <v>0.88702030125232556</v>
      </c>
      <c r="L10" s="80">
        <f>'Neo-K1'!V$31</f>
        <v>0.86676635465258844</v>
      </c>
      <c r="M10" s="80">
        <f>'Neo-K1'!X$31</f>
        <v>0.8435649856287798</v>
      </c>
      <c r="N10" s="80">
        <f>'Neo-K1'!Z$31</f>
        <v>0.81658326158989336</v>
      </c>
      <c r="O10" s="80">
        <f>'Neo-K1'!AB$31</f>
        <v>0.78462436299384619</v>
      </c>
      <c r="P10" s="80">
        <f>'Neo-K1'!AD$31</f>
        <v>0.745906238242249</v>
      </c>
      <c r="Q10" s="80">
        <f>'Neo-K1'!AF$31</f>
        <v>0.69766660412182113</v>
      </c>
      <c r="R10" s="80">
        <f>'Neo-K1'!AH$31</f>
        <v>0.63543558279791368</v>
      </c>
      <c r="S10" s="80">
        <f>'Neo-K1'!AJ$31</f>
        <v>0.55168620671551427</v>
      </c>
      <c r="T10" s="80">
        <f>'Neo-K1'!AL$31</f>
        <v>0.43348621898851247</v>
      </c>
      <c r="U10" s="80">
        <f>'Neo-K1'!AN$31</f>
        <v>0.25946963882461987</v>
      </c>
      <c r="V10" s="80">
        <f>'Neo-K1'!AP$31</f>
        <v>0.21542713133580568</v>
      </c>
      <c r="W10" s="80">
        <f>'Neo-K1'!AR$31</f>
        <v>0.16770148114360714</v>
      </c>
      <c r="X10" s="80">
        <f>'Neo-K1'!AT$31</f>
        <v>0.11604095383281747</v>
      </c>
      <c r="Y10" s="80">
        <f>'Neo-K1'!AV$31</f>
        <v>6.0210534874297054E-2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99.524971926380672</v>
      </c>
      <c r="D18" s="80">
        <f t="shared" si="1"/>
        <v>99.022176356011471</v>
      </c>
      <c r="E18" s="80">
        <f t="shared" si="1"/>
        <v>98.48814621519864</v>
      </c>
      <c r="F18" s="80">
        <f t="shared" si="1"/>
        <v>97.918743201021002</v>
      </c>
      <c r="G18" s="80">
        <f t="shared" si="1"/>
        <v>97.30898132391053</v>
      </c>
      <c r="H18" s="80">
        <f t="shared" si="1"/>
        <v>96.652778434678595</v>
      </c>
      <c r="I18" s="80">
        <f t="shared" si="1"/>
        <v>95.942607436847283</v>
      </c>
      <c r="J18" s="80">
        <f t="shared" si="1"/>
        <v>95.169003632567751</v>
      </c>
      <c r="K18" s="80">
        <f t="shared" si="1"/>
        <v>94.319831521355809</v>
      </c>
      <c r="L18" s="80">
        <f t="shared" si="1"/>
        <v>93.379179789809044</v>
      </c>
      <c r="M18" s="80">
        <f t="shared" si="1"/>
        <v>92.325608751814471</v>
      </c>
      <c r="N18" s="80">
        <f t="shared" si="1"/>
        <v>91.129239280442633</v>
      </c>
      <c r="O18" s="80">
        <f t="shared" si="1"/>
        <v>89.746689008893426</v>
      </c>
      <c r="P18" s="80">
        <f t="shared" si="1"/>
        <v>88.111575322233463</v>
      </c>
      <c r="Q18" s="80">
        <f t="shared" si="1"/>
        <v>86.115197006480273</v>
      </c>
      <c r="R18" s="80">
        <f t="shared" si="1"/>
        <v>83.563014956050367</v>
      </c>
      <c r="S18" s="80">
        <f t="shared" si="1"/>
        <v>80.062674515837202</v>
      </c>
      <c r="T18" s="80">
        <f t="shared" si="1"/>
        <v>74.679341304192874</v>
      </c>
      <c r="U18" s="80">
        <f t="shared" si="1"/>
        <v>64.415709552961914</v>
      </c>
      <c r="V18" s="80">
        <f t="shared" si="1"/>
        <v>60.917515428444148</v>
      </c>
      <c r="W18" s="80">
        <f t="shared" si="1"/>
        <v>56.327812913658903</v>
      </c>
      <c r="X18" s="80">
        <f t="shared" si="1"/>
        <v>49.790165615541859</v>
      </c>
      <c r="Y18" s="80">
        <f t="shared" si="1"/>
        <v>38.799637862421719</v>
      </c>
      <c r="Z18" s="138"/>
      <c r="AA18" t="s">
        <v>89</v>
      </c>
      <c r="AB18" s="138">
        <f t="shared" ref="AB18:AB23" si="2">1-B18</f>
        <v>-99</v>
      </c>
      <c r="AC18" s="138">
        <f t="shared" ref="AC18:AC23" si="3">1-C18</f>
        <v>-98.524971926380672</v>
      </c>
      <c r="AD18" s="138">
        <f t="shared" ref="AD18:AD23" si="4">1-D18</f>
        <v>-98.022176356011471</v>
      </c>
      <c r="AE18" s="138">
        <f t="shared" ref="AE18:AE23" si="5">1-E18</f>
        <v>-97.48814621519864</v>
      </c>
      <c r="AF18" s="138">
        <f t="shared" ref="AF18:AF23" si="6">1-F18</f>
        <v>-96.918743201021002</v>
      </c>
      <c r="AG18" s="138">
        <f t="shared" ref="AG18:AG23" si="7">1-G18</f>
        <v>-96.30898132391053</v>
      </c>
      <c r="AH18" s="138">
        <f t="shared" ref="AH18:AH23" si="8">1-H18</f>
        <v>-95.652778434678595</v>
      </c>
      <c r="AI18" s="138">
        <f t="shared" ref="AI18:AI23" si="9">1-I18</f>
        <v>-94.942607436847283</v>
      </c>
      <c r="AJ18" s="138">
        <f t="shared" ref="AJ18:AJ23" si="10">1-J18</f>
        <v>-94.169003632567751</v>
      </c>
      <c r="AK18" s="138">
        <f t="shared" ref="AK18:AK23" si="11">1-K18</f>
        <v>-93.319831521355809</v>
      </c>
      <c r="AL18" s="138">
        <f t="shared" ref="AL18:AL23" si="12">1-L18</f>
        <v>-92.379179789809044</v>
      </c>
      <c r="AM18" s="138">
        <f t="shared" ref="AM18:AM23" si="13">1-M18</f>
        <v>-91.325608751814471</v>
      </c>
      <c r="AN18" s="138">
        <f t="shared" ref="AN18:AN23" si="14">1-N18</f>
        <v>-90.129239280442633</v>
      </c>
      <c r="AO18" s="138">
        <f t="shared" ref="AO18:AO23" si="15">1-O18</f>
        <v>-88.746689008893426</v>
      </c>
      <c r="AP18" s="138">
        <f t="shared" ref="AP18:AP23" si="16">1-P18</f>
        <v>-87.111575322233463</v>
      </c>
      <c r="AQ18" s="138">
        <f t="shared" ref="AQ18:AQ23" si="17">1-Q18</f>
        <v>-85.115197006480273</v>
      </c>
      <c r="AR18" s="138">
        <f t="shared" ref="AR18:AR23" si="18">1-R18</f>
        <v>-82.563014956050367</v>
      </c>
      <c r="AS18" s="138">
        <f t="shared" ref="AS18:AS23" si="19">1-S18</f>
        <v>-79.062674515837202</v>
      </c>
      <c r="AT18" s="138">
        <f t="shared" ref="AT18:AT23" si="20">1-T18</f>
        <v>-73.679341304192874</v>
      </c>
      <c r="AU18" s="138">
        <f t="shared" ref="AU18:AU23" si="21">1-U18</f>
        <v>-63.415709552961914</v>
      </c>
      <c r="AV18" s="138">
        <f t="shared" ref="AV18:AV23" si="22">1-V18</f>
        <v>-59.917515428444148</v>
      </c>
      <c r="AW18" s="138">
        <f t="shared" ref="AW18:AW23" si="23">1-W18</f>
        <v>-55.327812913658903</v>
      </c>
      <c r="AX18" s="138">
        <f t="shared" ref="AX18:AX23" si="24">1-X18</f>
        <v>-48.790165615541859</v>
      </c>
      <c r="AY18" s="138">
        <f t="shared" ref="AY18:AY23" si="25">1-Y18</f>
        <v>-37.799637862421719</v>
      </c>
    </row>
    <row r="19" spans="1:51" x14ac:dyDescent="0.2">
      <c r="A19" t="str">
        <f t="shared" si="0"/>
        <v>Kaldorian</v>
      </c>
      <c r="B19" s="80">
        <f t="shared" ref="B19:Y19" si="26">IF(B4&gt;0,100*B4,"")</f>
        <v>100</v>
      </c>
      <c r="C19" s="80">
        <f t="shared" si="26"/>
        <v>99.85280771584587</v>
      </c>
      <c r="D19" s="80">
        <f t="shared" si="26"/>
        <v>99.678463547503085</v>
      </c>
      <c r="E19" s="80">
        <f t="shared" si="26"/>
        <v>99.473578571044584</v>
      </c>
      <c r="F19" s="80">
        <f t="shared" si="26"/>
        <v>99.234107987103911</v>
      </c>
      <c r="G19" s="80">
        <f t="shared" si="26"/>
        <v>98.955171397195599</v>
      </c>
      <c r="H19" s="80">
        <f t="shared" si="26"/>
        <v>98.630812460883504</v>
      </c>
      <c r="I19" s="80">
        <f t="shared" si="26"/>
        <v>98.253651995375805</v>
      </c>
      <c r="J19" s="80">
        <f t="shared" si="26"/>
        <v>97.814412115678579</v>
      </c>
      <c r="K19" s="80">
        <f t="shared" si="26"/>
        <v>97.301201495539303</v>
      </c>
      <c r="L19" s="80">
        <f t="shared" si="26"/>
        <v>96.698439429945353</v>
      </c>
      <c r="M19" s="80">
        <f t="shared" si="26"/>
        <v>95.985189392553309</v>
      </c>
      <c r="N19" s="80">
        <f t="shared" si="26"/>
        <v>95.132290578038365</v>
      </c>
      <c r="O19" s="80">
        <f t="shared" si="26"/>
        <v>94.097640619690765</v>
      </c>
      <c r="P19" s="80">
        <f t="shared" si="26"/>
        <v>92.817042393895505</v>
      </c>
      <c r="Q19" s="80">
        <f t="shared" si="26"/>
        <v>91.185894208210826</v>
      </c>
      <c r="R19" s="80">
        <f t="shared" si="26"/>
        <v>89.017535055036561</v>
      </c>
      <c r="S19" s="80">
        <f t="shared" si="26"/>
        <v>85.934209576616155</v>
      </c>
      <c r="T19" s="80">
        <f t="shared" si="26"/>
        <v>81.017476421075969</v>
      </c>
      <c r="U19" s="80">
        <f t="shared" si="26"/>
        <v>71.173154653269648</v>
      </c>
      <c r="V19" s="80">
        <f t="shared" si="26"/>
        <v>67.689410678130074</v>
      </c>
      <c r="W19" s="80">
        <f t="shared" si="26"/>
        <v>81.017476421075969</v>
      </c>
      <c r="X19" s="80">
        <f t="shared" si="26"/>
        <v>71.173154653269648</v>
      </c>
      <c r="Y19" s="80">
        <f t="shared" si="26"/>
        <v>44.420810459162084</v>
      </c>
      <c r="Z19" s="138"/>
      <c r="AA19" t="s">
        <v>90</v>
      </c>
      <c r="AB19" s="138">
        <f t="shared" si="2"/>
        <v>-99</v>
      </c>
      <c r="AC19" s="138">
        <f t="shared" si="3"/>
        <v>-98.85280771584587</v>
      </c>
      <c r="AD19" s="138">
        <f t="shared" si="4"/>
        <v>-98.678463547503085</v>
      </c>
      <c r="AE19" s="138">
        <f t="shared" si="5"/>
        <v>-98.473578571044584</v>
      </c>
      <c r="AF19" s="138">
        <f t="shared" si="6"/>
        <v>-98.234107987103911</v>
      </c>
      <c r="AG19" s="138">
        <f t="shared" si="7"/>
        <v>-97.955171397195599</v>
      </c>
      <c r="AH19" s="138">
        <f t="shared" si="8"/>
        <v>-97.630812460883504</v>
      </c>
      <c r="AI19" s="138">
        <f t="shared" si="9"/>
        <v>-97.253651995375805</v>
      </c>
      <c r="AJ19" s="138">
        <f t="shared" si="10"/>
        <v>-96.814412115678579</v>
      </c>
      <c r="AK19" s="138">
        <f t="shared" si="11"/>
        <v>-96.301201495539303</v>
      </c>
      <c r="AL19" s="138">
        <f t="shared" si="12"/>
        <v>-95.698439429945353</v>
      </c>
      <c r="AM19" s="138">
        <f t="shared" si="13"/>
        <v>-94.985189392553309</v>
      </c>
      <c r="AN19" s="138">
        <f t="shared" si="14"/>
        <v>-94.132290578038365</v>
      </c>
      <c r="AO19" s="138">
        <f t="shared" si="15"/>
        <v>-93.097640619690765</v>
      </c>
      <c r="AP19" s="138">
        <f t="shared" si="16"/>
        <v>-91.817042393895505</v>
      </c>
      <c r="AQ19" s="138">
        <f t="shared" si="17"/>
        <v>-90.185894208210826</v>
      </c>
      <c r="AR19" s="138">
        <f t="shared" si="18"/>
        <v>-88.017535055036561</v>
      </c>
      <c r="AS19" s="138">
        <f t="shared" si="19"/>
        <v>-84.934209576616155</v>
      </c>
      <c r="AT19" s="138">
        <f t="shared" si="20"/>
        <v>-80.017476421075969</v>
      </c>
      <c r="AU19" s="138">
        <f t="shared" si="21"/>
        <v>-70.173154653269648</v>
      </c>
      <c r="AV19" s="138">
        <f t="shared" si="22"/>
        <v>-66.689410678130074</v>
      </c>
      <c r="AW19" s="138">
        <f t="shared" si="23"/>
        <v>-80.017476421075969</v>
      </c>
      <c r="AX19" s="138">
        <f t="shared" si="24"/>
        <v>-70.173154653269648</v>
      </c>
      <c r="AY19" s="138">
        <f t="shared" si="25"/>
        <v>-43.420810459162084</v>
      </c>
    </row>
    <row r="20" spans="1:51" x14ac:dyDescent="0.2">
      <c r="A20" t="str">
        <f t="shared" si="0"/>
        <v>Johansen</v>
      </c>
      <c r="B20" s="80">
        <f t="shared" ref="B20:Y20" si="27">IF(B5&gt;0,100*B5,"")</f>
        <v>100</v>
      </c>
      <c r="C20" s="80">
        <f t="shared" si="27"/>
        <v>99.853520414348324</v>
      </c>
      <c r="D20" s="80">
        <f t="shared" si="27"/>
        <v>99.679900553654278</v>
      </c>
      <c r="E20" s="80">
        <f t="shared" si="27"/>
        <v>99.475754866618601</v>
      </c>
      <c r="F20" s="80">
        <f t="shared" si="27"/>
        <v>99.237041860692344</v>
      </c>
      <c r="G20" s="80">
        <f t="shared" si="27"/>
        <v>98.95888716548717</v>
      </c>
      <c r="H20" s="80">
        <f t="shared" si="27"/>
        <v>98.635335707415152</v>
      </c>
      <c r="I20" s="80">
        <f t="shared" si="27"/>
        <v>98.259015042132319</v>
      </c>
      <c r="J20" s="80">
        <f t="shared" si="27"/>
        <v>97.820650616152349</v>
      </c>
      <c r="K20" s="80">
        <f t="shared" si="27"/>
        <v>97.30835171884965</v>
      </c>
      <c r="L20" s="80">
        <f t="shared" si="27"/>
        <v>96.706538134101677</v>
      </c>
      <c r="M20" s="80">
        <f t="shared" si="27"/>
        <v>95.994241003334054</v>
      </c>
      <c r="N20" s="80">
        <f t="shared" si="27"/>
        <v>95.142310813916012</v>
      </c>
      <c r="O20" s="80">
        <f t="shared" si="27"/>
        <v>94.108551342466242</v>
      </c>
      <c r="P20" s="80">
        <f t="shared" si="27"/>
        <v>92.828655218617754</v>
      </c>
      <c r="Q20" s="80">
        <f t="shared" si="27"/>
        <v>91.197780070108081</v>
      </c>
      <c r="R20" s="80">
        <f t="shared" si="27"/>
        <v>89.028815504404363</v>
      </c>
      <c r="S20" s="80">
        <f t="shared" si="27"/>
        <v>85.943257892062348</v>
      </c>
      <c r="T20" s="80">
        <f t="shared" si="27"/>
        <v>81.022165203502482</v>
      </c>
      <c r="U20" s="80">
        <f t="shared" si="27"/>
        <v>71.173774576219529</v>
      </c>
      <c r="V20" s="80">
        <f t="shared" si="27"/>
        <v>67.689681806677854</v>
      </c>
      <c r="W20" s="80">
        <f t="shared" si="27"/>
        <v>63.029710614583145</v>
      </c>
      <c r="X20" s="80">
        <f t="shared" si="27"/>
        <v>56.232182027382052</v>
      </c>
      <c r="Y20" s="80">
        <f t="shared" si="27"/>
        <v>44.420811034680355</v>
      </c>
      <c r="Z20" s="138"/>
      <c r="AA20" t="s">
        <v>93</v>
      </c>
      <c r="AB20" s="138">
        <f t="shared" si="2"/>
        <v>-99</v>
      </c>
      <c r="AC20" s="138">
        <f t="shared" si="3"/>
        <v>-98.853520414348324</v>
      </c>
      <c r="AD20" s="138">
        <f t="shared" si="4"/>
        <v>-98.679900553654278</v>
      </c>
      <c r="AE20" s="138">
        <f t="shared" si="5"/>
        <v>-98.475754866618601</v>
      </c>
      <c r="AF20" s="138">
        <f t="shared" si="6"/>
        <v>-98.237041860692344</v>
      </c>
      <c r="AG20" s="138">
        <f t="shared" si="7"/>
        <v>-97.95888716548717</v>
      </c>
      <c r="AH20" s="138">
        <f t="shared" si="8"/>
        <v>-97.635335707415152</v>
      </c>
      <c r="AI20" s="138">
        <f t="shared" si="9"/>
        <v>-97.259015042132319</v>
      </c>
      <c r="AJ20" s="138">
        <f t="shared" si="10"/>
        <v>-96.820650616152349</v>
      </c>
      <c r="AK20" s="138">
        <f t="shared" si="11"/>
        <v>-96.30835171884965</v>
      </c>
      <c r="AL20" s="138">
        <f t="shared" si="12"/>
        <v>-95.706538134101677</v>
      </c>
      <c r="AM20" s="138">
        <f t="shared" si="13"/>
        <v>-94.994241003334054</v>
      </c>
      <c r="AN20" s="138">
        <f t="shared" si="14"/>
        <v>-94.142310813916012</v>
      </c>
      <c r="AO20" s="138">
        <f t="shared" si="15"/>
        <v>-93.108551342466242</v>
      </c>
      <c r="AP20" s="138">
        <f t="shared" si="16"/>
        <v>-91.828655218617754</v>
      </c>
      <c r="AQ20" s="138">
        <f t="shared" si="17"/>
        <v>-90.197780070108081</v>
      </c>
      <c r="AR20" s="138">
        <f t="shared" si="18"/>
        <v>-88.028815504404363</v>
      </c>
      <c r="AS20" s="138">
        <f t="shared" si="19"/>
        <v>-84.943257892062348</v>
      </c>
      <c r="AT20" s="138">
        <f t="shared" si="20"/>
        <v>-80.022165203502482</v>
      </c>
      <c r="AU20" s="138"/>
      <c r="AV20" s="138"/>
      <c r="AW20" s="138"/>
      <c r="AX20" s="138"/>
      <c r="AY20" s="138"/>
    </row>
    <row r="21" spans="1:51" x14ac:dyDescent="0.2">
      <c r="A21" t="str">
        <f t="shared" si="0"/>
        <v>Keynes-Kaldor</v>
      </c>
      <c r="B21" s="80">
        <f t="shared" ref="B21:Y21" si="28">IF(B6&gt;0,100*B6,"")</f>
        <v>100</v>
      </c>
      <c r="C21" s="80">
        <f t="shared" si="28"/>
        <v>99.114934332042822</v>
      </c>
      <c r="D21" s="80">
        <f t="shared" si="28"/>
        <v>98.166614459058891</v>
      </c>
      <c r="E21" s="80">
        <f t="shared" si="28"/>
        <v>97.146258590138856</v>
      </c>
      <c r="F21" s="80">
        <f t="shared" si="28"/>
        <v>96.043246741692116</v>
      </c>
      <c r="G21" s="80">
        <f t="shared" si="28"/>
        <v>94.844609452914199</v>
      </c>
      <c r="H21" s="80">
        <f t="shared" si="28"/>
        <v>93.534288640881954</v>
      </c>
      <c r="I21" s="80">
        <f t="shared" si="28"/>
        <v>92.092141547988476</v>
      </c>
      <c r="J21" s="80">
        <f t="shared" si="28"/>
        <v>90.492493004255351</v>
      </c>
      <c r="K21" s="80">
        <f t="shared" si="28"/>
        <v>88.702030125232554</v>
      </c>
      <c r="L21" s="80">
        <f t="shared" si="28"/>
        <v>86.67663546525884</v>
      </c>
      <c r="M21" s="80">
        <f t="shared" si="28"/>
        <v>84.356498562877974</v>
      </c>
      <c r="N21" s="80">
        <f t="shared" si="28"/>
        <v>81.65832615898934</v>
      </c>
      <c r="O21" s="80">
        <f t="shared" si="28"/>
        <v>78.46243629938462</v>
      </c>
      <c r="P21" s="80">
        <f t="shared" si="28"/>
        <v>74.590623824224906</v>
      </c>
      <c r="Q21" s="80">
        <f t="shared" si="28"/>
        <v>69.766660412182119</v>
      </c>
      <c r="R21" s="80">
        <f t="shared" si="28"/>
        <v>63.54355827979137</v>
      </c>
      <c r="S21" s="80">
        <f t="shared" si="28"/>
        <v>55.16862067155143</v>
      </c>
      <c r="T21" s="80">
        <f t="shared" si="28"/>
        <v>43.348621898851249</v>
      </c>
      <c r="U21" s="80">
        <f t="shared" si="28"/>
        <v>25.946963882461986</v>
      </c>
      <c r="V21" s="80">
        <f t="shared" si="28"/>
        <v>21.54271313358057</v>
      </c>
      <c r="W21" s="80">
        <f t="shared" si="28"/>
        <v>16.770148114360715</v>
      </c>
      <c r="X21" s="80">
        <f t="shared" si="28"/>
        <v>11.604095383281747</v>
      </c>
      <c r="Y21" s="80">
        <f t="shared" si="28"/>
        <v>6.0210534874297057</v>
      </c>
      <c r="Z21" s="138"/>
      <c r="AA21" t="s">
        <v>95</v>
      </c>
      <c r="AB21" s="138">
        <f t="shared" si="2"/>
        <v>-99</v>
      </c>
      <c r="AC21" s="138">
        <f t="shared" si="3"/>
        <v>-98.114934332042822</v>
      </c>
      <c r="AD21" s="138">
        <f t="shared" si="4"/>
        <v>-97.166614459058891</v>
      </c>
      <c r="AE21" s="138">
        <f t="shared" si="5"/>
        <v>-96.146258590138856</v>
      </c>
      <c r="AF21" s="138">
        <f t="shared" si="6"/>
        <v>-95.043246741692116</v>
      </c>
      <c r="AG21" s="138">
        <f t="shared" si="7"/>
        <v>-93.844609452914199</v>
      </c>
      <c r="AH21" s="138">
        <f t="shared" si="8"/>
        <v>-92.534288640881954</v>
      </c>
      <c r="AI21" s="138">
        <f t="shared" si="9"/>
        <v>-91.092141547988476</v>
      </c>
      <c r="AJ21" s="138">
        <f t="shared" si="10"/>
        <v>-89.492493004255351</v>
      </c>
      <c r="AK21" s="138">
        <f t="shared" si="11"/>
        <v>-87.702030125232554</v>
      </c>
      <c r="AL21" s="138">
        <f t="shared" si="12"/>
        <v>-85.67663546525884</v>
      </c>
      <c r="AM21" s="138">
        <f t="shared" si="13"/>
        <v>-83.356498562877974</v>
      </c>
      <c r="AN21" s="138">
        <f t="shared" si="14"/>
        <v>-80.65832615898934</v>
      </c>
      <c r="AO21" s="138">
        <f t="shared" si="15"/>
        <v>-77.46243629938462</v>
      </c>
      <c r="AP21" s="138">
        <f t="shared" si="16"/>
        <v>-73.590623824224906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100.71990750628019</v>
      </c>
      <c r="D22" s="80">
        <f t="shared" si="29"/>
        <v>101.40562271518449</v>
      </c>
      <c r="E22" s="80">
        <f t="shared" si="29"/>
        <v>102.05438177033005</v>
      </c>
      <c r="F22" s="80">
        <f t="shared" si="29"/>
        <v>102.66275762977095</v>
      </c>
      <c r="G22" s="80">
        <f t="shared" si="29"/>
        <v>103.22650012512375</v>
      </c>
      <c r="H22" s="80">
        <f t="shared" si="29"/>
        <v>103.74029185556665</v>
      </c>
      <c r="I22" s="80">
        <f t="shared" si="29"/>
        <v>104.19746288267444</v>
      </c>
      <c r="J22" s="80">
        <f t="shared" si="29"/>
        <v>104.58953595134663</v>
      </c>
      <c r="K22" s="80">
        <f t="shared" si="29"/>
        <v>104.90559186480131</v>
      </c>
      <c r="L22" s="80">
        <f t="shared" si="29"/>
        <v>105.13130861024953</v>
      </c>
      <c r="M22" s="80">
        <f t="shared" si="29"/>
        <v>105.24746549696293</v>
      </c>
      <c r="N22" s="80">
        <f t="shared" si="29"/>
        <v>105.22749490192705</v>
      </c>
      <c r="O22" s="80">
        <f t="shared" si="29"/>
        <v>105.03322601806966</v>
      </c>
      <c r="P22" s="80">
        <f t="shared" si="29"/>
        <v>104.60687076926145</v>
      </c>
      <c r="Q22" s="80">
        <f t="shared" si="29"/>
        <v>103.8542367214516</v>
      </c>
      <c r="R22" s="80">
        <f t="shared" si="29"/>
        <v>102.60429935516416</v>
      </c>
      <c r="S22" s="80">
        <f t="shared" si="29"/>
        <v>100.49317343846509</v>
      </c>
      <c r="T22" s="80">
        <f t="shared" si="29"/>
        <v>96.555281572865042</v>
      </c>
      <c r="U22" s="80">
        <f t="shared" si="29"/>
        <v>87.210750858219285</v>
      </c>
      <c r="V22" s="80">
        <f t="shared" si="29"/>
        <v>83.566966696905808</v>
      </c>
      <c r="W22" s="80">
        <f t="shared" si="29"/>
        <v>78.481755620706224</v>
      </c>
      <c r="X22" s="80">
        <f t="shared" si="29"/>
        <v>11.604095383281747</v>
      </c>
      <c r="Y22" s="80">
        <f t="shared" si="29"/>
        <v>6.0210534874297057</v>
      </c>
      <c r="Z22" s="138"/>
      <c r="AA22" t="s">
        <v>92</v>
      </c>
      <c r="AB22" s="138">
        <f t="shared" si="2"/>
        <v>-99</v>
      </c>
      <c r="AC22" s="138">
        <f t="shared" si="3"/>
        <v>-99.719907506280194</v>
      </c>
      <c r="AD22" s="138">
        <f t="shared" si="4"/>
        <v>-100.40562271518449</v>
      </c>
      <c r="AE22" s="138">
        <f t="shared" si="5"/>
        <v>-101.05438177033005</v>
      </c>
      <c r="AF22" s="138">
        <f t="shared" si="6"/>
        <v>-101.66275762977095</v>
      </c>
      <c r="AG22" s="138">
        <f t="shared" si="7"/>
        <v>-102.22650012512375</v>
      </c>
      <c r="AH22" s="138">
        <f t="shared" si="8"/>
        <v>-102.74029185556665</v>
      </c>
      <c r="AI22" s="138">
        <f t="shared" si="9"/>
        <v>-103.19746288267444</v>
      </c>
      <c r="AJ22" s="138">
        <f t="shared" si="10"/>
        <v>-103.58953595134663</v>
      </c>
      <c r="AK22" s="138">
        <f t="shared" si="11"/>
        <v>-103.90559186480131</v>
      </c>
      <c r="AL22" s="138">
        <f t="shared" si="12"/>
        <v>-104.13130861024953</v>
      </c>
      <c r="AM22" s="138">
        <f t="shared" si="13"/>
        <v>-104.24746549696293</v>
      </c>
      <c r="AN22" s="138">
        <f t="shared" si="14"/>
        <v>-104.22749490192705</v>
      </c>
      <c r="AO22" s="138">
        <f t="shared" si="15"/>
        <v>-104.03322601806966</v>
      </c>
      <c r="AP22" s="138">
        <f t="shared" si="16"/>
        <v>-103.60687076926145</v>
      </c>
      <c r="AQ22" s="138">
        <f t="shared" si="17"/>
        <v>-102.8542367214516</v>
      </c>
      <c r="AR22" s="138">
        <f t="shared" si="18"/>
        <v>-101.60429935516416</v>
      </c>
      <c r="AS22" s="138">
        <f t="shared" si="19"/>
        <v>-99.493173438465092</v>
      </c>
      <c r="AT22" s="138">
        <f t="shared" si="20"/>
        <v>-95.555281572865042</v>
      </c>
      <c r="AU22" s="138"/>
      <c r="AV22" s="138"/>
      <c r="AW22" s="138"/>
      <c r="AX22" s="138"/>
      <c r="AY22" s="138"/>
    </row>
    <row r="23" spans="1:51" x14ac:dyDescent="0.2">
      <c r="A23" t="str">
        <f t="shared" si="0"/>
        <v>Keynesian</v>
      </c>
      <c r="B23" s="80">
        <f t="shared" ref="B23:Y23" si="30">IF(B8&gt;0,100*B8,"")</f>
        <v>100</v>
      </c>
      <c r="C23" s="80">
        <f>IF(C8&gt;0,100*C8,"")</f>
        <v>98.296768724560152</v>
      </c>
      <c r="D23" s="80">
        <f t="shared" si="30"/>
        <v>96.435954420644393</v>
      </c>
      <c r="E23" s="80">
        <f t="shared" si="30"/>
        <v>94.398795743820529</v>
      </c>
      <c r="F23" s="80">
        <f t="shared" si="30"/>
        <v>92.163565968860951</v>
      </c>
      <c r="G23" s="80">
        <f t="shared" si="30"/>
        <v>89.70509266253201</v>
      </c>
      <c r="H23" s="80">
        <f t="shared" si="30"/>
        <v>86.994277402223574</v>
      </c>
      <c r="I23" s="80">
        <f t="shared" si="30"/>
        <v>83.997758604845373</v>
      </c>
      <c r="J23" s="80">
        <f t="shared" si="30"/>
        <v>80.677952907477206</v>
      </c>
      <c r="K23" s="80">
        <f t="shared" si="30"/>
        <v>76.994055992035655</v>
      </c>
      <c r="L23" s="80">
        <f t="shared" si="30"/>
        <v>72.905703431628027</v>
      </c>
      <c r="M23" s="80">
        <f t="shared" si="30"/>
        <v>68.38329161787955</v>
      </c>
      <c r="N23" s="80">
        <f t="shared" si="30"/>
        <v>63.43866547970427</v>
      </c>
      <c r="O23" s="80">
        <f t="shared" si="30"/>
        <v>58.2342756762081</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-97.296768724560152</v>
      </c>
      <c r="AD23" s="138">
        <f t="shared" si="4"/>
        <v>-95.435954420644393</v>
      </c>
      <c r="AE23" s="138">
        <f t="shared" si="5"/>
        <v>-93.398795743820529</v>
      </c>
      <c r="AF23" s="138">
        <f t="shared" si="6"/>
        <v>-91.163565968860951</v>
      </c>
      <c r="AG23" s="138">
        <f t="shared" si="7"/>
        <v>-88.70509266253201</v>
      </c>
      <c r="AH23" s="138">
        <f t="shared" si="8"/>
        <v>-85.994277402223574</v>
      </c>
      <c r="AI23" s="138">
        <f t="shared" si="9"/>
        <v>-82.997758604845373</v>
      </c>
      <c r="AJ23" s="138">
        <f t="shared" si="10"/>
        <v>-79.677952907477206</v>
      </c>
      <c r="AK23" s="138">
        <f t="shared" si="11"/>
        <v>-75.994055992035655</v>
      </c>
      <c r="AL23" s="138">
        <f t="shared" si="12"/>
        <v>-71.905703431628027</v>
      </c>
      <c r="AM23" s="138">
        <f t="shared" si="13"/>
        <v>-67.38329161787955</v>
      </c>
      <c r="AN23" s="138">
        <f t="shared" si="14"/>
        <v>-62.43866547970427</v>
      </c>
      <c r="AO23" s="138">
        <f t="shared" si="15"/>
        <v>-57.2342756762081</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98.906693046785023</v>
      </c>
      <c r="D24" s="80">
        <f t="shared" si="31"/>
        <v>97.721824238842316</v>
      </c>
      <c r="E24" s="80">
        <f t="shared" si="31"/>
        <v>96.43115076806518</v>
      </c>
      <c r="F24" s="80">
        <f t="shared" si="31"/>
        <v>95.017307241085561</v>
      </c>
      <c r="G24" s="80">
        <f t="shared" si="31"/>
        <v>93.45899479110868</v>
      </c>
      <c r="H24" s="80">
        <f t="shared" si="31"/>
        <v>91.729780555077014</v>
      </c>
      <c r="I24" s="80">
        <f t="shared" si="31"/>
        <v>89.796677526049308</v>
      </c>
      <c r="J24" s="80">
        <f t="shared" si="31"/>
        <v>87.618214380107048</v>
      </c>
      <c r="K24" s="80">
        <f t="shared" si="31"/>
        <v>85.142080834275006</v>
      </c>
      <c r="L24" s="80">
        <f t="shared" si="31"/>
        <v>82.302390789892797</v>
      </c>
      <c r="M24" s="80">
        <f t="shared" si="31"/>
        <v>79.017295873194655</v>
      </c>
      <c r="N24" s="80">
        <f t="shared" si="31"/>
        <v>75.188701906574437</v>
      </c>
      <c r="O24" s="80">
        <f t="shared" si="31"/>
        <v>70.708962870216126</v>
      </c>
      <c r="P24" s="80">
        <f t="shared" si="31"/>
        <v>65.48448432943826</v>
      </c>
      <c r="Q24" s="80">
        <f t="shared" si="31"/>
        <v>59.488964812411595</v>
      </c>
      <c r="R24" s="80">
        <f t="shared" si="31"/>
        <v>52.833449452391534</v>
      </c>
      <c r="S24" s="80">
        <f t="shared" si="31"/>
        <v>45.744025150765083</v>
      </c>
      <c r="T24" s="80">
        <f t="shared" si="31"/>
        <v>38.248784210091792</v>
      </c>
      <c r="U24" s="80">
        <f t="shared" si="31"/>
        <v>29.249469737721107</v>
      </c>
      <c r="V24" s="80">
        <f t="shared" si="31"/>
        <v>26.886646534204552</v>
      </c>
      <c r="W24" s="80">
        <f t="shared" si="31"/>
        <v>24.071569627050156</v>
      </c>
      <c r="X24" s="80">
        <f t="shared" si="31"/>
        <v>20.458729900365437</v>
      </c>
      <c r="Y24" s="80">
        <f t="shared" si="31"/>
        <v>15.125036338528894</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99.114934332042822</v>
      </c>
      <c r="D25" s="80">
        <f t="shared" si="32"/>
        <v>98.166614459058891</v>
      </c>
      <c r="E25" s="80">
        <f t="shared" si="32"/>
        <v>97.146258590138856</v>
      </c>
      <c r="F25" s="80">
        <f t="shared" si="32"/>
        <v>96.043246741692116</v>
      </c>
      <c r="G25" s="80">
        <f t="shared" si="32"/>
        <v>94.844609452914199</v>
      </c>
      <c r="H25" s="80">
        <f t="shared" si="32"/>
        <v>93.534288640881954</v>
      </c>
      <c r="I25" s="80">
        <f t="shared" si="32"/>
        <v>92.092141547988476</v>
      </c>
      <c r="J25" s="80">
        <f t="shared" si="32"/>
        <v>90.492493004255351</v>
      </c>
      <c r="K25" s="80">
        <f t="shared" si="32"/>
        <v>88.702030125232554</v>
      </c>
      <c r="L25" s="80">
        <f t="shared" si="32"/>
        <v>86.67663546525884</v>
      </c>
      <c r="M25" s="80">
        <f t="shared" si="32"/>
        <v>84.356498562877974</v>
      </c>
      <c r="N25" s="80">
        <f t="shared" si="32"/>
        <v>81.65832615898934</v>
      </c>
      <c r="O25" s="80">
        <f t="shared" si="32"/>
        <v>78.46243629938462</v>
      </c>
      <c r="P25" s="80">
        <f t="shared" si="32"/>
        <v>74.590623824224906</v>
      </c>
      <c r="Q25" s="80">
        <f t="shared" si="32"/>
        <v>69.766660412182119</v>
      </c>
      <c r="R25" s="80">
        <f t="shared" si="32"/>
        <v>63.54355827979137</v>
      </c>
      <c r="S25" s="80">
        <f t="shared" si="32"/>
        <v>55.16862067155143</v>
      </c>
      <c r="T25" s="80">
        <f t="shared" si="32"/>
        <v>43.348621898851249</v>
      </c>
      <c r="U25" s="80">
        <f t="shared" si="32"/>
        <v>25.946963882461986</v>
      </c>
      <c r="V25" s="80">
        <f t="shared" si="32"/>
        <v>21.54271313358057</v>
      </c>
      <c r="W25" s="80">
        <f t="shared" si="32"/>
        <v>16.770148114360715</v>
      </c>
      <c r="X25" s="80">
        <f t="shared" si="32"/>
        <v>11.604095383281747</v>
      </c>
      <c r="Y25" s="80">
        <f t="shared" si="32"/>
        <v>6.0210534874297057</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3.7576820028211555E-2</v>
      </c>
      <c r="D34" s="80">
        <f>NeoClassical!F2</f>
        <v>7.2284235048009002E-2</v>
      </c>
      <c r="E34" s="80">
        <f>NeoClassical!H2</f>
        <v>0.11035372982225634</v>
      </c>
      <c r="F34" s="80">
        <f>NeoClassical!J2</f>
        <v>0.15235346398539271</v>
      </c>
      <c r="G34" s="80">
        <f>NeoClassical!L2</f>
        <v>0.19899557910564947</v>
      </c>
      <c r="H34" s="80">
        <f>NeoClassical!N2</f>
        <v>0.25118753840254604</v>
      </c>
      <c r="I34" s="80">
        <f>NeoClassical!P2</f>
        <v>0.31010659374382593</v>
      </c>
      <c r="J34" s="80">
        <f>NeoClassical!R2</f>
        <v>0.37731349340135223</v>
      </c>
      <c r="K34" s="80">
        <f>NeoClassical!T2</f>
        <v>0.4549303796749497</v>
      </c>
      <c r="L34" s="80">
        <f>NeoClassical!V2</f>
        <v>0.54593158404332864</v>
      </c>
      <c r="M34" s="80">
        <f>NeoClassical!X2</f>
        <v>0.65463853479254419</v>
      </c>
      <c r="N34" s="80">
        <f>NeoClassical!Z2</f>
        <v>0.78762101959212716</v>
      </c>
      <c r="O34" s="80">
        <f>NeoClassical!AB2</f>
        <v>0.95543708971435626</v>
      </c>
      <c r="P34" s="80">
        <f>NeoClassical!AD2</f>
        <v>1.1763161430035167</v>
      </c>
      <c r="Q34" s="80">
        <f>NeoClassical!AF2</f>
        <v>1.4848270250202305</v>
      </c>
      <c r="R34" s="80">
        <f>NeoClassical!AH2</f>
        <v>1.9554430202091309</v>
      </c>
      <c r="S34" s="80">
        <f>NeoClassical!AJ2</f>
        <v>2.7803675186190659</v>
      </c>
      <c r="T34" s="80">
        <f>NeoClassical!AL2</f>
        <v>4.6132451739592728</v>
      </c>
      <c r="U34" s="80">
        <f>NeoClassical!AN2</f>
        <v>11.212858085766589</v>
      </c>
      <c r="V34" s="80">
        <f>NeoClassical!AP2</f>
        <v>14.911573707024603</v>
      </c>
      <c r="W34" s="80">
        <f>NeoClassical!AR2</f>
        <v>21.471228963068341</v>
      </c>
      <c r="X34" s="80">
        <f>NeoClassical!AT2</f>
        <v>35.68077870440527</v>
      </c>
      <c r="Y34" s="80">
        <f>NeoClassical!AV2</f>
        <v>83.783272510098044</v>
      </c>
      <c r="Z34" s="138"/>
    </row>
    <row r="35" spans="1:26" x14ac:dyDescent="0.2">
      <c r="A35" t="str">
        <f t="shared" ref="A35:A42" si="34">A4</f>
        <v>Kaldorian</v>
      </c>
      <c r="B35" s="80">
        <f>Kaldorian!B2</f>
        <v>5.7716594496607888E-3</v>
      </c>
      <c r="C35" s="80">
        <f>Kaldorian!D2</f>
        <v>3.9178962040226868E-2</v>
      </c>
      <c r="D35" s="80">
        <f>Kaldorian!F2</f>
        <v>7.5623310148561732E-2</v>
      </c>
      <c r="E35" s="80">
        <f>Kaldorian!H2</f>
        <v>0.11558593774654918</v>
      </c>
      <c r="F35" s="80">
        <f>Kaldorian!J2</f>
        <v>0.15966173161586275</v>
      </c>
      <c r="G35" s="80">
        <f>Kaldorian!L2</f>
        <v>0.20859777604631807</v>
      </c>
      <c r="H35" s="80">
        <f>Kaldorian!N2</f>
        <v>0.26334429822031941</v>
      </c>
      <c r="I35" s="80">
        <f>Kaldorian!P2</f>
        <v>0.32513750741198399</v>
      </c>
      <c r="J35" s="80">
        <f>Kaldorian!R2</f>
        <v>0.39561632004204195</v>
      </c>
      <c r="K35" s="80">
        <f>Kaldorian!T2</f>
        <v>0.47701255864731446</v>
      </c>
      <c r="L35" s="80">
        <f>Kaldorian!V2</f>
        <v>0.57245961353517694</v>
      </c>
      <c r="M35" s="80">
        <f>Kaldorian!X2</f>
        <v>0.68652229529535957</v>
      </c>
      <c r="N35" s="80">
        <f>Kaldorian!Z2</f>
        <v>0.82615465184922765</v>
      </c>
      <c r="O35" s="80">
        <f>Kaldorian!AB2</f>
        <v>1.002591737246886</v>
      </c>
      <c r="P35" s="80">
        <f>Kaldorian!AD2</f>
        <v>1.2353282506858458</v>
      </c>
      <c r="Q35" s="80">
        <f>Kaldorian!AF2</f>
        <v>1.5616126002375041</v>
      </c>
      <c r="R35" s="80">
        <f>Kaldorian!AH2</f>
        <v>2.0624826799273079</v>
      </c>
      <c r="S35" s="80">
        <f>Kaldorian!AJ2</f>
        <v>2.9498560485885843</v>
      </c>
      <c r="T35" s="80">
        <f>Kaldorian!AL2</f>
        <v>4.9568309495008442</v>
      </c>
      <c r="U35" s="80">
        <f>Kaldorian!AN2</f>
        <v>12.40636493838055</v>
      </c>
      <c r="V35" s="80">
        <f>Kaldorian!AP2</f>
        <v>16.675270850586877</v>
      </c>
      <c r="W35" s="80">
        <f>Kaldorian!AR2</f>
        <v>24.362925209181579</v>
      </c>
      <c r="X35" s="80">
        <f>Kaldorian!AT2</f>
        <v>41.399162200152659</v>
      </c>
      <c r="Y35" s="80">
        <f>Kaldorian!AV2</f>
        <v>101.48092030869337</v>
      </c>
      <c r="Z35" s="138"/>
    </row>
    <row r="36" spans="1:26" x14ac:dyDescent="0.2">
      <c r="A36" t="str">
        <f t="shared" si="34"/>
        <v>Johansen</v>
      </c>
      <c r="B36" s="80">
        <f>Johansen!B2</f>
        <v>5.7716594496607888E-3</v>
      </c>
      <c r="C36" s="80">
        <f>Johansen!D2</f>
        <v>3.8405951589098306E-2</v>
      </c>
      <c r="D36" s="80">
        <f>Johansen!F2</f>
        <v>7.4034095945547967E-2</v>
      </c>
      <c r="E36" s="80">
        <f>Johansen!H2</f>
        <v>0.11313285289619952</v>
      </c>
      <c r="F36" s="80">
        <f>Johansen!J2</f>
        <v>0.15629200903902266</v>
      </c>
      <c r="G36" s="80">
        <f>Johansen!L2</f>
        <v>0.20425173940590244</v>
      </c>
      <c r="H36" s="80">
        <f>Johansen!N2</f>
        <v>0.25795658195783921</v>
      </c>
      <c r="I36" s="80">
        <f>Johansen!P2</f>
        <v>0.31863400918239337</v>
      </c>
      <c r="J36" s="80">
        <f>Johansen!R2</f>
        <v>0.38791471223385926</v>
      </c>
      <c r="K36" s="80">
        <f>Johansen!T2</f>
        <v>0.46802130123716246</v>
      </c>
      <c r="L36" s="80">
        <f>Johansen!V2</f>
        <v>0.56207792031990933</v>
      </c>
      <c r="M36" s="80">
        <f>Johansen!X2</f>
        <v>0.67464125166591515</v>
      </c>
      <c r="N36" s="80">
        <f>Johansen!Z2</f>
        <v>0.81266751963789752</v>
      </c>
      <c r="O36" s="80">
        <f>Johansen!AB2</f>
        <v>0.98739884570990843</v>
      </c>
      <c r="P36" s="80">
        <f>Johansen!AD2</f>
        <v>1.218378553540675</v>
      </c>
      <c r="Q36" s="80">
        <f>Johansen!AF2</f>
        <v>1.5429904339299025</v>
      </c>
      <c r="R36" s="80">
        <f>Johansen!AH2</f>
        <v>2.0426438580583026</v>
      </c>
      <c r="S36" s="80">
        <f>Johansen!AJ2</f>
        <v>2.9302572839621361</v>
      </c>
      <c r="T36" s="80">
        <f>Johansen!AL2</f>
        <v>4.9412539698962563</v>
      </c>
      <c r="U36" s="80">
        <f>Johansen!AN2</f>
        <v>12.400327076116961</v>
      </c>
      <c r="V36" s="80">
        <f>Johansen!AP2</f>
        <v>16.671265832940268</v>
      </c>
      <c r="W36" s="80">
        <f>Johansen!AR2</f>
        <v>24.360677554122308</v>
      </c>
      <c r="X36" s="80">
        <f>Johansen!AT2</f>
        <v>41.398233500247883</v>
      </c>
      <c r="Y36" s="80">
        <f>Johansen!AV2</f>
        <v>101.48074085234143</v>
      </c>
      <c r="Z36" s="138"/>
    </row>
    <row r="37" spans="1:26" x14ac:dyDescent="0.2">
      <c r="A37" t="str">
        <f t="shared" si="34"/>
        <v>Keynes-Kaldor</v>
      </c>
      <c r="B37" s="80">
        <f>'Keynes-K'!B2</f>
        <v>5.7716594496607888E-3</v>
      </c>
      <c r="C37" s="80">
        <f>'Keynes-K'!D2</f>
        <v>3.4329412891687047E-2</v>
      </c>
      <c r="D37" s="80">
        <f>'Keynes-K'!F2</f>
        <v>6.5272919849351421E-2</v>
      </c>
      <c r="E37" s="80">
        <f>'Keynes-K'!H2</f>
        <v>9.894330995358934E-2</v>
      </c>
      <c r="F37" s="80">
        <f>'Keynes-K'!J2</f>
        <v>0.13575348366790152</v>
      </c>
      <c r="G37" s="80">
        <f>'Keynes-K'!L2</f>
        <v>0.17620817837857161</v>
      </c>
      <c r="H37" s="80">
        <f>'Keynes-K'!N2</f>
        <v>0.22093251656763291</v>
      </c>
      <c r="I37" s="80">
        <f>'Keynes-K'!P2</f>
        <v>0.27071080956303667</v>
      </c>
      <c r="J37" s="80">
        <f>'Keynes-K'!R2</f>
        <v>0.3265424744879114</v>
      </c>
      <c r="K37" s="80">
        <f>'Keynes-K'!T2</f>
        <v>0.38972318471501421</v>
      </c>
      <c r="L37" s="80">
        <f>'Keynes-K'!V2</f>
        <v>0.46196614398460667</v>
      </c>
      <c r="M37" s="80">
        <f>'Keynes-K'!X2</f>
        <v>0.54558784951091899</v>
      </c>
      <c r="N37" s="80">
        <f>'Keynes-K'!Z2</f>
        <v>0.64380210416473915</v>
      </c>
      <c r="O37" s="80">
        <f>'Keynes-K'!AB2</f>
        <v>0.76119840991715693</v>
      </c>
      <c r="P37" s="80">
        <f>'Keynes-K'!AD2</f>
        <v>0.9045469863585297</v>
      </c>
      <c r="Q37" s="80">
        <f>'Keynes-K'!AF2</f>
        <v>1.0841879005104624</v>
      </c>
      <c r="R37" s="80">
        <f>'Keynes-K'!AH2</f>
        <v>1.3164506840180725</v>
      </c>
      <c r="S37" s="80">
        <f>'Keynes-K'!AJ2</f>
        <v>1.6277027135394759</v>
      </c>
      <c r="T37" s="80">
        <f>'Keynes-K'!AL2</f>
        <v>2.0598782667121989</v>
      </c>
      <c r="U37" s="80">
        <f>'Keynes-K'!AN2</f>
        <v>2.6722208079807093</v>
      </c>
      <c r="V37" s="80">
        <f>'Keynes-K'!AP2</f>
        <v>2.8218410642448011</v>
      </c>
      <c r="W37" s="80">
        <f>'Keynes-K'!AR2</f>
        <v>2.9813834866720024</v>
      </c>
      <c r="X37" s="80">
        <f>'Keynes-K'!AT2</f>
        <v>3.151010647438401</v>
      </c>
      <c r="Y37" s="80">
        <f>'Keynes-K'!AV2</f>
        <v>3.3307345789872422</v>
      </c>
      <c r="Z37" s="138"/>
    </row>
    <row r="38" spans="1:26" x14ac:dyDescent="0.2">
      <c r="A38" t="str">
        <f t="shared" si="34"/>
        <v>Keynes-Marshall</v>
      </c>
      <c r="B38" s="80">
        <f>'Keynes-M'!B2</f>
        <v>5.7716594496607888E-3</v>
      </c>
      <c r="C38" s="80">
        <f>'Keynes-M'!D2</f>
        <v>3.9857195897785434E-2</v>
      </c>
      <c r="D38" s="80">
        <f>'Keynes-M'!F2</f>
        <v>7.7159910163009368E-2</v>
      </c>
      <c r="E38" s="80">
        <f>'Keynes-M'!H2</f>
        <v>0.11821841607917559</v>
      </c>
      <c r="F38" s="80">
        <f>'Keynes-M'!J2</f>
        <v>0.16370485831664514</v>
      </c>
      <c r="G38" s="80">
        <f>'Keynes-M'!L2</f>
        <v>0.21447121533616059</v>
      </c>
      <c r="H38" s="80">
        <f>'Keynes-M'!N2</f>
        <v>0.27161690949126088</v>
      </c>
      <c r="I38" s="80">
        <f>'Keynes-M'!P2</f>
        <v>0.3365895730937763</v>
      </c>
      <c r="J38" s="80">
        <f>'Keynes-M'!R2</f>
        <v>0.41134066074033848</v>
      </c>
      <c r="K38" s="80">
        <f>'Keynes-M'!T2</f>
        <v>0.49857469136020521</v>
      </c>
      <c r="L38" s="80">
        <f>'Keynes-M'!V2</f>
        <v>0.60216533125711769</v>
      </c>
      <c r="M38" s="80">
        <f>'Keynes-M'!X2</f>
        <v>0.72788378728702496</v>
      </c>
      <c r="N38" s="80">
        <f>'Keynes-M'!Z2</f>
        <v>0.88475241684643402</v>
      </c>
      <c r="O38" s="80">
        <f>'Keynes-M'!AB2</f>
        <v>1.0877440954370787</v>
      </c>
      <c r="P38" s="80">
        <f>'Keynes-M'!AD2</f>
        <v>1.3636526496594534</v>
      </c>
      <c r="Q38" s="80">
        <f>'Keynes-M'!AF2</f>
        <v>1.7653107445951408</v>
      </c>
      <c r="R38" s="80">
        <f>'Keynes-M'!AH2</f>
        <v>2.4111041238659863</v>
      </c>
      <c r="S38" s="80">
        <f>'Keynes-M'!AJ2</f>
        <v>3.6167909572379746</v>
      </c>
      <c r="T38" s="80">
        <f>'Keynes-M'!AL2</f>
        <v>6.4775081518234403</v>
      </c>
      <c r="U38" s="80">
        <f>'Keynes-M'!AN2</f>
        <v>17.554773816092116</v>
      </c>
      <c r="V38" s="80">
        <f>'Keynes-M'!AP2</f>
        <v>24.109538576075821</v>
      </c>
      <c r="W38" s="80">
        <f>'Keynes-M'!AR2</f>
        <v>36.216108389725207</v>
      </c>
      <c r="X38" s="80">
        <f>'Keynes-M'!AT2</f>
        <v>64.082441832148007</v>
      </c>
      <c r="Y38" s="80">
        <f>'Keynes-M'!AV2</f>
        <v>0</v>
      </c>
      <c r="Z38" s="138"/>
    </row>
    <row r="39" spans="1:26" x14ac:dyDescent="0.2">
      <c r="A39" t="str">
        <f t="shared" si="34"/>
        <v>Keynesian</v>
      </c>
      <c r="B39" s="80">
        <f>Keynesian!B2</f>
        <v>5.7716594496607888E-3</v>
      </c>
      <c r="C39" s="80">
        <f>Keynesian!D2</f>
        <v>2.830297885260093E-2</v>
      </c>
      <c r="D39" s="80">
        <f>Keynesian!F2</f>
        <v>5.2206845542503502E-2</v>
      </c>
      <c r="E39" s="80">
        <f>Keynesian!H2</f>
        <v>7.7587141400944373E-2</v>
      </c>
      <c r="F39" s="80">
        <f>Keynesian!J2</f>
        <v>0.1045488768485674</v>
      </c>
      <c r="G39" s="80">
        <f>Keynesian!L2</f>
        <v>0.13319328879664238</v>
      </c>
      <c r="H39" s="80">
        <f>Keynesian!N2</f>
        <v>0.16360881478652539</v>
      </c>
      <c r="I39" s="80">
        <f>Keynesian!P2</f>
        <v>0.19585638756003843</v>
      </c>
      <c r="J39" s="80">
        <f>Keynesian!R2</f>
        <v>0.22994509300881549</v>
      </c>
      <c r="K39" s="80">
        <f>Keynesian!T2</f>
        <v>0.26579060423819495</v>
      </c>
      <c r="L39" s="80">
        <f>Keynesian!V2</f>
        <v>0.30314481127564546</v>
      </c>
      <c r="M39" s="80">
        <f>Keynesian!X2</f>
        <v>0.34146303547706192</v>
      </c>
      <c r="N39" s="80">
        <f>Keynesian!Z2</f>
        <v>0.3796116509029428</v>
      </c>
      <c r="O39" s="80">
        <f>Keynesian!AB2</f>
        <v>0.41498565805398618</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3.2448554934034694E-2</v>
      </c>
      <c r="D40" s="80">
        <f>'Neo-K2'!F2</f>
        <v>6.1123564371438406E-2</v>
      </c>
      <c r="E40" s="80">
        <f>'Neo-K2'!H2</f>
        <v>9.2044520429936924E-2</v>
      </c>
      <c r="F40" s="80">
        <f>'Neo-K2'!J2</f>
        <v>0.12550211832853883</v>
      </c>
      <c r="G40" s="80">
        <f>'Neo-K2'!L2</f>
        <v>0.16183991020998698</v>
      </c>
      <c r="H40" s="80">
        <f>'Neo-K2'!N2</f>
        <v>0.20146659550949511</v>
      </c>
      <c r="I40" s="80">
        <f>'Neo-K2'!P2</f>
        <v>0.24487340927590068</v>
      </c>
      <c r="J40" s="80">
        <f>'Neo-K2'!R2</f>
        <v>0.29265783594979689</v>
      </c>
      <c r="K40" s="80">
        <f>'Neo-K2'!T2</f>
        <v>0.3455606332140147</v>
      </c>
      <c r="L40" s="80">
        <f>'Neo-K2'!V2</f>
        <v>0.40452705311549814</v>
      </c>
      <c r="M40" s="80">
        <f>'Neo-K2'!X2</f>
        <v>0.47082692466987286</v>
      </c>
      <c r="N40" s="80">
        <f>'Neo-K2'!Z2</f>
        <v>0.54631921854008592</v>
      </c>
      <c r="O40" s="80">
        <f>'Neo-K2'!AB2</f>
        <v>0.63411053758784997</v>
      </c>
      <c r="P40" s="80">
        <f>'Neo-K2'!AD2</f>
        <v>0.74033239566618614</v>
      </c>
      <c r="Q40" s="80">
        <f>'Neo-K2'!AF2</f>
        <v>0.87916367949943808</v>
      </c>
      <c r="R40" s="80">
        <f>'Neo-K2'!AH2</f>
        <v>1.0874880907166968</v>
      </c>
      <c r="S40" s="80">
        <f>'Neo-K2'!AJ2</f>
        <v>1.4723254498473253</v>
      </c>
      <c r="T40" s="80">
        <f>'Neo-K2'!AL2</f>
        <v>2.42100966900896</v>
      </c>
      <c r="U40" s="80">
        <f>'Neo-K2'!AN2</f>
        <v>6.3024687136492439</v>
      </c>
      <c r="V40" s="80">
        <f>'Neo-K2'!AP2</f>
        <v>8.6030045822412156</v>
      </c>
      <c r="W40" s="80">
        <f>'Neo-K2'!AR2</f>
        <v>12.773970638262533</v>
      </c>
      <c r="X40" s="80">
        <f>'Neo-K2'!AT2</f>
        <v>21.997898996507043</v>
      </c>
      <c r="Y40" s="80">
        <f>'Neo-K2'!AV2</f>
        <v>53.686091391096191</v>
      </c>
    </row>
    <row r="41" spans="1:26" x14ac:dyDescent="0.2">
      <c r="A41" t="str">
        <f t="shared" si="34"/>
        <v>Neo-K1</v>
      </c>
      <c r="B41" s="80">
        <f>'Neo-K1'!B2</f>
        <v>5.7716594496607888E-3</v>
      </c>
      <c r="C41" s="80">
        <f>'Neo-K1'!D2</f>
        <v>3.4329412891687047E-2</v>
      </c>
      <c r="D41" s="80">
        <f>'Neo-K1'!F2</f>
        <v>6.5272919849351421E-2</v>
      </c>
      <c r="E41" s="80">
        <f>'Neo-K1'!H2</f>
        <v>9.894330995358934E-2</v>
      </c>
      <c r="F41" s="80">
        <f>'Neo-K1'!J2</f>
        <v>0.13575348366790152</v>
      </c>
      <c r="G41" s="80">
        <f>'Neo-K1'!L2</f>
        <v>0.17620817837857161</v>
      </c>
      <c r="H41" s="80">
        <f>'Neo-K1'!N2</f>
        <v>0.22093251656763291</v>
      </c>
      <c r="I41" s="80">
        <f>'Neo-K1'!P2</f>
        <v>0.27071080956303667</v>
      </c>
      <c r="J41" s="80">
        <f>'Neo-K1'!R2</f>
        <v>0.3265424744879114</v>
      </c>
      <c r="K41" s="80">
        <f>'Neo-K1'!T2</f>
        <v>0.38972318471501421</v>
      </c>
      <c r="L41" s="80">
        <f>'Neo-K1'!V2</f>
        <v>0.46196614398460667</v>
      </c>
      <c r="M41" s="80">
        <f>'Neo-K1'!X2</f>
        <v>0.54558784951091899</v>
      </c>
      <c r="N41" s="80">
        <f>'Neo-K1'!Z2</f>
        <v>0.64380210416473915</v>
      </c>
      <c r="O41" s="80">
        <f>'Neo-K1'!AB2</f>
        <v>0.76119840991715693</v>
      </c>
      <c r="P41" s="80">
        <f>'Neo-K1'!AD2</f>
        <v>0.9045469863585297</v>
      </c>
      <c r="Q41" s="80">
        <f>'Neo-K1'!AF2</f>
        <v>1.0841879005104624</v>
      </c>
      <c r="R41" s="80">
        <f>'Neo-K1'!AH2</f>
        <v>1.3164506840180725</v>
      </c>
      <c r="S41" s="80">
        <f>'Neo-K1'!AJ2</f>
        <v>1.6277027135394759</v>
      </c>
      <c r="T41" s="80">
        <f>'Neo-K1'!AL2</f>
        <v>2.0598782667121989</v>
      </c>
      <c r="U41" s="80">
        <f>'Neo-K1'!AN2</f>
        <v>2.6722208079807093</v>
      </c>
      <c r="V41" s="80">
        <f>'Neo-K1'!AP2</f>
        <v>2.8218410642448011</v>
      </c>
      <c r="W41" s="80">
        <f>'Neo-K1'!AR2</f>
        <v>2.9813834866720024</v>
      </c>
      <c r="X41" s="80">
        <f>'Neo-K1'!AT2</f>
        <v>3.151010647438401</v>
      </c>
      <c r="Y41" s="80">
        <f>'Neo-K1'!AV2</f>
        <v>3.3307345789872422</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0.56058995943838641</v>
      </c>
      <c r="C49" s="195">
        <f>NeoClassical!D$43</f>
        <v>0.56600356220906345</v>
      </c>
      <c r="D49" s="195">
        <f>NeoClassical!F$43</f>
        <v>0.56480103959572847</v>
      </c>
      <c r="E49" s="195">
        <f>NeoClassical!H$43</f>
        <v>0.5635924643595468</v>
      </c>
      <c r="F49" s="195">
        <f>NeoClassical!J$43</f>
        <v>0.56237724905959174</v>
      </c>
      <c r="G49" s="195">
        <f>NeoClassical!L$43</f>
        <v>0.56115472134410926</v>
      </c>
      <c r="H49" s="195">
        <f>NeoClassical!N$43</f>
        <v>0.55992416857217076</v>
      </c>
      <c r="I49" s="195">
        <f>NeoClassical!P$43</f>
        <v>0.55868481073266985</v>
      </c>
      <c r="J49" s="195">
        <f>NeoClassical!R$43</f>
        <v>0.55743584713661343</v>
      </c>
      <c r="K49" s="195">
        <f>NeoClassical!T$43</f>
        <v>0.55617654753870227</v>
      </c>
      <c r="L49" s="195">
        <f>NeoClassical!V$43</f>
        <v>0.55490639836612954</v>
      </c>
      <c r="M49" s="195">
        <f>NeoClassical!X$43</f>
        <v>0.55362543380089757</v>
      </c>
      <c r="N49" s="195">
        <f>NeoClassical!Z$43</f>
        <v>0.55233484375065589</v>
      </c>
      <c r="O49" s="195">
        <f>NeoClassical!AB$43</f>
        <v>0.55103824827604986</v>
      </c>
      <c r="P49" s="195">
        <f>NeoClassical!AD$43</f>
        <v>0.54974424299794022</v>
      </c>
      <c r="Q49" s="195">
        <f>NeoClassical!AF$43</f>
        <v>0.54847177180848472</v>
      </c>
      <c r="R49" s="195">
        <f>NeoClassical!AH$43</f>
        <v>0.54726135271005782</v>
      </c>
      <c r="S49" s="195">
        <f>NeoClassical!AJ$43</f>
        <v>0.54619695838143267</v>
      </c>
      <c r="T49" s="195">
        <f>NeoClassical!AL$43</f>
        <v>0.54543120157210989</v>
      </c>
      <c r="U49" s="195">
        <f>NeoClassical!AN$43</f>
        <v>0.54511284691077988</v>
      </c>
      <c r="V49" s="195">
        <f>NeoClassical!AP$43</f>
        <v>0.54509634455195444</v>
      </c>
      <c r="W49" s="195">
        <f>NeoClassical!AR$43</f>
        <v>0.54508857411732081</v>
      </c>
      <c r="X49" s="195">
        <f>NeoClassical!AT$43</f>
        <v>0.54508590546961844</v>
      </c>
      <c r="Y49" s="195">
        <f>NeoClassical!AV$43</f>
        <v>0.5450854064520535</v>
      </c>
      <c r="Z49" s="138"/>
    </row>
    <row r="50" spans="1:26" x14ac:dyDescent="0.2">
      <c r="A50" t="str">
        <f t="shared" si="35"/>
        <v>Kaldorian</v>
      </c>
      <c r="B50" s="195">
        <f>Kaldorian!B$43</f>
        <v>0.56058995943838641</v>
      </c>
      <c r="C50" s="195">
        <f>Kaldorian!D$43</f>
        <v>0.56349324840179205</v>
      </c>
      <c r="D50" s="195">
        <f>Kaldorian!F$43</f>
        <v>0.55972879651101692</v>
      </c>
      <c r="E50" s="195">
        <f>Kaldorian!H$43</f>
        <v>0.55590004427463158</v>
      </c>
      <c r="F50" s="195">
        <f>Kaldorian!J$43</f>
        <v>0.55199843647927138</v>
      </c>
      <c r="G50" s="195">
        <f>Kaldorian!L$43</f>
        <v>0.54801368611232915</v>
      </c>
      <c r="H50" s="195">
        <f>Kaldorian!N$43</f>
        <v>0.54393297929872542</v>
      </c>
      <c r="I50" s="195">
        <f>Kaldorian!P$43</f>
        <v>0.53974042407545941</v>
      </c>
      <c r="J50" s="195">
        <f>Kaldorian!R$43</f>
        <v>0.53541557125365136</v>
      </c>
      <c r="K50" s="195">
        <f>Kaldorian!T$43</f>
        <v>0.53093159538004642</v>
      </c>
      <c r="L50" s="195">
        <f>Kaldorian!V$43</f>
        <v>0.52625217363641097</v>
      </c>
      <c r="M50" s="195">
        <f>Kaldorian!X$43</f>
        <v>0.52132638230848105</v>
      </c>
      <c r="N50" s="195">
        <f>Kaldorian!Z$43</f>
        <v>0.51607889377699689</v>
      </c>
      <c r="O50" s="195">
        <f>Kaldorian!AB$43</f>
        <v>0.51039334919531321</v>
      </c>
      <c r="P50" s="195">
        <f>Kaldorian!AD$43</f>
        <v>0.50407592927997091</v>
      </c>
      <c r="Q50" s="195">
        <f>Kaldorian!AF$43</f>
        <v>0.49677724305072474</v>
      </c>
      <c r="R50" s="195">
        <f>Kaldorian!AH$43</f>
        <v>0.48780152486062694</v>
      </c>
      <c r="S50" s="195">
        <f>Kaldorian!AJ$43</f>
        <v>0.47558967566649557</v>
      </c>
      <c r="T50" s="195">
        <f>Kaldorian!AL$43</f>
        <v>0.45612450077520122</v>
      </c>
      <c r="U50" s="195">
        <f>Kaldorian!AN$43</f>
        <v>0.41594090444747411</v>
      </c>
      <c r="V50" s="195">
        <f>Kaldorian!AP$43</f>
        <v>0.4012017448044406</v>
      </c>
      <c r="W50" s="195">
        <f>Kaldorian!AR$43</f>
        <v>0.38071124815850438</v>
      </c>
      <c r="X50" s="195">
        <f>Kaldorian!AT$43</f>
        <v>0.34842238473024467</v>
      </c>
      <c r="Y50" s="195">
        <f>Kaldorian!AV$43</f>
        <v>0.28154493570009625</v>
      </c>
      <c r="Z50" s="138"/>
    </row>
    <row r="51" spans="1:26" x14ac:dyDescent="0.2">
      <c r="A51" t="str">
        <f t="shared" si="35"/>
        <v>Johansen</v>
      </c>
      <c r="B51" s="195">
        <f>Kaldorian!B$43</f>
        <v>0.56058995943838641</v>
      </c>
      <c r="C51" s="195">
        <f>Johansen!D$43</f>
        <v>0.56600144685748954</v>
      </c>
      <c r="D51" s="195">
        <f>Johansen!F$43</f>
        <v>0.56479645567366277</v>
      </c>
      <c r="E51" s="195">
        <f>Johansen!H$43</f>
        <v>0.56358501081887524</v>
      </c>
      <c r="F51" s="195">
        <f>Johansen!J$43</f>
        <v>0.56236647276045992</v>
      </c>
      <c r="G51" s="195">
        <f>Johansen!L$43</f>
        <v>0.56114010959501581</v>
      </c>
      <c r="H51" s="195">
        <f>Johansen!N$43</f>
        <v>0.55990514298399563</v>
      </c>
      <c r="I51" s="195">
        <f>Johansen!P$43</f>
        <v>0.55866072264405475</v>
      </c>
      <c r="J51" s="195">
        <f>Johansen!R$43</f>
        <v>0.55740597560522931</v>
      </c>
      <c r="K51" s="195">
        <f>Johansen!T$43</f>
        <v>0.55614010797540259</v>
      </c>
      <c r="L51" s="195">
        <f>Johansen!V$43</f>
        <v>0.55486256818503443</v>
      </c>
      <c r="M51" s="195">
        <f>Johansen!X$43</f>
        <v>0.5535734031667513</v>
      </c>
      <c r="N51" s="195">
        <f>Johansen!Z$43</f>
        <v>0.55227394765692672</v>
      </c>
      <c r="O51" s="195">
        <f>Johansen!AB$43</f>
        <v>0.55096821580059174</v>
      </c>
      <c r="P51" s="195">
        <f>Johansen!AD$43</f>
        <v>0.54966570517948643</v>
      </c>
      <c r="Q51" s="195">
        <f>Johansen!AF$43</f>
        <v>0.54838727305781376</v>
      </c>
      <c r="R51" s="195">
        <f>Johansen!AH$43</f>
        <v>0.54717726662617061</v>
      </c>
      <c r="S51" s="195">
        <f>Johansen!AJ$43</f>
        <v>0.54612627583812434</v>
      </c>
      <c r="T51" s="195">
        <f>Johansen!AL$43</f>
        <v>0.54539239495110581</v>
      </c>
      <c r="U51" s="195">
        <f>Johansen!AN$43</f>
        <v>0.54510702026701752</v>
      </c>
      <c r="V51" s="195">
        <f>Johansen!AP$43</f>
        <v>0.54509365852079983</v>
      </c>
      <c r="W51" s="195">
        <f>Johansen!AR$43</f>
        <v>0.5450876572043688</v>
      </c>
      <c r="X51" s="195">
        <f>Johansen!AT$43</f>
        <v>0.54508572500330588</v>
      </c>
      <c r="Y51" s="195">
        <f>Johansen!AV$43</f>
        <v>0.54508539736022155</v>
      </c>
      <c r="Z51" s="138"/>
    </row>
    <row r="52" spans="1:26" x14ac:dyDescent="0.2">
      <c r="A52" t="str">
        <f t="shared" si="35"/>
        <v>Keynes-Kaldor</v>
      </c>
      <c r="B52" s="195">
        <f>'Keynes-K'!B$43</f>
        <v>0.56058995943838641</v>
      </c>
      <c r="C52" s="195">
        <f>'Keynes-K'!D$43</f>
        <v>0.566731673669291</v>
      </c>
      <c r="D52" s="195">
        <f>'Keynes-K'!F$43</f>
        <v>0.5662525193484037</v>
      </c>
      <c r="E52" s="195">
        <f>'Keynes-K'!H$43</f>
        <v>0.56576071868475986</v>
      </c>
      <c r="F52" s="195">
        <f>'Keynes-K'!J$43</f>
        <v>0.56525333951088241</v>
      </c>
      <c r="G52" s="195">
        <f>'Keynes-K'!L$43</f>
        <v>0.56472667420232681</v>
      </c>
      <c r="H52" s="195">
        <f>'Keynes-K'!N$43</f>
        <v>0.56417602129385147</v>
      </c>
      <c r="I52" s="195">
        <f>'Keynes-K'!P$43</f>
        <v>0.56359532543502799</v>
      </c>
      <c r="J52" s="195">
        <f>'Keynes-K'!R$43</f>
        <v>0.5629766992634434</v>
      </c>
      <c r="K52" s="195">
        <f>'Keynes-K'!T$43</f>
        <v>0.56230971314471512</v>
      </c>
      <c r="L52" s="195">
        <f>'Keynes-K'!V$43</f>
        <v>0.56158035550094909</v>
      </c>
      <c r="M52" s="195">
        <f>'Keynes-K'!X$43</f>
        <v>0.56076944648117655</v>
      </c>
      <c r="N52" s="195">
        <f>'Keynes-K'!Z$43</f>
        <v>0.55985015852087672</v>
      </c>
      <c r="O52" s="195">
        <f>'Keynes-K'!AB$43</f>
        <v>0.55878410135739098</v>
      </c>
      <c r="P52" s="195">
        <f>'Keynes-K'!AD$43</f>
        <v>0.55751489677062527</v>
      </c>
      <c r="Q52" s="195">
        <f>'Keynes-K'!AF$43</f>
        <v>0.5559575749820258</v>
      </c>
      <c r="R52" s="195">
        <f>'Keynes-K'!AH$43</f>
        <v>0.55398128159548965</v>
      </c>
      <c r="S52" s="195">
        <f>'Keynes-K'!AJ$43</f>
        <v>0.55138351555293574</v>
      </c>
      <c r="T52" s="195">
        <f>'Keynes-K'!AL$43</f>
        <v>0.54786462825619586</v>
      </c>
      <c r="U52" s="195">
        <f>'Keynes-K'!AN$43</f>
        <v>0.54305639890662105</v>
      </c>
      <c r="V52" s="195">
        <f>'Keynes-K'!AP$43</f>
        <v>0.54191347801569967</v>
      </c>
      <c r="W52" s="195">
        <f>'Keynes-K'!AR$43</f>
        <v>0.54070845352153596</v>
      </c>
      <c r="X52" s="195">
        <f>'Keynes-K'!AT$43</f>
        <v>0.53944260025216262</v>
      </c>
      <c r="Y52" s="195">
        <f>'Keynes-K'!AV$43</f>
        <v>0.53811842010909872</v>
      </c>
    </row>
    <row r="53" spans="1:26" x14ac:dyDescent="0.2">
      <c r="A53" t="str">
        <f t="shared" si="35"/>
        <v>Keynes-Marshall</v>
      </c>
      <c r="B53" s="195">
        <f>'Keynes-M'!B$43</f>
        <v>0.56058995943838641</v>
      </c>
      <c r="C53" s="195">
        <f>'Keynes-M'!D$43</f>
        <v>0.57555092599515612</v>
      </c>
      <c r="D53" s="195">
        <f>'Keynes-M'!F$43</f>
        <v>0.58394482121265412</v>
      </c>
      <c r="E53" s="195">
        <f>'Keynes-M'!H$43</f>
        <v>0.59239987311158859</v>
      </c>
      <c r="F53" s="195">
        <f>'Keynes-M'!J$43</f>
        <v>0.60093637047445803</v>
      </c>
      <c r="G53" s="195">
        <f>'Keynes-M'!L$43</f>
        <v>0.60957824590404608</v>
      </c>
      <c r="H53" s="195">
        <f>'Keynes-M'!N$43</f>
        <v>0.61835458108918828</v>
      </c>
      <c r="I53" s="195">
        <f>'Keynes-M'!P$43</f>
        <v>0.62730156056031006</v>
      </c>
      <c r="J53" s="195">
        <f>'Keynes-M'!R$43</f>
        <v>0.63646573029721243</v>
      </c>
      <c r="K53" s="195">
        <f>'Keynes-M'!T$43</f>
        <v>0.64590884488059996</v>
      </c>
      <c r="L53" s="195">
        <f>'Keynes-M'!V$43</f>
        <v>0.65571576704793177</v>
      </c>
      <c r="M53" s="195">
        <f>'Keynes-M'!X$43</f>
        <v>0.66600784667544255</v>
      </c>
      <c r="N53" s="195">
        <f>'Keynes-M'!Z$43</f>
        <v>0.67696640683173159</v>
      </c>
      <c r="O53" s="195">
        <f>'Keynes-M'!AB$43</f>
        <v>0.68887616457397993</v>
      </c>
      <c r="P53" s="195">
        <f>'Keynes-M'!AD$43</f>
        <v>0.70220997814132713</v>
      </c>
      <c r="Q53" s="195">
        <f>'Keynes-M'!AF$43</f>
        <v>0.71780362481861215</v>
      </c>
      <c r="R53" s="195">
        <f>'Keynes-M'!AH$43</f>
        <v>0.73723418325292356</v>
      </c>
      <c r="S53" s="195">
        <f>'Keynes-M'!AJ$43</f>
        <v>0.76366913347256749</v>
      </c>
      <c r="T53" s="195">
        <f>'Keynes-M'!AL$43</f>
        <v>0.80399273842124386</v>
      </c>
      <c r="U53" s="195">
        <f>'Keynes-M'!AN$43</f>
        <v>0.87912644976723597</v>
      </c>
      <c r="V53" s="195">
        <f>'Keynes-M'!AP$43</f>
        <v>0.90504211736355411</v>
      </c>
      <c r="W53" s="195">
        <f>'Keynes-M'!AR$43</f>
        <v>0.94008425882681013</v>
      </c>
      <c r="X53" s="195">
        <f>'Keynes-M'!AT$43</f>
        <v>0.99304275846422441</v>
      </c>
      <c r="Y53" s="195" t="e">
        <f>'Keynes-M'!AV$43</f>
        <v>#DIV/0!</v>
      </c>
    </row>
    <row r="54" spans="1:26" x14ac:dyDescent="0.2">
      <c r="A54" t="str">
        <f t="shared" si="35"/>
        <v>Keynesian</v>
      </c>
      <c r="B54" s="195">
        <f>Keynesian!B$43</f>
        <v>0.56058995943838641</v>
      </c>
      <c r="C54" s="195">
        <f>Keynesian!D$43</f>
        <v>0.57283032093795294</v>
      </c>
      <c r="D54" s="195">
        <f>Keynesian!F$43</f>
        <v>0.57848768459157518</v>
      </c>
      <c r="E54" s="195">
        <f>Keynesian!H$43</f>
        <v>0.58416928110960853</v>
      </c>
      <c r="F54" s="195">
        <f>Keynesian!J$43</f>
        <v>0.58987005272362403</v>
      </c>
      <c r="G54" s="195">
        <f>Keynesian!L$43</f>
        <v>0.59558253635845892</v>
      </c>
      <c r="H54" s="195">
        <f>Keynesian!N$43</f>
        <v>0.60129568128928068</v>
      </c>
      <c r="I54" s="195">
        <f>Keynesian!P$43</f>
        <v>0.60699336563185413</v>
      </c>
      <c r="J54" s="195">
        <f>Keynesian!R$43</f>
        <v>0.61265199386791358</v>
      </c>
      <c r="K54" s="195">
        <f>Keynesian!T$43</f>
        <v>0.6182356011570499</v>
      </c>
      <c r="L54" s="195">
        <f>Keynesian!V$43</f>
        <v>0.62368904401476999</v>
      </c>
      <c r="M54" s="195">
        <f>Keynesian!X$43</f>
        <v>0.62892153907570292</v>
      </c>
      <c r="N54" s="195">
        <f>Keynesian!Z$43</f>
        <v>0.63376424304061829</v>
      </c>
      <c r="O54" s="195">
        <f>Keynesian!AB$43</f>
        <v>0.63782497408929473</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0.56058995943838641</v>
      </c>
      <c r="C55" s="195">
        <f>'Neo-K1'!D$43</f>
        <v>0.566731673669291</v>
      </c>
      <c r="D55" s="195">
        <f>'Neo-K1'!F$43</f>
        <v>0.5662525193484037</v>
      </c>
      <c r="E55" s="195">
        <f>'Neo-K1'!H$43</f>
        <v>0.56576071868475986</v>
      </c>
      <c r="F55" s="195">
        <f>'Neo-K1'!J$43</f>
        <v>0.56525333951088241</v>
      </c>
      <c r="G55" s="195">
        <f>'Neo-K1'!L$43</f>
        <v>0.56472667420232681</v>
      </c>
      <c r="H55" s="195">
        <f>'Neo-K1'!N$43</f>
        <v>0.56417602129385147</v>
      </c>
      <c r="I55" s="195">
        <f>'Neo-K1'!P$43</f>
        <v>0.56359532543502799</v>
      </c>
      <c r="J55" s="195">
        <f>'Neo-K1'!R$43</f>
        <v>0.5629766992634434</v>
      </c>
      <c r="K55" s="195">
        <f>'Neo-K1'!T$43</f>
        <v>0.56230971314471512</v>
      </c>
      <c r="L55" s="195">
        <f>'Neo-K1'!V$43</f>
        <v>0.56158035550094909</v>
      </c>
      <c r="M55" s="195">
        <f>'Neo-K1'!X$43</f>
        <v>0.56076944648117655</v>
      </c>
      <c r="N55" s="195">
        <f>'Neo-K1'!Z$43</f>
        <v>0.55985015852087672</v>
      </c>
      <c r="O55" s="195">
        <f>'Neo-K1'!AB$43</f>
        <v>0.55878410135739098</v>
      </c>
      <c r="P55" s="195">
        <f>'Neo-K1'!AD$43</f>
        <v>0.55751489677062527</v>
      </c>
      <c r="Q55" s="195">
        <f>'Neo-K1'!AF$43</f>
        <v>0.5559575749820258</v>
      </c>
      <c r="R55" s="195">
        <f>'Neo-K1'!AH$43</f>
        <v>0.55398128159548965</v>
      </c>
      <c r="S55" s="195">
        <f>'Neo-K1'!AJ$43</f>
        <v>0.55138351555293574</v>
      </c>
      <c r="T55" s="195">
        <f>'Neo-K1'!AL$43</f>
        <v>0.54786462825619586</v>
      </c>
      <c r="U55" s="195">
        <f>'Neo-K1'!AN$43</f>
        <v>0.54305639890662105</v>
      </c>
      <c r="V55" s="195">
        <f>'Neo-K1'!AP$43</f>
        <v>0.54191347801569967</v>
      </c>
      <c r="W55" s="195">
        <f>'Neo-K1'!AR$43</f>
        <v>0.54070845352153596</v>
      </c>
      <c r="X55" s="195">
        <f>'Neo-K1'!AT$43</f>
        <v>0.53944260025216262</v>
      </c>
      <c r="Y55" s="195">
        <f>'Neo-K1'!AV$43</f>
        <v>0.53811842010909872</v>
      </c>
    </row>
    <row r="56" spans="1:26" x14ac:dyDescent="0.2">
      <c r="A56" t="s">
        <v>157</v>
      </c>
      <c r="B56" s="195">
        <f>'Neo-K2'!B$43</f>
        <v>0.56058995943838641</v>
      </c>
      <c r="C56" s="195">
        <f>'Neo-K2'!D$43</f>
        <v>0.56741363341696727</v>
      </c>
      <c r="D56" s="195">
        <f>'Neo-K2'!F$43</f>
        <v>0.56765738481923655</v>
      </c>
      <c r="E56" s="195">
        <f>'Neo-K2'!H$43</f>
        <v>0.56793532672313651</v>
      </c>
      <c r="F56" s="195">
        <f>'Neo-K2'!J$43</f>
        <v>0.56825154640017084</v>
      </c>
      <c r="G56" s="195">
        <f>'Neo-K2'!L$43</f>
        <v>0.56861074645547927</v>
      </c>
      <c r="H56" s="195">
        <f>'Neo-K2'!N$43</f>
        <v>0.56901840299204809</v>
      </c>
      <c r="I56" s="195">
        <f>'Neo-K2'!P$43</f>
        <v>0.56948082801524924</v>
      </c>
      <c r="J56" s="195">
        <f>'Neo-K2'!R$43</f>
        <v>0.57000523891139643</v>
      </c>
      <c r="K56" s="195">
        <f>'Neo-K2'!T$43</f>
        <v>0.5705996821636905</v>
      </c>
      <c r="L56" s="195">
        <f>'Neo-K2'!V$43</f>
        <v>0.57127261041507371</v>
      </c>
      <c r="M56" s="195">
        <f>'Neo-K2'!X$43</f>
        <v>0.57203153649692973</v>
      </c>
      <c r="N56" s="195">
        <f>'Neo-K2'!Z$43</f>
        <v>0.57287958485470314</v>
      </c>
      <c r="O56" s="195">
        <f>'Neo-K2'!AB$43</f>
        <v>0.57380694247783615</v>
      </c>
      <c r="P56" s="195">
        <f>'Neo-K2'!AD$43</f>
        <v>0.5747707372568821</v>
      </c>
      <c r="Q56" s="195">
        <f>'Neo-K2'!AF$43</f>
        <v>0.57565137213807116</v>
      </c>
      <c r="R56" s="195">
        <f>'Neo-K2'!AH$43</f>
        <v>0.57616953651259561</v>
      </c>
      <c r="S56" s="195">
        <f>'Neo-K2'!AJ$43</f>
        <v>0.57573319581967175</v>
      </c>
      <c r="T56" s="195">
        <f>'Neo-K2'!AL$43</f>
        <v>0.57292481722439204</v>
      </c>
      <c r="U56" s="195">
        <f>'Neo-K2'!AN$43</f>
        <v>0.56195062723169764</v>
      </c>
      <c r="V56" s="195">
        <f>'Neo-K2'!AP$43</f>
        <v>0.55663369874202995</v>
      </c>
      <c r="W56" s="195">
        <f>'Neo-K2'!AR$43</f>
        <v>0.54841553253954878</v>
      </c>
      <c r="X56" s="195">
        <f>'Neo-K2'!AT$43</f>
        <v>0.53414833677947537</v>
      </c>
      <c r="Y56" s="195">
        <f>'Neo-K2'!AV$43</f>
        <v>0.50255884281360275</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0.56058995943838641</v>
      </c>
      <c r="C63" s="195">
        <f t="shared" si="36"/>
        <v>0.56600356220906345</v>
      </c>
      <c r="D63" s="195">
        <f t="shared" si="36"/>
        <v>0.56480103959572847</v>
      </c>
      <c r="E63" s="195">
        <f t="shared" si="36"/>
        <v>0.5635924643595468</v>
      </c>
      <c r="F63" s="195">
        <f t="shared" si="36"/>
        <v>0.56237724905959174</v>
      </c>
      <c r="G63" s="195">
        <f t="shared" si="36"/>
        <v>0.56115472134410926</v>
      </c>
      <c r="H63" s="195">
        <f t="shared" si="36"/>
        <v>0.55992416857217076</v>
      </c>
      <c r="I63" s="195">
        <f t="shared" si="36"/>
        <v>0.55868481073266985</v>
      </c>
      <c r="J63" s="195">
        <f t="shared" si="36"/>
        <v>0.55743584713661343</v>
      </c>
      <c r="K63" s="195">
        <f t="shared" si="36"/>
        <v>0.55617654753870227</v>
      </c>
      <c r="L63" s="195">
        <f t="shared" si="36"/>
        <v>0.55490639836612954</v>
      </c>
      <c r="M63" s="195">
        <f t="shared" si="36"/>
        <v>0.55362543380089757</v>
      </c>
      <c r="N63" s="195">
        <f t="shared" si="36"/>
        <v>0.55233484375065589</v>
      </c>
      <c r="O63" s="195">
        <f t="shared" si="36"/>
        <v>0.55103824827604986</v>
      </c>
      <c r="P63" s="195">
        <f t="shared" si="36"/>
        <v>0.54974424299794022</v>
      </c>
      <c r="Q63" s="195">
        <f t="shared" si="36"/>
        <v>0.54847177180848472</v>
      </c>
      <c r="R63" s="195">
        <f t="shared" si="36"/>
        <v>0.54726135271005782</v>
      </c>
      <c r="S63" s="195">
        <f t="shared" si="36"/>
        <v>0.54619695838143267</v>
      </c>
      <c r="T63" s="195">
        <f t="shared" si="36"/>
        <v>0.54543120157210989</v>
      </c>
      <c r="U63" s="195">
        <f t="shared" si="36"/>
        <v>0.54511284691077988</v>
      </c>
      <c r="V63" s="195">
        <f t="shared" si="36"/>
        <v>0.54509634455195444</v>
      </c>
      <c r="W63" s="195">
        <f t="shared" si="36"/>
        <v>0.54508857411732081</v>
      </c>
      <c r="X63" s="195">
        <f t="shared" si="36"/>
        <v>0.54508590546961844</v>
      </c>
      <c r="Y63" s="195">
        <f t="shared" si="36"/>
        <v>0.5450854064520535</v>
      </c>
      <c r="Z63" s="138"/>
    </row>
    <row r="64" spans="1:26" x14ac:dyDescent="0.2">
      <c r="A64" t="str">
        <f t="shared" ref="A64:Q64" si="37">A50</f>
        <v>Kaldorian</v>
      </c>
      <c r="B64" s="195">
        <f t="shared" si="37"/>
        <v>0.56058995943838641</v>
      </c>
      <c r="C64" s="195">
        <f t="shared" si="37"/>
        <v>0.56349324840179205</v>
      </c>
      <c r="D64" s="195">
        <f t="shared" si="37"/>
        <v>0.55972879651101692</v>
      </c>
      <c r="E64" s="195">
        <f t="shared" si="37"/>
        <v>0.55590004427463158</v>
      </c>
      <c r="F64" s="195">
        <f t="shared" si="37"/>
        <v>0.55199843647927138</v>
      </c>
      <c r="G64" s="195">
        <f t="shared" si="37"/>
        <v>0.54801368611232915</v>
      </c>
      <c r="H64" s="195">
        <f t="shared" si="37"/>
        <v>0.54393297929872542</v>
      </c>
      <c r="I64" s="195">
        <f t="shared" si="37"/>
        <v>0.53974042407545941</v>
      </c>
      <c r="J64" s="195">
        <f t="shared" si="37"/>
        <v>0.53541557125365136</v>
      </c>
      <c r="K64" s="195">
        <f t="shared" si="37"/>
        <v>0.53093159538004642</v>
      </c>
      <c r="L64" s="195">
        <f t="shared" si="37"/>
        <v>0.52625217363641097</v>
      </c>
      <c r="M64" s="195">
        <f t="shared" si="37"/>
        <v>0.52132638230848105</v>
      </c>
      <c r="N64" s="195">
        <f t="shared" si="37"/>
        <v>0.51607889377699689</v>
      </c>
      <c r="O64" s="195">
        <f t="shared" si="37"/>
        <v>0.51039334919531321</v>
      </c>
      <c r="P64" s="195">
        <f t="shared" si="37"/>
        <v>0.50407592927997091</v>
      </c>
      <c r="Q64" s="195">
        <f t="shared" si="37"/>
        <v>0.49677724305072474</v>
      </c>
      <c r="R64" s="195"/>
      <c r="S64" s="195"/>
      <c r="T64" s="195"/>
      <c r="U64" s="195"/>
      <c r="V64" s="195"/>
      <c r="W64" s="195"/>
      <c r="X64" s="195"/>
      <c r="Y64" s="195"/>
      <c r="Z64" s="138"/>
    </row>
    <row r="65" spans="1:26" x14ac:dyDescent="0.2">
      <c r="A65" t="str">
        <f t="shared" ref="A65:Y65" si="38">A51</f>
        <v>Johansen</v>
      </c>
      <c r="B65" s="195">
        <f t="shared" si="38"/>
        <v>0.56058995943838641</v>
      </c>
      <c r="C65" s="195">
        <f t="shared" si="38"/>
        <v>0.56600144685748954</v>
      </c>
      <c r="D65" s="195">
        <f t="shared" si="38"/>
        <v>0.56479645567366277</v>
      </c>
      <c r="E65" s="195">
        <f t="shared" si="38"/>
        <v>0.56358501081887524</v>
      </c>
      <c r="F65" s="195">
        <f t="shared" si="38"/>
        <v>0.56236647276045992</v>
      </c>
      <c r="G65" s="195">
        <f t="shared" si="38"/>
        <v>0.56114010959501581</v>
      </c>
      <c r="H65" s="195">
        <f t="shared" si="38"/>
        <v>0.55990514298399563</v>
      </c>
      <c r="I65" s="195">
        <f t="shared" si="38"/>
        <v>0.55866072264405475</v>
      </c>
      <c r="J65" s="195">
        <f t="shared" si="38"/>
        <v>0.55740597560522931</v>
      </c>
      <c r="K65" s="195">
        <f t="shared" si="38"/>
        <v>0.55614010797540259</v>
      </c>
      <c r="L65" s="195">
        <f t="shared" si="38"/>
        <v>0.55486256818503443</v>
      </c>
      <c r="M65" s="195">
        <f t="shared" si="38"/>
        <v>0.5535734031667513</v>
      </c>
      <c r="N65" s="195">
        <f t="shared" si="38"/>
        <v>0.55227394765692672</v>
      </c>
      <c r="O65" s="195">
        <f t="shared" si="38"/>
        <v>0.55096821580059174</v>
      </c>
      <c r="P65" s="195">
        <f t="shared" si="38"/>
        <v>0.54966570517948643</v>
      </c>
      <c r="Q65" s="195">
        <f t="shared" si="38"/>
        <v>0.54838727305781376</v>
      </c>
      <c r="R65" s="195">
        <f t="shared" si="38"/>
        <v>0.54717726662617061</v>
      </c>
      <c r="S65" s="195">
        <f t="shared" si="38"/>
        <v>0.54612627583812434</v>
      </c>
      <c r="T65" s="195">
        <f t="shared" si="38"/>
        <v>0.54539239495110581</v>
      </c>
      <c r="U65" s="195">
        <f t="shared" si="38"/>
        <v>0.54510702026701752</v>
      </c>
      <c r="V65" s="195">
        <f t="shared" si="38"/>
        <v>0.54509365852079983</v>
      </c>
      <c r="W65" s="195">
        <f t="shared" si="38"/>
        <v>0.5450876572043688</v>
      </c>
      <c r="X65" s="195">
        <f t="shared" si="38"/>
        <v>0.54508572500330588</v>
      </c>
      <c r="Y65" s="195">
        <f t="shared" si="38"/>
        <v>0.54508539736022155</v>
      </c>
      <c r="Z65" s="138"/>
    </row>
    <row r="66" spans="1:26" x14ac:dyDescent="0.2">
      <c r="A66" t="str">
        <f t="shared" ref="A66:R66" si="39">A52</f>
        <v>Keynes-Kaldor</v>
      </c>
      <c r="B66" s="195">
        <f t="shared" si="39"/>
        <v>0.56058995943838641</v>
      </c>
      <c r="C66" s="195">
        <f t="shared" si="39"/>
        <v>0.566731673669291</v>
      </c>
      <c r="D66" s="195">
        <f t="shared" si="39"/>
        <v>0.5662525193484037</v>
      </c>
      <c r="E66" s="195">
        <f t="shared" si="39"/>
        <v>0.56576071868475986</v>
      </c>
      <c r="F66" s="195">
        <f t="shared" si="39"/>
        <v>0.56525333951088241</v>
      </c>
      <c r="G66" s="195">
        <f t="shared" si="39"/>
        <v>0.56472667420232681</v>
      </c>
      <c r="H66" s="195">
        <f t="shared" si="39"/>
        <v>0.56417602129385147</v>
      </c>
      <c r="I66" s="195">
        <f t="shared" si="39"/>
        <v>0.56359532543502799</v>
      </c>
      <c r="J66" s="195">
        <f t="shared" si="39"/>
        <v>0.5629766992634434</v>
      </c>
      <c r="K66" s="195">
        <f t="shared" si="39"/>
        <v>0.56230971314471512</v>
      </c>
      <c r="L66" s="195">
        <f t="shared" si="39"/>
        <v>0.56158035550094909</v>
      </c>
      <c r="M66" s="195">
        <f t="shared" si="39"/>
        <v>0.56076944648117655</v>
      </c>
      <c r="N66" s="195">
        <f t="shared" si="39"/>
        <v>0.55985015852087672</v>
      </c>
      <c r="O66" s="195">
        <f t="shared" si="39"/>
        <v>0.55878410135739098</v>
      </c>
      <c r="P66" s="195">
        <f t="shared" si="39"/>
        <v>0.55751489677062527</v>
      </c>
      <c r="Q66" s="195">
        <f t="shared" si="39"/>
        <v>0.5559575749820258</v>
      </c>
      <c r="R66" s="195">
        <f t="shared" si="39"/>
        <v>0.55398128159548965</v>
      </c>
      <c r="S66" s="195"/>
      <c r="T66" s="195"/>
      <c r="U66" s="195"/>
      <c r="V66" s="195"/>
      <c r="W66" s="195"/>
      <c r="X66" s="195"/>
      <c r="Y66" s="195"/>
    </row>
    <row r="67" spans="1:26" x14ac:dyDescent="0.2">
      <c r="A67" t="str">
        <f t="shared" ref="A67:K67" si="40">A53</f>
        <v>Keynes-Marshall</v>
      </c>
      <c r="B67" s="195">
        <f t="shared" si="40"/>
        <v>0.56058995943838641</v>
      </c>
      <c r="C67" s="195">
        <f t="shared" si="40"/>
        <v>0.57555092599515612</v>
      </c>
      <c r="D67" s="195">
        <f t="shared" si="40"/>
        <v>0.58394482121265412</v>
      </c>
      <c r="E67" s="195">
        <f t="shared" si="40"/>
        <v>0.59239987311158859</v>
      </c>
      <c r="F67" s="195">
        <f t="shared" si="40"/>
        <v>0.60093637047445803</v>
      </c>
      <c r="G67" s="195">
        <f t="shared" si="40"/>
        <v>0.60957824590404608</v>
      </c>
      <c r="H67" s="195">
        <f t="shared" si="40"/>
        <v>0.61835458108918828</v>
      </c>
      <c r="I67" s="195">
        <f t="shared" si="40"/>
        <v>0.62730156056031006</v>
      </c>
      <c r="J67" s="195">
        <f t="shared" si="40"/>
        <v>0.63646573029721243</v>
      </c>
      <c r="K67" s="195">
        <f t="shared" si="40"/>
        <v>0.64590884488059996</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0.56058995943838641</v>
      </c>
      <c r="C68" s="195">
        <f t="shared" si="41"/>
        <v>0.57283032093795294</v>
      </c>
      <c r="D68" s="195">
        <f t="shared" si="41"/>
        <v>0.57848768459157518</v>
      </c>
      <c r="E68" s="195">
        <f t="shared" si="41"/>
        <v>0.58416928110960853</v>
      </c>
      <c r="F68" s="195">
        <f t="shared" si="41"/>
        <v>0.58987005272362403</v>
      </c>
      <c r="G68" s="195">
        <f t="shared" si="41"/>
        <v>0.59558253635845892</v>
      </c>
      <c r="H68" s="195">
        <f t="shared" si="41"/>
        <v>0.60129568128928068</v>
      </c>
      <c r="I68" s="195">
        <f t="shared" si="41"/>
        <v>0.60699336563185413</v>
      </c>
      <c r="J68" s="195">
        <f t="shared" si="41"/>
        <v>0.61265199386791358</v>
      </c>
      <c r="K68" s="195">
        <f t="shared" si="41"/>
        <v>0.6182356011570499</v>
      </c>
      <c r="L68" s="195">
        <f t="shared" si="41"/>
        <v>0.62368904401476999</v>
      </c>
      <c r="M68" s="195">
        <f t="shared" si="41"/>
        <v>0.62892153907570292</v>
      </c>
      <c r="N68" s="195">
        <f t="shared" si="41"/>
        <v>0.63376424304061829</v>
      </c>
      <c r="O68" s="195"/>
      <c r="P68" s="195"/>
      <c r="Q68" s="195"/>
      <c r="R68" s="195"/>
      <c r="S68" s="195"/>
      <c r="T68" s="195"/>
      <c r="U68" s="195"/>
      <c r="V68" s="195"/>
      <c r="W68" s="195"/>
      <c r="X68" s="195"/>
      <c r="Y68" s="195"/>
    </row>
    <row r="69" spans="1:26" x14ac:dyDescent="0.2">
      <c r="A69" t="str">
        <f t="shared" ref="A69:Y69" si="42">A55</f>
        <v>Neo-K1</v>
      </c>
      <c r="B69" s="195">
        <f t="shared" si="42"/>
        <v>0.56058995943838641</v>
      </c>
      <c r="C69" s="195">
        <f t="shared" si="42"/>
        <v>0.566731673669291</v>
      </c>
      <c r="D69" s="195">
        <f t="shared" si="42"/>
        <v>0.5662525193484037</v>
      </c>
      <c r="E69" s="195">
        <f t="shared" si="42"/>
        <v>0.56576071868475986</v>
      </c>
      <c r="F69" s="195">
        <f t="shared" si="42"/>
        <v>0.56525333951088241</v>
      </c>
      <c r="G69" s="195">
        <f t="shared" si="42"/>
        <v>0.56472667420232681</v>
      </c>
      <c r="H69" s="195">
        <f t="shared" si="42"/>
        <v>0.56417602129385147</v>
      </c>
      <c r="I69" s="195">
        <f t="shared" si="42"/>
        <v>0.56359532543502799</v>
      </c>
      <c r="J69" s="195">
        <f t="shared" si="42"/>
        <v>0.5629766992634434</v>
      </c>
      <c r="K69" s="195">
        <f t="shared" si="42"/>
        <v>0.56230971314471512</v>
      </c>
      <c r="L69" s="195">
        <f t="shared" si="42"/>
        <v>0.56158035550094909</v>
      </c>
      <c r="M69" s="195">
        <f t="shared" si="42"/>
        <v>0.56076944648117655</v>
      </c>
      <c r="N69" s="195">
        <f t="shared" si="42"/>
        <v>0.55985015852087672</v>
      </c>
      <c r="O69" s="195">
        <f t="shared" si="42"/>
        <v>0.55878410135739098</v>
      </c>
      <c r="P69" s="195">
        <f t="shared" si="42"/>
        <v>0.55751489677062527</v>
      </c>
      <c r="Q69" s="195">
        <f t="shared" si="42"/>
        <v>0.5559575749820258</v>
      </c>
      <c r="R69" s="195">
        <f t="shared" si="42"/>
        <v>0.55398128159548965</v>
      </c>
      <c r="S69" s="195">
        <f t="shared" si="42"/>
        <v>0.55138351555293574</v>
      </c>
      <c r="T69" s="195">
        <f t="shared" si="42"/>
        <v>0.54786462825619586</v>
      </c>
      <c r="U69" s="195">
        <f t="shared" si="42"/>
        <v>0.54305639890662105</v>
      </c>
      <c r="V69" s="195">
        <f t="shared" si="42"/>
        <v>0.54191347801569967</v>
      </c>
      <c r="W69" s="195">
        <f t="shared" si="42"/>
        <v>0.54070845352153596</v>
      </c>
      <c r="X69" s="195">
        <f t="shared" si="42"/>
        <v>0.53944260025216262</v>
      </c>
      <c r="Y69" s="195">
        <f t="shared" si="42"/>
        <v>0.53811842010909872</v>
      </c>
    </row>
    <row r="70" spans="1:26" x14ac:dyDescent="0.2">
      <c r="A70" t="str">
        <f t="shared" ref="A70:Y70" si="43">A56</f>
        <v>Neo-K2</v>
      </c>
      <c r="B70" s="195">
        <f t="shared" si="43"/>
        <v>0.56058995943838641</v>
      </c>
      <c r="C70" s="195">
        <f t="shared" si="43"/>
        <v>0.56741363341696727</v>
      </c>
      <c r="D70" s="195">
        <f t="shared" si="43"/>
        <v>0.56765738481923655</v>
      </c>
      <c r="E70" s="195">
        <f t="shared" si="43"/>
        <v>0.56793532672313651</v>
      </c>
      <c r="F70" s="195">
        <f t="shared" si="43"/>
        <v>0.56825154640017084</v>
      </c>
      <c r="G70" s="195">
        <f t="shared" si="43"/>
        <v>0.56861074645547927</v>
      </c>
      <c r="H70" s="195">
        <f t="shared" si="43"/>
        <v>0.56901840299204809</v>
      </c>
      <c r="I70" s="195">
        <f t="shared" si="43"/>
        <v>0.56948082801524924</v>
      </c>
      <c r="J70" s="195">
        <f t="shared" si="43"/>
        <v>0.57000523891139643</v>
      </c>
      <c r="K70" s="195">
        <f t="shared" si="43"/>
        <v>0.5705996821636905</v>
      </c>
      <c r="L70" s="195">
        <f t="shared" si="43"/>
        <v>0.57127261041507371</v>
      </c>
      <c r="M70" s="195">
        <f t="shared" si="43"/>
        <v>0.57203153649692973</v>
      </c>
      <c r="N70" s="195">
        <f t="shared" si="43"/>
        <v>0.57287958485470314</v>
      </c>
      <c r="O70" s="195">
        <f t="shared" si="43"/>
        <v>0.57380694247783615</v>
      </c>
      <c r="P70" s="195">
        <f t="shared" si="43"/>
        <v>0.5747707372568821</v>
      </c>
      <c r="Q70" s="195">
        <f t="shared" si="43"/>
        <v>0.57565137213807116</v>
      </c>
      <c r="R70" s="195">
        <f t="shared" si="43"/>
        <v>0.57616953651259561</v>
      </c>
      <c r="S70" s="195">
        <f t="shared" si="43"/>
        <v>0.57573319581967175</v>
      </c>
      <c r="T70" s="195">
        <f t="shared" si="43"/>
        <v>0.57292481722439204</v>
      </c>
      <c r="U70" s="195">
        <f t="shared" si="43"/>
        <v>0.56195062723169764</v>
      </c>
      <c r="V70" s="195">
        <f t="shared" si="43"/>
        <v>0.55663369874202995</v>
      </c>
      <c r="W70" s="195">
        <f t="shared" si="43"/>
        <v>0.54841553253954878</v>
      </c>
      <c r="X70" s="195">
        <f t="shared" si="43"/>
        <v>0.53414833677947537</v>
      </c>
      <c r="Y70" s="195">
        <f t="shared" si="43"/>
        <v>0.50255884281360275</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3222.5706345456838</v>
      </c>
      <c r="D74" s="80">
        <f>NeoClassical!F$24</f>
        <v>3248.6796014784654</v>
      </c>
      <c r="E74" s="80">
        <f>NeoClassical!H$24</f>
        <v>3274.7070138513882</v>
      </c>
      <c r="F74" s="80">
        <f>NeoClassical!J$24</f>
        <v>3300.648246140539</v>
      </c>
      <c r="G74" s="80">
        <f>NeoClassical!L$24</f>
        <v>3326.4984450525913</v>
      </c>
      <c r="H74" s="80">
        <f>NeoClassical!N$24</f>
        <v>3352.2523621426121</v>
      </c>
      <c r="I74" s="80">
        <f>NeoClassical!P$24</f>
        <v>3377.9053357242451</v>
      </c>
      <c r="J74" s="80">
        <f>NeoClassical!R$24</f>
        <v>3403.4539977864115</v>
      </c>
      <c r="K74" s="80">
        <f>NeoClassical!T$24</f>
        <v>3428.8983254094837</v>
      </c>
      <c r="L74" s="80">
        <f>NeoClassical!V$24</f>
        <v>3454.2454799603288</v>
      </c>
      <c r="M74" s="80">
        <f>NeoClassical!X$24</f>
        <v>3479.5175857479594</v>
      </c>
      <c r="N74" s="80">
        <f>NeoClassical!Z$24</f>
        <v>3504.7681894988505</v>
      </c>
      <c r="O74" s="80">
        <f>NeoClassical!AB$24</f>
        <v>3530.1166773592176</v>
      </c>
      <c r="P74" s="80">
        <f>NeoClassical!AD$24</f>
        <v>3555.82646338118</v>
      </c>
      <c r="Q74" s="80">
        <f>NeoClassical!AF$24</f>
        <v>3582.4908533015282</v>
      </c>
      <c r="R74" s="80">
        <f>NeoClassical!AH$24</f>
        <v>3611.505714514798</v>
      </c>
      <c r="S74" s="80">
        <f>NeoClassical!AJ$24</f>
        <v>3646.3484080531089</v>
      </c>
      <c r="T74" s="80">
        <f>NeoClassical!AL$24</f>
        <v>3696.1596977182694</v>
      </c>
      <c r="U74" s="80">
        <f>NeoClassical!AN$24</f>
        <v>3788.0422085251266</v>
      </c>
      <c r="V74" s="80">
        <f>NeoClassical!AP$24</f>
        <v>3819.0172537728813</v>
      </c>
      <c r="W74" s="80">
        <f>NeoClassical!AR$24</f>
        <v>3860.3075975966685</v>
      </c>
      <c r="X74" s="80">
        <f>NeoClassical!AT$24</f>
        <v>3922.2224166849123</v>
      </c>
      <c r="Y74" s="80">
        <f>NeoClassical!AV$24</f>
        <v>4040.9534134599435</v>
      </c>
    </row>
    <row r="75" spans="1:26" x14ac:dyDescent="0.2">
      <c r="A75" t="s">
        <v>90</v>
      </c>
      <c r="B75" s="80">
        <f>Johansen!B$24</f>
        <v>3196.3846373657216</v>
      </c>
      <c r="C75" s="80">
        <f>Johansen!D$24</f>
        <v>3199.6852735530006</v>
      </c>
      <c r="D75" s="80">
        <f>Johansen!F$24</f>
        <v>3202.7336085654383</v>
      </c>
      <c r="E75" s="80">
        <f>Johansen!H$24</f>
        <v>3205.5020345293915</v>
      </c>
      <c r="F75" s="80">
        <f>Johansen!J$24</f>
        <v>3207.9581419722026</v>
      </c>
      <c r="G75" s="80">
        <f>Johansen!L$24</f>
        <v>3210.0635707635624</v>
      </c>
      <c r="H75" s="80">
        <f>Johansen!N$24</f>
        <v>3211.7723057259532</v>
      </c>
      <c r="I75" s="80">
        <f>Johansen!P$24</f>
        <v>3213.0286998852343</v>
      </c>
      <c r="J75" s="80">
        <f>Johansen!R$24</f>
        <v>3213.7645932511928</v>
      </c>
      <c r="K75" s="80">
        <f>Johansen!T$24</f>
        <v>3213.8952395282422</v>
      </c>
      <c r="L75" s="80">
        <f>Johansen!V$24</f>
        <v>3213.3137381541483</v>
      </c>
      <c r="M75" s="80">
        <f>Johansen!X$24</f>
        <v>3211.8827233650313</v>
      </c>
      <c r="N75" s="80">
        <f>Johansen!Z$24</f>
        <v>3209.4221755883423</v>
      </c>
      <c r="O75" s="80">
        <f>Johansen!AB$24</f>
        <v>3205.6907985389862</v>
      </c>
      <c r="P75" s="80">
        <f>Johansen!AD$24</f>
        <v>3200.3572971914609</v>
      </c>
      <c r="Q75" s="80">
        <f>Johansen!AF$24</f>
        <v>3192.9548661966219</v>
      </c>
      <c r="R75" s="80">
        <f>Johansen!AH$24</f>
        <v>3182.8094228631026</v>
      </c>
      <c r="S75" s="80">
        <f>Johansen!AJ$24</f>
        <v>3168.921636067701</v>
      </c>
      <c r="T75" s="80">
        <f>Johansen!AL$24</f>
        <v>3149.6841015313394</v>
      </c>
      <c r="U75" s="80">
        <f>Johansen!AN$24</f>
        <v>3121.7206655260907</v>
      </c>
      <c r="V75" s="80">
        <f>Johansen!AP$24</f>
        <v>3114.7048558106794</v>
      </c>
      <c r="W75" s="80">
        <f>Johansen!AR$24</f>
        <v>3107.6333351092039</v>
      </c>
      <c r="X75" s="80">
        <f>Johansen!AT$24</f>
        <v>3102.2999114183945</v>
      </c>
      <c r="Y75" s="80">
        <f>Johansen!AV$24</f>
        <v>3108.4078280223962</v>
      </c>
    </row>
    <row r="76" spans="1:26" x14ac:dyDescent="0.2">
      <c r="A76" t="s">
        <v>143</v>
      </c>
      <c r="B76" s="80">
        <f>Kaldorian!B$24</f>
        <v>3196.3846373657216</v>
      </c>
      <c r="C76" s="80">
        <f>Kaldorian!D$24</f>
        <v>3199.6750468259538</v>
      </c>
      <c r="D76" s="80">
        <f>Kaldorian!F$24</f>
        <v>3202.7148410870009</v>
      </c>
      <c r="E76" s="80">
        <f>Kaldorian!H$24</f>
        <v>3205.4766276036685</v>
      </c>
      <c r="F76" s="80">
        <f>Kaldorian!J$24</f>
        <v>3207.9282498206462</v>
      </c>
      <c r="G76" s="80">
        <f>Kaldorian!L$24</f>
        <v>3210.0314722493545</v>
      </c>
      <c r="H76" s="80">
        <f>Kaldorian!N$24</f>
        <v>3211.7407646677698</v>
      </c>
      <c r="I76" s="80">
        <f>Kaldorian!P$24</f>
        <v>3213.0006799820662</v>
      </c>
      <c r="J76" s="80">
        <f>Kaldorian!R$24</f>
        <v>3213.7434805627818</v>
      </c>
      <c r="K76" s="80">
        <f>Kaldorian!T$24</f>
        <v>3213.8848809167189</v>
      </c>
      <c r="L76" s="80">
        <f>Kaldorian!V$24</f>
        <v>3213.3183894366889</v>
      </c>
      <c r="M76" s="80">
        <f>Kaldorian!X$24</f>
        <v>3211.9075279777981</v>
      </c>
      <c r="N76" s="80">
        <f>Kaldorian!Z$24</f>
        <v>3209.4716906523199</v>
      </c>
      <c r="O76" s="80">
        <f>Kaldorian!AB$24</f>
        <v>3205.7702193445889</v>
      </c>
      <c r="P76" s="80">
        <f>Kaldorian!AD$24</f>
        <v>3200.4703433869768</v>
      </c>
      <c r="Q76" s="80">
        <f>Kaldorian!AF$24</f>
        <v>3193.1015544301472</v>
      </c>
      <c r="R76" s="80">
        <f>Kaldorian!AH$24</f>
        <v>3182.980295055977</v>
      </c>
      <c r="S76" s="80">
        <f>Kaldorian!AJ$24</f>
        <v>3169.0870626195292</v>
      </c>
      <c r="T76" s="80">
        <f>Kaldorian!AL$24</f>
        <v>3149.7877725466456</v>
      </c>
      <c r="U76" s="80">
        <f>Kaldorian!AN$24</f>
        <v>3121.7382073993726</v>
      </c>
      <c r="V76" s="80">
        <f>Kaldorian!AP$24</f>
        <v>3114.7131128905817</v>
      </c>
      <c r="W76" s="80">
        <f>Kaldorian!AR$24</f>
        <v>3107.6362072251377</v>
      </c>
      <c r="X76" s="80">
        <f>Kaldorian!AT$24</f>
        <v>3102.3004850755515</v>
      </c>
      <c r="Y76" s="80">
        <f>Kaldorian!AV$24</f>
        <v>3108.40785698629</v>
      </c>
    </row>
    <row r="77" spans="1:26" x14ac:dyDescent="0.2">
      <c r="A77" t="s">
        <v>146</v>
      </c>
      <c r="B77" s="80">
        <f>'Keynes-K'!B$24</f>
        <v>3196.3846373657216</v>
      </c>
      <c r="C77" s="80">
        <f>'Keynes-K'!D$24</f>
        <v>3202.9889678266231</v>
      </c>
      <c r="D77" s="80">
        <f>'Keynes-K'!F$24</f>
        <v>3207.9464200916177</v>
      </c>
      <c r="E77" s="80">
        <f>'Keynes-K'!H$24</f>
        <v>3210.9952120179537</v>
      </c>
      <c r="F77" s="80">
        <f>'Keynes-K'!J$24</f>
        <v>3211.8124435766299</v>
      </c>
      <c r="G77" s="80">
        <f>'Keynes-K'!L$24</f>
        <v>3209.9960588928943</v>
      </c>
      <c r="H77" s="80">
        <f>'Keynes-K'!N$24</f>
        <v>3205.0372457481963</v>
      </c>
      <c r="I77" s="80">
        <f>'Keynes-K'!P$24</f>
        <v>3196.2833771194478</v>
      </c>
      <c r="J77" s="80">
        <f>'Keynes-K'!R$24</f>
        <v>3182.8824290581147</v>
      </c>
      <c r="K77" s="80">
        <f>'Keynes-K'!T$24</f>
        <v>3163.7004242861804</v>
      </c>
      <c r="L77" s="80">
        <f>'Keynes-K'!V$24</f>
        <v>3137.1941244701902</v>
      </c>
      <c r="M77" s="80">
        <f>'Keynes-K'!X$24</f>
        <v>3101.209036453718</v>
      </c>
      <c r="N77" s="80">
        <f>'Keynes-K'!Z$24</f>
        <v>3052.6465952159697</v>
      </c>
      <c r="O77" s="80">
        <f>'Keynes-K'!AB$24</f>
        <v>2986.8944364731024</v>
      </c>
      <c r="P77" s="80">
        <f>'Keynes-K'!AD$24</f>
        <v>2896.8067225112827</v>
      </c>
      <c r="Q77" s="80">
        <f>'Keynes-K'!AF$24</f>
        <v>2770.7934630623572</v>
      </c>
      <c r="R77" s="80">
        <f>'Keynes-K'!AH$24</f>
        <v>2589.0796099804911</v>
      </c>
      <c r="S77" s="80">
        <f>'Keynes-K'!AJ$24</f>
        <v>2316.1758705154043</v>
      </c>
      <c r="T77" s="80">
        <f>'Keynes-K'!AL$24</f>
        <v>1886.0962871791514</v>
      </c>
      <c r="U77" s="80">
        <f>'Keynes-K'!AN$24</f>
        <v>1178.1616763578938</v>
      </c>
      <c r="V77" s="80">
        <f>'Keynes-K'!AP$24</f>
        <v>987.39153903919464</v>
      </c>
      <c r="W77" s="80">
        <f>'Keynes-K'!AR$24</f>
        <v>776.0762712386969</v>
      </c>
      <c r="X77" s="80">
        <f>'Keynes-K'!AT$24</f>
        <v>542.31775413722198</v>
      </c>
      <c r="Y77" s="80">
        <f>'Keynes-K'!AV$24</f>
        <v>284.23167789279597</v>
      </c>
    </row>
    <row r="78" spans="1:26" x14ac:dyDescent="0.2">
      <c r="A78" t="s">
        <v>144</v>
      </c>
      <c r="B78" s="80">
        <f>'Keynes-M'!B$24</f>
        <v>3196.3846373657216</v>
      </c>
      <c r="C78" s="80">
        <f>'Keynes-M'!D$24</f>
        <v>3228.7875689447992</v>
      </c>
      <c r="D78" s="80">
        <f>'Keynes-M'!F$24</f>
        <v>3260.9359422108951</v>
      </c>
      <c r="E78" s="80">
        <f>'Keynes-M'!H$24</f>
        <v>3292.8492040061928</v>
      </c>
      <c r="F78" s="80">
        <f>'Keynes-M'!J$24</f>
        <v>3324.5479349221268</v>
      </c>
      <c r="G78" s="80">
        <f>'Keynes-M'!L$24</f>
        <v>3356.0552220364029</v>
      </c>
      <c r="H78" s="80">
        <f>'Keynes-M'!N$24</f>
        <v>3387.3978998998959</v>
      </c>
      <c r="I78" s="80">
        <f>'Keynes-M'!P$24</f>
        <v>3418.6103729995612</v>
      </c>
      <c r="J78" s="80">
        <f>'Keynes-M'!R$24</f>
        <v>3449.7390722075465</v>
      </c>
      <c r="K78" s="80">
        <f>'Keynes-M'!T$24</f>
        <v>3480.8508340161766</v>
      </c>
      <c r="L78" s="80">
        <f>'Keynes-M'!V$24</f>
        <v>3512.047110155233</v>
      </c>
      <c r="M78" s="80">
        <f>'Keynes-M'!X$24</f>
        <v>3543.4896951872306</v>
      </c>
      <c r="N78" s="80">
        <f>'Keynes-M'!Z$24</f>
        <v>3575.4487438105239</v>
      </c>
      <c r="O78" s="80">
        <f>'Keynes-M'!AB$24</f>
        <v>3608.3966761058573</v>
      </c>
      <c r="P78" s="80">
        <f>'Keynes-M'!AD$24</f>
        <v>3643.2008859683524</v>
      </c>
      <c r="Q78" s="80">
        <f>'Keynes-M'!AF$24</f>
        <v>3681.5383429326425</v>
      </c>
      <c r="R78" s="80">
        <f>'Keynes-M'!AH$24</f>
        <v>3726.8222942483094</v>
      </c>
      <c r="S78" s="80">
        <f>'Keynes-M'!AJ$24</f>
        <v>3786.3067477056793</v>
      </c>
      <c r="T78" s="80">
        <f>'Keynes-M'!AL$24</f>
        <v>3876.2895596466938</v>
      </c>
      <c r="U78" s="80">
        <f>'Keynes-M'!AN$24</f>
        <v>4049.1994135063906</v>
      </c>
      <c r="V78" s="80">
        <f>'Keynes-M'!AP$24</f>
        <v>4112.1724679308863</v>
      </c>
      <c r="W78" s="80">
        <f>'Keynes-M'!AR$24</f>
        <v>4201.1098412362408</v>
      </c>
      <c r="X78" s="80">
        <f>'Keynes-M'!AT$24</f>
        <v>4344.5989814979666</v>
      </c>
      <c r="Y78" s="80">
        <f>'Keynes-M'!AV$24</f>
        <v>0</v>
      </c>
    </row>
    <row r="79" spans="1:26" x14ac:dyDescent="0.2">
      <c r="A79" t="s">
        <v>145</v>
      </c>
      <c r="B79" s="80">
        <f>Keynesian!B$24</f>
        <v>3196.3846373657216</v>
      </c>
      <c r="C79" s="80">
        <f>Keynesian!D$24</f>
        <v>3147.3047109557524</v>
      </c>
      <c r="D79" s="80">
        <f>Keynesian!F$24</f>
        <v>3093.2239409821318</v>
      </c>
      <c r="E79" s="80">
        <f>Keynesian!H$24</f>
        <v>3033.5110682649943</v>
      </c>
      <c r="F79" s="80">
        <f>Keynesian!J$24</f>
        <v>2967.4303506033293</v>
      </c>
      <c r="G79" s="80">
        <f>Keynesian!L$24</f>
        <v>2894.1236392006872</v>
      </c>
      <c r="H79" s="80">
        <f>Keynesian!N$24</f>
        <v>2812.592006012509</v>
      </c>
      <c r="I79" s="80">
        <f>Keynesian!P$24</f>
        <v>2721.6816200650078</v>
      </c>
      <c r="J79" s="80">
        <f>Keynesian!R$24</f>
        <v>2620.0820159275422</v>
      </c>
      <c r="K79" s="80">
        <f>Keynesian!T$24</f>
        <v>2506.3569536778832</v>
      </c>
      <c r="L79" s="80">
        <f>Keynesian!V$24</f>
        <v>2379.0667459118572</v>
      </c>
      <c r="M79" s="80">
        <f>Keynesian!X$24</f>
        <v>2237.1225392031524</v>
      </c>
      <c r="N79" s="80">
        <f>Keynesian!Z$24</f>
        <v>2080.8516959494445</v>
      </c>
      <c r="O79" s="80">
        <f>Keynesian!AB$24</f>
        <v>1915.8059966074418</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3202.9889678266231</v>
      </c>
      <c r="D80" s="80">
        <f>'Neo-K1'!F$24</f>
        <v>3207.9464200916177</v>
      </c>
      <c r="E80" s="80">
        <f>'Neo-K1'!H$24</f>
        <v>3210.9952120179537</v>
      </c>
      <c r="F80" s="80">
        <f>'Neo-K1'!J$24</f>
        <v>3211.8124435766299</v>
      </c>
      <c r="G80" s="80">
        <f>'Neo-K1'!L$24</f>
        <v>3209.9960588928943</v>
      </c>
      <c r="H80" s="80">
        <f>'Neo-K1'!N$24</f>
        <v>3205.0372457481963</v>
      </c>
      <c r="I80" s="80">
        <f>'Neo-K1'!P$24</f>
        <v>3196.2833771194478</v>
      </c>
      <c r="J80" s="80">
        <f>'Neo-K1'!R$24</f>
        <v>3182.8824290581147</v>
      </c>
      <c r="K80" s="80">
        <f>'Neo-K1'!T$24</f>
        <v>3163.7004242861804</v>
      </c>
      <c r="L80" s="80">
        <f>'Neo-K1'!V$24</f>
        <v>3137.1941244701902</v>
      </c>
      <c r="M80" s="80">
        <f>'Neo-K1'!X$24</f>
        <v>3101.209036453718</v>
      </c>
      <c r="N80" s="80">
        <f>'Neo-K1'!Z$24</f>
        <v>3052.6465952159697</v>
      </c>
      <c r="O80" s="80">
        <f>'Neo-K1'!AB$24</f>
        <v>2986.8944364731024</v>
      </c>
      <c r="P80" s="80">
        <f>'Neo-K1'!AD$24</f>
        <v>2896.8067225112827</v>
      </c>
      <c r="Q80" s="80">
        <f>'Neo-K1'!AF$24</f>
        <v>2770.7934630623572</v>
      </c>
      <c r="R80" s="80">
        <f>'Neo-K1'!AH$24</f>
        <v>2589.0796099804911</v>
      </c>
      <c r="S80" s="80">
        <f>'Neo-K1'!AJ$24</f>
        <v>2316.1758705154043</v>
      </c>
      <c r="T80" s="80">
        <f>'Neo-K1'!AL$24</f>
        <v>1886.0962871791514</v>
      </c>
      <c r="U80" s="80">
        <f>'Neo-K1'!AN$24</f>
        <v>1178.1616763578938</v>
      </c>
      <c r="V80" s="80">
        <f>'Neo-K1'!AP$24</f>
        <v>987.39153903919464</v>
      </c>
      <c r="W80" s="80">
        <f>'Neo-K1'!AR$24</f>
        <v>776.0762712386969</v>
      </c>
      <c r="X80" s="80">
        <f>'Neo-K1'!AT$24</f>
        <v>542.31775413722198</v>
      </c>
      <c r="Y80" s="80">
        <f>'Neo-K1'!AV$24</f>
        <v>284.23167789279597</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3196.3846373657216</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3.7576820028211555E-2</v>
      </c>
      <c r="D85" s="240">
        <f t="shared" si="45"/>
        <v>7.2284235048009002E-2</v>
      </c>
      <c r="E85" s="240">
        <f t="shared" si="45"/>
        <v>0.11035372982225634</v>
      </c>
      <c r="F85" s="240">
        <f t="shared" si="45"/>
        <v>0.15235346398539271</v>
      </c>
      <c r="G85" s="240">
        <f t="shared" si="45"/>
        <v>0.19899557910564947</v>
      </c>
      <c r="H85" s="240">
        <f t="shared" si="45"/>
        <v>0.25118753840254604</v>
      </c>
      <c r="I85" s="240">
        <f t="shared" si="45"/>
        <v>0.31010659374382593</v>
      </c>
      <c r="J85" s="240">
        <f t="shared" si="45"/>
        <v>0.37731349340135223</v>
      </c>
      <c r="K85" s="240">
        <f t="shared" si="45"/>
        <v>0.4549303796749497</v>
      </c>
      <c r="L85" s="240">
        <f t="shared" si="45"/>
        <v>0.54593158404332864</v>
      </c>
      <c r="M85" s="240">
        <f t="shared" si="45"/>
        <v>0.65463853479254419</v>
      </c>
      <c r="N85" s="240">
        <f t="shared" si="45"/>
        <v>0.78762101959212716</v>
      </c>
      <c r="O85" s="240">
        <f t="shared" si="45"/>
        <v>0.95543708971435626</v>
      </c>
      <c r="P85" s="240">
        <f t="shared" si="45"/>
        <v>1.1763161430035167</v>
      </c>
      <c r="Q85" s="240">
        <f t="shared" si="45"/>
        <v>1.4848270250202305</v>
      </c>
      <c r="R85" s="240">
        <f t="shared" si="44"/>
        <v>1.9554430202091309</v>
      </c>
      <c r="S85" s="240">
        <f t="shared" si="44"/>
        <v>2.7803675186190659</v>
      </c>
      <c r="T85" s="240">
        <f t="shared" si="44"/>
        <v>4.6132451739592728</v>
      </c>
      <c r="U85" s="240">
        <f t="shared" si="44"/>
        <v>11.212858085766589</v>
      </c>
      <c r="V85" s="240">
        <f t="shared" si="44"/>
        <v>14.911573707024603</v>
      </c>
      <c r="W85" s="240">
        <f t="shared" si="44"/>
        <v>21.471228963068341</v>
      </c>
      <c r="X85" s="240">
        <f t="shared" si="44"/>
        <v>35.68077870440527</v>
      </c>
      <c r="Y85" s="240">
        <f t="shared" si="44"/>
        <v>83.783272510098044</v>
      </c>
    </row>
    <row r="86" spans="1:25" x14ac:dyDescent="0.2">
      <c r="A86" t="str">
        <f t="shared" ref="A86:A93" si="46">A4</f>
        <v>Kaldorian</v>
      </c>
      <c r="B86" s="240">
        <f t="shared" si="45"/>
        <v>5.7716594496607888E-3</v>
      </c>
      <c r="C86" s="240">
        <f t="shared" si="44"/>
        <v>3.9178962040226868E-2</v>
      </c>
      <c r="D86" s="240">
        <f t="shared" si="44"/>
        <v>7.5623310148561732E-2</v>
      </c>
      <c r="E86" s="240">
        <f t="shared" si="44"/>
        <v>0.11558593774654918</v>
      </c>
      <c r="F86" s="240">
        <f t="shared" si="44"/>
        <v>0.15966173161586275</v>
      </c>
      <c r="G86" s="240">
        <f t="shared" si="44"/>
        <v>0.20859777604631807</v>
      </c>
      <c r="H86" s="240">
        <f t="shared" si="44"/>
        <v>0.26334429822031941</v>
      </c>
      <c r="I86" s="240">
        <f t="shared" si="44"/>
        <v>0.32513750741198399</v>
      </c>
      <c r="J86" s="240">
        <f t="shared" si="44"/>
        <v>0.39561632004204195</v>
      </c>
      <c r="K86" s="240">
        <f t="shared" si="44"/>
        <v>0.47701255864731446</v>
      </c>
      <c r="L86" s="240">
        <f t="shared" si="44"/>
        <v>0.57245961353517694</v>
      </c>
      <c r="M86" s="240">
        <f t="shared" si="44"/>
        <v>0.68652229529535957</v>
      </c>
      <c r="N86" s="240">
        <f t="shared" si="44"/>
        <v>0.82615465184922765</v>
      </c>
      <c r="O86" s="240">
        <f t="shared" si="44"/>
        <v>1.002591737246886</v>
      </c>
      <c r="P86" s="240">
        <f t="shared" si="44"/>
        <v>1.2353282506858458</v>
      </c>
      <c r="Q86" s="240">
        <f t="shared" si="44"/>
        <v>1.5616126002375041</v>
      </c>
      <c r="R86" s="240">
        <f t="shared" si="44"/>
        <v>2.0624826799273079</v>
      </c>
      <c r="S86" s="240">
        <f t="shared" si="44"/>
        <v>2.9498560485885843</v>
      </c>
      <c r="T86" s="240">
        <f t="shared" si="44"/>
        <v>4.9568309495008442</v>
      </c>
      <c r="U86" s="240">
        <f t="shared" si="44"/>
        <v>12.40636493838055</v>
      </c>
      <c r="V86" s="240">
        <f t="shared" si="44"/>
        <v>16.675270850586877</v>
      </c>
      <c r="W86" s="240">
        <f t="shared" si="44"/>
        <v>24.362925209181579</v>
      </c>
      <c r="X86" s="240">
        <f t="shared" si="44"/>
        <v>41.399162200152659</v>
      </c>
      <c r="Y86" s="240">
        <f t="shared" si="44"/>
        <v>101.48092030869337</v>
      </c>
    </row>
    <row r="87" spans="1:25" x14ac:dyDescent="0.2">
      <c r="A87" t="str">
        <f t="shared" si="46"/>
        <v>Johansen</v>
      </c>
      <c r="B87" s="240">
        <f t="shared" si="45"/>
        <v>5.7716594496607888E-3</v>
      </c>
      <c r="C87" s="240">
        <f t="shared" si="44"/>
        <v>3.8405951589098306E-2</v>
      </c>
      <c r="D87" s="240">
        <f t="shared" si="44"/>
        <v>7.4034095945547967E-2</v>
      </c>
      <c r="E87" s="240">
        <f t="shared" si="44"/>
        <v>0.11313285289619952</v>
      </c>
      <c r="F87" s="240">
        <f t="shared" si="44"/>
        <v>0.15629200903902266</v>
      </c>
      <c r="G87" s="240">
        <f t="shared" si="44"/>
        <v>0.20425173940590244</v>
      </c>
      <c r="H87" s="240">
        <f t="shared" si="44"/>
        <v>0.25795658195783921</v>
      </c>
      <c r="I87" s="240">
        <f t="shared" si="44"/>
        <v>0.31863400918239337</v>
      </c>
      <c r="J87" s="240">
        <f t="shared" si="44"/>
        <v>0.38791471223385926</v>
      </c>
      <c r="K87" s="240">
        <f t="shared" si="44"/>
        <v>0.46802130123716246</v>
      </c>
      <c r="L87" s="240">
        <f t="shared" si="44"/>
        <v>0.56207792031990933</v>
      </c>
      <c r="M87" s="240">
        <f t="shared" si="44"/>
        <v>0.67464125166591515</v>
      </c>
      <c r="N87" s="240">
        <f t="shared" si="44"/>
        <v>0.81266751963789752</v>
      </c>
      <c r="O87" s="240">
        <f t="shared" si="44"/>
        <v>0.98739884570990843</v>
      </c>
      <c r="P87" s="240">
        <f t="shared" si="44"/>
        <v>1.218378553540675</v>
      </c>
      <c r="Q87" s="240">
        <f t="shared" si="44"/>
        <v>1.5429904339299025</v>
      </c>
      <c r="R87" s="240">
        <f t="shared" si="44"/>
        <v>2.0426438580583026</v>
      </c>
      <c r="S87" s="240">
        <f t="shared" si="44"/>
        <v>2.9302572839621361</v>
      </c>
      <c r="T87" s="240">
        <f t="shared" si="44"/>
        <v>4.9412539698962563</v>
      </c>
      <c r="U87" s="240">
        <f t="shared" si="44"/>
        <v>12.400327076116961</v>
      </c>
      <c r="V87" s="240">
        <f t="shared" si="44"/>
        <v>16.671265832940268</v>
      </c>
      <c r="W87" s="240">
        <f t="shared" si="44"/>
        <v>24.360677554122308</v>
      </c>
      <c r="X87" s="240">
        <f t="shared" si="44"/>
        <v>41.398233500247883</v>
      </c>
      <c r="Y87" s="240">
        <f t="shared" si="44"/>
        <v>101.48074085234143</v>
      </c>
    </row>
    <row r="88" spans="1:25" x14ac:dyDescent="0.2">
      <c r="A88" t="str">
        <f t="shared" si="46"/>
        <v>Keynes-Kaldor</v>
      </c>
      <c r="B88" s="240">
        <f t="shared" si="45"/>
        <v>5.7716594496607888E-3</v>
      </c>
      <c r="C88" s="240">
        <f t="shared" si="44"/>
        <v>3.4329412891687047E-2</v>
      </c>
      <c r="D88" s="240">
        <f t="shared" si="44"/>
        <v>6.5272919849351421E-2</v>
      </c>
      <c r="E88" s="240">
        <f t="shared" si="44"/>
        <v>9.894330995358934E-2</v>
      </c>
      <c r="F88" s="240">
        <f t="shared" si="44"/>
        <v>0.13575348366790152</v>
      </c>
      <c r="G88" s="240">
        <f t="shared" si="44"/>
        <v>0.17620817837857161</v>
      </c>
      <c r="H88" s="240">
        <f t="shared" si="44"/>
        <v>0.22093251656763291</v>
      </c>
      <c r="I88" s="240">
        <f t="shared" si="44"/>
        <v>0.27071080956303667</v>
      </c>
      <c r="J88" s="240">
        <f t="shared" si="44"/>
        <v>0.3265424744879114</v>
      </c>
      <c r="K88" s="240">
        <f t="shared" si="44"/>
        <v>0.38972318471501421</v>
      </c>
      <c r="L88" s="240">
        <f t="shared" si="44"/>
        <v>0.46196614398460667</v>
      </c>
      <c r="M88" s="240">
        <f t="shared" si="44"/>
        <v>0.54558784951091899</v>
      </c>
      <c r="N88" s="240">
        <f t="shared" si="44"/>
        <v>0.64380210416473915</v>
      </c>
      <c r="O88" s="240">
        <f t="shared" si="44"/>
        <v>0.76119840991715693</v>
      </c>
      <c r="P88" s="240">
        <f t="shared" si="44"/>
        <v>0.9045469863585297</v>
      </c>
      <c r="Q88" s="240">
        <f t="shared" si="44"/>
        <v>1.0841879005104624</v>
      </c>
      <c r="R88" s="240">
        <f t="shared" si="44"/>
        <v>1.3164506840180725</v>
      </c>
      <c r="S88" s="240">
        <f t="shared" si="44"/>
        <v>1.6277027135394759</v>
      </c>
      <c r="T88" s="240">
        <f t="shared" si="44"/>
        <v>2.0598782667121989</v>
      </c>
      <c r="U88" s="240">
        <f t="shared" si="44"/>
        <v>2.6722208079807093</v>
      </c>
      <c r="V88" s="240">
        <f t="shared" si="44"/>
        <v>2.8218410642448011</v>
      </c>
      <c r="W88" s="240">
        <f t="shared" si="44"/>
        <v>2.9813834866720024</v>
      </c>
      <c r="X88" s="240">
        <f t="shared" si="44"/>
        <v>3.151010647438401</v>
      </c>
      <c r="Y88" s="240">
        <f t="shared" si="44"/>
        <v>3.3307345789872422</v>
      </c>
    </row>
    <row r="89" spans="1:25" x14ac:dyDescent="0.2">
      <c r="A89" t="str">
        <f t="shared" si="46"/>
        <v>Keynes-Marshall</v>
      </c>
      <c r="B89" s="240">
        <f t="shared" si="45"/>
        <v>5.7716594496607888E-3</v>
      </c>
      <c r="C89" s="240">
        <f t="shared" si="44"/>
        <v>3.9857195897785434E-2</v>
      </c>
      <c r="D89" s="240">
        <f t="shared" si="44"/>
        <v>7.7159910163009368E-2</v>
      </c>
      <c r="E89" s="240">
        <f t="shared" si="44"/>
        <v>0.11821841607917559</v>
      </c>
      <c r="F89" s="240">
        <f t="shared" si="44"/>
        <v>0.16370485831664514</v>
      </c>
      <c r="G89" s="240">
        <f t="shared" si="44"/>
        <v>0.21447121533616059</v>
      </c>
      <c r="H89" s="240">
        <f t="shared" si="44"/>
        <v>0.27161690949126088</v>
      </c>
      <c r="I89" s="240">
        <f t="shared" si="44"/>
        <v>0.3365895730937763</v>
      </c>
      <c r="J89" s="240">
        <f t="shared" si="44"/>
        <v>0.41134066074033848</v>
      </c>
      <c r="K89" s="240">
        <f t="shared" si="44"/>
        <v>0.49857469136020521</v>
      </c>
      <c r="L89" s="240">
        <f t="shared" si="44"/>
        <v>0.60216533125711769</v>
      </c>
      <c r="M89" s="240">
        <f t="shared" si="44"/>
        <v>0.72788378728702496</v>
      </c>
      <c r="N89" s="240">
        <f t="shared" si="44"/>
        <v>0.88475241684643402</v>
      </c>
      <c r="O89" s="240">
        <f t="shared" si="44"/>
        <v>1.0877440954370787</v>
      </c>
      <c r="P89" s="240">
        <f t="shared" si="44"/>
        <v>1.3636526496594534</v>
      </c>
      <c r="Q89" s="240">
        <f t="shared" si="44"/>
        <v>1.7653107445951408</v>
      </c>
      <c r="R89" s="240">
        <f t="shared" si="44"/>
        <v>2.4111041238659863</v>
      </c>
      <c r="S89" s="240">
        <f t="shared" si="44"/>
        <v>3.6167909572379746</v>
      </c>
      <c r="T89" s="240">
        <f t="shared" si="44"/>
        <v>6.4775081518234403</v>
      </c>
      <c r="U89" s="240">
        <f t="shared" si="44"/>
        <v>17.554773816092116</v>
      </c>
      <c r="V89" s="240">
        <f t="shared" si="44"/>
        <v>24.109538576075821</v>
      </c>
      <c r="W89" s="240">
        <f t="shared" si="44"/>
        <v>36.216108389725207</v>
      </c>
      <c r="X89" s="240">
        <f t="shared" si="44"/>
        <v>64.082441832148007</v>
      </c>
      <c r="Y89" s="240">
        <f t="shared" si="44"/>
        <v>0</v>
      </c>
    </row>
    <row r="90" spans="1:25" x14ac:dyDescent="0.2">
      <c r="A90" t="str">
        <f t="shared" si="46"/>
        <v>Keynesian</v>
      </c>
      <c r="B90" s="240">
        <f t="shared" si="45"/>
        <v>5.7716594496607888E-3</v>
      </c>
      <c r="C90" s="240">
        <f t="shared" si="44"/>
        <v>2.830297885260093E-2</v>
      </c>
      <c r="D90" s="240">
        <f t="shared" si="44"/>
        <v>5.2206845542503502E-2</v>
      </c>
      <c r="E90" s="240">
        <f t="shared" si="44"/>
        <v>7.7587141400944373E-2</v>
      </c>
      <c r="F90" s="240">
        <f t="shared" si="44"/>
        <v>0.1045488768485674</v>
      </c>
      <c r="G90" s="240">
        <f t="shared" si="44"/>
        <v>0.13319328879664238</v>
      </c>
      <c r="H90" s="240">
        <f t="shared" si="44"/>
        <v>0.16360881478652539</v>
      </c>
      <c r="I90" s="240">
        <f t="shared" si="44"/>
        <v>0.19585638756003843</v>
      </c>
      <c r="J90" s="240">
        <f t="shared" si="44"/>
        <v>0.22994509300881549</v>
      </c>
      <c r="K90" s="240">
        <f t="shared" si="44"/>
        <v>0.26579060423819495</v>
      </c>
      <c r="L90" s="240">
        <f t="shared" si="44"/>
        <v>0.30314481127564546</v>
      </c>
      <c r="M90" s="240">
        <f t="shared" si="44"/>
        <v>0.34146303547706192</v>
      </c>
      <c r="N90" s="240">
        <f t="shared" si="44"/>
        <v>0.3796116509029428</v>
      </c>
      <c r="O90" s="240">
        <f t="shared" si="44"/>
        <v>0.41498565805398618</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3.2448554934034694E-2</v>
      </c>
      <c r="D91" s="240">
        <f t="shared" si="44"/>
        <v>6.1123564371438406E-2</v>
      </c>
      <c r="E91" s="240">
        <f t="shared" si="44"/>
        <v>9.2044520429936924E-2</v>
      </c>
      <c r="F91" s="240">
        <f t="shared" si="44"/>
        <v>0.12550211832853883</v>
      </c>
      <c r="G91" s="240">
        <f t="shared" si="44"/>
        <v>0.16183991020998698</v>
      </c>
      <c r="H91" s="240">
        <f t="shared" si="44"/>
        <v>0.20146659550949511</v>
      </c>
      <c r="I91" s="240">
        <f t="shared" si="44"/>
        <v>0.24487340927590068</v>
      </c>
      <c r="J91" s="240">
        <f t="shared" si="44"/>
        <v>0.29265783594979689</v>
      </c>
      <c r="K91" s="240">
        <f t="shared" si="44"/>
        <v>0.3455606332140147</v>
      </c>
      <c r="L91" s="240">
        <f t="shared" si="44"/>
        <v>0.40452705311549814</v>
      </c>
      <c r="M91" s="240">
        <f t="shared" si="44"/>
        <v>0.47082692466987286</v>
      </c>
      <c r="N91" s="240">
        <f t="shared" si="44"/>
        <v>0.54631921854008592</v>
      </c>
      <c r="O91" s="240">
        <f t="shared" si="44"/>
        <v>0.63411053758784997</v>
      </c>
      <c r="P91" s="240">
        <f t="shared" si="44"/>
        <v>0.74033239566618614</v>
      </c>
      <c r="Q91" s="240">
        <f t="shared" si="44"/>
        <v>0.87916367949943808</v>
      </c>
      <c r="R91" s="240">
        <f t="shared" si="44"/>
        <v>1.0874880907166968</v>
      </c>
      <c r="S91" s="240">
        <f t="shared" si="44"/>
        <v>1.4723254498473253</v>
      </c>
      <c r="T91" s="240">
        <f t="shared" si="44"/>
        <v>2.42100966900896</v>
      </c>
      <c r="U91" s="240">
        <f t="shared" si="44"/>
        <v>6.3024687136492439</v>
      </c>
      <c r="V91" s="240">
        <f t="shared" si="44"/>
        <v>8.6030045822412156</v>
      </c>
      <c r="W91" s="240">
        <f t="shared" si="44"/>
        <v>12.773970638262533</v>
      </c>
      <c r="X91" s="240">
        <f t="shared" si="44"/>
        <v>21.997898996507043</v>
      </c>
      <c r="Y91" s="240">
        <f t="shared" si="44"/>
        <v>53.686091391096191</v>
      </c>
    </row>
    <row r="92" spans="1:25" x14ac:dyDescent="0.2">
      <c r="A92" t="str">
        <f t="shared" si="46"/>
        <v>Neo-K1</v>
      </c>
      <c r="B92" s="240">
        <f t="shared" si="45"/>
        <v>5.7716594496607888E-3</v>
      </c>
      <c r="C92" s="240">
        <f t="shared" si="44"/>
        <v>3.4329412891687047E-2</v>
      </c>
      <c r="D92" s="240">
        <f t="shared" si="44"/>
        <v>6.5272919849351421E-2</v>
      </c>
      <c r="E92" s="240">
        <f t="shared" si="44"/>
        <v>9.894330995358934E-2</v>
      </c>
      <c r="F92" s="240">
        <f t="shared" si="44"/>
        <v>0.13575348366790152</v>
      </c>
      <c r="G92" s="240">
        <f t="shared" si="44"/>
        <v>0.17620817837857161</v>
      </c>
      <c r="H92" s="240">
        <f t="shared" si="44"/>
        <v>0.22093251656763291</v>
      </c>
      <c r="I92" s="240">
        <f t="shared" si="44"/>
        <v>0.27071080956303667</v>
      </c>
      <c r="J92" s="240">
        <f t="shared" si="44"/>
        <v>0.3265424744879114</v>
      </c>
      <c r="K92" s="240">
        <f t="shared" si="44"/>
        <v>0.38972318471501421</v>
      </c>
      <c r="L92" s="240">
        <f t="shared" si="44"/>
        <v>0.46196614398460667</v>
      </c>
      <c r="M92" s="240">
        <f t="shared" si="44"/>
        <v>0.54558784951091899</v>
      </c>
      <c r="N92" s="240">
        <f t="shared" si="44"/>
        <v>0.64380210416473915</v>
      </c>
      <c r="O92" s="240">
        <f t="shared" si="44"/>
        <v>0.76119840991715693</v>
      </c>
      <c r="P92" s="240">
        <f t="shared" si="44"/>
        <v>0.9045469863585297</v>
      </c>
      <c r="Q92" s="240">
        <f t="shared" si="44"/>
        <v>1.0841879005104624</v>
      </c>
      <c r="R92" s="240">
        <f t="shared" si="44"/>
        <v>1.3164506840180725</v>
      </c>
      <c r="S92" s="240">
        <f t="shared" si="44"/>
        <v>1.6277027135394759</v>
      </c>
      <c r="T92" s="240">
        <f t="shared" si="44"/>
        <v>2.0598782667121989</v>
      </c>
      <c r="U92" s="240">
        <f t="shared" si="44"/>
        <v>2.6722208079807093</v>
      </c>
      <c r="V92" s="240">
        <f t="shared" si="44"/>
        <v>2.8218410642448011</v>
      </c>
      <c r="W92" s="240">
        <f t="shared" si="44"/>
        <v>2.9813834866720024</v>
      </c>
      <c r="X92" s="240">
        <f t="shared" si="44"/>
        <v>3.151010647438401</v>
      </c>
      <c r="Y92" s="240">
        <f t="shared" si="44"/>
        <v>3.3307345789872422</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J21" sqref="J21"/>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0.99524971926380668</v>
      </c>
      <c r="D2">
        <f>'Diagnosis Indicators'!D3</f>
        <v>0.99022176356011471</v>
      </c>
      <c r="E2">
        <f>'Diagnosis Indicators'!E3</f>
        <v>0.98488146215198646</v>
      </c>
      <c r="F2">
        <f>'Diagnosis Indicators'!F3</f>
        <v>0.97918743201020997</v>
      </c>
      <c r="G2">
        <f>'Diagnosis Indicators'!G3</f>
        <v>0.97308981323910526</v>
      </c>
      <c r="H2">
        <f>'Diagnosis Indicators'!H3</f>
        <v>0.96652778434678599</v>
      </c>
      <c r="I2">
        <f>'Diagnosis Indicators'!I3</f>
        <v>0.95942607436847283</v>
      </c>
      <c r="J2">
        <f>'Diagnosis Indicators'!J3</f>
        <v>0.9516900363256775</v>
      </c>
      <c r="K2">
        <f>'Diagnosis Indicators'!K3</f>
        <v>0.94319831521355812</v>
      </c>
      <c r="L2">
        <f>'Diagnosis Indicators'!L3</f>
        <v>0.93379179789809041</v>
      </c>
      <c r="M2">
        <f>'Diagnosis Indicators'!M3</f>
        <v>0.9232560875181447</v>
      </c>
      <c r="N2">
        <f>'Diagnosis Indicators'!N3</f>
        <v>0.91129239280442631</v>
      </c>
      <c r="O2">
        <f>'Diagnosis Indicators'!O3</f>
        <v>0.89746689008893432</v>
      </c>
      <c r="P2">
        <f>'Diagnosis Indicators'!P3</f>
        <v>0.8811157532223346</v>
      </c>
      <c r="Q2">
        <f>'Diagnosis Indicators'!Q3</f>
        <v>0.86115197006480271</v>
      </c>
      <c r="R2">
        <f>'Diagnosis Indicators'!R3</f>
        <v>0.83563014956050363</v>
      </c>
      <c r="S2">
        <f>'Diagnosis Indicators'!S3</f>
        <v>0.80062674515837196</v>
      </c>
      <c r="T2">
        <f>'Diagnosis Indicators'!T3</f>
        <v>0.74679341304192881</v>
      </c>
      <c r="U2">
        <f>'Diagnosis Indicators'!U3</f>
        <v>0.64415709552961908</v>
      </c>
      <c r="V2">
        <f>'Diagnosis Indicators'!V3</f>
        <v>0.60917515428444147</v>
      </c>
      <c r="W2">
        <f>'Diagnosis Indicators'!W3</f>
        <v>0.56327812913658903</v>
      </c>
      <c r="X2">
        <f>'Diagnosis Indicators'!X3</f>
        <v>0.49790165615541859</v>
      </c>
      <c r="Y2">
        <f>'Diagnosis Indicators'!Y3</f>
        <v>0.38799637862421721</v>
      </c>
    </row>
    <row r="3" spans="1:25" x14ac:dyDescent="0.2">
      <c r="A3" t="str">
        <f>'Diagnosis Indicators'!A4</f>
        <v>Kaldorian</v>
      </c>
      <c r="B3">
        <f>'Diagnosis Indicators'!B4</f>
        <v>1</v>
      </c>
      <c r="C3">
        <f>'Diagnosis Indicators'!C4</f>
        <v>0.9985280771584587</v>
      </c>
      <c r="D3">
        <f>'Diagnosis Indicators'!D4</f>
        <v>0.99678463547503082</v>
      </c>
      <c r="E3">
        <f>'Diagnosis Indicators'!E4</f>
        <v>0.99473578571044585</v>
      </c>
      <c r="F3">
        <f>'Diagnosis Indicators'!F4</f>
        <v>0.99234107987103914</v>
      </c>
      <c r="G3">
        <f>'Diagnosis Indicators'!G4</f>
        <v>0.98955171397195596</v>
      </c>
      <c r="H3">
        <f>'Diagnosis Indicators'!H4</f>
        <v>0.98630812460883499</v>
      </c>
      <c r="I3">
        <f>'Diagnosis Indicators'!I4</f>
        <v>0.98253651995375801</v>
      </c>
      <c r="J3">
        <f>'Diagnosis Indicators'!J4</f>
        <v>0.97814412115678584</v>
      </c>
      <c r="K3">
        <f>'Diagnosis Indicators'!K4</f>
        <v>0.97301201495539302</v>
      </c>
      <c r="L3">
        <f>'Diagnosis Indicators'!L4</f>
        <v>0.96698439429945349</v>
      </c>
      <c r="M3">
        <f>'Diagnosis Indicators'!M4</f>
        <v>0.95985189392553305</v>
      </c>
      <c r="N3">
        <f>'Diagnosis Indicators'!N4</f>
        <v>0.9513229057803837</v>
      </c>
    </row>
    <row r="4" spans="1:25" x14ac:dyDescent="0.2">
      <c r="A4" t="str">
        <f>'Diagnosis Indicators'!A5</f>
        <v>Johansen</v>
      </c>
      <c r="B4">
        <f>'Diagnosis Indicators'!B5</f>
        <v>1</v>
      </c>
      <c r="C4">
        <f>'Diagnosis Indicators'!C5</f>
        <v>0.99853520414348329</v>
      </c>
      <c r="D4">
        <f>'Diagnosis Indicators'!D5</f>
        <v>0.99679900553654277</v>
      </c>
      <c r="E4">
        <f>'Diagnosis Indicators'!E5</f>
        <v>0.99475754866618604</v>
      </c>
      <c r="F4">
        <f>'Diagnosis Indicators'!F5</f>
        <v>0.99237041860692343</v>
      </c>
      <c r="G4">
        <f>'Diagnosis Indicators'!G5</f>
        <v>0.98958887165487164</v>
      </c>
      <c r="H4">
        <f>'Diagnosis Indicators'!H5</f>
        <v>0.9863533570741515</v>
      </c>
      <c r="I4">
        <f>'Diagnosis Indicators'!I5</f>
        <v>0.98259015042132314</v>
      </c>
      <c r="J4">
        <f>'Diagnosis Indicators'!J5</f>
        <v>0.97820650616152349</v>
      </c>
      <c r="K4">
        <f>'Diagnosis Indicators'!K5</f>
        <v>0.97308351718849651</v>
      </c>
      <c r="L4">
        <f>'Diagnosis Indicators'!L5</f>
        <v>0.96706538134101683</v>
      </c>
      <c r="M4">
        <f>'Diagnosis Indicators'!M5</f>
        <v>0.95994241003334058</v>
      </c>
      <c r="N4">
        <f>'Diagnosis Indicators'!N5</f>
        <v>0.95142310813916009</v>
      </c>
      <c r="O4">
        <f>'Diagnosis Indicators'!O5</f>
        <v>0.9410855134246624</v>
      </c>
      <c r="P4">
        <f>'Diagnosis Indicators'!P5</f>
        <v>0.9282865521861775</v>
      </c>
      <c r="Q4">
        <f>'Diagnosis Indicators'!Q5</f>
        <v>0.91197780070108081</v>
      </c>
      <c r="R4">
        <f>'Diagnosis Indicators'!R5</f>
        <v>0.89028815504404357</v>
      </c>
      <c r="S4">
        <f>'Diagnosis Indicators'!S5</f>
        <v>0.85943257892062341</v>
      </c>
      <c r="T4">
        <f>'Diagnosis Indicators'!T5</f>
        <v>0.81022165203502483</v>
      </c>
      <c r="U4">
        <f>'Diagnosis Indicators'!U5</f>
        <v>0.71173774576219528</v>
      </c>
      <c r="V4">
        <f>'Diagnosis Indicators'!V5</f>
        <v>0.67689681806677859</v>
      </c>
      <c r="W4">
        <f>'Diagnosis Indicators'!W5</f>
        <v>0.63029710614583145</v>
      </c>
      <c r="X4">
        <f>'Diagnosis Indicators'!X5</f>
        <v>0.56232182027382049</v>
      </c>
      <c r="Y4">
        <f>'Diagnosis Indicators'!Y5</f>
        <v>0.44420811034680352</v>
      </c>
    </row>
    <row r="5" spans="1:25" x14ac:dyDescent="0.2">
      <c r="A5" t="str">
        <f>'Diagnosis Indicators'!A6</f>
        <v>Keynes-Kaldor</v>
      </c>
      <c r="B5">
        <f>'Diagnosis Indicators'!B6</f>
        <v>1</v>
      </c>
      <c r="C5">
        <f>'Diagnosis Indicators'!C6</f>
        <v>0.99114934332042826</v>
      </c>
      <c r="D5">
        <f>'Diagnosis Indicators'!D6</f>
        <v>0.98166614459058887</v>
      </c>
      <c r="E5">
        <f>'Diagnosis Indicators'!E6</f>
        <v>0.97146258590138856</v>
      </c>
      <c r="F5">
        <f>'Diagnosis Indicators'!F6</f>
        <v>0.96043246741692112</v>
      </c>
      <c r="G5">
        <f>'Diagnosis Indicators'!G6</f>
        <v>0.94844609452914197</v>
      </c>
      <c r="H5">
        <f>'Diagnosis Indicators'!H6</f>
        <v>0.93534288640881957</v>
      </c>
      <c r="I5">
        <f>'Diagnosis Indicators'!I6</f>
        <v>0.92092141547988471</v>
      </c>
      <c r="J5">
        <f>'Diagnosis Indicators'!J6</f>
        <v>0.90492493004255348</v>
      </c>
      <c r="K5">
        <f>'Diagnosis Indicators'!K6</f>
        <v>0.88702030125232556</v>
      </c>
      <c r="L5">
        <f>'Diagnosis Indicators'!L6</f>
        <v>0.86676635465258844</v>
      </c>
      <c r="M5">
        <f>'Diagnosis Indicators'!M6</f>
        <v>0.8435649856287798</v>
      </c>
      <c r="N5">
        <f>'Diagnosis Indicators'!N6</f>
        <v>0.81658326158989336</v>
      </c>
    </row>
    <row r="6" spans="1:25" x14ac:dyDescent="0.2">
      <c r="A6" t="str">
        <f>'Diagnosis Indicators'!A7</f>
        <v>Keynes-Marshall</v>
      </c>
      <c r="B6">
        <f>'Diagnosis Indicators'!B7</f>
        <v>1</v>
      </c>
      <c r="C6">
        <f>'Diagnosis Indicators'!C7</f>
        <v>1.0071990750628019</v>
      </c>
      <c r="D6">
        <f>'Diagnosis Indicators'!D7</f>
        <v>1.014056227151845</v>
      </c>
      <c r="E6">
        <f>'Diagnosis Indicators'!E7</f>
        <v>1.0205438177033006</v>
      </c>
      <c r="F6">
        <f>'Diagnosis Indicators'!F7</f>
        <v>1.0266275762977095</v>
      </c>
      <c r="G6">
        <f>'Diagnosis Indicators'!G7</f>
        <v>1.0322650012512375</v>
      </c>
      <c r="H6">
        <f>'Diagnosis Indicators'!H7</f>
        <v>1.0374029185556666</v>
      </c>
      <c r="I6">
        <f>'Diagnosis Indicators'!I7</f>
        <v>1.0419746288267444</v>
      </c>
      <c r="J6">
        <f>'Diagnosis Indicators'!J7</f>
        <v>1.0458953595134663</v>
      </c>
      <c r="K6">
        <f>'Diagnosis Indicators'!K7</f>
        <v>1.0490559186480131</v>
      </c>
      <c r="L6">
        <f>'Diagnosis Indicators'!L7</f>
        <v>1.0513130861024953</v>
      </c>
      <c r="M6">
        <f>'Diagnosis Indicators'!M7</f>
        <v>1.0524746549696293</v>
      </c>
      <c r="N6">
        <f>'Diagnosis Indicators'!N7</f>
        <v>1.0522749490192704</v>
      </c>
      <c r="O6">
        <f>'Diagnosis Indicators'!O7</f>
        <v>1.0503322601806966</v>
      </c>
      <c r="P6">
        <f>'Diagnosis Indicators'!P7</f>
        <v>1.0460687076926145</v>
      </c>
      <c r="Q6">
        <f>'Diagnosis Indicators'!Q7</f>
        <v>1.038542367214516</v>
      </c>
      <c r="R6">
        <f>'Diagnosis Indicators'!R7</f>
        <v>1.0260429935516415</v>
      </c>
    </row>
    <row r="7" spans="1:25" x14ac:dyDescent="0.2">
      <c r="A7" t="str">
        <f>'Diagnosis Indicators'!A8</f>
        <v>Keynesian</v>
      </c>
      <c r="B7">
        <f>'Diagnosis Indicators'!B8</f>
        <v>1</v>
      </c>
      <c r="C7">
        <f>'Diagnosis Indicators'!C8</f>
        <v>0.98296768724560157</v>
      </c>
      <c r="D7">
        <f>'Diagnosis Indicators'!D8</f>
        <v>0.96435954420644387</v>
      </c>
      <c r="E7">
        <f>'Diagnosis Indicators'!E8</f>
        <v>0.94398795743820529</v>
      </c>
      <c r="F7">
        <f>'Diagnosis Indicators'!F8</f>
        <v>0.9216356596886095</v>
      </c>
      <c r="G7">
        <f>'Diagnosis Indicators'!G8</f>
        <v>0.89705092662532016</v>
      </c>
      <c r="H7">
        <f>'Diagnosis Indicators'!H8</f>
        <v>0.86994277402223574</v>
      </c>
      <c r="I7">
        <f>'Diagnosis Indicators'!I8</f>
        <v>0.83997758604845374</v>
      </c>
      <c r="J7">
        <f>'Diagnosis Indicators'!J8</f>
        <v>0.80677952907477202</v>
      </c>
      <c r="K7">
        <f>'Diagnosis Indicators'!K8</f>
        <v>0.76994055992035648</v>
      </c>
      <c r="L7">
        <f>'Diagnosis Indicators'!L8</f>
        <v>0.72905703431628033</v>
      </c>
      <c r="M7">
        <f>'Diagnosis Indicators'!M8</f>
        <v>0.68383291617879549</v>
      </c>
      <c r="N7">
        <f>'Diagnosis Indicators'!N8</f>
        <v>0.6343866547970427</v>
      </c>
      <c r="O7">
        <f>'Diagnosis Indicators'!O8</f>
        <v>0.58234275676208103</v>
      </c>
    </row>
    <row r="8" spans="1:25" x14ac:dyDescent="0.2">
      <c r="A8" t="str">
        <f>'Diagnosis Indicators'!A9</f>
        <v>Neo-K2</v>
      </c>
      <c r="B8">
        <f>'Diagnosis Indicators'!B9</f>
        <v>1</v>
      </c>
      <c r="C8">
        <f>'Diagnosis Indicators'!C9</f>
        <v>0.98906693046785021</v>
      </c>
      <c r="D8">
        <f>'Diagnosis Indicators'!D9</f>
        <v>0.97721824238842314</v>
      </c>
      <c r="E8">
        <f>'Diagnosis Indicators'!E9</f>
        <v>0.96431150768065177</v>
      </c>
      <c r="F8">
        <f>'Diagnosis Indicators'!F9</f>
        <v>0.95017307241085558</v>
      </c>
      <c r="G8">
        <f>'Diagnosis Indicators'!G9</f>
        <v>0.93458994791108685</v>
      </c>
      <c r="H8">
        <f>'Diagnosis Indicators'!H9</f>
        <v>0.91729780555077012</v>
      </c>
      <c r="I8">
        <f>'Diagnosis Indicators'!I9</f>
        <v>0.89796677526049307</v>
      </c>
      <c r="J8">
        <f>'Diagnosis Indicators'!J9</f>
        <v>0.87618214380107051</v>
      </c>
      <c r="K8">
        <f>'Diagnosis Indicators'!K9</f>
        <v>0.85142080834275002</v>
      </c>
      <c r="L8">
        <f>'Diagnosis Indicators'!L9</f>
        <v>0.82302390789892799</v>
      </c>
      <c r="M8">
        <f>'Diagnosis Indicators'!M9</f>
        <v>0.7901729587319466</v>
      </c>
      <c r="N8">
        <f>'Diagnosis Indicators'!N9</f>
        <v>0.7518870190657444</v>
      </c>
      <c r="O8">
        <f>'Diagnosis Indicators'!O9</f>
        <v>0.7070896287021613</v>
      </c>
      <c r="P8">
        <f>'Diagnosis Indicators'!P9</f>
        <v>0.65484484329438264</v>
      </c>
      <c r="Q8">
        <f>'Diagnosis Indicators'!Q9</f>
        <v>0.59488964812411593</v>
      </c>
      <c r="R8">
        <f>'Diagnosis Indicators'!R9</f>
        <v>0.52833449452391534</v>
      </c>
      <c r="S8">
        <f>'Diagnosis Indicators'!S9</f>
        <v>0.45744025150765083</v>
      </c>
      <c r="T8">
        <f>'Diagnosis Indicators'!T9</f>
        <v>0.38248784210091791</v>
      </c>
      <c r="U8">
        <f>'Diagnosis Indicators'!U9</f>
        <v>0.29249469737721107</v>
      </c>
      <c r="V8">
        <f>'Diagnosis Indicators'!V9</f>
        <v>0.2688664653420455</v>
      </c>
      <c r="W8">
        <f>'Diagnosis Indicators'!W9</f>
        <v>0.24071569627050157</v>
      </c>
      <c r="X8">
        <f>'Diagnosis Indicators'!X9</f>
        <v>0.20458729900365438</v>
      </c>
      <c r="Y8">
        <f>'Diagnosis Indicators'!Y9</f>
        <v>0.15125036338528894</v>
      </c>
    </row>
    <row r="9" spans="1:25" x14ac:dyDescent="0.2">
      <c r="A9" t="str">
        <f>'Diagnosis Indicators'!A10</f>
        <v>Neo-K1</v>
      </c>
      <c r="B9">
        <f>'Diagnosis Indicators'!B10</f>
        <v>1</v>
      </c>
      <c r="C9">
        <f>'Diagnosis Indicators'!C10</f>
        <v>0.99114934332042826</v>
      </c>
      <c r="D9">
        <f>'Diagnosis Indicators'!D10</f>
        <v>0.98166614459058887</v>
      </c>
      <c r="E9">
        <f>'Diagnosis Indicators'!E10</f>
        <v>0.97146258590138856</v>
      </c>
      <c r="F9">
        <f>'Diagnosis Indicators'!F10</f>
        <v>0.96043246741692112</v>
      </c>
      <c r="G9">
        <f>'Diagnosis Indicators'!G10</f>
        <v>0.94844609452914197</v>
      </c>
      <c r="H9">
        <f>'Diagnosis Indicators'!H10</f>
        <v>0.93534288640881957</v>
      </c>
      <c r="I9">
        <f>'Diagnosis Indicators'!I10</f>
        <v>0.92092141547988471</v>
      </c>
      <c r="J9">
        <f>'Diagnosis Indicators'!J10</f>
        <v>0.90492493004255348</v>
      </c>
      <c r="K9">
        <f>'Diagnosis Indicators'!K10</f>
        <v>0.88702030125232556</v>
      </c>
      <c r="L9">
        <f>'Diagnosis Indicators'!L10</f>
        <v>0.86676635465258844</v>
      </c>
      <c r="M9">
        <f>'Diagnosis Indicators'!M10</f>
        <v>0.8435649856287798</v>
      </c>
      <c r="N9">
        <f>'Diagnosis Indicators'!N10</f>
        <v>0.81658326158989336</v>
      </c>
      <c r="O9">
        <f>'Diagnosis Indicators'!O10</f>
        <v>0.78462436299384619</v>
      </c>
      <c r="P9">
        <f>'Diagnosis Indicators'!P10</f>
        <v>0.745906238242249</v>
      </c>
      <c r="Q9">
        <f>'Diagnosis Indicators'!Q10</f>
        <v>0.69766660412182113</v>
      </c>
      <c r="R9">
        <f>'Diagnosis Indicators'!R10</f>
        <v>0.63543558279791368</v>
      </c>
      <c r="S9">
        <f>'Diagnosis Indicators'!S10</f>
        <v>0.55168620671551427</v>
      </c>
      <c r="T9">
        <f>'Diagnosis Indicators'!T10</f>
        <v>0.43348621898851247</v>
      </c>
      <c r="U9">
        <f>'Diagnosis Indicators'!U10</f>
        <v>0.25946963882461987</v>
      </c>
      <c r="V9">
        <f>'Diagnosis Indicators'!V10</f>
        <v>0.21542713133580568</v>
      </c>
      <c r="W9">
        <f>'Diagnosis Indicators'!W10</f>
        <v>0.16770148114360714</v>
      </c>
      <c r="X9">
        <f>'Diagnosis Indicators'!X10</f>
        <v>0.11604095383281747</v>
      </c>
      <c r="Y9">
        <f>'Diagnosis Indicators'!Y10</f>
        <v>6.0210534874297054E-2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2025-09-15T13:40:28Z</dcterms:modified>
</cp:coreProperties>
</file>