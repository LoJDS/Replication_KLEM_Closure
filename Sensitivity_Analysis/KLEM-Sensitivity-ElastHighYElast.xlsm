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617A6819-B140-4391-868F-31AE59C6CF3F}"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39" l="1"/>
  <c r="L6" i="39"/>
  <c r="M6" i="39"/>
  <c r="N6" i="39"/>
  <c r="O6" i="39"/>
  <c r="P6" i="39"/>
  <c r="AP83" i="35"/>
  <c r="AD83" i="35"/>
  <c r="Z83" i="35"/>
  <c r="R83" i="35"/>
  <c r="J83" i="35"/>
  <c r="AT82" i="35"/>
  <c r="AP82" i="35"/>
  <c r="AH82" i="35"/>
  <c r="Z82" i="35"/>
  <c r="N82" i="35"/>
  <c r="L82" i="35"/>
  <c r="J82" i="35"/>
  <c r="AT81" i="35"/>
  <c r="AP81" i="35"/>
  <c r="AN81" i="35"/>
  <c r="AH81" i="35"/>
  <c r="AF81" i="35"/>
  <c r="AB81" i="35"/>
  <c r="Z81" i="35"/>
  <c r="V81" i="35"/>
  <c r="T81" i="35"/>
  <c r="R81" i="35"/>
  <c r="N81" i="35"/>
  <c r="J81" i="35"/>
  <c r="H81" i="35"/>
  <c r="B81" i="35"/>
  <c r="AV80" i="35"/>
  <c r="AL80" i="35"/>
  <c r="AJ80" i="35"/>
  <c r="AH80" i="35"/>
  <c r="AD80" i="35"/>
  <c r="Z80" i="35"/>
  <c r="X80" i="35"/>
  <c r="R80" i="35"/>
  <c r="P80" i="35"/>
  <c r="F80" i="35"/>
  <c r="D80" i="35"/>
  <c r="B80" i="35"/>
  <c r="AV79" i="35" a="1"/>
  <c r="AV79" i="35" s="1"/>
  <c r="AT79" i="35" a="1"/>
  <c r="AT79" i="35" s="1"/>
  <c r="AR79" i="35"/>
  <c r="AR79" i="35" a="1"/>
  <c r="AP79" i="35" a="1"/>
  <c r="AP79" i="35" s="1"/>
  <c r="AN79" i="35" a="1"/>
  <c r="AN79" i="35" s="1"/>
  <c r="AL79" i="35" a="1"/>
  <c r="AL79" i="35" s="1"/>
  <c r="AJ79" i="35" a="1"/>
  <c r="AJ79" i="35" s="1"/>
  <c r="AH79" i="35" a="1"/>
  <c r="AH79" i="35" s="1"/>
  <c r="AF79" i="35" a="1"/>
  <c r="AF79" i="35" s="1"/>
  <c r="AD79" i="35" a="1"/>
  <c r="AD79" i="35" s="1"/>
  <c r="AB79" i="35"/>
  <c r="AB79" i="35" a="1"/>
  <c r="Z79" i="35" a="1"/>
  <c r="Z79" i="35" s="1"/>
  <c r="X79" i="35" a="1"/>
  <c r="X79" i="35" s="1"/>
  <c r="V79" i="35" a="1"/>
  <c r="V79" i="35" s="1"/>
  <c r="T79" i="35" a="1"/>
  <c r="T79" i="35" s="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a="1"/>
  <c r="AL78" i="35" s="1"/>
  <c r="AJ78" i="35" a="1"/>
  <c r="AJ78" i="35" s="1"/>
  <c r="AH78" i="35" a="1"/>
  <c r="AH78" i="35" s="1"/>
  <c r="AF78" i="35" a="1"/>
  <c r="AF78" i="35" s="1"/>
  <c r="AD78" i="35" a="1"/>
  <c r="AD78" i="35" s="1"/>
  <c r="AB78" i="35"/>
  <c r="AB78" i="35" a="1"/>
  <c r="Z78" i="35" a="1"/>
  <c r="Z78" i="35" s="1"/>
  <c r="X78" i="35" a="1"/>
  <c r="X78" i="35" s="1"/>
  <c r="V78" i="35" a="1"/>
  <c r="V78" i="35" s="1"/>
  <c r="T78" i="35" a="1"/>
  <c r="T78" i="35" s="1"/>
  <c r="R78" i="35" a="1"/>
  <c r="R78" i="35" s="1"/>
  <c r="P78" i="35" a="1"/>
  <c r="P78" i="35" s="1"/>
  <c r="N78" i="35" a="1"/>
  <c r="N78" i="35" s="1"/>
  <c r="L78" i="35"/>
  <c r="L78" i="35" a="1"/>
  <c r="J78" i="35" a="1"/>
  <c r="J78" i="35" s="1"/>
  <c r="H78" i="35" a="1"/>
  <c r="H78" i="35" s="1"/>
  <c r="F78" i="35" a="1"/>
  <c r="F78" i="35" s="1"/>
  <c r="D78" i="35" a="1"/>
  <c r="D78" i="35" s="1"/>
  <c r="B78" i="35" a="1"/>
  <c r="B78" i="35" s="1"/>
  <c r="AV77" i="35" a="1"/>
  <c r="AV77" i="35" s="1"/>
  <c r="AT77" i="35" a="1"/>
  <c r="AT77" i="35" s="1"/>
  <c r="AR77" i="35"/>
  <c r="AR77" i="35" a="1"/>
  <c r="AP77" i="35" a="1"/>
  <c r="AP77" i="35" s="1"/>
  <c r="AN77" i="35" a="1"/>
  <c r="AN77" i="35" s="1"/>
  <c r="AL77" i="35"/>
  <c r="AL77" i="35" a="1"/>
  <c r="AJ77" i="35" a="1"/>
  <c r="AJ77" i="35" s="1"/>
  <c r="AH77" i="35" a="1"/>
  <c r="AH77" i="35" s="1"/>
  <c r="AF77" i="35" a="1"/>
  <c r="AF77" i="35" s="1"/>
  <c r="AD77" i="35" a="1"/>
  <c r="AD77" i="35" s="1"/>
  <c r="AB77" i="35"/>
  <c r="AB77" i="35" a="1"/>
  <c r="Z77" i="35" a="1"/>
  <c r="Z77" i="35" s="1"/>
  <c r="X77" i="35" a="1"/>
  <c r="X77" i="35" s="1"/>
  <c r="V77" i="35" a="1"/>
  <c r="V77" i="35" s="1"/>
  <c r="T77" i="35" a="1"/>
  <c r="T77" i="35" s="1"/>
  <c r="R77" i="35" a="1"/>
  <c r="R77" i="35" s="1"/>
  <c r="P77" i="35" a="1"/>
  <c r="P77" i="35" s="1"/>
  <c r="N77" i="35" a="1"/>
  <c r="N77" i="35" s="1"/>
  <c r="L77" i="35"/>
  <c r="L77" i="35" a="1"/>
  <c r="J77" i="35" a="1"/>
  <c r="J77" i="35" s="1"/>
  <c r="H77" i="35" a="1"/>
  <c r="H77" i="35" s="1"/>
  <c r="F77" i="35" a="1"/>
  <c r="F77" i="35" s="1"/>
  <c r="D77" i="35" a="1"/>
  <c r="D77" i="35" s="1"/>
  <c r="B77" i="35" a="1"/>
  <c r="B77" i="35" s="1"/>
  <c r="AV76" i="35" a="1"/>
  <c r="AV76" i="35" s="1"/>
  <c r="AT76" i="35" a="1"/>
  <c r="AT76" i="35" s="1"/>
  <c r="AR76" i="35"/>
  <c r="AR76" i="35" a="1"/>
  <c r="AP76" i="35" a="1"/>
  <c r="AP76" i="35" s="1"/>
  <c r="AN76" i="35" a="1"/>
  <c r="AN76" i="35" s="1"/>
  <c r="AL76" i="35" a="1"/>
  <c r="AL76" i="35" s="1"/>
  <c r="AJ76" i="35" a="1"/>
  <c r="AJ76" i="35" s="1"/>
  <c r="AH76" i="35" a="1"/>
  <c r="AH76" i="35" s="1"/>
  <c r="AF76" i="35" a="1"/>
  <c r="AF76" i="35" s="1"/>
  <c r="AD76" i="35" a="1"/>
  <c r="AD76" i="35" s="1"/>
  <c r="AB76" i="35"/>
  <c r="AB76" i="35" a="1"/>
  <c r="Z76" i="35" a="1"/>
  <c r="Z76" i="35" s="1"/>
  <c r="X76" i="35" a="1"/>
  <c r="X76" i="35" s="1"/>
  <c r="V76" i="35" a="1"/>
  <c r="V76" i="35" s="1"/>
  <c r="T76" i="35" a="1"/>
  <c r="T76" i="35" s="1"/>
  <c r="R76" i="35" a="1"/>
  <c r="R76" i="35" s="1"/>
  <c r="P76" i="35" a="1"/>
  <c r="P76" i="35" s="1"/>
  <c r="N76" i="35" a="1"/>
  <c r="N76" i="35" s="1"/>
  <c r="L76" i="35"/>
  <c r="L76" i="35" a="1"/>
  <c r="J76" i="35" a="1"/>
  <c r="J76" i="35" s="1"/>
  <c r="H76" i="35" a="1"/>
  <c r="H76" i="35" s="1"/>
  <c r="F76" i="35" a="1"/>
  <c r="F76" i="35" s="1"/>
  <c r="D76" i="35" a="1"/>
  <c r="D76" i="35" s="1"/>
  <c r="B76" i="35" a="1"/>
  <c r="B76" i="35" s="1"/>
  <c r="AV75" i="35" a="1"/>
  <c r="AV75" i="35" s="1"/>
  <c r="AT75" i="35" a="1"/>
  <c r="AT75" i="35" s="1"/>
  <c r="AR75" i="35"/>
  <c r="AR75" i="35" a="1"/>
  <c r="AP75" i="35" a="1"/>
  <c r="AP75" i="35" s="1"/>
  <c r="AN75" i="35" a="1"/>
  <c r="AN75" i="35" s="1"/>
  <c r="AL75" i="35" a="1"/>
  <c r="AL75" i="35" s="1"/>
  <c r="AJ75" i="35" a="1"/>
  <c r="AJ75" i="35" s="1"/>
  <c r="AH75" i="35" a="1"/>
  <c r="AH75" i="35" s="1"/>
  <c r="AF75" i="35" a="1"/>
  <c r="AF75" i="35" s="1"/>
  <c r="AD75" i="35" a="1"/>
  <c r="AD75" i="35" s="1"/>
  <c r="AB75" i="35"/>
  <c r="AB75" i="35" a="1"/>
  <c r="Z75" i="35" a="1"/>
  <c r="Z75" i="35" s="1"/>
  <c r="X75" i="35" a="1"/>
  <c r="X75" i="35" s="1"/>
  <c r="V75" i="35" a="1"/>
  <c r="V75" i="35" s="1"/>
  <c r="T75" i="35" a="1"/>
  <c r="T75" i="35" s="1"/>
  <c r="R75" i="35" a="1"/>
  <c r="R75" i="35" s="1"/>
  <c r="P75" i="35" a="1"/>
  <c r="P75" i="35" s="1"/>
  <c r="N75" i="35" a="1"/>
  <c r="N75" i="35" s="1"/>
  <c r="L75" i="35"/>
  <c r="L75" i="35" a="1"/>
  <c r="J75" i="35" a="1"/>
  <c r="J75" i="35" s="1"/>
  <c r="H75" i="35" a="1"/>
  <c r="H75" i="35" s="1"/>
  <c r="F75" i="35"/>
  <c r="F75" i="35" a="1"/>
  <c r="D75" i="35" a="1"/>
  <c r="D75" i="35" s="1"/>
  <c r="B75" i="35" a="1"/>
  <c r="B75" i="35" s="1"/>
  <c r="AV74" i="35" a="1"/>
  <c r="AV74" i="35" s="1"/>
  <c r="AT74" i="35" a="1"/>
  <c r="AT74" i="35" s="1"/>
  <c r="AR74" i="35"/>
  <c r="AR74" i="35" a="1"/>
  <c r="AP74" i="35" a="1"/>
  <c r="AP74" i="35" s="1"/>
  <c r="AN74" i="35" a="1"/>
  <c r="AN74" i="35" s="1"/>
  <c r="AL74" i="35" a="1"/>
  <c r="AL74" i="35" s="1"/>
  <c r="AJ74" i="35" a="1"/>
  <c r="AJ74" i="35" s="1"/>
  <c r="AH74" i="35" a="1"/>
  <c r="AH74" i="35" s="1"/>
  <c r="AF74" i="35" a="1"/>
  <c r="AF74" i="35" s="1"/>
  <c r="AD74" i="35" a="1"/>
  <c r="AD74" i="35" s="1"/>
  <c r="AB74" i="35"/>
  <c r="AB74" i="35" a="1"/>
  <c r="Z74" i="35" a="1"/>
  <c r="Z74" i="35" s="1"/>
  <c r="X74" i="35" a="1"/>
  <c r="X74" i="35" s="1"/>
  <c r="V74" i="35" a="1"/>
  <c r="V74" i="35" s="1"/>
  <c r="T74" i="35" a="1"/>
  <c r="T74" i="35" s="1"/>
  <c r="R74" i="35" a="1"/>
  <c r="R74" i="35" s="1"/>
  <c r="P74" i="35" a="1"/>
  <c r="P74" i="35" s="1"/>
  <c r="N74" i="35" a="1"/>
  <c r="N74" i="35" s="1"/>
  <c r="L74" i="35"/>
  <c r="L74" i="35" a="1"/>
  <c r="J74" i="35" a="1"/>
  <c r="J74" i="35" s="1"/>
  <c r="H74" i="35" a="1"/>
  <c r="H74" i="35" s="1"/>
  <c r="F74" i="35" a="1"/>
  <c r="F74" i="35" s="1"/>
  <c r="D74" i="35" a="1"/>
  <c r="D74" i="35" s="1"/>
  <c r="B74" i="35" a="1"/>
  <c r="B74" i="35" s="1"/>
  <c r="AV73" i="35" a="1"/>
  <c r="AV73" i="35" s="1"/>
  <c r="AT73" i="35" a="1"/>
  <c r="AT73" i="35" s="1"/>
  <c r="AR73" i="35"/>
  <c r="AR73" i="35" a="1"/>
  <c r="AP73" i="35" a="1"/>
  <c r="AP73" i="35" s="1"/>
  <c r="AN73" i="35" a="1"/>
  <c r="AN73" i="35" s="1"/>
  <c r="AL73" i="35" a="1"/>
  <c r="AL73" i="35" s="1"/>
  <c r="AJ73" i="35" a="1"/>
  <c r="AJ73" i="35" s="1"/>
  <c r="AH73" i="35" a="1"/>
  <c r="AH73" i="35" s="1"/>
  <c r="AF73" i="35" a="1"/>
  <c r="AF73" i="35" s="1"/>
  <c r="AD73" i="35" a="1"/>
  <c r="AD73" i="35" s="1"/>
  <c r="AB73" i="35"/>
  <c r="AB73" i="35" a="1"/>
  <c r="Z73" i="35" a="1"/>
  <c r="Z73" i="35" s="1"/>
  <c r="X73" i="35" a="1"/>
  <c r="X73" i="35" s="1"/>
  <c r="V73" i="35" a="1"/>
  <c r="V73" i="35" s="1"/>
  <c r="T73" i="35" a="1"/>
  <c r="T73" i="35" s="1"/>
  <c r="R73" i="35" a="1"/>
  <c r="R73" i="35" s="1"/>
  <c r="P73" i="35" a="1"/>
  <c r="P73" i="35" s="1"/>
  <c r="N73" i="35" a="1"/>
  <c r="N73" i="35" s="1"/>
  <c r="L73" i="35"/>
  <c r="L73" i="35" a="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P69" i="35"/>
  <c r="AJ69" i="35"/>
  <c r="J69" i="35"/>
  <c r="D69" i="35"/>
  <c r="B69" i="35"/>
  <c r="T68" i="35"/>
  <c r="R68" i="35"/>
  <c r="AV67" i="35" a="1"/>
  <c r="AV67" i="35" s="1"/>
  <c r="AT67" i="35" a="1"/>
  <c r="AT67" i="35" s="1"/>
  <c r="AR67" i="35" a="1"/>
  <c r="AR67" i="35" s="1"/>
  <c r="AP67" i="35" a="1"/>
  <c r="AP67" i="35" s="1"/>
  <c r="AN67" i="35" a="1"/>
  <c r="AN67" i="35" s="1"/>
  <c r="AL67" i="35" a="1"/>
  <c r="AL67" i="35" s="1"/>
  <c r="AJ67" i="35"/>
  <c r="AJ67" i="35" a="1"/>
  <c r="AH67" i="35" a="1"/>
  <c r="AH67" i="35" s="1"/>
  <c r="AF67" i="35" a="1"/>
  <c r="AF67" i="35" s="1"/>
  <c r="AD67" i="35" a="1"/>
  <c r="AD67" i="35" s="1"/>
  <c r="AB67" i="35" a="1"/>
  <c r="AB67" i="35" s="1"/>
  <c r="AB68" i="35" s="1"/>
  <c r="Z67" i="35" a="1"/>
  <c r="Z67" i="35" s="1"/>
  <c r="Z68" i="35" s="1"/>
  <c r="X67" i="35" a="1"/>
  <c r="X67" i="35" s="1"/>
  <c r="V67" i="35" a="1"/>
  <c r="V67" i="35" s="1"/>
  <c r="T67" i="35"/>
  <c r="T67" i="35" a="1"/>
  <c r="R67" i="35" a="1"/>
  <c r="R67" i="35" s="1"/>
  <c r="P67" i="35" a="1"/>
  <c r="P67" i="35" s="1"/>
  <c r="N67" i="35" a="1"/>
  <c r="N67" i="35" s="1"/>
  <c r="L67" i="35" a="1"/>
  <c r="L67" i="35" s="1"/>
  <c r="J67" i="35" a="1"/>
  <c r="J67" i="35" s="1"/>
  <c r="H67" i="35" a="1"/>
  <c r="H67" i="35" s="1"/>
  <c r="F67" i="35" a="1"/>
  <c r="F67" i="35" s="1"/>
  <c r="D67" i="35"/>
  <c r="D67" i="35" a="1"/>
  <c r="B67" i="35" a="1"/>
  <c r="B67" i="35" s="1"/>
  <c r="AV66" i="35" a="1"/>
  <c r="AV66" i="35" s="1"/>
  <c r="AT66" i="35" a="1"/>
  <c r="AT66" i="35" s="1"/>
  <c r="AR66" i="35" a="1"/>
  <c r="AR66" i="35" s="1"/>
  <c r="AP66" i="35" a="1"/>
  <c r="AP66" i="35" s="1"/>
  <c r="AN66" i="35" a="1"/>
  <c r="AN66" i="35" s="1"/>
  <c r="AN68" i="35" s="1"/>
  <c r="AL66" i="35" a="1"/>
  <c r="AL66" i="35" s="1"/>
  <c r="AL68" i="35" s="1"/>
  <c r="AJ66" i="35"/>
  <c r="AJ68" i="35" s="1"/>
  <c r="AJ66" i="35" a="1"/>
  <c r="AH66" i="35" a="1"/>
  <c r="AH66" i="35" s="1"/>
  <c r="AF66" i="35" a="1"/>
  <c r="AF66" i="35" s="1"/>
  <c r="AF68" i="35" s="1"/>
  <c r="AD66" i="35"/>
  <c r="AD66" i="35" a="1"/>
  <c r="AB66" i="35" a="1"/>
  <c r="AB66" i="35" s="1"/>
  <c r="Z66" i="35" a="1"/>
  <c r="Z66" i="35" s="1"/>
  <c r="X66" i="35" a="1"/>
  <c r="X66" i="35" s="1"/>
  <c r="V66" i="35" a="1"/>
  <c r="V66" i="35" s="1"/>
  <c r="T66" i="35"/>
  <c r="T66" i="35" a="1"/>
  <c r="R66" i="35" a="1"/>
  <c r="R66" i="35" s="1"/>
  <c r="P66" i="35" a="1"/>
  <c r="P66" i="35" s="1"/>
  <c r="N66" i="35" a="1"/>
  <c r="N66" i="35" s="1"/>
  <c r="N68" i="35" s="1"/>
  <c r="L66" i="35" a="1"/>
  <c r="L66" i="35" s="1"/>
  <c r="J66" i="35" a="1"/>
  <c r="J66" i="35" s="1"/>
  <c r="J68" i="35" s="1"/>
  <c r="H66" i="35" a="1"/>
  <c r="H66" i="35" s="1"/>
  <c r="F66" i="35" a="1"/>
  <c r="F66" i="35" s="1"/>
  <c r="F68" i="35" s="1"/>
  <c r="D66" i="35"/>
  <c r="D68" i="35" s="1"/>
  <c r="D66" i="35" a="1"/>
  <c r="B66" i="35" a="1"/>
  <c r="B66" i="35" s="1"/>
  <c r="AV65" i="35" a="1"/>
  <c r="AV65" i="35" s="1"/>
  <c r="AV69" i="35" s="1"/>
  <c r="AT65" i="35" a="1"/>
  <c r="AT65" i="35" s="1"/>
  <c r="AT69" i="35" s="1"/>
  <c r="AR65" i="35" a="1"/>
  <c r="AR65" i="35" s="1"/>
  <c r="AR69" i="35" s="1"/>
  <c r="AP65" i="35" a="1"/>
  <c r="AP65" i="35" s="1"/>
  <c r="AN65" i="35" a="1"/>
  <c r="AN65" i="35" s="1"/>
  <c r="AN69" i="35" s="1"/>
  <c r="AL65" i="35" a="1"/>
  <c r="AL65" i="35" s="1"/>
  <c r="AL69" i="35" s="1"/>
  <c r="AJ65" i="35"/>
  <c r="AJ65" i="35" a="1"/>
  <c r="AH65" i="35" a="1"/>
  <c r="AH65" i="35" s="1"/>
  <c r="AH69" i="35" s="1"/>
  <c r="AF65" i="35" a="1"/>
  <c r="AF65" i="35" s="1"/>
  <c r="AF69" i="35" s="1"/>
  <c r="AD65" i="35"/>
  <c r="AD69" i="35" s="1"/>
  <c r="AD65" i="35" a="1"/>
  <c r="AB65" i="35" a="1"/>
  <c r="AB65" i="35" s="1"/>
  <c r="AB69" i="35" s="1"/>
  <c r="Z65" i="35" a="1"/>
  <c r="Z65" i="35" s="1"/>
  <c r="Z69" i="35" s="1"/>
  <c r="X65" i="35" a="1"/>
  <c r="X65" i="35" s="1"/>
  <c r="X69" i="35" s="1"/>
  <c r="V65" i="35" a="1"/>
  <c r="V65" i="35" s="1"/>
  <c r="V69" i="35" s="1"/>
  <c r="T65" i="35"/>
  <c r="T69" i="35" s="1"/>
  <c r="T65" i="35" a="1"/>
  <c r="R65" i="35" a="1"/>
  <c r="R65" i="35" s="1"/>
  <c r="R69" i="35" s="1"/>
  <c r="P65" i="35" a="1"/>
  <c r="P65" i="35" s="1"/>
  <c r="P69" i="35" s="1"/>
  <c r="N65" i="35"/>
  <c r="N69" i="35" s="1"/>
  <c r="N65" i="35" a="1"/>
  <c r="L65" i="35" a="1"/>
  <c r="L65" i="35" s="1"/>
  <c r="L69" i="35" s="1"/>
  <c r="J65" i="35" a="1"/>
  <c r="J65" i="35" s="1"/>
  <c r="H65" i="35" a="1"/>
  <c r="H65" i="35" s="1"/>
  <c r="H69" i="35" s="1"/>
  <c r="F65" i="35" a="1"/>
  <c r="F65" i="35" s="1"/>
  <c r="F69" i="35" s="1"/>
  <c r="D65" i="35"/>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a="1"/>
  <c r="AN58" i="35" s="1"/>
  <c r="AL58" i="35" a="1"/>
  <c r="AL58" i="35" s="1"/>
  <c r="AJ58" i="35"/>
  <c r="AJ58" i="35" a="1"/>
  <c r="AH58" i="35" a="1"/>
  <c r="AH58" i="35" s="1"/>
  <c r="AF58" i="35"/>
  <c r="AF58" i="35" a="1"/>
  <c r="AD58" i="35"/>
  <c r="AD58" i="35" a="1"/>
  <c r="AB58" i="35" a="1"/>
  <c r="AB58" i="35" s="1"/>
  <c r="Z58" i="35"/>
  <c r="Z58" i="35" a="1"/>
  <c r="X58" i="35" a="1"/>
  <c r="X58" i="35" s="1"/>
  <c r="V58" i="35"/>
  <c r="V58" i="35" a="1"/>
  <c r="T58" i="35"/>
  <c r="T58" i="35" a="1"/>
  <c r="R58" i="35" a="1"/>
  <c r="R58" i="35" s="1"/>
  <c r="P58" i="35"/>
  <c r="P58" i="35" a="1"/>
  <c r="N58" i="35"/>
  <c r="N58" i="35" a="1"/>
  <c r="L58" i="35" a="1"/>
  <c r="L58" i="35" s="1"/>
  <c r="J58" i="35"/>
  <c r="J58" i="35" a="1"/>
  <c r="H58" i="35" a="1"/>
  <c r="H58" i="35" s="1"/>
  <c r="F58" i="35" a="1"/>
  <c r="F58" i="35" s="1"/>
  <c r="D58" i="35"/>
  <c r="D58" i="35" a="1"/>
  <c r="B58" i="35" a="1"/>
  <c r="B58" i="35" s="1"/>
  <c r="AV57" i="35"/>
  <c r="AV57" i="35" a="1"/>
  <c r="AT57" i="35"/>
  <c r="AT57" i="35" a="1"/>
  <c r="AR57" i="35" a="1"/>
  <c r="AR57" i="35" s="1"/>
  <c r="AP57" i="35"/>
  <c r="AP57" i="35" a="1"/>
  <c r="AN57" i="35" a="1"/>
  <c r="AN57" i="35" s="1"/>
  <c r="AL57" i="35"/>
  <c r="AL57" i="35" a="1"/>
  <c r="AJ57" i="35"/>
  <c r="AJ57" i="35" a="1"/>
  <c r="AH57" i="35" a="1"/>
  <c r="AH57" i="35" s="1"/>
  <c r="AF57" i="35"/>
  <c r="AF57" i="35" a="1"/>
  <c r="AD57" i="35"/>
  <c r="AD57" i="35" a="1"/>
  <c r="AB57" i="35" a="1"/>
  <c r="AB57" i="35" s="1"/>
  <c r="Z57" i="35"/>
  <c r="Z57" i="35" a="1"/>
  <c r="X57" i="35" a="1"/>
  <c r="X57" i="35" s="1"/>
  <c r="V57" i="35" a="1"/>
  <c r="V57" i="35" s="1"/>
  <c r="T57" i="35"/>
  <c r="T57" i="35" a="1"/>
  <c r="R57" i="35" a="1"/>
  <c r="R57" i="35" s="1"/>
  <c r="P57" i="35"/>
  <c r="P57" i="35" a="1"/>
  <c r="N57" i="35"/>
  <c r="N57" i="35" a="1"/>
  <c r="L57" i="35" a="1"/>
  <c r="L57" i="35" s="1"/>
  <c r="J57" i="35"/>
  <c r="J57" i="35" a="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R80" i="35" s="1"/>
  <c r="AP55" i="35"/>
  <c r="AP80" i="35" s="1"/>
  <c r="AN55" i="35"/>
  <c r="AN80" i="35" s="1"/>
  <c r="AL55" i="35"/>
  <c r="AJ55" i="35"/>
  <c r="AH55" i="35"/>
  <c r="AF55" i="35"/>
  <c r="AF80" i="35" s="1"/>
  <c r="AD55" i="35"/>
  <c r="AB55" i="35"/>
  <c r="AB80" i="35" s="1"/>
  <c r="Z55" i="35"/>
  <c r="X55" i="35"/>
  <c r="V55" i="35"/>
  <c r="V80" i="35" s="1"/>
  <c r="T55" i="35"/>
  <c r="T80" i="35" s="1"/>
  <c r="R55" i="35"/>
  <c r="P55" i="35"/>
  <c r="N55" i="35"/>
  <c r="N80" i="35" s="1"/>
  <c r="L55" i="35"/>
  <c r="L80" i="35" s="1"/>
  <c r="J55" i="35"/>
  <c r="J80" i="35" s="1"/>
  <c r="H55" i="35"/>
  <c r="H80" i="35" s="1"/>
  <c r="F55" i="35"/>
  <c r="D55" i="35"/>
  <c r="B55" i="35"/>
  <c r="AV53" i="35"/>
  <c r="AV83" i="35" s="1"/>
  <c r="AV53" i="35" a="1"/>
  <c r="AT53" i="35"/>
  <c r="AT83" i="35" s="1"/>
  <c r="AT53" i="35" a="1"/>
  <c r="AR53" i="35" a="1"/>
  <c r="AR53" i="35" s="1"/>
  <c r="AR83" i="35" s="1"/>
  <c r="AP53" i="35"/>
  <c r="AP53" i="35" a="1"/>
  <c r="AN53" i="35" a="1"/>
  <c r="AN53" i="35" s="1"/>
  <c r="AN83" i="35" s="1"/>
  <c r="AL53" i="35" a="1"/>
  <c r="AL53" i="35" s="1"/>
  <c r="AL83" i="35" s="1"/>
  <c r="AJ53" i="35"/>
  <c r="AJ83" i="35" s="1"/>
  <c r="AJ53" i="35" a="1"/>
  <c r="AH53" i="35" a="1"/>
  <c r="AH53" i="35" s="1"/>
  <c r="AH83" i="35" s="1"/>
  <c r="AF53" i="35"/>
  <c r="AF83" i="35" s="1"/>
  <c r="AF53" i="35" a="1"/>
  <c r="AD53" i="35"/>
  <c r="AD53" i="35" a="1"/>
  <c r="AB53" i="35" a="1"/>
  <c r="AB53" i="35" s="1"/>
  <c r="AB83" i="35" s="1"/>
  <c r="Z53" i="35"/>
  <c r="Z53" i="35" a="1"/>
  <c r="X53" i="35" a="1"/>
  <c r="X53" i="35" s="1"/>
  <c r="X83" i="35" s="1"/>
  <c r="V53" i="35" a="1"/>
  <c r="V53" i="35" s="1"/>
  <c r="V83" i="35" s="1"/>
  <c r="T53" i="35"/>
  <c r="T83" i="35" s="1"/>
  <c r="T53" i="35" a="1"/>
  <c r="R53" i="35" a="1"/>
  <c r="R53" i="35" s="1"/>
  <c r="P53" i="35"/>
  <c r="P83" i="35" s="1"/>
  <c r="P53" i="35" a="1"/>
  <c r="N53" i="35"/>
  <c r="N83" i="35" s="1"/>
  <c r="N53" i="35" a="1"/>
  <c r="L53" i="35" a="1"/>
  <c r="L53" i="35" s="1"/>
  <c r="L83" i="35" s="1"/>
  <c r="J53" i="35"/>
  <c r="J53" i="35" a="1"/>
  <c r="H53" i="35" a="1"/>
  <c r="H53" i="35" s="1"/>
  <c r="H83" i="35" s="1"/>
  <c r="F53" i="35" a="1"/>
  <c r="F53" i="35" s="1"/>
  <c r="F83" i="35" s="1"/>
  <c r="D53" i="35"/>
  <c r="D83" i="35" s="1"/>
  <c r="D53" i="35" a="1"/>
  <c r="B53" i="35" a="1"/>
  <c r="B53" i="35" s="1"/>
  <c r="B83" i="35" s="1"/>
  <c r="AV52" i="35"/>
  <c r="AV82" i="35" s="1"/>
  <c r="AV52" i="35" a="1"/>
  <c r="AT52" i="35"/>
  <c r="AT52" i="35" a="1"/>
  <c r="AR52" i="35" a="1"/>
  <c r="AR52" i="35" s="1"/>
  <c r="AR82" i="35" s="1"/>
  <c r="AP52" i="35"/>
  <c r="AP52" i="35" a="1"/>
  <c r="AN52" i="35" a="1"/>
  <c r="AN52" i="35" s="1"/>
  <c r="AN82" i="35" s="1"/>
  <c r="AL52" i="35" a="1"/>
  <c r="AL52" i="35" s="1"/>
  <c r="AL82" i="35" s="1"/>
  <c r="AJ52" i="35"/>
  <c r="AJ82" i="35" s="1"/>
  <c r="AJ52" i="35" a="1"/>
  <c r="AH52" i="35" a="1"/>
  <c r="AH52" i="35" s="1"/>
  <c r="AF52" i="35"/>
  <c r="AF82" i="35" s="1"/>
  <c r="AF52" i="35" a="1"/>
  <c r="AD52" i="35"/>
  <c r="AD82" i="35" s="1"/>
  <c r="AD52" i="35" a="1"/>
  <c r="AB52" i="35" a="1"/>
  <c r="AB52" i="35" s="1"/>
  <c r="AB82" i="35" s="1"/>
  <c r="Z52" i="35"/>
  <c r="Z52" i="35" a="1"/>
  <c r="X52" i="35" a="1"/>
  <c r="X52" i="35" s="1"/>
  <c r="X82" i="35" s="1"/>
  <c r="V52" i="35" a="1"/>
  <c r="V52" i="35" s="1"/>
  <c r="V82" i="35" s="1"/>
  <c r="T52" i="35"/>
  <c r="T82" i="35" s="1"/>
  <c r="T52" i="35" a="1"/>
  <c r="R52" i="35" a="1"/>
  <c r="R52" i="35" s="1"/>
  <c r="R82" i="35" s="1"/>
  <c r="P52" i="35"/>
  <c r="P82" i="35" s="1"/>
  <c r="P52" i="35" a="1"/>
  <c r="N52" i="35"/>
  <c r="N52" i="35" a="1"/>
  <c r="L52" i="35" a="1"/>
  <c r="L52" i="35" s="1"/>
  <c r="J52" i="35"/>
  <c r="J52" i="35" a="1"/>
  <c r="H52" i="35" a="1"/>
  <c r="H52" i="35" s="1"/>
  <c r="H82" i="35" s="1"/>
  <c r="F52" i="35" a="1"/>
  <c r="F52" i="35" s="1"/>
  <c r="F82" i="35" s="1"/>
  <c r="D52" i="35"/>
  <c r="D82" i="35" s="1"/>
  <c r="D52" i="35" a="1"/>
  <c r="B52" i="35" a="1"/>
  <c r="B52" i="35" s="1"/>
  <c r="B82" i="35" s="1"/>
  <c r="AV51" i="35"/>
  <c r="AV81" i="35" s="1"/>
  <c r="AT51" i="35"/>
  <c r="AR51" i="35"/>
  <c r="AR81" i="35" s="1"/>
  <c r="AP51" i="35"/>
  <c r="AN51" i="35"/>
  <c r="AL51" i="35"/>
  <c r="AL81" i="35" s="1"/>
  <c r="AJ51" i="35"/>
  <c r="AJ81" i="35" s="1"/>
  <c r="AH51" i="35"/>
  <c r="AF51" i="35"/>
  <c r="AD51" i="35"/>
  <c r="AD81" i="35" s="1"/>
  <c r="AB51" i="35"/>
  <c r="Z51" i="35"/>
  <c r="X51" i="35"/>
  <c r="X81" i="35" s="1"/>
  <c r="V51" i="35"/>
  <c r="T51" i="35"/>
  <c r="R51" i="35"/>
  <c r="P51" i="35"/>
  <c r="P81" i="35" s="1"/>
  <c r="N51" i="35"/>
  <c r="L51" i="35"/>
  <c r="L81" i="35" s="1"/>
  <c r="J51" i="35"/>
  <c r="H51" i="35"/>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c r="AP43" i="35" a="1"/>
  <c r="AN43" i="35" a="1"/>
  <c r="AN43" i="35" s="1"/>
  <c r="AL43" i="35" a="1"/>
  <c r="AL43" i="35" s="1"/>
  <c r="AJ43" i="35"/>
  <c r="AJ43" i="35" a="1"/>
  <c r="AH43" i="35" a="1"/>
  <c r="AH43" i="35" s="1"/>
  <c r="AF43" i="35"/>
  <c r="AF43" i="35" a="1"/>
  <c r="AD43" i="35" a="1"/>
  <c r="AD43" i="35" s="1"/>
  <c r="AB43" i="35" a="1"/>
  <c r="AB43" i="35" s="1"/>
  <c r="Z43" i="35"/>
  <c r="Z43" i="35" a="1"/>
  <c r="X43" i="35" a="1"/>
  <c r="X43" i="35" s="1"/>
  <c r="V43" i="35"/>
  <c r="V43" i="35" a="1"/>
  <c r="T43" i="35"/>
  <c r="T43" i="35" a="1"/>
  <c r="R43" i="35" a="1"/>
  <c r="R43" i="35" s="1"/>
  <c r="P43" i="35"/>
  <c r="P43" i="35" a="1"/>
  <c r="N43" i="35" a="1"/>
  <c r="N43" i="35" s="1"/>
  <c r="L43" i="35" a="1"/>
  <c r="L43" i="35" s="1"/>
  <c r="J43" i="35"/>
  <c r="J43" i="35" a="1"/>
  <c r="H43" i="35" a="1"/>
  <c r="H43" i="35" s="1"/>
  <c r="F43" i="35"/>
  <c r="F43" i="35" a="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N81" i="38"/>
  <c r="AF81" i="38"/>
  <c r="AD81" i="38"/>
  <c r="AB81" i="38"/>
  <c r="Z81" i="38"/>
  <c r="R81" i="38"/>
  <c r="J81" i="38"/>
  <c r="H81" i="38"/>
  <c r="AV80" i="38"/>
  <c r="AT80" i="38"/>
  <c r="AR80" i="38"/>
  <c r="AH80" i="38"/>
  <c r="Z80" i="38"/>
  <c r="X80" i="38"/>
  <c r="P80" i="38"/>
  <c r="N80" i="38"/>
  <c r="L80" i="38"/>
  <c r="J80" i="38"/>
  <c r="B80" i="38"/>
  <c r="AV79" i="38" a="1"/>
  <c r="AV79" i="38" s="1"/>
  <c r="AT79" i="38" a="1"/>
  <c r="AT79" i="38" s="1"/>
  <c r="AR79" i="38"/>
  <c r="AR79" i="38" a="1"/>
  <c r="AP79" i="38" a="1"/>
  <c r="AP79" i="38" s="1"/>
  <c r="AN79" i="38" a="1"/>
  <c r="AN79" i="38" s="1"/>
  <c r="AL79" i="38" a="1"/>
  <c r="AL79" i="38" s="1"/>
  <c r="AJ79" i="38"/>
  <c r="AJ79" i="38" a="1"/>
  <c r="AH79" i="38" a="1"/>
  <c r="AH79" i="38" s="1"/>
  <c r="AF79" i="38" a="1"/>
  <c r="AF79" i="38" s="1"/>
  <c r="AD79" i="38" a="1"/>
  <c r="AD79" i="38" s="1"/>
  <c r="AB79" i="38"/>
  <c r="AB79" i="38" a="1"/>
  <c r="Z79" i="38" a="1"/>
  <c r="Z79" i="38" s="1"/>
  <c r="X79" i="38" a="1"/>
  <c r="X79" i="38" s="1"/>
  <c r="V79" i="38" a="1"/>
  <c r="V79" i="38" s="1"/>
  <c r="T79" i="38"/>
  <c r="T79" i="38" a="1"/>
  <c r="R79" i="38" a="1"/>
  <c r="R79" i="38" s="1"/>
  <c r="P79" i="38" a="1"/>
  <c r="P79" i="38" s="1"/>
  <c r="N79" i="38" a="1"/>
  <c r="N79" i="38" s="1"/>
  <c r="L79" i="38"/>
  <c r="L79" i="38" a="1"/>
  <c r="J79" i="38" a="1"/>
  <c r="J79" i="38" s="1"/>
  <c r="H79" i="38" a="1"/>
  <c r="H79" i="38" s="1"/>
  <c r="F79" i="38" a="1"/>
  <c r="F79" i="38" s="1"/>
  <c r="D79" i="38" a="1"/>
  <c r="D79" i="38" s="1"/>
  <c r="B79" i="38" a="1"/>
  <c r="B79" i="38" s="1"/>
  <c r="AV78" i="38" a="1"/>
  <c r="AV78" i="38" s="1"/>
  <c r="AT78" i="38" a="1"/>
  <c r="AT78" i="38" s="1"/>
  <c r="AR78" i="38"/>
  <c r="AR78" i="38" a="1"/>
  <c r="AP78" i="38" a="1"/>
  <c r="AP78" i="38" s="1"/>
  <c r="AN78" i="38" a="1"/>
  <c r="AN78" i="38" s="1"/>
  <c r="AL78" i="38" a="1"/>
  <c r="AL78" i="38" s="1"/>
  <c r="AJ78" i="38" a="1"/>
  <c r="AJ78" i="38" s="1"/>
  <c r="AH78" i="38" a="1"/>
  <c r="AH78" i="38" s="1"/>
  <c r="AF78" i="38" a="1"/>
  <c r="AF78" i="38" s="1"/>
  <c r="AD78" i="38" a="1"/>
  <c r="AD78" i="38" s="1"/>
  <c r="AB78" i="38"/>
  <c r="AB78" i="38" a="1"/>
  <c r="Z78" i="38" a="1"/>
  <c r="Z78" i="38" s="1"/>
  <c r="X78" i="38" a="1"/>
  <c r="X78" i="38" s="1"/>
  <c r="V78" i="38" a="1"/>
  <c r="V78" i="38" s="1"/>
  <c r="T78" i="38" a="1"/>
  <c r="T78" i="38" s="1"/>
  <c r="R78" i="38" a="1"/>
  <c r="R78" i="38" s="1"/>
  <c r="P78" i="38" a="1"/>
  <c r="P78" i="38" s="1"/>
  <c r="N78" i="38" a="1"/>
  <c r="N78" i="38" s="1"/>
  <c r="L78" i="38"/>
  <c r="L78" i="38" a="1"/>
  <c r="J78" i="38" a="1"/>
  <c r="J78" i="38" s="1"/>
  <c r="H78" i="38" a="1"/>
  <c r="H78" i="38" s="1"/>
  <c r="F78" i="38" a="1"/>
  <c r="F78" i="38" s="1"/>
  <c r="D78" i="38" a="1"/>
  <c r="D78" i="38" s="1"/>
  <c r="B78" i="38" a="1"/>
  <c r="B78" i="38" s="1"/>
  <c r="AV77" i="38" a="1"/>
  <c r="AV77" i="38" s="1"/>
  <c r="AT77" i="38" a="1"/>
  <c r="AT77" i="38" s="1"/>
  <c r="AR77" i="38"/>
  <c r="AR77" i="38" a="1"/>
  <c r="AP77" i="38" a="1"/>
  <c r="AP77" i="38" s="1"/>
  <c r="AN77" i="38" a="1"/>
  <c r="AN77" i="38" s="1"/>
  <c r="AL77" i="38" a="1"/>
  <c r="AL77" i="38" s="1"/>
  <c r="AJ77" i="38" a="1"/>
  <c r="AJ77" i="38" s="1"/>
  <c r="AH77" i="38" a="1"/>
  <c r="AH77" i="38" s="1"/>
  <c r="AF77" i="38" a="1"/>
  <c r="AF77" i="38" s="1"/>
  <c r="AD77" i="38" a="1"/>
  <c r="AD77" i="38" s="1"/>
  <c r="AB77" i="38"/>
  <c r="AB77" i="38" a="1"/>
  <c r="Z77" i="38" a="1"/>
  <c r="Z77" i="38" s="1"/>
  <c r="X77" i="38" a="1"/>
  <c r="X77" i="38" s="1"/>
  <c r="V77" i="38" a="1"/>
  <c r="V77" i="38" s="1"/>
  <c r="T77" i="38" a="1"/>
  <c r="T77" i="38" s="1"/>
  <c r="R77" i="38" a="1"/>
  <c r="R77" i="38" s="1"/>
  <c r="P77" i="38" a="1"/>
  <c r="P77" i="38" s="1"/>
  <c r="N77" i="38" a="1"/>
  <c r="N77" i="38" s="1"/>
  <c r="L77" i="38"/>
  <c r="L77" i="38" a="1"/>
  <c r="J77" i="38" a="1"/>
  <c r="J77" i="38" s="1"/>
  <c r="H77" i="38" a="1"/>
  <c r="H77" i="38" s="1"/>
  <c r="F77" i="38" a="1"/>
  <c r="F77" i="38" s="1"/>
  <c r="D77" i="38" a="1"/>
  <c r="D77" i="38" s="1"/>
  <c r="B77" i="38" a="1"/>
  <c r="B77" i="38" s="1"/>
  <c r="AV76" i="38" a="1"/>
  <c r="AV76" i="38" s="1"/>
  <c r="AT76" i="38" a="1"/>
  <c r="AT76" i="38" s="1"/>
  <c r="AR76" i="38"/>
  <c r="AR76" i="38" a="1"/>
  <c r="AP76" i="38" a="1"/>
  <c r="AP76" i="38" s="1"/>
  <c r="AN76" i="38" a="1"/>
  <c r="AN76" i="38" s="1"/>
  <c r="AL76" i="38" a="1"/>
  <c r="AL76" i="38" s="1"/>
  <c r="AJ76" i="38" a="1"/>
  <c r="AJ76" i="38" s="1"/>
  <c r="AH76" i="38" a="1"/>
  <c r="AH76" i="38" s="1"/>
  <c r="AF76" i="38" a="1"/>
  <c r="AF76" i="38" s="1"/>
  <c r="AD76" i="38" a="1"/>
  <c r="AD76" i="38" s="1"/>
  <c r="AB76" i="38"/>
  <c r="AB76" i="38" a="1"/>
  <c r="Z76" i="38" a="1"/>
  <c r="Z76" i="38" s="1"/>
  <c r="X76" i="38" a="1"/>
  <c r="X76" i="38" s="1"/>
  <c r="V76" i="38" a="1"/>
  <c r="V76" i="38" s="1"/>
  <c r="T76" i="38" a="1"/>
  <c r="T76" i="38" s="1"/>
  <c r="R76" i="38" a="1"/>
  <c r="R76" i="38" s="1"/>
  <c r="P76" i="38" a="1"/>
  <c r="P76" i="38" s="1"/>
  <c r="N76" i="38" a="1"/>
  <c r="N76" i="38" s="1"/>
  <c r="L76" i="38"/>
  <c r="L76" i="38" a="1"/>
  <c r="J76" i="38" a="1"/>
  <c r="J76" i="38" s="1"/>
  <c r="H76" i="38" a="1"/>
  <c r="H76" i="38" s="1"/>
  <c r="F76" i="38" a="1"/>
  <c r="F76" i="38" s="1"/>
  <c r="D76" i="38" a="1"/>
  <c r="D76" i="38" s="1"/>
  <c r="B76" i="38" a="1"/>
  <c r="B76" i="38" s="1"/>
  <c r="AV75" i="38" a="1"/>
  <c r="AV75" i="38" s="1"/>
  <c r="AT75" i="38" a="1"/>
  <c r="AT75" i="38" s="1"/>
  <c r="AR75" i="38"/>
  <c r="AR75" i="38" a="1"/>
  <c r="AP75" i="38" a="1"/>
  <c r="AP75" i="38" s="1"/>
  <c r="AN75" i="38" a="1"/>
  <c r="AN75" i="38" s="1"/>
  <c r="AL75" i="38" a="1"/>
  <c r="AL75" i="38" s="1"/>
  <c r="AJ75" i="38" a="1"/>
  <c r="AJ75" i="38" s="1"/>
  <c r="AH75" i="38" a="1"/>
  <c r="AH75" i="38" s="1"/>
  <c r="AF75" i="38" a="1"/>
  <c r="AF75" i="38" s="1"/>
  <c r="AD75" i="38" a="1"/>
  <c r="AD75" i="38" s="1"/>
  <c r="AB75" i="38"/>
  <c r="AB75" i="38" a="1"/>
  <c r="Z75" i="38" a="1"/>
  <c r="Z75" i="38" s="1"/>
  <c r="X75" i="38" a="1"/>
  <c r="X75" i="38" s="1"/>
  <c r="V75" i="38" a="1"/>
  <c r="V75" i="38" s="1"/>
  <c r="T75" i="38" a="1"/>
  <c r="T75" i="38" s="1"/>
  <c r="R75" i="38" a="1"/>
  <c r="R75" i="38" s="1"/>
  <c r="P75" i="38" a="1"/>
  <c r="P75" i="38" s="1"/>
  <c r="N75" i="38" a="1"/>
  <c r="N75" i="38" s="1"/>
  <c r="L75" i="38"/>
  <c r="L75" i="38" a="1"/>
  <c r="J75" i="38" a="1"/>
  <c r="J75" i="38" s="1"/>
  <c r="H75" i="38" a="1"/>
  <c r="H75" i="38" s="1"/>
  <c r="F75" i="38" a="1"/>
  <c r="F75" i="38" s="1"/>
  <c r="D75" i="38" a="1"/>
  <c r="D75" i="38" s="1"/>
  <c r="B75" i="38" a="1"/>
  <c r="B75" i="38" s="1"/>
  <c r="AV74" i="38" a="1"/>
  <c r="AV74" i="38" s="1"/>
  <c r="AT74" i="38" a="1"/>
  <c r="AT74" i="38" s="1"/>
  <c r="AR74" i="38"/>
  <c r="AR74" i="38" a="1"/>
  <c r="AP74" i="38" a="1"/>
  <c r="AP74" i="38" s="1"/>
  <c r="AN74" i="38" a="1"/>
  <c r="AN74" i="38" s="1"/>
  <c r="AL74" i="38" a="1"/>
  <c r="AL74" i="38" s="1"/>
  <c r="AJ74" i="38" a="1"/>
  <c r="AJ74" i="38" s="1"/>
  <c r="AH74" i="38" a="1"/>
  <c r="AH74" i="38" s="1"/>
  <c r="AF74" i="38" a="1"/>
  <c r="AF74" i="38" s="1"/>
  <c r="AD74" i="38" a="1"/>
  <c r="AD74" i="38" s="1"/>
  <c r="AB74" i="38"/>
  <c r="AB74" i="38" a="1"/>
  <c r="Z74" i="38" a="1"/>
  <c r="Z74" i="38" s="1"/>
  <c r="X74" i="38" a="1"/>
  <c r="X74" i="38" s="1"/>
  <c r="V74" i="38" a="1"/>
  <c r="V74" i="38" s="1"/>
  <c r="T74" i="38" a="1"/>
  <c r="T74" i="38" s="1"/>
  <c r="R74" i="38" a="1"/>
  <c r="R74" i="38" s="1"/>
  <c r="P74" i="38" a="1"/>
  <c r="P74" i="38" s="1"/>
  <c r="N74" i="38" a="1"/>
  <c r="N74" i="38" s="1"/>
  <c r="L74" i="38"/>
  <c r="L74" i="38" a="1"/>
  <c r="J74" i="38" a="1"/>
  <c r="J74" i="38" s="1"/>
  <c r="H74" i="38" a="1"/>
  <c r="H74" i="38" s="1"/>
  <c r="F74" i="38" a="1"/>
  <c r="F74" i="38" s="1"/>
  <c r="D74" i="38" a="1"/>
  <c r="D74" i="38" s="1"/>
  <c r="B74" i="38" a="1"/>
  <c r="B74" i="38" s="1"/>
  <c r="AV73" i="38" a="1"/>
  <c r="AV73" i="38" s="1"/>
  <c r="AT73" i="38" a="1"/>
  <c r="AT73" i="38" s="1"/>
  <c r="AR73" i="38"/>
  <c r="AR73" i="38" a="1"/>
  <c r="AP73" i="38" a="1"/>
  <c r="AP73" i="38" s="1"/>
  <c r="AN73" i="38" a="1"/>
  <c r="AN73" i="38" s="1"/>
  <c r="AL73" i="38" a="1"/>
  <c r="AL73" i="38" s="1"/>
  <c r="AJ73" i="38" a="1"/>
  <c r="AJ73" i="38" s="1"/>
  <c r="AH73" i="38" a="1"/>
  <c r="AH73" i="38" s="1"/>
  <c r="AF73" i="38" a="1"/>
  <c r="AF73" i="38" s="1"/>
  <c r="AD73" i="38" a="1"/>
  <c r="AD73" i="38" s="1"/>
  <c r="AB73" i="38"/>
  <c r="AB73" i="38" a="1"/>
  <c r="Z73" i="38" a="1"/>
  <c r="Z73" i="38" s="1"/>
  <c r="X73" i="38" a="1"/>
  <c r="X73" i="38" s="1"/>
  <c r="V73" i="38"/>
  <c r="V73" i="38" a="1"/>
  <c r="T73" i="38" a="1"/>
  <c r="T73" i="38" s="1"/>
  <c r="R73" i="38" a="1"/>
  <c r="R73" i="38" s="1"/>
  <c r="P73" i="38" a="1"/>
  <c r="P73" i="38" s="1"/>
  <c r="N73" i="38" a="1"/>
  <c r="N73" i="38" s="1"/>
  <c r="L73" i="38"/>
  <c r="L73" i="38" a="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P69" i="38"/>
  <c r="L69" i="38"/>
  <c r="J69" i="38"/>
  <c r="B69" i="38"/>
  <c r="AV67" i="38" a="1"/>
  <c r="AV67" i="38" s="1"/>
  <c r="AT67" i="38" a="1"/>
  <c r="AT67" i="38" s="1"/>
  <c r="AR67" i="38" a="1"/>
  <c r="AR67" i="38" s="1"/>
  <c r="AP67" i="38" a="1"/>
  <c r="AP67" i="38" s="1"/>
  <c r="AN67" i="38" a="1"/>
  <c r="AN67" i="38" s="1"/>
  <c r="AL67" i="38" a="1"/>
  <c r="AL67" i="38" s="1"/>
  <c r="AJ67" i="38"/>
  <c r="AJ67" i="38" a="1"/>
  <c r="AH67" i="38" a="1"/>
  <c r="AH67" i="38" s="1"/>
  <c r="AF67" i="38" a="1"/>
  <c r="AF67" i="38" s="1"/>
  <c r="AD67" i="38"/>
  <c r="AD67" i="38" a="1"/>
  <c r="AB67" i="38" a="1"/>
  <c r="AB67" i="38" s="1"/>
  <c r="Z67" i="38" a="1"/>
  <c r="Z67" i="38" s="1"/>
  <c r="X67" i="38" a="1"/>
  <c r="X67" i="38" s="1"/>
  <c r="V67" i="38" a="1"/>
  <c r="V67" i="38" s="1"/>
  <c r="T67" i="38"/>
  <c r="T67" i="38" a="1"/>
  <c r="R67" i="38" a="1"/>
  <c r="R67" i="38" s="1"/>
  <c r="P67" i="38" a="1"/>
  <c r="P67" i="38" s="1"/>
  <c r="N67" i="38" a="1"/>
  <c r="N67" i="38" s="1"/>
  <c r="L67" i="38" a="1"/>
  <c r="L67" i="38" s="1"/>
  <c r="J67" i="38" a="1"/>
  <c r="J67" i="38" s="1"/>
  <c r="H67" i="38" a="1"/>
  <c r="H67" i="38" s="1"/>
  <c r="F67" i="38" a="1"/>
  <c r="F67" i="38" s="1"/>
  <c r="D67" i="38"/>
  <c r="D67" i="38" a="1"/>
  <c r="B67" i="38" a="1"/>
  <c r="B67" i="38" s="1"/>
  <c r="AV66" i="38" a="1"/>
  <c r="AV66" i="38" s="1"/>
  <c r="AV68" i="38" s="1"/>
  <c r="AT66" i="38" a="1"/>
  <c r="AT66" i="38" s="1"/>
  <c r="AT68" i="38" s="1"/>
  <c r="AR66" i="38" a="1"/>
  <c r="AR66" i="38" s="1"/>
  <c r="AR68" i="38" s="1"/>
  <c r="AP66" i="38" a="1"/>
  <c r="AP66" i="38" s="1"/>
  <c r="AP68" i="38" s="1"/>
  <c r="AN66" i="38" a="1"/>
  <c r="AN66" i="38" s="1"/>
  <c r="AN68" i="38" s="1"/>
  <c r="AL66" i="38" a="1"/>
  <c r="AL66" i="38" s="1"/>
  <c r="AJ66" i="38"/>
  <c r="AJ68" i="38" s="1"/>
  <c r="AJ66" i="38" a="1"/>
  <c r="AH66" i="38" a="1"/>
  <c r="AH66" i="38" s="1"/>
  <c r="AF66" i="38" a="1"/>
  <c r="AF66" i="38" s="1"/>
  <c r="AD66" i="38" a="1"/>
  <c r="AD66" i="38" s="1"/>
  <c r="AD68" i="38" s="1"/>
  <c r="AB66" i="38" a="1"/>
  <c r="AB66" i="38" s="1"/>
  <c r="AB68" i="38" s="1"/>
  <c r="Z66" i="38" a="1"/>
  <c r="Z66" i="38" s="1"/>
  <c r="Z68" i="38" s="1"/>
  <c r="X66" i="38" a="1"/>
  <c r="X66" i="38" s="1"/>
  <c r="X68" i="38" s="1"/>
  <c r="V66" i="38" a="1"/>
  <c r="V66" i="38" s="1"/>
  <c r="V68" i="38" s="1"/>
  <c r="T66" i="38"/>
  <c r="T68" i="38" s="1"/>
  <c r="T66" i="38" a="1"/>
  <c r="R66" i="38" a="1"/>
  <c r="R66" i="38" s="1"/>
  <c r="R68" i="38" s="1"/>
  <c r="P66" i="38" a="1"/>
  <c r="P66" i="38" s="1"/>
  <c r="P68" i="38" s="1"/>
  <c r="N66" i="38"/>
  <c r="N66" i="38" a="1"/>
  <c r="L66" i="38" a="1"/>
  <c r="L66" i="38" s="1"/>
  <c r="J66" i="38" a="1"/>
  <c r="J66" i="38" s="1"/>
  <c r="J68" i="38" s="1"/>
  <c r="H66" i="38" a="1"/>
  <c r="H66" i="38" s="1"/>
  <c r="F66" i="38" a="1"/>
  <c r="F66" i="38" s="1"/>
  <c r="D66" i="38"/>
  <c r="D68" i="38" s="1"/>
  <c r="D66" i="38" a="1"/>
  <c r="B66" i="38" a="1"/>
  <c r="B66" i="38" s="1"/>
  <c r="B68" i="38" s="1"/>
  <c r="AV65" i="38" a="1"/>
  <c r="AV65" i="38" s="1"/>
  <c r="AV69" i="38" s="1"/>
  <c r="AT65" i="38" a="1"/>
  <c r="AT65" i="38" s="1"/>
  <c r="AT69" i="38" s="1"/>
  <c r="AR65" i="38" a="1"/>
  <c r="AR65" i="38" s="1"/>
  <c r="AR69" i="38" s="1"/>
  <c r="AP65" i="38" a="1"/>
  <c r="AP65" i="38" s="1"/>
  <c r="AN65" i="38" a="1"/>
  <c r="AN65" i="38" s="1"/>
  <c r="AN69" i="38" s="1"/>
  <c r="AL65" i="38" a="1"/>
  <c r="AL65" i="38" s="1"/>
  <c r="AL69" i="38" s="1"/>
  <c r="AJ65" i="38"/>
  <c r="AJ69" i="38" s="1"/>
  <c r="AJ65" i="38" a="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c r="T69" i="38" s="1"/>
  <c r="T65" i="38" a="1"/>
  <c r="R65" i="38" a="1"/>
  <c r="R65" i="38" s="1"/>
  <c r="R69" i="38" s="1"/>
  <c r="P65" i="38" a="1"/>
  <c r="P65" i="38" s="1"/>
  <c r="P69" i="38" s="1"/>
  <c r="N65" i="38" a="1"/>
  <c r="N65" i="38" s="1"/>
  <c r="N69" i="38" s="1"/>
  <c r="L65" i="38" a="1"/>
  <c r="L65" i="38" s="1"/>
  <c r="J65" i="38" a="1"/>
  <c r="J65" i="38" s="1"/>
  <c r="H65" i="38" a="1"/>
  <c r="H65" i="38" s="1"/>
  <c r="H69" i="38" s="1"/>
  <c r="F65" i="38" a="1"/>
  <c r="F65" i="38" s="1"/>
  <c r="F69" i="38" s="1"/>
  <c r="D65" i="38"/>
  <c r="D69" i="38" s="1"/>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a="1"/>
  <c r="AP58" i="38" s="1"/>
  <c r="AN58" i="38" a="1"/>
  <c r="AN58" i="38" s="1"/>
  <c r="AL58" i="38" a="1"/>
  <c r="AL58" i="38" s="1"/>
  <c r="AJ58" i="38"/>
  <c r="AJ58" i="38" a="1"/>
  <c r="AH58" i="38" a="1"/>
  <c r="AH58" i="38" s="1"/>
  <c r="AF58" i="38"/>
  <c r="AF58" i="38" a="1"/>
  <c r="AD58" i="38"/>
  <c r="AD58" i="38" a="1"/>
  <c r="AB58" i="38" a="1"/>
  <c r="AB58" i="38" s="1"/>
  <c r="Z58" i="38" a="1"/>
  <c r="Z58" i="38" s="1"/>
  <c r="X58" i="38" a="1"/>
  <c r="X58" i="38" s="1"/>
  <c r="V58" i="38" a="1"/>
  <c r="V58" i="38" s="1"/>
  <c r="T58" i="38"/>
  <c r="T58" i="38" a="1"/>
  <c r="R58" i="38" a="1"/>
  <c r="R58" i="38" s="1"/>
  <c r="P58" i="38"/>
  <c r="P58" i="38" a="1"/>
  <c r="N58" i="38"/>
  <c r="N58" i="38" a="1"/>
  <c r="L58" i="38" a="1"/>
  <c r="L58" i="38" s="1"/>
  <c r="J58" i="38" a="1"/>
  <c r="J58" i="38" s="1"/>
  <c r="H58" i="38" a="1"/>
  <c r="H58" i="38" s="1"/>
  <c r="F58" i="38" a="1"/>
  <c r="F58" i="38" s="1"/>
  <c r="D58" i="38"/>
  <c r="D58" i="38" a="1"/>
  <c r="B58" i="38" a="1"/>
  <c r="B58" i="38" s="1"/>
  <c r="AV57" i="38"/>
  <c r="AV57" i="38" a="1"/>
  <c r="AT57" i="38"/>
  <c r="AT57" i="38" a="1"/>
  <c r="AR57" i="38" a="1"/>
  <c r="AR57" i="38" s="1"/>
  <c r="AP57" i="38" a="1"/>
  <c r="AP57" i="38" s="1"/>
  <c r="AN57" i="38" a="1"/>
  <c r="AN57" i="38" s="1"/>
  <c r="AL57" i="38" a="1"/>
  <c r="AL57" i="38" s="1"/>
  <c r="AJ57" i="38"/>
  <c r="AJ57" i="38" a="1"/>
  <c r="AH57" i="38" a="1"/>
  <c r="AH57" i="38" s="1"/>
  <c r="AF57" i="38"/>
  <c r="AF57" i="38" a="1"/>
  <c r="AD57" i="38"/>
  <c r="AD57" i="38" a="1"/>
  <c r="AB57" i="38" a="1"/>
  <c r="AB57" i="38" s="1"/>
  <c r="Z57" i="38" a="1"/>
  <c r="Z57" i="38" s="1"/>
  <c r="X57" i="38" a="1"/>
  <c r="X57" i="38" s="1"/>
  <c r="V57" i="38" a="1"/>
  <c r="V57" i="38" s="1"/>
  <c r="T57" i="38"/>
  <c r="T57" i="38" a="1"/>
  <c r="R57" i="38" a="1"/>
  <c r="R57" i="38" s="1"/>
  <c r="P57" i="38"/>
  <c r="P57" i="38" a="1"/>
  <c r="N57" i="38"/>
  <c r="N57" i="38" a="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P80" i="38" s="1"/>
  <c r="AN55" i="38"/>
  <c r="AN80" i="38" s="1"/>
  <c r="AL55" i="38"/>
  <c r="AL80" i="38" s="1"/>
  <c r="AJ55" i="38"/>
  <c r="AJ80" i="38" s="1"/>
  <c r="AH55" i="38"/>
  <c r="AF55" i="38"/>
  <c r="AF80" i="38" s="1"/>
  <c r="AD55" i="38"/>
  <c r="AD80" i="38" s="1"/>
  <c r="AB55" i="38"/>
  <c r="AB80" i="38" s="1"/>
  <c r="Z55" i="38"/>
  <c r="X55" i="38"/>
  <c r="V55" i="38"/>
  <c r="V80" i="38" s="1"/>
  <c r="T55" i="38"/>
  <c r="T80" i="38" s="1"/>
  <c r="R55" i="38"/>
  <c r="R80" i="38" s="1"/>
  <c r="P55" i="38"/>
  <c r="N55" i="38"/>
  <c r="L55" i="38"/>
  <c r="J55" i="38"/>
  <c r="H55" i="38"/>
  <c r="H80" i="38" s="1"/>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L81" i="38" s="1"/>
  <c r="AJ51" i="38"/>
  <c r="AJ81" i="38" s="1"/>
  <c r="AH51" i="38"/>
  <c r="AH81" i="38" s="1"/>
  <c r="AF51" i="38"/>
  <c r="AD51" i="38"/>
  <c r="AB51" i="38"/>
  <c r="Z51" i="38"/>
  <c r="X51" i="38"/>
  <c r="X81" i="38" s="1"/>
  <c r="V51" i="38"/>
  <c r="V81" i="38" s="1"/>
  <c r="T51" i="38"/>
  <c r="T81" i="38" s="1"/>
  <c r="R51" i="38"/>
  <c r="P51" i="38"/>
  <c r="P81" i="38" s="1"/>
  <c r="N51" i="38"/>
  <c r="N81" i="38" s="1"/>
  <c r="L51" i="38"/>
  <c r="L81" i="38" s="1"/>
  <c r="J51" i="38"/>
  <c r="H51" i="38"/>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N81" i="21"/>
  <c r="AD81" i="21"/>
  <c r="AB81" i="21"/>
  <c r="Z81" i="21"/>
  <c r="V81" i="21"/>
  <c r="T81" i="21"/>
  <c r="R81" i="21"/>
  <c r="H81" i="21"/>
  <c r="AT80" i="21"/>
  <c r="AR80" i="21"/>
  <c r="AP80" i="21"/>
  <c r="AL80" i="21"/>
  <c r="AJ80" i="21"/>
  <c r="X80" i="21"/>
  <c r="N80" i="21"/>
  <c r="L80" i="21"/>
  <c r="J80" i="21"/>
  <c r="F80" i="21"/>
  <c r="D80" i="21"/>
  <c r="AV79" i="21"/>
  <c r="AV79" i="21" a="1"/>
  <c r="AT79" i="21" a="1"/>
  <c r="AT79" i="21" s="1"/>
  <c r="AR79" i="21"/>
  <c r="AR79" i="21" a="1"/>
  <c r="AP79" i="21" a="1"/>
  <c r="AP79" i="21" s="1"/>
  <c r="AN79" i="21" a="1"/>
  <c r="AN79" i="21" s="1"/>
  <c r="AL79" i="21" a="1"/>
  <c r="AL79" i="21" s="1"/>
  <c r="AJ79" i="21" a="1"/>
  <c r="AJ79" i="21" s="1"/>
  <c r="AH79" i="21" a="1"/>
  <c r="AH79" i="21" s="1"/>
  <c r="AF79" i="21"/>
  <c r="AF79" i="21" a="1"/>
  <c r="AD79" i="21" a="1"/>
  <c r="AD79" i="21" s="1"/>
  <c r="AB79" i="21"/>
  <c r="AB79" i="21" a="1"/>
  <c r="Z79" i="21" a="1"/>
  <c r="Z79" i="21" s="1"/>
  <c r="X79" i="21" a="1"/>
  <c r="X79" i="21" s="1"/>
  <c r="V79" i="21" a="1"/>
  <c r="V79" i="21" s="1"/>
  <c r="T79" i="21" a="1"/>
  <c r="T79" i="21" s="1"/>
  <c r="R79" i="21" a="1"/>
  <c r="R79" i="21" s="1"/>
  <c r="P79" i="21"/>
  <c r="P79" i="21" a="1"/>
  <c r="N79" i="21" a="1"/>
  <c r="N79" i="21" s="1"/>
  <c r="L79" i="21"/>
  <c r="L79" i="21" a="1"/>
  <c r="J79" i="21" a="1"/>
  <c r="J79" i="21" s="1"/>
  <c r="H79" i="21" a="1"/>
  <c r="H79" i="21" s="1"/>
  <c r="F79" i="21" a="1"/>
  <c r="F79" i="21" s="1"/>
  <c r="D79" i="21" a="1"/>
  <c r="D79" i="21" s="1"/>
  <c r="B79" i="21" a="1"/>
  <c r="B79" i="21" s="1"/>
  <c r="AV78" i="21"/>
  <c r="AV78" i="21" a="1"/>
  <c r="AT78" i="21" a="1"/>
  <c r="AT78" i="21" s="1"/>
  <c r="AR78" i="21"/>
  <c r="AR78" i="21" a="1"/>
  <c r="AP78" i="21" a="1"/>
  <c r="AP78" i="21" s="1"/>
  <c r="AN78" i="21" a="1"/>
  <c r="AN78" i="21" s="1"/>
  <c r="AL78" i="21" a="1"/>
  <c r="AL78" i="21" s="1"/>
  <c r="AJ78" i="21" a="1"/>
  <c r="AJ78" i="21" s="1"/>
  <c r="AH78" i="21" a="1"/>
  <c r="AH78" i="21" s="1"/>
  <c r="AF78" i="21"/>
  <c r="AF78" i="21" a="1"/>
  <c r="AD78" i="21" a="1"/>
  <c r="AD78" i="21" s="1"/>
  <c r="AB78" i="21"/>
  <c r="AB78" i="21" a="1"/>
  <c r="Z78" i="21" a="1"/>
  <c r="Z78" i="21" s="1"/>
  <c r="X78" i="21" a="1"/>
  <c r="X78" i="21" s="1"/>
  <c r="V78" i="21" a="1"/>
  <c r="V78" i="21" s="1"/>
  <c r="T78" i="21" a="1"/>
  <c r="T78" i="21" s="1"/>
  <c r="R78" i="21" a="1"/>
  <c r="R78" i="21" s="1"/>
  <c r="P78" i="21"/>
  <c r="P78" i="21" a="1"/>
  <c r="N78" i="21" a="1"/>
  <c r="N78" i="21" s="1"/>
  <c r="L78" i="21"/>
  <c r="L78" i="21" a="1"/>
  <c r="J78" i="21" a="1"/>
  <c r="J78" i="21" s="1"/>
  <c r="H78" i="21" a="1"/>
  <c r="H78" i="21" s="1"/>
  <c r="F78" i="21" a="1"/>
  <c r="F78" i="21" s="1"/>
  <c r="D78" i="21" a="1"/>
  <c r="D78" i="21" s="1"/>
  <c r="B78" i="21" a="1"/>
  <c r="B78" i="21" s="1"/>
  <c r="AV77" i="21" a="1"/>
  <c r="AV77" i="21" s="1"/>
  <c r="AT77" i="21" a="1"/>
  <c r="AT77" i="21" s="1"/>
  <c r="AR77" i="21"/>
  <c r="AR77" i="21" a="1"/>
  <c r="AP77" i="21" a="1"/>
  <c r="AP77" i="21" s="1"/>
  <c r="AN77" i="21" a="1"/>
  <c r="AN77" i="21" s="1"/>
  <c r="AL77" i="21" a="1"/>
  <c r="AL77" i="21" s="1"/>
  <c r="AJ77" i="21" a="1"/>
  <c r="AJ77" i="21" s="1"/>
  <c r="AH77" i="21" a="1"/>
  <c r="AH77" i="21" s="1"/>
  <c r="AF77" i="21" a="1"/>
  <c r="AF77" i="21" s="1"/>
  <c r="AD77" i="21" a="1"/>
  <c r="AD77" i="21" s="1"/>
  <c r="AB77" i="21"/>
  <c r="AB77" i="21" a="1"/>
  <c r="Z77" i="21" a="1"/>
  <c r="Z77" i="21" s="1"/>
  <c r="X77" i="21" a="1"/>
  <c r="X77" i="21" s="1"/>
  <c r="V77" i="21" a="1"/>
  <c r="V77" i="21" s="1"/>
  <c r="T77" i="21" a="1"/>
  <c r="T77" i="21" s="1"/>
  <c r="R77" i="21" a="1"/>
  <c r="R77" i="21" s="1"/>
  <c r="P77" i="21" a="1"/>
  <c r="P77" i="21" s="1"/>
  <c r="N77" i="21" a="1"/>
  <c r="N77" i="21" s="1"/>
  <c r="L77" i="21"/>
  <c r="L77" i="21" a="1"/>
  <c r="J77" i="21" a="1"/>
  <c r="J77" i="21" s="1"/>
  <c r="H77" i="21" a="1"/>
  <c r="H77" i="21" s="1"/>
  <c r="F77" i="21" a="1"/>
  <c r="F77" i="21" s="1"/>
  <c r="D77" i="21" a="1"/>
  <c r="D77" i="21" s="1"/>
  <c r="B77" i="21" a="1"/>
  <c r="B77" i="21" s="1"/>
  <c r="AV76" i="21" a="1"/>
  <c r="AV76" i="21" s="1"/>
  <c r="AT76" i="21" a="1"/>
  <c r="AT76" i="21" s="1"/>
  <c r="AR76" i="21"/>
  <c r="AR76" i="21" a="1"/>
  <c r="AP76" i="21" a="1"/>
  <c r="AP76" i="21" s="1"/>
  <c r="AN76" i="21" a="1"/>
  <c r="AN76" i="21" s="1"/>
  <c r="AL76" i="21" a="1"/>
  <c r="AL76" i="21" s="1"/>
  <c r="AJ76" i="21" a="1"/>
  <c r="AJ76" i="21" s="1"/>
  <c r="AH76" i="21" a="1"/>
  <c r="AH76" i="21" s="1"/>
  <c r="AF76" i="21" a="1"/>
  <c r="AF76" i="21" s="1"/>
  <c r="AD76" i="21" a="1"/>
  <c r="AD76" i="21" s="1"/>
  <c r="AB76" i="21"/>
  <c r="AB76" i="21" a="1"/>
  <c r="Z76" i="21" a="1"/>
  <c r="Z76" i="21" s="1"/>
  <c r="X76" i="21" a="1"/>
  <c r="X76" i="21" s="1"/>
  <c r="V76" i="21" a="1"/>
  <c r="V76" i="21" s="1"/>
  <c r="T76" i="21" a="1"/>
  <c r="T76" i="21" s="1"/>
  <c r="R76" i="21" a="1"/>
  <c r="R76" i="21" s="1"/>
  <c r="P76" i="21" a="1"/>
  <c r="P76" i="21" s="1"/>
  <c r="N76" i="21" a="1"/>
  <c r="N76" i="21" s="1"/>
  <c r="L76" i="21"/>
  <c r="L76" i="21" a="1"/>
  <c r="J76" i="21" a="1"/>
  <c r="J76" i="21" s="1"/>
  <c r="H76" i="21" a="1"/>
  <c r="H76" i="21" s="1"/>
  <c r="F76" i="21" a="1"/>
  <c r="F76" i="21" s="1"/>
  <c r="D76" i="21" a="1"/>
  <c r="D76" i="21" s="1"/>
  <c r="B76" i="21" a="1"/>
  <c r="B76" i="21" s="1"/>
  <c r="AV75" i="21" a="1"/>
  <c r="AV75" i="21" s="1"/>
  <c r="AT75" i="21" a="1"/>
  <c r="AT75" i="21" s="1"/>
  <c r="AR75" i="21"/>
  <c r="AR75" i="21" a="1"/>
  <c r="AP75" i="21" a="1"/>
  <c r="AP75" i="21" s="1"/>
  <c r="AN75" i="21" a="1"/>
  <c r="AN75" i="21" s="1"/>
  <c r="AL75" i="21" a="1"/>
  <c r="AL75" i="21" s="1"/>
  <c r="AJ75" i="21" a="1"/>
  <c r="AJ75" i="21" s="1"/>
  <c r="AH75" i="21" a="1"/>
  <c r="AH75" i="21" s="1"/>
  <c r="AF75" i="21" a="1"/>
  <c r="AF75" i="21" s="1"/>
  <c r="AD75" i="21" a="1"/>
  <c r="AD75" i="21" s="1"/>
  <c r="AB75" i="21"/>
  <c r="AB75" i="21" a="1"/>
  <c r="Z75" i="21" a="1"/>
  <c r="Z75" i="21" s="1"/>
  <c r="X75" i="21" a="1"/>
  <c r="X75" i="21" s="1"/>
  <c r="V75" i="21" a="1"/>
  <c r="V75" i="21" s="1"/>
  <c r="T75" i="21" a="1"/>
  <c r="T75" i="21" s="1"/>
  <c r="R75" i="21" a="1"/>
  <c r="R75" i="21" s="1"/>
  <c r="P75" i="21" a="1"/>
  <c r="P75" i="21" s="1"/>
  <c r="N75" i="21" a="1"/>
  <c r="N75" i="21" s="1"/>
  <c r="L75" i="21"/>
  <c r="L75" i="21" a="1"/>
  <c r="J75" i="21" a="1"/>
  <c r="J75" i="21" s="1"/>
  <c r="H75" i="21" a="1"/>
  <c r="H75" i="21" s="1"/>
  <c r="F75" i="21" a="1"/>
  <c r="F75" i="21" s="1"/>
  <c r="D75" i="21" a="1"/>
  <c r="D75" i="21" s="1"/>
  <c r="B75" i="21" a="1"/>
  <c r="B75" i="21" s="1"/>
  <c r="AV74" i="21" a="1"/>
  <c r="AV74" i="21" s="1"/>
  <c r="AT74" i="21" a="1"/>
  <c r="AT74" i="21" s="1"/>
  <c r="AR74" i="21"/>
  <c r="AR74" i="21" a="1"/>
  <c r="AP74" i="21" a="1"/>
  <c r="AP74" i="21" s="1"/>
  <c r="AN74" i="21" a="1"/>
  <c r="AN74" i="21" s="1"/>
  <c r="AL74" i="21" a="1"/>
  <c r="AL74" i="21" s="1"/>
  <c r="AJ74" i="21" a="1"/>
  <c r="AJ74" i="21" s="1"/>
  <c r="AH74" i="21" a="1"/>
  <c r="AH74" i="21" s="1"/>
  <c r="AF74" i="21" a="1"/>
  <c r="AF74" i="21" s="1"/>
  <c r="AD74" i="21" a="1"/>
  <c r="AD74" i="21" s="1"/>
  <c r="AB74" i="21"/>
  <c r="AB74" i="21" a="1"/>
  <c r="Z74" i="21" a="1"/>
  <c r="Z74" i="21" s="1"/>
  <c r="X74" i="21" a="1"/>
  <c r="X74" i="21" s="1"/>
  <c r="V74" i="21" a="1"/>
  <c r="V74" i="21" s="1"/>
  <c r="T74" i="21" a="1"/>
  <c r="T74" i="21" s="1"/>
  <c r="R74" i="21" a="1"/>
  <c r="R74" i="21" s="1"/>
  <c r="P74" i="21" a="1"/>
  <c r="P74" i="21" s="1"/>
  <c r="N74" i="21" a="1"/>
  <c r="N74" i="21" s="1"/>
  <c r="L74" i="21"/>
  <c r="L74" i="21" a="1"/>
  <c r="J74" i="21" a="1"/>
  <c r="J74" i="21" s="1"/>
  <c r="H74" i="21" a="1"/>
  <c r="H74" i="21" s="1"/>
  <c r="F74" i="21" a="1"/>
  <c r="F74" i="21" s="1"/>
  <c r="D74" i="21" a="1"/>
  <c r="D74" i="21" s="1"/>
  <c r="B74" i="21" a="1"/>
  <c r="B74" i="21" s="1"/>
  <c r="AV73" i="21" a="1"/>
  <c r="AV73" i="21" s="1"/>
  <c r="AT73" i="21" a="1"/>
  <c r="AT73" i="21" s="1"/>
  <c r="AR73" i="21"/>
  <c r="AR73" i="21" a="1"/>
  <c r="AP73" i="21" a="1"/>
  <c r="AP73" i="21" s="1"/>
  <c r="AN73" i="21" a="1"/>
  <c r="AN73" i="21" s="1"/>
  <c r="AL73" i="21" a="1"/>
  <c r="AL73" i="21" s="1"/>
  <c r="AJ73" i="21" a="1"/>
  <c r="AJ73" i="21" s="1"/>
  <c r="AH73" i="21" a="1"/>
  <c r="AH73" i="21" s="1"/>
  <c r="AF73" i="21" a="1"/>
  <c r="AF73" i="21" s="1"/>
  <c r="AD73" i="21" a="1"/>
  <c r="AD73" i="21" s="1"/>
  <c r="AB73" i="21"/>
  <c r="AB73" i="21" a="1"/>
  <c r="Z73" i="21" a="1"/>
  <c r="Z73" i="21" s="1"/>
  <c r="X73" i="21" a="1"/>
  <c r="X73" i="21" s="1"/>
  <c r="V73" i="21" a="1"/>
  <c r="V73" i="21" s="1"/>
  <c r="T73" i="21" a="1"/>
  <c r="T73" i="21" s="1"/>
  <c r="R73" i="21" a="1"/>
  <c r="R73" i="21" s="1"/>
  <c r="P73" i="21" a="1"/>
  <c r="P73" i="21" s="1"/>
  <c r="N73" i="21" a="1"/>
  <c r="N73" i="21" s="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J69" i="21"/>
  <c r="AH69" i="21"/>
  <c r="D69" i="21"/>
  <c r="B69" i="21"/>
  <c r="T68" i="21"/>
  <c r="AV67" i="21" a="1"/>
  <c r="AV67" i="21" s="1"/>
  <c r="AT67" i="21" a="1"/>
  <c r="AT67" i="21" s="1"/>
  <c r="AR67" i="21" a="1"/>
  <c r="AR67" i="21" s="1"/>
  <c r="AP67" i="21" a="1"/>
  <c r="AP67" i="21" s="1"/>
  <c r="AN67" i="21" a="1"/>
  <c r="AN67" i="21" s="1"/>
  <c r="AL67" i="21" a="1"/>
  <c r="AL67" i="21" s="1"/>
  <c r="AJ67" i="21"/>
  <c r="AJ67" i="21" a="1"/>
  <c r="AH67" i="21" a="1"/>
  <c r="AH67" i="21" s="1"/>
  <c r="AF67" i="21" a="1"/>
  <c r="AF67" i="21" s="1"/>
  <c r="AD67" i="21" a="1"/>
  <c r="AD67" i="21" s="1"/>
  <c r="AB67" i="21" a="1"/>
  <c r="AB67" i="21" s="1"/>
  <c r="Z67" i="21" a="1"/>
  <c r="Z67" i="21" s="1"/>
  <c r="X67" i="21" a="1"/>
  <c r="X67" i="21" s="1"/>
  <c r="V67" i="21" a="1"/>
  <c r="V67" i="21" s="1"/>
  <c r="T67" i="21"/>
  <c r="T67" i="21" a="1"/>
  <c r="R67" i="21" a="1"/>
  <c r="R67" i="21" s="1"/>
  <c r="P67" i="21" a="1"/>
  <c r="P67" i="21" s="1"/>
  <c r="N67" i="21" a="1"/>
  <c r="N67" i="21" s="1"/>
  <c r="L67" i="21" a="1"/>
  <c r="L67" i="21" s="1"/>
  <c r="J67" i="21" a="1"/>
  <c r="J67" i="21" s="1"/>
  <c r="H67" i="21" a="1"/>
  <c r="H67" i="21" s="1"/>
  <c r="F67" i="21" a="1"/>
  <c r="F67" i="21" s="1"/>
  <c r="D67" i="21"/>
  <c r="D67" i="21" a="1"/>
  <c r="B67" i="21" a="1"/>
  <c r="B67" i="21" s="1"/>
  <c r="AV66" i="21" a="1"/>
  <c r="AV66" i="21" s="1"/>
  <c r="AV68" i="21" s="1"/>
  <c r="AT66" i="21" a="1"/>
  <c r="AT66" i="21" s="1"/>
  <c r="AT68" i="21" s="1"/>
  <c r="AR66" i="21" a="1"/>
  <c r="AR66" i="21" s="1"/>
  <c r="AR68" i="21" s="1"/>
  <c r="AP66" i="21" a="1"/>
  <c r="AP66" i="21" s="1"/>
  <c r="AP68" i="21" s="1"/>
  <c r="AN66" i="21" a="1"/>
  <c r="AN66" i="21" s="1"/>
  <c r="AL66" i="21" a="1"/>
  <c r="AL66" i="21" s="1"/>
  <c r="AJ66" i="21"/>
  <c r="AJ68" i="21" s="1"/>
  <c r="AJ66" i="21" a="1"/>
  <c r="AH66" i="21" a="1"/>
  <c r="AH66" i="21" s="1"/>
  <c r="AF66" i="21" a="1"/>
  <c r="AF66" i="21" s="1"/>
  <c r="AD66" i="21" a="1"/>
  <c r="AD66" i="21" s="1"/>
  <c r="AB66" i="21" a="1"/>
  <c r="AB66" i="21" s="1"/>
  <c r="AB68" i="21" s="1"/>
  <c r="Z66" i="21" a="1"/>
  <c r="Z66" i="21" s="1"/>
  <c r="Z68" i="21" s="1"/>
  <c r="X66" i="21" a="1"/>
  <c r="X66" i="21" s="1"/>
  <c r="V66" i="21" a="1"/>
  <c r="V66" i="21" s="1"/>
  <c r="T66" i="21"/>
  <c r="T66" i="21" a="1"/>
  <c r="R66" i="21" a="1"/>
  <c r="R66" i="21" s="1"/>
  <c r="R68" i="21" s="1"/>
  <c r="P66" i="21" a="1"/>
  <c r="P66" i="21" s="1"/>
  <c r="N66" i="21" a="1"/>
  <c r="N66" i="21" s="1"/>
  <c r="L66" i="21" a="1"/>
  <c r="L66" i="21" s="1"/>
  <c r="L68" i="21" s="1"/>
  <c r="J66" i="21"/>
  <c r="J66" i="21" a="1"/>
  <c r="H66" i="21" a="1"/>
  <c r="H66" i="21" s="1"/>
  <c r="F66" i="21" a="1"/>
  <c r="F66" i="21" s="1"/>
  <c r="D66" i="21"/>
  <c r="D68" i="21" s="1"/>
  <c r="D66" i="21" a="1"/>
  <c r="B66" i="21" a="1"/>
  <c r="B66" i="21" s="1"/>
  <c r="B68" i="21" s="1"/>
  <c r="AV65" i="21" a="1"/>
  <c r="AV65" i="21" s="1"/>
  <c r="AV69" i="21" s="1"/>
  <c r="AT65" i="21" a="1"/>
  <c r="AT65" i="21" s="1"/>
  <c r="AT69" i="21" s="1"/>
  <c r="AR65" i="21" a="1"/>
  <c r="AR65" i="21" s="1"/>
  <c r="AR69" i="21" s="1"/>
  <c r="AP65" i="21" a="1"/>
  <c r="AP65" i="21" s="1"/>
  <c r="AP69" i="21" s="1"/>
  <c r="AN65" i="21" a="1"/>
  <c r="AN65" i="21" s="1"/>
  <c r="AN69" i="21" s="1"/>
  <c r="AL65" i="21" a="1"/>
  <c r="AL65" i="21" s="1"/>
  <c r="AL69" i="21" s="1"/>
  <c r="AJ65" i="21"/>
  <c r="AJ65" i="21" a="1"/>
  <c r="AH65" i="21" a="1"/>
  <c r="AH65" i="21" s="1"/>
  <c r="AF65" i="21" a="1"/>
  <c r="AF65" i="21" s="1"/>
  <c r="AF69" i="21" s="1"/>
  <c r="AD65" i="21" a="1"/>
  <c r="AD65" i="21" s="1"/>
  <c r="AD69" i="21" s="1"/>
  <c r="AB65" i="21" a="1"/>
  <c r="AB65" i="21" s="1"/>
  <c r="AB69" i="21" s="1"/>
  <c r="Z65" i="21" a="1"/>
  <c r="Z65" i="21" s="1"/>
  <c r="Z69" i="21" s="1"/>
  <c r="X65" i="21" a="1"/>
  <c r="X65" i="21" s="1"/>
  <c r="X69" i="21" s="1"/>
  <c r="V65" i="21" a="1"/>
  <c r="V65" i="21" s="1"/>
  <c r="V69" i="21" s="1"/>
  <c r="T65" i="21"/>
  <c r="T69" i="21" s="1"/>
  <c r="T65" i="21" a="1"/>
  <c r="R65" i="21" a="1"/>
  <c r="R65" i="21" s="1"/>
  <c r="R69" i="21" s="1"/>
  <c r="P65" i="21" a="1"/>
  <c r="P65" i="21" s="1"/>
  <c r="P69" i="21" s="1"/>
  <c r="N65" i="21" a="1"/>
  <c r="N65" i="21" s="1"/>
  <c r="N69" i="21" s="1"/>
  <c r="L65" i="21" a="1"/>
  <c r="L65" i="21" s="1"/>
  <c r="L69" i="21" s="1"/>
  <c r="J65" i="21" a="1"/>
  <c r="J65" i="21" s="1"/>
  <c r="J69" i="21" s="1"/>
  <c r="H65" i="21" a="1"/>
  <c r="H65" i="21" s="1"/>
  <c r="H69" i="21" s="1"/>
  <c r="F65" i="21" a="1"/>
  <c r="F65" i="21" s="1"/>
  <c r="F69" i="21" s="1"/>
  <c r="D65" i="21"/>
  <c r="D65" i="21" a="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c r="AP58" i="21" a="1"/>
  <c r="AN58" i="21"/>
  <c r="AN58" i="21" a="1"/>
  <c r="AL58" i="21" a="1"/>
  <c r="AL58" i="21" s="1"/>
  <c r="AJ58" i="21"/>
  <c r="AJ58" i="21" a="1"/>
  <c r="AH58" i="21" a="1"/>
  <c r="AH58" i="21" s="1"/>
  <c r="AF58" i="21"/>
  <c r="AF58" i="21" a="1"/>
  <c r="AD58" i="21"/>
  <c r="AD58" i="21" a="1"/>
  <c r="AB58" i="21" a="1"/>
  <c r="AB58" i="21" s="1"/>
  <c r="Z58" i="21"/>
  <c r="Z58" i="21" a="1"/>
  <c r="X58" i="21"/>
  <c r="X58" i="21" a="1"/>
  <c r="V58" i="21" a="1"/>
  <c r="V58" i="21" s="1"/>
  <c r="T58" i="21"/>
  <c r="T58" i="21" a="1"/>
  <c r="R58" i="21" a="1"/>
  <c r="R58" i="21" s="1"/>
  <c r="P58" i="21"/>
  <c r="P58" i="21" a="1"/>
  <c r="N58" i="21"/>
  <c r="N58" i="21" a="1"/>
  <c r="L58" i="21" a="1"/>
  <c r="L58" i="21" s="1"/>
  <c r="J58" i="21"/>
  <c r="J58" i="21" a="1"/>
  <c r="H58" i="21"/>
  <c r="H58" i="21" a="1"/>
  <c r="F58" i="21" a="1"/>
  <c r="F58" i="21" s="1"/>
  <c r="D58" i="21"/>
  <c r="D58" i="21" a="1"/>
  <c r="B58" i="21" a="1"/>
  <c r="B58" i="21" s="1"/>
  <c r="AV57" i="21"/>
  <c r="AV57" i="21" a="1"/>
  <c r="AT57" i="21"/>
  <c r="AT57" i="21" a="1"/>
  <c r="AR57" i="21" a="1"/>
  <c r="AR57" i="21" s="1"/>
  <c r="AP57" i="21"/>
  <c r="AP57" i="21" a="1"/>
  <c r="AN57" i="21"/>
  <c r="AN57" i="21" a="1"/>
  <c r="AL57" i="21" a="1"/>
  <c r="AL57" i="21" s="1"/>
  <c r="AJ57" i="21"/>
  <c r="AJ57" i="21" a="1"/>
  <c r="AH57" i="21" a="1"/>
  <c r="AH57" i="21" s="1"/>
  <c r="AF57" i="21"/>
  <c r="AF57" i="21" a="1"/>
  <c r="AD57" i="21"/>
  <c r="AD57" i="21" a="1"/>
  <c r="AB57" i="21" a="1"/>
  <c r="AB57" i="21" s="1"/>
  <c r="Z57" i="21"/>
  <c r="Z57" i="21" a="1"/>
  <c r="X57" i="21"/>
  <c r="X57" i="21" a="1"/>
  <c r="V57" i="21" a="1"/>
  <c r="V57" i="21" s="1"/>
  <c r="T57" i="21"/>
  <c r="T57" i="21" a="1"/>
  <c r="R57" i="21" a="1"/>
  <c r="R57" i="21" s="1"/>
  <c r="P57" i="21"/>
  <c r="P57" i="21" a="1"/>
  <c r="N57" i="21"/>
  <c r="N57" i="21" a="1"/>
  <c r="L57" i="21" a="1"/>
  <c r="L57" i="21" s="1"/>
  <c r="J57" i="21"/>
  <c r="J57" i="21" a="1"/>
  <c r="H57" i="21"/>
  <c r="H57" i="21" a="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V80" i="21" s="1"/>
  <c r="AT55" i="21"/>
  <c r="AR55" i="21"/>
  <c r="AP55" i="21"/>
  <c r="AN55" i="21"/>
  <c r="AN80" i="21" s="1"/>
  <c r="AL55" i="21"/>
  <c r="AJ55" i="21"/>
  <c r="AH55" i="21"/>
  <c r="AH80" i="21" s="1"/>
  <c r="AF55" i="21"/>
  <c r="AF80" i="21" s="1"/>
  <c r="AD55" i="21"/>
  <c r="AD80" i="21" s="1"/>
  <c r="AB55" i="21"/>
  <c r="AB80" i="21" s="1"/>
  <c r="Z55" i="21"/>
  <c r="Z80" i="21" s="1"/>
  <c r="X55" i="21"/>
  <c r="V55" i="21"/>
  <c r="V80" i="21" s="1"/>
  <c r="T55" i="21"/>
  <c r="T80" i="21" s="1"/>
  <c r="R55" i="21"/>
  <c r="R80" i="21" s="1"/>
  <c r="P55" i="21"/>
  <c r="P80" i="21" s="1"/>
  <c r="N55" i="21"/>
  <c r="L55" i="21"/>
  <c r="J55" i="21"/>
  <c r="H55" i="21"/>
  <c r="H80" i="21" s="1"/>
  <c r="F55" i="21"/>
  <c r="D55" i="2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L51" i="21"/>
  <c r="AL81" i="21" s="1"/>
  <c r="AJ51" i="21"/>
  <c r="AJ81" i="21" s="1"/>
  <c r="AH51" i="21"/>
  <c r="AH81" i="21" s="1"/>
  <c r="AF51" i="21"/>
  <c r="AF81" i="21" s="1"/>
  <c r="AD51" i="21"/>
  <c r="AB51" i="21"/>
  <c r="Z51" i="21"/>
  <c r="X51" i="21"/>
  <c r="X81" i="21" s="1"/>
  <c r="V51" i="21"/>
  <c r="T51" i="21"/>
  <c r="R51" i="21"/>
  <c r="P51" i="21"/>
  <c r="P81" i="21" s="1"/>
  <c r="N51" i="21"/>
  <c r="N81" i="21" s="1"/>
  <c r="L51" i="21"/>
  <c r="L81" i="21" s="1"/>
  <c r="J51" i="21"/>
  <c r="J81" i="21" s="1"/>
  <c r="H51" i="2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c r="AT43" i="21" a="1"/>
  <c r="AR43" i="21" a="1"/>
  <c r="AR43" i="21" s="1"/>
  <c r="AP43" i="21" a="1"/>
  <c r="AP43" i="21" s="1"/>
  <c r="AN43" i="21" a="1"/>
  <c r="AN43" i="21" s="1"/>
  <c r="AL43" i="21" a="1"/>
  <c r="AL43" i="21" s="1"/>
  <c r="AJ43" i="21"/>
  <c r="AJ43" i="21" a="1"/>
  <c r="AH43" i="21" a="1"/>
  <c r="AH43" i="21" s="1"/>
  <c r="AF43" i="21"/>
  <c r="AF43" i="21" a="1"/>
  <c r="AD43" i="21"/>
  <c r="AD43" i="21" a="1"/>
  <c r="AB43" i="21" a="1"/>
  <c r="AB43" i="21" s="1"/>
  <c r="Z43" i="21" a="1"/>
  <c r="Z43" i="21" s="1"/>
  <c r="X43" i="21" a="1"/>
  <c r="X43" i="21" s="1"/>
  <c r="V43" i="21" a="1"/>
  <c r="V43" i="21" s="1"/>
  <c r="T43" i="21"/>
  <c r="T43" i="21" a="1"/>
  <c r="R43" i="21" a="1"/>
  <c r="R43" i="21" s="1"/>
  <c r="P43" i="21"/>
  <c r="P43" i="21" a="1"/>
  <c r="N43" i="21"/>
  <c r="N43" i="21" a="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J81" i="24"/>
  <c r="AF81" i="24"/>
  <c r="AB81" i="24"/>
  <c r="Z81" i="24"/>
  <c r="T81" i="24"/>
  <c r="R81" i="24"/>
  <c r="D81" i="24"/>
  <c r="AV80" i="24"/>
  <c r="AR80" i="24"/>
  <c r="AP80" i="24"/>
  <c r="AL80" i="24"/>
  <c r="AJ80" i="24"/>
  <c r="AH80" i="24"/>
  <c r="T80" i="24"/>
  <c r="P80" i="24"/>
  <c r="L80" i="24"/>
  <c r="J80" i="24"/>
  <c r="F80" i="24"/>
  <c r="D80" i="24"/>
  <c r="B80" i="24"/>
  <c r="AV79" i="24" a="1"/>
  <c r="AV79" i="24" s="1"/>
  <c r="AT79" i="24" a="1"/>
  <c r="AT79" i="24" s="1"/>
  <c r="AR79" i="24"/>
  <c r="AR79" i="24" a="1"/>
  <c r="AP79" i="24"/>
  <c r="AP79" i="24" a="1"/>
  <c r="AN79" i="24"/>
  <c r="AN79" i="24" a="1"/>
  <c r="AL79" i="24" a="1"/>
  <c r="AL79" i="24" s="1"/>
  <c r="AJ79" i="24" a="1"/>
  <c r="AJ79" i="24" s="1"/>
  <c r="AH79" i="24" a="1"/>
  <c r="AH79" i="24" s="1"/>
  <c r="AF79" i="24" a="1"/>
  <c r="AF79" i="24" s="1"/>
  <c r="AD79" i="24" a="1"/>
  <c r="AD79" i="24" s="1"/>
  <c r="AB79" i="24"/>
  <c r="AB79" i="24" a="1"/>
  <c r="Z79" i="24"/>
  <c r="Z79" i="24" a="1"/>
  <c r="X79" i="24"/>
  <c r="X79" i="24" a="1"/>
  <c r="V79" i="24" a="1"/>
  <c r="V79" i="24" s="1"/>
  <c r="T79" i="24" a="1"/>
  <c r="T79" i="24" s="1"/>
  <c r="R79" i="24" a="1"/>
  <c r="R79" i="24" s="1"/>
  <c r="P79" i="24" a="1"/>
  <c r="P79" i="24" s="1"/>
  <c r="N79" i="24" a="1"/>
  <c r="N79" i="24" s="1"/>
  <c r="L79" i="24"/>
  <c r="L79" i="24" a="1"/>
  <c r="J79" i="24"/>
  <c r="J79" i="24" a="1"/>
  <c r="H79" i="24"/>
  <c r="H79" i="24" a="1"/>
  <c r="F79" i="24" a="1"/>
  <c r="F79" i="24" s="1"/>
  <c r="D79" i="24" a="1"/>
  <c r="D79" i="24" s="1"/>
  <c r="B79" i="24" a="1"/>
  <c r="B79" i="24" s="1"/>
  <c r="AV78" i="24" a="1"/>
  <c r="AV78" i="24" s="1"/>
  <c r="AT78" i="24" a="1"/>
  <c r="AT78" i="24" s="1"/>
  <c r="AR78" i="24"/>
  <c r="AR78" i="24" a="1"/>
  <c r="AP78" i="24"/>
  <c r="AP78" i="24" a="1"/>
  <c r="AN78" i="24"/>
  <c r="AN78" i="24" a="1"/>
  <c r="AL78" i="24" a="1"/>
  <c r="AL78" i="24" s="1"/>
  <c r="AJ78" i="24" a="1"/>
  <c r="AJ78" i="24" s="1"/>
  <c r="AH78" i="24" a="1"/>
  <c r="AH78" i="24" s="1"/>
  <c r="AF78" i="24" a="1"/>
  <c r="AF78" i="24" s="1"/>
  <c r="AD78" i="24" a="1"/>
  <c r="AD78" i="24" s="1"/>
  <c r="AB78" i="24"/>
  <c r="AB78" i="24" a="1"/>
  <c r="Z78" i="24"/>
  <c r="Z78" i="24" a="1"/>
  <c r="X78" i="24"/>
  <c r="X78" i="24" a="1"/>
  <c r="V78" i="24" a="1"/>
  <c r="V78" i="24" s="1"/>
  <c r="T78" i="24" a="1"/>
  <c r="T78" i="24" s="1"/>
  <c r="R78" i="24" a="1"/>
  <c r="R78" i="24" s="1"/>
  <c r="P78" i="24" a="1"/>
  <c r="P78" i="24" s="1"/>
  <c r="N78" i="24" a="1"/>
  <c r="N78" i="24" s="1"/>
  <c r="L78" i="24"/>
  <c r="L78" i="24" a="1"/>
  <c r="J78" i="24"/>
  <c r="J78" i="24" a="1"/>
  <c r="H78" i="24"/>
  <c r="H78" i="24" a="1"/>
  <c r="F78" i="24" a="1"/>
  <c r="F78" i="24" s="1"/>
  <c r="D78" i="24" a="1"/>
  <c r="D78" i="24" s="1"/>
  <c r="B78" i="24" a="1"/>
  <c r="B78" i="24" s="1"/>
  <c r="AV77" i="24" a="1"/>
  <c r="AV77" i="24" s="1"/>
  <c r="AT77" i="24" a="1"/>
  <c r="AT77" i="24" s="1"/>
  <c r="AR77" i="24"/>
  <c r="AR77" i="24" a="1"/>
  <c r="AP77" i="24"/>
  <c r="AP77" i="24" a="1"/>
  <c r="AN77" i="24"/>
  <c r="AN77" i="24" a="1"/>
  <c r="AL77" i="24" a="1"/>
  <c r="AL77" i="24" s="1"/>
  <c r="AJ77" i="24" a="1"/>
  <c r="AJ77" i="24" s="1"/>
  <c r="AH77" i="24" a="1"/>
  <c r="AH77" i="24" s="1"/>
  <c r="AF77" i="24" a="1"/>
  <c r="AF77" i="24" s="1"/>
  <c r="AD77" i="24" a="1"/>
  <c r="AD77" i="24" s="1"/>
  <c r="AB77" i="24" a="1"/>
  <c r="AB77" i="24" s="1"/>
  <c r="Z77" i="24"/>
  <c r="Z77" i="24" a="1"/>
  <c r="X77" i="24"/>
  <c r="X77" i="24" a="1"/>
  <c r="V77" i="24" a="1"/>
  <c r="V77" i="24" s="1"/>
  <c r="T77" i="24" a="1"/>
  <c r="T77" i="24" s="1"/>
  <c r="R77" i="24" a="1"/>
  <c r="R77" i="24" s="1"/>
  <c r="P77" i="24" a="1"/>
  <c r="P77" i="24" s="1"/>
  <c r="N77" i="24" a="1"/>
  <c r="N77" i="24" s="1"/>
  <c r="L77" i="24" a="1"/>
  <c r="L77" i="24" s="1"/>
  <c r="J77" i="24"/>
  <c r="J77" i="24" a="1"/>
  <c r="H77" i="24"/>
  <c r="H77" i="24" a="1"/>
  <c r="F77" i="24" a="1"/>
  <c r="F77" i="24" s="1"/>
  <c r="D77" i="24" a="1"/>
  <c r="D77" i="24" s="1"/>
  <c r="B77" i="24" a="1"/>
  <c r="B77" i="24" s="1"/>
  <c r="AV76" i="24" a="1"/>
  <c r="AV76" i="24" s="1"/>
  <c r="AT76" i="24" a="1"/>
  <c r="AT76" i="24" s="1"/>
  <c r="AR76" i="24" a="1"/>
  <c r="AR76" i="24" s="1"/>
  <c r="AP76" i="24"/>
  <c r="AP76" i="24" a="1"/>
  <c r="AN76" i="24"/>
  <c r="AN76" i="24" a="1"/>
  <c r="AL76" i="24" a="1"/>
  <c r="AL76" i="24" s="1"/>
  <c r="AJ76" i="24" a="1"/>
  <c r="AJ76" i="24" s="1"/>
  <c r="AH76" i="24" a="1"/>
  <c r="AH76" i="24" s="1"/>
  <c r="AF76" i="24" a="1"/>
  <c r="AF76" i="24" s="1"/>
  <c r="AD76" i="24" a="1"/>
  <c r="AD76" i="24" s="1"/>
  <c r="AB76" i="24" a="1"/>
  <c r="AB76" i="24" s="1"/>
  <c r="Z76" i="24"/>
  <c r="Z76" i="24" a="1"/>
  <c r="X76" i="24"/>
  <c r="X76" i="24" a="1"/>
  <c r="V76" i="24" a="1"/>
  <c r="V76" i="24" s="1"/>
  <c r="T76" i="24" a="1"/>
  <c r="T76" i="24" s="1"/>
  <c r="R76" i="24" a="1"/>
  <c r="R76" i="24" s="1"/>
  <c r="P76" i="24" a="1"/>
  <c r="P76" i="24" s="1"/>
  <c r="N76" i="24" a="1"/>
  <c r="N76" i="24" s="1"/>
  <c r="L76" i="24" a="1"/>
  <c r="L76" i="24" s="1"/>
  <c r="J76" i="24"/>
  <c r="J76" i="24" a="1"/>
  <c r="H76" i="24"/>
  <c r="H76" i="24" a="1"/>
  <c r="F76" i="24" a="1"/>
  <c r="F76" i="24" s="1"/>
  <c r="D76" i="24" a="1"/>
  <c r="D76" i="24" s="1"/>
  <c r="B76" i="24" a="1"/>
  <c r="B76" i="24" s="1"/>
  <c r="AV75" i="24" a="1"/>
  <c r="AV75" i="24" s="1"/>
  <c r="AT75" i="24" a="1"/>
  <c r="AT75" i="24" s="1"/>
  <c r="AR75" i="24" a="1"/>
  <c r="AR75" i="24" s="1"/>
  <c r="AP75" i="24"/>
  <c r="AP75" i="24" a="1"/>
  <c r="AN75" i="24"/>
  <c r="AN75" i="24" a="1"/>
  <c r="AL75" i="24" a="1"/>
  <c r="AL75" i="24" s="1"/>
  <c r="AJ75" i="24" a="1"/>
  <c r="AJ75" i="24" s="1"/>
  <c r="AH75" i="24" a="1"/>
  <c r="AH75" i="24" s="1"/>
  <c r="AF75" i="24" a="1"/>
  <c r="AF75" i="24" s="1"/>
  <c r="AD75" i="24" a="1"/>
  <c r="AD75" i="24" s="1"/>
  <c r="AB75" i="24" a="1"/>
  <c r="AB75" i="24" s="1"/>
  <c r="Z75" i="24"/>
  <c r="Z75" i="24" a="1"/>
  <c r="X75" i="24"/>
  <c r="X75" i="24" a="1"/>
  <c r="V75" i="24" a="1"/>
  <c r="V75" i="24" s="1"/>
  <c r="T75" i="24" a="1"/>
  <c r="T75" i="24" s="1"/>
  <c r="R75" i="24" a="1"/>
  <c r="R75" i="24" s="1"/>
  <c r="P75" i="24" a="1"/>
  <c r="P75" i="24" s="1"/>
  <c r="N75" i="24" a="1"/>
  <c r="N75" i="24" s="1"/>
  <c r="L75" i="24" a="1"/>
  <c r="L75" i="24" s="1"/>
  <c r="J75" i="24"/>
  <c r="J75" i="24" a="1"/>
  <c r="H75" i="24"/>
  <c r="H75" i="24" a="1"/>
  <c r="F75" i="24" a="1"/>
  <c r="F75" i="24" s="1"/>
  <c r="D75" i="24" a="1"/>
  <c r="D75" i="24" s="1"/>
  <c r="B75" i="24" a="1"/>
  <c r="B75" i="24" s="1"/>
  <c r="AV74" i="24" a="1"/>
  <c r="AV74" i="24" s="1"/>
  <c r="AT74" i="24" a="1"/>
  <c r="AT74" i="24" s="1"/>
  <c r="AR74" i="24" a="1"/>
  <c r="AR74" i="24" s="1"/>
  <c r="AP74" i="24"/>
  <c r="AP74" i="24" a="1"/>
  <c r="AN74" i="24"/>
  <c r="AN74" i="24" a="1"/>
  <c r="AL74" i="24" a="1"/>
  <c r="AL74" i="24" s="1"/>
  <c r="AJ74" i="24" a="1"/>
  <c r="AJ74" i="24" s="1"/>
  <c r="AH74" i="24" a="1"/>
  <c r="AH74" i="24" s="1"/>
  <c r="AF74" i="24" a="1"/>
  <c r="AF74" i="24" s="1"/>
  <c r="AD74" i="24" a="1"/>
  <c r="AD74" i="24" s="1"/>
  <c r="AB74" i="24" a="1"/>
  <c r="AB74" i="24" s="1"/>
  <c r="Z74" i="24"/>
  <c r="Z74" i="24" a="1"/>
  <c r="X74" i="24"/>
  <c r="X74" i="24" a="1"/>
  <c r="V74" i="24" a="1"/>
  <c r="V74" i="24" s="1"/>
  <c r="T74" i="24" a="1"/>
  <c r="T74" i="24" s="1"/>
  <c r="R74" i="24" a="1"/>
  <c r="R74" i="24" s="1"/>
  <c r="P74" i="24" a="1"/>
  <c r="P74" i="24" s="1"/>
  <c r="N74" i="24" a="1"/>
  <c r="N74" i="24" s="1"/>
  <c r="L74" i="24" a="1"/>
  <c r="L74" i="24" s="1"/>
  <c r="J74" i="24"/>
  <c r="J74" i="24" a="1"/>
  <c r="H74" i="24"/>
  <c r="H74" i="24" a="1"/>
  <c r="F74" i="24" a="1"/>
  <c r="F74" i="24" s="1"/>
  <c r="D74" i="24" a="1"/>
  <c r="D74" i="24" s="1"/>
  <c r="B74" i="24" a="1"/>
  <c r="B74" i="24" s="1"/>
  <c r="AV73" i="24" a="1"/>
  <c r="AV73" i="24" s="1"/>
  <c r="AT73" i="24" a="1"/>
  <c r="AT73" i="24" s="1"/>
  <c r="AR73" i="24" a="1"/>
  <c r="AR73" i="24" s="1"/>
  <c r="AP73" i="24"/>
  <c r="AP73" i="24" a="1"/>
  <c r="AN73" i="24"/>
  <c r="AN73" i="24" a="1"/>
  <c r="AL73" i="24" a="1"/>
  <c r="AL73" i="24" s="1"/>
  <c r="AJ73" i="24" a="1"/>
  <c r="AJ73" i="24" s="1"/>
  <c r="AH73" i="24" a="1"/>
  <c r="AH73" i="24" s="1"/>
  <c r="AF73" i="24" a="1"/>
  <c r="AF73" i="24" s="1"/>
  <c r="AD73" i="24" a="1"/>
  <c r="AD73" i="24" s="1"/>
  <c r="AB73" i="24" a="1"/>
  <c r="AB73" i="24" s="1"/>
  <c r="Z73" i="24"/>
  <c r="Z73" i="24" a="1"/>
  <c r="X73" i="24"/>
  <c r="X73" i="24" a="1"/>
  <c r="V73" i="24" a="1"/>
  <c r="V73" i="24" s="1"/>
  <c r="T73" i="24" a="1"/>
  <c r="T73" i="24" s="1"/>
  <c r="R73" i="24" a="1"/>
  <c r="R73" i="24" s="1"/>
  <c r="P73" i="24" a="1"/>
  <c r="P73" i="24" s="1"/>
  <c r="N73" i="24" a="1"/>
  <c r="N73" i="24" s="1"/>
  <c r="L73" i="24" a="1"/>
  <c r="L73" i="24" s="1"/>
  <c r="J73" i="24"/>
  <c r="J73" i="24" a="1"/>
  <c r="H73" i="24"/>
  <c r="H73" i="24" a="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H69" i="24"/>
  <c r="B69" i="24"/>
  <c r="R68" i="24"/>
  <c r="AV67" i="24"/>
  <c r="AV67" i="24" a="1"/>
  <c r="AT67" i="24" a="1"/>
  <c r="AT67" i="24" s="1"/>
  <c r="AR67" i="24" a="1"/>
  <c r="AR67" i="24" s="1"/>
  <c r="AP67" i="24" a="1"/>
  <c r="AP67" i="24" s="1"/>
  <c r="AN67" i="24" a="1"/>
  <c r="AN67" i="24" s="1"/>
  <c r="AL67" i="24" a="1"/>
  <c r="AL67" i="24" s="1"/>
  <c r="AJ67" i="24" a="1"/>
  <c r="AJ67" i="24" s="1"/>
  <c r="AH67" i="24"/>
  <c r="AH67" i="24" a="1"/>
  <c r="AF67" i="24"/>
  <c r="AF67" i="24" a="1"/>
  <c r="AD67" i="24" a="1"/>
  <c r="AD67" i="24" s="1"/>
  <c r="AB67" i="24" a="1"/>
  <c r="AB67" i="24" s="1"/>
  <c r="Z67" i="24" a="1"/>
  <c r="Z67" i="24" s="1"/>
  <c r="X67" i="24" a="1"/>
  <c r="X67" i="24" s="1"/>
  <c r="V67" i="24" a="1"/>
  <c r="V67" i="24" s="1"/>
  <c r="T67" i="24" a="1"/>
  <c r="T67" i="24" s="1"/>
  <c r="R67" i="24"/>
  <c r="R67" i="24" a="1"/>
  <c r="P67" i="24"/>
  <c r="P67" i="24" a="1"/>
  <c r="N67" i="24" a="1"/>
  <c r="N67" i="24" s="1"/>
  <c r="L67" i="24" a="1"/>
  <c r="L67" i="24" s="1"/>
  <c r="J67" i="24" a="1"/>
  <c r="J67" i="24" s="1"/>
  <c r="H67" i="24" a="1"/>
  <c r="H67" i="24" s="1"/>
  <c r="F67" i="24" a="1"/>
  <c r="F67" i="24" s="1"/>
  <c r="D67" i="24" a="1"/>
  <c r="D67" i="24" s="1"/>
  <c r="B67" i="24"/>
  <c r="B67" i="24" a="1"/>
  <c r="AV66" i="24"/>
  <c r="AV68" i="24" s="1"/>
  <c r="AV66" i="24" a="1"/>
  <c r="AT66" i="24" a="1"/>
  <c r="AT66" i="24" s="1"/>
  <c r="AT68" i="24" s="1"/>
  <c r="AR66" i="24" a="1"/>
  <c r="AR66" i="24" s="1"/>
  <c r="AP66" i="24" a="1"/>
  <c r="AP66" i="24" s="1"/>
  <c r="AP68" i="24" s="1"/>
  <c r="AN66" i="24" a="1"/>
  <c r="AN66" i="24" s="1"/>
  <c r="AN68" i="24" s="1"/>
  <c r="AL66" i="24" a="1"/>
  <c r="AL66" i="24" s="1"/>
  <c r="AJ66" i="24" a="1"/>
  <c r="AJ66" i="24" s="1"/>
  <c r="AH66" i="24"/>
  <c r="AH68" i="24" s="1"/>
  <c r="AH66" i="24" a="1"/>
  <c r="AF66" i="24"/>
  <c r="AF68" i="24" s="1"/>
  <c r="AF66" i="24" a="1"/>
  <c r="AD66" i="24" a="1"/>
  <c r="AD66" i="24" s="1"/>
  <c r="AB66" i="24" a="1"/>
  <c r="AB66" i="24" s="1"/>
  <c r="Z66" i="24" a="1"/>
  <c r="Z66" i="24" s="1"/>
  <c r="X66" i="24" a="1"/>
  <c r="X66" i="24" s="1"/>
  <c r="V66" i="24" a="1"/>
  <c r="V66" i="24" s="1"/>
  <c r="T66" i="24" a="1"/>
  <c r="T66" i="24" s="1"/>
  <c r="T68" i="24" s="1"/>
  <c r="R66" i="24"/>
  <c r="R66" i="24" a="1"/>
  <c r="P66" i="24"/>
  <c r="P68" i="24" s="1"/>
  <c r="P66" i="24" a="1"/>
  <c r="N66" i="24" a="1"/>
  <c r="N66" i="24" s="1"/>
  <c r="L66" i="24" a="1"/>
  <c r="L66" i="24" s="1"/>
  <c r="J66" i="24" a="1"/>
  <c r="J66" i="24" s="1"/>
  <c r="J68" i="24" s="1"/>
  <c r="H66" i="24" a="1"/>
  <c r="H66" i="24" s="1"/>
  <c r="H68" i="24" s="1"/>
  <c r="F66" i="24" a="1"/>
  <c r="F66" i="24" s="1"/>
  <c r="D66" i="24" a="1"/>
  <c r="D66" i="24" s="1"/>
  <c r="B66" i="24"/>
  <c r="B68" i="24" s="1"/>
  <c r="B66" i="24" a="1"/>
  <c r="AV65" i="24"/>
  <c r="AV69" i="24" s="1"/>
  <c r="AV65" i="24" a="1"/>
  <c r="AT65" i="24" a="1"/>
  <c r="AT65" i="24" s="1"/>
  <c r="AT69" i="24" s="1"/>
  <c r="AR65" i="24" a="1"/>
  <c r="AR65" i="24" s="1"/>
  <c r="AR69" i="24" s="1"/>
  <c r="AP65" i="24" a="1"/>
  <c r="AP65" i="24" s="1"/>
  <c r="AP69" i="24" s="1"/>
  <c r="AN65" i="24" a="1"/>
  <c r="AN65" i="24" s="1"/>
  <c r="AN69" i="24" s="1"/>
  <c r="AL65" i="24" a="1"/>
  <c r="AL65" i="24" s="1"/>
  <c r="AL69" i="24" s="1"/>
  <c r="AJ65" i="24" a="1"/>
  <c r="AJ65" i="24" s="1"/>
  <c r="AJ69" i="24" s="1"/>
  <c r="AH65" i="24"/>
  <c r="AH65" i="24" a="1"/>
  <c r="AF65" i="24"/>
  <c r="AF69" i="24" s="1"/>
  <c r="AF65" i="24" a="1"/>
  <c r="AD65" i="24" a="1"/>
  <c r="AD65" i="24" s="1"/>
  <c r="AD69" i="24" s="1"/>
  <c r="AB65" i="24" a="1"/>
  <c r="AB65" i="24" s="1"/>
  <c r="AB69" i="24" s="1"/>
  <c r="Z65" i="24" a="1"/>
  <c r="Z65" i="24" s="1"/>
  <c r="Z69" i="24" s="1"/>
  <c r="X65" i="24" a="1"/>
  <c r="X65" i="24" s="1"/>
  <c r="X69" i="24" s="1"/>
  <c r="V65" i="24" a="1"/>
  <c r="V65" i="24" s="1"/>
  <c r="V69" i="24" s="1"/>
  <c r="T65" i="24" a="1"/>
  <c r="T65" i="24" s="1"/>
  <c r="T69" i="24" s="1"/>
  <c r="R65" i="24"/>
  <c r="R69" i="24" s="1"/>
  <c r="R65" i="24" a="1"/>
  <c r="P65" i="24"/>
  <c r="P69" i="24" s="1"/>
  <c r="P65" i="24" a="1"/>
  <c r="N65" i="24" a="1"/>
  <c r="N65" i="24" s="1"/>
  <c r="N69" i="24" s="1"/>
  <c r="L65" i="24" a="1"/>
  <c r="L65" i="24" s="1"/>
  <c r="L69" i="24" s="1"/>
  <c r="J65" i="24" a="1"/>
  <c r="J65" i="24" s="1"/>
  <c r="J69" i="24" s="1"/>
  <c r="H65" i="24" a="1"/>
  <c r="H65" i="24" s="1"/>
  <c r="H69" i="24" s="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a="1"/>
  <c r="AR58" i="24" s="1"/>
  <c r="AP58" i="24" a="1"/>
  <c r="AP58" i="24" s="1"/>
  <c r="AN58" i="24" a="1"/>
  <c r="AN58" i="24" s="1"/>
  <c r="AL58" i="24" a="1"/>
  <c r="AL58" i="24" s="1"/>
  <c r="AJ58" i="24"/>
  <c r="AJ58" i="24" a="1"/>
  <c r="AH58" i="24" a="1"/>
  <c r="AH58" i="24" s="1"/>
  <c r="AF58" i="24"/>
  <c r="AF58" i="24" a="1"/>
  <c r="AD58" i="24"/>
  <c r="AD58" i="24" a="1"/>
  <c r="AB58" i="24" a="1"/>
  <c r="AB58" i="24" s="1"/>
  <c r="Z58" i="24" a="1"/>
  <c r="Z58" i="24" s="1"/>
  <c r="X58" i="24" a="1"/>
  <c r="X58" i="24" s="1"/>
  <c r="V58" i="24" a="1"/>
  <c r="V58" i="24" s="1"/>
  <c r="T58" i="24"/>
  <c r="T58" i="24" a="1"/>
  <c r="R58" i="24" a="1"/>
  <c r="R58" i="24" s="1"/>
  <c r="P58" i="24"/>
  <c r="P58" i="24" a="1"/>
  <c r="N58" i="24"/>
  <c r="N58" i="24" a="1"/>
  <c r="L58" i="24" a="1"/>
  <c r="L58" i="24" s="1"/>
  <c r="J58" i="24" a="1"/>
  <c r="J58" i="24" s="1"/>
  <c r="H58" i="24" a="1"/>
  <c r="H58" i="24" s="1"/>
  <c r="F58" i="24" a="1"/>
  <c r="F58" i="24" s="1"/>
  <c r="D58" i="24"/>
  <c r="D58" i="24" a="1"/>
  <c r="B58" i="24" a="1"/>
  <c r="B58" i="24" s="1"/>
  <c r="AV57" i="24"/>
  <c r="AV57" i="24" a="1"/>
  <c r="AT57" i="24"/>
  <c r="AT57" i="24" a="1"/>
  <c r="AR57" i="24" a="1"/>
  <c r="AR57" i="24" s="1"/>
  <c r="AP57" i="24" a="1"/>
  <c r="AP57" i="24" s="1"/>
  <c r="AN57" i="24" a="1"/>
  <c r="AN57" i="24" s="1"/>
  <c r="AL57" i="24" a="1"/>
  <c r="AL57" i="24" s="1"/>
  <c r="AJ57" i="24"/>
  <c r="AJ57" i="24" a="1"/>
  <c r="AH57" i="24" a="1"/>
  <c r="AH57" i="24" s="1"/>
  <c r="AF57" i="24"/>
  <c r="AF57" i="24" a="1"/>
  <c r="AD57" i="24"/>
  <c r="AD57" i="24" a="1"/>
  <c r="AB57" i="24" a="1"/>
  <c r="AB57" i="24" s="1"/>
  <c r="Z57" i="24" a="1"/>
  <c r="Z57" i="24" s="1"/>
  <c r="X57" i="24" a="1"/>
  <c r="X57" i="24" s="1"/>
  <c r="V57" i="24" a="1"/>
  <c r="V57" i="24" s="1"/>
  <c r="T57" i="24"/>
  <c r="T57" i="24" a="1"/>
  <c r="R57" i="24" a="1"/>
  <c r="R57" i="24" s="1"/>
  <c r="P57" i="24"/>
  <c r="P57" i="24" a="1"/>
  <c r="N57" i="24" a="1"/>
  <c r="N57" i="24" s="1"/>
  <c r="L57" i="24" a="1"/>
  <c r="L57" i="24" s="1"/>
  <c r="J57" i="24" a="1"/>
  <c r="J57" i="24" s="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T80" i="24" s="1"/>
  <c r="AR55" i="24"/>
  <c r="AP55" i="24"/>
  <c r="AN55" i="24"/>
  <c r="AN80" i="24" s="1"/>
  <c r="AL55" i="24"/>
  <c r="AJ55" i="24"/>
  <c r="AH55" i="24"/>
  <c r="AF55" i="24"/>
  <c r="AF80" i="24" s="1"/>
  <c r="AD55" i="24"/>
  <c r="AD80" i="24" s="1"/>
  <c r="AB55" i="24"/>
  <c r="AB80" i="24" s="1"/>
  <c r="Z55" i="24"/>
  <c r="Z80" i="24" s="1"/>
  <c r="X55" i="24"/>
  <c r="X80" i="24" s="1"/>
  <c r="V55" i="24"/>
  <c r="V80" i="24" s="1"/>
  <c r="T55" i="24"/>
  <c r="R55" i="24"/>
  <c r="R80" i="24" s="1"/>
  <c r="P55" i="24"/>
  <c r="N55" i="24"/>
  <c r="N80" i="24" s="1"/>
  <c r="L55" i="24"/>
  <c r="J55" i="24"/>
  <c r="H55" i="24"/>
  <c r="H80" i="24" s="1"/>
  <c r="F55" i="24"/>
  <c r="D55" i="24"/>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N81" i="24" s="1"/>
  <c r="AL51" i="24"/>
  <c r="AL81" i="24" s="1"/>
  <c r="AJ51" i="24"/>
  <c r="AH51" i="24"/>
  <c r="AH81" i="24" s="1"/>
  <c r="AF51" i="24"/>
  <c r="AD51" i="24"/>
  <c r="AD81" i="24" s="1"/>
  <c r="AB51" i="24"/>
  <c r="Z51" i="24"/>
  <c r="X51" i="24"/>
  <c r="X81" i="24" s="1"/>
  <c r="V51" i="24"/>
  <c r="V81" i="24" s="1"/>
  <c r="T51" i="24"/>
  <c r="R51" i="24"/>
  <c r="P51" i="24"/>
  <c r="P81" i="24" s="1"/>
  <c r="N51" i="24"/>
  <c r="N81" i="24" s="1"/>
  <c r="L51" i="24"/>
  <c r="L81" i="24" s="1"/>
  <c r="J51" i="24"/>
  <c r="J81" i="24" s="1"/>
  <c r="H51" i="24"/>
  <c r="H81" i="24" s="1"/>
  <c r="F51" i="24"/>
  <c r="F81" i="24" s="1"/>
  <c r="D51" i="24"/>
  <c r="B51" i="24"/>
  <c r="B81" i="24" s="1"/>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c r="AJ43" i="24" a="1"/>
  <c r="AH43" i="24" a="1"/>
  <c r="AH43" i="24" s="1"/>
  <c r="AF43" i="24"/>
  <c r="AF43" i="24" a="1"/>
  <c r="AD43" i="24" a="1"/>
  <c r="AD43" i="24" s="1"/>
  <c r="AB43" i="24" a="1"/>
  <c r="AB43" i="24" s="1"/>
  <c r="Z43" i="24" a="1"/>
  <c r="Z43" i="24" s="1"/>
  <c r="X43" i="24" a="1"/>
  <c r="X43" i="24" s="1"/>
  <c r="V43" i="24" a="1"/>
  <c r="V43" i="24" s="1"/>
  <c r="T43" i="24"/>
  <c r="T43" i="24" a="1"/>
  <c r="R43" i="24" a="1"/>
  <c r="R43" i="24" s="1"/>
  <c r="P43" i="24"/>
  <c r="P43" i="24" a="1"/>
  <c r="N43" i="24" a="1"/>
  <c r="N43" i="24" s="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H81" i="18"/>
  <c r="AB81" i="18"/>
  <c r="Z81" i="18"/>
  <c r="T81" i="18"/>
  <c r="R81" i="18"/>
  <c r="B81" i="18"/>
  <c r="AR80" i="18"/>
  <c r="AP80" i="18"/>
  <c r="AJ80" i="18"/>
  <c r="AH80" i="18"/>
  <c r="R80" i="18"/>
  <c r="L80" i="18"/>
  <c r="J80" i="18"/>
  <c r="D80" i="18"/>
  <c r="B80" i="18"/>
  <c r="AV79" i="18"/>
  <c r="AV79" i="18" a="1"/>
  <c r="AT79" i="18" a="1"/>
  <c r="AT79" i="18" s="1"/>
  <c r="AR79" i="18" a="1"/>
  <c r="AR79" i="18" s="1"/>
  <c r="AP79" i="18" a="1"/>
  <c r="AP79" i="18" s="1"/>
  <c r="AN79" i="18" a="1"/>
  <c r="AN79" i="18" s="1"/>
  <c r="AL79" i="18" a="1"/>
  <c r="AL79" i="18" s="1"/>
  <c r="AJ79" i="18"/>
  <c r="AJ79" i="18" a="1"/>
  <c r="AH79" i="18" a="1"/>
  <c r="AH79" i="18" s="1"/>
  <c r="AF79" i="18"/>
  <c r="AF79" i="18" a="1"/>
  <c r="AD79" i="18" a="1"/>
  <c r="AD79" i="18" s="1"/>
  <c r="AB79" i="18" a="1"/>
  <c r="AB79" i="18" s="1"/>
  <c r="Z79" i="18" a="1"/>
  <c r="Z79" i="18" s="1"/>
  <c r="X79" i="18" a="1"/>
  <c r="X79" i="18" s="1"/>
  <c r="V79" i="18" a="1"/>
  <c r="V79" i="18" s="1"/>
  <c r="T79" i="18"/>
  <c r="T79" i="18" a="1"/>
  <c r="R79" i="18" a="1"/>
  <c r="R79" i="18" s="1"/>
  <c r="P79" i="18"/>
  <c r="P79" i="18" a="1"/>
  <c r="N79" i="18" a="1"/>
  <c r="N79" i="18" s="1"/>
  <c r="L79" i="18" a="1"/>
  <c r="L79" i="18" s="1"/>
  <c r="J79" i="18" a="1"/>
  <c r="J79" i="18" s="1"/>
  <c r="H79" i="18" a="1"/>
  <c r="H79" i="18" s="1"/>
  <c r="F79" i="18" a="1"/>
  <c r="F79" i="18" s="1"/>
  <c r="D79" i="18"/>
  <c r="D79" i="18" a="1"/>
  <c r="B79" i="18" a="1"/>
  <c r="B79" i="18" s="1"/>
  <c r="AV78" i="18"/>
  <c r="AV78" i="18" a="1"/>
  <c r="AT78" i="18" a="1"/>
  <c r="AT78" i="18" s="1"/>
  <c r="AR78" i="18" a="1"/>
  <c r="AR78" i="18" s="1"/>
  <c r="AP78" i="18" a="1"/>
  <c r="AP78" i="18" s="1"/>
  <c r="AN78" i="18" a="1"/>
  <c r="AN78" i="18" s="1"/>
  <c r="AL78" i="18" a="1"/>
  <c r="AL78" i="18" s="1"/>
  <c r="AJ78" i="18" a="1"/>
  <c r="AJ78" i="18" s="1"/>
  <c r="AH78" i="18" a="1"/>
  <c r="AH78" i="18" s="1"/>
  <c r="AF78" i="18"/>
  <c r="AF78" i="18" a="1"/>
  <c r="AD78" i="18" a="1"/>
  <c r="AD78" i="18" s="1"/>
  <c r="AB78" i="18" a="1"/>
  <c r="AB78" i="18" s="1"/>
  <c r="Z78" i="18" a="1"/>
  <c r="Z78" i="18" s="1"/>
  <c r="X78" i="18" a="1"/>
  <c r="X78" i="18" s="1"/>
  <c r="V78" i="18" a="1"/>
  <c r="V78" i="18" s="1"/>
  <c r="T78" i="18" a="1"/>
  <c r="T78" i="18" s="1"/>
  <c r="R78" i="18" a="1"/>
  <c r="R78" i="18" s="1"/>
  <c r="P78" i="18"/>
  <c r="P78" i="18" a="1"/>
  <c r="N78" i="18" a="1"/>
  <c r="N78" i="18" s="1"/>
  <c r="L78" i="18" a="1"/>
  <c r="L78" i="18" s="1"/>
  <c r="J78" i="18" a="1"/>
  <c r="J78" i="18" s="1"/>
  <c r="H78" i="18" a="1"/>
  <c r="H78" i="18" s="1"/>
  <c r="F78" i="18" a="1"/>
  <c r="F78" i="18" s="1"/>
  <c r="D78" i="18" a="1"/>
  <c r="D78" i="18" s="1"/>
  <c r="B78" i="18" a="1"/>
  <c r="B78" i="18" s="1"/>
  <c r="AV77" i="18"/>
  <c r="AV77" i="18" a="1"/>
  <c r="AT77" i="18" a="1"/>
  <c r="AT77" i="18" s="1"/>
  <c r="AR77" i="18" a="1"/>
  <c r="AR77" i="18" s="1"/>
  <c r="AP77" i="18" a="1"/>
  <c r="AP77" i="18" s="1"/>
  <c r="AN77" i="18" a="1"/>
  <c r="AN77" i="18" s="1"/>
  <c r="AL77" i="18" a="1"/>
  <c r="AL77" i="18" s="1"/>
  <c r="AJ77" i="18" a="1"/>
  <c r="AJ77" i="18" s="1"/>
  <c r="AH77" i="18" a="1"/>
  <c r="AH77" i="18" s="1"/>
  <c r="AF77" i="18"/>
  <c r="AF77" i="18" a="1"/>
  <c r="AD77" i="18" a="1"/>
  <c r="AD77" i="18" s="1"/>
  <c r="AB77" i="18" a="1"/>
  <c r="AB77" i="18" s="1"/>
  <c r="Z77" i="18" a="1"/>
  <c r="Z77" i="18" s="1"/>
  <c r="X77" i="18" a="1"/>
  <c r="X77" i="18" s="1"/>
  <c r="V77" i="18" a="1"/>
  <c r="V77" i="18" s="1"/>
  <c r="T77" i="18" a="1"/>
  <c r="T77" i="18" s="1"/>
  <c r="R77" i="18" a="1"/>
  <c r="R77" i="18" s="1"/>
  <c r="P77" i="18"/>
  <c r="P77" i="18" a="1"/>
  <c r="N77" i="18" a="1"/>
  <c r="N77" i="18" s="1"/>
  <c r="L77" i="18" a="1"/>
  <c r="L77" i="18" s="1"/>
  <c r="J77" i="18" a="1"/>
  <c r="J77" i="18" s="1"/>
  <c r="H77" i="18" a="1"/>
  <c r="H77" i="18" s="1"/>
  <c r="F77" i="18" a="1"/>
  <c r="F77" i="18" s="1"/>
  <c r="D77" i="18" a="1"/>
  <c r="D77" i="18" s="1"/>
  <c r="B77" i="18" a="1"/>
  <c r="B77" i="18" s="1"/>
  <c r="AV76" i="18"/>
  <c r="AV76" i="18" a="1"/>
  <c r="AT76" i="18" a="1"/>
  <c r="AT76" i="18" s="1"/>
  <c r="AR76" i="18" a="1"/>
  <c r="AR76" i="18" s="1"/>
  <c r="AP76" i="18" a="1"/>
  <c r="AP76" i="18" s="1"/>
  <c r="AN76" i="18" a="1"/>
  <c r="AN76" i="18" s="1"/>
  <c r="AL76" i="18" a="1"/>
  <c r="AL76" i="18" s="1"/>
  <c r="AJ76" i="18" a="1"/>
  <c r="AJ76" i="18" s="1"/>
  <c r="AH76" i="18" a="1"/>
  <c r="AH76" i="18" s="1"/>
  <c r="AF76" i="18"/>
  <c r="AF76" i="18" a="1"/>
  <c r="AD76" i="18" a="1"/>
  <c r="AD76" i="18" s="1"/>
  <c r="AB76" i="18" a="1"/>
  <c r="AB76" i="18" s="1"/>
  <c r="Z76" i="18" a="1"/>
  <c r="Z76" i="18" s="1"/>
  <c r="X76" i="18" a="1"/>
  <c r="X76" i="18" s="1"/>
  <c r="V76" i="18" a="1"/>
  <c r="V76" i="18" s="1"/>
  <c r="T76" i="18" a="1"/>
  <c r="T76" i="18" s="1"/>
  <c r="R76" i="18" a="1"/>
  <c r="R76" i="18" s="1"/>
  <c r="P76" i="18"/>
  <c r="P76" i="18" a="1"/>
  <c r="N76" i="18" a="1"/>
  <c r="N76" i="18" s="1"/>
  <c r="L76" i="18" a="1"/>
  <c r="L76" i="18" s="1"/>
  <c r="J76" i="18" a="1"/>
  <c r="J76" i="18" s="1"/>
  <c r="H76" i="18" a="1"/>
  <c r="H76" i="18" s="1"/>
  <c r="F76" i="18" a="1"/>
  <c r="F76" i="18" s="1"/>
  <c r="D76" i="18" a="1"/>
  <c r="D76" i="18" s="1"/>
  <c r="B76" i="18" a="1"/>
  <c r="B76" i="18" s="1"/>
  <c r="AV75" i="18"/>
  <c r="AV75" i="18" a="1"/>
  <c r="AT75" i="18" a="1"/>
  <c r="AT75" i="18" s="1"/>
  <c r="AR75" i="18" a="1"/>
  <c r="AR75" i="18" s="1"/>
  <c r="AP75" i="18" a="1"/>
  <c r="AP75" i="18" s="1"/>
  <c r="AN75" i="18" a="1"/>
  <c r="AN75" i="18" s="1"/>
  <c r="AL75" i="18" a="1"/>
  <c r="AL75" i="18" s="1"/>
  <c r="AJ75" i="18" a="1"/>
  <c r="AJ75" i="18" s="1"/>
  <c r="AH75" i="18" a="1"/>
  <c r="AH75" i="18" s="1"/>
  <c r="AF75" i="18"/>
  <c r="AF75" i="18" a="1"/>
  <c r="AD75" i="18" a="1"/>
  <c r="AD75" i="18" s="1"/>
  <c r="AB75" i="18" a="1"/>
  <c r="AB75" i="18" s="1"/>
  <c r="Z75" i="18" a="1"/>
  <c r="Z75" i="18" s="1"/>
  <c r="X75" i="18" a="1"/>
  <c r="X75" i="18" s="1"/>
  <c r="V75" i="18" a="1"/>
  <c r="V75" i="18" s="1"/>
  <c r="T75" i="18" a="1"/>
  <c r="T75" i="18" s="1"/>
  <c r="R75" i="18" a="1"/>
  <c r="R75" i="18" s="1"/>
  <c r="P75" i="18"/>
  <c r="P75" i="18" a="1"/>
  <c r="N75" i="18" a="1"/>
  <c r="N75" i="18" s="1"/>
  <c r="L75" i="18" a="1"/>
  <c r="L75" i="18" s="1"/>
  <c r="J75" i="18" a="1"/>
  <c r="J75" i="18" s="1"/>
  <c r="H75" i="18" a="1"/>
  <c r="H75" i="18" s="1"/>
  <c r="F75" i="18" a="1"/>
  <c r="F75" i="18" s="1"/>
  <c r="D75" i="18" a="1"/>
  <c r="D75" i="18" s="1"/>
  <c r="B75" i="18" a="1"/>
  <c r="B75" i="18" s="1"/>
  <c r="AV74" i="18"/>
  <c r="AV74" i="18" a="1"/>
  <c r="AT74" i="18" a="1"/>
  <c r="AT74" i="18" s="1"/>
  <c r="AR74" i="18" a="1"/>
  <c r="AR74" i="18" s="1"/>
  <c r="AP74" i="18" a="1"/>
  <c r="AP74" i="18" s="1"/>
  <c r="AN74" i="18" a="1"/>
  <c r="AN74" i="18" s="1"/>
  <c r="AL74" i="18" a="1"/>
  <c r="AL74" i="18" s="1"/>
  <c r="AJ74" i="18" a="1"/>
  <c r="AJ74" i="18" s="1"/>
  <c r="AH74" i="18" a="1"/>
  <c r="AH74" i="18" s="1"/>
  <c r="AF74" i="18"/>
  <c r="AF74" i="18" a="1"/>
  <c r="AD74" i="18" a="1"/>
  <c r="AD74" i="18" s="1"/>
  <c r="AB74" i="18" a="1"/>
  <c r="AB74" i="18" s="1"/>
  <c r="Z74" i="18" a="1"/>
  <c r="Z74" i="18" s="1"/>
  <c r="X74" i="18" a="1"/>
  <c r="X74" i="18" s="1"/>
  <c r="V74" i="18" a="1"/>
  <c r="V74" i="18" s="1"/>
  <c r="T74" i="18" a="1"/>
  <c r="T74" i="18" s="1"/>
  <c r="R74" i="18" a="1"/>
  <c r="R74" i="18" s="1"/>
  <c r="P74" i="18"/>
  <c r="P74" i="18" a="1"/>
  <c r="N74" i="18" a="1"/>
  <c r="N74" i="18" s="1"/>
  <c r="L74" i="18" a="1"/>
  <c r="L74" i="18" s="1"/>
  <c r="J74" i="18" a="1"/>
  <c r="J74" i="18" s="1"/>
  <c r="H74" i="18" a="1"/>
  <c r="H74" i="18" s="1"/>
  <c r="F74" i="18" a="1"/>
  <c r="F74" i="18" s="1"/>
  <c r="D74" i="18" a="1"/>
  <c r="D74" i="18" s="1"/>
  <c r="B74" i="18" a="1"/>
  <c r="B74" i="18" s="1"/>
  <c r="AV73" i="18"/>
  <c r="AV73" i="18" a="1"/>
  <c r="AT73" i="18" a="1"/>
  <c r="AT73" i="18" s="1"/>
  <c r="AR73" i="18" a="1"/>
  <c r="AR73" i="18" s="1"/>
  <c r="AP73" i="18" a="1"/>
  <c r="AP73" i="18" s="1"/>
  <c r="AN73" i="18" a="1"/>
  <c r="AN73" i="18" s="1"/>
  <c r="AL73" i="18" a="1"/>
  <c r="AL73" i="18" s="1"/>
  <c r="AJ73" i="18" a="1"/>
  <c r="AJ73" i="18" s="1"/>
  <c r="AH73" i="18" a="1"/>
  <c r="AH73" i="18" s="1"/>
  <c r="AF73" i="18"/>
  <c r="AF73" i="18" a="1"/>
  <c r="AD73" i="18" a="1"/>
  <c r="AD73" i="18" s="1"/>
  <c r="AB73" i="18" a="1"/>
  <c r="AB73" i="18" s="1"/>
  <c r="Z73" i="18" a="1"/>
  <c r="Z73" i="18" s="1"/>
  <c r="X73" i="18" a="1"/>
  <c r="X73" i="18" s="1"/>
  <c r="V73" i="18" a="1"/>
  <c r="V73" i="18" s="1"/>
  <c r="T73" i="18" a="1"/>
  <c r="T73" i="18" s="1"/>
  <c r="R73" i="18" a="1"/>
  <c r="R73" i="18" s="1"/>
  <c r="P73" i="18"/>
  <c r="P73" i="18" a="1"/>
  <c r="N73" i="18" a="1"/>
  <c r="N73" i="18" s="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a="1"/>
  <c r="AT67" i="18" s="1"/>
  <c r="AR67" i="18" a="1"/>
  <c r="AR67" i="18" s="1"/>
  <c r="AP67" i="18" a="1"/>
  <c r="AP67" i="18" s="1"/>
  <c r="AN67" i="18"/>
  <c r="AN67" i="18" a="1"/>
  <c r="AL67" i="18" a="1"/>
  <c r="AL67" i="18" s="1"/>
  <c r="AJ67" i="18" a="1"/>
  <c r="AJ67" i="18" s="1"/>
  <c r="AH67" i="18" a="1"/>
  <c r="AH67" i="18" s="1"/>
  <c r="AF67" i="18" a="1"/>
  <c r="AF67" i="18" s="1"/>
  <c r="AD67" i="18" a="1"/>
  <c r="AD67" i="18" s="1"/>
  <c r="AB67" i="18" a="1"/>
  <c r="AB67" i="18" s="1"/>
  <c r="Z67" i="18" a="1"/>
  <c r="Z67" i="18" s="1"/>
  <c r="X67" i="18"/>
  <c r="X67" i="18" a="1"/>
  <c r="V67" i="18" a="1"/>
  <c r="V67" i="18" s="1"/>
  <c r="T67" i="18" a="1"/>
  <c r="T67" i="18" s="1"/>
  <c r="R67" i="18" a="1"/>
  <c r="R67" i="18" s="1"/>
  <c r="P67" i="18" a="1"/>
  <c r="P67" i="18" s="1"/>
  <c r="N67" i="18" a="1"/>
  <c r="N67" i="18" s="1"/>
  <c r="L67" i="18" a="1"/>
  <c r="L67" i="18" s="1"/>
  <c r="J67" i="18" a="1"/>
  <c r="J67" i="18" s="1"/>
  <c r="H67" i="18"/>
  <c r="H67" i="18" a="1"/>
  <c r="F67" i="18" a="1"/>
  <c r="F67" i="18" s="1"/>
  <c r="D67" i="18" a="1"/>
  <c r="D67" i="18" s="1"/>
  <c r="B67" i="18" a="1"/>
  <c r="B67" i="18" s="1"/>
  <c r="AV66" i="18" a="1"/>
  <c r="AV66" i="18" s="1"/>
  <c r="AT66" i="18" a="1"/>
  <c r="AT66" i="18" s="1"/>
  <c r="AR66" i="18" a="1"/>
  <c r="AR66" i="18" s="1"/>
  <c r="AR68" i="18" s="1"/>
  <c r="AP66" i="18" a="1"/>
  <c r="AP66" i="18" s="1"/>
  <c r="AP68" i="18" s="1"/>
  <c r="AN66" i="18"/>
  <c r="AN68" i="18" s="1"/>
  <c r="AN66" i="18" a="1"/>
  <c r="AL66" i="18" a="1"/>
  <c r="AL66" i="18" s="1"/>
  <c r="AL68" i="18" s="1"/>
  <c r="AJ66" i="18" a="1"/>
  <c r="AJ66" i="18" s="1"/>
  <c r="AH66" i="18" a="1"/>
  <c r="AH66" i="18" s="1"/>
  <c r="AF66" i="18" a="1"/>
  <c r="AF66" i="18" s="1"/>
  <c r="AD66" i="18" a="1"/>
  <c r="AD66" i="18" s="1"/>
  <c r="AB66" i="18" a="1"/>
  <c r="AB66" i="18" s="1"/>
  <c r="AB68" i="18" s="1"/>
  <c r="Z66" i="18" a="1"/>
  <c r="Z66" i="18" s="1"/>
  <c r="X66" i="18"/>
  <c r="X68" i="18" s="1"/>
  <c r="X66" i="18" a="1"/>
  <c r="V66" i="18" a="1"/>
  <c r="V66" i="18" s="1"/>
  <c r="V68" i="18" s="1"/>
  <c r="T66" i="18" a="1"/>
  <c r="T66" i="18" s="1"/>
  <c r="R66" i="18" a="1"/>
  <c r="R66" i="18" s="1"/>
  <c r="P66" i="18" a="1"/>
  <c r="P66" i="18" s="1"/>
  <c r="P68" i="18" s="1"/>
  <c r="N66" i="18" a="1"/>
  <c r="N66" i="18" s="1"/>
  <c r="N68" i="18" s="1"/>
  <c r="L66" i="18" a="1"/>
  <c r="L66" i="18" s="1"/>
  <c r="L68" i="18" s="1"/>
  <c r="J66" i="18" a="1"/>
  <c r="J66" i="18" s="1"/>
  <c r="J68" i="18" s="1"/>
  <c r="H66" i="18"/>
  <c r="H68" i="18" s="1"/>
  <c r="H66" i="18" a="1"/>
  <c r="F66" i="18" a="1"/>
  <c r="F66" i="18" s="1"/>
  <c r="D66" i="18" a="1"/>
  <c r="D66" i="18" s="1"/>
  <c r="B66" i="18" a="1"/>
  <c r="B66" i="18" s="1"/>
  <c r="AV65" i="18" a="1"/>
  <c r="AV65" i="18" s="1"/>
  <c r="AV69" i="18" s="1"/>
  <c r="AT65" i="18" a="1"/>
  <c r="AT65" i="18" s="1"/>
  <c r="AT69" i="18" s="1"/>
  <c r="AR65" i="18" a="1"/>
  <c r="AR65" i="18" s="1"/>
  <c r="AR69" i="18" s="1"/>
  <c r="AP65" i="18" a="1"/>
  <c r="AP65" i="18" s="1"/>
  <c r="AP69" i="18" s="1"/>
  <c r="AN65" i="18"/>
  <c r="AN69" i="18" s="1"/>
  <c r="AN65" i="18" a="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c r="X69" i="18" s="1"/>
  <c r="X65" i="18" a="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J69" i="18" s="1"/>
  <c r="H65" i="18"/>
  <c r="H69" i="18" s="1"/>
  <c r="H65" i="18" a="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c r="AR58" i="18" a="1"/>
  <c r="AP58" i="18"/>
  <c r="AP58" i="18" a="1"/>
  <c r="AN58" i="18"/>
  <c r="AN58" i="18" a="1"/>
  <c r="AL58" i="18" a="1"/>
  <c r="AL58" i="18" s="1"/>
  <c r="AJ58" i="18"/>
  <c r="AJ58" i="18" a="1"/>
  <c r="AH58" i="18" a="1"/>
  <c r="AH58" i="18" s="1"/>
  <c r="AF58" i="18"/>
  <c r="AF58" i="18" a="1"/>
  <c r="AD58" i="18" a="1"/>
  <c r="AD58" i="18" s="1"/>
  <c r="AB58" i="18"/>
  <c r="AB58" i="18" a="1"/>
  <c r="Z58" i="18"/>
  <c r="Z58" i="18" a="1"/>
  <c r="X58" i="18"/>
  <c r="X58" i="18" a="1"/>
  <c r="V58" i="18" a="1"/>
  <c r="V58" i="18" s="1"/>
  <c r="T58" i="18"/>
  <c r="T58" i="18" a="1"/>
  <c r="R58" i="18" a="1"/>
  <c r="R58" i="18" s="1"/>
  <c r="P58" i="18"/>
  <c r="P58" i="18" a="1"/>
  <c r="N58" i="18" a="1"/>
  <c r="N58" i="18" s="1"/>
  <c r="L58" i="18"/>
  <c r="L58" i="18" a="1"/>
  <c r="J58" i="18"/>
  <c r="J58" i="18" a="1"/>
  <c r="H58" i="18"/>
  <c r="H58" i="18" a="1"/>
  <c r="F58" i="18" a="1"/>
  <c r="F58" i="18" s="1"/>
  <c r="D58" i="18"/>
  <c r="D58" i="18" a="1"/>
  <c r="B58" i="18" a="1"/>
  <c r="B58" i="18" s="1"/>
  <c r="AV57" i="18"/>
  <c r="AV57" i="18" a="1"/>
  <c r="AT57" i="18" a="1"/>
  <c r="AT57" i="18" s="1"/>
  <c r="AR57" i="18"/>
  <c r="AR57" i="18" a="1"/>
  <c r="AP57" i="18"/>
  <c r="AP57" i="18" a="1"/>
  <c r="AN57" i="18"/>
  <c r="AN57" i="18" a="1"/>
  <c r="AL57" i="18" a="1"/>
  <c r="AL57" i="18" s="1"/>
  <c r="AJ57" i="18"/>
  <c r="AJ57" i="18" a="1"/>
  <c r="AH57" i="18" a="1"/>
  <c r="AH57" i="18" s="1"/>
  <c r="AF57" i="18"/>
  <c r="AF57" i="18" a="1"/>
  <c r="AD57" i="18" a="1"/>
  <c r="AD57" i="18" s="1"/>
  <c r="AB57" i="18"/>
  <c r="AB57" i="18" a="1"/>
  <c r="Z57" i="18"/>
  <c r="Z57" i="18" a="1"/>
  <c r="X57" i="18"/>
  <c r="X57" i="18" a="1"/>
  <c r="V57" i="18" a="1"/>
  <c r="V57" i="18" s="1"/>
  <c r="T57" i="18"/>
  <c r="T57" i="18" a="1"/>
  <c r="R57" i="18" a="1"/>
  <c r="R57" i="18" s="1"/>
  <c r="P57" i="18"/>
  <c r="P57" i="18" a="1"/>
  <c r="N57" i="18" a="1"/>
  <c r="N57" i="18" s="1"/>
  <c r="L57" i="18"/>
  <c r="L57" i="18" a="1"/>
  <c r="J57" i="18"/>
  <c r="J57" i="18" a="1"/>
  <c r="H57" i="18"/>
  <c r="H57" i="18" a="1"/>
  <c r="F57" i="18" a="1"/>
  <c r="F57" i="18" s="1"/>
  <c r="D57" i="18"/>
  <c r="D57" i="18" a="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T80" i="18" s="1"/>
  <c r="AR55" i="18"/>
  <c r="AP55" i="18"/>
  <c r="AN55" i="18"/>
  <c r="AN80" i="18" s="1"/>
  <c r="AL55" i="18"/>
  <c r="AL80" i="18" s="1"/>
  <c r="AJ55" i="18"/>
  <c r="AH55" i="18"/>
  <c r="AF55" i="18"/>
  <c r="AF80" i="18" s="1"/>
  <c r="AD55" i="18"/>
  <c r="AD80" i="18" s="1"/>
  <c r="AB55" i="18"/>
  <c r="AB80" i="18" s="1"/>
  <c r="Z55" i="18"/>
  <c r="Z80" i="18" s="1"/>
  <c r="X55" i="18"/>
  <c r="X80" i="18" s="1"/>
  <c r="V55" i="18"/>
  <c r="V80" i="18" s="1"/>
  <c r="T55" i="18"/>
  <c r="T80" i="18" s="1"/>
  <c r="R55" i="18"/>
  <c r="P55" i="18"/>
  <c r="P80" i="18" s="1"/>
  <c r="N55" i="18"/>
  <c r="N80" i="18" s="1"/>
  <c r="L55" i="18"/>
  <c r="J55" i="18"/>
  <c r="H55" i="18"/>
  <c r="H80" i="18" s="1"/>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F51" i="18"/>
  <c r="AF81" i="18" s="1"/>
  <c r="AD51" i="18"/>
  <c r="AD81" i="18" s="1"/>
  <c r="AB51" i="18"/>
  <c r="Z51" i="18"/>
  <c r="X51" i="18"/>
  <c r="X81" i="18" s="1"/>
  <c r="V51" i="18"/>
  <c r="V81" i="18" s="1"/>
  <c r="T51" i="18"/>
  <c r="R51" i="18"/>
  <c r="P51" i="18"/>
  <c r="P81" i="18" s="1"/>
  <c r="N51" i="18"/>
  <c r="N81" i="18" s="1"/>
  <c r="L51" i="18"/>
  <c r="L81" i="18" s="1"/>
  <c r="J51" i="18"/>
  <c r="J81" i="18" s="1"/>
  <c r="H51" i="18"/>
  <c r="H81" i="18" s="1"/>
  <c r="F51" i="18"/>
  <c r="F81" i="18" s="1"/>
  <c r="D51" i="18"/>
  <c r="D81" i="18" s="1"/>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c r="AR43" i="18" a="1"/>
  <c r="AP43" i="18"/>
  <c r="AP43" i="18" a="1"/>
  <c r="AN43" i="18"/>
  <c r="AN43" i="18" a="1"/>
  <c r="AL43" i="18" a="1"/>
  <c r="AL43" i="18" s="1"/>
  <c r="AJ43" i="18"/>
  <c r="AJ43" i="18" a="1"/>
  <c r="AH43" i="18" a="1"/>
  <c r="AH43" i="18" s="1"/>
  <c r="AF43" i="18"/>
  <c r="AF43" i="18" a="1"/>
  <c r="AD43" i="18" a="1"/>
  <c r="AD43" i="18" s="1"/>
  <c r="AB43" i="18"/>
  <c r="AB43" i="18" a="1"/>
  <c r="Z43" i="18"/>
  <c r="Z43" i="18" a="1"/>
  <c r="X43" i="18"/>
  <c r="X43" i="18" a="1"/>
  <c r="V43" i="18" a="1"/>
  <c r="V43" i="18" s="1"/>
  <c r="T43" i="18"/>
  <c r="T43" i="18" a="1"/>
  <c r="R43" i="18" a="1"/>
  <c r="R43" i="18" s="1"/>
  <c r="P43" i="18"/>
  <c r="P43" i="18" a="1"/>
  <c r="N43" i="18" a="1"/>
  <c r="N43" i="18" s="1"/>
  <c r="L43" i="18"/>
  <c r="L43" i="18" a="1"/>
  <c r="J43" i="18"/>
  <c r="J43" i="18" a="1"/>
  <c r="H43" i="18"/>
  <c r="H43" i="18" a="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N81" i="22"/>
  <c r="AH81" i="22"/>
  <c r="AF81" i="22"/>
  <c r="AD81" i="22"/>
  <c r="AB81" i="22"/>
  <c r="Z81" i="22"/>
  <c r="R81" i="22"/>
  <c r="H81" i="22"/>
  <c r="B81" i="22"/>
  <c r="AV80" i="22"/>
  <c r="AT80" i="22"/>
  <c r="AR80" i="22"/>
  <c r="AH80" i="22"/>
  <c r="X80" i="22"/>
  <c r="R80" i="22"/>
  <c r="P80" i="22"/>
  <c r="N80" i="22"/>
  <c r="L80" i="22"/>
  <c r="J80" i="22"/>
  <c r="B80" i="22"/>
  <c r="AV79" i="22" a="1"/>
  <c r="AV79" i="22" s="1"/>
  <c r="AT79" i="22"/>
  <c r="AT79" i="22" a="1"/>
  <c r="AR79" i="22"/>
  <c r="AR79" i="22" a="1"/>
  <c r="AP79" i="22" a="1"/>
  <c r="AP79" i="22" s="1"/>
  <c r="AN79" i="22" a="1"/>
  <c r="AN79" i="22" s="1"/>
  <c r="AL79" i="22" a="1"/>
  <c r="AL79" i="22" s="1"/>
  <c r="AJ79" i="22" a="1"/>
  <c r="AJ79" i="22" s="1"/>
  <c r="AH79" i="22" a="1"/>
  <c r="AH79" i="22" s="1"/>
  <c r="AF79" i="22" a="1"/>
  <c r="AF79" i="22" s="1"/>
  <c r="AD79" i="22"/>
  <c r="AD79" i="22" a="1"/>
  <c r="AB79" i="22"/>
  <c r="AB79" i="22" a="1"/>
  <c r="Z79" i="22" a="1"/>
  <c r="Z79" i="22" s="1"/>
  <c r="X79" i="22" a="1"/>
  <c r="X79" i="22" s="1"/>
  <c r="V79" i="22" a="1"/>
  <c r="V79" i="22" s="1"/>
  <c r="T79" i="22" a="1"/>
  <c r="T79" i="22" s="1"/>
  <c r="R79" i="22" a="1"/>
  <c r="R79" i="22" s="1"/>
  <c r="P79" i="22" a="1"/>
  <c r="P79" i="22" s="1"/>
  <c r="N79" i="22"/>
  <c r="N79" i="22" a="1"/>
  <c r="L79" i="22"/>
  <c r="L79" i="22" a="1"/>
  <c r="J79" i="22" a="1"/>
  <c r="J79" i="22" s="1"/>
  <c r="H79" i="22" a="1"/>
  <c r="H79" i="22" s="1"/>
  <c r="F79" i="22" a="1"/>
  <c r="F79" i="22" s="1"/>
  <c r="D79" i="22" a="1"/>
  <c r="D79" i="22" s="1"/>
  <c r="B79" i="22" a="1"/>
  <c r="B79" i="22" s="1"/>
  <c r="AV78" i="22" a="1"/>
  <c r="AV78" i="22" s="1"/>
  <c r="AT78" i="22"/>
  <c r="AT78" i="22" a="1"/>
  <c r="AR78" i="22"/>
  <c r="AR78" i="22" a="1"/>
  <c r="AP78" i="22" a="1"/>
  <c r="AP78" i="22" s="1"/>
  <c r="AN78" i="22" a="1"/>
  <c r="AN78" i="22" s="1"/>
  <c r="AL78" i="22" a="1"/>
  <c r="AL78" i="22" s="1"/>
  <c r="AJ78" i="22" a="1"/>
  <c r="AJ78" i="22" s="1"/>
  <c r="AH78" i="22" a="1"/>
  <c r="AH78" i="22" s="1"/>
  <c r="AF78" i="22" a="1"/>
  <c r="AF78" i="22" s="1"/>
  <c r="AD78" i="22"/>
  <c r="AD78" i="22" a="1"/>
  <c r="AB78" i="22"/>
  <c r="AB78" i="22" a="1"/>
  <c r="Z78" i="22" a="1"/>
  <c r="Z78" i="22" s="1"/>
  <c r="X78" i="22" a="1"/>
  <c r="X78" i="22" s="1"/>
  <c r="V78" i="22" a="1"/>
  <c r="V78" i="22" s="1"/>
  <c r="T78" i="22" a="1"/>
  <c r="T78" i="22" s="1"/>
  <c r="R78" i="22" a="1"/>
  <c r="R78" i="22" s="1"/>
  <c r="P78" i="22" a="1"/>
  <c r="P78" i="22" s="1"/>
  <c r="N78" i="22"/>
  <c r="N78" i="22" a="1"/>
  <c r="L78" i="22"/>
  <c r="L78" i="22" a="1"/>
  <c r="J78" i="22" a="1"/>
  <c r="J78" i="22" s="1"/>
  <c r="H78" i="22" a="1"/>
  <c r="H78" i="22" s="1"/>
  <c r="F78" i="22" a="1"/>
  <c r="F78" i="22" s="1"/>
  <c r="D78" i="22" a="1"/>
  <c r="D78" i="22" s="1"/>
  <c r="B78" i="22" a="1"/>
  <c r="B78" i="22" s="1"/>
  <c r="AV77" i="22" a="1"/>
  <c r="AV77" i="22" s="1"/>
  <c r="AT77" i="22"/>
  <c r="AT77" i="22" a="1"/>
  <c r="AR77" i="22"/>
  <c r="AR77" i="22" a="1"/>
  <c r="AP77" i="22" a="1"/>
  <c r="AP77" i="22" s="1"/>
  <c r="AN77" i="22" a="1"/>
  <c r="AN77" i="22" s="1"/>
  <c r="AL77" i="22" a="1"/>
  <c r="AL77" i="22" s="1"/>
  <c r="AJ77" i="22" a="1"/>
  <c r="AJ77" i="22" s="1"/>
  <c r="AH77" i="22" a="1"/>
  <c r="AH77" i="22" s="1"/>
  <c r="AF77" i="22" a="1"/>
  <c r="AF77" i="22" s="1"/>
  <c r="AD77" i="22"/>
  <c r="AD77" i="22" a="1"/>
  <c r="AB77" i="22"/>
  <c r="AB77" i="22" a="1"/>
  <c r="Z77" i="22" a="1"/>
  <c r="Z77" i="22" s="1"/>
  <c r="X77" i="22" a="1"/>
  <c r="X77" i="22" s="1"/>
  <c r="V77" i="22" a="1"/>
  <c r="V77" i="22" s="1"/>
  <c r="T77" i="22" a="1"/>
  <c r="T77" i="22" s="1"/>
  <c r="R77" i="22" a="1"/>
  <c r="R77" i="22" s="1"/>
  <c r="P77" i="22" a="1"/>
  <c r="P77" i="22" s="1"/>
  <c r="N77" i="22"/>
  <c r="N77" i="22" a="1"/>
  <c r="L77" i="22"/>
  <c r="L77" i="22" a="1"/>
  <c r="J77" i="22" a="1"/>
  <c r="J77" i="22" s="1"/>
  <c r="H77" i="22" a="1"/>
  <c r="H77" i="22" s="1"/>
  <c r="F77" i="22" a="1"/>
  <c r="F77" i="22" s="1"/>
  <c r="D77" i="22" a="1"/>
  <c r="D77" i="22" s="1"/>
  <c r="B77" i="22" a="1"/>
  <c r="B77" i="22" s="1"/>
  <c r="AV76" i="22" a="1"/>
  <c r="AV76" i="22" s="1"/>
  <c r="AT76" i="22"/>
  <c r="AT76" i="22" a="1"/>
  <c r="AR76" i="22"/>
  <c r="AR76" i="22" a="1"/>
  <c r="AP76" i="22" a="1"/>
  <c r="AP76" i="22" s="1"/>
  <c r="AN76" i="22" a="1"/>
  <c r="AN76" i="22" s="1"/>
  <c r="AL76" i="22" a="1"/>
  <c r="AL76" i="22" s="1"/>
  <c r="AJ76" i="22" a="1"/>
  <c r="AJ76" i="22" s="1"/>
  <c r="AH76" i="22" a="1"/>
  <c r="AH76" i="22" s="1"/>
  <c r="AF76" i="22" a="1"/>
  <c r="AF76" i="22" s="1"/>
  <c r="AD76" i="22"/>
  <c r="AD76" i="22" a="1"/>
  <c r="AB76" i="22"/>
  <c r="AB76" i="22" a="1"/>
  <c r="Z76" i="22" a="1"/>
  <c r="Z76" i="22" s="1"/>
  <c r="X76" i="22" a="1"/>
  <c r="X76" i="22" s="1"/>
  <c r="V76" i="22" a="1"/>
  <c r="V76" i="22" s="1"/>
  <c r="T76" i="22" a="1"/>
  <c r="T76" i="22" s="1"/>
  <c r="R76" i="22" a="1"/>
  <c r="R76" i="22" s="1"/>
  <c r="P76" i="22" a="1"/>
  <c r="P76" i="22" s="1"/>
  <c r="N76" i="22" a="1"/>
  <c r="N76" i="22" s="1"/>
  <c r="L76" i="22"/>
  <c r="L76" i="22" a="1"/>
  <c r="J76" i="22" a="1"/>
  <c r="J76" i="22" s="1"/>
  <c r="H76" i="22" a="1"/>
  <c r="H76" i="22" s="1"/>
  <c r="F76" i="22" a="1"/>
  <c r="F76" i="22" s="1"/>
  <c r="D76" i="22" a="1"/>
  <c r="D76" i="22" s="1"/>
  <c r="B76" i="22" a="1"/>
  <c r="B76" i="22" s="1"/>
  <c r="AV75" i="22" a="1"/>
  <c r="AV75" i="22" s="1"/>
  <c r="AT75" i="22" a="1"/>
  <c r="AT75" i="22" s="1"/>
  <c r="AR75" i="22"/>
  <c r="AR75" i="22" a="1"/>
  <c r="AP75" i="22" a="1"/>
  <c r="AP75" i="22" s="1"/>
  <c r="AN75" i="22" a="1"/>
  <c r="AN75" i="22" s="1"/>
  <c r="AL75" i="22" a="1"/>
  <c r="AL75" i="22" s="1"/>
  <c r="AJ75" i="22" a="1"/>
  <c r="AJ75" i="22" s="1"/>
  <c r="AH75" i="22" a="1"/>
  <c r="AH75" i="22" s="1"/>
  <c r="AF75" i="22" a="1"/>
  <c r="AF75" i="22" s="1"/>
  <c r="AD75" i="22" a="1"/>
  <c r="AD75" i="22" s="1"/>
  <c r="AB75" i="22"/>
  <c r="AB75" i="22" a="1"/>
  <c r="Z75" i="22" a="1"/>
  <c r="Z75" i="22" s="1"/>
  <c r="X75" i="22" a="1"/>
  <c r="X75" i="22" s="1"/>
  <c r="V75" i="22" a="1"/>
  <c r="V75" i="22" s="1"/>
  <c r="T75" i="22" a="1"/>
  <c r="T75" i="22" s="1"/>
  <c r="R75" i="22" a="1"/>
  <c r="R75" i="22" s="1"/>
  <c r="P75" i="22" a="1"/>
  <c r="P75" i="22" s="1"/>
  <c r="N75" i="22" a="1"/>
  <c r="N75" i="22" s="1"/>
  <c r="L75" i="22"/>
  <c r="L75" i="22" a="1"/>
  <c r="J75" i="22" a="1"/>
  <c r="J75" i="22" s="1"/>
  <c r="H75" i="22" a="1"/>
  <c r="H75" i="22" s="1"/>
  <c r="F75" i="22"/>
  <c r="F75" i="22" a="1"/>
  <c r="D75" i="22" a="1"/>
  <c r="D75" i="22" s="1"/>
  <c r="B75" i="22" a="1"/>
  <c r="B75" i="22" s="1"/>
  <c r="AV74" i="22" a="1"/>
  <c r="AV74" i="22" s="1"/>
  <c r="AT74" i="22" a="1"/>
  <c r="AT74" i="22" s="1"/>
  <c r="AR74" i="22"/>
  <c r="AR74" i="22" a="1"/>
  <c r="AP74" i="22" a="1"/>
  <c r="AP74" i="22" s="1"/>
  <c r="AN74" i="22" a="1"/>
  <c r="AN74" i="22" s="1"/>
  <c r="AL74" i="22"/>
  <c r="AL74" i="22" a="1"/>
  <c r="AJ74" i="22" a="1"/>
  <c r="AJ74" i="22" s="1"/>
  <c r="AH74" i="22" a="1"/>
  <c r="AH74" i="22" s="1"/>
  <c r="AF74" i="22" a="1"/>
  <c r="AF74" i="22" s="1"/>
  <c r="AD74" i="22" a="1"/>
  <c r="AD74" i="22" s="1"/>
  <c r="AB74" i="22"/>
  <c r="AB74" i="22" a="1"/>
  <c r="Z74" i="22" a="1"/>
  <c r="Z74" i="22" s="1"/>
  <c r="X74" i="22" a="1"/>
  <c r="X74" i="22" s="1"/>
  <c r="V74" i="22" a="1"/>
  <c r="V74" i="22" s="1"/>
  <c r="T74" i="22" a="1"/>
  <c r="T74" i="22" s="1"/>
  <c r="R74" i="22" a="1"/>
  <c r="R74" i="22" s="1"/>
  <c r="P74" i="22" a="1"/>
  <c r="P74" i="22" s="1"/>
  <c r="N74" i="22" a="1"/>
  <c r="N74" i="22" s="1"/>
  <c r="L74" i="22"/>
  <c r="L74" i="22" a="1"/>
  <c r="J74" i="22" a="1"/>
  <c r="J74" i="22" s="1"/>
  <c r="H74" i="22" a="1"/>
  <c r="H74" i="22" s="1"/>
  <c r="F74" i="22"/>
  <c r="F74" i="22" a="1"/>
  <c r="D74" i="22" a="1"/>
  <c r="D74" i="22" s="1"/>
  <c r="B74" i="22" a="1"/>
  <c r="B74" i="22" s="1"/>
  <c r="AV73" i="22" a="1"/>
  <c r="AV73" i="22" s="1"/>
  <c r="AT73" i="22" a="1"/>
  <c r="AT73" i="22" s="1"/>
  <c r="AR73" i="22"/>
  <c r="AR73" i="22" a="1"/>
  <c r="AP73" i="22" a="1"/>
  <c r="AP73" i="22" s="1"/>
  <c r="AN73" i="22" a="1"/>
  <c r="AN73" i="22" s="1"/>
  <c r="AL73" i="22" a="1"/>
  <c r="AL73" i="22" s="1"/>
  <c r="AJ73" i="22" a="1"/>
  <c r="AJ73" i="22" s="1"/>
  <c r="AH73" i="22" a="1"/>
  <c r="AH73" i="22" s="1"/>
  <c r="AF73" i="22" a="1"/>
  <c r="AF73" i="22" s="1"/>
  <c r="AD73" i="22" a="1"/>
  <c r="AD73" i="22" s="1"/>
  <c r="AB73" i="22"/>
  <c r="AB73" i="22" a="1"/>
  <c r="Z73" i="22" a="1"/>
  <c r="Z73" i="22" s="1"/>
  <c r="X73" i="22" a="1"/>
  <c r="X73" i="22" s="1"/>
  <c r="V73" i="22" a="1"/>
  <c r="V73" i="22" s="1"/>
  <c r="T73" i="22" a="1"/>
  <c r="T73" i="22" s="1"/>
  <c r="R73" i="22" a="1"/>
  <c r="R73" i="22" s="1"/>
  <c r="P73" i="22" a="1"/>
  <c r="P73" i="22" s="1"/>
  <c r="N73" i="22" a="1"/>
  <c r="N73" i="22" s="1"/>
  <c r="L73" i="22"/>
  <c r="L73" i="22" a="1"/>
  <c r="J73" i="22" a="1"/>
  <c r="J73" i="22" s="1"/>
  <c r="H73" i="22" a="1"/>
  <c r="H73" i="22" s="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R69" i="22"/>
  <c r="AP69" i="22"/>
  <c r="L69" i="22"/>
  <c r="J69" i="22"/>
  <c r="B69" i="22"/>
  <c r="Z68" i="22"/>
  <c r="AV67" i="22" a="1"/>
  <c r="AV67" i="22" s="1"/>
  <c r="AT67" i="22" a="1"/>
  <c r="AT67" i="22" s="1"/>
  <c r="AR67" i="22" a="1"/>
  <c r="AR67" i="22" s="1"/>
  <c r="AP67" i="22" a="1"/>
  <c r="AP67" i="22" s="1"/>
  <c r="AN67" i="22" a="1"/>
  <c r="AN67" i="22" s="1"/>
  <c r="AL67" i="22" a="1"/>
  <c r="AL67" i="22" s="1"/>
  <c r="AJ67" i="22"/>
  <c r="AJ67" i="22" a="1"/>
  <c r="AH67" i="22" a="1"/>
  <c r="AH67" i="22" s="1"/>
  <c r="AF67" i="22" a="1"/>
  <c r="AF67" i="22" s="1"/>
  <c r="AD67" i="22"/>
  <c r="AD67" i="22" a="1"/>
  <c r="AB67" i="22" a="1"/>
  <c r="AB67" i="22" s="1"/>
  <c r="Z67" i="22" a="1"/>
  <c r="Z67" i="22" s="1"/>
  <c r="X67" i="22" a="1"/>
  <c r="X67" i="22" s="1"/>
  <c r="V67" i="22" a="1"/>
  <c r="V67" i="22" s="1"/>
  <c r="T67" i="22"/>
  <c r="T67" i="22" a="1"/>
  <c r="R67" i="22" a="1"/>
  <c r="R67" i="22" s="1"/>
  <c r="P67" i="22" a="1"/>
  <c r="P67" i="22" s="1"/>
  <c r="N67" i="22" a="1"/>
  <c r="N67" i="22" s="1"/>
  <c r="L67" i="22" a="1"/>
  <c r="L67" i="22" s="1"/>
  <c r="J67" i="22" a="1"/>
  <c r="J67" i="22" s="1"/>
  <c r="H67" i="22" a="1"/>
  <c r="H67" i="22" s="1"/>
  <c r="F67" i="22" a="1"/>
  <c r="F67" i="22" s="1"/>
  <c r="D67" i="22"/>
  <c r="D67" i="22" a="1"/>
  <c r="B67" i="22" a="1"/>
  <c r="B67" i="22" s="1"/>
  <c r="AV66" i="22" a="1"/>
  <c r="AV66" i="22" s="1"/>
  <c r="AV68" i="22" s="1"/>
  <c r="AT66" i="22"/>
  <c r="AT66" i="22" a="1"/>
  <c r="AR66" i="22" a="1"/>
  <c r="AR66" i="22" s="1"/>
  <c r="AP66" i="22" a="1"/>
  <c r="AP66" i="22" s="1"/>
  <c r="AN66" i="22" a="1"/>
  <c r="AN66" i="22" s="1"/>
  <c r="AL66" i="22" a="1"/>
  <c r="AL66" i="22" s="1"/>
  <c r="AJ66" i="22"/>
  <c r="AJ68" i="22" s="1"/>
  <c r="AJ66" i="22" a="1"/>
  <c r="AH66" i="22" a="1"/>
  <c r="AH66" i="22" s="1"/>
  <c r="AF66" i="22" a="1"/>
  <c r="AF66" i="22" s="1"/>
  <c r="AD66" i="22" a="1"/>
  <c r="AD66" i="22" s="1"/>
  <c r="AD68" i="22" s="1"/>
  <c r="AB66" i="22" a="1"/>
  <c r="AB66" i="22" s="1"/>
  <c r="AB68" i="22" s="1"/>
  <c r="Z66" i="22" a="1"/>
  <c r="Z66" i="22" s="1"/>
  <c r="X66" i="22" a="1"/>
  <c r="X66" i="22" s="1"/>
  <c r="V66" i="22" a="1"/>
  <c r="V66" i="22" s="1"/>
  <c r="V68" i="22" s="1"/>
  <c r="T66" i="22"/>
  <c r="T68" i="22" s="1"/>
  <c r="T66" i="22" a="1"/>
  <c r="R66" i="22" a="1"/>
  <c r="R66" i="22" s="1"/>
  <c r="P66" i="22" a="1"/>
  <c r="P66" i="22" s="1"/>
  <c r="N66" i="22" a="1"/>
  <c r="N66" i="22" s="1"/>
  <c r="L66" i="22" a="1"/>
  <c r="L66" i="22" s="1"/>
  <c r="J66" i="22" a="1"/>
  <c r="J66" i="22" s="1"/>
  <c r="H66" i="22" a="1"/>
  <c r="H66" i="22" s="1"/>
  <c r="F66" i="22" a="1"/>
  <c r="F66" i="22" s="1"/>
  <c r="D66" i="22"/>
  <c r="D68" i="22" s="1"/>
  <c r="D66" i="22" a="1"/>
  <c r="B66" i="22" a="1"/>
  <c r="B66" i="22" s="1"/>
  <c r="B68" i="22" s="1"/>
  <c r="AV65" i="22" a="1"/>
  <c r="AV65" i="22" s="1"/>
  <c r="AV69" i="22" s="1"/>
  <c r="AT65" i="22" a="1"/>
  <c r="AT65" i="22" s="1"/>
  <c r="AT69" i="22" s="1"/>
  <c r="AR65" i="22" a="1"/>
  <c r="AR65" i="22" s="1"/>
  <c r="AP65" i="22" a="1"/>
  <c r="AP65" i="22" s="1"/>
  <c r="AN65" i="22" a="1"/>
  <c r="AN65" i="22" s="1"/>
  <c r="AN69" i="22" s="1"/>
  <c r="AL65" i="22" a="1"/>
  <c r="AL65" i="22" s="1"/>
  <c r="AL69" i="22" s="1"/>
  <c r="AJ65" i="22"/>
  <c r="AJ69" i="22" s="1"/>
  <c r="AJ65" i="22" a="1"/>
  <c r="AH65" i="22" a="1"/>
  <c r="AH65" i="22" s="1"/>
  <c r="AH69" i="22" s="1"/>
  <c r="AF65" i="22" a="1"/>
  <c r="AF65" i="22" s="1"/>
  <c r="AF69" i="22" s="1"/>
  <c r="AD65" i="22" a="1"/>
  <c r="AD65" i="22" s="1"/>
  <c r="AD69" i="22" s="1"/>
  <c r="AB65" i="22" a="1"/>
  <c r="AB65" i="22" s="1"/>
  <c r="AB69" i="22" s="1"/>
  <c r="Z65" i="22" a="1"/>
  <c r="Z65" i="22" s="1"/>
  <c r="Z69" i="22" s="1"/>
  <c r="X65" i="22" a="1"/>
  <c r="X65" i="22" s="1"/>
  <c r="X69" i="22" s="1"/>
  <c r="V65" i="22" a="1"/>
  <c r="V65" i="22" s="1"/>
  <c r="V69" i="22" s="1"/>
  <c r="T65" i="22"/>
  <c r="T69" i="22" s="1"/>
  <c r="T65" i="22" a="1"/>
  <c r="R65" i="22" a="1"/>
  <c r="R65" i="22" s="1"/>
  <c r="R69" i="22" s="1"/>
  <c r="P65" i="22" a="1"/>
  <c r="P65" i="22" s="1"/>
  <c r="P69" i="22" s="1"/>
  <c r="N65" i="22" a="1"/>
  <c r="N65" i="22" s="1"/>
  <c r="N69" i="22" s="1"/>
  <c r="L65" i="22" a="1"/>
  <c r="L65" i="22" s="1"/>
  <c r="J65" i="22" a="1"/>
  <c r="J65" i="22" s="1"/>
  <c r="H65" i="22" a="1"/>
  <c r="H65" i="22" s="1"/>
  <c r="H69" i="22" s="1"/>
  <c r="F65" i="22" a="1"/>
  <c r="F65" i="22" s="1"/>
  <c r="F69" i="22" s="1"/>
  <c r="D65" i="22"/>
  <c r="D69" i="22" s="1"/>
  <c r="D65" i="22" a="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c r="AP58" i="22" a="1"/>
  <c r="AN58" i="22" a="1"/>
  <c r="AN58" i="22" s="1"/>
  <c r="AL58" i="22" a="1"/>
  <c r="AL58" i="22" s="1"/>
  <c r="AJ58" i="22"/>
  <c r="AJ58" i="22" a="1"/>
  <c r="AH58" i="22"/>
  <c r="AH58" i="22" a="1"/>
  <c r="AF58" i="22"/>
  <c r="AF58" i="22" a="1"/>
  <c r="AD58" i="22"/>
  <c r="AD58" i="22" a="1"/>
  <c r="AB58" i="22" a="1"/>
  <c r="AB58" i="22" s="1"/>
  <c r="Z58" i="22"/>
  <c r="Z58" i="22" a="1"/>
  <c r="X58" i="22" a="1"/>
  <c r="X58" i="22" s="1"/>
  <c r="V58" i="22" a="1"/>
  <c r="V58" i="22" s="1"/>
  <c r="T58" i="22"/>
  <c r="T58" i="22" a="1"/>
  <c r="R58" i="22"/>
  <c r="R58" i="22" a="1"/>
  <c r="P58" i="22"/>
  <c r="P58" i="22" a="1"/>
  <c r="N58" i="22"/>
  <c r="N58" i="22" a="1"/>
  <c r="L58" i="22" a="1"/>
  <c r="L58" i="22" s="1"/>
  <c r="J58" i="22"/>
  <c r="J58" i="22" a="1"/>
  <c r="H58" i="22" a="1"/>
  <c r="H58" i="22" s="1"/>
  <c r="F58" i="22" a="1"/>
  <c r="F58" i="22" s="1"/>
  <c r="D58" i="22"/>
  <c r="D58" i="22" a="1"/>
  <c r="B58" i="22" a="1"/>
  <c r="B58" i="22" s="1"/>
  <c r="AV57" i="22"/>
  <c r="AV57" i="22" a="1"/>
  <c r="AT57" i="22"/>
  <c r="AT57" i="22" a="1"/>
  <c r="AR57" i="22" a="1"/>
  <c r="AR57" i="22" s="1"/>
  <c r="AP57" i="22"/>
  <c r="AP57" i="22" a="1"/>
  <c r="AN57" i="22" a="1"/>
  <c r="AN57" i="22" s="1"/>
  <c r="AL57" i="22" a="1"/>
  <c r="AL57" i="22" s="1"/>
  <c r="AJ57" i="22"/>
  <c r="AJ57" i="22" a="1"/>
  <c r="AH57" i="22" a="1"/>
  <c r="AH57" i="22" s="1"/>
  <c r="AF57" i="22"/>
  <c r="AF57" i="22" a="1"/>
  <c r="AD57" i="22" a="1"/>
  <c r="AD57" i="22" s="1"/>
  <c r="AB57" i="22" a="1"/>
  <c r="AB57" i="22" s="1"/>
  <c r="Z57" i="22"/>
  <c r="Z57" i="22" a="1"/>
  <c r="X57" i="22" a="1"/>
  <c r="X57" i="22" s="1"/>
  <c r="V57" i="22" a="1"/>
  <c r="V57" i="22" s="1"/>
  <c r="T57" i="22"/>
  <c r="T57" i="22" a="1"/>
  <c r="R57" i="22" a="1"/>
  <c r="R57" i="22" s="1"/>
  <c r="P57" i="22"/>
  <c r="P57" i="22" a="1"/>
  <c r="N57" i="22" a="1"/>
  <c r="N57" i="22" s="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L80" i="22" s="1"/>
  <c r="AJ55" i="22"/>
  <c r="AJ80" i="22" s="1"/>
  <c r="AH55" i="22"/>
  <c r="AF55" i="22"/>
  <c r="AF80" i="22" s="1"/>
  <c r="AD55" i="22"/>
  <c r="AD80" i="22" s="1"/>
  <c r="AB55" i="22"/>
  <c r="AB80" i="22" s="1"/>
  <c r="Z55" i="22"/>
  <c r="Z80" i="22" s="1"/>
  <c r="X55" i="22"/>
  <c r="V55" i="22"/>
  <c r="V80" i="22" s="1"/>
  <c r="T55" i="22"/>
  <c r="T80" i="22" s="1"/>
  <c r="R55" i="22"/>
  <c r="P55" i="22"/>
  <c r="N55" i="22"/>
  <c r="L55" i="22"/>
  <c r="J55" i="22"/>
  <c r="H55" i="22"/>
  <c r="H80" i="22" s="1"/>
  <c r="F55" i="22"/>
  <c r="F80" i="22" s="1"/>
  <c r="D55" i="22"/>
  <c r="D80" i="22" s="1"/>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L51" i="22"/>
  <c r="AL81" i="22" s="1"/>
  <c r="AJ51" i="22"/>
  <c r="AJ81" i="22" s="1"/>
  <c r="AH51" i="22"/>
  <c r="AF51" i="22"/>
  <c r="AD51" i="22"/>
  <c r="AB51" i="22"/>
  <c r="Z51" i="22"/>
  <c r="X51" i="22"/>
  <c r="X81" i="22" s="1"/>
  <c r="V51" i="22"/>
  <c r="V81" i="22" s="1"/>
  <c r="T51" i="22"/>
  <c r="T81" i="22" s="1"/>
  <c r="R51" i="22"/>
  <c r="P51" i="22"/>
  <c r="P81" i="22" s="1"/>
  <c r="N51" i="22"/>
  <c r="N81" i="22" s="1"/>
  <c r="L51" i="22"/>
  <c r="L81" i="22" s="1"/>
  <c r="J51" i="22"/>
  <c r="J81" i="22" s="1"/>
  <c r="H51" i="22"/>
  <c r="F51" i="22"/>
  <c r="F81" i="22" s="1"/>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c r="AJ43" i="22" a="1"/>
  <c r="AH43" i="22" a="1"/>
  <c r="AH43" i="22" s="1"/>
  <c r="AF43" i="22"/>
  <c r="AF43" i="22" a="1"/>
  <c r="AD43" i="22" a="1"/>
  <c r="AD43" i="22" s="1"/>
  <c r="AB43" i="22" a="1"/>
  <c r="AB43" i="22" s="1"/>
  <c r="Z43" i="22"/>
  <c r="Z43" i="22" a="1"/>
  <c r="X43" i="22" a="1"/>
  <c r="X43" i="22" s="1"/>
  <c r="V43" i="22" a="1"/>
  <c r="V43" i="22" s="1"/>
  <c r="T43" i="22"/>
  <c r="T43" i="22" a="1"/>
  <c r="R43" i="22" a="1"/>
  <c r="R43" i="22" s="1"/>
  <c r="P43" i="22"/>
  <c r="P43" i="22" a="1"/>
  <c r="N43" i="22" a="1"/>
  <c r="N43" i="22" s="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2"/>
  <c r="AL81" i="12"/>
  <c r="AH81" i="12"/>
  <c r="AF81" i="12"/>
  <c r="V81" i="12"/>
  <c r="T81" i="12"/>
  <c r="R81" i="12"/>
  <c r="L81" i="12"/>
  <c r="F81" i="12"/>
  <c r="B81" i="12"/>
  <c r="AV80" i="12"/>
  <c r="AL80" i="12"/>
  <c r="AJ80" i="12"/>
  <c r="AH80" i="12"/>
  <c r="AB80" i="12"/>
  <c r="V80" i="12"/>
  <c r="R80" i="12"/>
  <c r="P80" i="12"/>
  <c r="F80" i="12"/>
  <c r="D80" i="12"/>
  <c r="B80" i="12"/>
  <c r="AV79" i="12" a="1"/>
  <c r="AV79" i="12" s="1"/>
  <c r="AT79" i="12" a="1"/>
  <c r="AT79" i="12" s="1"/>
  <c r="AR79" i="12" a="1"/>
  <c r="AR79" i="12" s="1"/>
  <c r="AP79" i="12" a="1"/>
  <c r="AP79" i="12" s="1"/>
  <c r="AN79" i="12"/>
  <c r="AN79" i="12" a="1"/>
  <c r="AL79" i="12" a="1"/>
  <c r="AL79" i="12" s="1"/>
  <c r="AJ79" i="12" a="1"/>
  <c r="AJ79" i="12" s="1"/>
  <c r="AH79" i="12" a="1"/>
  <c r="AH79" i="12" s="1"/>
  <c r="AF79" i="12" a="1"/>
  <c r="AF79" i="12" s="1"/>
  <c r="AD79" i="12" a="1"/>
  <c r="AD79" i="12" s="1"/>
  <c r="AB79" i="12" a="1"/>
  <c r="AB79" i="12" s="1"/>
  <c r="Z79" i="12" a="1"/>
  <c r="Z79" i="12" s="1"/>
  <c r="X79" i="12"/>
  <c r="X79" i="12" a="1"/>
  <c r="V79" i="12" a="1"/>
  <c r="V79" i="12" s="1"/>
  <c r="T79" i="12" a="1"/>
  <c r="T79" i="12" s="1"/>
  <c r="R79" i="12" a="1"/>
  <c r="R79" i="12" s="1"/>
  <c r="P79" i="12" a="1"/>
  <c r="P79" i="12" s="1"/>
  <c r="N79" i="12" a="1"/>
  <c r="N79" i="12" s="1"/>
  <c r="L79" i="12" a="1"/>
  <c r="L79" i="12" s="1"/>
  <c r="J79" i="12" a="1"/>
  <c r="J79" i="12" s="1"/>
  <c r="H79" i="12"/>
  <c r="H79" i="12" a="1"/>
  <c r="F79" i="12" a="1"/>
  <c r="F79" i="12" s="1"/>
  <c r="D79" i="12" a="1"/>
  <c r="D79" i="12" s="1"/>
  <c r="B79" i="12" a="1"/>
  <c r="B79" i="12" s="1"/>
  <c r="AV78" i="12" a="1"/>
  <c r="AV78" i="12" s="1"/>
  <c r="AT78" i="12" a="1"/>
  <c r="AT78" i="12" s="1"/>
  <c r="AR78" i="12" a="1"/>
  <c r="AR78" i="12" s="1"/>
  <c r="AP78" i="12" a="1"/>
  <c r="AP78" i="12" s="1"/>
  <c r="AN78" i="12"/>
  <c r="AN78" i="12" a="1"/>
  <c r="AL78" i="12" a="1"/>
  <c r="AL78" i="12" s="1"/>
  <c r="AJ78" i="12" a="1"/>
  <c r="AJ78" i="12" s="1"/>
  <c r="AH78" i="12" a="1"/>
  <c r="AH78" i="12" s="1"/>
  <c r="AF78" i="12" a="1"/>
  <c r="AF78" i="12" s="1"/>
  <c r="AD78" i="12" a="1"/>
  <c r="AD78" i="12" s="1"/>
  <c r="AB78" i="12" a="1"/>
  <c r="AB78" i="12" s="1"/>
  <c r="Z78" i="12" a="1"/>
  <c r="Z78" i="12" s="1"/>
  <c r="X78" i="12"/>
  <c r="X78" i="12" a="1"/>
  <c r="V78" i="12" a="1"/>
  <c r="V78" i="12" s="1"/>
  <c r="T78" i="12" a="1"/>
  <c r="T78" i="12" s="1"/>
  <c r="R78" i="12" a="1"/>
  <c r="R78" i="12" s="1"/>
  <c r="P78" i="12" a="1"/>
  <c r="P78" i="12" s="1"/>
  <c r="N78" i="12" a="1"/>
  <c r="N78" i="12" s="1"/>
  <c r="L78" i="12" a="1"/>
  <c r="L78" i="12" s="1"/>
  <c r="J78" i="12" a="1"/>
  <c r="J78" i="12" s="1"/>
  <c r="H78" i="12"/>
  <c r="H78" i="12" a="1"/>
  <c r="F78" i="12" a="1"/>
  <c r="F78" i="12" s="1"/>
  <c r="D78" i="12" a="1"/>
  <c r="D78" i="12" s="1"/>
  <c r="B78" i="12" a="1"/>
  <c r="B78" i="12" s="1"/>
  <c r="AV77" i="12" a="1"/>
  <c r="AV77" i="12" s="1"/>
  <c r="AT77" i="12" a="1"/>
  <c r="AT77" i="12" s="1"/>
  <c r="AR77" i="12" a="1"/>
  <c r="AR77" i="12" s="1"/>
  <c r="AP77" i="12" a="1"/>
  <c r="AP77" i="12" s="1"/>
  <c r="AN77" i="12"/>
  <c r="AN77" i="12" a="1"/>
  <c r="AL77" i="12" a="1"/>
  <c r="AL77" i="12" s="1"/>
  <c r="AJ77" i="12" a="1"/>
  <c r="AJ77" i="12" s="1"/>
  <c r="AH77" i="12" a="1"/>
  <c r="AH77" i="12" s="1"/>
  <c r="AF77" i="12" a="1"/>
  <c r="AF77" i="12" s="1"/>
  <c r="AD77" i="12" a="1"/>
  <c r="AD77" i="12" s="1"/>
  <c r="AB77" i="12" a="1"/>
  <c r="AB77" i="12" s="1"/>
  <c r="Z77" i="12" a="1"/>
  <c r="Z77" i="12" s="1"/>
  <c r="X77" i="12"/>
  <c r="X77" i="12" a="1"/>
  <c r="V77" i="12" a="1"/>
  <c r="V77" i="12" s="1"/>
  <c r="T77" i="12" a="1"/>
  <c r="T77" i="12" s="1"/>
  <c r="R77" i="12" a="1"/>
  <c r="R77" i="12" s="1"/>
  <c r="P77" i="12" a="1"/>
  <c r="P77" i="12" s="1"/>
  <c r="N77" i="12" a="1"/>
  <c r="N77" i="12" s="1"/>
  <c r="L77" i="12" a="1"/>
  <c r="L77" i="12" s="1"/>
  <c r="J77" i="12" a="1"/>
  <c r="J77" i="12" s="1"/>
  <c r="H77" i="12"/>
  <c r="H77" i="12" a="1"/>
  <c r="F77" i="12" a="1"/>
  <c r="F77" i="12" s="1"/>
  <c r="D77" i="12" a="1"/>
  <c r="D77" i="12" s="1"/>
  <c r="B77" i="12" a="1"/>
  <c r="B77" i="12" s="1"/>
  <c r="AV76" i="12" a="1"/>
  <c r="AV76" i="12" s="1"/>
  <c r="AT76" i="12" a="1"/>
  <c r="AT76" i="12" s="1"/>
  <c r="AR76" i="12" a="1"/>
  <c r="AR76" i="12" s="1"/>
  <c r="AP76" i="12" a="1"/>
  <c r="AP76" i="12" s="1"/>
  <c r="AN76" i="12"/>
  <c r="AN76" i="12" a="1"/>
  <c r="AL76" i="12" a="1"/>
  <c r="AL76" i="12" s="1"/>
  <c r="AJ76" i="12" a="1"/>
  <c r="AJ76" i="12" s="1"/>
  <c r="AH76" i="12" a="1"/>
  <c r="AH76" i="12" s="1"/>
  <c r="AF76" i="12" a="1"/>
  <c r="AF76" i="12" s="1"/>
  <c r="AD76" i="12" a="1"/>
  <c r="AD76" i="12" s="1"/>
  <c r="AB76" i="12" a="1"/>
  <c r="AB76" i="12" s="1"/>
  <c r="Z76" i="12" a="1"/>
  <c r="Z76" i="12" s="1"/>
  <c r="X76" i="12"/>
  <c r="X76" i="12" a="1"/>
  <c r="V76" i="12" a="1"/>
  <c r="V76" i="12" s="1"/>
  <c r="T76" i="12" a="1"/>
  <c r="T76" i="12" s="1"/>
  <c r="R76" i="12" a="1"/>
  <c r="R76" i="12" s="1"/>
  <c r="P76" i="12" a="1"/>
  <c r="P76" i="12" s="1"/>
  <c r="N76" i="12" a="1"/>
  <c r="N76" i="12" s="1"/>
  <c r="L76" i="12" a="1"/>
  <c r="L76" i="12" s="1"/>
  <c r="J76" i="12" a="1"/>
  <c r="J76" i="12" s="1"/>
  <c r="H76" i="12"/>
  <c r="H76" i="12" a="1"/>
  <c r="F76" i="12" a="1"/>
  <c r="F76" i="12" s="1"/>
  <c r="D76" i="12" a="1"/>
  <c r="D76" i="12" s="1"/>
  <c r="B76" i="12" a="1"/>
  <c r="B76" i="12" s="1"/>
  <c r="AV75" i="12" a="1"/>
  <c r="AV75" i="12" s="1"/>
  <c r="AT75" i="12" a="1"/>
  <c r="AT75" i="12" s="1"/>
  <c r="AR75" i="12" a="1"/>
  <c r="AR75" i="12" s="1"/>
  <c r="AP75" i="12" a="1"/>
  <c r="AP75" i="12" s="1"/>
  <c r="AN75" i="12"/>
  <c r="AN75" i="12" a="1"/>
  <c r="AL75" i="12" a="1"/>
  <c r="AL75" i="12" s="1"/>
  <c r="AJ75" i="12" a="1"/>
  <c r="AJ75" i="12" s="1"/>
  <c r="AH75" i="12" a="1"/>
  <c r="AH75" i="12" s="1"/>
  <c r="AF75" i="12" a="1"/>
  <c r="AF75" i="12" s="1"/>
  <c r="AD75" i="12" a="1"/>
  <c r="AD75" i="12" s="1"/>
  <c r="AB75" i="12" a="1"/>
  <c r="AB75" i="12" s="1"/>
  <c r="Z75" i="12" a="1"/>
  <c r="Z75" i="12" s="1"/>
  <c r="X75" i="12"/>
  <c r="X75" i="12" a="1"/>
  <c r="V75" i="12" a="1"/>
  <c r="V75" i="12" s="1"/>
  <c r="T75" i="12" a="1"/>
  <c r="T75" i="12" s="1"/>
  <c r="R75" i="12" a="1"/>
  <c r="R75" i="12" s="1"/>
  <c r="P75" i="12" a="1"/>
  <c r="P75" i="12" s="1"/>
  <c r="N75" i="12" a="1"/>
  <c r="N75" i="12" s="1"/>
  <c r="L75" i="12" a="1"/>
  <c r="L75" i="12" s="1"/>
  <c r="J75" i="12" a="1"/>
  <c r="J75" i="12" s="1"/>
  <c r="H75" i="12"/>
  <c r="H75" i="12" a="1"/>
  <c r="F75" i="12" a="1"/>
  <c r="F75" i="12" s="1"/>
  <c r="D75" i="12" a="1"/>
  <c r="D75" i="12" s="1"/>
  <c r="B75" i="12" a="1"/>
  <c r="B75" i="12" s="1"/>
  <c r="AV74" i="12" a="1"/>
  <c r="AV74" i="12" s="1"/>
  <c r="AT74" i="12" a="1"/>
  <c r="AT74" i="12" s="1"/>
  <c r="AR74" i="12" a="1"/>
  <c r="AR74" i="12" s="1"/>
  <c r="AP74" i="12" a="1"/>
  <c r="AP74" i="12" s="1"/>
  <c r="AN74" i="12"/>
  <c r="AN74" i="12" a="1"/>
  <c r="AL74" i="12" a="1"/>
  <c r="AL74" i="12" s="1"/>
  <c r="AJ74" i="12" a="1"/>
  <c r="AJ74" i="12" s="1"/>
  <c r="AH74" i="12" a="1"/>
  <c r="AH74" i="12" s="1"/>
  <c r="AF74" i="12" a="1"/>
  <c r="AF74" i="12" s="1"/>
  <c r="AD74" i="12" a="1"/>
  <c r="AD74" i="12" s="1"/>
  <c r="AB74" i="12" a="1"/>
  <c r="AB74" i="12" s="1"/>
  <c r="Z74" i="12" a="1"/>
  <c r="Z74" i="12" s="1"/>
  <c r="X74" i="12"/>
  <c r="X74" i="12" a="1"/>
  <c r="V74" i="12" a="1"/>
  <c r="V74" i="12" s="1"/>
  <c r="T74" i="12" a="1"/>
  <c r="T74" i="12" s="1"/>
  <c r="R74" i="12" a="1"/>
  <c r="R74" i="12" s="1"/>
  <c r="P74" i="12" a="1"/>
  <c r="P74" i="12" s="1"/>
  <c r="N74" i="12" a="1"/>
  <c r="N74" i="12" s="1"/>
  <c r="L74" i="12" a="1"/>
  <c r="L74" i="12" s="1"/>
  <c r="J74" i="12" a="1"/>
  <c r="J74" i="12" s="1"/>
  <c r="H74" i="12"/>
  <c r="H74" i="12" a="1"/>
  <c r="F74" i="12" a="1"/>
  <c r="F74" i="12" s="1"/>
  <c r="D74" i="12" a="1"/>
  <c r="D74" i="12" s="1"/>
  <c r="B74" i="12" a="1"/>
  <c r="B74" i="12" s="1"/>
  <c r="AV73" i="12" a="1"/>
  <c r="AV73" i="12" s="1"/>
  <c r="AT73" i="12" a="1"/>
  <c r="AT73" i="12" s="1"/>
  <c r="AR73" i="12" a="1"/>
  <c r="AR73" i="12" s="1"/>
  <c r="AP73" i="12" a="1"/>
  <c r="AP73" i="12" s="1"/>
  <c r="AN73" i="12"/>
  <c r="AN73" i="12" a="1"/>
  <c r="AL73" i="12" a="1"/>
  <c r="AL73" i="12" s="1"/>
  <c r="AJ73" i="12" a="1"/>
  <c r="AJ73" i="12" s="1"/>
  <c r="AH73" i="12" a="1"/>
  <c r="AH73" i="12" s="1"/>
  <c r="AF73" i="12" a="1"/>
  <c r="AF73" i="12" s="1"/>
  <c r="AD73" i="12" a="1"/>
  <c r="AD73" i="12" s="1"/>
  <c r="AB73" i="12" a="1"/>
  <c r="AB73" i="12" s="1"/>
  <c r="Z73" i="12" a="1"/>
  <c r="Z73" i="12" s="1"/>
  <c r="X73" i="12"/>
  <c r="X73" i="12" a="1"/>
  <c r="V73" i="12" a="1"/>
  <c r="V73" i="12" s="1"/>
  <c r="T73" i="12" a="1"/>
  <c r="T73" i="12" s="1"/>
  <c r="R73" i="12" a="1"/>
  <c r="R73" i="12" s="1"/>
  <c r="P73" i="12" a="1"/>
  <c r="P73" i="12" s="1"/>
  <c r="N73" i="12" a="1"/>
  <c r="N73" i="12" s="1"/>
  <c r="L73" i="12" a="1"/>
  <c r="L73" i="12" s="1"/>
  <c r="J73" i="12" a="1"/>
  <c r="J73" i="12" s="1"/>
  <c r="H73" i="12"/>
  <c r="H73" i="12" a="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c r="AV67" i="12" a="1"/>
  <c r="AT67" i="12" a="1"/>
  <c r="AT67" i="12" s="1"/>
  <c r="AR67" i="12" a="1"/>
  <c r="AR67" i="12" s="1"/>
  <c r="AP67" i="12" a="1"/>
  <c r="AP67" i="12" s="1"/>
  <c r="AN67" i="12" a="1"/>
  <c r="AN67" i="12" s="1"/>
  <c r="AL67" i="12" a="1"/>
  <c r="AL67" i="12" s="1"/>
  <c r="AJ67" i="12" a="1"/>
  <c r="AJ67" i="12" s="1"/>
  <c r="AH67" i="12" a="1"/>
  <c r="AH67" i="12" s="1"/>
  <c r="AF67" i="12"/>
  <c r="AF67" i="12" a="1"/>
  <c r="AD67" i="12" a="1"/>
  <c r="AD67" i="12" s="1"/>
  <c r="AB67" i="12" a="1"/>
  <c r="AB67" i="12" s="1"/>
  <c r="Z67" i="12" a="1"/>
  <c r="Z67" i="12" s="1"/>
  <c r="X67" i="12" a="1"/>
  <c r="X67" i="12" s="1"/>
  <c r="V67" i="12" a="1"/>
  <c r="V67" i="12" s="1"/>
  <c r="T67" i="12" a="1"/>
  <c r="T67" i="12" s="1"/>
  <c r="R67" i="12" a="1"/>
  <c r="R67" i="12" s="1"/>
  <c r="P67" i="12"/>
  <c r="P67" i="12" a="1"/>
  <c r="N67" i="12" a="1"/>
  <c r="N67" i="12" s="1"/>
  <c r="L67" i="12" a="1"/>
  <c r="L67" i="12" s="1"/>
  <c r="J67" i="12" a="1"/>
  <c r="J67" i="12" s="1"/>
  <c r="H67" i="12" a="1"/>
  <c r="H67" i="12" s="1"/>
  <c r="F67" i="12" a="1"/>
  <c r="F67" i="12" s="1"/>
  <c r="D67" i="12" a="1"/>
  <c r="D67" i="12" s="1"/>
  <c r="B67" i="12" a="1"/>
  <c r="B67" i="12" s="1"/>
  <c r="AV66" i="12"/>
  <c r="AV68" i="12" s="1"/>
  <c r="AV66" i="12" a="1"/>
  <c r="AT66" i="12" a="1"/>
  <c r="AT66" i="12" s="1"/>
  <c r="AT68" i="12" s="1"/>
  <c r="AR66" i="12" a="1"/>
  <c r="AR66" i="12" s="1"/>
  <c r="AP66" i="12" a="1"/>
  <c r="AP66" i="12" s="1"/>
  <c r="AN66" i="12" a="1"/>
  <c r="AN66" i="12" s="1"/>
  <c r="AN68" i="12" s="1"/>
  <c r="AL66" i="12" a="1"/>
  <c r="AL66" i="12" s="1"/>
  <c r="AJ66" i="12" a="1"/>
  <c r="AJ66" i="12" s="1"/>
  <c r="AJ68" i="12" s="1"/>
  <c r="AH66" i="12" a="1"/>
  <c r="AH66" i="12" s="1"/>
  <c r="AH68" i="12" s="1"/>
  <c r="AF66" i="12"/>
  <c r="AF68" i="12" s="1"/>
  <c r="AF66" i="12" a="1"/>
  <c r="AD66" i="12" a="1"/>
  <c r="AD66" i="12" s="1"/>
  <c r="AD68" i="12" s="1"/>
  <c r="AB66" i="12" a="1"/>
  <c r="AB66" i="12" s="1"/>
  <c r="Z66" i="12" a="1"/>
  <c r="Z66" i="12" s="1"/>
  <c r="X66" i="12" a="1"/>
  <c r="X66" i="12" s="1"/>
  <c r="V66" i="12" a="1"/>
  <c r="V66" i="12" s="1"/>
  <c r="T66" i="12" a="1"/>
  <c r="T66" i="12" s="1"/>
  <c r="R66" i="12" a="1"/>
  <c r="R66" i="12" s="1"/>
  <c r="R68" i="12" s="1"/>
  <c r="P66" i="12"/>
  <c r="P68" i="12" s="1"/>
  <c r="P66" i="12" a="1"/>
  <c r="N66" i="12" a="1"/>
  <c r="N66" i="12" s="1"/>
  <c r="L66" i="12" a="1"/>
  <c r="L66" i="12" s="1"/>
  <c r="L68" i="12" s="1"/>
  <c r="J66" i="12" a="1"/>
  <c r="J66" i="12" s="1"/>
  <c r="H66" i="12" a="1"/>
  <c r="H66" i="12" s="1"/>
  <c r="H68" i="12" s="1"/>
  <c r="F66" i="12" a="1"/>
  <c r="F66" i="12" s="1"/>
  <c r="F68" i="12" s="1"/>
  <c r="D66" i="12" a="1"/>
  <c r="D66" i="12" s="1"/>
  <c r="D68" i="12" s="1"/>
  <c r="B66" i="12" a="1"/>
  <c r="B66" i="12" s="1"/>
  <c r="B68" i="12" s="1"/>
  <c r="AV65" i="12"/>
  <c r="AV69" i="12" s="1"/>
  <c r="AV65" i="12" a="1"/>
  <c r="AT65" i="12" a="1"/>
  <c r="AT65" i="12" s="1"/>
  <c r="AT69" i="12" s="1"/>
  <c r="AR65" i="12" a="1"/>
  <c r="AR65" i="12" s="1"/>
  <c r="AR69" i="12" s="1"/>
  <c r="AP65" i="12" a="1"/>
  <c r="AP65" i="12" s="1"/>
  <c r="AP69" i="12" s="1"/>
  <c r="AN65" i="12" a="1"/>
  <c r="AN65" i="12" s="1"/>
  <c r="AN69" i="12" s="1"/>
  <c r="AL65" i="12" a="1"/>
  <c r="AL65" i="12" s="1"/>
  <c r="AL69" i="12" s="1"/>
  <c r="AJ65" i="12" a="1"/>
  <c r="AJ65" i="12" s="1"/>
  <c r="AJ69" i="12" s="1"/>
  <c r="AH65" i="12" a="1"/>
  <c r="AH65" i="12" s="1"/>
  <c r="AH69" i="12" s="1"/>
  <c r="AF65" i="12"/>
  <c r="AF69" i="12" s="1"/>
  <c r="AF65" i="12" a="1"/>
  <c r="AD65" i="12" a="1"/>
  <c r="AD65" i="12" s="1"/>
  <c r="AD69" i="12" s="1"/>
  <c r="AB65" i="12" a="1"/>
  <c r="AB65" i="12" s="1"/>
  <c r="AB69" i="12" s="1"/>
  <c r="Z65" i="12" a="1"/>
  <c r="Z65" i="12" s="1"/>
  <c r="Z69" i="12" s="1"/>
  <c r="X65" i="12" a="1"/>
  <c r="X65" i="12" s="1"/>
  <c r="X69" i="12" s="1"/>
  <c r="V65" i="12" a="1"/>
  <c r="V65" i="12" s="1"/>
  <c r="V69" i="12" s="1"/>
  <c r="T65" i="12" a="1"/>
  <c r="T65" i="12" s="1"/>
  <c r="T69" i="12" s="1"/>
  <c r="R65" i="12" a="1"/>
  <c r="R65" i="12" s="1"/>
  <c r="R69" i="12" s="1"/>
  <c r="P65" i="12"/>
  <c r="P69" i="12" s="1"/>
  <c r="P65" i="12" a="1"/>
  <c r="N65" i="12" a="1"/>
  <c r="N65" i="12" s="1"/>
  <c r="N69" i="12" s="1"/>
  <c r="L65" i="12" a="1"/>
  <c r="L65" i="12" s="1"/>
  <c r="L69" i="12" s="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c r="AR58" i="12" a="1"/>
  <c r="AP58" i="12"/>
  <c r="AP58" i="12" a="1"/>
  <c r="AN58" i="12" a="1"/>
  <c r="AN58" i="12" s="1"/>
  <c r="AL58" i="12" a="1"/>
  <c r="AL58" i="12" s="1"/>
  <c r="AJ58" i="12"/>
  <c r="AJ58" i="12" a="1"/>
  <c r="AH58" i="12" a="1"/>
  <c r="AH58" i="12" s="1"/>
  <c r="AF58" i="12"/>
  <c r="AF58" i="12" a="1"/>
  <c r="AD58" i="12" a="1"/>
  <c r="AD58" i="12" s="1"/>
  <c r="AB58" i="12"/>
  <c r="AB58" i="12" a="1"/>
  <c r="Z58" i="12"/>
  <c r="Z58" i="12" a="1"/>
  <c r="X58" i="12" a="1"/>
  <c r="X58" i="12" s="1"/>
  <c r="V58" i="12" a="1"/>
  <c r="V58" i="12" s="1"/>
  <c r="T58" i="12"/>
  <c r="T58" i="12" a="1"/>
  <c r="R58" i="12" a="1"/>
  <c r="R58" i="12" s="1"/>
  <c r="P58" i="12"/>
  <c r="P58" i="12" a="1"/>
  <c r="N58" i="12" a="1"/>
  <c r="N58" i="12" s="1"/>
  <c r="L58" i="12"/>
  <c r="L58" i="12" a="1"/>
  <c r="J58" i="12"/>
  <c r="J58" i="12" a="1"/>
  <c r="H58" i="12" a="1"/>
  <c r="H58" i="12" s="1"/>
  <c r="F58" i="12" a="1"/>
  <c r="F58" i="12" s="1"/>
  <c r="D58" i="12"/>
  <c r="D58" i="12" a="1"/>
  <c r="B58" i="12" a="1"/>
  <c r="B58" i="12" s="1"/>
  <c r="AV57" i="12"/>
  <c r="AV57" i="12" a="1"/>
  <c r="AT57" i="12" a="1"/>
  <c r="AT57" i="12" s="1"/>
  <c r="AR57" i="12"/>
  <c r="AR57" i="12" a="1"/>
  <c r="AP57" i="12"/>
  <c r="AP57" i="12" a="1"/>
  <c r="AN57" i="12" a="1"/>
  <c r="AN57" i="12" s="1"/>
  <c r="AL57" i="12" a="1"/>
  <c r="AL57" i="12" s="1"/>
  <c r="AJ57" i="12"/>
  <c r="AJ57" i="12" a="1"/>
  <c r="AH57" i="12" a="1"/>
  <c r="AH57" i="12" s="1"/>
  <c r="AF57" i="12"/>
  <c r="AF57" i="12" a="1"/>
  <c r="AD57" i="12" a="1"/>
  <c r="AD57" i="12" s="1"/>
  <c r="AB57" i="12"/>
  <c r="AB57" i="12" a="1"/>
  <c r="Z57" i="12"/>
  <c r="Z57" i="12" a="1"/>
  <c r="X57" i="12" a="1"/>
  <c r="X57" i="12" s="1"/>
  <c r="V57" i="12" a="1"/>
  <c r="V57" i="12" s="1"/>
  <c r="T57" i="12"/>
  <c r="T57" i="12" a="1"/>
  <c r="R57" i="12" a="1"/>
  <c r="R57" i="12" s="1"/>
  <c r="P57" i="12"/>
  <c r="P57" i="12" a="1"/>
  <c r="N57" i="12" a="1"/>
  <c r="N57" i="12" s="1"/>
  <c r="L57" i="12"/>
  <c r="L57" i="12" a="1"/>
  <c r="J57" i="12"/>
  <c r="J57" i="12" a="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R80" i="12" s="1"/>
  <c r="AP55" i="12"/>
  <c r="AP80" i="12" s="1"/>
  <c r="AN55" i="12"/>
  <c r="AN80" i="12" s="1"/>
  <c r="AL55" i="12"/>
  <c r="AJ55" i="12"/>
  <c r="AH55" i="12"/>
  <c r="AF55" i="12"/>
  <c r="AF80" i="12" s="1"/>
  <c r="AD55" i="12"/>
  <c r="AD80" i="12" s="1"/>
  <c r="AB55" i="12"/>
  <c r="Z55" i="12"/>
  <c r="Z80" i="12" s="1"/>
  <c r="X55" i="12"/>
  <c r="X80" i="12" s="1"/>
  <c r="V55" i="12"/>
  <c r="T55" i="12"/>
  <c r="T80" i="12" s="1"/>
  <c r="R55" i="12"/>
  <c r="P55" i="12"/>
  <c r="N55" i="12"/>
  <c r="N80" i="12" s="1"/>
  <c r="L55" i="12"/>
  <c r="L80" i="12" s="1"/>
  <c r="J55" i="12"/>
  <c r="J80" i="12" s="1"/>
  <c r="H55" i="12"/>
  <c r="H80" i="12" s="1"/>
  <c r="F55" i="12"/>
  <c r="D55" i="12"/>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P51" i="12"/>
  <c r="AP81" i="12" s="1"/>
  <c r="AN51" i="12"/>
  <c r="AN81" i="12" s="1"/>
  <c r="AL51" i="12"/>
  <c r="AJ51" i="12"/>
  <c r="AJ81" i="12" s="1"/>
  <c r="AH51" i="12"/>
  <c r="AF51" i="12"/>
  <c r="AD51" i="12"/>
  <c r="AD81" i="12" s="1"/>
  <c r="AB51" i="12"/>
  <c r="AB81" i="12" s="1"/>
  <c r="Z51" i="12"/>
  <c r="Z81" i="12" s="1"/>
  <c r="X51" i="12"/>
  <c r="X81" i="12" s="1"/>
  <c r="V51" i="12"/>
  <c r="T51" i="12"/>
  <c r="R51" i="12"/>
  <c r="P51" i="12"/>
  <c r="P81" i="12" s="1"/>
  <c r="N51" i="12"/>
  <c r="N81" i="12" s="1"/>
  <c r="L51" i="12"/>
  <c r="J51" i="12"/>
  <c r="J81" i="12" s="1"/>
  <c r="H51" i="12"/>
  <c r="H81" i="12" s="1"/>
  <c r="F51" i="12"/>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c r="AR43" i="12" a="1"/>
  <c r="AP43" i="12"/>
  <c r="AP43" i="12" a="1"/>
  <c r="AN43" i="12" a="1"/>
  <c r="AN43" i="12" s="1"/>
  <c r="AL43" i="12" a="1"/>
  <c r="AL43" i="12" s="1"/>
  <c r="AJ43" i="12" a="1"/>
  <c r="AJ43" i="12" s="1"/>
  <c r="AH43" i="12" a="1"/>
  <c r="AH43" i="12" s="1"/>
  <c r="AF43" i="12"/>
  <c r="AF43" i="12" a="1"/>
  <c r="AD43" i="12" a="1"/>
  <c r="AD43" i="12" s="1"/>
  <c r="AB43" i="12"/>
  <c r="AB43" i="12" a="1"/>
  <c r="Z43" i="12"/>
  <c r="Z43" i="12" a="1"/>
  <c r="X43" i="12" a="1"/>
  <c r="X43" i="12" s="1"/>
  <c r="V43" i="12" a="1"/>
  <c r="V43" i="12" s="1"/>
  <c r="T43" i="12" a="1"/>
  <c r="T43" i="12" s="1"/>
  <c r="R43" i="12" a="1"/>
  <c r="R43" i="12" s="1"/>
  <c r="P43" i="12"/>
  <c r="P43" i="12" a="1"/>
  <c r="N43" i="12" a="1"/>
  <c r="N43" i="12" s="1"/>
  <c r="L43" i="12"/>
  <c r="L43" i="12" a="1"/>
  <c r="J43" i="12"/>
  <c r="J43" i="12" a="1"/>
  <c r="H43" i="12" a="1"/>
  <c r="H43" i="12" s="1"/>
  <c r="F43" i="12" a="1"/>
  <c r="F43" i="12" s="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R81" i="11"/>
  <c r="AN81" i="11"/>
  <c r="AH81" i="11"/>
  <c r="AF81" i="11"/>
  <c r="AD81" i="11"/>
  <c r="AB81" i="11"/>
  <c r="T81" i="11"/>
  <c r="R81" i="11"/>
  <c r="L81" i="11"/>
  <c r="H81" i="11"/>
  <c r="B81" i="11"/>
  <c r="AV80" i="11"/>
  <c r="AT80" i="11"/>
  <c r="AP80" i="11"/>
  <c r="AJ80" i="11"/>
  <c r="AH80" i="11"/>
  <c r="AB80" i="11"/>
  <c r="X80" i="11"/>
  <c r="R80" i="11"/>
  <c r="P80" i="11"/>
  <c r="N80" i="11"/>
  <c r="L80" i="11"/>
  <c r="J80" i="11"/>
  <c r="D80" i="11"/>
  <c r="B80" i="11"/>
  <c r="AV79" i="11" a="1"/>
  <c r="AV79" i="11" s="1"/>
  <c r="AT79" i="11"/>
  <c r="AT79" i="11" a="1"/>
  <c r="AR79" i="11"/>
  <c r="AR79" i="11" a="1"/>
  <c r="AP79" i="11" a="1"/>
  <c r="AP79" i="11" s="1"/>
  <c r="AN79" i="11" a="1"/>
  <c r="AN79" i="11" s="1"/>
  <c r="AL79" i="11" a="1"/>
  <c r="AL79" i="11" s="1"/>
  <c r="AJ79" i="11"/>
  <c r="AJ79" i="11" a="1"/>
  <c r="AH79" i="11" a="1"/>
  <c r="AH79" i="11" s="1"/>
  <c r="AF79" i="11" a="1"/>
  <c r="AF79" i="11" s="1"/>
  <c r="AD79" i="11"/>
  <c r="AD79" i="11" a="1"/>
  <c r="AB79" i="11"/>
  <c r="AB79" i="11" a="1"/>
  <c r="Z79" i="11" a="1"/>
  <c r="Z79" i="11" s="1"/>
  <c r="X79" i="11" a="1"/>
  <c r="X79" i="11" s="1"/>
  <c r="V79" i="11" a="1"/>
  <c r="V79" i="11" s="1"/>
  <c r="T79" i="11"/>
  <c r="T79" i="11" a="1"/>
  <c r="R79" i="11" a="1"/>
  <c r="R79" i="11" s="1"/>
  <c r="P79" i="11" a="1"/>
  <c r="P79" i="11" s="1"/>
  <c r="N79" i="11"/>
  <c r="N79" i="11" a="1"/>
  <c r="L79" i="11"/>
  <c r="L79" i="11" a="1"/>
  <c r="J79" i="11" a="1"/>
  <c r="J79" i="11" s="1"/>
  <c r="H79" i="11" a="1"/>
  <c r="H79" i="11" s="1"/>
  <c r="F79" i="11"/>
  <c r="F79" i="11" a="1"/>
  <c r="D79" i="11"/>
  <c r="D79" i="11" a="1"/>
  <c r="B79" i="11" a="1"/>
  <c r="B79" i="11" s="1"/>
  <c r="AV78" i="11" a="1"/>
  <c r="AV78" i="11" s="1"/>
  <c r="AT78" i="11"/>
  <c r="AT78" i="11" a="1"/>
  <c r="AR78" i="11"/>
  <c r="AR78" i="11" a="1"/>
  <c r="AP78" i="11" a="1"/>
  <c r="AP78" i="11" s="1"/>
  <c r="AN78" i="11" a="1"/>
  <c r="AN78" i="11" s="1"/>
  <c r="AL78" i="11" a="1"/>
  <c r="AL78" i="11" s="1"/>
  <c r="AJ78" i="11"/>
  <c r="AJ78" i="11" a="1"/>
  <c r="AH78" i="11" a="1"/>
  <c r="AH78" i="11" s="1"/>
  <c r="AF78" i="11" a="1"/>
  <c r="AF78" i="11" s="1"/>
  <c r="AD78" i="11"/>
  <c r="AD78" i="11" a="1"/>
  <c r="AB78" i="11"/>
  <c r="AB78" i="11" a="1"/>
  <c r="Z78" i="11" a="1"/>
  <c r="Z78" i="11" s="1"/>
  <c r="X78" i="11" a="1"/>
  <c r="X78" i="11" s="1"/>
  <c r="V78" i="11" a="1"/>
  <c r="V78" i="11" s="1"/>
  <c r="T78" i="11"/>
  <c r="T78" i="11" a="1"/>
  <c r="R78" i="11" a="1"/>
  <c r="R78" i="11" s="1"/>
  <c r="P78" i="11" a="1"/>
  <c r="P78" i="11" s="1"/>
  <c r="N78" i="11"/>
  <c r="N78" i="11" a="1"/>
  <c r="L78" i="11"/>
  <c r="L78" i="11" a="1"/>
  <c r="J78" i="11" a="1"/>
  <c r="J78" i="11" s="1"/>
  <c r="H78" i="11" a="1"/>
  <c r="H78" i="11" s="1"/>
  <c r="F78" i="11" a="1"/>
  <c r="F78" i="11" s="1"/>
  <c r="D78" i="11"/>
  <c r="D78" i="11" a="1"/>
  <c r="B78" i="11" a="1"/>
  <c r="B78" i="11" s="1"/>
  <c r="AV77" i="11" a="1"/>
  <c r="AV77" i="11" s="1"/>
  <c r="AT77" i="11"/>
  <c r="AT77" i="11" a="1"/>
  <c r="AR77" i="11"/>
  <c r="AR77" i="11" a="1"/>
  <c r="AP77" i="11" a="1"/>
  <c r="AP77" i="11" s="1"/>
  <c r="AN77" i="11" a="1"/>
  <c r="AN77" i="11" s="1"/>
  <c r="AL77" i="11"/>
  <c r="AL77" i="11" a="1"/>
  <c r="AJ77" i="11"/>
  <c r="AJ77" i="11" a="1"/>
  <c r="AH77" i="11" a="1"/>
  <c r="AH77" i="11" s="1"/>
  <c r="AF77" i="11" a="1"/>
  <c r="AF77" i="11" s="1"/>
  <c r="AD77" i="11"/>
  <c r="AD77" i="11" a="1"/>
  <c r="AB77" i="11"/>
  <c r="AB77" i="11" a="1"/>
  <c r="Z77" i="11" a="1"/>
  <c r="Z77" i="11" s="1"/>
  <c r="X77" i="11" a="1"/>
  <c r="X77" i="11" s="1"/>
  <c r="V77" i="11" a="1"/>
  <c r="V77" i="11" s="1"/>
  <c r="T77" i="11"/>
  <c r="T77" i="11" a="1"/>
  <c r="R77" i="11" a="1"/>
  <c r="R77" i="11" s="1"/>
  <c r="P77" i="11" a="1"/>
  <c r="P77" i="11" s="1"/>
  <c r="N77" i="11"/>
  <c r="N77" i="11" a="1"/>
  <c r="L77" i="11"/>
  <c r="L77" i="11" a="1"/>
  <c r="J77" i="11" a="1"/>
  <c r="J77" i="11" s="1"/>
  <c r="H77" i="11" a="1"/>
  <c r="H77" i="11" s="1"/>
  <c r="F77" i="11" a="1"/>
  <c r="F77" i="11" s="1"/>
  <c r="D77" i="11"/>
  <c r="D77" i="11" a="1"/>
  <c r="B77" i="11" a="1"/>
  <c r="B77" i="11" s="1"/>
  <c r="AV76" i="11" a="1"/>
  <c r="AV76" i="11" s="1"/>
  <c r="AT76" i="11"/>
  <c r="AT76" i="11" a="1"/>
  <c r="AR76" i="11"/>
  <c r="AR76" i="11" a="1"/>
  <c r="AP76" i="11" a="1"/>
  <c r="AP76" i="11" s="1"/>
  <c r="AN76" i="11" a="1"/>
  <c r="AN76" i="11" s="1"/>
  <c r="AL76" i="11" a="1"/>
  <c r="AL76" i="11" s="1"/>
  <c r="AJ76" i="11"/>
  <c r="AJ76" i="11" a="1"/>
  <c r="AH76" i="11" a="1"/>
  <c r="AH76" i="11" s="1"/>
  <c r="AF76" i="11" a="1"/>
  <c r="AF76" i="11" s="1"/>
  <c r="AD76" i="11"/>
  <c r="AD76" i="11" a="1"/>
  <c r="AB76" i="11"/>
  <c r="AB76" i="11" a="1"/>
  <c r="Z76" i="11" a="1"/>
  <c r="Z76" i="11" s="1"/>
  <c r="X76" i="11" a="1"/>
  <c r="X76" i="11" s="1"/>
  <c r="V76" i="11"/>
  <c r="V76" i="11" a="1"/>
  <c r="T76" i="11"/>
  <c r="T76" i="11" a="1"/>
  <c r="R76" i="11" a="1"/>
  <c r="R76" i="11" s="1"/>
  <c r="P76" i="11" a="1"/>
  <c r="P76" i="11" s="1"/>
  <c r="N76" i="11"/>
  <c r="N76" i="11" a="1"/>
  <c r="L76" i="11"/>
  <c r="L76" i="11" a="1"/>
  <c r="J76" i="11" a="1"/>
  <c r="J76" i="11" s="1"/>
  <c r="H76" i="11" a="1"/>
  <c r="H76" i="11" s="1"/>
  <c r="F76" i="11" a="1"/>
  <c r="F76" i="11" s="1"/>
  <c r="D76" i="11"/>
  <c r="D76" i="11" a="1"/>
  <c r="B76" i="11" a="1"/>
  <c r="B76" i="11" s="1"/>
  <c r="AV75" i="11" a="1"/>
  <c r="AV75" i="11" s="1"/>
  <c r="AT75" i="11"/>
  <c r="AT75" i="11" a="1"/>
  <c r="AR75" i="11"/>
  <c r="AR75" i="11" a="1"/>
  <c r="AP75" i="11" a="1"/>
  <c r="AP75" i="11" s="1"/>
  <c r="AN75" i="11" a="1"/>
  <c r="AN75" i="11" s="1"/>
  <c r="AL75" i="11" a="1"/>
  <c r="AL75" i="11" s="1"/>
  <c r="AJ75" i="11"/>
  <c r="AJ75" i="11" a="1"/>
  <c r="AH75" i="11" a="1"/>
  <c r="AH75" i="11" s="1"/>
  <c r="AF75" i="11" a="1"/>
  <c r="AF75" i="11" s="1"/>
  <c r="AD75" i="11"/>
  <c r="AD75" i="11" a="1"/>
  <c r="AB75" i="11"/>
  <c r="AB75" i="11" a="1"/>
  <c r="Z75" i="11" a="1"/>
  <c r="Z75" i="11" s="1"/>
  <c r="X75" i="11" a="1"/>
  <c r="X75" i="11" s="1"/>
  <c r="V75" i="11" a="1"/>
  <c r="V75" i="11" s="1"/>
  <c r="T75" i="11"/>
  <c r="T75" i="11" a="1"/>
  <c r="R75" i="11" a="1"/>
  <c r="R75" i="11" s="1"/>
  <c r="P75" i="11" a="1"/>
  <c r="P75" i="11" s="1"/>
  <c r="N75" i="11"/>
  <c r="N75" i="11" a="1"/>
  <c r="L75" i="11"/>
  <c r="L75" i="11" a="1"/>
  <c r="J75" i="11" a="1"/>
  <c r="J75" i="11" s="1"/>
  <c r="H75" i="11" a="1"/>
  <c r="H75" i="11" s="1"/>
  <c r="F75" i="11"/>
  <c r="F75" i="11" a="1"/>
  <c r="D75" i="11"/>
  <c r="D75" i="11" a="1"/>
  <c r="B75" i="11" a="1"/>
  <c r="B75" i="11" s="1"/>
  <c r="AV74" i="11" a="1"/>
  <c r="AV74" i="11" s="1"/>
  <c r="AT74" i="11"/>
  <c r="AT74" i="11" a="1"/>
  <c r="AR74" i="11"/>
  <c r="AR74" i="11" a="1"/>
  <c r="AP74" i="11" a="1"/>
  <c r="AP74" i="11" s="1"/>
  <c r="AN74" i="11" a="1"/>
  <c r="AN74" i="11" s="1"/>
  <c r="AL74" i="11" a="1"/>
  <c r="AL74" i="11" s="1"/>
  <c r="AJ74" i="11"/>
  <c r="AJ74" i="11" a="1"/>
  <c r="AH74" i="11" a="1"/>
  <c r="AH74" i="11" s="1"/>
  <c r="AF74" i="11" a="1"/>
  <c r="AF74" i="11" s="1"/>
  <c r="AD74" i="11"/>
  <c r="AD74" i="11" a="1"/>
  <c r="AB74" i="11"/>
  <c r="AB74" i="11" a="1"/>
  <c r="Z74" i="11" a="1"/>
  <c r="Z74" i="11" s="1"/>
  <c r="X74" i="11" a="1"/>
  <c r="X74" i="11" s="1"/>
  <c r="V74" i="11" a="1"/>
  <c r="V74" i="11" s="1"/>
  <c r="T74" i="11"/>
  <c r="T74" i="11" a="1"/>
  <c r="R74" i="11" a="1"/>
  <c r="R74" i="11" s="1"/>
  <c r="P74" i="11" a="1"/>
  <c r="P74" i="11" s="1"/>
  <c r="N74" i="11"/>
  <c r="N74" i="11" a="1"/>
  <c r="L74" i="11"/>
  <c r="L74" i="11" a="1"/>
  <c r="J74" i="11" a="1"/>
  <c r="J74" i="11" s="1"/>
  <c r="H74" i="11" a="1"/>
  <c r="H74" i="11" s="1"/>
  <c r="F74" i="11" a="1"/>
  <c r="F74" i="11" s="1"/>
  <c r="D74" i="11"/>
  <c r="D74" i="11" a="1"/>
  <c r="B74" i="11" a="1"/>
  <c r="B74" i="11" s="1"/>
  <c r="AV73" i="11" a="1"/>
  <c r="AV73" i="11" s="1"/>
  <c r="AT73" i="11"/>
  <c r="AT73" i="11" a="1"/>
  <c r="AR73" i="11"/>
  <c r="AR73" i="11" a="1"/>
  <c r="AP73" i="11" a="1"/>
  <c r="AP73" i="11" s="1"/>
  <c r="AN73" i="11" a="1"/>
  <c r="AN73" i="11" s="1"/>
  <c r="AL73" i="11"/>
  <c r="AL73" i="11" a="1"/>
  <c r="AJ73" i="11" a="1"/>
  <c r="AJ73" i="11" s="1"/>
  <c r="AH73" i="11" a="1"/>
  <c r="AH73" i="11" s="1"/>
  <c r="AF73" i="11" a="1"/>
  <c r="AF73" i="11" s="1"/>
  <c r="AD73" i="11"/>
  <c r="AD73" i="11" a="1"/>
  <c r="AB73" i="11"/>
  <c r="AB73" i="11" a="1"/>
  <c r="Z73" i="11" a="1"/>
  <c r="Z73" i="11" s="1"/>
  <c r="X73" i="11" a="1"/>
  <c r="X73" i="11" s="1"/>
  <c r="V73" i="11"/>
  <c r="V73" i="11" a="1"/>
  <c r="T73" i="11" a="1"/>
  <c r="T73" i="11" s="1"/>
  <c r="R73" i="11" a="1"/>
  <c r="R73" i="11" s="1"/>
  <c r="P73" i="11" a="1"/>
  <c r="P73" i="11" s="1"/>
  <c r="N73" i="11"/>
  <c r="N73" i="11" a="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a="1"/>
  <c r="AV67" i="11" s="1"/>
  <c r="AT67" i="11"/>
  <c r="AT67" i="11" a="1"/>
  <c r="AR67" i="11" a="1"/>
  <c r="AR67" i="11" s="1"/>
  <c r="AP67" i="11" a="1"/>
  <c r="AP67" i="11" s="1"/>
  <c r="AN67" i="11" a="1"/>
  <c r="AN67" i="11" s="1"/>
  <c r="AL67" i="11"/>
  <c r="AL67" i="11" a="1"/>
  <c r="AJ67" i="11"/>
  <c r="AJ67" i="11" a="1"/>
  <c r="AH67" i="11" a="1"/>
  <c r="AH67" i="11" s="1"/>
  <c r="AF67" i="11" a="1"/>
  <c r="AF67" i="11" s="1"/>
  <c r="AD67" i="11" a="1"/>
  <c r="AD67" i="11" s="1"/>
  <c r="AB67" i="11" a="1"/>
  <c r="AB67" i="11" s="1"/>
  <c r="Z67" i="11" a="1"/>
  <c r="Z67" i="11" s="1"/>
  <c r="X67" i="11" a="1"/>
  <c r="X67" i="11" s="1"/>
  <c r="V67" i="11"/>
  <c r="V67" i="11" a="1"/>
  <c r="T67" i="11"/>
  <c r="T67" i="11" a="1"/>
  <c r="R67" i="11" a="1"/>
  <c r="R67" i="11" s="1"/>
  <c r="P67" i="11" a="1"/>
  <c r="P67" i="11" s="1"/>
  <c r="N67" i="11" a="1"/>
  <c r="N67" i="11" s="1"/>
  <c r="L67" i="11" a="1"/>
  <c r="L67" i="11" s="1"/>
  <c r="J67" i="11" a="1"/>
  <c r="J67" i="11" s="1"/>
  <c r="H67" i="11" a="1"/>
  <c r="H67" i="11" s="1"/>
  <c r="F67" i="11"/>
  <c r="F67" i="11" a="1"/>
  <c r="D67" i="11"/>
  <c r="D67" i="11" a="1"/>
  <c r="B67" i="11" a="1"/>
  <c r="B67" i="11" s="1"/>
  <c r="AV66" i="11" a="1"/>
  <c r="AV66" i="11" s="1"/>
  <c r="AV68" i="11" s="1"/>
  <c r="AT66" i="11" a="1"/>
  <c r="AT66" i="11" s="1"/>
  <c r="AT68" i="11" s="1"/>
  <c r="AR66" i="11" a="1"/>
  <c r="AR66" i="11" s="1"/>
  <c r="AR68" i="11" s="1"/>
  <c r="AP66" i="11" a="1"/>
  <c r="AP66" i="11" s="1"/>
  <c r="AP68" i="11" s="1"/>
  <c r="AN66" i="11" a="1"/>
  <c r="AN66" i="11" s="1"/>
  <c r="AL66" i="11"/>
  <c r="AL68" i="11" s="1"/>
  <c r="AL66" i="11" a="1"/>
  <c r="AJ66" i="11"/>
  <c r="AJ68" i="11" s="1"/>
  <c r="AJ66" i="11" a="1"/>
  <c r="AH66" i="11" a="1"/>
  <c r="AH66" i="11" s="1"/>
  <c r="AH68" i="11" s="1"/>
  <c r="AF66" i="11" a="1"/>
  <c r="AF66" i="11" s="1"/>
  <c r="AD66" i="11" a="1"/>
  <c r="AD66" i="11" s="1"/>
  <c r="AB66" i="11" a="1"/>
  <c r="AB66" i="11" s="1"/>
  <c r="AB68" i="11" s="1"/>
  <c r="Z66" i="11" a="1"/>
  <c r="Z66" i="11" s="1"/>
  <c r="Z68" i="11" s="1"/>
  <c r="X66" i="11" a="1"/>
  <c r="X66" i="11" s="1"/>
  <c r="X68" i="11" s="1"/>
  <c r="V66" i="11"/>
  <c r="V68" i="11" s="1"/>
  <c r="V66" i="11" a="1"/>
  <c r="T66" i="11"/>
  <c r="T68" i="11" s="1"/>
  <c r="T66" i="11" a="1"/>
  <c r="R66" i="11" a="1"/>
  <c r="R66" i="11" s="1"/>
  <c r="P66" i="11" a="1"/>
  <c r="P66" i="11" s="1"/>
  <c r="N66" i="11"/>
  <c r="N66" i="11" a="1"/>
  <c r="L66" i="11" a="1"/>
  <c r="L66" i="11" s="1"/>
  <c r="L68" i="11" s="1"/>
  <c r="J66" i="11" a="1"/>
  <c r="J66" i="11" s="1"/>
  <c r="J68" i="11" s="1"/>
  <c r="H66" i="11" a="1"/>
  <c r="H66" i="11" s="1"/>
  <c r="F66" i="11"/>
  <c r="F68" i="11" s="1"/>
  <c r="F66" i="11" a="1"/>
  <c r="D66" i="11"/>
  <c r="D68" i="11" s="1"/>
  <c r="D66" i="11" a="1"/>
  <c r="B66" i="11" a="1"/>
  <c r="B66" i="11" s="1"/>
  <c r="B68" i="11" s="1"/>
  <c r="AV65" i="11" a="1"/>
  <c r="AV65" i="11" s="1"/>
  <c r="AV69" i="11" s="1"/>
  <c r="AT65" i="11" a="1"/>
  <c r="AT65" i="11" s="1"/>
  <c r="AT69" i="11" s="1"/>
  <c r="AR65" i="11" a="1"/>
  <c r="AR65" i="11" s="1"/>
  <c r="AR69" i="11" s="1"/>
  <c r="AP65" i="11" a="1"/>
  <c r="AP65" i="11" s="1"/>
  <c r="AP69" i="11" s="1"/>
  <c r="AN65" i="11" a="1"/>
  <c r="AN65" i="11" s="1"/>
  <c r="AN69" i="11" s="1"/>
  <c r="AL65" i="11"/>
  <c r="AL69" i="11" s="1"/>
  <c r="AL65" i="11" a="1"/>
  <c r="AJ65" i="11"/>
  <c r="AJ69" i="11" s="1"/>
  <c r="AJ65" i="11" a="1"/>
  <c r="AH65" i="11" a="1"/>
  <c r="AH65" i="11" s="1"/>
  <c r="AH69" i="11" s="1"/>
  <c r="AF65" i="11" a="1"/>
  <c r="AF65" i="11" s="1"/>
  <c r="AF69" i="11" s="1"/>
  <c r="AD65" i="11" a="1"/>
  <c r="AD65" i="11" s="1"/>
  <c r="AD69" i="11" s="1"/>
  <c r="AB65" i="11" a="1"/>
  <c r="AB65" i="11" s="1"/>
  <c r="AB69" i="11" s="1"/>
  <c r="Z65" i="11" a="1"/>
  <c r="Z65" i="11" s="1"/>
  <c r="Z69" i="11" s="1"/>
  <c r="X65" i="11" a="1"/>
  <c r="X65" i="11" s="1"/>
  <c r="X69" i="11" s="1"/>
  <c r="V65" i="11"/>
  <c r="V69" i="11" s="1"/>
  <c r="V65" i="11" a="1"/>
  <c r="T65" i="11"/>
  <c r="T69" i="11" s="1"/>
  <c r="T65" i="11" a="1"/>
  <c r="R65" i="11" a="1"/>
  <c r="R65" i="11" s="1"/>
  <c r="R69" i="11" s="1"/>
  <c r="P65" i="11" a="1"/>
  <c r="P65" i="11" s="1"/>
  <c r="P69" i="11" s="1"/>
  <c r="N65" i="11" a="1"/>
  <c r="N65" i="11" s="1"/>
  <c r="N69" i="11" s="1"/>
  <c r="L65" i="11" a="1"/>
  <c r="L65" i="11" s="1"/>
  <c r="L69" i="11" s="1"/>
  <c r="J65" i="11" a="1"/>
  <c r="J65" i="11" s="1"/>
  <c r="J69" i="11" s="1"/>
  <c r="H65" i="11" a="1"/>
  <c r="H65" i="11" s="1"/>
  <c r="H69" i="11" s="1"/>
  <c r="F65" i="11"/>
  <c r="F69" i="11" s="1"/>
  <c r="F65" i="11" a="1"/>
  <c r="D65" i="11"/>
  <c r="D69" i="11" s="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a="1"/>
  <c r="AT58" i="11" s="1"/>
  <c r="AR58" i="11" a="1"/>
  <c r="AR58" i="11" s="1"/>
  <c r="AP58" i="11"/>
  <c r="AP58" i="11" a="1"/>
  <c r="AN58" i="11" a="1"/>
  <c r="AN58" i="11" s="1"/>
  <c r="AL58" i="11" a="1"/>
  <c r="AL58" i="11" s="1"/>
  <c r="AJ58" i="11"/>
  <c r="AJ58" i="11" a="1"/>
  <c r="AH58" i="11" a="1"/>
  <c r="AH58" i="11" s="1"/>
  <c r="AF58" i="11"/>
  <c r="AF58" i="11" a="1"/>
  <c r="AD58" i="11" a="1"/>
  <c r="AD58" i="11" s="1"/>
  <c r="AB58" i="11" a="1"/>
  <c r="AB58" i="11" s="1"/>
  <c r="Z58" i="11"/>
  <c r="Z58" i="11" a="1"/>
  <c r="X58" i="11" a="1"/>
  <c r="X58" i="11" s="1"/>
  <c r="V58" i="11" a="1"/>
  <c r="V58" i="11" s="1"/>
  <c r="T58" i="11"/>
  <c r="T58" i="11" a="1"/>
  <c r="R58" i="11" a="1"/>
  <c r="R58" i="11" s="1"/>
  <c r="P58" i="11"/>
  <c r="P58" i="11" a="1"/>
  <c r="N58" i="11" a="1"/>
  <c r="N58" i="11" s="1"/>
  <c r="L58" i="11" a="1"/>
  <c r="L58" i="11" s="1"/>
  <c r="J58" i="11"/>
  <c r="J58" i="11" a="1"/>
  <c r="H58" i="11" a="1"/>
  <c r="H58" i="11" s="1"/>
  <c r="F58" i="11" a="1"/>
  <c r="F58" i="11" s="1"/>
  <c r="D58" i="11"/>
  <c r="D58" i="11" a="1"/>
  <c r="B58" i="11" a="1"/>
  <c r="B58" i="11" s="1"/>
  <c r="AV57" i="11"/>
  <c r="AV57" i="11" a="1"/>
  <c r="AT57" i="11" a="1"/>
  <c r="AT57" i="11" s="1"/>
  <c r="AR57" i="11" a="1"/>
  <c r="AR57" i="11" s="1"/>
  <c r="AP57" i="11"/>
  <c r="AP57" i="11" a="1"/>
  <c r="AN57" i="11" a="1"/>
  <c r="AN57" i="11" s="1"/>
  <c r="AL57" i="11" a="1"/>
  <c r="AL57" i="11" s="1"/>
  <c r="AJ57" i="11"/>
  <c r="AJ57" i="11" a="1"/>
  <c r="AH57" i="11" a="1"/>
  <c r="AH57" i="11" s="1"/>
  <c r="AF57" i="11"/>
  <c r="AF57" i="11" a="1"/>
  <c r="AD57" i="11" a="1"/>
  <c r="AD57" i="11" s="1"/>
  <c r="AB57" i="11" a="1"/>
  <c r="AB57" i="11" s="1"/>
  <c r="Z57" i="11"/>
  <c r="Z57" i="11" a="1"/>
  <c r="X57" i="11" a="1"/>
  <c r="X57" i="11" s="1"/>
  <c r="V57" i="11" a="1"/>
  <c r="V57" i="11" s="1"/>
  <c r="T57" i="11"/>
  <c r="T57" i="11" a="1"/>
  <c r="R57" i="11" a="1"/>
  <c r="R57" i="11" s="1"/>
  <c r="P57" i="11"/>
  <c r="P57" i="11" a="1"/>
  <c r="N57" i="11" a="1"/>
  <c r="N57" i="11" s="1"/>
  <c r="L57" i="11" a="1"/>
  <c r="L57" i="11" s="1"/>
  <c r="J57" i="11"/>
  <c r="J57" i="11" a="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R80" i="11" s="1"/>
  <c r="AP55" i="11"/>
  <c r="AN55" i="11"/>
  <c r="AN80" i="11" s="1"/>
  <c r="AL55" i="11"/>
  <c r="AL80" i="11" s="1"/>
  <c r="AJ55" i="11"/>
  <c r="AH55" i="11"/>
  <c r="AF55" i="11"/>
  <c r="AF80" i="11" s="1"/>
  <c r="AD55" i="11"/>
  <c r="AD80" i="11" s="1"/>
  <c r="AB55" i="11"/>
  <c r="Z55" i="11"/>
  <c r="Z80" i="11" s="1"/>
  <c r="X55" i="11"/>
  <c r="V55" i="11"/>
  <c r="V80" i="11" s="1"/>
  <c r="T55" i="11"/>
  <c r="T80" i="11" s="1"/>
  <c r="R55" i="11"/>
  <c r="P55" i="11"/>
  <c r="N55" i="11"/>
  <c r="L55" i="11"/>
  <c r="J55" i="11"/>
  <c r="H55" i="11"/>
  <c r="H80" i="11" s="1"/>
  <c r="F55" i="11"/>
  <c r="F80" i="11" s="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P51" i="11"/>
  <c r="AP81" i="11" s="1"/>
  <c r="AN51" i="11"/>
  <c r="AL51" i="11"/>
  <c r="AL81" i="11" s="1"/>
  <c r="AJ51" i="11"/>
  <c r="AJ81" i="11" s="1"/>
  <c r="AH51" i="11"/>
  <c r="AF51" i="11"/>
  <c r="AD51" i="11"/>
  <c r="AB51" i="11"/>
  <c r="Z51" i="11"/>
  <c r="Z81" i="11" s="1"/>
  <c r="X51" i="11"/>
  <c r="X81" i="11" s="1"/>
  <c r="V51" i="11"/>
  <c r="V81" i="11" s="1"/>
  <c r="T51" i="11"/>
  <c r="R51" i="11"/>
  <c r="P51" i="11"/>
  <c r="P81" i="11" s="1"/>
  <c r="N51" i="11"/>
  <c r="N81" i="11" s="1"/>
  <c r="L51" i="11"/>
  <c r="J51" i="11"/>
  <c r="J81" i="11" s="1"/>
  <c r="H51" i="11"/>
  <c r="F51" i="11"/>
  <c r="F81" i="11" s="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a="1"/>
  <c r="AN43" i="11" s="1"/>
  <c r="AL43" i="11" a="1"/>
  <c r="AL43" i="11" s="1"/>
  <c r="AJ43" i="11"/>
  <c r="AJ43" i="11" a="1"/>
  <c r="AH43" i="11" a="1"/>
  <c r="AH43" i="11" s="1"/>
  <c r="AF43" i="11"/>
  <c r="AF43" i="11" a="1"/>
  <c r="AD43" i="11" a="1"/>
  <c r="AD43" i="11" s="1"/>
  <c r="AB43" i="11" a="1"/>
  <c r="AB43" i="11" s="1"/>
  <c r="Z43" i="11"/>
  <c r="Z43" i="11" a="1"/>
  <c r="X43" i="11" a="1"/>
  <c r="X43" i="11" s="1"/>
  <c r="V43" i="11" a="1"/>
  <c r="V43" i="11" s="1"/>
  <c r="T43" i="11"/>
  <c r="T43" i="11" a="1"/>
  <c r="R43" i="11" a="1"/>
  <c r="R43" i="11" s="1"/>
  <c r="P43" i="11"/>
  <c r="P43" i="11" a="1"/>
  <c r="N43" i="11" a="1"/>
  <c r="N43" i="11" s="1"/>
  <c r="L43" i="11" a="1"/>
  <c r="L43" i="11" s="1"/>
  <c r="J43" i="11"/>
  <c r="J43" i="11" a="1"/>
  <c r="H43" i="11" a="1"/>
  <c r="H43" i="11" s="1"/>
  <c r="F43" i="11"/>
  <c r="F43" i="11" a="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X4" i="23"/>
  <c r="W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R8" i="39" s="1"/>
  <c r="Q9" i="23"/>
  <c r="P9" i="23"/>
  <c r="P8" i="39" s="1"/>
  <c r="O9" i="23"/>
  <c r="N9" i="23"/>
  <c r="M9" i="23"/>
  <c r="L9" i="23"/>
  <c r="K9" i="23"/>
  <c r="J9" i="23"/>
  <c r="I9" i="23"/>
  <c r="H9" i="23"/>
  <c r="G9" i="23"/>
  <c r="F9" i="23"/>
  <c r="E9" i="23"/>
  <c r="D9" i="23"/>
  <c r="C9" i="23"/>
  <c r="B9" i="23"/>
  <c r="Y8" i="23"/>
  <c r="X8" i="23"/>
  <c r="W8" i="23"/>
  <c r="V8" i="23"/>
  <c r="U8" i="23"/>
  <c r="T8" i="23"/>
  <c r="S8" i="23"/>
  <c r="R8" i="23"/>
  <c r="Q8" i="23"/>
  <c r="P8" i="23"/>
  <c r="O8" i="23"/>
  <c r="N8" i="23"/>
  <c r="M8" i="23"/>
  <c r="M7" i="39" s="1"/>
  <c r="L8" i="23"/>
  <c r="L7" i="39" s="1"/>
  <c r="K8" i="23"/>
  <c r="K7" i="39" s="1"/>
  <c r="J8" i="23"/>
  <c r="J7" i="39" s="1"/>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T5" i="39" s="1"/>
  <c r="S6" i="23"/>
  <c r="S5" i="39" s="1"/>
  <c r="R6" i="23"/>
  <c r="R5" i="39" s="1"/>
  <c r="Q6" i="23"/>
  <c r="Q5" i="39" s="1"/>
  <c r="P6" i="23"/>
  <c r="P5" i="39" s="1"/>
  <c r="O6" i="23"/>
  <c r="O5" i="39" s="1"/>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T3" i="39" s="1"/>
  <c r="S4" i="23"/>
  <c r="S3" i="39" s="1"/>
  <c r="R4" i="23"/>
  <c r="R3" i="39" s="1"/>
  <c r="Q4" i="23"/>
  <c r="Q3" i="39" s="1"/>
  <c r="P4" i="23"/>
  <c r="P3" i="39" s="1"/>
  <c r="O4" i="23"/>
  <c r="O3" i="39" s="1"/>
  <c r="N4" i="23"/>
  <c r="N3" i="39" s="1"/>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D68" i="35" l="1"/>
  <c r="AT68" i="35"/>
  <c r="P68" i="35"/>
  <c r="AP68" i="35"/>
  <c r="AR68" i="35"/>
  <c r="AV68" i="35"/>
  <c r="X68" i="35"/>
  <c r="B68" i="35"/>
  <c r="V68" i="35"/>
  <c r="H68" i="35"/>
  <c r="AH68" i="35"/>
  <c r="L68" i="35"/>
  <c r="F68" i="38"/>
  <c r="AF68" i="38"/>
  <c r="H68" i="38"/>
  <c r="AH68" i="38"/>
  <c r="L68" i="38"/>
  <c r="AL68" i="38"/>
  <c r="N68" i="38"/>
  <c r="V68" i="21"/>
  <c r="X68" i="21"/>
  <c r="AD68" i="21"/>
  <c r="F68" i="21"/>
  <c r="AF68" i="21"/>
  <c r="H68" i="21"/>
  <c r="AH68" i="21"/>
  <c r="AL68" i="21"/>
  <c r="N68" i="21"/>
  <c r="AN68" i="21"/>
  <c r="J68" i="21"/>
  <c r="P68" i="21"/>
  <c r="L68" i="24"/>
  <c r="AJ68" i="24"/>
  <c r="N68" i="24"/>
  <c r="AL68" i="24"/>
  <c r="AR68" i="24"/>
  <c r="X68" i="24"/>
  <c r="Z68" i="24"/>
  <c r="AB68" i="24"/>
  <c r="AD68" i="24"/>
  <c r="D68" i="24"/>
  <c r="V68" i="24"/>
  <c r="F68" i="24"/>
  <c r="R68" i="18"/>
  <c r="AT68" i="18"/>
  <c r="T68" i="18"/>
  <c r="AV68" i="18"/>
  <c r="Z68" i="18"/>
  <c r="B68" i="18"/>
  <c r="AD68" i="18"/>
  <c r="D68" i="18"/>
  <c r="AF68" i="18"/>
  <c r="F68" i="18"/>
  <c r="AH68" i="18"/>
  <c r="AJ68" i="18"/>
  <c r="N68" i="22"/>
  <c r="AT68" i="22"/>
  <c r="X68" i="22"/>
  <c r="J68" i="22"/>
  <c r="L68" i="22"/>
  <c r="F68" i="22"/>
  <c r="AF68" i="22"/>
  <c r="H68" i="22"/>
  <c r="AH68" i="22"/>
  <c r="AL68" i="22"/>
  <c r="AN68" i="22"/>
  <c r="P68" i="22"/>
  <c r="AP68" i="22"/>
  <c r="R68" i="22"/>
  <c r="AR68" i="22"/>
  <c r="J68" i="12"/>
  <c r="AL68" i="12"/>
  <c r="T68" i="12"/>
  <c r="V68" i="12"/>
  <c r="X68" i="12"/>
  <c r="N68" i="12"/>
  <c r="AP68" i="12"/>
  <c r="AR68" i="12"/>
  <c r="Z68" i="12"/>
  <c r="AB68" i="12"/>
  <c r="AD68" i="11"/>
  <c r="H68" i="11"/>
  <c r="AF68" i="11"/>
  <c r="N68" i="11"/>
  <c r="P68" i="11"/>
  <c r="R68" i="11"/>
  <c r="AN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J52" i="38" l="1"/>
  <c r="AJ82" i="38" s="1"/>
  <c r="AF52" i="38"/>
  <c r="AF82" i="38" s="1"/>
  <c r="D52" i="38"/>
  <c r="D82" i="38" s="1"/>
  <c r="AV52" i="38"/>
  <c r="AV82" i="38" s="1"/>
  <c r="T52" i="38"/>
  <c r="T82" i="38" s="1"/>
  <c r="P52" i="38"/>
  <c r="P82" i="38" s="1"/>
  <c r="AD52" i="38"/>
  <c r="AD82" i="38" s="1"/>
  <c r="AP52" i="38"/>
  <c r="AP82" i="38" s="1"/>
  <c r="B52" i="38"/>
  <c r="B82" i="38" s="1"/>
  <c r="AB52" i="38"/>
  <c r="AB82" i="38" s="1"/>
  <c r="R52" i="38"/>
  <c r="R82" i="38" s="1"/>
  <c r="F52" i="38"/>
  <c r="F82" i="38" s="1"/>
  <c r="H52" i="38"/>
  <c r="H82" i="38" s="1"/>
  <c r="J52" i="38"/>
  <c r="J82" i="38" s="1"/>
  <c r="AR52" i="38"/>
  <c r="AR82" i="38" s="1"/>
  <c r="AH52" i="38"/>
  <c r="AH82" i="38" s="1"/>
  <c r="AT52" i="38"/>
  <c r="AT82" i="38" s="1"/>
  <c r="V52" i="38"/>
  <c r="V82" i="38" s="1"/>
  <c r="N52" i="38"/>
  <c r="N82" i="38" s="1"/>
  <c r="AL52" i="38"/>
  <c r="AL82" i="38" s="1"/>
  <c r="Z52" i="38"/>
  <c r="Z82" i="38" s="1"/>
  <c r="L52" i="38"/>
  <c r="L82" i="38" s="1"/>
  <c r="AN52" i="38"/>
  <c r="AN82" i="38" s="1"/>
  <c r="X52" i="38"/>
  <c r="X82" i="38" s="1"/>
  <c r="AT52" i="21"/>
  <c r="AT82" i="21" s="1"/>
  <c r="T52" i="21"/>
  <c r="T82" i="21" s="1"/>
  <c r="N52" i="21"/>
  <c r="N82" i="21" s="1"/>
  <c r="AJ52" i="21"/>
  <c r="AJ82" i="21" s="1"/>
  <c r="P52" i="21"/>
  <c r="P82" i="21" s="1"/>
  <c r="AF52" i="21"/>
  <c r="AF82" i="21" s="1"/>
  <c r="AD52" i="21"/>
  <c r="AD82" i="21" s="1"/>
  <c r="D52" i="21"/>
  <c r="D82" i="21" s="1"/>
  <c r="AV52" i="21"/>
  <c r="AV82" i="21" s="1"/>
  <c r="R52" i="21"/>
  <c r="R82" i="21" s="1"/>
  <c r="AN52" i="21"/>
  <c r="AN82" i="21" s="1"/>
  <c r="AB52" i="21"/>
  <c r="AB82" i="21" s="1"/>
  <c r="AP52" i="21"/>
  <c r="AP82" i="21" s="1"/>
  <c r="B52" i="21"/>
  <c r="B82" i="21" s="1"/>
  <c r="AH52" i="21"/>
  <c r="AH82" i="21" s="1"/>
  <c r="AR52" i="21"/>
  <c r="AR82" i="21" s="1"/>
  <c r="F52" i="21"/>
  <c r="F82" i="21" s="1"/>
  <c r="H52" i="21"/>
  <c r="H82" i="21" s="1"/>
  <c r="V52" i="21"/>
  <c r="V82" i="21" s="1"/>
  <c r="AL52" i="21"/>
  <c r="AL82" i="21" s="1"/>
  <c r="Z52" i="21"/>
  <c r="Z82" i="21" s="1"/>
  <c r="X52" i="21"/>
  <c r="X82" i="21" s="1"/>
  <c r="L52" i="21"/>
  <c r="L82" i="21" s="1"/>
  <c r="J52" i="21"/>
  <c r="J82" i="21" s="1"/>
  <c r="AV52" i="24"/>
  <c r="AV82" i="24" s="1"/>
  <c r="AF52" i="24"/>
  <c r="AF82" i="24" s="1"/>
  <c r="T52" i="24"/>
  <c r="T82" i="24" s="1"/>
  <c r="AJ52" i="24"/>
  <c r="AJ82" i="24" s="1"/>
  <c r="P52" i="24"/>
  <c r="P82" i="24" s="1"/>
  <c r="D52" i="24"/>
  <c r="D82" i="24" s="1"/>
  <c r="AT52" i="24"/>
  <c r="AT82" i="24" s="1"/>
  <c r="R52" i="24"/>
  <c r="R82" i="24" s="1"/>
  <c r="F52" i="24"/>
  <c r="F82" i="24" s="1"/>
  <c r="L52" i="24"/>
  <c r="L82" i="24" s="1"/>
  <c r="B52" i="24"/>
  <c r="B82" i="24" s="1"/>
  <c r="X52" i="24"/>
  <c r="X82" i="24" s="1"/>
  <c r="N52" i="24"/>
  <c r="N82" i="24" s="1"/>
  <c r="AL52" i="24"/>
  <c r="AL82" i="24" s="1"/>
  <c r="AP52" i="24"/>
  <c r="AP82" i="24" s="1"/>
  <c r="H52" i="24"/>
  <c r="H82" i="24" s="1"/>
  <c r="AR52" i="24"/>
  <c r="AR82" i="24" s="1"/>
  <c r="AB52" i="24"/>
  <c r="AB82" i="24" s="1"/>
  <c r="Z52" i="24"/>
  <c r="Z82" i="24" s="1"/>
  <c r="V52" i="24"/>
  <c r="V82" i="24" s="1"/>
  <c r="AH52" i="24"/>
  <c r="AH82" i="24" s="1"/>
  <c r="AD52" i="24"/>
  <c r="AD82" i="24" s="1"/>
  <c r="AN52" i="24"/>
  <c r="AN82" i="24" s="1"/>
  <c r="J52" i="24"/>
  <c r="J82" i="24" s="1"/>
  <c r="P52" i="18"/>
  <c r="P82" i="18" s="1"/>
  <c r="AF52" i="18"/>
  <c r="AF82" i="18" s="1"/>
  <c r="L52" i="18"/>
  <c r="L82" i="18" s="1"/>
  <c r="J52" i="18"/>
  <c r="J82" i="18" s="1"/>
  <c r="AV52" i="18"/>
  <c r="AV82" i="18" s="1"/>
  <c r="AB52" i="18"/>
  <c r="AB82" i="18" s="1"/>
  <c r="H52" i="18"/>
  <c r="H82" i="18" s="1"/>
  <c r="Z52" i="18"/>
  <c r="Z82" i="18" s="1"/>
  <c r="AR52" i="18"/>
  <c r="AR82" i="18" s="1"/>
  <c r="X52" i="18"/>
  <c r="X82" i="18" s="1"/>
  <c r="D52" i="18"/>
  <c r="D82" i="18" s="1"/>
  <c r="AP52" i="18"/>
  <c r="AP82" i="18" s="1"/>
  <c r="AJ52" i="18"/>
  <c r="AJ82" i="18" s="1"/>
  <c r="AN52" i="18"/>
  <c r="AN82" i="18" s="1"/>
  <c r="T52" i="18"/>
  <c r="T82" i="18" s="1"/>
  <c r="B52" i="18"/>
  <c r="B82" i="18" s="1"/>
  <c r="F52" i="18"/>
  <c r="F82" i="18" s="1"/>
  <c r="AT52" i="18"/>
  <c r="AT82" i="18" s="1"/>
  <c r="AL52" i="18"/>
  <c r="AL82" i="18" s="1"/>
  <c r="AD52" i="18"/>
  <c r="AD82" i="18" s="1"/>
  <c r="V52" i="18"/>
  <c r="V82" i="18" s="1"/>
  <c r="R52" i="18"/>
  <c r="R82" i="18" s="1"/>
  <c r="AH52" i="18"/>
  <c r="AH82" i="18" s="1"/>
  <c r="N52" i="18"/>
  <c r="N82" i="18" s="1"/>
  <c r="T52" i="22"/>
  <c r="T82" i="22" s="1"/>
  <c r="AP52" i="22"/>
  <c r="AP82" i="22" s="1"/>
  <c r="P52" i="22"/>
  <c r="P82" i="22" s="1"/>
  <c r="AJ52" i="22"/>
  <c r="AJ82" i="22" s="1"/>
  <c r="AF52" i="22"/>
  <c r="AF82" i="22" s="1"/>
  <c r="J52" i="22"/>
  <c r="J82" i="22" s="1"/>
  <c r="D52" i="22"/>
  <c r="D82" i="22" s="1"/>
  <c r="Z52" i="22"/>
  <c r="Z82" i="22" s="1"/>
  <c r="AV52" i="22"/>
  <c r="AV82" i="22" s="1"/>
  <c r="AN52" i="22"/>
  <c r="AN82" i="22" s="1"/>
  <c r="AT52" i="22"/>
  <c r="AT82" i="22" s="1"/>
  <c r="F52" i="22"/>
  <c r="F82" i="22" s="1"/>
  <c r="L52" i="22"/>
  <c r="L82" i="22" s="1"/>
  <c r="H52" i="22"/>
  <c r="H82" i="22" s="1"/>
  <c r="AD52" i="22"/>
  <c r="AD82" i="22" s="1"/>
  <c r="B52" i="22"/>
  <c r="B82" i="22" s="1"/>
  <c r="AH52" i="22"/>
  <c r="AH82" i="22" s="1"/>
  <c r="AR52" i="22"/>
  <c r="AR82" i="22" s="1"/>
  <c r="X52" i="22"/>
  <c r="X82" i="22" s="1"/>
  <c r="AB52" i="22"/>
  <c r="AB82" i="22" s="1"/>
  <c r="AL52" i="22"/>
  <c r="AL82" i="22" s="1"/>
  <c r="R52" i="22"/>
  <c r="R82" i="22" s="1"/>
  <c r="V52" i="22"/>
  <c r="V82" i="22" s="1"/>
  <c r="N52" i="22"/>
  <c r="N82" i="22" s="1"/>
  <c r="AF52" i="12"/>
  <c r="AF82" i="12" s="1"/>
  <c r="J52" i="12"/>
  <c r="J82" i="12" s="1"/>
  <c r="AB52" i="12"/>
  <c r="AB82" i="12" s="1"/>
  <c r="L52" i="12"/>
  <c r="L82" i="12" s="1"/>
  <c r="AV52" i="12"/>
  <c r="AV82" i="12" s="1"/>
  <c r="Z52" i="12"/>
  <c r="Z82" i="12" s="1"/>
  <c r="P52" i="12"/>
  <c r="P82" i="12" s="1"/>
  <c r="AR52" i="12"/>
  <c r="AR82" i="12" s="1"/>
  <c r="AP52" i="12"/>
  <c r="AP82" i="12" s="1"/>
  <c r="N52" i="12"/>
  <c r="N82" i="12" s="1"/>
  <c r="R52" i="12"/>
  <c r="R82" i="12" s="1"/>
  <c r="AT52" i="12"/>
  <c r="AT82" i="12" s="1"/>
  <c r="AL52" i="12"/>
  <c r="AL82" i="12" s="1"/>
  <c r="AN52" i="12"/>
  <c r="AN82" i="12" s="1"/>
  <c r="F52" i="12"/>
  <c r="F82" i="12" s="1"/>
  <c r="AD52" i="12"/>
  <c r="AD82" i="12" s="1"/>
  <c r="AH52" i="12"/>
  <c r="AH82" i="12" s="1"/>
  <c r="B52" i="12"/>
  <c r="B82" i="12" s="1"/>
  <c r="T52" i="12"/>
  <c r="T82" i="12" s="1"/>
  <c r="D52" i="12"/>
  <c r="D82" i="12" s="1"/>
  <c r="AJ52" i="12"/>
  <c r="AJ82" i="12" s="1"/>
  <c r="H52" i="12"/>
  <c r="H82" i="12" s="1"/>
  <c r="X52" i="12"/>
  <c r="X82" i="12" s="1"/>
  <c r="V52" i="12"/>
  <c r="V82" i="12" s="1"/>
  <c r="AV52" i="11"/>
  <c r="AV82" i="11" s="1"/>
  <c r="D52" i="11"/>
  <c r="D82" i="11" s="1"/>
  <c r="P52" i="11"/>
  <c r="P82" i="11" s="1"/>
  <c r="AJ52" i="11"/>
  <c r="AJ82" i="11" s="1"/>
  <c r="AF52" i="11"/>
  <c r="AF82" i="11" s="1"/>
  <c r="J52" i="11"/>
  <c r="J82" i="11" s="1"/>
  <c r="V52" i="11"/>
  <c r="V82" i="11" s="1"/>
  <c r="AP52" i="11"/>
  <c r="AP82" i="11" s="1"/>
  <c r="T52" i="11"/>
  <c r="T82" i="11" s="1"/>
  <c r="F52" i="11"/>
  <c r="F82" i="11" s="1"/>
  <c r="Z52" i="11"/>
  <c r="Z82" i="11" s="1"/>
  <c r="AH52" i="11"/>
  <c r="AH82" i="11" s="1"/>
  <c r="AB52" i="11"/>
  <c r="AB82" i="11" s="1"/>
  <c r="N52" i="11"/>
  <c r="N82" i="11" s="1"/>
  <c r="H52" i="11"/>
  <c r="H82" i="11" s="1"/>
  <c r="AD52" i="11"/>
  <c r="AD82" i="11" s="1"/>
  <c r="AL52" i="11"/>
  <c r="AL82" i="11" s="1"/>
  <c r="L52" i="11"/>
  <c r="L82" i="11" s="1"/>
  <c r="AN52" i="11"/>
  <c r="AN82" i="11" s="1"/>
  <c r="AR52" i="11"/>
  <c r="AR82" i="11" s="1"/>
  <c r="B52" i="11"/>
  <c r="B82" i="11" s="1"/>
  <c r="AT52" i="11"/>
  <c r="AT82" i="11" s="1"/>
  <c r="R52" i="11"/>
  <c r="R82" i="11" s="1"/>
  <c r="X52" i="11"/>
  <c r="X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P53" i="38" l="1"/>
  <c r="P83" i="38" s="1"/>
  <c r="AJ53" i="38"/>
  <c r="AJ83" i="38" s="1"/>
  <c r="AF53" i="38"/>
  <c r="AF83" i="38" s="1"/>
  <c r="AV53" i="38"/>
  <c r="AV83" i="38" s="1"/>
  <c r="AD53" i="38"/>
  <c r="AD83" i="38" s="1"/>
  <c r="D53" i="38"/>
  <c r="D83" i="38" s="1"/>
  <c r="AT53" i="38"/>
  <c r="AT83" i="38" s="1"/>
  <c r="T53" i="38"/>
  <c r="T83" i="38" s="1"/>
  <c r="AB53" i="38"/>
  <c r="AB83" i="38" s="1"/>
  <c r="F53" i="38"/>
  <c r="F83" i="38" s="1"/>
  <c r="AR53" i="38"/>
  <c r="AR83" i="38" s="1"/>
  <c r="H53" i="38"/>
  <c r="H83" i="38" s="1"/>
  <c r="V53" i="38"/>
  <c r="V83" i="38" s="1"/>
  <c r="L53" i="38"/>
  <c r="L83" i="38" s="1"/>
  <c r="AP53" i="38"/>
  <c r="AP83" i="38" s="1"/>
  <c r="AH53" i="38"/>
  <c r="AH83" i="38" s="1"/>
  <c r="J53" i="38"/>
  <c r="J83" i="38" s="1"/>
  <c r="X53" i="38"/>
  <c r="X83" i="38" s="1"/>
  <c r="N53" i="38"/>
  <c r="N83" i="38" s="1"/>
  <c r="AL53" i="38"/>
  <c r="AL83" i="38" s="1"/>
  <c r="Z53" i="38"/>
  <c r="Z83" i="38" s="1"/>
  <c r="B53" i="38"/>
  <c r="B83" i="38" s="1"/>
  <c r="AN53" i="38"/>
  <c r="AN83" i="38" s="1"/>
  <c r="R53" i="38"/>
  <c r="R83" i="38" s="1"/>
  <c r="T53" i="21"/>
  <c r="T83" i="21" s="1"/>
  <c r="AN53" i="21"/>
  <c r="AN83" i="21" s="1"/>
  <c r="AF53" i="21"/>
  <c r="AF83" i="21" s="1"/>
  <c r="P53" i="21"/>
  <c r="P83" i="21" s="1"/>
  <c r="AJ53" i="21"/>
  <c r="AJ83" i="21" s="1"/>
  <c r="N53" i="21"/>
  <c r="N83" i="21" s="1"/>
  <c r="AD53" i="21"/>
  <c r="AD83" i="21" s="1"/>
  <c r="AV53" i="21"/>
  <c r="AV83" i="21" s="1"/>
  <c r="D53" i="21"/>
  <c r="D83" i="21" s="1"/>
  <c r="AT53" i="21"/>
  <c r="AT83" i="21" s="1"/>
  <c r="X53" i="21"/>
  <c r="X83" i="21" s="1"/>
  <c r="V53" i="21"/>
  <c r="V83" i="21" s="1"/>
  <c r="AH53" i="21"/>
  <c r="AH83" i="21" s="1"/>
  <c r="H53" i="21"/>
  <c r="H83" i="21" s="1"/>
  <c r="J53" i="21"/>
  <c r="J83" i="21" s="1"/>
  <c r="L53" i="21"/>
  <c r="L83" i="21" s="1"/>
  <c r="AB53" i="21"/>
  <c r="AB83" i="21" s="1"/>
  <c r="B53" i="21"/>
  <c r="B83" i="21" s="1"/>
  <c r="AL53" i="21"/>
  <c r="AL83" i="21" s="1"/>
  <c r="Z53" i="21"/>
  <c r="Z83" i="21" s="1"/>
  <c r="AR53" i="21"/>
  <c r="AR83" i="21" s="1"/>
  <c r="R53" i="21"/>
  <c r="R83" i="21" s="1"/>
  <c r="F53" i="21"/>
  <c r="F83" i="21" s="1"/>
  <c r="AP53" i="21"/>
  <c r="AP83" i="21" s="1"/>
  <c r="T53" i="24"/>
  <c r="T83" i="24" s="1"/>
  <c r="AV53" i="24"/>
  <c r="AV83" i="24" s="1"/>
  <c r="P53" i="24"/>
  <c r="P83" i="24" s="1"/>
  <c r="AJ53" i="24"/>
  <c r="AJ83" i="24" s="1"/>
  <c r="AF53" i="24"/>
  <c r="AF83" i="24" s="1"/>
  <c r="D53" i="24"/>
  <c r="D83" i="24" s="1"/>
  <c r="AD53" i="24"/>
  <c r="AD83" i="24" s="1"/>
  <c r="V53" i="24"/>
  <c r="V83" i="24" s="1"/>
  <c r="AN53" i="24"/>
  <c r="AN83" i="24" s="1"/>
  <c r="R53" i="24"/>
  <c r="R83" i="24" s="1"/>
  <c r="J53" i="24"/>
  <c r="J83" i="24" s="1"/>
  <c r="B53" i="24"/>
  <c r="B83" i="24" s="1"/>
  <c r="L53" i="24"/>
  <c r="L83" i="24" s="1"/>
  <c r="AB53" i="24"/>
  <c r="AB83" i="24" s="1"/>
  <c r="AL53" i="24"/>
  <c r="AL83" i="24" s="1"/>
  <c r="F53" i="24"/>
  <c r="F83" i="24" s="1"/>
  <c r="H53" i="24"/>
  <c r="H83" i="24" s="1"/>
  <c r="AH53" i="24"/>
  <c r="AH83" i="24" s="1"/>
  <c r="AP53" i="24"/>
  <c r="AP83" i="24" s="1"/>
  <c r="X53" i="24"/>
  <c r="X83" i="24" s="1"/>
  <c r="AR53" i="24"/>
  <c r="AR83" i="24" s="1"/>
  <c r="N53" i="24"/>
  <c r="N83" i="24" s="1"/>
  <c r="Z53" i="24"/>
  <c r="Z83" i="24" s="1"/>
  <c r="AT53" i="24"/>
  <c r="AT83" i="24" s="1"/>
  <c r="Z53" i="18"/>
  <c r="Z83" i="18" s="1"/>
  <c r="AB53" i="18"/>
  <c r="AB83" i="18" s="1"/>
  <c r="AR53" i="18"/>
  <c r="AR83" i="18" s="1"/>
  <c r="L53" i="18"/>
  <c r="L83" i="18" s="1"/>
  <c r="H53" i="18"/>
  <c r="H83" i="18" s="1"/>
  <c r="X53" i="18"/>
  <c r="X83" i="18" s="1"/>
  <c r="D53" i="18"/>
  <c r="D83" i="18" s="1"/>
  <c r="AF53" i="18"/>
  <c r="AF83" i="18" s="1"/>
  <c r="AP53" i="18"/>
  <c r="AP83" i="18" s="1"/>
  <c r="AN53" i="18"/>
  <c r="AN83" i="18" s="1"/>
  <c r="T53" i="18"/>
  <c r="T83" i="18" s="1"/>
  <c r="AJ53" i="18"/>
  <c r="AJ83" i="18" s="1"/>
  <c r="P53" i="18"/>
  <c r="P83" i="18" s="1"/>
  <c r="AV53" i="18"/>
  <c r="AV83" i="18" s="1"/>
  <c r="J53" i="18"/>
  <c r="J83" i="18" s="1"/>
  <c r="AD53" i="18"/>
  <c r="AD83" i="18" s="1"/>
  <c r="R53" i="18"/>
  <c r="R83" i="18" s="1"/>
  <c r="V53" i="18"/>
  <c r="V83" i="18" s="1"/>
  <c r="F53" i="18"/>
  <c r="F83" i="18" s="1"/>
  <c r="AH53" i="18"/>
  <c r="AH83" i="18" s="1"/>
  <c r="AT53" i="18"/>
  <c r="AT83" i="18" s="1"/>
  <c r="N53" i="18"/>
  <c r="N83" i="18" s="1"/>
  <c r="AL53" i="18"/>
  <c r="AL83" i="18" s="1"/>
  <c r="B53" i="18"/>
  <c r="B83" i="18" s="1"/>
  <c r="AP53" i="22"/>
  <c r="AP83" i="22" s="1"/>
  <c r="Z53" i="22"/>
  <c r="Z83" i="22" s="1"/>
  <c r="P53" i="22"/>
  <c r="P83" i="22" s="1"/>
  <c r="AJ53" i="22"/>
  <c r="AJ83" i="22" s="1"/>
  <c r="J53" i="22"/>
  <c r="J83" i="22" s="1"/>
  <c r="AF53" i="22"/>
  <c r="AF83" i="22" s="1"/>
  <c r="D53" i="22"/>
  <c r="D83" i="22" s="1"/>
  <c r="AV53" i="22"/>
  <c r="AV83" i="22" s="1"/>
  <c r="T53" i="22"/>
  <c r="T83" i="22" s="1"/>
  <c r="AR53" i="22"/>
  <c r="AR83" i="22" s="1"/>
  <c r="V53" i="22"/>
  <c r="V83" i="22" s="1"/>
  <c r="X53" i="22"/>
  <c r="X83" i="22" s="1"/>
  <c r="F53" i="22"/>
  <c r="F83" i="22" s="1"/>
  <c r="R53" i="22"/>
  <c r="R83" i="22" s="1"/>
  <c r="AL53" i="22"/>
  <c r="AL83" i="22" s="1"/>
  <c r="AD53" i="22"/>
  <c r="AD83" i="22" s="1"/>
  <c r="N53" i="22"/>
  <c r="N83" i="22" s="1"/>
  <c r="AT53" i="22"/>
  <c r="AT83" i="22" s="1"/>
  <c r="AN53" i="22"/>
  <c r="AN83" i="22" s="1"/>
  <c r="AB53" i="22"/>
  <c r="AB83" i="22" s="1"/>
  <c r="H53" i="22"/>
  <c r="H83" i="22" s="1"/>
  <c r="L53" i="22"/>
  <c r="L83" i="22" s="1"/>
  <c r="B53" i="22"/>
  <c r="B83" i="22" s="1"/>
  <c r="AH53" i="22"/>
  <c r="AH83" i="22" s="1"/>
  <c r="AB53" i="12"/>
  <c r="AB83" i="12" s="1"/>
  <c r="AF53" i="12"/>
  <c r="AF83" i="12" s="1"/>
  <c r="AV53" i="12"/>
  <c r="AV83" i="12" s="1"/>
  <c r="Z53" i="12"/>
  <c r="Z83" i="12" s="1"/>
  <c r="J53" i="12"/>
  <c r="J83" i="12" s="1"/>
  <c r="AR53" i="12"/>
  <c r="AR83" i="12" s="1"/>
  <c r="AP53" i="12"/>
  <c r="AP83" i="12" s="1"/>
  <c r="P53" i="12"/>
  <c r="P83" i="12" s="1"/>
  <c r="L53" i="12"/>
  <c r="L83" i="12" s="1"/>
  <c r="X53" i="12"/>
  <c r="X83" i="12" s="1"/>
  <c r="N53" i="12"/>
  <c r="N83" i="12" s="1"/>
  <c r="R53" i="12"/>
  <c r="R83" i="12" s="1"/>
  <c r="AT53" i="12"/>
  <c r="AT83" i="12" s="1"/>
  <c r="B53" i="12"/>
  <c r="B83" i="12" s="1"/>
  <c r="D53" i="12"/>
  <c r="D83" i="12" s="1"/>
  <c r="T53" i="12"/>
  <c r="T83" i="12" s="1"/>
  <c r="AJ53" i="12"/>
  <c r="AJ83" i="12" s="1"/>
  <c r="AL53" i="12"/>
  <c r="AL83" i="12" s="1"/>
  <c r="F53" i="12"/>
  <c r="F83" i="12" s="1"/>
  <c r="AH53" i="12"/>
  <c r="AH83" i="12" s="1"/>
  <c r="H53" i="12"/>
  <c r="H83" i="12" s="1"/>
  <c r="AD53" i="12"/>
  <c r="AD83" i="12" s="1"/>
  <c r="AN53" i="12"/>
  <c r="AN83" i="12" s="1"/>
  <c r="V53" i="12"/>
  <c r="V83" i="12" s="1"/>
  <c r="V53" i="11"/>
  <c r="V83" i="11" s="1"/>
  <c r="AJ53" i="11"/>
  <c r="AJ83" i="11" s="1"/>
  <c r="AF53" i="11"/>
  <c r="AF83" i="11" s="1"/>
  <c r="J53" i="11"/>
  <c r="J83" i="11" s="1"/>
  <c r="AP53" i="11"/>
  <c r="AP83" i="11" s="1"/>
  <c r="T53" i="11"/>
  <c r="T83" i="11" s="1"/>
  <c r="AL53" i="11"/>
  <c r="AL83" i="11" s="1"/>
  <c r="P53" i="11"/>
  <c r="P83" i="11" s="1"/>
  <c r="AV53" i="11"/>
  <c r="AV83" i="11" s="1"/>
  <c r="Z53" i="11"/>
  <c r="Z83" i="11" s="1"/>
  <c r="D53" i="11"/>
  <c r="D83" i="11" s="1"/>
  <c r="B53" i="11"/>
  <c r="B83" i="11" s="1"/>
  <c r="AT53" i="11"/>
  <c r="AT83" i="11" s="1"/>
  <c r="L53" i="11"/>
  <c r="L83" i="11" s="1"/>
  <c r="AH53" i="11"/>
  <c r="AH83" i="11" s="1"/>
  <c r="F53" i="11"/>
  <c r="F83" i="11" s="1"/>
  <c r="AB53" i="11"/>
  <c r="AB83" i="11" s="1"/>
  <c r="N53" i="11"/>
  <c r="N83" i="11" s="1"/>
  <c r="R53" i="11"/>
  <c r="R83" i="11" s="1"/>
  <c r="AR53" i="11"/>
  <c r="AR83" i="11" s="1"/>
  <c r="AN53" i="11"/>
  <c r="AN83" i="11" s="1"/>
  <c r="H53" i="11"/>
  <c r="H83" i="11" s="1"/>
  <c r="X53" i="11"/>
  <c r="X83" i="11" s="1"/>
  <c r="AD53" i="11"/>
  <c r="AD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5"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<sst xmlns="http://schemas.openxmlformats.org/spreadsheetml/2006/main" count="1133" uniqueCount="199">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</sst>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0.99322811283100365</c:v>
                </c:pt>
                <c:pt idx="2">
                  <c:v>0.98596335001535473</c:v>
                </c:pt>
                <c:pt idx="3">
                  <c:v>0.97813697895150054</c:v>
                </c:pt>
                <c:pt idx="4">
                  <c:v>0.9696661164484266</c:v>
                </c:pt>
                <c:pt idx="5">
                  <c:v>0.96044901896896462</c:v>
                </c:pt>
                <c:pt idx="6">
                  <c:v>0.95036006970128251</c:v>
                </c:pt>
                <c:pt idx="7">
                  <c:v>0.93924014496186647</c:v>
                </c:pt>
                <c:pt idx="8">
                  <c:v>0.9268841639229537</c:v>
                </c:pt>
                <c:pt idx="9">
                  <c:v>0.91302134825463699</c:v>
                </c:pt>
                <c:pt idx="10">
                  <c:v>0.89728328506952681</c:v>
                </c:pt>
                <c:pt idx="11">
                  <c:v>0.87915178727347809</c:v>
                </c:pt>
                <c:pt idx="12">
                  <c:v>0.85786855891876468</c:v>
                </c:pt>
                <c:pt idx="13">
                  <c:v>0.83227374519507558</c:v>
                </c:pt>
                <c:pt idx="14">
                  <c:v>0.80050777747195501</c:v>
                </c:pt>
                <c:pt idx="15">
                  <c:v>0.75946046234222653</c:v>
                </c:pt>
                <c:pt idx="16">
                  <c:v>0.7038000525693473</c:v>
                </c:pt>
                <c:pt idx="17">
                  <c:v>0.62435655241922505</c:v>
                </c:pt>
                <c:pt idx="18">
                  <c:v>0.50452139105674476</c:v>
                </c:pt>
                <c:pt idx="19">
                  <c:v>0.30750056715207763</c:v>
                </c:pt>
                <c:pt idx="20">
                  <c:v>0.25228725004707303</c:v>
                </c:pt>
                <c:pt idx="21">
                  <c:v>0.18980694744837243</c:v>
                </c:pt>
                <c:pt idx="22">
                  <c:v>0.12004270302059923</c:v>
                </c:pt>
                <c:pt idx="23">
                  <c:v>4.7235044309722508E-2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0.99794571895232465</c:v>
                </c:pt>
                <c:pt idx="2">
                  <c:v>0.99548653705975232</c:v>
                </c:pt>
                <c:pt idx="3">
                  <c:v>0.99256604448247598</c:v>
                </c:pt>
                <c:pt idx="4">
                  <c:v>0.98911614411546578</c:v>
                </c:pt>
                <c:pt idx="5">
                  <c:v>0.98505318340344472</c:v>
                </c:pt>
                <c:pt idx="6">
                  <c:v>0.98027384828542907</c:v>
                </c:pt>
                <c:pt idx="7">
                  <c:v>0.9746475652123161</c:v>
                </c:pt>
                <c:pt idx="8">
                  <c:v>0.96800657274775193</c:v>
                </c:pt>
                <c:pt idx="9">
                  <c:v>0.96013046924035639</c:v>
                </c:pt>
                <c:pt idx="10">
                  <c:v>0.95072152970731916</c:v>
                </c:pt>
                <c:pt idx="11">
                  <c:v>0.939364621325666</c:v>
                </c:pt>
                <c:pt idx="12">
                  <c:v>0.92545821704317688</c:v>
                </c:pt>
                <c:pt idx="13">
                  <c:v>0.9080896874169998</c:v>
                </c:pt>
                <c:pt idx="14">
                  <c:v>0.88579996790135218</c:v>
                </c:pt>
                <c:pt idx="15">
                  <c:v>0.85612090956102593</c:v>
                </c:pt>
                <c:pt idx="16">
                  <c:v>0.81464542101723159</c:v>
                </c:pt>
                <c:pt idx="17">
                  <c:v>0.75306628528698782</c:v>
                </c:pt>
                <c:pt idx="18">
                  <c:v>0.65398229228429294</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0.99796891807887156</c:v>
                </c:pt>
                <c:pt idx="2">
                  <c:v>0.99553305376638834</c:v>
                </c:pt>
                <c:pt idx="3">
                  <c:v>0.99263602928897521</c:v>
                </c:pt>
                <c:pt idx="4">
                  <c:v>0.98920976684459361</c:v>
                </c:pt>
                <c:pt idx="5">
                  <c:v>0.98517058901227705</c:v>
                </c:pt>
                <c:pt idx="6">
                  <c:v>0.98041509369274582</c:v>
                </c:pt>
                <c:pt idx="7">
                  <c:v>0.97481251092062471</c:v>
                </c:pt>
                <c:pt idx="8">
                  <c:v>0.9681946991435022</c:v>
                </c:pt>
                <c:pt idx="9">
                  <c:v>0.96034058062787786</c:v>
                </c:pt>
                <c:pt idx="10">
                  <c:v>0.9509513018226049</c:v>
                </c:pt>
                <c:pt idx="11">
                  <c:v>0.93960988452495975</c:v>
                </c:pt>
                <c:pt idx="12">
                  <c:v>0.92571168470103227</c:v>
                </c:pt>
                <c:pt idx="13">
                  <c:v>0.90833946834907031</c:v>
                </c:pt>
                <c:pt idx="14">
                  <c:v>0.88602755180803816</c:v>
                </c:pt>
                <c:pt idx="15">
                  <c:v>0.85630113560040833</c:v>
                </c:pt>
                <c:pt idx="16">
                  <c:v>0.814755312491238</c:v>
                </c:pt>
                <c:pt idx="17">
                  <c:v>0.75310799725245658</c:v>
                </c:pt>
                <c:pt idx="18">
                  <c:v>0.65398934561194277</c:v>
                </c:pt>
                <c:pt idx="19">
                  <c:v>0.47084907197547682</c:v>
                </c:pt>
                <c:pt idx="20">
                  <c:v>0.41358113951207914</c:v>
                </c:pt>
                <c:pt idx="21">
                  <c:v>0.34414189107171578</c:v>
                </c:pt>
                <c:pt idx="22">
                  <c:v>0.25788356553016201</c:v>
                </c:pt>
                <c:pt idx="23">
                  <c:v>0.14734084437281741</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1.0025765807484963</c:v>
                </c:pt>
                <c:pt idx="2">
                  <c:v>1.0042488516071926</c:v>
                </c:pt>
                <c:pt idx="3">
                  <c:v>1.0049382337913457</c:v>
                </c:pt>
                <c:pt idx="4">
                  <c:v>1.0045427872579873</c:v>
                </c:pt>
                <c:pt idx="5">
                  <c:v>1.0029306674296194</c:v>
                </c:pt>
                <c:pt idx="6">
                  <c:v>0.99993329083427851</c:v>
                </c:pt>
                <c:pt idx="7">
                  <c:v>0.99533154788388523</c:v>
                </c:pt>
                <c:pt idx="8">
                  <c:v>0.98883881825832665</c:v>
                </c:pt>
                <c:pt idx="9">
                  <c:v>0.98007393507123974</c:v>
                </c:pt>
                <c:pt idx="10">
                  <c:v>0.96851936077842193</c:v>
                </c:pt>
                <c:pt idx="11">
                  <c:v>0.95345376283623329</c:v>
                </c:pt>
                <c:pt idx="12">
                  <c:v>0.93383910145419968</c:v>
                </c:pt>
                <c:pt idx="13">
                  <c:v>0.90812246661162488</c:v>
                </c:pt>
                <c:pt idx="14">
                  <c:v>0.87387484480273492</c:v>
                </c:pt>
                <c:pt idx="15">
                  <c:v>0.827111301457783</c:v>
                </c:pt>
                <c:pt idx="16">
                  <c:v>0.76101403077933727</c:v>
                </c:pt>
                <c:pt idx="17">
                  <c:v>0.66370295038476146</c:v>
                </c:pt>
                <c:pt idx="18">
                  <c:v>0.5153664064184037</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1.0111962379456625</c:v>
                </c:pt>
                <c:pt idx="2">
                  <c:v>1.0221110163271248</c:v>
                </c:pt>
                <c:pt idx="3">
                  <c:v>1.0327220786347637</c:v>
                </c:pt>
                <c:pt idx="4">
                  <c:v>1.0430012318604618</c:v>
                </c:pt>
                <c:pt idx="5">
                  <c:v>1.0529138029955176</c:v>
                </c:pt>
                <c:pt idx="6">
                  <c:v>1.0624180804227186</c:v>
                </c:pt>
                <c:pt idx="7">
                  <c:v>1.0714651667377912</c:v>
                </c:pt>
                <c:pt idx="8">
                  <c:v>1.0799994769554477</c:v>
                </c:pt>
                <c:pt idx="9">
                  <c:v>1.087960110162671</c:v>
                </c:pt>
                <c:pt idx="10">
                  <c:v>1.0952836398412102</c:v>
                </c:pt>
                <c:pt idx="11">
                  <c:v>1.1019053651137349</c:v>
                </c:pt>
                <c:pt idx="12">
                  <c:v>1.107743790703295</c:v>
                </c:pt>
                <c:pt idx="13">
                  <c:v>1.1125999301599683</c:v>
                </c:pt>
                <c:pt idx="14">
                  <c:v>1.1157240293968911</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0.97797775130279707</c:v>
                </c:pt>
                <c:pt idx="2">
                  <c:v>0.95367081705717394</c:v>
                </c:pt>
                <c:pt idx="3">
                  <c:v>0.92685466044935627</c:v>
                </c:pt>
                <c:pt idx="4">
                  <c:v>0.89729713131859823</c:v>
                </c:pt>
                <c:pt idx="5">
                  <c:v>0.86477000112553792</c:v>
                </c:pt>
                <c:pt idx="6">
                  <c:v>0.82906483067568892</c:v>
                </c:pt>
                <c:pt idx="7">
                  <c:v>0.79002140947418187</c:v>
                </c:pt>
                <c:pt idx="8">
                  <c:v>0.74757285602083501</c:v>
                </c:pt>
                <c:pt idx="9">
                  <c:v>0.70182633430735131</c:v>
                </c:pt>
                <c:pt idx="10">
                  <c:v>0.65323943888860414</c:v>
                </c:pt>
                <c:pt idx="11">
                  <c:v>0.6031139642985327</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0.98528087601056491</c:v>
                </c:pt>
                <c:pt idx="2">
                  <c:v>0.96911144828215767</c:v>
                </c:pt>
                <c:pt idx="3">
                  <c:v>0.95125740598659303</c:v>
                </c:pt>
                <c:pt idx="4">
                  <c:v>0.93144118296153389</c:v>
                </c:pt>
                <c:pt idx="5">
                  <c:v>0.90933399388265912</c:v>
                </c:pt>
                <c:pt idx="6">
                  <c:v>0.88455207259463964</c:v>
                </c:pt>
                <c:pt idx="7">
                  <c:v>0.85665656040674143</c:v>
                </c:pt>
                <c:pt idx="8">
                  <c:v>0.8251633096915113</c:v>
                </c:pt>
                <c:pt idx="9">
                  <c:v>0.78957077978563028</c:v>
                </c:pt>
                <c:pt idx="10">
                  <c:v>0.74941846510108467</c:v>
                </c:pt>
                <c:pt idx="11">
                  <c:v>0.70438978879135417</c:v>
                </c:pt>
                <c:pt idx="12">
                  <c:v>0.65446225487487919</c:v>
                </c:pt>
                <c:pt idx="13">
                  <c:v>0.60008036554093225</c:v>
                </c:pt>
                <c:pt idx="14">
                  <c:v>0.54224036017414967</c:v>
                </c:pt>
                <c:pt idx="15">
                  <c:v>0.48226517300841398</c:v>
                </c:pt>
                <c:pt idx="16">
                  <c:v>0.42103070736730963</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0.9877844861370183</c:v>
                </c:pt>
                <c:pt idx="2">
                  <c:v>0.97450770538624287</c:v>
                </c:pt>
                <c:pt idx="3">
                  <c:v>0.9600089138938882</c:v>
                </c:pt>
                <c:pt idx="4">
                  <c:v>0.94409381019902416</c:v>
                </c:pt>
                <c:pt idx="5">
                  <c:v>0.92652515412369785</c:v>
                </c:pt>
                <c:pt idx="6">
                  <c:v>0.9070126679499696</c:v>
                </c:pt>
                <c:pt idx="7">
                  <c:v>0.88519623050701213</c:v>
                </c:pt>
                <c:pt idx="8">
                  <c:v>0.86062856575712154</c:v>
                </c:pt>
                <c:pt idx="9">
                  <c:v>0.83275035393317698</c:v>
                </c:pt>
                <c:pt idx="10">
                  <c:v>0.80086111940731142</c:v>
                </c:pt>
                <c:pt idx="11">
                  <c:v>0.76408614824755194</c:v>
                </c:pt>
                <c:pt idx="12">
                  <c:v>0.72134482293081048</c:v>
                </c:pt>
                <c:pt idx="13">
                  <c:v>0.6713310809570161</c:v>
                </c:pt>
                <c:pt idx="14">
                  <c:v>0.61252843737040452</c:v>
                </c:pt>
                <c:pt idx="15">
                  <c:v>0.54329048346463926</c:v>
                </c:pt>
                <c:pt idx="16">
                  <c:v>0.46201450926682025</c:v>
                </c:pt>
                <c:pt idx="17">
                  <c:v>0.36740215574185953</c:v>
                </c:pt>
                <c:pt idx="18">
                  <c:v>0.25873254408013985</c:v>
                </c:pt>
                <c:pt idx="19">
                  <c:v>0.13602454174767661</c:v>
                </c:pt>
                <c:pt idx="20">
                  <c:v>0.10985142635284577</c:v>
                </c:pt>
                <c:pt idx="21">
                  <c:v>8.315272900305834E-2</c:v>
                </c:pt>
                <c:pt idx="22">
                  <c:v>5.5937843083955469E-2</c:v>
                </c:pt>
                <c:pt idx="23">
                  <c:v>2.8216770068123811E-2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0.56058995943838996</c:v>
                </c:pt>
                <c:pt idx="1">
                  <c:v>0.56569832317215885</c:v>
                </c:pt>
                <c:pt idx="2">
                  <c:v>0.56419857676656371</c:v>
                </c:pt>
                <c:pt idx="3">
                  <c:v>0.56270159412912646</c:v>
                </c:pt>
                <c:pt idx="4">
                  <c:v>0.56120777565530389</c:v>
                </c:pt>
                <c:pt idx="5">
                  <c:v>0.5597178751333749</c:v>
                </c:pt>
                <c:pt idx="6">
                  <c:v>0.55823290589568109</c:v>
                </c:pt>
                <c:pt idx="7">
                  <c:v>0.55675460267997134</c:v>
                </c:pt>
                <c:pt idx="8">
                  <c:v>0.55528573053684427</c:v>
                </c:pt>
                <c:pt idx="9">
                  <c:v>0.55383069333833934</c:v>
                </c:pt>
                <c:pt idx="10">
                  <c:v>0.55239660909538035</c:v>
                </c:pt>
                <c:pt idx="11">
                  <c:v>0.55099491475745765</c:v>
                </c:pt>
                <c:pt idx="12">
                  <c:v>0.5496440250288237</c:v>
                </c:pt>
                <c:pt idx="13">
                  <c:v>0.54837339060001056</c:v>
                </c:pt>
                <c:pt idx="14">
                  <c:v>0.54722906167072294</c:v>
                </c:pt>
                <c:pt idx="15">
                  <c:v>0.54627788013064937</c:v>
                </c:pt>
                <c:pt idx="16">
                  <c:v>0.54559795740381622</c:v>
                </c:pt>
                <c:pt idx="17">
                  <c:v>0.54522965755539921</c:v>
                </c:pt>
                <c:pt idx="18">
                  <c:v>0.54510536940103849</c:v>
                </c:pt>
                <c:pt idx="19">
                  <c:v>0.54508605301358837</c:v>
                </c:pt>
                <c:pt idx="20">
                  <c:v>0.54508562398412652</c:v>
                </c:pt>
                <c:pt idx="21">
                  <c:v>0.54508545381411078</c:v>
                </c:pt>
                <c:pt idx="22">
                  <c:v>0.5450853996856565</c:v>
                </c:pt>
                <c:pt idx="23">
                  <c:v>0.54508538756141744</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0.56058995943838996</c:v>
                </c:pt>
                <c:pt idx="1">
                  <c:v>0.56159193919106642</c:v>
                </c:pt>
                <c:pt idx="2">
                  <c:v>0.55574846798865307</c:v>
                </c:pt>
                <c:pt idx="3">
                  <c:v>0.54963223971855601</c:v>
                </c:pt>
                <c:pt idx="4">
                  <c:v>0.54319636791758075</c:v>
                </c:pt>
                <c:pt idx="5">
                  <c:v>0.5363818540178279</c:v>
                </c:pt>
                <c:pt idx="6">
                  <c:v>0.52911276948669761</c:v>
                </c:pt>
                <c:pt idx="7">
                  <c:v>0.52128930507047866</c:v>
                </c:pt>
                <c:pt idx="8">
                  <c:v>0.51277626298386769</c:v>
                </c:pt>
                <c:pt idx="9">
                  <c:v>0.50338438405243846</c:v>
                </c:pt>
                <c:pt idx="10">
                  <c:v>0.49283783805829418</c:v>
                </c:pt>
                <c:pt idx="11">
                  <c:v>0.4807156411766505</c:v>
                </c:pt>
                <c:pt idx="12">
                  <c:v>0.46633980880733289</c:v>
                </c:pt>
                <c:pt idx="13">
                  <c:v>0.44854952369893147</c:v>
                </c:pt>
                <c:pt idx="14">
                  <c:v>0.4252179913698409</c:v>
                </c:pt>
                <c:pt idx="15">
                  <c:v>0.39216110310748509</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0.56058995943838996</c:v>
                </c:pt>
                <c:pt idx="1">
                  <c:v>0.56568377960770955</c:v>
                </c:pt>
                <c:pt idx="2">
                  <c:v>0.56416939792072085</c:v>
                </c:pt>
                <c:pt idx="3">
                  <c:v>0.56265765930457112</c:v>
                </c:pt>
                <c:pt idx="4">
                  <c:v>0.56114894595931819</c:v>
                </c:pt>
                <c:pt idx="5">
                  <c:v>0.55964401135052255</c:v>
                </c:pt>
                <c:pt idx="6">
                  <c:v>0.55814391935828811</c:v>
                </c:pt>
                <c:pt idx="7">
                  <c:v>0.5566505180760607</c:v>
                </c:pt>
                <c:pt idx="8">
                  <c:v>0.55516680489209758</c:v>
                </c:pt>
                <c:pt idx="9">
                  <c:v>0.55369760285450909</c:v>
                </c:pt>
                <c:pt idx="10">
                  <c:v>0.55225074807326735</c:v>
                </c:pt>
                <c:pt idx="11">
                  <c:v>0.55083887116354258</c:v>
                </c:pt>
                <c:pt idx="12">
                  <c:v>0.54948230914764962</c:v>
                </c:pt>
                <c:pt idx="13">
                  <c:v>0.5482134876581829</c:v>
                </c:pt>
                <c:pt idx="14">
                  <c:v>0.54708261358608645</c:v>
                </c:pt>
                <c:pt idx="15">
                  <c:v>0.54616072637620849</c:v>
                </c:pt>
                <c:pt idx="16">
                  <c:v>0.54552489981014518</c:v>
                </c:pt>
                <c:pt idx="17">
                  <c:v>0.54520055702756109</c:v>
                </c:pt>
                <c:pt idx="18">
                  <c:v>0.5450999811413747</c:v>
                </c:pt>
                <c:pt idx="19">
                  <c:v>0.54508583092819174</c:v>
                </c:pt>
                <c:pt idx="20">
                  <c:v>0.54508554329930414</c:v>
                </c:pt>
                <c:pt idx="21">
                  <c:v>0.54508543103188756</c:v>
                </c:pt>
                <c:pt idx="22">
                  <c:v>0.54508539545332013</c:v>
                </c:pt>
                <c:pt idx="23">
                  <c:v>0.54508538718903476</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0.56058995943838996</c:v>
                </c:pt>
                <c:pt idx="1">
                  <c:v>0.56116870115261475</c:v>
                </c:pt>
                <c:pt idx="2">
                  <c:v>0.55494196137773744</c:v>
                </c:pt>
                <c:pt idx="3">
                  <c:v>0.54848136554199223</c:v>
                </c:pt>
                <c:pt idx="4">
                  <c:v>0.54174006850513168</c:v>
                </c:pt>
                <c:pt idx="5">
                  <c:v>0.53466078970235764</c:v>
                </c:pt>
                <c:pt idx="6">
                  <c:v>0.52717125202006554</c:v>
                </c:pt>
                <c:pt idx="7">
                  <c:v>0.51917841882380367</c:v>
                </c:pt>
                <c:pt idx="8">
                  <c:v>0.51055879658676473</c:v>
                </c:pt>
                <c:pt idx="9">
                  <c:v>0.50114345015608253</c:v>
                </c:pt>
                <c:pt idx="10">
                  <c:v>0.49069296546845459</c:v>
                </c:pt>
                <c:pt idx="11">
                  <c:v>0.47885526997704736</c:v>
                </c:pt>
                <c:pt idx="12">
                  <c:v>0.46509157691331843</c:v>
                </c:pt>
                <c:pt idx="13">
                  <c:v>0.448543794969682</c:v>
                </c:pt>
                <c:pt idx="14">
                  <c:v>0.42779693703392185</c:v>
                </c:pt>
                <c:pt idx="15">
                  <c:v>0.40047645567161522</c:v>
                </c:pt>
                <c:pt idx="16">
                  <c:v>0.36270401920629058</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0.56058995943838996</c:v>
                </c:pt>
                <c:pt idx="1">
                  <c:v>0.58037190416303142</c:v>
                </c:pt>
                <c:pt idx="2">
                  <c:v>0.59401353923485978</c:v>
                </c:pt>
                <c:pt idx="3">
                  <c:v>0.60821633867270652</c:v>
                </c:pt>
                <c:pt idx="4">
                  <c:v>0.62309408411063749</c:v>
                </c:pt>
                <c:pt idx="5">
                  <c:v>0.63879324611221833</c:v>
                </c:pt>
                <c:pt idx="6">
                  <c:v>0.65550813634296168</c:v>
                </c:pt>
                <c:pt idx="7">
                  <c:v>0.67350491152715874</c:v>
                </c:pt>
                <c:pt idx="8">
                  <c:v>0.69316122705955296</c:v>
                </c:pt>
                <c:pt idx="9">
                  <c:v>0.71503267624645084</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0.56058995943838996</c:v>
                </c:pt>
                <c:pt idx="1">
                  <c:v>0.57448332775268618</c:v>
                </c:pt>
                <c:pt idx="2">
                  <c:v>0.58175755678234298</c:v>
                </c:pt>
                <c:pt idx="3">
                  <c:v>0.58899567048670443</c:v>
                </c:pt>
                <c:pt idx="4">
                  <c:v>0.59616254713869177</c:v>
                </c:pt>
                <c:pt idx="5">
                  <c:v>0.60321573886692947</c:v>
                </c:pt>
                <c:pt idx="6">
                  <c:v>0.61010233061103181</c:v>
                </c:pt>
                <c:pt idx="7">
                  <c:v>0.61675876101119231</c:v>
                </c:pt>
                <c:pt idx="8">
                  <c:v>0.62310773882382209</c:v>
                </c:pt>
                <c:pt idx="9">
                  <c:v>0.62905034258035197</c:v>
                </c:pt>
                <c:pt idx="10">
                  <c:v>0.63445123944949267</c:v>
                </c:pt>
                <c:pt idx="11">
                  <c:v>0.63907337859743996</c:v>
                </c:pt>
                <c:pt idx="12">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0.56058995943838996</c:v>
                </c:pt>
                <c:pt idx="1">
                  <c:v>0.56662875355857212</c:v>
                </c:pt>
                <c:pt idx="2">
                  <c:v>0.56605117529553417</c:v>
                </c:pt>
                <c:pt idx="3">
                  <c:v>0.56546500155602741</c:v>
                </c:pt>
                <c:pt idx="4">
                  <c:v>0.56486667001713176</c:v>
                </c:pt>
                <c:pt idx="5">
                  <c:v>0.56425166404921434</c:v>
                </c:pt>
                <c:pt idx="6">
                  <c:v>0.56361425953512045</c:v>
                </c:pt>
                <c:pt idx="7">
                  <c:v>0.56294725542003587</c:v>
                </c:pt>
                <c:pt idx="8">
                  <c:v>0.56224162474426809</c:v>
                </c:pt>
                <c:pt idx="9">
                  <c:v>0.56148617390154298</c:v>
                </c:pt>
                <c:pt idx="10">
                  <c:v>0.56066724993329842</c:v>
                </c:pt>
                <c:pt idx="11">
                  <c:v>0.55976862030414953</c:v>
                </c:pt>
                <c:pt idx="12">
                  <c:v>0.55877176100525416</c:v>
                </c:pt>
                <c:pt idx="13">
                  <c:v>0.55765699067467023</c:v>
                </c:pt>
                <c:pt idx="14">
                  <c:v>0.55640587072535608</c:v>
                </c:pt>
                <c:pt idx="15">
                  <c:v>0.55500523535564761</c:v>
                </c:pt>
                <c:pt idx="16">
                  <c:v>0.55345244859674347</c:v>
                </c:pt>
                <c:pt idx="17">
                  <c:v>0.55176013496690302</c:v>
                </c:pt>
                <c:pt idx="18">
                  <c:v>0.54995751482442923</c:v>
                </c:pt>
                <c:pt idx="19">
                  <c:v>0.54808634880526497</c:v>
                </c:pt>
                <c:pt idx="20">
                  <c:v>0.54770797670934623</c:v>
                </c:pt>
                <c:pt idx="21">
                  <c:v>0.54732908320057172</c:v>
                </c:pt>
                <c:pt idx="22">
                  <c:v>0.54695001228408968</c:v>
                </c:pt>
                <c:pt idx="23">
                  <c:v>0.54657110410747956</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0.56058995943838996</c:v>
                </c:pt>
                <c:pt idx="1">
                  <c:v>0.5675430991880227</c:v>
                </c:pt>
                <c:pt idx="2">
                  <c:v>0.56794417839883149</c:v>
                </c:pt>
                <c:pt idx="3">
                  <c:v>0.56840974754953655</c:v>
                </c:pt>
                <c:pt idx="4">
                  <c:v>0.56894609135436813</c:v>
                </c:pt>
                <c:pt idx="5">
                  <c:v>0.5695596374402786</c:v>
                </c:pt>
                <c:pt idx="6">
                  <c:v>0.57025653280103306</c:v>
                </c:pt>
                <c:pt idx="7">
                  <c:v>0.57104193802873349</c:v>
                </c:pt>
                <c:pt idx="8">
                  <c:v>0.57191881351029494</c:v>
                </c:pt>
                <c:pt idx="9">
                  <c:v>0.57288590245785942</c:v>
                </c:pt>
                <c:pt idx="10">
                  <c:v>0.57393430423488423</c:v>
                </c:pt>
                <c:pt idx="11">
                  <c:v>0.57504184655068569</c:v>
                </c:pt>
                <c:pt idx="12">
                  <c:v>0.57616400651798738</c:v>
                </c:pt>
                <c:pt idx="13">
                  <c:v>0.57721994760016992</c:v>
                </c:pt>
                <c:pt idx="14">
                  <c:v>0.57807295387140978</c:v>
                </c:pt>
                <c:pt idx="15">
                  <c:v>0.5785035737297658</c:v>
                </c:pt>
                <c:pt idx="16">
                  <c:v>0.57815321511603002</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5.1621504892449245E-2</c:v>
                </c:pt>
                <c:pt idx="2">
                  <c:v>0.10208486953007513</c:v>
                </c:pt>
                <c:pt idx="3">
                  <c:v>0.15794708224522908</c:v>
                </c:pt>
                <c:pt idx="4">
                  <c:v>0.22019668091812336</c:v>
                </c:pt>
                <c:pt idx="5">
                  <c:v>0.29009876584687611</c:v>
                </c:pt>
                <c:pt idx="6">
                  <c:v>0.36931339397198415</c:v>
                </c:pt>
                <c:pt idx="7">
                  <c:v>0.46006174215355061</c:v>
                </c:pt>
                <c:pt idx="8">
                  <c:v>0.56540777855427859</c:v>
                </c:pt>
                <c:pt idx="9">
                  <c:v>0.68972011470837047</c:v>
                </c:pt>
                <c:pt idx="10">
                  <c:v>0.83947390710856262</c:v>
                </c:pt>
                <c:pt idx="11">
                  <c:v>1.0247268039319439</c:v>
                </c:pt>
                <c:pt idx="12">
                  <c:v>1.2619905333475236</c:v>
                </c:pt>
                <c:pt idx="13">
                  <c:v>1.5802348095693706</c:v>
                </c:pt>
                <c:pt idx="14">
                  <c:v>2.0344496623483703</c:v>
                </c:pt>
                <c:pt idx="15">
                  <c:v>2.7390121018782558</c:v>
                </c:pt>
                <c:pt idx="16">
                  <c:v>3.9574416475546736</c:v>
                </c:pt>
                <c:pt idx="17">
                  <c:v>6.3745733495975356</c:v>
                </c:pt>
                <c:pt idx="18">
                  <c:v>12.16503348406858</c:v>
                </c:pt>
                <c:pt idx="19">
                  <c:v>32.198712527441067</c:v>
                </c:pt>
                <c:pt idx="20">
                  <c:v>42.352927495894733</c:v>
                </c:pt>
                <c:pt idx="21">
                  <c:v>58.568533734998319</c:v>
                </c:pt>
                <c:pt idx="22">
                  <c:v>87.35258126399205</c:v>
                </c:pt>
                <c:pt idx="23">
                  <c:v>148.19186404020161</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5.4924522889605379E-2</c:v>
                </c:pt>
                <c:pt idx="2">
                  <c:v>0.10898998918205414</c:v>
                </c:pt>
                <c:pt idx="3">
                  <c:v>0.16880241492668246</c:v>
                </c:pt>
                <c:pt idx="4">
                  <c:v>0.23541252411142624</c:v>
                </c:pt>
                <c:pt idx="5">
                  <c:v>0.31016683113360366</c:v>
                </c:pt>
                <c:pt idx="6">
                  <c:v>0.39483456120673988</c:v>
                </c:pt>
                <c:pt idx="7">
                  <c:v>0.49178902142599318</c:v>
                </c:pt>
                <c:pt idx="8">
                  <c:v>0.60431475036208882</c:v>
                </c:pt>
                <c:pt idx="9">
                  <c:v>0.7371154251348484</c:v>
                </c:pt>
                <c:pt idx="10">
                  <c:v>0.8972023210343808</c:v>
                </c:pt>
                <c:pt idx="11">
                  <c:v>1.095543284965997</c:v>
                </c:pt>
                <c:pt idx="12">
                  <c:v>1.3503046984277955</c:v>
                </c:pt>
                <c:pt idx="13">
                  <c:v>1.6936970222960088</c:v>
                </c:pt>
                <c:pt idx="14">
                  <c:v>2.1876307007776985</c:v>
                </c:pt>
                <c:pt idx="15">
                  <c:v>2.9626347523863963</c:v>
                </c:pt>
                <c:pt idx="16">
                  <c:v>4.3231577317298209</c:v>
                </c:pt>
                <c:pt idx="17">
                  <c:v>7.0666476650742718</c:v>
                </c:pt>
                <c:pt idx="18">
                  <c:v>13.738228177435362</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5.3359204869771082E-2</c:v>
                </c:pt>
                <c:pt idx="2">
                  <c:v>0.10576058804941847</c:v>
                </c:pt>
                <c:pt idx="3">
                  <c:v>0.1638016750781851</c:v>
                </c:pt>
                <c:pt idx="4">
                  <c:v>0.22852443708429307</c:v>
                </c:pt>
                <c:pt idx="5">
                  <c:v>0.30126724626378865</c:v>
                </c:pt>
                <c:pt idx="6">
                  <c:v>0.38379169570785837</c:v>
                </c:pt>
                <c:pt idx="7">
                  <c:v>0.47846640273618651</c:v>
                </c:pt>
                <c:pt idx="8">
                  <c:v>0.58857630530923666</c:v>
                </c:pt>
                <c:pt idx="9">
                  <c:v>0.71883519288139341</c:v>
                </c:pt>
                <c:pt idx="10">
                  <c:v>0.8762839838068347</c:v>
                </c:pt>
                <c:pt idx="11">
                  <c:v>1.071957352280394</c:v>
                </c:pt>
                <c:pt idx="12">
                  <c:v>1.3241617118229645</c:v>
                </c:pt>
                <c:pt idx="13">
                  <c:v>1.6654009370944387</c:v>
                </c:pt>
                <c:pt idx="14">
                  <c:v>2.15818331950135</c:v>
                </c:pt>
                <c:pt idx="15">
                  <c:v>2.9341625363186448</c:v>
                </c:pt>
                <c:pt idx="16">
                  <c:v>4.2993356694343632</c:v>
                </c:pt>
                <c:pt idx="17">
                  <c:v>7.0513895289381097</c:v>
                </c:pt>
                <c:pt idx="18">
                  <c:v>13.731892202189021</c:v>
                </c:pt>
                <c:pt idx="19">
                  <c:v>37.035786395560955</c:v>
                </c:pt>
                <c:pt idx="20">
                  <c:v>48.778902982589116</c:v>
                </c:pt>
                <c:pt idx="21">
                  <c:v>67.304199978892285</c:v>
                </c:pt>
                <c:pt idx="22">
                  <c:v>99.32424282071689</c:v>
                </c:pt>
                <c:pt idx="23">
                  <c:v>162.97878108596376</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5.8757963530019587E-2</c:v>
                </c:pt>
                <c:pt idx="2">
                  <c:v>0.11672278126552738</c:v>
                </c:pt>
                <c:pt idx="3">
                  <c:v>0.18049208695300062</c:v>
                </c:pt>
                <c:pt idx="4">
                  <c:v>0.25109973433701982</c:v>
                </c:pt>
                <c:pt idx="5">
                  <c:v>0.32984998179273489</c:v>
                </c:pt>
                <c:pt idx="6">
                  <c:v>0.41844593672395602</c:v>
                </c:pt>
                <c:pt idx="7">
                  <c:v>0.51913777178950771</c:v>
                </c:pt>
                <c:pt idx="8">
                  <c:v>0.6349911083533486</c:v>
                </c:pt>
                <c:pt idx="9">
                  <c:v>0.77030556685381923</c:v>
                </c:pt>
                <c:pt idx="10">
                  <c:v>0.93131914925811754</c:v>
                </c:pt>
                <c:pt idx="11">
                  <c:v>1.1274365515245586</c:v>
                </c:pt>
                <c:pt idx="12">
                  <c:v>1.373461812094577</c:v>
                </c:pt>
                <c:pt idx="13">
                  <c:v>1.6938125147437746</c:v>
                </c:pt>
                <c:pt idx="14">
                  <c:v>2.1307147403800246</c:v>
                </c:pt>
                <c:pt idx="15">
                  <c:v>2.7600171021191859</c:v>
                </c:pt>
                <c:pt idx="16">
                  <c:v>3.7185927045014746</c:v>
                </c:pt>
                <c:pt idx="17">
                  <c:v>5.2321021066055877</c:v>
                </c:pt>
                <c:pt idx="18">
                  <c:v>7.5356975255842213</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5.8087100153133273E-2</c:v>
                </c:pt>
                <c:pt idx="2">
                  <c:v>0.11640178609996685</c:v>
                </c:pt>
                <c:pt idx="3">
                  <c:v>0.18188261358239613</c:v>
                </c:pt>
                <c:pt idx="4">
                  <c:v>0.25605312858704654</c:v>
                </c:pt>
                <c:pt idx="5">
                  <c:v>0.34095058694958552</c:v>
                </c:pt>
                <c:pt idx="6">
                  <c:v>0.43937457135782071</c:v>
                </c:pt>
                <c:pt idx="7">
                  <c:v>0.55529607571974415</c:v>
                </c:pt>
                <c:pt idx="8">
                  <c:v>0.69455598825063281</c:v>
                </c:pt>
                <c:pt idx="9">
                  <c:v>0.86612662723881595</c:v>
                </c:pt>
                <c:pt idx="10">
                  <c:v>1.0845000655642563</c:v>
                </c:pt>
                <c:pt idx="11">
                  <c:v>1.3745023328689414</c:v>
                </c:pt>
                <c:pt idx="12">
                  <c:v>1.7816224752476304</c:v>
                </c:pt>
                <c:pt idx="13">
                  <c:v>2.3954171819211081</c:v>
                </c:pt>
                <c:pt idx="14">
                  <c:v>3.4041440368753406</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3.4140157490475831E-2</c:v>
                </c:pt>
                <c:pt idx="2">
                  <c:v>6.3608078669395343E-2</c:v>
                </c:pt>
                <c:pt idx="3">
                  <c:v>9.4092517883245338E-2</c:v>
                </c:pt>
                <c:pt idx="4">
                  <c:v>0.12546110795206147</c:v>
                </c:pt>
                <c:pt idx="5">
                  <c:v>0.1575201214026303</c:v>
                </c:pt>
                <c:pt idx="6">
                  <c:v>0.18999892220323245</c:v>
                </c:pt>
                <c:pt idx="7">
                  <c:v>0.22253438120841368</c:v>
                </c:pt>
                <c:pt idx="8">
                  <c:v>0.25464942552388531</c:v>
                </c:pt>
                <c:pt idx="9">
                  <c:v>0.28571568210677617</c:v>
                </c:pt>
                <c:pt idx="10">
                  <c:v>0.31486416664433636</c:v>
                </c:pt>
                <c:pt idx="11">
                  <c:v>0.34066940830622405</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4.1810181887575598E-2</c:v>
                </c:pt>
                <c:pt idx="2">
                  <c:v>8.0282974727649892E-2</c:v>
                </c:pt>
                <c:pt idx="3">
                  <c:v>0.12138005459233639</c:v>
                </c:pt>
                <c:pt idx="4">
                  <c:v>0.16529427279745385</c:v>
                </c:pt>
                <c:pt idx="5">
                  <c:v>0.2122138659141381</c:v>
                </c:pt>
                <c:pt idx="6">
                  <c:v>0.26231828933534379</c:v>
                </c:pt>
                <c:pt idx="7">
                  <c:v>0.315776995114318</c:v>
                </c:pt>
                <c:pt idx="8">
                  <c:v>0.37276483045308589</c:v>
                </c:pt>
                <c:pt idx="9">
                  <c:v>0.43351972303942038</c:v>
                </c:pt>
                <c:pt idx="10">
                  <c:v>0.49850833147657081</c:v>
                </c:pt>
                <c:pt idx="11">
                  <c:v>0.56882911259150937</c:v>
                </c:pt>
                <c:pt idx="12">
                  <c:v>0.64713062732548876</c:v>
                </c:pt>
                <c:pt idx="13">
                  <c:v>0.73962980364884123</c:v>
                </c:pt>
                <c:pt idx="14">
                  <c:v>0.86051490788699647</c:v>
                </c:pt>
                <c:pt idx="15">
                  <c:v>1.0422079061314948</c:v>
                </c:pt>
                <c:pt idx="16">
                  <c:v>1.3640579674302087</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4.5233428757489778E-2</c:v>
                </c:pt>
                <c:pt idx="2">
                  <c:v>8.8001364769437748E-2</c:v>
                </c:pt>
                <c:pt idx="3">
                  <c:v>0.13450163599875339</c:v>
                </c:pt>
                <c:pt idx="4">
                  <c:v>0.18523451261581603</c:v>
                </c:pt>
                <c:pt idx="5">
                  <c:v>0.24078973823687194</c:v>
                </c:pt>
                <c:pt idx="6">
                  <c:v>0.30186580897457821</c:v>
                </c:pt>
                <c:pt idx="7">
                  <c:v>0.36929127551639573</c:v>
                </c:pt>
                <c:pt idx="8">
                  <c:v>0.44405052464600753</c:v>
                </c:pt>
                <c:pt idx="9">
                  <c:v>0.52730893936766154</c:v>
                </c:pt>
                <c:pt idx="10">
                  <c:v>0.6204342094911387</c:v>
                </c:pt>
                <c:pt idx="11">
                  <c:v>0.72500160885222209</c:v>
                </c:pt>
                <c:pt idx="12">
                  <c:v>0.8427631804483996</c:v>
                </c:pt>
                <c:pt idx="13">
                  <c:v>0.97554710037004788</c:v>
                </c:pt>
                <c:pt idx="14">
                  <c:v>1.1250423981506921</c:v>
                </c:pt>
                <c:pt idx="15">
                  <c:v>1.2924362457534571</c:v>
                </c:pt>
                <c:pt idx="16">
                  <c:v>1.4779280997849813</c:v>
                </c:pt>
                <c:pt idx="17">
                  <c:v>1.6802679298675745</c:v>
                </c:pt>
                <c:pt idx="18">
                  <c:v>1.896579870923865</c:v>
                </c:pt>
                <c:pt idx="19">
                  <c:v>2.1226786001045883</c:v>
                </c:pt>
                <c:pt idx="20">
                  <c:v>2.1686545962616313</c:v>
                </c:pt>
                <c:pt idx="21">
                  <c:v>2.2147928377225492</c:v>
                </c:pt>
                <c:pt idx="22">
                  <c:v>2.2610558568043264</c:v>
                </c:pt>
                <c:pt idx="23">
                  <c:v>2.3074071391938218</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56" zoomScaleNormal="100" workbookViewId="0">
      <selection activeCell="C95" sqref="C95"/>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999.99999999999966</v>
      </c>
      <c r="I21">
        <v>1000.0000000000008</v>
      </c>
      <c r="K21" s="120">
        <f t="array" ref="K21:L21">H21:I21-pY</f>
        <v>0</v>
      </c>
      <c r="L21" s="120">
        <v>0</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14362.768558000022</v>
      </c>
      <c r="I48" s="29">
        <v>817.26651000000095</v>
      </c>
      <c r="K48" s="120">
        <f t="array" ref="K48:L48">H48:I48-KLE</f>
        <v>1.8189894035458565E-11</v>
      </c>
      <c r="L48" s="120">
        <v>9.0949470177292824E-13</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0.47195767671988204</v>
      </c>
      <c r="I70" s="38">
        <v>0.31738834428178991</v>
      </c>
      <c r="K70" s="120">
        <f t="array" ref="K70:L71">H70:I71-C70:D71</f>
        <v>7.2164496600635175E-16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0.62611620505780818</v>
      </c>
      <c r="D92" s="184">
        <v>0.56273322528037384</v>
      </c>
      <c r="E92" s="62" t="s">
        <v>19</v>
      </c>
      <c r="F92" s="63">
        <f t="array" ref="F92:G92">(aY*KLE^rhoY+bY*(alphaMY*Y)^rhoY)^(1/rhoY)</f>
        <v>27857.010134</v>
      </c>
      <c r="G92" s="64">
        <v>1236.7674480000003</v>
      </c>
      <c r="J92">
        <v>0.34302659523177403</v>
      </c>
      <c r="K92">
        <v>0.42557690792009023</v>
      </c>
      <c r="M92">
        <v>0.42285434707953978</v>
      </c>
      <c r="N92">
        <v>0.3208524508888656</v>
      </c>
    </row>
    <row r="93" spans="2:14" x14ac:dyDescent="0.2">
      <c r="B93" t="s">
        <v>38</v>
      </c>
      <c r="C93" s="185">
        <f t="array" ref="C93:D93">(Y/(alphaMY*Y))^rhoY*pMY*alphaMY*Y/(pMY*alphaMY*Y+pK*K+pL*Labour+pEY*alphaEY*Y)</f>
        <v>0.59714788010461251</v>
      </c>
      <c r="D93" s="186">
        <v>0.20053048020956071</v>
      </c>
      <c r="F93" s="129">
        <f t="array" ref="F93:G93">F92:G92-Y</f>
        <v>0</v>
      </c>
      <c r="G93" s="130">
        <v>0</v>
      </c>
      <c r="J93">
        <v>0.35296646929548525</v>
      </c>
      <c r="K93">
        <v>6.2733891927605194E-4</v>
      </c>
      <c r="M93">
        <v>0.3176642154488255</v>
      </c>
      <c r="N93">
        <v>3.8708344241683464E-2</v>
      </c>
    </row>
    <row r="94" spans="2:14" x14ac:dyDescent="0.2">
      <c r="B94" t="s">
        <v>39</v>
      </c>
      <c r="C94" s="187">
        <v>1.4</v>
      </c>
      <c r="D94" s="188">
        <v>0.7</v>
      </c>
      <c r="J94">
        <v>0.6678438215200766</v>
      </c>
      <c r="K94">
        <v>0.23777313182546062</v>
      </c>
      <c r="M94">
        <v>0.7</v>
      </c>
      <c r="N94">
        <v>0.35</v>
      </c>
    </row>
    <row r="95" spans="2:14" x14ac:dyDescent="0.2">
      <c r="B95" t="s">
        <v>40</v>
      </c>
      <c r="C95" s="189">
        <f t="array" ref="C95:D95">(sigmaY-1)/sigmaY</f>
        <v>0.28571428571428564</v>
      </c>
      <c r="D95" s="190">
        <v>-0.42857142857142866</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23"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13356525.921000013</v>
      </c>
      <c r="M3" s="52">
        <v>398781.47400000051</v>
      </c>
      <c r="N3" s="53">
        <f t="array" ref="N3:N4">TRANSPOSE(pC*Consumption)</f>
        <v>6637565.1089999964</v>
      </c>
      <c r="O3" s="54">
        <f t="array" ref="O3:O4">TRANSPOSE(pG*G)</f>
        <v>3330668.2879999997</v>
      </c>
      <c r="P3" s="54">
        <f t="array" ref="P3:P4">TRANSPOSE(pI*I)</f>
        <v>3247244.4950000001</v>
      </c>
      <c r="Q3" s="60">
        <f t="array" ref="Q3:Q4">TRANSPOSE(pX*X)</f>
        <v>3195047.6040000012</v>
      </c>
      <c r="R3" s="9">
        <f t="array" ref="R3">SUM(L3:Q3)</f>
        <v>30165832.891000014</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599670.88199999952</v>
      </c>
      <c r="M4" s="56">
        <v>434900.03100000042</v>
      </c>
      <c r="N4" s="55">
        <v>382100.58199999377</v>
      </c>
      <c r="O4" s="57">
        <v>0</v>
      </c>
      <c r="P4" s="57">
        <v>0</v>
      </c>
      <c r="Q4" s="49">
        <v>91012.690000004397</v>
      </c>
      <c r="R4" s="11">
        <f t="array" ref="R4">SUM(L4:Q4)</f>
        <v>1507684.184999998</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6425198.1589999842</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1886393.7399999918</v>
      </c>
      <c r="M9" s="128">
        <v>262787.11299999757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30165832.890999988</v>
      </c>
      <c r="M12" s="18">
        <f>SUM(M3:M11)</f>
        <v>1507684.1849999989</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v>
      </c>
      <c r="M14" s="24">
        <f t="array" ref="M14">R4-M12</f>
        <v>0</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5.6666666666666758</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999.99999999999966</v>
      </c>
      <c r="I21" s="64">
        <v>1000.0000000000008</v>
      </c>
      <c r="J21" s="113" t="s">
        <v>69</v>
      </c>
      <c r="K21" s="120">
        <f t="array" ref="K21:L21">H21:I21/pY-1</f>
        <v>0</v>
      </c>
      <c r="L21" s="120">
        <v>0</v>
      </c>
      <c r="N21" s="71">
        <f t="array" ref="N21:O35">PRICES/Calibration!PRICES-1</f>
        <v>0</v>
      </c>
      <c r="O21" s="72">
        <v>0</v>
      </c>
      <c r="Q21" s="120">
        <f t="array" ref="Q21:R21">(pKLE*KLE+pMY*alphaMY*Y)*(1+tauY)/Y-pY</f>
        <v>0</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999.99999999999864</v>
      </c>
      <c r="I23" s="64">
        <v>999.99999999999977</v>
      </c>
      <c r="J23" s="113" t="s">
        <v>121</v>
      </c>
      <c r="K23" s="120">
        <f t="array" ref="K23:L23">(pY*Y+pW*M)/(pS*S+pW*X)-1</f>
        <v>0</v>
      </c>
      <c r="L23" s="120">
        <v>0</v>
      </c>
      <c r="N23" s="73">
        <v>0</v>
      </c>
      <c r="O23" s="74">
        <v>0</v>
      </c>
      <c r="Q23" s="120">
        <f t="array" ref="Q23:R23">pS*S-pD*D-pW*M</f>
        <v>4.7497451305389404E-8</v>
      </c>
      <c r="R23" s="120">
        <v>-1.862645149230957E-9</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-1.4432899320127035E-15</v>
      </c>
      <c r="R32" s="120">
        <v>8.2156503822261584E-15</v>
      </c>
      <c r="S32" t="s">
        <v>135</v>
      </c>
    </row>
    <row r="33" spans="2:19" x14ac:dyDescent="0.2">
      <c r="B33" t="s">
        <v>18</v>
      </c>
      <c r="C33" s="154">
        <f>ABS(C83)</f>
        <v>1000</v>
      </c>
      <c r="D33" s="175">
        <f>C33</f>
        <v>1000</v>
      </c>
      <c r="E33" t="s">
        <v>56</v>
      </c>
      <c r="N33" s="73">
        <v>0</v>
      </c>
      <c r="O33" s="74">
        <v>0</v>
      </c>
      <c r="Q33" s="120">
        <f t="array" ref="Q33:R33">aKL*(K/KL)^(rhoKL-1)*pKL/pK-1</f>
        <v>7.5495165674510645E-15</v>
      </c>
      <c r="R33" s="120">
        <v>2.6645352591003757E-15</v>
      </c>
      <c r="S33" t="s">
        <v>135</v>
      </c>
    </row>
    <row r="34" spans="2:19" ht="10.5" x14ac:dyDescent="0.25">
      <c r="B34" t="s">
        <v>61</v>
      </c>
      <c r="C34" s="97">
        <f t="array" ref="C34:D34">ABS(C84:D84)</f>
        <v>1000</v>
      </c>
      <c r="D34" s="98">
        <v>1000</v>
      </c>
      <c r="J34" s="113" t="s">
        <v>134</v>
      </c>
      <c r="K34" s="120">
        <f t="array" ref="K34:L34">pKL*KL/(pK*K+pL*Labour)-1</f>
        <v>0</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1000.0000000000002</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27857.010133999949</v>
      </c>
      <c r="I37" s="64">
        <v>1236.7674480000046</v>
      </c>
      <c r="J37" s="113" t="s">
        <v>120</v>
      </c>
      <c r="K37" s="120">
        <f t="array" ref="K37:L37">H37:I37/Y-1</f>
        <v>-1.6653345369377348E-15</v>
      </c>
      <c r="L37" s="120">
        <v>3.5527136788005009E-15</v>
      </c>
      <c r="N37" s="71">
        <f t="array" ref="N37:O48">VOLUMES/Calibration!VOLUMES-1</f>
        <v>0</v>
      </c>
      <c r="O37" s="72">
        <v>0</v>
      </c>
      <c r="Q37" s="120">
        <f t="array" ref="Q37:R37">(aY*KLE^rhoY+bY*(alphaMY*Y)^rhoY)^(1/rhoY)-Y</f>
        <v>5.0931703299283981E-11</v>
      </c>
      <c r="R37" s="120">
        <v>0</v>
      </c>
    </row>
    <row r="38" spans="2:19" x14ac:dyDescent="0.2">
      <c r="B38" t="s">
        <v>3</v>
      </c>
      <c r="C38" s="41">
        <f t="array" ref="C38:D38">(bS/pW)^sigmaS*(aS^sigmaS*pD^(1-sigmaS)+bS^sigmaS*pW^(1-sigmaS))^(-1/rhoS)*S</f>
        <v>1886.3937399999918</v>
      </c>
      <c r="D38" s="42">
        <v>262.78711299999759</v>
      </c>
      <c r="N38" s="73">
        <v>-2.55351295663786E-15</v>
      </c>
      <c r="O38" s="74">
        <v>0</v>
      </c>
      <c r="Q38" s="120">
        <f t="array" ref="Q38:R38">pD*D+pW*M-pS*S</f>
        <v>-4.8428773880004883E-8</v>
      </c>
      <c r="R38" s="120">
        <v>1.862645149230957E-9</v>
      </c>
    </row>
    <row r="39" spans="2:19" ht="10.5" x14ac:dyDescent="0.25">
      <c r="B39" t="s">
        <v>127</v>
      </c>
      <c r="C39" s="82">
        <f t="array" ref="C39:D39">ABS(C85:D85)</f>
        <v>26548.356269999993</v>
      </c>
      <c r="D39" s="83">
        <v>1408.5418709999938</v>
      </c>
      <c r="E39" t="s">
        <v>122</v>
      </c>
      <c r="H39" s="63">
        <f t="array" ref="H39:I39">MMULT(Y,TRANSPOSE(alpha))+Consumption+G+I</f>
        <v>26548.356270000011</v>
      </c>
      <c r="I39" s="64">
        <v>1408.5418709999938</v>
      </c>
      <c r="J39" s="113" t="s">
        <v>72</v>
      </c>
      <c r="K39" s="120">
        <f t="array" ref="K39:L39">H39:I39/S-1</f>
        <v>0</v>
      </c>
      <c r="L39" s="120">
        <v>0</v>
      </c>
      <c r="N39" s="73">
        <v>0</v>
      </c>
      <c r="O39" s="74">
        <v>0</v>
      </c>
    </row>
    <row r="40" spans="2:19" x14ac:dyDescent="0.2">
      <c r="B40" t="s">
        <v>76</v>
      </c>
      <c r="C40" s="41">
        <f t="array" ref="C40:D40">(aS/pD)^sigmaS*(aS^sigmaS*pD^(1-sigmaS)+bS^sigmaS*pW^(1-sigmaS))^(-1/rhoS)*S</f>
        <v>24661.962529999968</v>
      </c>
      <c r="D40" s="42">
        <v>1145.7547579999991</v>
      </c>
      <c r="F40" s="166"/>
      <c r="N40" s="75">
        <v>-9.9920072216264089E-16</v>
      </c>
      <c r="O40" s="76">
        <v>2.6645352591003757E-15</v>
      </c>
    </row>
    <row r="41" spans="2:19" ht="10.5" x14ac:dyDescent="0.25">
      <c r="B41" t="s">
        <v>28</v>
      </c>
      <c r="C41" s="41">
        <f>(aU/pCQ)^sigmaU/(aU^sigmaU*pCQ^(1-sigmaU)+bU^sigmaU*pCE^(1-sigmaU))*Revenue</f>
        <v>6533.6044688320644</v>
      </c>
      <c r="D41" s="42">
        <f>(bU/pCE)^sigmaU/(aU^sigmaU*pCQ^(1-sigmaU)+bU^sigmaU*pCE^(1-sigmaU))*Revenue</f>
        <v>379.90788307663382</v>
      </c>
      <c r="E41" t="s">
        <v>57</v>
      </c>
      <c r="H41" s="62" t="s">
        <v>67</v>
      </c>
      <c r="I41" s="94">
        <v>0.8500000000000002</v>
      </c>
      <c r="J41" s="113" t="s">
        <v>73</v>
      </c>
      <c r="K41" s="120">
        <f>Model!SE/(1-I41)/Calibration!SE-1</f>
        <v>5.6666666666666758</v>
      </c>
      <c r="N41" s="73">
        <v>0</v>
      </c>
      <c r="O41" s="74">
        <v>0</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0</v>
      </c>
      <c r="R45" s="120">
        <v>0</v>
      </c>
      <c r="S45" t="s">
        <v>135</v>
      </c>
    </row>
    <row r="46" spans="2:19" x14ac:dyDescent="0.2">
      <c r="B46" t="s">
        <v>2</v>
      </c>
      <c r="C46" s="35">
        <f t="array" ref="C46:D46">(KL^rhoKL/aKL-bKL*Labour^rhoKL/aKL)^(1/rhoKL)</f>
        <v>6425.1981589999841</v>
      </c>
      <c r="D46" s="36">
        <v>273.22915400000028</v>
      </c>
      <c r="N46" s="73">
        <v>-2.6645352591003757E-15</v>
      </c>
      <c r="O46" s="74">
        <v>0</v>
      </c>
      <c r="Q46" s="120">
        <f t="array" ref="Q46:R46">(aKL/pK)^sigmaKL*(aKL^sigmaKL*pK^(1-sigmaKL)+bKL^sigmaKL*pL^(1-sigmaKL))^(-1/rhoKL)*KL/K-1</f>
        <v>2.2204460492503131E-15</v>
      </c>
      <c r="R46" s="120">
        <v>0</v>
      </c>
      <c r="S46" t="s">
        <v>135</v>
      </c>
    </row>
    <row r="47" spans="2:19" x14ac:dyDescent="0.2">
      <c r="B47" t="s">
        <v>35</v>
      </c>
      <c r="C47" s="41">
        <f t="array" ref="C47:D47">(aKLE/pKL)^sigmaKLE*(aKLE^sigmaKLE*pKL^(1-sigmaKLE)+bKLE^sigmaKLE*pEY^(1-sigmaKLE))^(-1/rhoKLE)*KLE</f>
        <v>13763.097675999999</v>
      </c>
      <c r="D47" s="42">
        <v>382.36647900000042</v>
      </c>
      <c r="N47" s="73">
        <v>0</v>
      </c>
      <c r="O47" s="74">
        <v>0</v>
      </c>
      <c r="Q47" s="120">
        <f t="array" ref="Q47:R47">(aKL*K^rhoKL+bKL*Labour^rhoKL)^(1/rhoKL)-KL</f>
        <v>0</v>
      </c>
      <c r="R47" s="120">
        <v>0</v>
      </c>
    </row>
    <row r="48" spans="2:19" x14ac:dyDescent="0.2">
      <c r="B48" t="s">
        <v>53</v>
      </c>
      <c r="C48" s="35">
        <f t="array" ref="C48:D48">(aY/pKLE)^sigmaY*(aY^sigmaY*pKLE^(1-sigmaY)+bY^sigmaY*pMY^(1-sigmaY))^(-1/rhoY)*Y</f>
        <v>14362.768557999996</v>
      </c>
      <c r="D48" s="36">
        <v>817.26651000000095</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 t="array" ref="K55">pK/pI/Calibration!pK*Calibration!pI-1</f>
        <v>0</v>
      </c>
      <c r="N55" s="77">
        <f t="array" ref="N55:N59">AGGREGATES/Calibration!AGGREGATES-1</f>
        <v>0</v>
      </c>
      <c r="T55" s="113" t="s">
        <v>137</v>
      </c>
      <c r="U55" s="120">
        <f>SUM(K)/SUM(Calibration!K)-1</f>
        <v>-2.55351295663786E-15</v>
      </c>
      <c r="W55" s="120">
        <f>SUM(K)/SUM(Calibration!K)-1</f>
        <v>-2.55351295663786E-15</v>
      </c>
      <c r="Y55" s="120">
        <f>SUM(K)/SUM(Calibration!K)-1</f>
        <v>-2.55351295663786E-15</v>
      </c>
      <c r="AA55" s="120">
        <f>SUM(K)/SUM(Calibration!K)-1</f>
        <v>-2.55351295663786E-15</v>
      </c>
      <c r="AC55" s="120">
        <f>SUM(K)/SUM(Calibration!K)-1</f>
        <v>-2.55351295663786E-15</v>
      </c>
      <c r="AE55" s="120">
        <f>SUM(K)/SUM(Calibration!K)-1</f>
        <v>-2.55351295663786E-15</v>
      </c>
      <c r="AG55" s="120">
        <f t="array" ref="AG55">pK/pI/Calibration!pK*Calibration!pI*20%^sigmaw*(20%+80%*(SUM(Calibration!K)-SUM(K))/SUM(Calibration!K))^-sigmaw-1</f>
        <v>0</v>
      </c>
      <c r="AI55" s="120">
        <f t="array" ref="AI55">pK/pI/Calibration!pK*Calibration!pI-1</f>
        <v>0</v>
      </c>
      <c r="AK55" s="120">
        <f>SUM(K)/SUM(Calibration!K)-1</f>
        <v>-2.55351295663786E-15</v>
      </c>
    </row>
    <row r="56" spans="2:38" ht="10.5" x14ac:dyDescent="0.25">
      <c r="B56" t="s">
        <v>47</v>
      </c>
      <c r="C56" s="80">
        <f>(aU*CQ^rhoU+bU*CE^rhoU)^(1/rhoU)</f>
        <v>1</v>
      </c>
      <c r="J56" s="113" t="s">
        <v>74</v>
      </c>
      <c r="K56" s="120">
        <f t="array" ref="K56">w/CPI/Calibration!w*10.8%^sigmaw*(10.8%+89.2%*(SUM(Calibration!Labour)-SUM(Labour))/SUM(Calibration!Labour))^-sigmaw-1</f>
        <v>0</v>
      </c>
      <c r="N56" s="78">
        <v>0</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 t="array" ref="K57">I/SUM(K)/Calibration!I*SUM(K)-1</f>
        <v>0</v>
      </c>
      <c r="N57" s="78">
        <v>0</v>
      </c>
      <c r="Q57" s="120">
        <f t="array" ref="Q57">(SUM(pC*Consumption+pG*G+pI*I)+B)/GDP-1</f>
        <v>0</v>
      </c>
      <c r="R57" s="120">
        <f t="array" ref="R57">SUM(w*Labour,pK*K,T)/GDP-1</f>
        <v>-1.1102230246251565E-15</v>
      </c>
      <c r="T57" s="113" t="s">
        <v>139</v>
      </c>
      <c r="U57" s="120">
        <f>B/GDP/Calibration!B*Calibration!GDP-1</f>
        <v>6.4392935428259079E-15</v>
      </c>
      <c r="W57" s="120">
        <f>B/GDP/Calibration!B*Calibration!GDP-1</f>
        <v>6.4392935428259079E-15</v>
      </c>
      <c r="Y57" s="120">
        <f>B/GDP/Calibration!B*Calibration!GDP-1</f>
        <v>6.4392935428259079E-15</v>
      </c>
      <c r="AA57" s="120">
        <f>B/GDP/Calibration!B*Calibration!GDP-1</f>
        <v>6.4392935428259079E-15</v>
      </c>
      <c r="AC57" s="120">
        <f>B/GDP/Calibration!B*Calibration!GDP-1</f>
        <v>6.4392935428259079E-15</v>
      </c>
      <c r="AE57" s="120">
        <f>B/GDP/Calibration!B*Calibration!GDP-1</f>
        <v>6.4392935428259079E-15</v>
      </c>
      <c r="AG57" s="120">
        <f>B/GDP/Calibration!B*Calibration!GDP-1</f>
        <v>6.4392935428259079E-15</v>
      </c>
      <c r="AI57" s="120">
        <f t="array" ref="AI57">I/SUM(K)/Calibration!I*SUM(K)-1</f>
        <v>0</v>
      </c>
      <c r="AK57" s="120">
        <f>B/GDP/Calibration!B*Calibration!GDP-1</f>
        <v>6.4392935428259079E-15</v>
      </c>
    </row>
    <row r="58" spans="2:38" ht="10.5" x14ac:dyDescent="0.25">
      <c r="B58" t="s">
        <v>54</v>
      </c>
      <c r="C58" s="117">
        <f t="array" ref="C58">GDP-SUM(pG*G,pI*I,B)</f>
        <v>7019665.6909999885</v>
      </c>
      <c r="J58" s="113" t="s">
        <v>136</v>
      </c>
      <c r="K58" s="120">
        <f t="array" ref="K58:L58">bKL*(KL/Labour)^(1/sigmaKL)*pKL/pL-1</f>
        <v>-1.4432899320127035E-15</v>
      </c>
      <c r="L58" s="120">
        <v>7.9936057773011271E-15</v>
      </c>
      <c r="N58" s="78">
        <v>-1.2212453270876722E-15</v>
      </c>
      <c r="Q58" s="120">
        <f t="array" ref="Q58">SUM(pC*Consumption)-Revenue</f>
        <v>0</v>
      </c>
      <c r="T58" s="113" t="s">
        <v>140</v>
      </c>
      <c r="U58" s="120">
        <f t="array" ref="U58:V58">bKL*(KL/Labour)^(1/sigmaKL)*pKL/pL-1</f>
        <v>-1.4432899320127035E-15</v>
      </c>
      <c r="V58" s="120">
        <v>7.9936057773011271E-15</v>
      </c>
      <c r="W58" s="120">
        <f t="array" ref="W58:X58">bKL*(KL/Labour)^(1/sigmaKL)*pKL/pL-1</f>
        <v>-1.4432899320127035E-15</v>
      </c>
      <c r="X58" s="120">
        <v>7.9936057773011271E-15</v>
      </c>
      <c r="Y58" s="120">
        <f t="array" ref="Y58">omegaI*GDP/SUM(pI*I)-1</f>
        <v>0</v>
      </c>
      <c r="Z58" s="120">
        <f>Labour_Q/KL_Q/Calibration!Labour_Q*Calibration!KL_Q-Labour_E/KL_E/Calibration!Labour_E*Calibration!KL_E</f>
        <v>0</v>
      </c>
      <c r="AA58" s="120">
        <f t="array" ref="AA58:AB58">bKL*(KL/Labour)^(1/sigmaKL)*pKL/pL-1</f>
        <v>-1.4432899320127035E-15</v>
      </c>
      <c r="AB58" s="120">
        <v>7.9936057773011271E-15</v>
      </c>
      <c r="AC58" s="120">
        <f t="array" ref="AC58">omegaI*GDP/SUM(pI*I)-1</f>
        <v>0</v>
      </c>
      <c r="AD58" s="120">
        <f>Labour_Q/KL_Q/Calibration!Labour_Q*Calibration!KL_Q-Labour_E/KL_E/Calibration!Labour_E*Calibration!KL_E</f>
        <v>0</v>
      </c>
      <c r="AE58" s="120">
        <f t="array" ref="AE58">omegaI*GDP/SUM(pI*I)-1</f>
        <v>0</v>
      </c>
      <c r="AF58" s="120">
        <f>Labour_Q/KL_Q/Calibration!Labour_Q*Calibration!KL_Q-Labour_E/KL_E/Calibration!Labour_E*Calibration!KL_E</f>
        <v>0</v>
      </c>
      <c r="AG58" s="120">
        <f t="array" ref="AG58:AH58">bKL*(KL/Labour)^(1/sigmaKL)*pKL/pL-1</f>
        <v>-1.4432899320127035E-15</v>
      </c>
      <c r="AH58" s="120">
        <v>7.9936057773011271E-15</v>
      </c>
      <c r="AI58" s="120">
        <f t="array" ref="AI58:AJ58">bKL*(KL/Labour)^(1/sigmaKL)*pKL/pL-1</f>
        <v>-1.4432899320127035E-15</v>
      </c>
      <c r="AJ58" s="120">
        <v>7.9936057773011271E-15</v>
      </c>
      <c r="AK58" s="120">
        <f t="array" ref="AK58">(pI*I)/(Calibration!pI*Calibration!I)-1</f>
        <v>0</v>
      </c>
      <c r="AL58" s="120">
        <f>Labour_Q/KL_Q/Calibration!Labour_Q*Calibration!KL_Q-Labour_E/KL_E/Calibration!Labour_E*Calibration!KL_E</f>
        <v>0</v>
      </c>
    </row>
    <row r="59" spans="2:38" ht="10.5" x14ac:dyDescent="0.25">
      <c r="B59" t="s">
        <v>75</v>
      </c>
      <c r="C59" s="117">
        <f t="array" ref="C59">SUM(pX*X - pW*M)</f>
        <v>1136879.4410000162</v>
      </c>
      <c r="J59" s="113" t="s">
        <v>70</v>
      </c>
      <c r="K59" s="120">
        <f t="array" ref="K59">(sL*(SUM(w*Labour))+sG*(T-SUM(pG*G))+sK*SUM(pK*K)-B)/SUM(pI*I)-1</f>
        <v>-4.5519144009631418E-15</v>
      </c>
      <c r="N59" s="79">
        <v>6.4392935428259079E-15</v>
      </c>
      <c r="T59" s="113" t="s">
        <v>141</v>
      </c>
      <c r="U59" s="120">
        <f t="array" ref="U59">(sL*(SUM(w*Labour))+sG*(T-SUM(pG*G))+sK*SUM(pK*K)-B)/SUM(pI*I)-1</f>
        <v>-4.5519144009631418E-15</v>
      </c>
      <c r="W59" s="120">
        <f t="array" ref="W59">omegaI*GDP/SUM(pI*I)-1</f>
        <v>0</v>
      </c>
      <c r="Y59" s="120">
        <f t="array" ref="Y59">(sL*(SUM(w*Labour))+sG*(T-SUM(pG*G))+sK*SUM(pK*K)-B)/SUM(pI*I)-1</f>
        <v>-4.5519144009631418E-15</v>
      </c>
      <c r="AA59" s="120">
        <f t="array" ref="AA59">(sL*(SUM(w*Labour))+sG*(T-SUM(pG*G))+sK*SUM(pK*K)-B)/SUM(pI*I)-1</f>
        <v>-4.5519144009631418E-15</v>
      </c>
      <c r="AC59" s="120">
        <f t="array" ref="AC59">(sL*(SUM(w*Labour))+sG*(T-SUM(pG*G))+sK*SUM(pK*K)-B)/SUM(pI*I)-1</f>
        <v>-4.5519144009631418E-15</v>
      </c>
      <c r="AE59" s="120">
        <f t="array" ref="AE59">(sL*(SUM(w*Labour))+sG*(T-SUM(pG*G))+sK*SUM(pK*K)-B)/SUM(pI*I)-1</f>
        <v>-4.5519144009631418E-15</v>
      </c>
      <c r="AG59" s="120">
        <f t="array" ref="AG59">(sL*(SUM(w*Labour))+sG*(T-SUM(pG*G))+sK*SUM(pK*K)-B)/SUM(pI*I)-1</f>
        <v>-4.5519144009631418E-15</v>
      </c>
      <c r="AI59" s="120">
        <f t="array" ref="AI59">(sL*(SUM(w*Labour))+sG*(T-SUM(pG*G))+sK*SUM(pK*K)-B)/SUM(pI*I)-1</f>
        <v>-4.5519144009631418E-15</v>
      </c>
      <c r="AK59" s="120">
        <f t="array" ref="AK59">(sL*(SUM(w*Labour))+sG*(T-SUM(pG*G))+sK*SUM(pK*K)-B)/SUM(pI*I)-1</f>
        <v>-4.5519144009631418E-15</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0.29754226190682465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0.47195767671988204</v>
      </c>
      <c r="D70" s="38">
        <v>0.31738834428178991</v>
      </c>
      <c r="E70" t="s">
        <v>24</v>
      </c>
      <c r="N70" s="71">
        <f t="array" ref="N70:O73">FACTORS/Calibration!FACTORS-1</f>
        <v>0</v>
      </c>
      <c r="O70" s="72">
        <v>0</v>
      </c>
    </row>
    <row r="71" spans="2:15" x14ac:dyDescent="0.2">
      <c r="C71" s="39">
        <f t="array" ref="C71:D71">(bKLE/pEY)^sigmaKLE*(aKLE^sigmaKLE*pKL^(1-sigmaKLE)+bKLE^sigmaKLE*pEY^(1-sigmaKLE))^(-1/rhoKLE)*KLE/Y</f>
        <v>2.1403217525954421E-2</v>
      </c>
      <c r="D71" s="40">
        <v>0.34962461301992565</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0.23064923795098566</v>
      </c>
      <c r="D73" s="40">
        <v>0.22092201281804777</v>
      </c>
      <c r="N73" s="75">
        <v>-2.6645352591003757E-15</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scenarios current="0">
    <scenario name="a" count="20" user="Louis Daumas" comment="Créé par Louis Daumas le 6/12/2025">
      <inputCells r="C80" val="984.580050867445" numFmtId="3"/>
      <inputCells r="D80" val="6824.37464639664" numFmtId="3"/>
      <inputCells r="C81" val="983.766706443904" numFmtId="3"/>
      <inputCells r="D81" val="1742.71602209647" numFmtId="3"/>
      <inputCells r="C82" val="1218.3198789661" numFmtId="3"/>
      <inputCells r="D82" val="1000" numFmtId="3"/>
      <inputCells r="C83" val="0" numFmtId="3"/>
      <inputCells r="D83" val="1000" numFmtId="3"/>
      <inputCells r="C84" val="641.595495995807" numFmtId="3"/>
      <inputCells r="D84" val="343.47753400999" numFmtId="3"/>
      <inputCells r="C85" val="21889.4175465808" numFmtId="3"/>
      <inputCells r="D85" val="128.875702335123" numFmtId="3"/>
      <inputCells r="C86" val="2882.27055256273" numFmtId="3"/>
      <inputCells r="D86" val="15.7737764692144" numFmtId="9"/>
      <inputCells r="C87" val="13070794.6999873" numFmtId="165"/>
      <inputCells r="D87" val="0"/>
      <inputCells r="C88" val="5111.16167662792" numFmtId="165"/>
      <inputCells r="D88" val="0.0389653720823747" numFmtId="165"/>
      <inputCells r="C89" val="23120.891876694" numFmtId="165"/>
      <inputCells r="D89" val="0.413192675063443" numFmtId="165"/>
    </scenario>
  </scenarios>
  <conditionalFormatting sqref="K21:L21">
    <cfRule type="cellIs" dxfId="87" priority="1940" stopIfTrue="1" operator="notEqual">
      <formula>0</formula>
    </cfRule>
  </conditionalFormatting>
  <conditionalFormatting sqref="Q48:R48">
    <cfRule type="cellIs" dxfId="86" priority="1929" stopIfTrue="1" operator="notEqual">
      <formula>0</formula>
    </cfRule>
  </conditionalFormatting>
  <conditionalFormatting sqref="K39:L39">
    <cfRule type="cellIs" dxfId="85" priority="1937" stopIfTrue="1" operator="notEqual">
      <formula>0</formula>
    </cfRule>
  </conditionalFormatting>
  <conditionalFormatting sqref="K41">
    <cfRule type="cellIs" dxfId="84" priority="1936" stopIfTrue="1" operator="notEqual">
      <formula>0</formula>
    </cfRule>
  </conditionalFormatting>
  <conditionalFormatting sqref="Q47:R47">
    <cfRule type="cellIs" dxfId="83" priority="1934" stopIfTrue="1" operator="notEqual">
      <formula>0</formula>
    </cfRule>
  </conditionalFormatting>
  <conditionalFormatting sqref="Q37:R37">
    <cfRule type="cellIs" dxfId="82" priority="1931" stopIfTrue="1" operator="notEqual">
      <formula>0</formula>
    </cfRule>
  </conditionalFormatting>
  <conditionalFormatting sqref="R57">
    <cfRule type="cellIs" dxfId="81" priority="1925" stopIfTrue="1" operator="notEqual">
      <formula>0</formula>
    </cfRule>
  </conditionalFormatting>
  <conditionalFormatting sqref="Q57:Q58">
    <cfRule type="cellIs" dxfId="80" priority="1927" stopIfTrue="1" operator="notEqual">
      <formula>0</formula>
    </cfRule>
  </conditionalFormatting>
  <conditionalFormatting sqref="W59">
    <cfRule type="cellIs" dxfId="79" priority="1872" stopIfTrue="1" operator="notEqual">
      <formula>0</formula>
    </cfRule>
  </conditionalFormatting>
  <conditionalFormatting sqref="K37:L37">
    <cfRule type="cellIs" dxfId="78" priority="1506" stopIfTrue="1" operator="notEqual">
      <formula>0</formula>
    </cfRule>
  </conditionalFormatting>
  <conditionalFormatting sqref="Q21:R21">
    <cfRule type="cellIs" dxfId="77" priority="1489" stopIfTrue="1" operator="notEqual">
      <formula>0</formula>
    </cfRule>
  </conditionalFormatting>
  <conditionalFormatting sqref="Q23:R23">
    <cfRule type="cellIs" dxfId="76" priority="1493" stopIfTrue="1" operator="notEqual">
      <formula>0</formula>
    </cfRule>
  </conditionalFormatting>
  <conditionalFormatting sqref="Q38:R38">
    <cfRule type="cellIs" dxfId="75" priority="1492" stopIfTrue="1" operator="notEqual">
      <formula>0</formula>
    </cfRule>
  </conditionalFormatting>
  <conditionalFormatting sqref="Q34:R34">
    <cfRule type="cellIs" dxfId="74" priority="1491" stopIfTrue="1" operator="notEqual">
      <formula>0</formula>
    </cfRule>
  </conditionalFormatting>
  <conditionalFormatting sqref="Q35:R35">
    <cfRule type="cellIs" dxfId="73" priority="1490" stopIfTrue="1" operator="notEqual">
      <formula>0</formula>
    </cfRule>
  </conditionalFormatting>
  <conditionalFormatting sqref="K23:L23">
    <cfRule type="cellIs" dxfId="72" priority="1488" stopIfTrue="1" operator="notEqual">
      <formula>0</formula>
    </cfRule>
  </conditionalFormatting>
  <conditionalFormatting sqref="K34:L34">
    <cfRule type="cellIs" dxfId="71" priority="1259" stopIfTrue="1" operator="notEqual">
      <formula>0</formula>
    </cfRule>
  </conditionalFormatting>
  <conditionalFormatting sqref="Q33:R33">
    <cfRule type="cellIs" dxfId="70" priority="1253" stopIfTrue="1" operator="notEqual">
      <formula>0</formula>
    </cfRule>
  </conditionalFormatting>
  <conditionalFormatting sqref="Q46:R46">
    <cfRule type="cellIs" dxfId="69" priority="1257" stopIfTrue="1" operator="notEqual">
      <formula>0</formula>
    </cfRule>
  </conditionalFormatting>
  <conditionalFormatting sqref="Q45:R45">
    <cfRule type="cellIs" dxfId="68" priority="1258" stopIfTrue="1" operator="notEqual">
      <formula>0</formula>
    </cfRule>
  </conditionalFormatting>
  <conditionalFormatting sqref="W58">
    <cfRule type="cellIs" dxfId="67" priority="1244" stopIfTrue="1" operator="notEqual">
      <formula>0</formula>
    </cfRule>
  </conditionalFormatting>
  <conditionalFormatting sqref="Q32:R32">
    <cfRule type="cellIs" dxfId="66" priority="1254" stopIfTrue="1" operator="notEqual">
      <formula>0</formula>
    </cfRule>
  </conditionalFormatting>
  <conditionalFormatting sqref="X58">
    <cfRule type="cellIs" dxfId="65" priority="1243" stopIfTrue="1" operator="notEqual">
      <formula>0</formula>
    </cfRule>
  </conditionalFormatting>
  <conditionalFormatting sqref="W55">
    <cfRule type="cellIs" dxfId="64" priority="1202" stopIfTrue="1" operator="notEqual">
      <formula>0</formula>
    </cfRule>
  </conditionalFormatting>
  <conditionalFormatting sqref="W56">
    <cfRule type="cellIs" dxfId="63" priority="1201" stopIfTrue="1" operator="notEqual">
      <formula>0</formula>
    </cfRule>
  </conditionalFormatting>
  <conditionalFormatting sqref="Y55">
    <cfRule type="cellIs" dxfId="62" priority="1199" stopIfTrue="1" operator="notEqual">
      <formula>0</formula>
    </cfRule>
  </conditionalFormatting>
  <conditionalFormatting sqref="Y56">
    <cfRule type="cellIs" dxfId="61" priority="1198" stopIfTrue="1" operator="notEqual">
      <formula>0</formula>
    </cfRule>
  </conditionalFormatting>
  <conditionalFormatting sqref="AA59">
    <cfRule type="cellIs" dxfId="60" priority="1195" stopIfTrue="1" operator="notEqual">
      <formula>0</formula>
    </cfRule>
  </conditionalFormatting>
  <conditionalFormatting sqref="AA55">
    <cfRule type="cellIs" dxfId="59" priority="1193" stopIfTrue="1" operator="notEqual">
      <formula>0</formula>
    </cfRule>
  </conditionalFormatting>
  <conditionalFormatting sqref="AA58">
    <cfRule type="cellIs" dxfId="58" priority="1189" stopIfTrue="1" operator="notEqual">
      <formula>0</formula>
    </cfRule>
  </conditionalFormatting>
  <conditionalFormatting sqref="AB58">
    <cfRule type="cellIs" dxfId="57" priority="1188" stopIfTrue="1" operator="notEqual">
      <formula>0</formula>
    </cfRule>
  </conditionalFormatting>
  <conditionalFormatting sqref="U58">
    <cfRule type="cellIs" dxfId="56" priority="1166" stopIfTrue="1" operator="notEqual">
      <formula>0</formula>
    </cfRule>
  </conditionalFormatting>
  <conditionalFormatting sqref="V58">
    <cfRule type="cellIs" dxfId="55" priority="1165" stopIfTrue="1" operator="notEqual">
      <formula>0</formula>
    </cfRule>
  </conditionalFormatting>
  <conditionalFormatting sqref="U57">
    <cfRule type="cellIs" dxfId="54" priority="1163" stopIfTrue="1" operator="notEqual">
      <formula>0</formula>
    </cfRule>
  </conditionalFormatting>
  <conditionalFormatting sqref="U55">
    <cfRule type="cellIs" dxfId="53" priority="1167" stopIfTrue="1" operator="notEqual">
      <formula>0</formula>
    </cfRule>
  </conditionalFormatting>
  <conditionalFormatting sqref="U56">
    <cfRule type="cellIs" dxfId="52" priority="1164" stopIfTrue="1" operator="notEqual">
      <formula>0</formula>
    </cfRule>
  </conditionalFormatting>
  <conditionalFormatting sqref="U59">
    <cfRule type="cellIs" dxfId="51" priority="1162" stopIfTrue="1" operator="notEqual">
      <formula>0</formula>
    </cfRule>
  </conditionalFormatting>
  <conditionalFormatting sqref="Z58">
    <cfRule type="cellIs" dxfId="50" priority="1140" stopIfTrue="1" operator="notEqual">
      <formula>0</formula>
    </cfRule>
  </conditionalFormatting>
  <conditionalFormatting sqref="AC59">
    <cfRule type="cellIs" dxfId="49" priority="1133" stopIfTrue="1" operator="notEqual">
      <formula>0</formula>
    </cfRule>
  </conditionalFormatting>
  <conditionalFormatting sqref="AC55">
    <cfRule type="cellIs" dxfId="48" priority="1132" stopIfTrue="1" operator="notEqual">
      <formula>0</formula>
    </cfRule>
  </conditionalFormatting>
  <conditionalFormatting sqref="AC56">
    <cfRule type="cellIs" dxfId="47" priority="1128" stopIfTrue="1" operator="notEqual">
      <formula>0</formula>
    </cfRule>
  </conditionalFormatting>
  <conditionalFormatting sqref="AD58">
    <cfRule type="cellIs" dxfId="46" priority="1126" stopIfTrue="1" operator="notEqual">
      <formula>0</formula>
    </cfRule>
  </conditionalFormatting>
  <conditionalFormatting sqref="AE59">
    <cfRule type="cellIs" dxfId="45" priority="1119" stopIfTrue="1" operator="notEqual">
      <formula>0</formula>
    </cfRule>
  </conditionalFormatting>
  <conditionalFormatting sqref="AE55">
    <cfRule type="cellIs" dxfId="44" priority="1118" stopIfTrue="1" operator="notEqual">
      <formula>0</formula>
    </cfRule>
  </conditionalFormatting>
  <conditionalFormatting sqref="AE56">
    <cfRule type="cellIs" dxfId="43" priority="1116" stopIfTrue="1" operator="notEqual">
      <formula>0</formula>
    </cfRule>
  </conditionalFormatting>
  <conditionalFormatting sqref="AF58">
    <cfRule type="cellIs" dxfId="42" priority="1114" stopIfTrue="1" operator="notEqual">
      <formula>0</formula>
    </cfRule>
  </conditionalFormatting>
  <conditionalFormatting sqref="AI59">
    <cfRule type="cellIs" dxfId="41" priority="1107" stopIfTrue="1" operator="notEqual">
      <formula>0</formula>
    </cfRule>
  </conditionalFormatting>
  <conditionalFormatting sqref="AI57">
    <cfRule type="cellIs" dxfId="40" priority="1105" stopIfTrue="1" operator="notEqual">
      <formula>0</formula>
    </cfRule>
  </conditionalFormatting>
  <conditionalFormatting sqref="AI55">
    <cfRule type="cellIs" dxfId="39" priority="1106" stopIfTrue="1" operator="notEqual">
      <formula>0</formula>
    </cfRule>
  </conditionalFormatting>
  <conditionalFormatting sqref="AI58">
    <cfRule type="cellIs" dxfId="38" priority="1101" stopIfTrue="1" operator="notEqual">
      <formula>0</formula>
    </cfRule>
  </conditionalFormatting>
  <conditionalFormatting sqref="AJ58">
    <cfRule type="cellIs" dxfId="37" priority="1100" stopIfTrue="1" operator="notEqual">
      <formula>0</formula>
    </cfRule>
  </conditionalFormatting>
  <conditionalFormatting sqref="W57">
    <cfRule type="cellIs" dxfId="36" priority="1002" stopIfTrue="1" operator="notEqual">
      <formula>0</formula>
    </cfRule>
  </conditionalFormatting>
  <conditionalFormatting sqref="Y57">
    <cfRule type="cellIs" dxfId="35" priority="1001" stopIfTrue="1" operator="notEqual">
      <formula>0</formula>
    </cfRule>
  </conditionalFormatting>
  <conditionalFormatting sqref="AA57">
    <cfRule type="cellIs" dxfId="34" priority="1000" stopIfTrue="1" operator="notEqual">
      <formula>0</formula>
    </cfRule>
  </conditionalFormatting>
  <conditionalFormatting sqref="AC57">
    <cfRule type="cellIs" dxfId="33" priority="999" stopIfTrue="1" operator="notEqual">
      <formula>0</formula>
    </cfRule>
  </conditionalFormatting>
  <conditionalFormatting sqref="AE57">
    <cfRule type="cellIs" dxfId="32" priority="998" stopIfTrue="1" operator="notEqual">
      <formula>0</formula>
    </cfRule>
  </conditionalFormatting>
  <conditionalFormatting sqref="AK57">
    <cfRule type="cellIs" dxfId="31" priority="898" stopIfTrue="1" operator="notEqual">
      <formula>0</formula>
    </cfRule>
  </conditionalFormatting>
  <conditionalFormatting sqref="AK58">
    <cfRule type="cellIs" dxfId="30" priority="897" stopIfTrue="1" operator="notEqual">
      <formula>0</formula>
    </cfRule>
  </conditionalFormatting>
  <conditionalFormatting sqref="Y58">
    <cfRule type="cellIs" dxfId="29" priority="936" stopIfTrue="1" operator="notEqual">
      <formula>0</formula>
    </cfRule>
  </conditionalFormatting>
  <conditionalFormatting sqref="AA56">
    <cfRule type="cellIs" dxfId="28" priority="929" stopIfTrue="1" operator="notEqual">
      <formula>0</formula>
    </cfRule>
  </conditionalFormatting>
  <conditionalFormatting sqref="AC58">
    <cfRule type="cellIs" dxfId="27" priority="922" stopIfTrue="1" operator="notEqual">
      <formula>0</formula>
    </cfRule>
  </conditionalFormatting>
  <conditionalFormatting sqref="AE58">
    <cfRule type="cellIs" dxfId="26" priority="915" stopIfTrue="1" operator="notEqual">
      <formula>0</formula>
    </cfRule>
  </conditionalFormatting>
  <conditionalFormatting sqref="AK59">
    <cfRule type="cellIs" dxfId="25" priority="902" stopIfTrue="1" operator="notEqual">
      <formula>0</formula>
    </cfRule>
  </conditionalFormatting>
  <conditionalFormatting sqref="AK56">
    <cfRule type="cellIs" dxfId="24" priority="900" stopIfTrue="1" operator="notEqual">
      <formula>0</formula>
    </cfRule>
  </conditionalFormatting>
  <conditionalFormatting sqref="AK55">
    <cfRule type="cellIs" dxfId="23" priority="901" stopIfTrue="1" operator="notEqual">
      <formula>0</formula>
    </cfRule>
  </conditionalFormatting>
  <conditionalFormatting sqref="AL58">
    <cfRule type="cellIs" dxfId="22" priority="899" stopIfTrue="1" operator="notEqual">
      <formula>0</formula>
    </cfRule>
  </conditionalFormatting>
  <conditionalFormatting sqref="T21:U21">
    <cfRule type="cellIs" dxfId="21" priority="859" stopIfTrue="1" operator="notEqual">
      <formula>0</formula>
    </cfRule>
  </conditionalFormatting>
  <conditionalFormatting sqref="AG58">
    <cfRule type="cellIs" dxfId="20" priority="836" stopIfTrue="1" operator="notEqual">
      <formula>0</formula>
    </cfRule>
  </conditionalFormatting>
  <conditionalFormatting sqref="AH58">
    <cfRule type="cellIs" dxfId="19" priority="835" stopIfTrue="1" operator="notEqual">
      <formula>0</formula>
    </cfRule>
  </conditionalFormatting>
  <conditionalFormatting sqref="AG57">
    <cfRule type="cellIs" dxfId="18" priority="832" stopIfTrue="1" operator="notEqual">
      <formula>0</formula>
    </cfRule>
  </conditionalFormatting>
  <conditionalFormatting sqref="AG59">
    <cfRule type="cellIs" dxfId="17" priority="839" stopIfTrue="1" operator="notEqual">
      <formula>0</formula>
    </cfRule>
  </conditionalFormatting>
  <conditionalFormatting sqref="AG56">
    <cfRule type="cellIs" dxfId="16" priority="711" stopIfTrue="1" operator="notEqual">
      <formula>0</formula>
    </cfRule>
  </conditionalFormatting>
  <conditionalFormatting sqref="AG55">
    <cfRule type="cellIs" dxfId="15" priority="710" stopIfTrue="1" operator="notEqual">
      <formula>0</formula>
    </cfRule>
  </conditionalFormatting>
  <conditionalFormatting sqref="AI56">
    <cfRule type="cellIs" dxfId="14" priority="709" stopIfTrue="1" operator="notEqual">
      <formula>0</formula>
    </cfRule>
  </conditionalFormatting>
  <conditionalFormatting sqref="Y59">
    <cfRule type="cellIs" dxfId="13" priority="588"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B2" activePane="bottomRight" state="frozen"/>
      <selection pane="topRight" activeCell="B1" sqref="B1"/>
      <selection pane="bottomLeft" activeCell="A2" sqref="A2"/>
      <selection pane="bottomRight" activeCell="F30"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c r="AL1" s="94"/>
      <c r="AN1" s="94"/>
      <c r="AP1" s="94"/>
      <c r="AR1" s="94"/>
      <c r="AT1" s="94"/>
      <c r="AV1" s="94"/>
    </row>
    <row r="2" spans="1:49" x14ac:dyDescent="0.2">
      <c r="A2" s="229" t="s">
        <v>155</v>
      </c>
      <c r="B2" s="226">
        <v>5.7716594496607888E-3</v>
      </c>
      <c r="C2" s="227"/>
      <c r="D2" s="226">
        <v>4.1810181887575598E-2</v>
      </c>
      <c r="E2" s="227"/>
      <c r="F2" s="226">
        <v>8.0282974727649892E-2</v>
      </c>
      <c r="G2" s="227"/>
      <c r="H2" s="226">
        <v>0.12138005459233639</v>
      </c>
      <c r="I2" s="227"/>
      <c r="J2" s="226">
        <v>0.16529427279745385</v>
      </c>
      <c r="K2" s="227"/>
      <c r="L2" s="226">
        <v>0.2122138659141381</v>
      </c>
      <c r="M2" s="227"/>
      <c r="N2" s="226">
        <v>0.26231828933534379</v>
      </c>
      <c r="O2" s="227"/>
      <c r="P2" s="226">
        <v>0.315776995114318</v>
      </c>
      <c r="Q2" s="227"/>
      <c r="R2" s="226">
        <v>0.37276483045308589</v>
      </c>
      <c r="S2" s="227"/>
      <c r="T2" s="226">
        <v>0.43351972303942038</v>
      </c>
      <c r="U2" s="227"/>
      <c r="V2" s="226">
        <v>0.49850833147657081</v>
      </c>
      <c r="W2" s="227"/>
      <c r="X2" s="226">
        <v>0.56882911259150937</v>
      </c>
      <c r="Y2" s="227"/>
      <c r="Z2" s="226">
        <v>0.64713062732548876</v>
      </c>
      <c r="AA2" s="227"/>
      <c r="AB2" s="226">
        <v>0.73962980364884123</v>
      </c>
      <c r="AC2" s="227"/>
      <c r="AD2" s="226">
        <v>0.86051490788699647</v>
      </c>
      <c r="AE2" s="227"/>
      <c r="AF2" s="226">
        <v>1.0422079061314948</v>
      </c>
      <c r="AG2" s="227"/>
      <c r="AH2" s="226">
        <v>1.3640579674302087</v>
      </c>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999.33030227674442</v>
      </c>
      <c r="E3" s="85">
        <v>1017.536773318029</v>
      </c>
      <c r="F3" s="84">
        <v>999.04186252473176</v>
      </c>
      <c r="G3" s="85">
        <v>1036.7862766776184</v>
      </c>
      <c r="H3" s="84">
        <v>999.23334719800357</v>
      </c>
      <c r="I3" s="85">
        <v>1057.9676964351693</v>
      </c>
      <c r="J3" s="84">
        <v>1000.0360220231025</v>
      </c>
      <c r="K3" s="85">
        <v>1081.3372578191372</v>
      </c>
      <c r="L3" s="84">
        <v>1001.6285308515206</v>
      </c>
      <c r="M3" s="85">
        <v>1107.1989671231106</v>
      </c>
      <c r="N3" s="84">
        <v>1004.2562821826147</v>
      </c>
      <c r="O3" s="85">
        <v>1135.9212481417997</v>
      </c>
      <c r="P3" s="84">
        <v>1008.2613095120061</v>
      </c>
      <c r="Q3" s="85">
        <v>1167.9648423272565</v>
      </c>
      <c r="R3" s="84">
        <v>1014.1271850350697</v>
      </c>
      <c r="S3" s="85">
        <v>1203.9330516519792</v>
      </c>
      <c r="T3" s="84">
        <v>1022.5489273069337</v>
      </c>
      <c r="U3" s="85">
        <v>1244.6667423754466</v>
      </c>
      <c r="V3" s="84">
        <v>1034.5387084687595</v>
      </c>
      <c r="W3" s="85">
        <v>1291.4260226534327</v>
      </c>
      <c r="X3" s="84">
        <v>1051.5936128441797</v>
      </c>
      <c r="Y3" s="85">
        <v>1346.2453578254681</v>
      </c>
      <c r="Z3" s="84">
        <v>1075.9568655857661</v>
      </c>
      <c r="AA3" s="85">
        <v>1412.6247740744434</v>
      </c>
      <c r="AB3" s="84">
        <v>1111.0375601861806</v>
      </c>
      <c r="AC3" s="85">
        <v>1496.8874334246984</v>
      </c>
      <c r="AD3" s="84">
        <v>1162.1366012314943</v>
      </c>
      <c r="AE3" s="85">
        <v>1610.9224259809193</v>
      </c>
      <c r="AF3" s="84">
        <v>1237.9748614321504</v>
      </c>
      <c r="AG3" s="85">
        <v>1778.2859402234981</v>
      </c>
      <c r="AH3" s="84">
        <v>1354.8108303554945</v>
      </c>
      <c r="AI3" s="85">
        <v>2050.6088739874153</v>
      </c>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c r="AK4" s="102"/>
      <c r="AL4" s="101"/>
      <c r="AM4" s="102"/>
      <c r="AN4" s="101"/>
      <c r="AO4" s="102"/>
      <c r="AP4" s="101"/>
      <c r="AQ4" s="102"/>
      <c r="AR4" s="101"/>
      <c r="AS4" s="102"/>
      <c r="AT4" s="101"/>
      <c r="AU4" s="102"/>
      <c r="AV4" s="101"/>
      <c r="AW4" s="102"/>
    </row>
    <row r="5" spans="1:49" x14ac:dyDescent="0.2">
      <c r="A5" t="s">
        <v>128</v>
      </c>
      <c r="B5" s="41">
        <v>1000</v>
      </c>
      <c r="C5" s="42">
        <v>1000</v>
      </c>
      <c r="D5" s="41">
        <v>999.29719248215702</v>
      </c>
      <c r="E5" s="42">
        <v>1015.2680186396296</v>
      </c>
      <c r="F5" s="41">
        <v>998.99443075055797</v>
      </c>
      <c r="G5" s="42">
        <v>1031.7304842468125</v>
      </c>
      <c r="H5" s="41">
        <v>999.19542665355698</v>
      </c>
      <c r="I5" s="42">
        <v>1049.4884554537666</v>
      </c>
      <c r="J5" s="41">
        <v>1000.0377968362527</v>
      </c>
      <c r="K5" s="42">
        <v>1068.6514712238538</v>
      </c>
      <c r="L5" s="41">
        <v>1001.7082232707198</v>
      </c>
      <c r="M5" s="42">
        <v>1089.3378361329048</v>
      </c>
      <c r="N5" s="41">
        <v>1004.4621174627978</v>
      </c>
      <c r="O5" s="42">
        <v>1111.6784575225156</v>
      </c>
      <c r="P5" s="41">
        <v>1008.6536408092879</v>
      </c>
      <c r="Q5" s="42">
        <v>1135.8244879804154</v>
      </c>
      <c r="R5" s="41">
        <v>1014.780280323827</v>
      </c>
      <c r="S5" s="42">
        <v>1161.9637804934607</v>
      </c>
      <c r="T5" s="41">
        <v>1023.551144545562</v>
      </c>
      <c r="U5" s="42">
        <v>1190.355516313939</v>
      </c>
      <c r="V5" s="41">
        <v>1035.9879697880638</v>
      </c>
      <c r="W5" s="42">
        <v>1221.3949839923202</v>
      </c>
      <c r="X5" s="41">
        <v>1053.5812735911738</v>
      </c>
      <c r="Y5" s="42">
        <v>1255.7280523383538</v>
      </c>
      <c r="Z5" s="41">
        <v>1078.5249163564299</v>
      </c>
      <c r="AA5" s="42">
        <v>1294.4359579592613</v>
      </c>
      <c r="AB5" s="41">
        <v>1114.0772388083351</v>
      </c>
      <c r="AC5" s="42">
        <v>1339.2764367593352</v>
      </c>
      <c r="AD5" s="41">
        <v>1165.1614862911358</v>
      </c>
      <c r="AE5" s="42">
        <v>1392.8686416040523</v>
      </c>
      <c r="AF5" s="41">
        <v>1239.615061794565</v>
      </c>
      <c r="AG5" s="42">
        <v>1458.4495386435692</v>
      </c>
      <c r="AH5" s="41">
        <v>1351.5735502494533</v>
      </c>
      <c r="AI5" s="42">
        <v>1538.2988897662096</v>
      </c>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999.24347478306072</v>
      </c>
      <c r="E6" s="42">
        <v>1018.9040932754468</v>
      </c>
      <c r="F6" s="41">
        <v>998.91759776248023</v>
      </c>
      <c r="G6" s="42">
        <v>1039.5982966518188</v>
      </c>
      <c r="H6" s="41">
        <v>999.13393840530409</v>
      </c>
      <c r="I6" s="42">
        <v>1062.3068345410275</v>
      </c>
      <c r="J6" s="41">
        <v>1000.0406886183</v>
      </c>
      <c r="K6" s="42">
        <v>1087.2916055542678</v>
      </c>
      <c r="L6" s="41">
        <v>1001.8391258624355</v>
      </c>
      <c r="M6" s="42">
        <v>1114.8632638286506</v>
      </c>
      <c r="N6" s="41">
        <v>1004.8050654551361</v>
      </c>
      <c r="O6" s="42">
        <v>1145.3984285971783</v>
      </c>
      <c r="P6" s="41">
        <v>1009.3217312164874</v>
      </c>
      <c r="Q6" s="42">
        <v>1179.3686065467416</v>
      </c>
      <c r="R6" s="41">
        <v>1015.9288335954999</v>
      </c>
      <c r="S6" s="42">
        <v>1217.3923256642147</v>
      </c>
      <c r="T6" s="41">
        <v>1025.3983300402883</v>
      </c>
      <c r="U6" s="42">
        <v>1260.3336838503656</v>
      </c>
      <c r="V6" s="41">
        <v>1038.8476275237565</v>
      </c>
      <c r="W6" s="42">
        <v>1309.4905150075904</v>
      </c>
      <c r="X6" s="41">
        <v>1057.9170775369591</v>
      </c>
      <c r="Y6" s="42">
        <v>1366.961466237037</v>
      </c>
      <c r="Z6" s="41">
        <v>1085.0420861271423</v>
      </c>
      <c r="AA6" s="42">
        <v>1436.3586768542441</v>
      </c>
      <c r="AB6" s="41">
        <v>1123.8839916501481</v>
      </c>
      <c r="AC6" s="42">
        <v>1524.2037538386435</v>
      </c>
      <c r="AD6" s="41">
        <v>1180.0695457829634</v>
      </c>
      <c r="AE6" s="42">
        <v>1642.7409208447962</v>
      </c>
      <c r="AF6" s="41">
        <v>1262.7591112607449</v>
      </c>
      <c r="AG6" s="42">
        <v>1816.1852621690039</v>
      </c>
      <c r="AH6" s="41">
        <v>1388.9243144258817</v>
      </c>
      <c r="AI6" s="42">
        <v>2097.5268550588485</v>
      </c>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1015.1976921747919</v>
      </c>
      <c r="E7" s="34">
        <v>1015.1976921747919</v>
      </c>
      <c r="F7" s="33">
        <v>1014.8901129946336</v>
      </c>
      <c r="G7" s="34">
        <v>1014.8901129946336</v>
      </c>
      <c r="H7" s="33">
        <v>1015.0943070806335</v>
      </c>
      <c r="I7" s="34">
        <v>1015.0943070806335</v>
      </c>
      <c r="J7" s="33">
        <v>1015.9500807902597</v>
      </c>
      <c r="K7" s="34">
        <v>1015.9500807902597</v>
      </c>
      <c r="L7" s="33">
        <v>1017.6470865198631</v>
      </c>
      <c r="M7" s="34">
        <v>1017.6470865198631</v>
      </c>
      <c r="N7" s="33">
        <v>1020.4447998020817</v>
      </c>
      <c r="O7" s="34">
        <v>1020.4447998020817</v>
      </c>
      <c r="P7" s="33">
        <v>1024.7030173374317</v>
      </c>
      <c r="Q7" s="34">
        <v>1024.7030173374317</v>
      </c>
      <c r="R7" s="33">
        <v>1030.92714199498</v>
      </c>
      <c r="S7" s="34">
        <v>1030.92714199498</v>
      </c>
      <c r="T7" s="33">
        <v>1039.8375654238368</v>
      </c>
      <c r="U7" s="34">
        <v>1039.8375654238368</v>
      </c>
      <c r="V7" s="33">
        <v>1052.4722814814368</v>
      </c>
      <c r="W7" s="34">
        <v>1052.4722814814368</v>
      </c>
      <c r="X7" s="33">
        <v>1070.34552434954</v>
      </c>
      <c r="Y7" s="34">
        <v>1070.34552434954</v>
      </c>
      <c r="Z7" s="33">
        <v>1095.6860624399367</v>
      </c>
      <c r="AA7" s="34">
        <v>1095.6860624399367</v>
      </c>
      <c r="AB7" s="33">
        <v>1131.804082160354</v>
      </c>
      <c r="AC7" s="34">
        <v>1131.804082160354</v>
      </c>
      <c r="AD7" s="33">
        <v>1183.7011659720361</v>
      </c>
      <c r="AE7" s="34">
        <v>1183.7011659720361</v>
      </c>
      <c r="AF7" s="33">
        <v>1259.3394231330483</v>
      </c>
      <c r="AG7" s="34">
        <v>1259.3394231330483</v>
      </c>
      <c r="AH7" s="33">
        <v>1373.0793595141968</v>
      </c>
      <c r="AI7" s="34">
        <v>1373.0793595141968</v>
      </c>
      <c r="AJ7" s="33"/>
      <c r="AK7" s="34"/>
      <c r="AL7" s="33"/>
      <c r="AM7" s="34"/>
      <c r="AN7" s="33"/>
      <c r="AO7" s="34"/>
      <c r="AP7" s="33"/>
      <c r="AQ7" s="34"/>
      <c r="AR7" s="33"/>
      <c r="AS7" s="34"/>
      <c r="AT7" s="33"/>
      <c r="AU7" s="34"/>
      <c r="AV7" s="33"/>
      <c r="AW7" s="34"/>
    </row>
    <row r="8" spans="1:49" x14ac:dyDescent="0.2">
      <c r="B8" s="35">
        <v>1005.7716594496609</v>
      </c>
      <c r="C8" s="36">
        <v>1005.7716594496609</v>
      </c>
      <c r="D8" s="35">
        <v>1057.716559163591</v>
      </c>
      <c r="E8" s="36">
        <v>1057.716559163591</v>
      </c>
      <c r="F8" s="35">
        <v>1114.5608766393452</v>
      </c>
      <c r="G8" s="36">
        <v>1114.5608766393452</v>
      </c>
      <c r="H8" s="35">
        <v>1176.8754214707717</v>
      </c>
      <c r="I8" s="36">
        <v>1176.8754214707717</v>
      </c>
      <c r="J8" s="35">
        <v>1245.2934390337298</v>
      </c>
      <c r="K8" s="36">
        <v>1245.2934390337298</v>
      </c>
      <c r="L8" s="35">
        <v>1320.5104296252105</v>
      </c>
      <c r="M8" s="36">
        <v>1320.5104296252105</v>
      </c>
      <c r="N8" s="35">
        <v>1403.2920487907754</v>
      </c>
      <c r="O8" s="36">
        <v>1403.2920487907754</v>
      </c>
      <c r="P8" s="35">
        <v>1494.4917317721299</v>
      </c>
      <c r="Q8" s="36">
        <v>1494.4917317721299</v>
      </c>
      <c r="R8" s="35">
        <v>1595.1030121217325</v>
      </c>
      <c r="S8" s="36">
        <v>1595.1030121217325</v>
      </c>
      <c r="T8" s="35">
        <v>1706.3981100648041</v>
      </c>
      <c r="U8" s="36">
        <v>1706.3981100648041</v>
      </c>
      <c r="V8" s="35">
        <v>1830.2705595361847</v>
      </c>
      <c r="W8" s="36">
        <v>1830.2705595361847</v>
      </c>
      <c r="X8" s="35">
        <v>1970.0227260062441</v>
      </c>
      <c r="Y8" s="36">
        <v>1970.0227260062441</v>
      </c>
      <c r="Z8" s="35">
        <v>2132.1051114661077</v>
      </c>
      <c r="AA8" s="36">
        <v>2132.1051114661077</v>
      </c>
      <c r="AB8" s="35">
        <v>2329.8452047111618</v>
      </c>
      <c r="AC8" s="36">
        <v>2329.8452047111618</v>
      </c>
      <c r="AD8" s="35">
        <v>2591.4528724326492</v>
      </c>
      <c r="AE8" s="36">
        <v>2591.4528724326492</v>
      </c>
      <c r="AF8" s="35">
        <v>2978.4571785117278</v>
      </c>
      <c r="AG8" s="36">
        <v>2978.4571785117278</v>
      </c>
      <c r="AH8" s="35">
        <v>3636.6277466408524</v>
      </c>
      <c r="AI8" s="36">
        <v>3636.6277466408524</v>
      </c>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1015.1976921747919</v>
      </c>
      <c r="E9" s="42">
        <v>1057.716559163591</v>
      </c>
      <c r="F9" s="41">
        <v>1014.8901129946336</v>
      </c>
      <c r="G9" s="42">
        <v>1114.5608766393452</v>
      </c>
      <c r="H9" s="41">
        <v>1015.0943070806335</v>
      </c>
      <c r="I9" s="42">
        <v>1176.8754214707717</v>
      </c>
      <c r="J9" s="41">
        <v>1015.9500807902597</v>
      </c>
      <c r="K9" s="42">
        <v>1245.2934390337298</v>
      </c>
      <c r="L9" s="41">
        <v>1017.6470865198631</v>
      </c>
      <c r="M9" s="42">
        <v>1320.5104296252105</v>
      </c>
      <c r="N9" s="41">
        <v>1020.4447998020817</v>
      </c>
      <c r="O9" s="42">
        <v>1403.2920487907754</v>
      </c>
      <c r="P9" s="41">
        <v>1024.7030173374317</v>
      </c>
      <c r="Q9" s="42">
        <v>1494.4917317721299</v>
      </c>
      <c r="R9" s="41">
        <v>1030.92714199498</v>
      </c>
      <c r="S9" s="42">
        <v>1595.1030121217325</v>
      </c>
      <c r="T9" s="41">
        <v>1039.8375654238368</v>
      </c>
      <c r="U9" s="42">
        <v>1706.3981100648041</v>
      </c>
      <c r="V9" s="41">
        <v>1052.4722814814368</v>
      </c>
      <c r="W9" s="42">
        <v>1830.2705595361847</v>
      </c>
      <c r="X9" s="41">
        <v>1070.34552434954</v>
      </c>
      <c r="Y9" s="42">
        <v>1970.0227260062441</v>
      </c>
      <c r="Z9" s="41">
        <v>1095.6860624399367</v>
      </c>
      <c r="AA9" s="42">
        <v>2132.1051114661077</v>
      </c>
      <c r="AB9" s="41">
        <v>1131.804082160354</v>
      </c>
      <c r="AC9" s="42">
        <v>2329.8452047111618</v>
      </c>
      <c r="AD9" s="41">
        <v>1183.7011659720361</v>
      </c>
      <c r="AE9" s="42">
        <v>2591.4528724326492</v>
      </c>
      <c r="AF9" s="41">
        <v>1259.3394231330483</v>
      </c>
      <c r="AG9" s="42">
        <v>2978.4571785117278</v>
      </c>
      <c r="AH9" s="41">
        <v>1373.0793595141968</v>
      </c>
      <c r="AI9" s="42">
        <v>3636.6277466408524</v>
      </c>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1015.1976921747919</v>
      </c>
      <c r="E10" s="42">
        <v>1057.716559163591</v>
      </c>
      <c r="F10" s="41">
        <v>1014.8901129946336</v>
      </c>
      <c r="G10" s="42">
        <v>1114.5608766393452</v>
      </c>
      <c r="H10" s="41">
        <v>1015.0943070806335</v>
      </c>
      <c r="I10" s="42">
        <v>1176.8754214707717</v>
      </c>
      <c r="J10" s="41">
        <v>1015.9500807902597</v>
      </c>
      <c r="K10" s="42">
        <v>1245.2934390337298</v>
      </c>
      <c r="L10" s="41">
        <v>1017.6470865198631</v>
      </c>
      <c r="M10" s="42">
        <v>1320.5104296252105</v>
      </c>
      <c r="N10" s="41">
        <v>1020.4447998020817</v>
      </c>
      <c r="O10" s="42">
        <v>1403.2920487907754</v>
      </c>
      <c r="P10" s="41">
        <v>1024.7030173374317</v>
      </c>
      <c r="Q10" s="42">
        <v>1494.4917317721299</v>
      </c>
      <c r="R10" s="41">
        <v>1030.92714199498</v>
      </c>
      <c r="S10" s="42">
        <v>1595.1030121217325</v>
      </c>
      <c r="T10" s="41">
        <v>1039.8375654238368</v>
      </c>
      <c r="U10" s="42">
        <v>1706.3981100648041</v>
      </c>
      <c r="V10" s="41">
        <v>1052.4722814814368</v>
      </c>
      <c r="W10" s="42">
        <v>1830.2705595361847</v>
      </c>
      <c r="X10" s="41">
        <v>1070.34552434954</v>
      </c>
      <c r="Y10" s="42">
        <v>1970.0227260062441</v>
      </c>
      <c r="Z10" s="41">
        <v>1095.6860624399367</v>
      </c>
      <c r="AA10" s="42">
        <v>2132.1051114661077</v>
      </c>
      <c r="AB10" s="41">
        <v>1131.804082160354</v>
      </c>
      <c r="AC10" s="42">
        <v>2329.8452047111618</v>
      </c>
      <c r="AD10" s="41">
        <v>1183.7011659720361</v>
      </c>
      <c r="AE10" s="42">
        <v>2591.4528724326492</v>
      </c>
      <c r="AF10" s="41">
        <v>1259.3394231330483</v>
      </c>
      <c r="AG10" s="42">
        <v>2978.4571785117278</v>
      </c>
      <c r="AH10" s="41">
        <v>1373.0793595141968</v>
      </c>
      <c r="AI10" s="42">
        <v>3636.6277466408524</v>
      </c>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1015.1976921747919</v>
      </c>
      <c r="E11" s="42">
        <v>1057.716559163591</v>
      </c>
      <c r="F11" s="41">
        <v>1014.8901129946336</v>
      </c>
      <c r="G11" s="42">
        <v>1114.5608766393452</v>
      </c>
      <c r="H11" s="41">
        <v>1015.0943070806335</v>
      </c>
      <c r="I11" s="42">
        <v>1176.8754214707717</v>
      </c>
      <c r="J11" s="41">
        <v>1015.9500807902597</v>
      </c>
      <c r="K11" s="42">
        <v>1245.2934390337298</v>
      </c>
      <c r="L11" s="41">
        <v>1017.6470865198631</v>
      </c>
      <c r="M11" s="42">
        <v>1320.5104296252105</v>
      </c>
      <c r="N11" s="41">
        <v>1020.4447998020817</v>
      </c>
      <c r="O11" s="42">
        <v>1403.2920487907754</v>
      </c>
      <c r="P11" s="41">
        <v>1024.7030173374317</v>
      </c>
      <c r="Q11" s="42">
        <v>1494.4917317721299</v>
      </c>
      <c r="R11" s="41">
        <v>1030.92714199498</v>
      </c>
      <c r="S11" s="42">
        <v>1595.1030121217325</v>
      </c>
      <c r="T11" s="41">
        <v>1039.8375654238368</v>
      </c>
      <c r="U11" s="42">
        <v>1706.3981100648041</v>
      </c>
      <c r="V11" s="41">
        <v>1052.4722814814368</v>
      </c>
      <c r="W11" s="42">
        <v>1830.2705595361847</v>
      </c>
      <c r="X11" s="41">
        <v>1070.34552434954</v>
      </c>
      <c r="Y11" s="42">
        <v>1970.0227260062441</v>
      </c>
      <c r="Z11" s="41">
        <v>1095.6860624399367</v>
      </c>
      <c r="AA11" s="42">
        <v>2132.1051114661077</v>
      </c>
      <c r="AB11" s="41">
        <v>1131.804082160354</v>
      </c>
      <c r="AC11" s="42">
        <v>2329.8452047111618</v>
      </c>
      <c r="AD11" s="41">
        <v>1183.7011659720361</v>
      </c>
      <c r="AE11" s="42">
        <v>2591.4528724326492</v>
      </c>
      <c r="AF11" s="41">
        <v>1259.3394231330483</v>
      </c>
      <c r="AG11" s="42">
        <v>2978.4571785117278</v>
      </c>
      <c r="AH11" s="41">
        <v>1373.0793595141968</v>
      </c>
      <c r="AI11" s="42">
        <v>3636.6277466408524</v>
      </c>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c r="AK12" s="42"/>
      <c r="AL12" s="41"/>
      <c r="AM12" s="42"/>
      <c r="AN12" s="41"/>
      <c r="AO12" s="42"/>
      <c r="AP12" s="41"/>
      <c r="AQ12" s="42"/>
      <c r="AR12" s="41"/>
      <c r="AS12" s="42"/>
      <c r="AT12" s="41"/>
      <c r="AU12" s="42"/>
      <c r="AV12" s="41"/>
      <c r="AW12" s="42"/>
    </row>
    <row r="13" spans="1:49" x14ac:dyDescent="0.2">
      <c r="A13" t="s">
        <v>17</v>
      </c>
      <c r="B13" s="97">
        <v>1000</v>
      </c>
      <c r="C13" s="98">
        <v>1000</v>
      </c>
      <c r="D13" s="97">
        <v>995.20216055852177</v>
      </c>
      <c r="E13" s="98">
        <v>995.20216055852177</v>
      </c>
      <c r="F13" s="97">
        <v>990.49794295947015</v>
      </c>
      <c r="G13" s="98">
        <v>990.49794295947015</v>
      </c>
      <c r="H13" s="97">
        <v>985.95717959594174</v>
      </c>
      <c r="I13" s="98">
        <v>985.95717959594174</v>
      </c>
      <c r="J13" s="97">
        <v>981.6793005506571</v>
      </c>
      <c r="K13" s="98">
        <v>981.6793005506571</v>
      </c>
      <c r="L13" s="97">
        <v>977.80806277522879</v>
      </c>
      <c r="M13" s="98">
        <v>977.80806277522879</v>
      </c>
      <c r="N13" s="97">
        <v>974.5505588596759</v>
      </c>
      <c r="O13" s="98">
        <v>974.5505588596759</v>
      </c>
      <c r="P13" s="97">
        <v>972.20661673015297</v>
      </c>
      <c r="Q13" s="98">
        <v>972.20661673015297</v>
      </c>
      <c r="R13" s="97">
        <v>971.21274051780642</v>
      </c>
      <c r="S13" s="98">
        <v>971.21274051780642</v>
      </c>
      <c r="T13" s="97">
        <v>972.20998469083247</v>
      </c>
      <c r="U13" s="98">
        <v>972.20998469083247</v>
      </c>
      <c r="V13" s="97">
        <v>976.1453901190855</v>
      </c>
      <c r="W13" s="98">
        <v>976.1453901190855</v>
      </c>
      <c r="X13" s="97">
        <v>984.43179669472386</v>
      </c>
      <c r="Y13" s="98">
        <v>984.43179669472386</v>
      </c>
      <c r="Z13" s="97">
        <v>999.19488446230525</v>
      </c>
      <c r="AA13" s="98">
        <v>999.19488446230525</v>
      </c>
      <c r="AB13" s="97">
        <v>1023.669171032044</v>
      </c>
      <c r="AC13" s="98">
        <v>1023.669171032044</v>
      </c>
      <c r="AD13" s="97">
        <v>1062.8836919512985</v>
      </c>
      <c r="AE13" s="98">
        <v>1062.8836919512985</v>
      </c>
      <c r="AF13" s="97">
        <v>1125.1158897097018</v>
      </c>
      <c r="AG13" s="98">
        <v>1125.1158897097018</v>
      </c>
      <c r="AH13" s="97">
        <v>1225.8758263256286</v>
      </c>
      <c r="AI13" s="98">
        <v>1225.8758263256286</v>
      </c>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1450.0129566459912</v>
      </c>
      <c r="E14" s="42">
        <v>1450.0129566459914</v>
      </c>
      <c r="F14" s="41">
        <v>1443.1588954915433</v>
      </c>
      <c r="G14" s="42">
        <v>1443.1588954915433</v>
      </c>
      <c r="H14" s="41">
        <v>1436.542987718107</v>
      </c>
      <c r="I14" s="42">
        <v>1436.5429877181073</v>
      </c>
      <c r="J14" s="41">
        <v>1430.3101032967691</v>
      </c>
      <c r="K14" s="42">
        <v>1430.3101032967693</v>
      </c>
      <c r="L14" s="41">
        <v>1424.6696965984172</v>
      </c>
      <c r="M14" s="42">
        <v>1424.6696965984174</v>
      </c>
      <c r="N14" s="41">
        <v>1419.9235022360317</v>
      </c>
      <c r="O14" s="42">
        <v>1419.9235022360319</v>
      </c>
      <c r="P14" s="41">
        <v>1416.5083705249738</v>
      </c>
      <c r="Q14" s="42">
        <v>1416.508370524974</v>
      </c>
      <c r="R14" s="41">
        <v>1415.0602894794142</v>
      </c>
      <c r="S14" s="42">
        <v>1415.0602894794145</v>
      </c>
      <c r="T14" s="41">
        <v>1416.5132776552196</v>
      </c>
      <c r="U14" s="42">
        <v>1416.5132776552198</v>
      </c>
      <c r="V14" s="41">
        <v>1422.2471768435207</v>
      </c>
      <c r="W14" s="42">
        <v>1422.2471768435207</v>
      </c>
      <c r="X14" s="41">
        <v>1434.3204996063741</v>
      </c>
      <c r="Y14" s="42">
        <v>1434.3204996063744</v>
      </c>
      <c r="Z14" s="41">
        <v>1455.8303690494643</v>
      </c>
      <c r="AA14" s="42">
        <v>1455.8303690494645</v>
      </c>
      <c r="AB14" s="41">
        <v>1491.4894884095665</v>
      </c>
      <c r="AC14" s="42">
        <v>1491.4894884095668</v>
      </c>
      <c r="AD14" s="41">
        <v>1548.6251797043612</v>
      </c>
      <c r="AE14" s="42">
        <v>1548.6251797043615</v>
      </c>
      <c r="AF14" s="41">
        <v>1639.2977049926883</v>
      </c>
      <c r="AG14" s="42">
        <v>1639.2977049926885</v>
      </c>
      <c r="AH14" s="41">
        <v>1786.1052777595396</v>
      </c>
      <c r="AI14" s="42">
        <v>1786.1052777595398</v>
      </c>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999.29719248215702</v>
      </c>
      <c r="E15" s="155">
        <v>999.29719248215702</v>
      </c>
      <c r="F15" s="154">
        <v>998.99443075055797</v>
      </c>
      <c r="G15" s="155">
        <v>998.99443075055797</v>
      </c>
      <c r="H15" s="154">
        <v>999.19542665355698</v>
      </c>
      <c r="I15" s="155">
        <v>999.19542665355698</v>
      </c>
      <c r="J15" s="154">
        <v>1000.0377968362527</v>
      </c>
      <c r="K15" s="155">
        <v>1000.0377968362527</v>
      </c>
      <c r="L15" s="154">
        <v>1001.7082232707198</v>
      </c>
      <c r="M15" s="155">
        <v>1001.7082232707198</v>
      </c>
      <c r="N15" s="154">
        <v>1004.4621174627978</v>
      </c>
      <c r="O15" s="155">
        <v>1004.4621174627978</v>
      </c>
      <c r="P15" s="154">
        <v>1008.6536408092879</v>
      </c>
      <c r="Q15" s="155">
        <v>1008.6536408092879</v>
      </c>
      <c r="R15" s="154">
        <v>1014.780280323827</v>
      </c>
      <c r="S15" s="155">
        <v>1014.780280323827</v>
      </c>
      <c r="T15" s="154">
        <v>1023.551144545562</v>
      </c>
      <c r="U15" s="155">
        <v>1023.551144545562</v>
      </c>
      <c r="V15" s="154">
        <v>1035.9879697880638</v>
      </c>
      <c r="W15" s="155">
        <v>1035.9879697880638</v>
      </c>
      <c r="X15" s="154">
        <v>1053.5812735911738</v>
      </c>
      <c r="Y15" s="155">
        <v>1053.5812735911738</v>
      </c>
      <c r="Z15" s="154">
        <v>1078.5249163564299</v>
      </c>
      <c r="AA15" s="155">
        <v>1078.5249163564299</v>
      </c>
      <c r="AB15" s="154">
        <v>1114.0772388083351</v>
      </c>
      <c r="AC15" s="155">
        <v>1114.0772388083351</v>
      </c>
      <c r="AD15" s="154">
        <v>1165.1614862911358</v>
      </c>
      <c r="AE15" s="155">
        <v>1165.1614862911358</v>
      </c>
      <c r="AF15" s="154">
        <v>1239.615061794565</v>
      </c>
      <c r="AG15" s="155">
        <v>1239.615061794565</v>
      </c>
      <c r="AH15" s="154">
        <v>1351.5735502494533</v>
      </c>
      <c r="AI15" s="155">
        <v>1351.5735502494533</v>
      </c>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997.11326691944146</v>
      </c>
      <c r="E16" s="42">
        <v>998.12810661241497</v>
      </c>
      <c r="F16" s="41">
        <v>994.46175457446429</v>
      </c>
      <c r="G16" s="42">
        <v>996.5682028196145</v>
      </c>
      <c r="H16" s="41">
        <v>992.1307629335688</v>
      </c>
      <c r="I16" s="42">
        <v>995.41418807043374</v>
      </c>
      <c r="J16" s="41">
        <v>990.23712532168486</v>
      </c>
      <c r="K16" s="42">
        <v>994.79260677003333</v>
      </c>
      <c r="L16" s="41">
        <v>988.94412197676172</v>
      </c>
      <c r="M16" s="42">
        <v>994.87767881641219</v>
      </c>
      <c r="N16" s="41">
        <v>988.48077975044373</v>
      </c>
      <c r="O16" s="42">
        <v>995.91077069683536</v>
      </c>
      <c r="P16" s="41">
        <v>989.17154805795576</v>
      </c>
      <c r="Q16" s="42">
        <v>998.23023332215973</v>
      </c>
      <c r="R16" s="41">
        <v>991.48052898545893</v>
      </c>
      <c r="S16" s="42">
        <v>1002.3157938025012</v>
      </c>
      <c r="T16" s="41">
        <v>996.07955891431641</v>
      </c>
      <c r="U16" s="42">
        <v>1008.8567354451777</v>
      </c>
      <c r="V16" s="41">
        <v>1003.9494889294231</v>
      </c>
      <c r="W16" s="42">
        <v>1018.853045171471</v>
      </c>
      <c r="X16" s="41">
        <v>1016.5384156654202</v>
      </c>
      <c r="Y16" s="42">
        <v>1033.7726629041247</v>
      </c>
      <c r="Z16" s="41">
        <v>1036.0031890105874</v>
      </c>
      <c r="AA16" s="42">
        <v>1055.7897238823909</v>
      </c>
      <c r="AB16" s="41">
        <v>1065.5897721075487</v>
      </c>
      <c r="AC16" s="42">
        <v>1088.1559040023694</v>
      </c>
      <c r="AD16" s="41">
        <v>1110.2804183019532</v>
      </c>
      <c r="AE16" s="42">
        <v>1135.8257037773742</v>
      </c>
      <c r="AF16" s="41">
        <v>1178.1545940696635</v>
      </c>
      <c r="AG16" s="42">
        <v>1206.7651493931246</v>
      </c>
      <c r="AH16" s="41">
        <v>1284.0986815922824</v>
      </c>
      <c r="AI16" s="42">
        <v>1315.5094335150704</v>
      </c>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999.36109582021675</v>
      </c>
      <c r="E17" s="36">
        <v>1026.5205772009363</v>
      </c>
      <c r="F17" s="35">
        <v>999.08597197619849</v>
      </c>
      <c r="G17" s="36">
        <v>1055.5849543103943</v>
      </c>
      <c r="H17" s="35">
        <v>999.268609057135</v>
      </c>
      <c r="I17" s="36">
        <v>1087.5053229812693</v>
      </c>
      <c r="J17" s="35">
        <v>1000.034369551707</v>
      </c>
      <c r="K17" s="36">
        <v>1122.6381689655555</v>
      </c>
      <c r="L17" s="35">
        <v>1001.5544287454818</v>
      </c>
      <c r="M17" s="36">
        <v>1161.3917279254933</v>
      </c>
      <c r="N17" s="35">
        <v>1004.0649194584846</v>
      </c>
      <c r="O17" s="36">
        <v>1204.2403248640771</v>
      </c>
      <c r="P17" s="35">
        <v>1007.8966540653281</v>
      </c>
      <c r="Q17" s="36">
        <v>1251.7493906427487</v>
      </c>
      <c r="R17" s="35">
        <v>1013.5203719332318</v>
      </c>
      <c r="S17" s="36">
        <v>1304.6260215499467</v>
      </c>
      <c r="T17" s="35">
        <v>1021.6181540731784</v>
      </c>
      <c r="U17" s="36">
        <v>1363.8254173560254</v>
      </c>
      <c r="V17" s="35">
        <v>1033.1935268567536</v>
      </c>
      <c r="W17" s="36">
        <v>1430.7757616015178</v>
      </c>
      <c r="X17" s="35">
        <v>1049.7499137057985</v>
      </c>
      <c r="Y17" s="36">
        <v>1507.8504206925352</v>
      </c>
      <c r="Z17" s="35">
        <v>1073.5764057594054</v>
      </c>
      <c r="AA17" s="36">
        <v>1599.3453370254281</v>
      </c>
      <c r="AB17" s="35">
        <v>1108.2212477305525</v>
      </c>
      <c r="AC17" s="36">
        <v>1713.4872014236873</v>
      </c>
      <c r="AD17" s="35">
        <v>1159.3334932846226</v>
      </c>
      <c r="AE17" s="36">
        <v>1866.6274258133269</v>
      </c>
      <c r="AF17" s="35">
        <v>1236.4522967331363</v>
      </c>
      <c r="AG17" s="36">
        <v>2092.7647293649975</v>
      </c>
      <c r="AH17" s="35">
        <v>1357.8310591413506</v>
      </c>
      <c r="AI17" s="36">
        <v>2469.6029921295353</v>
      </c>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27593.058984618376</v>
      </c>
      <c r="E18" s="34">
        <v>1155.1414828827476</v>
      </c>
      <c r="F18" s="33">
        <v>27289.868759071695</v>
      </c>
      <c r="G18" s="34">
        <v>1073.9421390982845</v>
      </c>
      <c r="H18" s="33">
        <v>26940.080794666865</v>
      </c>
      <c r="I18" s="34">
        <v>993.25976655082047</v>
      </c>
      <c r="J18" s="33">
        <v>26534.818388253509</v>
      </c>
      <c r="K18" s="34">
        <v>913.20573882385122</v>
      </c>
      <c r="L18" s="33">
        <v>26063.339662684906</v>
      </c>
      <c r="M18" s="34">
        <v>833.91416087409459</v>
      </c>
      <c r="N18" s="33">
        <v>25512.833340270332</v>
      </c>
      <c r="O18" s="34">
        <v>755.54400071517841</v>
      </c>
      <c r="P18" s="33">
        <v>24868.306745444163</v>
      </c>
      <c r="Q18" s="34">
        <v>678.27937715841381</v>
      </c>
      <c r="R18" s="33">
        <v>24112.790284138926</v>
      </c>
      <c r="S18" s="34">
        <v>602.32509160716688</v>
      </c>
      <c r="T18" s="33">
        <v>23228.134232727174</v>
      </c>
      <c r="U18" s="34">
        <v>527.89843771688027</v>
      </c>
      <c r="V18" s="33">
        <v>22196.91061868368</v>
      </c>
      <c r="W18" s="34">
        <v>455.2055866641943</v>
      </c>
      <c r="X18" s="33">
        <v>21005.889187167344</v>
      </c>
      <c r="Y18" s="34">
        <v>384.4093664916262</v>
      </c>
      <c r="Z18" s="33">
        <v>19651.432160074422</v>
      </c>
      <c r="AA18" s="34">
        <v>315.60714888258104</v>
      </c>
      <c r="AB18" s="33">
        <v>18146.051079877121</v>
      </c>
      <c r="AC18" s="34">
        <v>248.86117484295494</v>
      </c>
      <c r="AD18" s="33">
        <v>16522.613103500902</v>
      </c>
      <c r="AE18" s="34">
        <v>184.4101239266848</v>
      </c>
      <c r="AF18" s="33">
        <v>14828.838048232787</v>
      </c>
      <c r="AG18" s="34">
        <v>123.26391767331282</v>
      </c>
      <c r="AH18" s="33">
        <v>13104.339777650155</v>
      </c>
      <c r="AI18" s="34">
        <v>68.391389990976506</v>
      </c>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1865.3694606504253</v>
      </c>
      <c r="E19" s="42">
        <v>265.2472880401566</v>
      </c>
      <c r="F19" s="41">
        <v>1843.5315380275269</v>
      </c>
      <c r="G19" s="42">
        <v>267.98571576629269</v>
      </c>
      <c r="H19" s="41">
        <v>1820.781107156243</v>
      </c>
      <c r="I19" s="42">
        <v>270.97777447975858</v>
      </c>
      <c r="J19" s="41">
        <v>1797.0218336477822</v>
      </c>
      <c r="K19" s="42">
        <v>274.18166183173287</v>
      </c>
      <c r="L19" s="41">
        <v>1772.1745206206385</v>
      </c>
      <c r="M19" s="42">
        <v>277.5336849068633</v>
      </c>
      <c r="N19" s="41">
        <v>1746.2028123260943</v>
      </c>
      <c r="O19" s="42">
        <v>280.94344112610253</v>
      </c>
      <c r="P19" s="41">
        <v>1719.1601783415504</v>
      </c>
      <c r="Q19" s="42">
        <v>284.29047499902157</v>
      </c>
      <c r="R19" s="41">
        <v>1691.2725771215605</v>
      </c>
      <c r="S19" s="42">
        <v>287.42579208579997</v>
      </c>
      <c r="T19" s="41">
        <v>1663.0847903611309</v>
      </c>
      <c r="U19" s="42">
        <v>290.18418539974681</v>
      </c>
      <c r="V19" s="41">
        <v>1635.7024198899157</v>
      </c>
      <c r="W19" s="42">
        <v>292.41426993559418</v>
      </c>
      <c r="X19" s="41">
        <v>1611.200340906086</v>
      </c>
      <c r="Y19" s="42">
        <v>294.03490366134525</v>
      </c>
      <c r="Z19" s="41">
        <v>1593.2673720221003</v>
      </c>
      <c r="AA19" s="42">
        <v>295.11155486492237</v>
      </c>
      <c r="AB19" s="41">
        <v>1588.2118496532391</v>
      </c>
      <c r="AC19" s="42">
        <v>295.90549098768469</v>
      </c>
      <c r="AD19" s="41">
        <v>1606.5440156793388</v>
      </c>
      <c r="AE19" s="42">
        <v>296.73310387212547</v>
      </c>
      <c r="AF19" s="41">
        <v>1665.9553463750321</v>
      </c>
      <c r="AG19" s="42">
        <v>297.24173530268291</v>
      </c>
      <c r="AH19" s="41">
        <v>1799.160851942891</v>
      </c>
      <c r="AI19" s="42">
        <v>294.30456241403942</v>
      </c>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26289.408745601759</v>
      </c>
      <c r="E20" s="83">
        <v>1338.1147774499941</v>
      </c>
      <c r="F20" s="82">
        <v>25997.388736418408</v>
      </c>
      <c r="G20" s="83">
        <v>1267.6876838999945</v>
      </c>
      <c r="H20" s="82">
        <v>25666.234243089802</v>
      </c>
      <c r="I20" s="83">
        <v>1197.2605903499946</v>
      </c>
      <c r="J20" s="82">
        <v>25288.659829967622</v>
      </c>
      <c r="K20" s="83">
        <v>1126.8334967999951</v>
      </c>
      <c r="L20" s="82">
        <v>24855.888982592362</v>
      </c>
      <c r="M20" s="83">
        <v>1056.4064032499953</v>
      </c>
      <c r="N20" s="82">
        <v>24357.507716632164</v>
      </c>
      <c r="O20" s="83">
        <v>985.97930969999561</v>
      </c>
      <c r="P20" s="82">
        <v>23781.405047850629</v>
      </c>
      <c r="Q20" s="83">
        <v>915.55221614999596</v>
      </c>
      <c r="R20" s="82">
        <v>23113.986656972495</v>
      </c>
      <c r="S20" s="83">
        <v>845.12512259999642</v>
      </c>
      <c r="T20" s="82">
        <v>22340.89574291608</v>
      </c>
      <c r="U20" s="83">
        <v>774.69802904999653</v>
      </c>
      <c r="V20" s="82">
        <v>21448.659828044631</v>
      </c>
      <c r="W20" s="83">
        <v>704.27093549999688</v>
      </c>
      <c r="X20" s="82">
        <v>20427.665980306741</v>
      </c>
      <c r="Y20" s="83">
        <v>633.84384194999723</v>
      </c>
      <c r="Z20" s="82">
        <v>19276.739775520531</v>
      </c>
      <c r="AA20" s="83">
        <v>563.41674839999746</v>
      </c>
      <c r="AB20" s="82">
        <v>18008.731337039932</v>
      </c>
      <c r="AC20" s="83">
        <v>492.98965484999781</v>
      </c>
      <c r="AD20" s="82">
        <v>16654.272912460241</v>
      </c>
      <c r="AE20" s="83">
        <v>422.56256129999809</v>
      </c>
      <c r="AF20" s="82">
        <v>15257.906802563046</v>
      </c>
      <c r="AG20" s="83">
        <v>352.13546774999827</v>
      </c>
      <c r="AH20" s="82">
        <v>13861.043122185827</v>
      </c>
      <c r="AI20" s="83">
        <v>281.70837419999856</v>
      </c>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24424.040278202378</v>
      </c>
      <c r="E21" s="83">
        <v>1073.0138560571622</v>
      </c>
      <c r="F21" s="82">
        <v>24153.859209143298</v>
      </c>
      <c r="G21" s="83">
        <v>1000.3155372262271</v>
      </c>
      <c r="H21" s="82">
        <v>23845.454406794022</v>
      </c>
      <c r="I21" s="83">
        <v>927.72951789411411</v>
      </c>
      <c r="J21" s="82">
        <v>23491.637999083287</v>
      </c>
      <c r="K21" s="83">
        <v>855.34608081655347</v>
      </c>
      <c r="L21" s="82">
        <v>23083.720009805107</v>
      </c>
      <c r="M21" s="83">
        <v>783.27972867920118</v>
      </c>
      <c r="N21" s="82">
        <v>22611.341999672393</v>
      </c>
      <c r="O21" s="83">
        <v>711.67247868953416</v>
      </c>
      <c r="P21" s="82">
        <v>22062.381089310871</v>
      </c>
      <c r="Q21" s="83">
        <v>640.69548296023095</v>
      </c>
      <c r="R21" s="82">
        <v>21423.100308941383</v>
      </c>
      <c r="S21" s="83">
        <v>570.54657660770374</v>
      </c>
      <c r="T21" s="82">
        <v>20678.758780483338</v>
      </c>
      <c r="U21" s="83">
        <v>501.44022808361865</v>
      </c>
      <c r="V21" s="82">
        <v>19815.082215652033</v>
      </c>
      <c r="W21" s="83">
        <v>433.58748668399687</v>
      </c>
      <c r="X21" s="82">
        <v>18820.951539161622</v>
      </c>
      <c r="Y21" s="83">
        <v>367.16510823917292</v>
      </c>
      <c r="Z21" s="82">
        <v>17692.564275264751</v>
      </c>
      <c r="AA21" s="83">
        <v>302.28890746724915</v>
      </c>
      <c r="AB21" s="82">
        <v>16438.445588362571</v>
      </c>
      <c r="AC21" s="83">
        <v>239.038867408459</v>
      </c>
      <c r="AD21" s="82">
        <v>15082.478348622724</v>
      </c>
      <c r="AE21" s="83">
        <v>177.65494588848816</v>
      </c>
      <c r="AF21" s="82">
        <v>13658.959648180651</v>
      </c>
      <c r="AG21" s="83">
        <v>119.11235328890349</v>
      </c>
      <c r="AH21" s="82">
        <v>12192.931060859666</v>
      </c>
      <c r="AI21" s="83">
        <v>66.290986329168774</v>
      </c>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6448.4624355331671</v>
      </c>
      <c r="E22" s="42">
        <v>363.45842648049461</v>
      </c>
      <c r="F22" s="41">
        <v>6354.0563815314363</v>
      </c>
      <c r="G22" s="42">
        <v>346.81775002687283</v>
      </c>
      <c r="H22" s="41">
        <v>6248.7849335379815</v>
      </c>
      <c r="I22" s="42">
        <v>329.97940860992486</v>
      </c>
      <c r="J22" s="41">
        <v>6130.7341604930152</v>
      </c>
      <c r="K22" s="42">
        <v>312.93695805323171</v>
      </c>
      <c r="L22" s="41">
        <v>5997.6158148341028</v>
      </c>
      <c r="M22" s="42">
        <v>295.68437464294317</v>
      </c>
      <c r="N22" s="41">
        <v>5846.7334711221838</v>
      </c>
      <c r="O22" s="42">
        <v>278.21628432981771</v>
      </c>
      <c r="P22" s="41">
        <v>5674.9723983135618</v>
      </c>
      <c r="Q22" s="42">
        <v>260.52863329492425</v>
      </c>
      <c r="R22" s="41">
        <v>5478.8582408871589</v>
      </c>
      <c r="S22" s="42">
        <v>242.61964499609883</v>
      </c>
      <c r="T22" s="41">
        <v>5254.7442090328841</v>
      </c>
      <c r="U22" s="42">
        <v>224.49128203217268</v>
      </c>
      <c r="V22" s="41">
        <v>4999.2204411964012</v>
      </c>
      <c r="W22" s="42">
        <v>206.1505171000567</v>
      </c>
      <c r="X22" s="41">
        <v>4709.8517023226559</v>
      </c>
      <c r="Y22" s="42">
        <v>187.61060365615427</v>
      </c>
      <c r="Z22" s="41">
        <v>4386.2801231111798</v>
      </c>
      <c r="AA22" s="42">
        <v>168.88832102923308</v>
      </c>
      <c r="AB22" s="41">
        <v>4031.5375933684873</v>
      </c>
      <c r="AC22" s="42">
        <v>149.99253066392146</v>
      </c>
      <c r="AD22" s="41">
        <v>3652.8074395594226</v>
      </c>
      <c r="AE22" s="42">
        <v>130.89136175158887</v>
      </c>
      <c r="AF22" s="41">
        <v>3260.0960438503198</v>
      </c>
      <c r="AG22" s="42">
        <v>111.44247170550702</v>
      </c>
      <c r="AH22" s="41">
        <v>2861.1951759471617</v>
      </c>
      <c r="AI22" s="42">
        <v>91.281651769266205</v>
      </c>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3249.9017652537568</v>
      </c>
      <c r="E23" s="8">
        <v>0</v>
      </c>
      <c r="F23" s="116">
        <v>3216.5959520044707</v>
      </c>
      <c r="G23" s="8">
        <v>0</v>
      </c>
      <c r="H23" s="116">
        <v>3177.6937430405796</v>
      </c>
      <c r="I23" s="8">
        <v>0</v>
      </c>
      <c r="J23" s="116">
        <v>3132.1202690951536</v>
      </c>
      <c r="K23" s="8">
        <v>0</v>
      </c>
      <c r="L23" s="116">
        <v>3078.5744322123837</v>
      </c>
      <c r="M23" s="8">
        <v>0</v>
      </c>
      <c r="N23" s="116">
        <v>3015.5051939905425</v>
      </c>
      <c r="O23" s="8">
        <v>0</v>
      </c>
      <c r="P23" s="116">
        <v>2941.0996929661401</v>
      </c>
      <c r="Q23" s="8">
        <v>0</v>
      </c>
      <c r="R23" s="116">
        <v>2853.3115605262224</v>
      </c>
      <c r="S23" s="8">
        <v>0</v>
      </c>
      <c r="T23" s="116">
        <v>2749.9627150956712</v>
      </c>
      <c r="U23" s="8">
        <v>0</v>
      </c>
      <c r="V23" s="116">
        <v>2628.9865340327096</v>
      </c>
      <c r="W23" s="8">
        <v>0</v>
      </c>
      <c r="X23" s="116">
        <v>2488.8685946654364</v>
      </c>
      <c r="Y23" s="8">
        <v>0</v>
      </c>
      <c r="Z23" s="116">
        <v>2329.3360350203748</v>
      </c>
      <c r="AA23" s="8">
        <v>0</v>
      </c>
      <c r="AB23" s="116">
        <v>2152.2095864070238</v>
      </c>
      <c r="AC23" s="8">
        <v>0</v>
      </c>
      <c r="AD23" s="116">
        <v>1962.0068456428237</v>
      </c>
      <c r="AE23" s="8">
        <v>0</v>
      </c>
      <c r="AF23" s="116">
        <v>1765.4381990740376</v>
      </c>
      <c r="AG23" s="8">
        <v>0</v>
      </c>
      <c r="AH23" s="116">
        <v>1568.9588660561867</v>
      </c>
      <c r="AI23" s="8">
        <v>0</v>
      </c>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3169.0169879016044</v>
      </c>
      <c r="E25" s="42">
        <v>82.101077760052746</v>
      </c>
      <c r="F25" s="41">
        <v>3136.0061429161951</v>
      </c>
      <c r="G25" s="42">
        <v>73.521829946837755</v>
      </c>
      <c r="H25" s="41">
        <v>3094.6239795215488</v>
      </c>
      <c r="I25" s="42">
        <v>65.302819720005786</v>
      </c>
      <c r="J25" s="41">
        <v>3043.180152549869</v>
      </c>
      <c r="K25" s="42">
        <v>57.472515059869572</v>
      </c>
      <c r="L25" s="41">
        <v>2979.6106750309727</v>
      </c>
      <c r="M25" s="42">
        <v>50.059200539287758</v>
      </c>
      <c r="N25" s="41">
        <v>2901.4320815230326</v>
      </c>
      <c r="O25" s="42">
        <v>43.090071966801474</v>
      </c>
      <c r="P25" s="41">
        <v>2805.7104032197785</v>
      </c>
      <c r="Q25" s="42">
        <v>36.590047849548014</v>
      </c>
      <c r="R25" s="41">
        <v>2689.0906991380202</v>
      </c>
      <c r="S25" s="42">
        <v>30.580190419857935</v>
      </c>
      <c r="T25" s="41">
        <v>2547.9386295107224</v>
      </c>
      <c r="U25" s="42">
        <v>25.075991319166707</v>
      </c>
      <c r="V25" s="41">
        <v>2378.7120599192131</v>
      </c>
      <c r="W25" s="42">
        <v>20.085489554335357</v>
      </c>
      <c r="X25" s="41">
        <v>2178.6527863504266</v>
      </c>
      <c r="Y25" s="42">
        <v>15.608437449686352</v>
      </c>
      <c r="Z25" s="41">
        <v>1946.9164531510576</v>
      </c>
      <c r="AA25" s="42">
        <v>11.638770368706039</v>
      </c>
      <c r="AB25" s="41">
        <v>1686.0384631672391</v>
      </c>
      <c r="AC25" s="42">
        <v>8.1732120546578955</v>
      </c>
      <c r="AD25" s="41">
        <v>1403.1600321882106</v>
      </c>
      <c r="AE25" s="42">
        <v>5.229370462373371</v>
      </c>
      <c r="AF25" s="41">
        <v>1109.7529325779826</v>
      </c>
      <c r="AG25" s="42">
        <v>2.8684460219616059</v>
      </c>
      <c r="AH25" s="41">
        <v>818.84303027130693</v>
      </c>
      <c r="AI25" s="42">
        <v>1.1968774103656761</v>
      </c>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4996.8546880690856</v>
      </c>
      <c r="E26" s="34">
        <v>70.052584468667305</v>
      </c>
      <c r="F26" s="33">
        <v>4950.841514251154</v>
      </c>
      <c r="G26" s="34">
        <v>65.220983733048413</v>
      </c>
      <c r="H26" s="33">
        <v>4896.9316143495544</v>
      </c>
      <c r="I26" s="34">
        <v>60.415026428209707</v>
      </c>
      <c r="J26" s="33">
        <v>4833.5090727482957</v>
      </c>
      <c r="K26" s="34">
        <v>55.640305882402295</v>
      </c>
      <c r="L26" s="33">
        <v>4758.5931448886076</v>
      </c>
      <c r="M26" s="34">
        <v>50.903608830756944</v>
      </c>
      <c r="N26" s="33">
        <v>4669.7882021627911</v>
      </c>
      <c r="O26" s="34">
        <v>46.213045358706452</v>
      </c>
      <c r="P26" s="33">
        <v>4564.2449458581714</v>
      </c>
      <c r="Q26" s="34">
        <v>41.578080807905131</v>
      </c>
      <c r="R26" s="33">
        <v>4438.6731332144363</v>
      </c>
      <c r="S26" s="34">
        <v>37.009307398567486</v>
      </c>
      <c r="T26" s="33">
        <v>4289.4555915049132</v>
      </c>
      <c r="U26" s="34">
        <v>32.51800085941089</v>
      </c>
      <c r="V26" s="33">
        <v>4112.9594536372078</v>
      </c>
      <c r="W26" s="34">
        <v>28.114825310346983</v>
      </c>
      <c r="X26" s="33">
        <v>3906.1342038447724</v>
      </c>
      <c r="Y26" s="34">
        <v>23.808059564270785</v>
      </c>
      <c r="Z26" s="33">
        <v>3667.4715860630959</v>
      </c>
      <c r="AA26" s="34">
        <v>19.602477486686983</v>
      </c>
      <c r="AB26" s="33">
        <v>3398.2030944274989</v>
      </c>
      <c r="AC26" s="34">
        <v>15.50153790524395</v>
      </c>
      <c r="AD26" s="33">
        <v>3103.0992494800812</v>
      </c>
      <c r="AE26" s="34">
        <v>11.520775560266781</v>
      </c>
      <c r="AF26" s="33">
        <v>2789.4661834856129</v>
      </c>
      <c r="AG26" s="34">
        <v>7.7249508952076171</v>
      </c>
      <c r="AH26" s="33">
        <v>2462.6753611179806</v>
      </c>
      <c r="AI26" s="34">
        <v>4.3021496908815928</v>
      </c>
      <c r="AJ26" s="33"/>
      <c r="AK26" s="34"/>
      <c r="AL26" s="33"/>
      <c r="AM26" s="34"/>
      <c r="AN26" s="33"/>
      <c r="AO26" s="34"/>
      <c r="AP26" s="33"/>
      <c r="AQ26" s="34"/>
      <c r="AR26" s="33"/>
      <c r="AS26" s="34"/>
      <c r="AT26" s="33"/>
      <c r="AU26" s="34"/>
      <c r="AV26" s="33"/>
      <c r="AW26" s="34"/>
    </row>
    <row r="27" spans="1:49" x14ac:dyDescent="0.2">
      <c r="A27" t="s">
        <v>2</v>
      </c>
      <c r="B27" s="35">
        <v>6425.1981589999841</v>
      </c>
      <c r="C27" s="36">
        <v>273.22915400000028</v>
      </c>
      <c r="D27" s="35">
        <v>6367.0325194098759</v>
      </c>
      <c r="E27" s="36">
        <v>255.37062424797182</v>
      </c>
      <c r="F27" s="35">
        <v>6300.0141355034739</v>
      </c>
      <c r="G27" s="36">
        <v>237.59934997385938</v>
      </c>
      <c r="H27" s="35">
        <v>6222.4537313933097</v>
      </c>
      <c r="I27" s="36">
        <v>219.93302846871669</v>
      </c>
      <c r="J27" s="35">
        <v>6132.3064380424403</v>
      </c>
      <c r="K27" s="36">
        <v>202.39361915343386</v>
      </c>
      <c r="L27" s="35">
        <v>6027.089316581325</v>
      </c>
      <c r="M27" s="36">
        <v>185.00766663456085</v>
      </c>
      <c r="N27" s="35">
        <v>5903.8289730651395</v>
      </c>
      <c r="O27" s="36">
        <v>167.80677994933171</v>
      </c>
      <c r="P27" s="35">
        <v>5759.0286585463682</v>
      </c>
      <c r="Q27" s="36">
        <v>150.82774701311678</v>
      </c>
      <c r="R27" s="35">
        <v>5588.7053116116922</v>
      </c>
      <c r="S27" s="36">
        <v>134.11167943783167</v>
      </c>
      <c r="T27" s="35">
        <v>5388.5594340656517</v>
      </c>
      <c r="U27" s="36">
        <v>117.7024972220063</v>
      </c>
      <c r="V27" s="35">
        <v>5154.3950901289354</v>
      </c>
      <c r="W27" s="36">
        <v>101.64211257640316</v>
      </c>
      <c r="X27" s="35">
        <v>4882.8993648542446</v>
      </c>
      <c r="Y27" s="36">
        <v>85.96387577614685</v>
      </c>
      <c r="Z27" s="35">
        <v>4572.8620302848985</v>
      </c>
      <c r="AA27" s="36">
        <v>70.688428644886244</v>
      </c>
      <c r="AB27" s="35">
        <v>4226.6663477805878</v>
      </c>
      <c r="AC27" s="36">
        <v>55.831043042487096</v>
      </c>
      <c r="AD27" s="35">
        <v>3851.2427324717146</v>
      </c>
      <c r="AE27" s="36">
        <v>41.448704655592202</v>
      </c>
      <c r="AF27" s="35">
        <v>3456.762674153892</v>
      </c>
      <c r="AG27" s="36">
        <v>27.771323973588323</v>
      </c>
      <c r="AH27" s="35">
        <v>3051.1569133686421</v>
      </c>
      <c r="AI27" s="36">
        <v>15.464676527285832</v>
      </c>
      <c r="AJ27" s="35"/>
      <c r="AK27" s="36"/>
      <c r="AL27" s="35"/>
      <c r="AM27" s="36"/>
      <c r="AN27" s="35"/>
      <c r="AO27" s="36"/>
      <c r="AP27" s="35"/>
      <c r="AQ27" s="36"/>
      <c r="AR27" s="35"/>
      <c r="AS27" s="36"/>
      <c r="AT27" s="35"/>
      <c r="AU27" s="36"/>
      <c r="AV27" s="35"/>
      <c r="AW27" s="36"/>
    </row>
    <row r="28" spans="1:49" x14ac:dyDescent="0.2">
      <c r="A28" t="s">
        <v>35</v>
      </c>
      <c r="B28" s="41">
        <v>13763.097675999999</v>
      </c>
      <c r="C28" s="42">
        <v>382.36647900000042</v>
      </c>
      <c r="D28" s="41">
        <v>13647.458323440966</v>
      </c>
      <c r="E28" s="42">
        <v>357.43738758351577</v>
      </c>
      <c r="F28" s="41">
        <v>13513.370369016084</v>
      </c>
      <c r="G28" s="42">
        <v>332.6261758015886</v>
      </c>
      <c r="H28" s="41">
        <v>13357.211145745032</v>
      </c>
      <c r="I28" s="42">
        <v>307.9570921069369</v>
      </c>
      <c r="J28" s="41">
        <v>13174.576824463622</v>
      </c>
      <c r="K28" s="42">
        <v>283.46024963959138</v>
      </c>
      <c r="L28" s="41">
        <v>12960.093596950866</v>
      </c>
      <c r="M28" s="42">
        <v>259.17209268691636</v>
      </c>
      <c r="N28" s="41">
        <v>12707.292673480633</v>
      </c>
      <c r="O28" s="42">
        <v>235.13606802890354</v>
      </c>
      <c r="P28" s="41">
        <v>12408.521474772926</v>
      </c>
      <c r="Q28" s="42">
        <v>211.40278927615307</v>
      </c>
      <c r="R28" s="41">
        <v>12055.000257039168</v>
      </c>
      <c r="S28" s="42">
        <v>188.02885284477813</v>
      </c>
      <c r="T28" s="41">
        <v>11637.15977524228</v>
      </c>
      <c r="U28" s="42">
        <v>165.07468293509928</v>
      </c>
      <c r="V28" s="41">
        <v>11145.517179715973</v>
      </c>
      <c r="W28" s="42">
        <v>142.59783338454068</v>
      </c>
      <c r="X28" s="41">
        <v>10572.330104831568</v>
      </c>
      <c r="Y28" s="42">
        <v>120.64385342003938</v>
      </c>
      <c r="Z28" s="41">
        <v>9914.2186632429111</v>
      </c>
      <c r="AA28" s="42">
        <v>99.240512818600422</v>
      </c>
      <c r="AB28" s="41">
        <v>9175.4042924283185</v>
      </c>
      <c r="AC28" s="42">
        <v>78.408318880377621</v>
      </c>
      <c r="AD28" s="41">
        <v>8369.8290863576694</v>
      </c>
      <c r="AE28" s="42">
        <v>58.227065318036551</v>
      </c>
      <c r="AF28" s="41">
        <v>7518.3856458732398</v>
      </c>
      <c r="AG28" s="42">
        <v>39.021052092043043</v>
      </c>
      <c r="AH28" s="41">
        <v>6636.9201711986043</v>
      </c>
      <c r="AI28" s="42">
        <v>21.729787181878507</v>
      </c>
      <c r="AJ28" s="41"/>
      <c r="AK28" s="42"/>
      <c r="AL28" s="41"/>
      <c r="AM28" s="42"/>
      <c r="AN28" s="41"/>
      <c r="AO28" s="42"/>
      <c r="AP28" s="41"/>
      <c r="AQ28" s="42"/>
      <c r="AR28" s="41"/>
      <c r="AS28" s="42"/>
      <c r="AT28" s="41"/>
      <c r="AU28" s="42"/>
      <c r="AV28" s="41"/>
      <c r="AW28" s="42"/>
    </row>
    <row r="29" spans="1:49" x14ac:dyDescent="0.2">
      <c r="A29" t="s">
        <v>53</v>
      </c>
      <c r="B29" s="35">
        <v>14362.768557999996</v>
      </c>
      <c r="C29" s="36">
        <v>817.26651000000095</v>
      </c>
      <c r="D29" s="35">
        <v>14226.064550228772</v>
      </c>
      <c r="E29" s="36">
        <v>758.64486848703666</v>
      </c>
      <c r="F29" s="35">
        <v>14069.48699329812</v>
      </c>
      <c r="G29" s="36">
        <v>700.79948221915561</v>
      </c>
      <c r="H29" s="35">
        <v>13889.323620332418</v>
      </c>
      <c r="I29" s="36">
        <v>643.82407092307665</v>
      </c>
      <c r="J29" s="35">
        <v>13681.092641043217</v>
      </c>
      <c r="K29" s="36">
        <v>587.82661049614467</v>
      </c>
      <c r="L29" s="35">
        <v>13439.363700968801</v>
      </c>
      <c r="M29" s="36">
        <v>532.92962877871093</v>
      </c>
      <c r="N29" s="35">
        <v>13157.646694466917</v>
      </c>
      <c r="O29" s="36">
        <v>479.26968352494418</v>
      </c>
      <c r="P29" s="35">
        <v>12828.320839367931</v>
      </c>
      <c r="Q29" s="36">
        <v>426.99514457194658</v>
      </c>
      <c r="R29" s="35">
        <v>12442.711966896828</v>
      </c>
      <c r="S29" s="36">
        <v>376.25997437928174</v>
      </c>
      <c r="T29" s="35">
        <v>11991.449433084774</v>
      </c>
      <c r="U29" s="36">
        <v>327.21412445900847</v>
      </c>
      <c r="V29" s="35">
        <v>11465.349266162131</v>
      </c>
      <c r="W29" s="36">
        <v>279.98309574569868</v>
      </c>
      <c r="X29" s="35">
        <v>10857.045529781102</v>
      </c>
      <c r="Y29" s="36">
        <v>234.6420188591766</v>
      </c>
      <c r="Z29" s="35">
        <v>10163.528994688791</v>
      </c>
      <c r="AA29" s="36">
        <v>191.19726967002694</v>
      </c>
      <c r="AB29" s="35">
        <v>9389.208108300174</v>
      </c>
      <c r="AC29" s="36">
        <v>149.60585750018598</v>
      </c>
      <c r="AD29" s="35">
        <v>8547.7282913813051</v>
      </c>
      <c r="AE29" s="36">
        <v>109.91888271530149</v>
      </c>
      <c r="AF29" s="35">
        <v>7658.7699831988984</v>
      </c>
      <c r="AG29" s="36">
        <v>72.67891807990452</v>
      </c>
      <c r="AH29" s="35">
        <v>6735.4233007925932</v>
      </c>
      <c r="AI29" s="36">
        <v>39.678575284246207</v>
      </c>
      <c r="AJ29" s="35"/>
      <c r="AK29" s="36"/>
      <c r="AL29" s="35"/>
      <c r="AM29" s="36"/>
      <c r="AN29" s="35"/>
      <c r="AO29" s="36"/>
      <c r="AP29" s="35"/>
      <c r="AQ29" s="36"/>
      <c r="AR29" s="35"/>
      <c r="AS29" s="36"/>
      <c r="AT29" s="35"/>
      <c r="AU29" s="36"/>
      <c r="AV29" s="35"/>
      <c r="AW29" s="36"/>
    </row>
    <row r="30" spans="1:49" x14ac:dyDescent="0.2">
      <c r="A30" t="s">
        <v>48</v>
      </c>
      <c r="B30" s="119">
        <v>2924829.9599999995</v>
      </c>
      <c r="D30" s="119">
        <v>2935310.6633449094</v>
      </c>
      <c r="F30" s="119">
        <v>2942261.0737174125</v>
      </c>
      <c r="H30" s="119">
        <v>2944974.9688096009</v>
      </c>
      <c r="J30" s="119">
        <v>2942596.5719693643</v>
      </c>
      <c r="L30" s="119">
        <v>2934092.706362993</v>
      </c>
      <c r="N30" s="119">
        <v>2918244.2992174271</v>
      </c>
      <c r="P30" s="119">
        <v>2893658.496422221</v>
      </c>
      <c r="R30" s="119">
        <v>2858833.9375745435</v>
      </c>
      <c r="T30" s="119">
        <v>2812326.5377877578</v>
      </c>
      <c r="V30" s="119">
        <v>2753092.9486079263</v>
      </c>
      <c r="X30" s="119">
        <v>2681116.0312539269</v>
      </c>
      <c r="Z30" s="119">
        <v>2598414.9186570388</v>
      </c>
      <c r="AB30" s="119">
        <v>2510488.1519688107</v>
      </c>
      <c r="AD30" s="119">
        <v>2428044.5684341043</v>
      </c>
      <c r="AF30" s="119">
        <v>2368892.5120822452</v>
      </c>
      <c r="AH30" s="119">
        <v>2361402.0100951008</v>
      </c>
      <c r="AJ30" s="119"/>
      <c r="AL30" s="119"/>
      <c r="AN30" s="119"/>
      <c r="AP30" s="119"/>
      <c r="AR30" s="119"/>
      <c r="AT30" s="119"/>
      <c r="AV30" s="119"/>
    </row>
    <row r="31" spans="1:49" x14ac:dyDescent="0.2">
      <c r="A31" t="s">
        <v>47</v>
      </c>
      <c r="B31" s="80">
        <v>1</v>
      </c>
      <c r="D31" s="80">
        <v>0.98528087601056491</v>
      </c>
      <c r="F31" s="80">
        <v>0.96911144828215767</v>
      </c>
      <c r="H31" s="80">
        <v>0.95125740598659303</v>
      </c>
      <c r="J31" s="80">
        <v>0.93144118296153389</v>
      </c>
      <c r="L31" s="80">
        <v>0.90933399388265912</v>
      </c>
      <c r="N31" s="80">
        <v>0.88455207259463964</v>
      </c>
      <c r="P31" s="80">
        <v>0.85665656040674143</v>
      </c>
      <c r="R31" s="80">
        <v>0.8251633096915113</v>
      </c>
      <c r="T31" s="80">
        <v>0.78957077978563028</v>
      </c>
      <c r="V31" s="80">
        <v>0.74941846510108467</v>
      </c>
      <c r="X31" s="80">
        <v>0.70438978879135417</v>
      </c>
      <c r="Z31" s="80">
        <v>0.65446225487487919</v>
      </c>
      <c r="AB31" s="80">
        <v>0.60008036554093225</v>
      </c>
      <c r="AD31" s="80">
        <v>0.54224036017414967</v>
      </c>
      <c r="AF31" s="80">
        <v>0.48226517300841398</v>
      </c>
      <c r="AH31" s="80">
        <v>0.42103070736730963</v>
      </c>
      <c r="AJ31" s="80"/>
      <c r="AL31" s="80"/>
      <c r="AN31" s="80"/>
      <c r="AP31" s="80"/>
      <c r="AR31" s="80"/>
      <c r="AT31" s="80"/>
      <c r="AV31" s="80"/>
    </row>
    <row r="32" spans="1:49" x14ac:dyDescent="0.2">
      <c r="A32" t="s">
        <v>64</v>
      </c>
      <c r="B32" s="86">
        <v>14734457.915000005</v>
      </c>
      <c r="D32" s="86">
        <v>14595656.57489318</v>
      </c>
      <c r="F32" s="86">
        <v>14441699.808578268</v>
      </c>
      <c r="H32" s="86">
        <v>14269909.262231851</v>
      </c>
      <c r="J32" s="86">
        <v>14077112.44948205</v>
      </c>
      <c r="L32" s="86">
        <v>13859566.045854902</v>
      </c>
      <c r="N32" s="86">
        <v>13612954.041468119</v>
      </c>
      <c r="P32" s="86">
        <v>13332467.738088721</v>
      </c>
      <c r="R32" s="86">
        <v>13013075.52578778</v>
      </c>
      <c r="T32" s="86">
        <v>12650132.923848426</v>
      </c>
      <c r="V32" s="86">
        <v>12240574.71254194</v>
      </c>
      <c r="X32" s="86">
        <v>11784977.173704477</v>
      </c>
      <c r="Z32" s="86">
        <v>11290705.071686028</v>
      </c>
      <c r="AB32" s="86">
        <v>10776025.194733465</v>
      </c>
      <c r="AD32" s="86">
        <v>10274137.516742146</v>
      </c>
      <c r="AF32" s="86">
        <v>9835537.5065158121</v>
      </c>
      <c r="AH32" s="86">
        <v>9530374.7260863949</v>
      </c>
      <c r="AJ32" s="86"/>
      <c r="AL32" s="86"/>
      <c r="AN32" s="86"/>
      <c r="AP32" s="86"/>
      <c r="AR32" s="86"/>
      <c r="AT32" s="86"/>
      <c r="AV32" s="86"/>
    </row>
    <row r="33" spans="1:49 16319:16321" x14ac:dyDescent="0.2">
      <c r="A33" t="s">
        <v>54</v>
      </c>
      <c r="B33" s="117">
        <v>7019665.6909999885</v>
      </c>
      <c r="D33" s="117">
        <v>6930900.1788850687</v>
      </c>
      <c r="F33" s="117">
        <v>6835218.4945307486</v>
      </c>
      <c r="H33" s="117">
        <v>6731450.6677901177</v>
      </c>
      <c r="J33" s="117">
        <v>6618218.2063513454</v>
      </c>
      <c r="L33" s="117">
        <v>6493910.5606245939</v>
      </c>
      <c r="N33" s="117">
        <v>6356687.4660795527</v>
      </c>
      <c r="P33" s="117">
        <v>6204519.2282077018</v>
      </c>
      <c r="R33" s="117">
        <v>6035306.9942066232</v>
      </c>
      <c r="T33" s="117">
        <v>5847151.924631482</v>
      </c>
      <c r="V33" s="117">
        <v>5638852.1656560041</v>
      </c>
      <c r="X33" s="117">
        <v>5410765.8427734878</v>
      </c>
      <c r="Z33" s="117">
        <v>5166073.6493836055</v>
      </c>
      <c r="AB33" s="117">
        <v>4912370.083867209</v>
      </c>
      <c r="AD33" s="117">
        <v>4663031.2206655908</v>
      </c>
      <c r="AF33" s="117">
        <v>4437494.1010631509</v>
      </c>
      <c r="AH33" s="117">
        <v>4260605.4272179604</v>
      </c>
      <c r="AJ33" s="117"/>
      <c r="AL33" s="117"/>
      <c r="AN33" s="117"/>
      <c r="AP33" s="117"/>
      <c r="AR33" s="117"/>
      <c r="AT33" s="117"/>
      <c r="AV33" s="117"/>
    </row>
    <row r="34" spans="1:49 16319:16321" x14ac:dyDescent="0.2">
      <c r="A34" t="s">
        <v>75</v>
      </c>
      <c r="B34" s="117">
        <v>1136879.4410000162</v>
      </c>
      <c r="D34" s="117">
        <v>1120501.3169710753</v>
      </c>
      <c r="F34" s="117">
        <v>1098010.7190692131</v>
      </c>
      <c r="H34" s="117">
        <v>1068167.9176055531</v>
      </c>
      <c r="J34" s="117">
        <v>1029449.1721302234</v>
      </c>
      <c r="L34" s="117">
        <v>979961.67004275881</v>
      </c>
      <c r="N34" s="117">
        <v>917375.90003763698</v>
      </c>
      <c r="P34" s="117">
        <v>838849.7977287547</v>
      </c>
      <c r="R34" s="117">
        <v>740972.52035051771</v>
      </c>
      <c r="T34" s="117">
        <v>619745.64506901172</v>
      </c>
      <c r="V34" s="117">
        <v>470680.8596480384</v>
      </c>
      <c r="X34" s="117">
        <v>289025.97923268192</v>
      </c>
      <c r="Z34" s="117">
        <v>70176.296632740879</v>
      </c>
      <c r="AB34" s="117">
        <v>-189905.66541902674</v>
      </c>
      <c r="AD34" s="117">
        <v>-494887.71690088016</v>
      </c>
      <c r="AF34" s="117">
        <v>-850575.70307777077</v>
      </c>
      <c r="AH34" s="117">
        <v>-1273425.5066752578</v>
      </c>
      <c r="AJ34" s="117"/>
      <c r="AL34" s="117"/>
      <c r="AN34" s="117"/>
      <c r="AP34" s="117"/>
      <c r="AR34" s="117"/>
      <c r="AT34" s="117"/>
      <c r="AV34" s="117"/>
    </row>
    <row r="35" spans="1:49 16319:16321" x14ac:dyDescent="0.2">
      <c r="A35" t="s">
        <v>78</v>
      </c>
      <c r="B35" s="233">
        <v>1</v>
      </c>
      <c r="D35" s="233">
        <v>1.0021053480595565</v>
      </c>
      <c r="F35" s="233">
        <v>1.0047640684618344</v>
      </c>
      <c r="H35" s="233">
        <v>1.00809338045843</v>
      </c>
      <c r="J35" s="233">
        <v>1.0122449685180246</v>
      </c>
      <c r="L35" s="233">
        <v>1.0174196042195598</v>
      </c>
      <c r="N35" s="233">
        <v>1.0238866350662525</v>
      </c>
      <c r="P35" s="233">
        <v>1.0320139908349337</v>
      </c>
      <c r="R35" s="233">
        <v>1.0423138573201638</v>
      </c>
      <c r="T35" s="233">
        <v>1.0555149204359187</v>
      </c>
      <c r="V35" s="233">
        <v>1.0726744389583369</v>
      </c>
      <c r="X35" s="233">
        <v>1.0953608073625902</v>
      </c>
      <c r="Z35" s="233">
        <v>1.1259477954022439</v>
      </c>
      <c r="AB35" s="233">
        <v>1.168104480076575</v>
      </c>
      <c r="AD35" s="233">
        <v>1.2276704332858972</v>
      </c>
      <c r="AF35" s="233">
        <v>1.3145228072427626</v>
      </c>
      <c r="AH35" s="233">
        <v>1.4476077885210115</v>
      </c>
      <c r="AJ35" s="233"/>
      <c r="AL35" s="233"/>
      <c r="AN35" s="233"/>
      <c r="AP35" s="233"/>
      <c r="AR35" s="233"/>
      <c r="AT35" s="233"/>
      <c r="AV35" s="233"/>
    </row>
    <row r="36" spans="1:49 16319:16321" x14ac:dyDescent="0.2">
      <c r="A36" t="s">
        <v>21</v>
      </c>
      <c r="B36" s="37">
        <v>0.47195767671988204</v>
      </c>
      <c r="C36" s="38">
        <v>0.31738834428178991</v>
      </c>
      <c r="D36" s="37">
        <v>0.47197956993116541</v>
      </c>
      <c r="E36" s="38">
        <v>0.32143247759053928</v>
      </c>
      <c r="F36" s="37">
        <v>0.47198904794197788</v>
      </c>
      <c r="G36" s="38">
        <v>0.32574615102801141</v>
      </c>
      <c r="H36" s="37">
        <v>0.47198275142760987</v>
      </c>
      <c r="I36" s="38">
        <v>0.33034394461547895</v>
      </c>
      <c r="J36" s="37">
        <v>0.47195650338717621</v>
      </c>
      <c r="K36" s="38">
        <v>0.33523727345435728</v>
      </c>
      <c r="L36" s="37">
        <v>0.47190511103854432</v>
      </c>
      <c r="M36" s="38">
        <v>0.34043176528982466</v>
      </c>
      <c r="N36" s="37">
        <v>0.4718222823180499</v>
      </c>
      <c r="O36" s="38">
        <v>0.34592443182286092</v>
      </c>
      <c r="P36" s="37">
        <v>0.47170069071818005</v>
      </c>
      <c r="Q36" s="38">
        <v>0.35170000189625056</v>
      </c>
      <c r="R36" s="37">
        <v>0.47153248963943789</v>
      </c>
      <c r="S36" s="38">
        <v>0.35772739120072145</v>
      </c>
      <c r="T36" s="37">
        <v>0.47131083357683695</v>
      </c>
      <c r="U36" s="38">
        <v>0.3639581464439734</v>
      </c>
      <c r="V36" s="37">
        <v>0.4710336138498139</v>
      </c>
      <c r="W36" s="38">
        <v>0.37033209169862863</v>
      </c>
      <c r="X36" s="37">
        <v>0.47071160986663352</v>
      </c>
      <c r="Y36" s="38">
        <v>0.3767994807232582</v>
      </c>
      <c r="Z36" s="37">
        <v>0.47038515181086782</v>
      </c>
      <c r="AA36" s="38">
        <v>0.38337926220057006</v>
      </c>
      <c r="AB36" s="37">
        <v>0.47015587796667285</v>
      </c>
      <c r="AC36" s="38">
        <v>0.39028572068653034</v>
      </c>
      <c r="AD36" s="37">
        <v>0.47024321343740566</v>
      </c>
      <c r="AE36" s="38">
        <v>0.39817402727456691</v>
      </c>
      <c r="AF36" s="37">
        <v>0.47108364691062476</v>
      </c>
      <c r="AG36" s="38">
        <v>0.40859335364182914</v>
      </c>
      <c r="AH36" s="37">
        <v>0.47354103637076478</v>
      </c>
      <c r="AI36" s="38">
        <v>0.42493370238905159</v>
      </c>
      <c r="AJ36" s="37"/>
      <c r="AK36" s="38"/>
      <c r="AL36" s="37"/>
      <c r="AM36" s="38"/>
      <c r="AN36" s="37"/>
      <c r="AO36" s="38"/>
      <c r="AP36" s="37"/>
      <c r="AQ36" s="38"/>
      <c r="AR36" s="37"/>
      <c r="AS36" s="38"/>
      <c r="AT36" s="37"/>
      <c r="AU36" s="38"/>
      <c r="AV36" s="37"/>
      <c r="AW36" s="38"/>
    </row>
    <row r="37" spans="1:49 16319:16321" x14ac:dyDescent="0.2">
      <c r="B37" s="39">
        <v>2.1403217525954421E-2</v>
      </c>
      <c r="C37" s="40">
        <v>0.34962461301992565</v>
      </c>
      <c r="D37" s="39">
        <v>2.0863472582380707E-2</v>
      </c>
      <c r="E37" s="40">
        <v>0.34538551801603151</v>
      </c>
      <c r="F37" s="39">
        <v>2.0321298292637794E-2</v>
      </c>
      <c r="G37" s="40">
        <v>0.34108406366574495</v>
      </c>
      <c r="H37" s="39">
        <v>1.9778036831661329E-2</v>
      </c>
      <c r="I37" s="40">
        <v>0.33672920171525939</v>
      </c>
      <c r="J37" s="39">
        <v>1.9235406981342507E-2</v>
      </c>
      <c r="K37" s="40">
        <v>0.33233327452437417</v>
      </c>
      <c r="L37" s="39">
        <v>1.8695630042462549E-2</v>
      </c>
      <c r="M37" s="40">
        <v>0.32791322376854082</v>
      </c>
      <c r="N37" s="39">
        <v>1.816149081584283E-2</v>
      </c>
      <c r="O37" s="40">
        <v>0.32349134274681624</v>
      </c>
      <c r="P37" s="39">
        <v>1.763640011851007E-2</v>
      </c>
      <c r="Q37" s="40">
        <v>0.31909608977511472</v>
      </c>
      <c r="R37" s="39">
        <v>1.7124368102295357E-2</v>
      </c>
      <c r="S37" s="40">
        <v>0.3147622071805623</v>
      </c>
      <c r="T37" s="39">
        <v>1.662978274858987E-2</v>
      </c>
      <c r="U37" s="40">
        <v>0.31052921141336604</v>
      </c>
      <c r="V37" s="39">
        <v>1.6156714445570666E-2</v>
      </c>
      <c r="W37" s="40">
        <v>0.30643579078885125</v>
      </c>
      <c r="X37" s="39">
        <v>1.5707352743064045E-2</v>
      </c>
      <c r="Y37" s="40">
        <v>0.30250654281492706</v>
      </c>
      <c r="Z37" s="39">
        <v>1.5278742082866724E-2</v>
      </c>
      <c r="AA37" s="40">
        <v>0.29872354464016465</v>
      </c>
      <c r="AB37" s="39">
        <v>1.4856675612454937E-2</v>
      </c>
      <c r="AC37" s="40">
        <v>0.29497220216460224</v>
      </c>
      <c r="AD37" s="39">
        <v>1.4405542273068285E-2</v>
      </c>
      <c r="AE37" s="40">
        <v>0.29094930079373593</v>
      </c>
      <c r="AF37" s="39">
        <v>1.3853834944074578E-2</v>
      </c>
      <c r="AG37" s="40">
        <v>0.28602628081521753</v>
      </c>
      <c r="AH37" s="39">
        <v>1.3075198694565776E-2</v>
      </c>
      <c r="AI37" s="40">
        <v>0.27905377595197139</v>
      </c>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0.18109100157596009</v>
      </c>
      <c r="E38" s="38">
        <v>6.0644159617439672E-2</v>
      </c>
      <c r="F38" s="37">
        <v>0.18141683120426866</v>
      </c>
      <c r="G38" s="38">
        <v>6.0730444740542532E-2</v>
      </c>
      <c r="H38" s="37">
        <v>0.18177122970317761</v>
      </c>
      <c r="I38" s="38">
        <v>6.0825001135408972E-2</v>
      </c>
      <c r="J38" s="37">
        <v>0.18215723213270621</v>
      </c>
      <c r="K38" s="38">
        <v>6.092855477897384E-2</v>
      </c>
      <c r="L38" s="37">
        <v>0.18257802746980747</v>
      </c>
      <c r="M38" s="38">
        <v>6.1041784897141751E-2</v>
      </c>
      <c r="N38" s="37">
        <v>0.18303683247880734</v>
      </c>
      <c r="O38" s="38">
        <v>6.1165260150252504E-2</v>
      </c>
      <c r="P38" s="37">
        <v>0.1835366192229527</v>
      </c>
      <c r="Q38" s="38">
        <v>6.1299343910605833E-2</v>
      </c>
      <c r="R38" s="37">
        <v>0.18407961421761035</v>
      </c>
      <c r="S38" s="38">
        <v>6.1444073830324096E-2</v>
      </c>
      <c r="T38" s="37">
        <v>0.18466638553609288</v>
      </c>
      <c r="U38" s="38">
        <v>6.1598971575003547E-2</v>
      </c>
      <c r="V38" s="37">
        <v>0.18529422964722081</v>
      </c>
      <c r="W38" s="38">
        <v>6.1762917973779884E-2</v>
      </c>
      <c r="X38" s="37">
        <v>0.18595424211944617</v>
      </c>
      <c r="Y38" s="38">
        <v>6.1934129705420192E-2</v>
      </c>
      <c r="Z38" s="37">
        <v>0.18662617341011173</v>
      </c>
      <c r="AA38" s="38">
        <v>6.2110372201929803E-2</v>
      </c>
      <c r="AB38" s="37">
        <v>0.18726956512295403</v>
      </c>
      <c r="AC38" s="38">
        <v>6.2289900845426252E-2</v>
      </c>
      <c r="AD38" s="37">
        <v>0.18780923029799562</v>
      </c>
      <c r="AE38" s="38">
        <v>6.2473660962600132E-2</v>
      </c>
      <c r="AF38" s="37">
        <v>0.18811090757161819</v>
      </c>
      <c r="AG38" s="38">
        <v>6.2670009529318269E-2</v>
      </c>
      <c r="AH38" s="37">
        <v>0.18792822857952352</v>
      </c>
      <c r="AI38" s="38">
        <v>6.2904843598722213E-2</v>
      </c>
      <c r="AJ38" s="37"/>
      <c r="AK38" s="38"/>
      <c r="AL38" s="37"/>
      <c r="AM38" s="38"/>
      <c r="AN38" s="37"/>
      <c r="AO38" s="38"/>
      <c r="AP38" s="37"/>
      <c r="AQ38" s="38"/>
      <c r="AR38" s="37"/>
      <c r="AS38" s="38"/>
      <c r="AT38" s="37"/>
      <c r="AU38" s="38"/>
      <c r="AV38" s="37"/>
      <c r="AW38" s="38"/>
    </row>
    <row r="39" spans="1:49 16319:16321" x14ac:dyDescent="0.2">
      <c r="A39" t="s">
        <v>23</v>
      </c>
      <c r="B39" s="39">
        <v>0.23064923795098566</v>
      </c>
      <c r="C39" s="40">
        <v>0.22092201281804777</v>
      </c>
      <c r="D39" s="39">
        <v>0.23074761384590048</v>
      </c>
      <c r="E39" s="40">
        <v>0.2210730270119588</v>
      </c>
      <c r="F39" s="39">
        <v>0.23085542078355448</v>
      </c>
      <c r="G39" s="40">
        <v>0.22124036419071444</v>
      </c>
      <c r="H39" s="39">
        <v>0.23097383333108357</v>
      </c>
      <c r="I39" s="40">
        <v>0.22142548794909206</v>
      </c>
      <c r="J39" s="39">
        <v>0.23110414204896548</v>
      </c>
      <c r="K39" s="40">
        <v>0.22162981522006586</v>
      </c>
      <c r="L39" s="39">
        <v>0.2312477754034859</v>
      </c>
      <c r="M39" s="40">
        <v>0.22185456886910154</v>
      </c>
      <c r="N39" s="39">
        <v>0.23140624541086674</v>
      </c>
      <c r="O39" s="40">
        <v>0.22210060537902512</v>
      </c>
      <c r="P39" s="39">
        <v>0.23158105284355213</v>
      </c>
      <c r="Q39" s="40">
        <v>0.22236817466719261</v>
      </c>
      <c r="R39" s="39">
        <v>0.23177347979042759</v>
      </c>
      <c r="S39" s="40">
        <v>0.22265663726540977</v>
      </c>
      <c r="T39" s="39">
        <v>0.23198416971749136</v>
      </c>
      <c r="U39" s="40">
        <v>0.22296428406013183</v>
      </c>
      <c r="V39" s="39">
        <v>0.23221227398151326</v>
      </c>
      <c r="W39" s="40">
        <v>0.22328836805639793</v>
      </c>
      <c r="X39" s="39">
        <v>0.23245382860713387</v>
      </c>
      <c r="Y39" s="40">
        <v>0.22362586156708397</v>
      </c>
      <c r="Z39" s="39">
        <v>0.23269866506602643</v>
      </c>
      <c r="AA39" s="40">
        <v>0.22397600591482569</v>
      </c>
      <c r="AB39" s="39">
        <v>0.2329248567181488</v>
      </c>
      <c r="AC39" s="40">
        <v>0.224346136265408</v>
      </c>
      <c r="AD39" s="39">
        <v>0.23308920376860318</v>
      </c>
      <c r="AE39" s="40">
        <v>0.22476371564107184</v>
      </c>
      <c r="AF39" s="39">
        <v>0.23311082519819201</v>
      </c>
      <c r="AG39" s="40">
        <v>0.2252997024416411</v>
      </c>
      <c r="AH39" s="39">
        <v>0.23283560752694171</v>
      </c>
      <c r="AI39" s="40">
        <v>0.22612022550391542</v>
      </c>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0.11573002046440257</v>
      </c>
      <c r="E42" s="135"/>
      <c r="F42" s="177">
        <f>10.8%+(1-10.8%)*(1-SUM(F26:G26)/SUM($B$26:$C$26))</f>
        <v>0.12460338351125423</v>
      </c>
      <c r="G42" s="135"/>
      <c r="H42" s="177">
        <f>10.8%+(1-10.8%)*(1-SUM(H26:I26)/SUM($B$26:$C$26))</f>
        <v>0.1348503975294025</v>
      </c>
      <c r="I42" s="135"/>
      <c r="J42" s="177">
        <f>10.8%+(1-10.8%)*(1-SUM(J26:K26)/SUM($B$26:$C$26))</f>
        <v>0.14675209384226329</v>
      </c>
      <c r="K42" s="135"/>
      <c r="L42" s="177">
        <f>10.8%+(1-10.8%)*(1-SUM(L26:M26)/SUM($B$26:$C$26))</f>
        <v>0.16065296496774273</v>
      </c>
      <c r="M42" s="135"/>
      <c r="N42" s="177">
        <f>10.8%+(1-10.8%)*(1-SUM(N26:O26)/SUM($B$26:$C$26))</f>
        <v>0.17696967749184039</v>
      </c>
      <c r="O42" s="135"/>
      <c r="P42" s="177">
        <f>10.8%+(1-10.8%)*(1-SUM(P26:Q26)/SUM($B$26:$C$26))</f>
        <v>0.19619783539185559</v>
      </c>
      <c r="Q42" s="135"/>
      <c r="R42" s="177">
        <f>10.8%+(1-10.8%)*(1-SUM(R26:S26)/SUM($B$26:$C$26))</f>
        <v>0.21890979895780102</v>
      </c>
      <c r="S42" s="135"/>
      <c r="T42" s="177">
        <f>10.8%+(1-10.8%)*(1-SUM(T26:U26)/SUM($B$26:$C$26))</f>
        <v>0.24573486458155477</v>
      </c>
      <c r="U42" s="135"/>
      <c r="V42" s="177">
        <f>10.8%+(1-10.8%)*(1-SUM(V26:W26)/SUM($B$26:$C$26))</f>
        <v>0.27730517435217994</v>
      </c>
      <c r="W42" s="135"/>
      <c r="X42" s="177">
        <f>10.8%+(1-10.8%)*(1-SUM(X26:Y26)/SUM($B$26:$C$26))</f>
        <v>0.31415165545346946</v>
      </c>
      <c r="Y42" s="162"/>
      <c r="Z42" s="177">
        <f>10.8%+(1-10.8%)*(1-SUM(Z26:AA26)/SUM($B$26:$C$26))</f>
        <v>0.35653669361735768</v>
      </c>
      <c r="AA42" s="135"/>
      <c r="AB42" s="177">
        <f>10.8%+(1-10.8%)*(1-SUM(AB26:AC26)/SUM($B$26:$C$26))</f>
        <v>0.40424476648028951</v>
      </c>
      <c r="AC42" s="135"/>
      <c r="AD42" s="177">
        <f>10.8%+(1-10.8%)*(1-SUM(AD26:AE26)/SUM($B$26:$C$26))</f>
        <v>0.45644061798190927</v>
      </c>
      <c r="AE42" s="135"/>
      <c r="AF42" s="177">
        <f>10.8%+(1-10.8%)*(1-SUM(AF26:AG26)/SUM($B$26:$C$26))</f>
        <v>0.51183788964086407</v>
      </c>
      <c r="AG42" s="135"/>
      <c r="AH42" s="177">
        <f>10.8%+(1-10.8%)*(1-SUM(AH26:AI26)/SUM($B$26:$C$26))</f>
        <v>0.56946633603872066</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0.56058995943838996</v>
      </c>
      <c r="C43" s="135"/>
      <c r="D43" s="162">
        <f t="array" ref="D43">SUM(D15:E15*D27:E27)/SUM(D15:E15*D27:E27,D13:E13*D26:E26)</f>
        <v>0.5675430991880227</v>
      </c>
      <c r="E43" s="135"/>
      <c r="F43" s="162">
        <f t="array" ref="F43">SUM(F15:G15*F27:G27)/SUM(F15:G15*F27:G27,F13:G13*F26:G26)</f>
        <v>0.56794417839883149</v>
      </c>
      <c r="G43" s="135"/>
      <c r="H43" s="162">
        <f t="array" ref="H43">SUM(H15:I15*H27:I27)/SUM(H15:I15*H27:I27,H13:I13*H26:I26)</f>
        <v>0.56840974754953655</v>
      </c>
      <c r="I43" s="135"/>
      <c r="J43" s="162">
        <f t="array" ref="J43">SUM(J15:K15*J27:K27)/SUM(J15:K15*J27:K27,J13:K13*J26:K26)</f>
        <v>0.56894609135436813</v>
      </c>
      <c r="K43" s="135"/>
      <c r="L43" s="162">
        <f t="array" ref="L43">SUM(L15:M15*L27:M27)/SUM(L15:M15*L27:M27,L13:M13*L26:M26)</f>
        <v>0.5695596374402786</v>
      </c>
      <c r="M43" s="135"/>
      <c r="N43" s="162">
        <f t="array" ref="N43">SUM(N15:O15*N27:O27)/SUM(N15:O15*N27:O27,N13:O13*N26:O26)</f>
        <v>0.57025653280103306</v>
      </c>
      <c r="O43" s="135"/>
      <c r="P43" s="162">
        <f t="array" ref="P43">SUM(P15:Q15*P27:Q27)/SUM(P15:Q15*P27:Q27,P13:Q13*P26:Q26)</f>
        <v>0.57104193802873349</v>
      </c>
      <c r="Q43" s="135"/>
      <c r="R43" s="162">
        <f t="array" ref="R43">SUM(R15:S15*R27:S27)/SUM(R15:S15*R27:S27,R13:S13*R26:S26)</f>
        <v>0.57191881351029494</v>
      </c>
      <c r="S43" s="135"/>
      <c r="T43" s="162">
        <f t="array" ref="T43">SUM(T15:U15*T27:U27)/SUM(T15:U15*T27:U27,T13:U13*T26:U26)</f>
        <v>0.57288590245785942</v>
      </c>
      <c r="U43" s="135"/>
      <c r="V43" s="162">
        <f t="array" ref="V43">SUM(V15:W15*V27:W27)/SUM(V15:W15*V27:W27,V13:W13*V26:W26)</f>
        <v>0.57393430423488423</v>
      </c>
      <c r="W43" s="135"/>
      <c r="X43" s="162">
        <f t="array" ref="X43">SUM(X15:Y15*X27:Y27)/SUM(X15:Y15*X27:Y27,X13:Y13*X26:Y26)</f>
        <v>0.57504184655068569</v>
      </c>
      <c r="Y43" s="135"/>
      <c r="Z43" s="162">
        <f t="array" ref="Z43">SUM(Z15:AA15*Z27:AA27)/SUM(Z15:AA15*Z27:AA27,Z13:AA13*Z26:AA26)</f>
        <v>0.57616400651798738</v>
      </c>
      <c r="AA43" s="135"/>
      <c r="AB43" s="162">
        <f t="array" ref="AB43">SUM(AB15:AC15*AB27:AC27)/SUM(AB15:AC15*AB27:AC27,AB13:AC13*AB26:AC26)</f>
        <v>0.57721994760016992</v>
      </c>
      <c r="AC43" s="135"/>
      <c r="AD43" s="162">
        <f t="array" ref="AD43">SUM(AD15:AE15*AD27:AE27)/SUM(AD15:AE15*AD27:AE27,AD13:AE13*AD26:AE26)</f>
        <v>0.57807295387140978</v>
      </c>
      <c r="AE43" s="135"/>
      <c r="AF43" s="162">
        <f t="array" ref="AF43">SUM(AF15:AG15*AF27:AG27)/SUM(AF15:AG15*AF27:AG27,AF13:AG13*AF26:AG26)</f>
        <v>0.5785035737297658</v>
      </c>
      <c r="AG43" s="135"/>
      <c r="AH43" s="162">
        <f t="array" ref="AH43">SUM(AH15:AI15*AH27:AI27)/SUM(AH15:AI15*AH27:AI27,AH13:AI13*AH26:AI26)</f>
        <v>0.57815321511603002</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0.29909333655034043</v>
      </c>
      <c r="F44" s="193">
        <f>(SUM(F11:G11*F24:G24)+F34)/F32</f>
        <v>0.3006564284268331</v>
      </c>
      <c r="H44" s="193">
        <f>(SUM(H11:I11*H24:I24)+H34)/H32</f>
        <v>0.30223035668840398</v>
      </c>
      <c r="J44" s="193">
        <f>(SUM(J11:K11*J24:K24)+J34)/J32</f>
        <v>0.30381347155154914</v>
      </c>
      <c r="L44" s="193">
        <f>(SUM(L11:M11*L24:M24)+L34)/L32</f>
        <v>0.30540300970828449</v>
      </c>
      <c r="N44" s="193">
        <f>(SUM(N11:O11*N24:O24)+N34)/N32</f>
        <v>0.3069950848782888</v>
      </c>
      <c r="P44" s="193">
        <f>(SUM(P11:Q11*P24:Q24)+P34)/P32</f>
        <v>0.30858464172051414</v>
      </c>
      <c r="R44" s="193">
        <f>(SUM(R11:S11*R24:S24)+R34)/R32</f>
        <v>0.31016589362507979</v>
      </c>
      <c r="T44" s="193">
        <f>(SUM(T11:U11*T24:U24)+T34)/T32</f>
        <v>0.31173320377615882</v>
      </c>
      <c r="V44" s="193">
        <f>(SUM(V11:W11*V24:W24)+V34)/V32</f>
        <v>0.313284889107319</v>
      </c>
      <c r="X44" s="193">
        <f>(SUM(X11:Y11*X24:Y24)+X34)/X32</f>
        <v>0.31482979688881568</v>
      </c>
      <c r="Z44" s="193">
        <f>(SUM(Z11:AA11*Z24:AA24)+Z34)/Z32</f>
        <v>0.31640277301637371</v>
      </c>
      <c r="AB44" s="193">
        <f>(SUM(AB11:AC11*AB24:AC24)+AB34)/AB32</f>
        <v>0.31809275250965324</v>
      </c>
      <c r="AD44" s="193">
        <f>(SUM(AD11:AE11*AD24:AE24)+AD34)/AD32</f>
        <v>0.32009270850083421</v>
      </c>
      <c r="AF44" s="193">
        <f>(SUM(AF11:AG11*AF24:AG24)+AF34)/AF32</f>
        <v>0.32278433996622075</v>
      </c>
      <c r="AH44" s="193">
        <f>(SUM(AH11:AI11*AH24:AI24)+AH34)/AH32</f>
        <v>0.32689840153213329</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0.22232383247071488</v>
      </c>
      <c r="F45" s="193">
        <f>SUM(F11:G11*F24:G24)/F32</f>
        <v>0.22462585490549439</v>
      </c>
      <c r="H45" s="193">
        <f>SUM(H11:I11*H24:I24)/H32</f>
        <v>0.2273757869797744</v>
      </c>
      <c r="J45" s="193">
        <f>SUM(J11:K11*J24:K24)/J32</f>
        <v>0.23068418627912093</v>
      </c>
      <c r="L45" s="193">
        <f>SUM(L11:M11*L24:M24)/L32</f>
        <v>0.23469649070180779</v>
      </c>
      <c r="N45" s="193">
        <f>SUM(N11:O11*N24:O24)/N32</f>
        <v>0.23960516368681903</v>
      </c>
      <c r="P45" s="193">
        <f>SUM(P11:Q11*P24:Q24)/P32</f>
        <v>0.24566682228845993</v>
      </c>
      <c r="R45" s="193">
        <f>SUM(R11:S11*R24:S24)/R32</f>
        <v>0.25322527886555229</v>
      </c>
      <c r="T45" s="193">
        <f>SUM(T11:U11*T24:U24)/T32</f>
        <v>0.2627419679686166</v>
      </c>
      <c r="V45" s="193">
        <f>SUM(V11:W11*V24:W24)/V32</f>
        <v>0.2748323759940442</v>
      </c>
      <c r="X45" s="193">
        <f>SUM(X11:Y11*X24:Y24)/X32</f>
        <v>0.29030484660910039</v>
      </c>
      <c r="Z45" s="193">
        <f>SUM(Z11:AA11*Z24:AA24)/Z32</f>
        <v>0.31018736873584529</v>
      </c>
      <c r="AB45" s="193">
        <f>SUM(AB11:AC11*AB24:AC24)/AB32</f>
        <v>0.33571573148262729</v>
      </c>
      <c r="AD45" s="193">
        <f>SUM(AD11:AE11*AD24:AE24)/AD32</f>
        <v>0.36826100643284448</v>
      </c>
      <c r="AF45" s="193">
        <f>SUM(AF11:AG11*AF24:AG24)/AF32</f>
        <v>0.40926417927487918</v>
      </c>
      <c r="AH45" s="193">
        <f>SUM(AH11:AI11*AH24:AI24)/AH32</f>
        <v>0.4605159709640736</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7.6769504079625531E-2</v>
      </c>
      <c r="F46" s="193">
        <f>F34/F32</f>
        <v>7.6030573521338712E-2</v>
      </c>
      <c r="H46" s="193">
        <f>H34/H32</f>
        <v>7.4854569708629581E-2</v>
      </c>
      <c r="J46" s="193">
        <f>J34/J32</f>
        <v>7.3129285272428207E-2</v>
      </c>
      <c r="L46" s="193">
        <f>L34/L32</f>
        <v>7.0706519006476704E-2</v>
      </c>
      <c r="N46" s="193">
        <f>N34/N32</f>
        <v>6.7389921191469804E-2</v>
      </c>
      <c r="P46" s="193">
        <f>P34/P32</f>
        <v>6.2917819432054239E-2</v>
      </c>
      <c r="R46" s="193">
        <f>R34/R32</f>
        <v>5.6940614759527497E-2</v>
      </c>
      <c r="T46" s="193">
        <f>T34/T32</f>
        <v>4.8991235807542215E-2</v>
      </c>
      <c r="V46" s="193">
        <f>V34/V32</f>
        <v>3.8452513113274765E-2</v>
      </c>
      <c r="X46" s="193">
        <f>X34/X32</f>
        <v>2.4524950279715289E-2</v>
      </c>
      <c r="Z46" s="193">
        <f>Z34/Z32</f>
        <v>6.2154042805283851E-3</v>
      </c>
      <c r="AB46" s="193">
        <f>AB34/AB32</f>
        <v>-1.7622978972974077E-2</v>
      </c>
      <c r="AD46" s="193">
        <f>AD34/AD32</f>
        <v>-4.8168297932010301E-2</v>
      </c>
      <c r="AF46" s="193">
        <f>AF34/AF32</f>
        <v>-8.6479839308658463E-2</v>
      </c>
      <c r="AH46" s="193">
        <f>AH34/AH32</f>
        <v>-0.13361756943194028</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0.99311131557734733</v>
      </c>
      <c r="E49" s="191"/>
      <c r="F49" s="191">
        <f>F13/F35/$B$13*$B$35</f>
        <v>0.98580151704249941</v>
      </c>
      <c r="G49" s="191"/>
      <c r="H49" s="191">
        <f>H13/H35/$B$13*$B$35</f>
        <v>0.97804151749074886</v>
      </c>
      <c r="I49" s="191"/>
      <c r="J49" s="191">
        <f>J13/J35/$B$13*$B$35</f>
        <v>0.96980408012092456</v>
      </c>
      <c r="K49" s="191"/>
      <c r="L49" s="191">
        <f>L13/L35/$B$13*$B$35</f>
        <v>0.96106666189638035</v>
      </c>
      <c r="M49" s="191"/>
      <c r="N49" s="191">
        <f>N13/N35/$B$13*$B$35</f>
        <v>0.95181490360660459</v>
      </c>
      <c r="O49" s="191"/>
      <c r="P49" s="191">
        <f>P13/P35/$B$13*$B$35</f>
        <v>0.94204790377270498</v>
      </c>
      <c r="Q49" s="191"/>
      <c r="R49" s="191">
        <f>R13/R35/$B$13*$B$35</f>
        <v>0.93178530986322916</v>
      </c>
      <c r="S49" s="191"/>
      <c r="T49" s="191">
        <f>T13/T35/$B$13*$B$35</f>
        <v>0.92107649628421928</v>
      </c>
      <c r="U49" s="191"/>
      <c r="V49" s="191">
        <f>V13/V35/$B$13*$B$35</f>
        <v>0.91001086132621023</v>
      </c>
      <c r="W49" s="191"/>
      <c r="X49" s="191">
        <f>X13/X35/$B$13*$B$35</f>
        <v>0.8987283368893203</v>
      </c>
      <c r="Y49" s="191"/>
      <c r="Z49" s="191">
        <f>Z13/Z35/$B$13*$B$35</f>
        <v>0.88742558806231664</v>
      </c>
      <c r="AA49" s="191"/>
      <c r="AB49" s="191">
        <f>AB13/AB35/$B$13*$B$35</f>
        <v>0.87635069336001303</v>
      </c>
      <c r="AC49" s="191"/>
      <c r="AD49" s="191">
        <f>AD13/AD35/$B$13*$B$35</f>
        <v>0.86577281909971393</v>
      </c>
      <c r="AE49" s="191"/>
      <c r="AF49" s="191">
        <f>AF13/AF35/$B$13*$B$35</f>
        <v>0.85591203401761773</v>
      </c>
      <c r="AG49" s="191"/>
      <c r="AH49" s="191">
        <f>AH13/AH35/$B$13*$B$35</f>
        <v>0.84682870322083481</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-363982.10853548674</v>
      </c>
      <c r="F51" s="29">
        <f>F30-F10*F23</f>
        <v>-322230.35547048552</v>
      </c>
      <c r="H51" s="29">
        <f>H30-H10*H23</f>
        <v>-280683.85939664068</v>
      </c>
      <c r="J51" s="29">
        <f>J30-J10*J23</f>
        <v>-239481.26846266678</v>
      </c>
      <c r="L51" s="29">
        <f>L30-L10*L23</f>
        <v>-198809.59521248098</v>
      </c>
      <c r="N51" s="29">
        <f>N30-N10*N23</f>
        <v>-158912.2947663893</v>
      </c>
      <c r="P51" s="29">
        <f>P30-P10*P23</f>
        <v>-120095.23325037677</v>
      </c>
      <c r="R51" s="29">
        <f>R30-R10*R23</f>
        <v>-82722.39473999152</v>
      </c>
      <c r="T51" s="29">
        <f>T30-T10*T23</f>
        <v>-47187.996883649379</v>
      </c>
      <c r="V51" s="29">
        <f>V30-V10*V23</f>
        <v>-13842.506849454716</v>
      </c>
      <c r="X51" s="29">
        <f>X30-X10*X23</f>
        <v>17166.670259647537</v>
      </c>
      <c r="Z51" s="29">
        <f>Z30-Z10*Z23</f>
        <v>46193.890346109867</v>
      </c>
      <c r="AB51" s="29">
        <f>AB30-AB10*AB23</f>
        <v>74608.556408694014</v>
      </c>
      <c r="AD51" s="29">
        <f>AD30-AD10*AD23</f>
        <v>105614.77760157734</v>
      </c>
      <c r="AF51" s="29">
        <f>AF30-AF10*AF23</f>
        <v>145606.58888329891</v>
      </c>
      <c r="AH51" s="29">
        <f>AH30-AH10*AH23</f>
        <v>207096.97518655146</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2021742.397562532</v>
      </c>
      <c r="F52" s="29">
        <f t="array" ref="F52">Calibration!sL*SUM(F13:G13*F26:G26)</f>
        <v>1991994.1969642271</v>
      </c>
      <c r="H52" s="29">
        <f t="array" ref="H52">Calibration!sL*SUM(H13:I13*H26:I26)</f>
        <v>1959651.7228765704</v>
      </c>
      <c r="J52" s="29">
        <f t="array" ref="J52">Calibration!sL*SUM(J13:K13*J26:K26)</f>
        <v>1924307.5869887397</v>
      </c>
      <c r="L52" s="29">
        <f t="array" ref="L52">Calibration!sL*SUM(L13:M13*L26:M26)</f>
        <v>1885492.4683984616</v>
      </c>
      <c r="N52" s="29">
        <f t="array" ref="N52">Calibration!sL*SUM(N13:O13*N26:O26)</f>
        <v>1842679.6436891377</v>
      </c>
      <c r="P52" s="29">
        <f t="array" ref="P52">Calibration!sL*SUM(P13:Q13*P26:Q26)</f>
        <v>1795301.4067680393</v>
      </c>
      <c r="R52" s="29">
        <f t="array" ref="R52">Calibration!sL*SUM(R13:S13*R26:S26)</f>
        <v>1742790.5152225057</v>
      </c>
      <c r="T52" s="29">
        <f t="array" ref="T52">Calibration!sL*SUM(T13:U13*T26:U26)</f>
        <v>1684665.7167197622</v>
      </c>
      <c r="V52" s="29">
        <f t="array" ref="V52">Calibration!sL*SUM(V13:W13*V26:W26)</f>
        <v>1620686.7450130058</v>
      </c>
      <c r="X52" s="29">
        <f t="array" ref="X52">Calibration!sL*SUM(X13:Y13*X26:Y26)</f>
        <v>1551112.7037184879</v>
      </c>
      <c r="Z52" s="29">
        <f t="array" ref="Z52">Calibration!sL*SUM(Z13:AA13*Z26:AA26)</f>
        <v>1477078.6317571027</v>
      </c>
      <c r="AB52" s="29">
        <f t="array" ref="AB52">Calibration!sL*SUM(AB13:AC13*AB26:AC26)</f>
        <v>1401061.2370221419</v>
      </c>
      <c r="AD52" s="29">
        <f t="array" ref="AD52">Calibration!sL*SUM(AD13:AE13*AD26:AE26)</f>
        <v>1327279.440158752</v>
      </c>
      <c r="AF52" s="29">
        <f t="array" ref="AF52">Calibration!sL*SUM(AF13:AG13*AF26:AG26)</f>
        <v>1261801.249783936</v>
      </c>
      <c r="AH52" s="29">
        <f t="array" ref="AH52">Calibration!sL*SUM(AH13:AI13*AH26:AI26)</f>
        <v>1212504.1214072607</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2740714.4444297217</v>
      </c>
      <c r="D53" s="29">
        <f t="array" ref="D53">Calibration!sK*SUM(D15:E15*D27:E27)</f>
        <v>2707704.2217832976</v>
      </c>
      <c r="F53" s="29">
        <f t="array" ref="F53">Calibration!sK*SUM(F15:G15*F27:G27)</f>
        <v>2672226.3831956913</v>
      </c>
      <c r="H53" s="29">
        <f t="array" ref="H53">Calibration!sK*SUM(H15:I15*H27:I27)</f>
        <v>2633832.6118366774</v>
      </c>
      <c r="J53" s="29">
        <f t="array" ref="J53">Calibration!sK*SUM(J15:K15*J27:K27)</f>
        <v>2591990.5300595234</v>
      </c>
      <c r="L53" s="29">
        <f t="array" ref="L53">Calibration!sK*SUM(L15:M15*L27:M27)</f>
        <v>2546070.3884432106</v>
      </c>
      <c r="N53" s="29">
        <f t="array" ref="N53">Calibration!sK*SUM(N15:O15*N27:O27)</f>
        <v>2495342.7765659979</v>
      </c>
      <c r="P53" s="29">
        <f t="array" ref="P53">Calibration!sK*SUM(P15:Q15*P27:Q27)</f>
        <v>2438989.4899342051</v>
      </c>
      <c r="R53" s="29">
        <f t="array" ref="R53">Calibration!sK*SUM(R15:S15*R27:S27)</f>
        <v>2376144.3302292251</v>
      </c>
      <c r="T53" s="29">
        <f t="array" ref="T53">Calibration!sK*SUM(T15:U15*T27:U27)</f>
        <v>2305989.6551793092</v>
      </c>
      <c r="V53" s="29">
        <f t="array" ref="V53">Calibration!sK*SUM(V15:W15*V27:W27)</f>
        <v>2227943.0350947161</v>
      </c>
      <c r="X53" s="29">
        <f t="array" ref="X53">Calibration!sK*SUM(X15:Y15*X27:Y27)</f>
        <v>2141983.0319314054</v>
      </c>
      <c r="Z53" s="29">
        <f t="array" ref="Z53">Calibration!sK*SUM(Z15:AA15*Z27:AA27)</f>
        <v>2049138.3981737776</v>
      </c>
      <c r="AB53" s="29">
        <f t="array" ref="AB53">Calibration!sK*SUM(AB15:AC15*AB27:AC27)</f>
        <v>1952105.7833708155</v>
      </c>
      <c r="AD53" s="29">
        <f t="array" ref="AD53">Calibration!sK*SUM(AD15:AE15*AD27:AE27)</f>
        <v>1855782.3513672333</v>
      </c>
      <c r="AF53" s="29">
        <f t="array" ref="AF53">Calibration!sK*SUM(AF15:AG15*AF27:AG27)</f>
        <v>1767349.6991085417</v>
      </c>
      <c r="AH53" s="29">
        <f t="array" ref="AH53">Calibration!sK*SUM(AH15:AI15*AH27:AI27)</f>
        <v>1695863.1867006419</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0.20110850431998409</v>
      </c>
      <c r="F55" s="193">
        <f>F30/F32</f>
        <v>0.20373370951594841</v>
      </c>
      <c r="H55" s="193">
        <f>H30/H32</f>
        <v>0.20637657287731059</v>
      </c>
      <c r="J55" s="193">
        <f>J30/J32</f>
        <v>0.2090341028765195</v>
      </c>
      <c r="L55" s="193">
        <f>L30/L32</f>
        <v>0.21170162879959123</v>
      </c>
      <c r="N55" s="193">
        <f>N30/N32</f>
        <v>0.21437259615567633</v>
      </c>
      <c r="P55" s="193">
        <f>P30/P32</f>
        <v>0.21703847729220471</v>
      </c>
      <c r="R55" s="193">
        <f>R30/R32</f>
        <v>0.21968933722925402</v>
      </c>
      <c r="T55" s="193">
        <f>T30/T32</f>
        <v>0.22231596732757425</v>
      </c>
      <c r="V55" s="193">
        <f>V30/V32</f>
        <v>0.22491533390070742</v>
      </c>
      <c r="X55" s="193">
        <f>X30/X32</f>
        <v>0.22750286162931513</v>
      </c>
      <c r="Z55" s="193">
        <f>Z30/Z32</f>
        <v>0.23013752481881281</v>
      </c>
      <c r="AB55" s="193">
        <f>AB30/AB32</f>
        <v>0.23296977378966729</v>
      </c>
      <c r="AD55" s="193">
        <f>AD30/AD32</f>
        <v>0.23632587791213638</v>
      </c>
      <c r="AF55" s="193">
        <f>AF30/AF32</f>
        <v>0.24085033588788712</v>
      </c>
      <c r="AH55" s="193">
        <f>AH30/AH32</f>
        <v>0.24777640732546513</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3.2531304953560644E-2</v>
      </c>
      <c r="F56" s="193">
        <f>(Model!$C$52*F5*F20+F2*G5*G20)/F32</f>
        <v>3.5885616353180202E-2</v>
      </c>
      <c r="H56" s="193">
        <f>(Model!$C$52*H5*H20+H2*I5*I20)/H32</f>
        <v>3.9284046806402767E-2</v>
      </c>
      <c r="J56" s="193">
        <f>(Model!$C$52*J5*J20+J2*K5*K20)/J32</f>
        <v>4.2725127362444389E-2</v>
      </c>
      <c r="L56" s="193">
        <f>(Model!$C$52*L5*L20+L2*M5*M20)/L32</f>
        <v>4.6205402198875756E-2</v>
      </c>
      <c r="N56" s="193">
        <f>(Model!$C$52*N5*N20+N2*O5*O20)/N32</f>
        <v>4.9719059784353203E-2</v>
      </c>
      <c r="P56" s="193">
        <f>(Model!$C$52*P5*P20+P2*Q5*Q20)/P32</f>
        <v>5.325760600692523E-2</v>
      </c>
      <c r="R56" s="193">
        <f>(Model!$C$52*R5*R20+R2*S5*S20)/R32</f>
        <v>5.6810182188423874E-2</v>
      </c>
      <c r="T56" s="193">
        <f>(Model!$C$52*T5*T20+T2*U5*U20)/T32</f>
        <v>6.0365406098762286E-2</v>
      </c>
      <c r="V56" s="193">
        <f>(Model!$C$52*V5*V20+V2*W5*W20)/V32</f>
        <v>6.3916914325955101E-2</v>
      </c>
      <c r="X56" s="193">
        <f>(Model!$C$52*X5*X20+X2*Y5*Y20)/X32</f>
        <v>6.7476227015391244E-2</v>
      </c>
      <c r="Z56" s="193">
        <f>(Model!$C$52*Z5*Z20+Z2*AA5*AA20)/Z32</f>
        <v>7.1099880203086718E-2</v>
      </c>
      <c r="AB56" s="193">
        <f>(Model!$C$52*AB5*AB20+AB2*AC5*AC20)/AB32</f>
        <v>7.494211453706931E-2</v>
      </c>
      <c r="AD56" s="193">
        <f>(Model!$C$52*AD5*AD20+AD2*AE5*AE20)/AD32</f>
        <v>7.9348919196337214E-2</v>
      </c>
      <c r="AF56" s="193">
        <f>(Model!$C$52*AF5*AF20+AF2*AG5*AG20)/AF32</f>
        <v>8.5018339642062235E-2</v>
      </c>
      <c r="AH56" s="193">
        <f>(Model!$C$52*AH5*AH20+AH2*AI5*AI20)/AH32</f>
        <v>9.3302706972190591E-2</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0.15788834976347405</v>
      </c>
      <c r="F57" s="193">
        <f t="array" ref="F57">SUM(Model!tauL*F13:G13*F26:G26)/F32</f>
        <v>0.15722357190593542</v>
      </c>
      <c r="H57" s="193">
        <f t="array" ref="H57">SUM(Model!tauL*H13:I13*H26:I26)/H32</f>
        <v>0.15653288337218144</v>
      </c>
      <c r="J57" s="193">
        <f t="array" ref="J57">SUM(Model!tauL*J13:K13*J26:K26)/J32</f>
        <v>0.15581483904118767</v>
      </c>
      <c r="L57" s="193">
        <f t="array" ref="L57">SUM(Model!tauL*L13:M13*L26:M26)/L32</f>
        <v>0.15506831672245103</v>
      </c>
      <c r="N57" s="193">
        <f t="array" ref="N57">SUM(Model!tauL*N13:O13*N26:O26)/N32</f>
        <v>0.15429269430991888</v>
      </c>
      <c r="P57" s="193">
        <f t="array" ref="P57">SUM(Model!tauL*P13:Q13*P26:Q26)/P32</f>
        <v>0.1534881080244539</v>
      </c>
      <c r="R57" s="193">
        <f t="array" ref="R57">SUM(Model!tauL*R13:S13*R26:S26)/R32</f>
        <v>0.15265574054803083</v>
      </c>
      <c r="T57" s="193">
        <f t="array" ref="T57">SUM(Model!tauL*T13:U13*T26:U26)/T32</f>
        <v>0.15179817562015049</v>
      </c>
      <c r="V57" s="193">
        <f t="array" ref="V57">SUM(Model!tauL*V13:W13*V26:W26)/V32</f>
        <v>0.1509194362340098</v>
      </c>
      <c r="X57" s="193">
        <f t="array" ref="X57">SUM(Model!tauL*X13:Y13*X26:Y26)/X32</f>
        <v>0.15002461195663111</v>
      </c>
      <c r="Y57" s="193"/>
      <c r="Z57" s="193">
        <f t="array" ref="Z57">SUM(Model!tauL*Z13:AA13*Z26:AA26)/Z32</f>
        <v>0.14911813221832595</v>
      </c>
      <c r="AB57" s="193">
        <f t="array" ref="AB57">SUM(Model!tauL*AB13:AC13*AB26:AC26)/AB32</f>
        <v>0.14819939223151785</v>
      </c>
      <c r="AD57" s="193">
        <f t="array" ref="AD57">SUM(Model!tauL*AD13:AE13*AD26:AE26)/AD32</f>
        <v>0.14725325238086842</v>
      </c>
      <c r="AF57" s="193">
        <f t="array" ref="AF57">SUM(Model!tauL*AF13:AG13*AF26:AG26)/AF32</f>
        <v>0.14623144024580151</v>
      </c>
      <c r="AH57" s="193">
        <f t="array" ref="AH57">SUM(Model!tauL*AH13:AI13*AH26:AI26)/AH32</f>
        <v>0.14501774560839187</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1.0688849602949396E-2</v>
      </c>
      <c r="F58" s="193">
        <f t="array" ref="F58">SUM(Model!tauY/(1+Model!tauY)*F3:G3*F18:G18)/F32</f>
        <v>1.0624521256832825E-2</v>
      </c>
      <c r="H58" s="193">
        <f t="array" ref="H58">SUM(Model!tauY/(1+Model!tauY)*H3:I3*H18:I18)/H32</f>
        <v>1.0559642698726373E-2</v>
      </c>
      <c r="J58" s="193">
        <f t="array" ref="J58">SUM(Model!tauY/(1+Model!tauY)*J3:K3*J18:K18)/J32</f>
        <v>1.0494136472887468E-2</v>
      </c>
      <c r="L58" s="193">
        <f t="array" ref="L58">SUM(Model!tauY/(1+Model!tauY)*L3:M3*L18:M18)/L32</f>
        <v>1.0427909878264436E-2</v>
      </c>
      <c r="N58" s="193">
        <f t="array" ref="N58">SUM(Model!tauY/(1+Model!tauY)*N3:O3*N18:O18)/N32</f>
        <v>1.0360842061404293E-2</v>
      </c>
      <c r="P58" s="193">
        <f t="array" ref="P58">SUM(Model!tauY/(1+Model!tauY)*P3:Q3*P18:Q18)/P32</f>
        <v>1.0292763260825583E-2</v>
      </c>
      <c r="R58" s="193">
        <f t="array" ref="R58">SUM(Model!tauY/(1+Model!tauY)*R3:S3*R18:S18)/R32</f>
        <v>1.022341449279931E-2</v>
      </c>
      <c r="T58" s="193">
        <f t="array" ref="T58">SUM(Model!tauY/(1+Model!tauY)*T3:U3*T18:U18)/T32</f>
        <v>1.0152385608661453E-2</v>
      </c>
      <c r="V58" s="193">
        <f t="array" ref="V58">SUM(Model!tauY/(1+Model!tauY)*V3:W3*V18:W18)/V32</f>
        <v>1.0078983340742522E-2</v>
      </c>
      <c r="X58" s="193">
        <f t="array" ref="X58">SUM(Model!tauY/(1+Model!tauY)*X3:Y3*X18:Y18)/X32</f>
        <v>1.0002022657292763E-2</v>
      </c>
      <c r="Y58" s="193"/>
      <c r="Z58" s="193">
        <f t="array" ref="Z58">SUM(Model!tauY/(1+Model!tauY)*Z3:AA3*Z18:AA18)/Z32</f>
        <v>9.9195123974001338E-3</v>
      </c>
      <c r="AB58" s="193">
        <f t="array" ref="AB58">SUM(Model!tauY/(1+Model!tauY)*AB3:AC3*AB18:AC18)/AB32</f>
        <v>9.8282670210801445E-3</v>
      </c>
      <c r="AD58" s="193">
        <f t="array" ref="AD58">SUM(Model!tauY/(1+Model!tauY)*AD3:AE3*AD18:AE18)/AD32</f>
        <v>9.7237063349307137E-3</v>
      </c>
      <c r="AF58" s="193">
        <f t="array" ref="AF58">SUM(Model!tauY/(1+Model!tauY)*AF3:AG3*AF18:AG18)/AF32</f>
        <v>9.600556000023408E-3</v>
      </c>
      <c r="AH58" s="193">
        <f t="array" ref="AH58">SUM(Model!tauY/(1+Model!tauY)*AH3:AI3*AH18:AI18)/AH32</f>
        <v>9.4559547448827032E-3</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3.8916385203255836E-3</v>
      </c>
      <c r="F59" s="193">
        <f>(F2*G5*G20)/F32</f>
        <v>7.2708247422679836E-3</v>
      </c>
      <c r="H59" s="193">
        <f>(H2*I5*I20)/H32</f>
        <v>1.0687902167680658E-2</v>
      </c>
      <c r="J59" s="193">
        <f>(J2*K5*K20)/J32</f>
        <v>1.4139695692788085E-2</v>
      </c>
      <c r="L59" s="193">
        <f>(L2*M5*M20)/L32</f>
        <v>1.7620480122768234E-2</v>
      </c>
      <c r="N59" s="193">
        <f>(N2*O5*O20)/N32</f>
        <v>2.1121423501611031E-2</v>
      </c>
      <c r="P59" s="193">
        <f>(P2*Q5*Q20)/P32</f>
        <v>2.4629993213918681E-2</v>
      </c>
      <c r="R59" s="193">
        <f>(R2*S5*S20)/R32</f>
        <v>2.8129925589635053E-2</v>
      </c>
      <c r="T59" s="193">
        <f>(T2*U5*U20)/T32</f>
        <v>3.1602607078615813E-2</v>
      </c>
      <c r="V59" s="193">
        <f>(V2*W5*W20)/V32</f>
        <v>3.5032127270299293E-2</v>
      </c>
      <c r="X59" s="193">
        <f>(X2*Y5*Y20)/X32</f>
        <v>3.841766289138749E-2</v>
      </c>
      <c r="Z59" s="193">
        <f>(Z2*AA5*AA20)/Z32</f>
        <v>4.1800474612284706E-2</v>
      </c>
      <c r="AB59" s="193">
        <f>(AB2*AC5*AC20)/AB32</f>
        <v>4.5317280369428212E-2</v>
      </c>
      <c r="AD59" s="193">
        <f>(AD2*AE5*AE20)/AD32</f>
        <v>4.9296286105514404E-2</v>
      </c>
      <c r="AF59" s="193">
        <f>(AF2*AG5*AG20)/AF32</f>
        <v>5.4419862757267255E-2</v>
      </c>
      <c r="AH59" s="193">
        <f>(AH2*AI5*AI20)/AH32</f>
        <v>6.2024508772892339E-2</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2.8639666433235057E-2</v>
      </c>
      <c r="F60" s="193">
        <f>Model!$C$52*F5*F20/F32</f>
        <v>2.8614791610912217E-2</v>
      </c>
      <c r="H60" s="193">
        <f>Model!$C$52*H5*H20/H32</f>
        <v>2.8596144638722107E-2</v>
      </c>
      <c r="J60" s="193">
        <f>Model!$C$52*J5*J20/J32</f>
        <v>2.8585431669656301E-2</v>
      </c>
      <c r="L60" s="193">
        <f>Model!$C$52*L5*L20/L32</f>
        <v>2.8584922076107522E-2</v>
      </c>
      <c r="N60" s="193">
        <f>Model!$C$52*N5*N20/N32</f>
        <v>2.859763628274218E-2</v>
      </c>
      <c r="P60" s="193">
        <f>Model!$C$52*P5*P20/P32</f>
        <v>2.8627612793006546E-2</v>
      </c>
      <c r="R60" s="193">
        <f>Model!$C$52*R5*R20/R32</f>
        <v>2.8680256598788822E-2</v>
      </c>
      <c r="T60" s="193">
        <f>Model!$C$52*T5*T20/T32</f>
        <v>2.8762799020146466E-2</v>
      </c>
      <c r="V60" s="193">
        <f>Model!$C$52*V5*V20/V32</f>
        <v>2.8884787055655812E-2</v>
      </c>
      <c r="X60" s="193">
        <f>Model!$C$52*X5*X20/X32</f>
        <v>2.905856412400375E-2</v>
      </c>
      <c r="Z60" s="193">
        <f>Model!$C$52*Z5*Z20/Z32</f>
        <v>2.9299405590802016E-2</v>
      </c>
      <c r="AB60" s="193">
        <f>Model!$C$52*AB5*AB20/AB32</f>
        <v>2.9624834167641095E-2</v>
      </c>
      <c r="AD60" s="193">
        <f>Model!$C$52*AD5*AD20/AD32</f>
        <v>3.0052633090822803E-2</v>
      </c>
      <c r="AF60" s="193">
        <f>Model!$C$52*AF5*AF20/AF32</f>
        <v>3.059847688479498E-2</v>
      </c>
      <c r="AH60" s="193">
        <f>Model!$C$52*AH5*AH20/AH32</f>
        <v>3.1278198199298245E-2</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0.99590208803302693</v>
      </c>
      <c r="F62">
        <f>F13/F15</f>
        <v>0.99149495980202385</v>
      </c>
      <c r="H62">
        <f>H13/H15</f>
        <v>0.98675109322512422</v>
      </c>
      <c r="J62">
        <f>J13/J15</f>
        <v>0.98164219758125637</v>
      </c>
      <c r="L62">
        <f>L13/L15</f>
        <v>0.97614059669246434</v>
      </c>
      <c r="N62">
        <f>N13/N15</f>
        <v>0.97022131737663098</v>
      </c>
      <c r="P62">
        <f>P13/P15</f>
        <v>0.963865669438429</v>
      </c>
      <c r="R62">
        <f>R13/R15</f>
        <v>0.95706702164914192</v>
      </c>
      <c r="T62">
        <f>T13/T15</f>
        <v>0.94984016174636388</v>
      </c>
      <c r="V62">
        <f>V13/V15</f>
        <v>0.94223622144838182</v>
      </c>
      <c r="X62">
        <f>X13/X15</f>
        <v>0.93436721150068358</v>
      </c>
      <c r="Z62">
        <f>Z13/Z15</f>
        <v>0.92644580510747543</v>
      </c>
      <c r="AB62">
        <f>AB13/AB15</f>
        <v>0.91884937181465498</v>
      </c>
      <c r="AD62">
        <f>AD13/AD15</f>
        <v>0.91222006945543554</v>
      </c>
      <c r="AF62">
        <f>AF13/AF15</f>
        <v>0.90763328422364831</v>
      </c>
      <c r="AH62">
        <f>AH13/AH15</f>
        <v>0.90699897619287884</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0.9993606597452438</v>
      </c>
      <c r="E65" s="191"/>
      <c r="F65" s="191">
        <f t="array" ref="F65">SQRT((F9:G9*$B$22:$C$22+F10:G10*$B$23:$C$23+F11:G11*$B$24:$C$24+F4:G4*($B$25:$C$25-$B$19:$C$19))/($B$9:$C$9*$B$22:$C$22+$B$10:$C$10*$B$23:$C$23+$B$11:$C$11*$B$24:$C$24+$B$4:$C$4*($B$25:$C$25-$B$19:$C$19))*(F9:G9*F22:G22+F10:G10*F23:G23+F11:G11*F24:G24+F4:G4*(F25:G25-F19:G19))/($B$9:$C$9*F22:G22+$B$10:$C$10*F23:G23+$B$11:$C$11*F24:G24+$B$4:$C$4*(F25:G25-F19:G19)))</f>
        <v>0.99908529475365992</v>
      </c>
      <c r="G65" s="191"/>
      <c r="H65" s="191">
        <f t="array" ref="H65">SQRT((H9:I9*$B$22:$C$22+H10:I10*$B$23:$C$23+H11:I11*$B$24:$C$24+H4:I4*($B$25:$C$25-$B$19:$C$19))/($B$9:$C$9*$B$22:$C$22+$B$10:$C$10*$B$23:$C$23+$B$11:$C$11*$B$24:$C$24+$B$4:$C$4*($B$25:$C$25-$B$19:$C$19))*(H9:I9*H22:I22+H10:I10*H23:I23+H11:I11*H24:I24+H4:I4*(H25:I25-H19:I19))/($B$9:$C$9*H22:I22+$B$10:$C$10*H23:I23+$B$11:$C$11*H24:I24+$B$4:$C$4*(H25:I25-H19:I19)))</f>
        <v>0.99926802377257007</v>
      </c>
      <c r="I65" s="191"/>
      <c r="J65" s="191">
        <f t="array" ref="J65">SQRT((J9:K9*$B$22:$C$22+J10:K10*$B$23:$C$23+J11:K11*$B$24:$C$24+J4:K4*($B$25:$C$25-$B$19:$C$19))/($B$9:$C$9*$B$22:$C$22+$B$10:$C$10*$B$23:$C$23+$B$11:$C$11*$B$24:$C$24+$B$4:$C$4*($B$25:$C$25-$B$19:$C$19))*(J9:K9*J22:K22+J10:K10*J23:K23+J11:K11*J24:K24+J4:K4*(J25:K25-J19:K19))/($B$9:$C$9*J22:K22+$B$10:$C$10*J23:K23+$B$11:$C$11*J24:K24+$B$4:$C$4*(J25:K25-J19:K19)))</f>
        <v>1.0000344002195392</v>
      </c>
      <c r="K65" s="191"/>
      <c r="L65" s="191">
        <f t="array" ref="L65">SQRT((L9:M9*$B$22:$C$22+L10:M10*$B$23:$C$23+L11:M11*$B$24:$C$24+L4:M4*($B$25:$C$25-$B$19:$C$19))/($B$9:$C$9*$B$22:$C$22+$B$10:$C$10*$B$23:$C$23+$B$11:$C$11*$B$24:$C$24+$B$4:$C$4*($B$25:$C$25-$B$19:$C$19))*(L9:M9*L22:M22+L10:M10*L23:M23+L11:M11*L24:M24+L4:M4*(L25:M25-L19:M19))/($B$9:$C$9*L22:M22+$B$10:$C$10*L23:M23+$B$11:$C$11*L24:M24+$B$4:$C$4*(L25:M25-L19:M19)))</f>
        <v>1.0015558537475036</v>
      </c>
      <c r="M65" s="191"/>
      <c r="N65" s="191">
        <f t="array" ref="N65">SQRT((N9:O9*$B$22:$C$22+N10:O10*$B$23:$C$23+N11:O11*$B$24:$C$24+N4:O4*($B$25:$C$25-$B$19:$C$19))/($B$9:$C$9*$B$22:$C$22+$B$10:$C$10*$B$23:$C$23+$B$11:$C$11*$B$24:$C$24+$B$4:$C$4*($B$25:$C$25-$B$19:$C$19))*(N9:O9*N22:O22+N10:O10*N23:O23+N11:O11*N24:O24+N4:O4*(N25:O25-N19:O19))/($B$9:$C$9*N22:O22+$B$10:$C$10*N23:O23+$B$11:$C$11*N24:O24+$B$4:$C$4*(N25:O25-N19:O19)))</f>
        <v>1.004068834520508</v>
      </c>
      <c r="O65" s="191"/>
      <c r="P65" s="191">
        <f t="array" ref="P65">SQRT((P9:Q9*$B$22:$C$22+P10:Q10*$B$23:$C$23+P11:Q11*$B$24:$C$24+P4:Q4*($B$25:$C$25-$B$19:$C$19))/($B$9:$C$9*$B$22:$C$22+$B$10:$C$10*$B$23:$C$23+$B$11:$C$11*$B$24:$C$24+$B$4:$C$4*($B$25:$C$25-$B$19:$C$19))*(P9:Q9*P22:Q22+P10:Q10*P23:Q23+P11:Q11*P24:Q24+P4:Q4*(P25:Q25-P19:Q19))/($B$9:$C$9*P22:Q22+$B$10:$C$10*P23:Q23+$B$11:$C$11*P24:Q24+$B$4:$C$4*(P25:Q25-P19:Q19)))</f>
        <v>1.0079045490528191</v>
      </c>
      <c r="Q65" s="191"/>
      <c r="R65" s="191">
        <f t="array" ref="R65">SQRT((R9:S9*$B$22:$C$22+R10:S10*$B$23:$C$23+R11:S11*$B$24:$C$24+R4:S4*($B$25:$C$25-$B$19:$C$19))/($B$9:$C$9*$B$22:$C$22+$B$10:$C$10*$B$23:$C$23+$B$11:$C$11*$B$24:$C$24+$B$4:$C$4*($B$25:$C$25-$B$19:$C$19))*(R9:S9*R22:S22+R10:S10*R23:S23+R11:S11*R24:S24+R4:S4*(R25:S25-R19:S19))/($B$9:$C$9*R22:S22+$B$10:$C$10*R23:S23+$B$11:$C$11*R24:S24+$B$4:$C$4*(R25:S25-R19:S19)))</f>
        <v>1.0135342270670478</v>
      </c>
      <c r="S65" s="191"/>
      <c r="T65" s="191">
        <f t="array" ref="T65">SQRT((T9:U9*$B$22:$C$22+T10:U10*$B$23:$C$23+T11:U11*$B$24:$C$24+T4:U4*($B$25:$C$25-$B$19:$C$19))/($B$9:$C$9*$B$22:$C$22+$B$10:$C$10*$B$23:$C$23+$B$11:$C$11*$B$24:$C$24+$B$4:$C$4*($B$25:$C$25-$B$19:$C$19))*(T9:U9*T22:U22+T10:U10*T23:U23+T11:U11*T24:U24+T4:U4*(T25:U25-T19:U19))/($B$9:$C$9*T22:U22+$B$10:$C$10*T23:U23+$B$11:$C$11*T24:U24+$B$4:$C$4*(T25:U25-T19:U19)))</f>
        <v>1.0216405181163004</v>
      </c>
      <c r="U65" s="191"/>
      <c r="V65" s="191">
        <f t="array" ref="V65">SQRT((V9:W9*$B$22:$C$22+V10:W10*$B$23:$C$23+V11:W11*$B$24:$C$24+V4:W4*($B$25:$C$25-$B$19:$C$19))/($B$9:$C$9*$B$22:$C$22+$B$10:$C$10*$B$23:$C$23+$B$11:$C$11*$B$24:$C$24+$B$4:$C$4*($B$25:$C$25-$B$19:$C$19))*(V9:W9*V22:W22+V10:W10*V23:W23+V11:W11*V24:W24+V4:W4*(V25:W25-V19:W19))/($B$9:$C$9*V22:W22+$B$10:$C$10*V23:W23+$B$11:$C$11*V24:W24+$B$4:$C$4*(V25:W25-V19:W19)))</f>
        <v>1.0332277304245145</v>
      </c>
      <c r="W65" s="191"/>
      <c r="X65" s="191">
        <f t="array" ref="X65">SQRT((X9:Y9*$B$22:$C$22+X10:Y10*$B$23:$C$23+X11:Y11*$B$24:$C$24+X4:Y4*($B$25:$C$25-$B$19:$C$19))/($B$9:$C$9*$B$22:$C$22+$B$10:$C$10*$B$23:$C$23+$B$11:$C$11*$B$24:$C$24+$B$4:$C$4*($B$25:$C$25-$B$19:$C$19))*(X9:Y9*X22:Y22+X10:Y10*X23:Y23+X11:Y11*X24:Y24+X4:Y4*(X25:Y25-X19:Y19))/($B$9:$C$9*X22:Y22+$B$10:$C$10*X23:Y23+$B$11:$C$11*X24:Y24+$B$4:$C$4*(X25:Y25-X19:Y19)))</f>
        <v>1.0498007144147794</v>
      </c>
      <c r="Y65" s="191"/>
      <c r="Z65" s="191">
        <f t="array" ref="Z65">SQRT((Z9:AA9*$B$22:$C$22+Z10:AA10*$B$23:$C$23+Z11:AA11*$B$24:$C$24+Z4:AA4*($B$25:$C$25-$B$19:$C$19))/($B$9:$C$9*$B$22:$C$22+$B$10:$C$10*$B$23:$C$23+$B$11:$C$11*$B$24:$C$24+$B$4:$C$4*($B$25:$C$25-$B$19:$C$19))*(Z9:AA9*Z22:AA22+Z10:AA10*Z23:AA23+Z11:AA11*Z24:AA24+Z4:AA4*(Z25:AA25-Z19:AA19))/($B$9:$C$9*Z22:AA22+$B$10:$C$10*Z23:AA23+$B$11:$C$11*Z24:AA24+$B$4:$C$4*(Z25:AA25-Z19:AA19)))</f>
        <v>1.073652907682179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1.1083489676807019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1.1596029454961432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1.2372160039279816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1.360571671862657</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0.99929719248215709</v>
      </c>
      <c r="E66" s="191"/>
      <c r="F66" s="191">
        <f t="array" ref="F66">SQRT((F9:G9*$B$22:$C$22)/($B$9:$C$9*$B$22:$C$22)*(F9:G9*F22:G22)/($B$9:$C$9*F22:G22))</f>
        <v>0.99899443075055794</v>
      </c>
      <c r="G66" s="191"/>
      <c r="H66" s="191">
        <f t="array" ref="H66">SQRT((H9:I9*$B$22:$C$22)/($B$9:$C$9*$B$22:$C$22)*(H9:I9*H22:I22)/($B$9:$C$9*H22:I22))</f>
        <v>0.99919542665355698</v>
      </c>
      <c r="I66" s="191"/>
      <c r="J66" s="191">
        <f t="array" ref="J66">SQRT((J9:K9*$B$22:$C$22)/($B$9:$C$9*$B$22:$C$22)*(J9:K9*J22:K22)/($B$9:$C$9*J22:K22))</f>
        <v>1.0000377968362526</v>
      </c>
      <c r="K66" s="191"/>
      <c r="L66" s="191">
        <f t="array" ref="L66">SQRT((L9:M9*$B$22:$C$22)/($B$9:$C$9*$B$22:$C$22)*(L9:M9*L22:M22)/($B$9:$C$9*L22:M22))</f>
        <v>1.00170822327072</v>
      </c>
      <c r="M66" s="191"/>
      <c r="N66" s="191">
        <f t="array" ref="N66">SQRT((N9:O9*$B$22:$C$22)/($B$9:$C$9*$B$22:$C$22)*(N9:O9*N22:O22)/($B$9:$C$9*N22:O22))</f>
        <v>1.0044621174627979</v>
      </c>
      <c r="O66" s="191"/>
      <c r="P66" s="191">
        <f t="array" ref="P66">SQRT((P9:Q9*$B$22:$C$22)/($B$9:$C$9*$B$22:$C$22)*(P9:Q9*P22:Q22)/($B$9:$C$9*P22:Q22))</f>
        <v>1.0086536408092879</v>
      </c>
      <c r="Q66" s="191"/>
      <c r="R66" s="191">
        <f t="array" ref="R66">SQRT((R9:S9*$B$22:$C$22)/($B$9:$C$9*$B$22:$C$22)*(R9:S9*R22:S22)/($B$9:$C$9*R22:S22))</f>
        <v>1.0147802803238271</v>
      </c>
      <c r="S66" s="191"/>
      <c r="T66" s="191">
        <f t="array" ref="T66">SQRT((T9:U9*$B$22:$C$22)/($B$9:$C$9*$B$22:$C$22)*(T9:U9*T22:U22)/($B$9:$C$9*T22:U22))</f>
        <v>1.0235511445455621</v>
      </c>
      <c r="U66" s="191"/>
      <c r="V66" s="191">
        <f t="array" ref="V66">SQRT((V9:W9*$B$22:$C$22)/($B$9:$C$9*$B$22:$C$22)*(V9:W9*V22:W22)/($B$9:$C$9*V22:W22))</f>
        <v>1.0359879697880636</v>
      </c>
      <c r="W66" s="191"/>
      <c r="X66" s="191">
        <f t="array" ref="X66">SQRT((X9:Y9*$B$22:$C$22)/($B$9:$C$9*$B$22:$C$22)*(X9:Y9*X22:Y22)/($B$9:$C$9*X22:Y22))</f>
        <v>1.0535812735911738</v>
      </c>
      <c r="Y66" s="191"/>
      <c r="Z66" s="191">
        <f t="array" ref="Z66">SQRT((Z9:AA9*$B$22:$C$22)/($B$9:$C$9*$B$22:$C$22)*(Z9:AA9*Z22:AA22)/($B$9:$C$9*Z22:AA22))</f>
        <v>1.0785249163564299</v>
      </c>
      <c r="AA66" s="191"/>
      <c r="AB66" s="191">
        <f t="array" ref="AB66">SQRT((AB9:AC9*$B$22:$C$22)/($B$9:$C$9*$B$22:$C$22)*(AB9:AC9*AB22:AC22)/($B$9:$C$9*AB22:AC22))</f>
        <v>1.1140772388083351</v>
      </c>
      <c r="AC66" s="191"/>
      <c r="AD66" s="191">
        <f t="array" ref="AD66">SQRT((AD9:AE9*$B$22:$C$22)/($B$9:$C$9*$B$22:$C$22)*(AD9:AE9*AD22:AE22)/($B$9:$C$9*AD22:AE22))</f>
        <v>1.1651614862911357</v>
      </c>
      <c r="AE66" s="191"/>
      <c r="AF66" s="191">
        <f t="array" ref="AF66">SQRT((AF9:AG9*$B$22:$C$22)/($B$9:$C$9*$B$22:$C$22)*(AF9:AG9*AF22:AG22)/($B$9:$C$9*AF22:AG22))</f>
        <v>1.2396150617945649</v>
      </c>
      <c r="AG66" s="191"/>
      <c r="AH66" s="191">
        <f t="array" ref="AH66">SQRT((AH9:AI9*$B$22:$C$22)/($B$9:$C$9*$B$22:$C$22)*(AH9:AI9*AH22:AI22)/($B$9:$C$9*AH22:AI22))</f>
        <v>1.3515735502494532</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0.99929719248215709</v>
      </c>
      <c r="E68" s="191"/>
      <c r="F68" s="191">
        <f>F66/F67</f>
        <v>0.99899443075055794</v>
      </c>
      <c r="G68" s="191"/>
      <c r="H68" s="191">
        <f>H66/H67</f>
        <v>0.99919542665355698</v>
      </c>
      <c r="I68" s="191"/>
      <c r="J68" s="191">
        <f>J66/J67</f>
        <v>1.0000377968362526</v>
      </c>
      <c r="K68" s="191"/>
      <c r="L68" s="191">
        <f>L66/L67</f>
        <v>1.00170822327072</v>
      </c>
      <c r="M68" s="191"/>
      <c r="N68" s="191">
        <f>N66/N67</f>
        <v>1.0044621174627979</v>
      </c>
      <c r="O68" s="191"/>
      <c r="P68" s="191">
        <f>P66/P67</f>
        <v>1.0086536408092879</v>
      </c>
      <c r="Q68" s="191"/>
      <c r="R68" s="191">
        <f>R66/R67</f>
        <v>1.0147802803238271</v>
      </c>
      <c r="S68" s="191"/>
      <c r="T68" s="191">
        <f>T66/T67</f>
        <v>1.0235511445455621</v>
      </c>
      <c r="U68" s="191"/>
      <c r="V68" s="191">
        <f>V66/V67</f>
        <v>1.0359879697880636</v>
      </c>
      <c r="W68" s="191"/>
      <c r="X68" s="191">
        <f>X66/X67</f>
        <v>1.0535812735911738</v>
      </c>
      <c r="Y68" s="191"/>
      <c r="Z68" s="191">
        <f>Z66/Z67</f>
        <v>1.0785249163564299</v>
      </c>
      <c r="AA68" s="191"/>
      <c r="AB68" s="191">
        <f>AB66/AB67</f>
        <v>1.1140772388083351</v>
      </c>
      <c r="AC68" s="191"/>
      <c r="AD68" s="191">
        <f>AD66/AD67</f>
        <v>1.1651614862911357</v>
      </c>
      <c r="AE68" s="191"/>
      <c r="AF68" s="191">
        <f>AF66/AF67</f>
        <v>1.2396150617945649</v>
      </c>
      <c r="AG68" s="191"/>
      <c r="AH68" s="191">
        <f>AH66/AH67</f>
        <v>1.3515735502494532</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0.99121353631179854</v>
      </c>
      <c r="E69" s="191"/>
      <c r="F69" s="191">
        <f>F32/F65/($B$32)</f>
        <v>0.98102840869836139</v>
      </c>
      <c r="G69" s="191"/>
      <c r="H69" s="191">
        <f>H32/H65/($B$32)</f>
        <v>0.9691813726859565</v>
      </c>
      <c r="I69" s="191"/>
      <c r="J69" s="191">
        <f>J32/J65/($B$32)</f>
        <v>0.95535433278824067</v>
      </c>
      <c r="K69" s="191"/>
      <c r="L69" s="191">
        <f>L32/L65/($B$32)</f>
        <v>0.93916153314779749</v>
      </c>
      <c r="M69" s="191"/>
      <c r="N69" s="191">
        <f>N32/N65/($B$32)</f>
        <v>0.92014173288052825</v>
      </c>
      <c r="O69" s="191"/>
      <c r="P69" s="191">
        <f>P32/P65/($B$32)</f>
        <v>0.89775322403300251</v>
      </c>
      <c r="Q69" s="191"/>
      <c r="R69" s="191">
        <f>R32/R65/($B$32)</f>
        <v>0.87137955970322234</v>
      </c>
      <c r="S69" s="191"/>
      <c r="T69" s="191">
        <f>T32/T65/($B$32)</f>
        <v>0.84035505660103182</v>
      </c>
      <c r="U69" s="191"/>
      <c r="V69" s="191">
        <f>V32/V65/($B$32)</f>
        <v>0.80402877697092823</v>
      </c>
      <c r="W69" s="191"/>
      <c r="X69" s="191">
        <f>X32/X65/($B$32)</f>
        <v>0.76188201027522939</v>
      </c>
      <c r="Y69" s="191"/>
      <c r="Z69" s="191">
        <f>Z32/Z65/($B$32)</f>
        <v>0.7137119952449098</v>
      </c>
      <c r="AA69" s="191"/>
      <c r="AB69" s="191">
        <f>AB32/AB65/($B$32)</f>
        <v>0.65985409212040025</v>
      </c>
      <c r="AC69" s="191"/>
      <c r="AD69" s="191">
        <f>AD32/AD65/($B$32)</f>
        <v>0.60131481205671389</v>
      </c>
      <c r="AE69" s="191"/>
      <c r="AF69" s="191">
        <f>AF32/AF65/($B$32)</f>
        <v>0.53953348949029045</v>
      </c>
      <c r="AG69" s="191"/>
      <c r="AH69" s="191">
        <f>AH32/AH65/($B$32)</f>
        <v>0.47539475953778082</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0.99052478539111188</v>
      </c>
      <c r="E70" s="138"/>
      <c r="F70" s="138">
        <f>F18/$B$18</f>
        <v>0.97964098184980397</v>
      </c>
      <c r="G70" s="138"/>
      <c r="H70" s="138">
        <f>H18/$B$18</f>
        <v>0.96708443099519847</v>
      </c>
      <c r="I70" s="138"/>
      <c r="J70" s="138">
        <f>J18/$B$18</f>
        <v>0.9525364804267803</v>
      </c>
      <c r="K70" s="138"/>
      <c r="L70" s="138">
        <f>L18/$B$18</f>
        <v>0.93561152246105972</v>
      </c>
      <c r="M70" s="138"/>
      <c r="N70" s="138">
        <f>N18/$B$18</f>
        <v>0.91584966288724023</v>
      </c>
      <c r="O70" s="138"/>
      <c r="P70" s="138">
        <f>P18/$B$18</f>
        <v>0.89271270053105711</v>
      </c>
      <c r="Q70" s="138"/>
      <c r="R70" s="138">
        <f>R18/$B$18</f>
        <v>0.86559146757493621</v>
      </c>
      <c r="S70" s="138"/>
      <c r="T70" s="138">
        <f>T18/$B$18</f>
        <v>0.83383443237423405</v>
      </c>
      <c r="U70" s="138"/>
      <c r="V70" s="138">
        <f>V18/$B$18</f>
        <v>0.79681597242167568</v>
      </c>
      <c r="W70" s="138"/>
      <c r="X70" s="138">
        <f>X18/$B$18</f>
        <v>0.75406115322940803</v>
      </c>
      <c r="Y70" s="138"/>
      <c r="Z70" s="138">
        <f>Z18/$B$18</f>
        <v>0.70543938726896915</v>
      </c>
      <c r="AA70" s="138"/>
      <c r="AB70" s="138">
        <f>AB18/$B$18</f>
        <v>0.65139980897409844</v>
      </c>
      <c r="AC70" s="138"/>
      <c r="AD70" s="138">
        <f>AD18/$B$18</f>
        <v>0.59312227062497092</v>
      </c>
      <c r="AE70" s="138"/>
      <c r="AF70" s="138">
        <f>AF18/$B$18</f>
        <v>0.53231979946526697</v>
      </c>
      <c r="AG70" s="138"/>
      <c r="AH70" s="138">
        <f>AH18/$B$18</f>
        <v>0.47041443839861574</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0.93400055503623458</v>
      </c>
      <c r="E71" s="138"/>
      <c r="F71" s="138">
        <f>G18/$C$18</f>
        <v>0.86834605878006932</v>
      </c>
      <c r="G71" s="138"/>
      <c r="H71" s="138">
        <f>I18/$C$18</f>
        <v>0.80310956449980908</v>
      </c>
      <c r="I71" s="138"/>
      <c r="J71" s="138">
        <f>K18/$C$18</f>
        <v>0.73838112435819137</v>
      </c>
      <c r="K71" s="138"/>
      <c r="L71" s="138">
        <f>M18/$C$18</f>
        <v>0.67426917018444554</v>
      </c>
      <c r="M71" s="138"/>
      <c r="N71" s="138">
        <f>O18/$C$18</f>
        <v>0.61090223706726976</v>
      </c>
      <c r="O71" s="138"/>
      <c r="P71" s="138">
        <f>Q18/$C$18</f>
        <v>0.54842919601035101</v>
      </c>
      <c r="Q71" s="138"/>
      <c r="R71" s="138">
        <f>S18/$C$18</f>
        <v>0.48701564112250695</v>
      </c>
      <c r="S71" s="138"/>
      <c r="T71" s="138">
        <f>U18/$C$18</f>
        <v>0.42683726724094712</v>
      </c>
      <c r="U71" s="138"/>
      <c r="V71" s="138">
        <f>W18/$C$18</f>
        <v>0.36806077601760601</v>
      </c>
      <c r="W71" s="138"/>
      <c r="X71" s="138">
        <f>Y18/$C$18</f>
        <v>0.31081782360399424</v>
      </c>
      <c r="Y71" s="138"/>
      <c r="Z71" s="138">
        <f>AA18/$C$18</f>
        <v>0.25518714079429827</v>
      </c>
      <c r="AA71" s="138"/>
      <c r="AB71" s="138">
        <f>AC18/$C$18</f>
        <v>0.20121905314163385</v>
      </c>
      <c r="AC71" s="138"/>
      <c r="AD71" s="138">
        <f>AE18/$C$18</f>
        <v>0.14910654725340472</v>
      </c>
      <c r="AE71" s="138"/>
      <c r="AF71" s="138">
        <f>AG18/$C$18</f>
        <v>9.9666204728015115E-2</v>
      </c>
      <c r="AG71" s="138"/>
      <c r="AH71" s="138">
        <f>AI18/$C$18</f>
        <v>5.5298504259287791E-2</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1.0093618557320923</v>
      </c>
      <c r="E72" s="138"/>
      <c r="F72" s="138">
        <f>G19/$C$19</f>
        <v>1.0197825635623736</v>
      </c>
      <c r="G72" s="138"/>
      <c r="H72" s="138">
        <f>I19/$C$19</f>
        <v>1.0311684290232339</v>
      </c>
      <c r="I72" s="138"/>
      <c r="J72" s="138">
        <f>K19/$C$19</f>
        <v>1.0433603790598946</v>
      </c>
      <c r="K72" s="138"/>
      <c r="L72" s="138">
        <f>M19/$C$19</f>
        <v>1.0561160390953641</v>
      </c>
      <c r="M72" s="138"/>
      <c r="N72" s="138">
        <f>O19/$C$19</f>
        <v>1.0690913946229361</v>
      </c>
      <c r="O72" s="138"/>
      <c r="P72" s="138">
        <f>Q19/$C$19</f>
        <v>1.0818280689396826</v>
      </c>
      <c r="Q72" s="138"/>
      <c r="R72" s="138">
        <f>S19/$C$19</f>
        <v>1.0937590843193388</v>
      </c>
      <c r="S72" s="138"/>
      <c r="T72" s="138">
        <f>U19/$C$19</f>
        <v>1.1042557684316485</v>
      </c>
      <c r="U72" s="138"/>
      <c r="V72" s="138">
        <f>W19/$C$19</f>
        <v>1.1127420465842892</v>
      </c>
      <c r="W72" s="138"/>
      <c r="X72" s="138">
        <f>Y19/$C$19</f>
        <v>1.118909144001091</v>
      </c>
      <c r="Y72" s="138"/>
      <c r="Z72" s="138">
        <f>AA19/$C$19</f>
        <v>1.1230061911937252</v>
      </c>
      <c r="AA72" s="138"/>
      <c r="AB72" s="138">
        <f>AC19/$C$19</f>
        <v>1.1260274052620205</v>
      </c>
      <c r="AC72" s="138"/>
      <c r="AD72" s="138">
        <f>AE19/$C$19</f>
        <v>1.1291767715874568</v>
      </c>
      <c r="AE72" s="138"/>
      <c r="AF72" s="138">
        <f>AG19/$C$19</f>
        <v>1.13111229812356</v>
      </c>
      <c r="AG72" s="138"/>
      <c r="AH72" s="138">
        <f>AI19/$C$19</f>
        <v>1.1199352930752053</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0.47486045888523493</v>
      </c>
      <c r="E73" s="138"/>
      <c r="F73" s="193">
        <f t="array" ref="F73">SUM(F9:G9*F22:G22)/F32</f>
        <v>0.47329736700874209</v>
      </c>
      <c r="G73" s="138"/>
      <c r="H73" s="193">
        <f t="array" ref="H73">SUM(H9:I9*H22:I22)/H32</f>
        <v>0.47172343874717149</v>
      </c>
      <c r="I73" s="138"/>
      <c r="J73" s="193">
        <f t="array" ref="J73">SUM(J9:K9*J22:K22)/J32</f>
        <v>0.4701403238840261</v>
      </c>
      <c r="K73" s="138"/>
      <c r="L73" s="193">
        <f t="array" ref="L73">SUM(L9:M9*L22:M22)/L32</f>
        <v>0.4685507857272907</v>
      </c>
      <c r="M73" s="138"/>
      <c r="N73" s="193">
        <f t="array" ref="N73">SUM(N9:O9*N22:O22)/N32</f>
        <v>0.46695871055728638</v>
      </c>
      <c r="O73" s="138"/>
      <c r="P73" s="193">
        <f t="array" ref="P73">SUM(P9:Q9*P22:Q22)/P32</f>
        <v>0.46536915371506127</v>
      </c>
      <c r="Q73" s="138"/>
      <c r="R73" s="193">
        <f t="array" ref="R73">SUM(R9:S9*R22:S22)/R32</f>
        <v>0.46378790181049551</v>
      </c>
      <c r="S73" s="138"/>
      <c r="T73" s="193">
        <f t="array" ref="T73">SUM(T9:U9*T22:U22)/T32</f>
        <v>0.46222059165941648</v>
      </c>
      <c r="U73" s="138"/>
      <c r="V73" s="193">
        <f t="array" ref="V73">SUM(V9:W9*V22:W22)/V32</f>
        <v>0.46066890632825636</v>
      </c>
      <c r="W73" s="138"/>
      <c r="X73" s="193">
        <f t="array" ref="X73">SUM(X9:Y9*X22:Y22)/X32</f>
        <v>0.45912399854675978</v>
      </c>
      <c r="Y73" s="138"/>
      <c r="Z73" s="193">
        <f t="array" ref="Z73">SUM(Z9:AA9*Z22:AA22)/Z32</f>
        <v>0.45755102241920154</v>
      </c>
      <c r="AA73" s="138"/>
      <c r="AB73" s="193">
        <f t="array" ref="AB73">SUM(AB9:AC9*AB22:AC22)/AB32</f>
        <v>0.45586104292592233</v>
      </c>
      <c r="AC73" s="138"/>
      <c r="AD73" s="193">
        <f t="array" ref="AD73">SUM(AD9:AE9*AD22:AE22)/AD32</f>
        <v>0.45386108693474109</v>
      </c>
      <c r="AE73" s="138"/>
      <c r="AF73" s="193">
        <f t="array" ref="AF73">SUM(AF9:AG9*AF22:AG22)/AF32</f>
        <v>0.4511694554693545</v>
      </c>
      <c r="AG73" s="138"/>
      <c r="AH73" s="193">
        <f t="array" ref="AH73">SUM(AH9:AI9*AH22:AI22)/AH32</f>
        <v>0.4470553939034419</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0.22604620456442481</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0.22232383247071488</v>
      </c>
      <c r="E75" s="138"/>
      <c r="F75" s="193">
        <f t="array" ref="F75">SUM(F11:G11*F24:G24)/F32</f>
        <v>0.22462585490549439</v>
      </c>
      <c r="G75" s="138"/>
      <c r="H75" s="193">
        <f t="array" ref="H75">SUM(H11:I11*H24:I24)/H32</f>
        <v>0.2273757869797744</v>
      </c>
      <c r="I75" s="138"/>
      <c r="J75" s="193">
        <f t="array" ref="J75">SUM(J11:K11*J24:K24)/J32</f>
        <v>0.23068418627912093</v>
      </c>
      <c r="K75" s="138"/>
      <c r="L75" s="193">
        <f t="array" ref="L75">SUM(L11:M11*L24:M24)/L32</f>
        <v>0.23469649070180779</v>
      </c>
      <c r="M75" s="138"/>
      <c r="N75" s="193">
        <f t="array" ref="N75">SUM(N11:O11*N24:O24)/N32</f>
        <v>0.23960516368681903</v>
      </c>
      <c r="O75" s="138"/>
      <c r="P75" s="193">
        <f t="array" ref="P75">SUM(P11:Q11*P24:Q24)/P32</f>
        <v>0.24566682228845993</v>
      </c>
      <c r="Q75" s="138"/>
      <c r="R75" s="193">
        <f t="array" ref="R75">SUM(R11:S11*R24:S24)/R32</f>
        <v>0.25322527886555229</v>
      </c>
      <c r="S75" s="138"/>
      <c r="T75" s="193">
        <f t="array" ref="T75">SUM(T11:U11*T24:U24)/T32</f>
        <v>0.2627419679686166</v>
      </c>
      <c r="U75" s="138"/>
      <c r="V75" s="193">
        <f t="array" ref="V75">SUM(V11:W11*V24:W24)/V32</f>
        <v>0.2748323759940442</v>
      </c>
      <c r="W75" s="138"/>
      <c r="X75" s="193">
        <f t="array" ref="X75">SUM(X11:Y11*X24:Y24)/X32</f>
        <v>0.29030484660910039</v>
      </c>
      <c r="Y75" s="138"/>
      <c r="Z75" s="193">
        <f t="array" ref="Z75">SUM(Z11:AA11*Z24:AA24)/Z32</f>
        <v>0.31018736873584529</v>
      </c>
      <c r="AA75" s="138"/>
      <c r="AB75" s="193">
        <f t="array" ref="AB75">SUM(AB11:AC11*AB24:AC24)/AB32</f>
        <v>0.33571573148262729</v>
      </c>
      <c r="AC75" s="138"/>
      <c r="AD75" s="193">
        <f t="array" ref="AD75">SUM(AD11:AE11*AD24:AE24)/AD32</f>
        <v>0.36826100643284448</v>
      </c>
      <c r="AE75" s="138"/>
      <c r="AF75" s="193">
        <f t="array" ref="AF75">SUM(AF11:AG11*AF24:AG24)/AF32</f>
        <v>0.40926417927487918</v>
      </c>
      <c r="AG75" s="138"/>
      <c r="AH75" s="193">
        <f t="array" ref="AH75">SUM(AH11:AI11*AH24:AI24)/AH32</f>
        <v>0.4605159709640736</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0.22274558523486299</v>
      </c>
      <c r="E76" s="138"/>
      <c r="F76" s="193">
        <f t="array" ref="F76">SUM(F12:G12*F25:G25)/F32</f>
        <v>0.22224031903478536</v>
      </c>
      <c r="G76" s="138"/>
      <c r="H76" s="193">
        <f t="array" ref="H76">SUM(H12:I12*H25:I25)/H32</f>
        <v>0.22143986630699386</v>
      </c>
      <c r="I76" s="138"/>
      <c r="J76" s="193">
        <f t="array" ref="J76">SUM(J12:K12*J25:K25)/J32</f>
        <v>0.22026198048335</v>
      </c>
      <c r="K76" s="138"/>
      <c r="L76" s="193">
        <f t="array" ref="L76">SUM(L12:M12*L25:M25)/L32</f>
        <v>0.2185977443699523</v>
      </c>
      <c r="M76" s="138"/>
      <c r="N76" s="193">
        <f t="array" ref="N76">SUM(N12:O12*N25:O25)/N32</f>
        <v>0.21630295265231611</v>
      </c>
      <c r="O76" s="138"/>
      <c r="P76" s="193">
        <f t="array" ref="P76">SUM(P12:Q12*P25:Q25)/P32</f>
        <v>0.21318637381355368</v>
      </c>
      <c r="Q76" s="138"/>
      <c r="R76" s="193">
        <f t="array" ref="R76">SUM(R12:S12*R25:S25)/R32</f>
        <v>0.20899524360466168</v>
      </c>
      <c r="S76" s="138"/>
      <c r="T76" s="193">
        <f t="array" ref="T76">SUM(T12:U12*T25:U25)/T32</f>
        <v>0.20339822801222598</v>
      </c>
      <c r="U76" s="138"/>
      <c r="V76" s="193">
        <f t="array" ref="V76">SUM(V12:W12*V25:W25)/V32</f>
        <v>0.19597099039930632</v>
      </c>
      <c r="W76" s="138"/>
      <c r="X76" s="193">
        <f t="array" ref="X76">SUM(X12:Y12*X25:Y25)/X32</f>
        <v>0.18619138513870973</v>
      </c>
      <c r="Y76" s="138"/>
      <c r="Z76" s="193">
        <f t="array" ref="Z76">SUM(Z12:AA12*Z25:AA25)/Z32</f>
        <v>0.17346615743522337</v>
      </c>
      <c r="AA76" s="138"/>
      <c r="AB76" s="193">
        <f t="array" ref="AB76">SUM(AB12:AC12*AB25:AC25)/AB32</f>
        <v>0.15722046344601201</v>
      </c>
      <c r="AC76" s="138"/>
      <c r="AD76" s="193">
        <f t="array" ref="AD76">SUM(AD12:AE12*AD25:AE25)/AD32</f>
        <v>0.13708103481733172</v>
      </c>
      <c r="AE76" s="138"/>
      <c r="AF76" s="193">
        <f t="array" ref="AF76">SUM(AF12:AG12*AF25:AG25)/AF32</f>
        <v>0.11312258001790533</v>
      </c>
      <c r="AG76" s="138"/>
      <c r="AH76" s="193">
        <f t="array" ref="AH76">SUM(AH12:AI12*AH25:AI25)/AH32</f>
        <v>8.6044875595192707E-2</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0.14597608115523744</v>
      </c>
      <c r="E77" s="138"/>
      <c r="F77" s="193">
        <f t="array" ref="F77">SUM(F4:G4*F19:G19)/F32</f>
        <v>0.14620974551344665</v>
      </c>
      <c r="G77" s="138"/>
      <c r="H77" s="193">
        <f t="array" ref="H77">SUM(H4:I4*H19:I19)/H32</f>
        <v>0.14658529659836428</v>
      </c>
      <c r="I77" s="138"/>
      <c r="J77" s="193">
        <f t="array" ref="J77">SUM(J4:K4*J19:K19)/J32</f>
        <v>0.14713269521092179</v>
      </c>
      <c r="K77" s="138"/>
      <c r="L77" s="193">
        <f t="array" ref="L77">SUM(L4:M4*L19:M19)/L32</f>
        <v>0.14789122536347563</v>
      </c>
      <c r="M77" s="138"/>
      <c r="N77" s="193">
        <f t="array" ref="N77">SUM(N4:O4*N19:O19)/N32</f>
        <v>0.14891303146084631</v>
      </c>
      <c r="O77" s="138"/>
      <c r="P77" s="193">
        <f t="array" ref="P77">SUM(P4:Q4*P19:Q19)/P32</f>
        <v>0.15026855438149944</v>
      </c>
      <c r="Q77" s="138"/>
      <c r="R77" s="193">
        <f t="array" ref="R77">SUM(R4:S4*R19:S19)/R32</f>
        <v>0.15205462884513418</v>
      </c>
      <c r="S77" s="138"/>
      <c r="T77" s="193">
        <f t="array" ref="T77">SUM(T4:U4*T19:U19)/T32</f>
        <v>0.15440699220468379</v>
      </c>
      <c r="U77" s="138"/>
      <c r="V77" s="193">
        <f t="array" ref="V77">SUM(V4:W4*V19:W19)/V32</f>
        <v>0.15751847728603158</v>
      </c>
      <c r="W77" s="138"/>
      <c r="X77" s="193">
        <f t="array" ref="X77">SUM(X4:Y4*X19:Y19)/X32</f>
        <v>0.16166643485899443</v>
      </c>
      <c r="Y77" s="138"/>
      <c r="Z77" s="193">
        <f t="array" ref="Z77">SUM(Z4:AA4*Z19:AA19)/Z32</f>
        <v>0.16725075315469498</v>
      </c>
      <c r="AA77" s="138"/>
      <c r="AB77" s="193">
        <f t="array" ref="AB77">SUM(AB4:AC4*AB19:AC19)/AB32</f>
        <v>0.17484344241898608</v>
      </c>
      <c r="AC77" s="138"/>
      <c r="AD77" s="193">
        <f t="array" ref="AD77">SUM(AD4:AE4*AD19:AE19)/AD32</f>
        <v>0.18524933274934202</v>
      </c>
      <c r="AE77" s="138"/>
      <c r="AF77" s="193">
        <f t="array" ref="AF77">SUM(AF4:AG4*AF19:AG19)/AF32</f>
        <v>0.19960241932656381</v>
      </c>
      <c r="AG77" s="138"/>
      <c r="AH77" s="193">
        <f t="array" ref="AH77">SUM(AH4:AI4*AH19:AI19)/AH32</f>
        <v>0.219662445027133</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0.3454861409697263</v>
      </c>
      <c r="E78" s="138"/>
      <c r="F78" s="193">
        <f t="array" ref="F78">SUM(F13:G13*F26:G26)/F32</f>
        <v>0.34403149572866065</v>
      </c>
      <c r="G78" s="138"/>
      <c r="H78" s="193">
        <f t="array" ref="H78">SUM(H13:I13*H26:I26)/H32</f>
        <v>0.3425201535903955</v>
      </c>
      <c r="I78" s="138"/>
      <c r="J78" s="193">
        <f t="array" ref="J78">SUM(J13:K13*J26:K26)/J32</f>
        <v>0.34094895238820505</v>
      </c>
      <c r="K78" s="138"/>
      <c r="L78" s="193">
        <f t="array" ref="L78">SUM(L13:M13*L26:M26)/L32</f>
        <v>0.33931543658140578</v>
      </c>
      <c r="M78" s="138"/>
      <c r="N78" s="193">
        <f t="array" ref="N78">SUM(N13:O13*N26:O26)/N32</f>
        <v>0.33761824489780912</v>
      </c>
      <c r="O78" s="138"/>
      <c r="P78" s="193">
        <f t="array" ref="P78">SUM(P13:Q13*P26:Q26)/P32</f>
        <v>0.33585767541146716</v>
      </c>
      <c r="Q78" s="138"/>
      <c r="R78" s="193">
        <f t="array" ref="R78">SUM(R13:S13*R26:S26)/R32</f>
        <v>0.33403631602853034</v>
      </c>
      <c r="S78" s="138"/>
      <c r="T78" s="193">
        <f t="array" ref="T78">SUM(T13:U13*T26:U26)/T32</f>
        <v>0.33215982040356368</v>
      </c>
      <c r="U78" s="138"/>
      <c r="V78" s="193">
        <f t="array" ref="V78">SUM(V13:W13*V26:W26)/V32</f>
        <v>0.33023699151916119</v>
      </c>
      <c r="W78" s="138"/>
      <c r="X78" s="193">
        <f t="array" ref="X78">SUM(X13:Y13*X26:Y26)/X32</f>
        <v>0.32827896619999919</v>
      </c>
      <c r="Y78" s="138"/>
      <c r="Z78" s="193">
        <f t="array" ref="Z78">SUM(Z13:AA13*Z26:AA26)/Z32</f>
        <v>0.326295436781119</v>
      </c>
      <c r="AA78" s="138"/>
      <c r="AB78" s="193">
        <f t="array" ref="AB78">SUM(AB13:AC13*AB26:AC26)/AB32</f>
        <v>0.32428507988605726</v>
      </c>
      <c r="AC78" s="138"/>
      <c r="AD78" s="193">
        <f t="array" ref="AD78">SUM(AD13:AE13*AD26:AE26)/AD32</f>
        <v>0.32221476750196931</v>
      </c>
      <c r="AE78" s="138"/>
      <c r="AF78" s="193">
        <f t="array" ref="AF78">SUM(AF13:AG13*AF26:AG26)/AF32</f>
        <v>0.31997887149147108</v>
      </c>
      <c r="AG78" s="138"/>
      <c r="AH78" s="193">
        <f t="array" ref="AH78">SUM(AH13:AI13*AH26:AI26)/AH32</f>
        <v>0.31732310444328499</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0.45460968782440492</v>
      </c>
      <c r="D79" s="193">
        <f t="array" ref="D79">SUM(D15:E15*D27:E27)/D32</f>
        <v>0.45340535624316242</v>
      </c>
      <c r="F79" s="193">
        <f t="array" ref="F79">SUM(F15:G15*F27:G27)/F32</f>
        <v>0.45223481646614816</v>
      </c>
      <c r="H79" s="193">
        <f t="array" ref="H79">SUM(H15:I15*H27:I27)/H32</f>
        <v>0.45110331599829445</v>
      </c>
      <c r="J79" s="193">
        <f t="array" ref="J79">SUM(J15:K15*J27:K27)/J32</f>
        <v>0.45001696985447698</v>
      </c>
      <c r="L79" s="193">
        <f t="array" ref="L79">SUM(L15:M15*L27:M27)/L32</f>
        <v>0.44898293433246872</v>
      </c>
      <c r="N79" s="193">
        <f t="array" ref="N79">SUM(N15:O15*N27:O27)/N32</f>
        <v>0.4480091599778892</v>
      </c>
      <c r="P79" s="193">
        <f t="array" ref="P79">SUM(P15:Q15*P27:Q27)/P32</f>
        <v>0.44710388933460915</v>
      </c>
      <c r="R79" s="193">
        <f t="array" ref="R79">SUM(R15:S15*R27:S27)/R32</f>
        <v>0.4462743506645121</v>
      </c>
      <c r="T79" s="193">
        <f t="array" ref="T79">SUM(T15:U15*T27:U27)/T32</f>
        <v>0.44552422775827816</v>
      </c>
      <c r="V79" s="193">
        <f t="array" ref="V79">SUM(V15:W15*V27:W27)/V32</f>
        <v>0.44484768392304191</v>
      </c>
      <c r="X79" s="193">
        <f t="array" ref="X79">SUM(X15:Y15*X27:Y27)/X32</f>
        <v>0.44421819272121166</v>
      </c>
      <c r="Z79" s="193">
        <f t="array" ref="Z79">SUM(Z15:AA15*Z27:AA27)/Z32</f>
        <v>0.44356706144714148</v>
      </c>
      <c r="AB79" s="193">
        <f t="array" ref="AB79">SUM(AB15:AC15*AB27:AC27)/AB32</f>
        <v>0.44274514787732711</v>
      </c>
      <c r="AD79" s="193">
        <f t="array" ref="AD79">SUM(AD15:AE15*AD27:AE27)/AD32</f>
        <v>0.44145935687205407</v>
      </c>
      <c r="AF79" s="193">
        <f t="array" ref="AF79">SUM(AF15:AG15*AF27:AG27)/AF32</f>
        <v>0.43917079514490243</v>
      </c>
      <c r="AH79" s="193">
        <f t="array" ref="AH79">SUM(AH15:AI15*AH27:AI27)/AH32</f>
        <v>0.43490048908384227</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0.20110850431998409</v>
      </c>
      <c r="F80" s="236">
        <f>F55</f>
        <v>0.20373370951594841</v>
      </c>
      <c r="H80" s="236">
        <f>H55</f>
        <v>0.20637657287731059</v>
      </c>
      <c r="J80" s="236">
        <f>J55</f>
        <v>0.2090341028765195</v>
      </c>
      <c r="L80" s="236">
        <f>L55</f>
        <v>0.21170162879959123</v>
      </c>
      <c r="N80" s="236">
        <f>N55</f>
        <v>0.21437259615567633</v>
      </c>
      <c r="P80" s="236">
        <f>P55</f>
        <v>0.21703847729220471</v>
      </c>
      <c r="R80" s="236">
        <f>R55</f>
        <v>0.21968933722925402</v>
      </c>
      <c r="T80" s="236">
        <f>T55</f>
        <v>0.22231596732757425</v>
      </c>
      <c r="V80" s="236">
        <f>V55</f>
        <v>0.22491533390070742</v>
      </c>
      <c r="X80" s="236">
        <f>X55</f>
        <v>0.22750286162931513</v>
      </c>
      <c r="Z80" s="236">
        <f>Z55</f>
        <v>0.23013752481881281</v>
      </c>
      <c r="AB80" s="236">
        <f>AB55</f>
        <v>0.23296977378966729</v>
      </c>
      <c r="AD80" s="236">
        <f>AD55</f>
        <v>0.23632587791213638</v>
      </c>
      <c r="AF80" s="236">
        <f>AF55</f>
        <v>0.24085033588788712</v>
      </c>
      <c r="AH80" s="236">
        <f>AH55</f>
        <v>0.24777640732546513</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-2.4937700244440739E-2</v>
      </c>
      <c r="F81" s="236">
        <f>F51/F$32</f>
        <v>-2.2312495048476422E-2</v>
      </c>
      <c r="H81" s="236">
        <f>H51/H$32</f>
        <v>-1.9669631687114244E-2</v>
      </c>
      <c r="J81" s="236">
        <f>J51/J$32</f>
        <v>-1.7012101687905335E-2</v>
      </c>
      <c r="L81" s="236">
        <f>L51/L$32</f>
        <v>-1.4344575764833608E-2</v>
      </c>
      <c r="N81" s="236">
        <f>N51/N$32</f>
        <v>-1.1673608408748514E-2</v>
      </c>
      <c r="P81" s="236">
        <f>P51/P$32</f>
        <v>-9.0077272722201267E-3</v>
      </c>
      <c r="R81" s="236">
        <f>R51/R$32</f>
        <v>-6.3568673351708455E-3</v>
      </c>
      <c r="T81" s="236">
        <f>T51/T$32</f>
        <v>-3.7302372368506176E-3</v>
      </c>
      <c r="V81" s="236">
        <f>V51/V$32</f>
        <v>-1.1308706637173991E-3</v>
      </c>
      <c r="X81" s="236">
        <f>X51/X$32</f>
        <v>1.4566570648902992E-3</v>
      </c>
      <c r="Z81" s="236">
        <f>Z51/Z$32</f>
        <v>4.0913202543879567E-3</v>
      </c>
      <c r="AB81" s="236">
        <f>AB51/AB$32</f>
        <v>6.923569225242461E-3</v>
      </c>
      <c r="AD81" s="236">
        <f>AD51/AD$32</f>
        <v>1.0279673347711528E-2</v>
      </c>
      <c r="AF81" s="236">
        <f>AF51/AF$32</f>
        <v>1.480413132346229E-2</v>
      </c>
      <c r="AH81" s="236">
        <f>AH51/AH$32</f>
        <v>2.1730202761040318E-2</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0.13851671469444179</v>
      </c>
      <c r="F82" s="236">
        <f>F52/F$32</f>
        <v>0.13793349975194724</v>
      </c>
      <c r="H82" s="236">
        <f>H52/H$32</f>
        <v>0.1373275531655396</v>
      </c>
      <c r="J82" s="236">
        <f>J52/J$32</f>
        <v>0.13669760711896153</v>
      </c>
      <c r="L82" s="236">
        <f>L52/L$32</f>
        <v>0.13604267710549076</v>
      </c>
      <c r="N82" s="236">
        <f>N52/N$32</f>
        <v>0.13536221734650106</v>
      </c>
      <c r="P82" s="236">
        <f>P52/P$32</f>
        <v>0.13465634734964715</v>
      </c>
      <c r="R82" s="236">
        <f>R52/R$32</f>
        <v>0.13392610469130442</v>
      </c>
      <c r="T82" s="236">
        <f>T52/T$32</f>
        <v>0.13317375610684515</v>
      </c>
      <c r="V82" s="236">
        <f>V52/V$32</f>
        <v>0.13240283100044456</v>
      </c>
      <c r="X82" s="236">
        <f>X52/X$32</f>
        <v>0.13161779449004335</v>
      </c>
      <c r="Z82" s="236">
        <f>Z52/Z$32</f>
        <v>0.13082253255035492</v>
      </c>
      <c r="AB82" s="236">
        <f>AB52/AB$32</f>
        <v>0.1300165145963911</v>
      </c>
      <c r="AD82" s="236">
        <f>AD52/AD$32</f>
        <v>0.12918645852227437</v>
      </c>
      <c r="AF82" s="236">
        <f>AF52/AF$32</f>
        <v>0.12829001454653824</v>
      </c>
      <c r="AH82" s="236">
        <f>AH52/AH$32</f>
        <v>0.12722523051359283</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0.18600714462929877</v>
      </c>
      <c r="D83" s="236">
        <f>D53/D$32</f>
        <v>0.18551438285009897</v>
      </c>
      <c r="F83" s="236">
        <f>F53/F$32</f>
        <v>0.18503544725451276</v>
      </c>
      <c r="H83" s="236">
        <f>H53/H$32</f>
        <v>0.18457248490063202</v>
      </c>
      <c r="J83" s="236">
        <f>J53/J$32</f>
        <v>0.18412799779509417</v>
      </c>
      <c r="L83" s="236">
        <f>L53/L$32</f>
        <v>0.18370491399365896</v>
      </c>
      <c r="N83" s="236">
        <f>N53/N$32</f>
        <v>0.18330648652486614</v>
      </c>
      <c r="P83" s="236">
        <f>P53/P$32</f>
        <v>0.18293608789064633</v>
      </c>
      <c r="R83" s="236">
        <f>R53/R$32</f>
        <v>0.18259667559144355</v>
      </c>
      <c r="T83" s="236">
        <f>T53/T$32</f>
        <v>0.18228975687931195</v>
      </c>
      <c r="V83" s="236">
        <f>V53/V$32</f>
        <v>0.18201294362526302</v>
      </c>
      <c r="X83" s="236">
        <f>X53/X$32</f>
        <v>0.1817553823278299</v>
      </c>
      <c r="Z83" s="236">
        <f>Z53/Z$32</f>
        <v>0.18148896682390997</v>
      </c>
      <c r="AB83" s="236">
        <f>AB53/AB$32</f>
        <v>0.18115267439471675</v>
      </c>
      <c r="AD83" s="236">
        <f>AD53/AD$32</f>
        <v>0.18062658284874586</v>
      </c>
      <c r="AF83" s="236">
        <f>AF53/AF$32</f>
        <v>0.17969019974126621</v>
      </c>
      <c r="AH83" s="236">
        <f>AH53/AH$32</f>
        <v>0.17794297028623138</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5.1621504892449245E-2</v>
      </c>
      <c r="E2" s="227"/>
      <c r="F2" s="226">
        <v>0.10208486953007513</v>
      </c>
      <c r="G2" s="227"/>
      <c r="H2" s="226">
        <v>0.15794708224522908</v>
      </c>
      <c r="I2" s="227"/>
      <c r="J2" s="226">
        <v>0.22019668091812336</v>
      </c>
      <c r="K2" s="227"/>
      <c r="L2" s="226">
        <v>0.29009876584687611</v>
      </c>
      <c r="M2" s="227"/>
      <c r="N2" s="226">
        <v>0.36931339397198415</v>
      </c>
      <c r="O2" s="227"/>
      <c r="P2" s="226">
        <v>0.46006174215355061</v>
      </c>
      <c r="Q2" s="227"/>
      <c r="R2" s="226">
        <v>0.56540777855427859</v>
      </c>
      <c r="S2" s="227"/>
      <c r="T2" s="226">
        <v>0.68972011470837047</v>
      </c>
      <c r="U2" s="227"/>
      <c r="V2" s="226">
        <v>0.83947390710856262</v>
      </c>
      <c r="W2" s="227"/>
      <c r="X2" s="226">
        <v>1.0247268039319439</v>
      </c>
      <c r="Y2" s="227"/>
      <c r="Z2" s="226">
        <v>1.2619905333475236</v>
      </c>
      <c r="AA2" s="227"/>
      <c r="AB2" s="226">
        <v>1.5802348095693706</v>
      </c>
      <c r="AC2" s="227"/>
      <c r="AD2" s="226">
        <v>2.0344496623483703</v>
      </c>
      <c r="AE2" s="227"/>
      <c r="AF2" s="226">
        <v>2.7390121018782558</v>
      </c>
      <c r="AG2" s="227"/>
      <c r="AH2" s="226">
        <v>3.9574416475546736</v>
      </c>
      <c r="AI2" s="227"/>
      <c r="AJ2" s="226">
        <v>6.3745733495975356</v>
      </c>
      <c r="AK2" s="227"/>
      <c r="AL2" s="226">
        <v>12.16503348406858</v>
      </c>
      <c r="AM2" s="227"/>
      <c r="AN2" s="226">
        <v>32.198712527441067</v>
      </c>
      <c r="AO2" s="227"/>
      <c r="AP2" s="226">
        <v>42.352927495894733</v>
      </c>
      <c r="AQ2" s="227"/>
      <c r="AR2" s="226">
        <v>58.568533734998319</v>
      </c>
      <c r="AS2" s="227"/>
      <c r="AT2" s="226">
        <v>87.35258126399205</v>
      </c>
      <c r="AU2" s="227"/>
      <c r="AV2" s="226">
        <v>148.19186404020161</v>
      </c>
      <c r="AW2" s="227"/>
    </row>
    <row r="3" spans="1:49" x14ac:dyDescent="0.2">
      <c r="A3" t="s">
        <v>12</v>
      </c>
      <c r="B3" s="84">
        <v>1000</v>
      </c>
      <c r="C3" s="85">
        <v>1000</v>
      </c>
      <c r="D3" s="84">
        <v>998.70667827326679</v>
      </c>
      <c r="E3" s="85">
        <v>1020.6411346613306</v>
      </c>
      <c r="F3" s="84">
        <v>997.37912927621448</v>
      </c>
      <c r="G3" s="85">
        <v>1043.6964101911603</v>
      </c>
      <c r="H3" s="84">
        <v>996.01138777251322</v>
      </c>
      <c r="I3" s="85">
        <v>1069.5896278292578</v>
      </c>
      <c r="J3" s="84">
        <v>994.59657168960337</v>
      </c>
      <c r="K3" s="85">
        <v>1098.8513372815175</v>
      </c>
      <c r="L3" s="84">
        <v>993.12692309480462</v>
      </c>
      <c r="M3" s="85">
        <v>1132.1552125700521</v>
      </c>
      <c r="N3" s="84">
        <v>991.59394809840842</v>
      </c>
      <c r="O3" s="85">
        <v>1170.3747659942771</v>
      </c>
      <c r="P3" s="84">
        <v>989.98890744950108</v>
      </c>
      <c r="Q3" s="85">
        <v>1214.6616050073353</v>
      </c>
      <c r="R3" s="84">
        <v>988.30384584795434</v>
      </c>
      <c r="S3" s="85">
        <v>1266.5740978883478</v>
      </c>
      <c r="T3" s="84">
        <v>986.53372651248787</v>
      </c>
      <c r="U3" s="85">
        <v>1328.2814864346076</v>
      </c>
      <c r="V3" s="84">
        <v>984.68064015292214</v>
      </c>
      <c r="W3" s="85">
        <v>1402.9084749622932</v>
      </c>
      <c r="X3" s="84">
        <v>982.76205367281034</v>
      </c>
      <c r="Y3" s="85">
        <v>1495.1458028429454</v>
      </c>
      <c r="Z3" s="84">
        <v>980.82685783819318</v>
      </c>
      <c r="AA3" s="85">
        <v>1612.3940509947918</v>
      </c>
      <c r="AB3" s="84">
        <v>978.98642789720111</v>
      </c>
      <c r="AC3" s="85">
        <v>1767.0513735301265</v>
      </c>
      <c r="AD3" s="84">
        <v>977.47239155639545</v>
      </c>
      <c r="AE3" s="85">
        <v>1981.4289135338506</v>
      </c>
      <c r="AF3" s="84">
        <v>976.72982125287967</v>
      </c>
      <c r="AG3" s="85">
        <v>2299.1529215780488</v>
      </c>
      <c r="AH3" s="84">
        <v>977.49630533442974</v>
      </c>
      <c r="AI3" s="85">
        <v>2813.8962571672146</v>
      </c>
      <c r="AJ3" s="84">
        <v>980.60954552545411</v>
      </c>
      <c r="AK3" s="85">
        <v>3751.3598702410377</v>
      </c>
      <c r="AL3" s="84">
        <v>986.25153892371713</v>
      </c>
      <c r="AM3" s="85">
        <v>5778.5779039733125</v>
      </c>
      <c r="AN3" s="84">
        <v>993.63478085393081</v>
      </c>
      <c r="AO3" s="85">
        <v>11999.908828803953</v>
      </c>
      <c r="AP3" s="84">
        <v>995.32000100193693</v>
      </c>
      <c r="AQ3" s="85">
        <v>14955.802408461548</v>
      </c>
      <c r="AR3" s="84">
        <v>997.17869573476116</v>
      </c>
      <c r="AS3" s="85">
        <v>19535.134980885927</v>
      </c>
      <c r="AT3" s="84">
        <v>999.41466522489964</v>
      </c>
      <c r="AU3" s="85">
        <v>27395.641424022462</v>
      </c>
      <c r="AV3" s="84">
        <v>1002.643377846218</v>
      </c>
      <c r="AW3" s="85">
        <v>43383.433235007877</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998.64255751246492</v>
      </c>
      <c r="E5" s="42">
        <v>1017.9440294051229</v>
      </c>
      <c r="F5" s="41">
        <v>997.2484215517751</v>
      </c>
      <c r="G5" s="42">
        <v>1037.5645577714383</v>
      </c>
      <c r="H5" s="41">
        <v>995.81125849016598</v>
      </c>
      <c r="I5" s="42">
        <v>1059.0743378777497</v>
      </c>
      <c r="J5" s="41">
        <v>994.32375325633745</v>
      </c>
      <c r="K5" s="42">
        <v>1082.719540537975</v>
      </c>
      <c r="L5" s="41">
        <v>992.7776485437538</v>
      </c>
      <c r="M5" s="42">
        <v>1108.7868951984608</v>
      </c>
      <c r="N5" s="41">
        <v>991.16388623256921</v>
      </c>
      <c r="O5" s="42">
        <v>1137.6074557602235</v>
      </c>
      <c r="P5" s="41">
        <v>989.47312031629883</v>
      </c>
      <c r="Q5" s="42">
        <v>1169.5653758593987</v>
      </c>
      <c r="R5" s="41">
        <v>987.69679779630667</v>
      </c>
      <c r="S5" s="42">
        <v>1205.1022616857219</v>
      </c>
      <c r="T5" s="41">
        <v>985.82941108083605</v>
      </c>
      <c r="U5" s="42">
        <v>1244.7175809847995</v>
      </c>
      <c r="V5" s="41">
        <v>983.87295242448135</v>
      </c>
      <c r="W5" s="42">
        <v>1288.9608685874598</v>
      </c>
      <c r="X5" s="41">
        <v>981.8456631776487</v>
      </c>
      <c r="Y5" s="42">
        <v>1338.3961482448599</v>
      </c>
      <c r="Z5" s="41">
        <v>979.79908434225615</v>
      </c>
      <c r="AA5" s="42">
        <v>1393.5103092810771</v>
      </c>
      <c r="AB5" s="41">
        <v>977.85109469748988</v>
      </c>
      <c r="AC5" s="42">
        <v>1454.4872691983212</v>
      </c>
      <c r="AD5" s="41">
        <v>976.24737459752419</v>
      </c>
      <c r="AE5" s="42">
        <v>1520.6973869650246</v>
      </c>
      <c r="AF5" s="41">
        <v>975.46042063025288</v>
      </c>
      <c r="AG5" s="42">
        <v>1589.6321325235751</v>
      </c>
      <c r="AH5" s="41">
        <v>976.27271335243006</v>
      </c>
      <c r="AI5" s="42">
        <v>1655.2482181742489</v>
      </c>
      <c r="AJ5" s="41">
        <v>979.56915469720172</v>
      </c>
      <c r="AK5" s="42">
        <v>1707.5287683152899</v>
      </c>
      <c r="AL5" s="41">
        <v>985.53158428734912</v>
      </c>
      <c r="AM5" s="42">
        <v>1738.0210820622306</v>
      </c>
      <c r="AN5" s="41">
        <v>993.31203658341155</v>
      </c>
      <c r="AO5" s="42">
        <v>1748.7076933061546</v>
      </c>
      <c r="AP5" s="41">
        <v>995.08446215398203</v>
      </c>
      <c r="AQ5" s="42">
        <v>1749.3654327485046</v>
      </c>
      <c r="AR5" s="41">
        <v>997.03786678687084</v>
      </c>
      <c r="AS5" s="42">
        <v>1749.7532905917724</v>
      </c>
      <c r="AT5" s="41">
        <v>999.38573671397694</v>
      </c>
      <c r="AU5" s="42">
        <v>1749.9546600213764</v>
      </c>
      <c r="AV5" s="41">
        <v>1002.7721445101735</v>
      </c>
      <c r="AW5" s="42">
        <v>1750.0403881698139</v>
      </c>
    </row>
    <row r="6" spans="1:49" x14ac:dyDescent="0.2">
      <c r="A6" t="s">
        <v>77</v>
      </c>
      <c r="B6" s="41">
        <v>999.99999999999943</v>
      </c>
      <c r="C6" s="42">
        <v>999.99999999999909</v>
      </c>
      <c r="D6" s="41">
        <v>998.53887843708083</v>
      </c>
      <c r="E6" s="42">
        <v>1022.2452987722049</v>
      </c>
      <c r="F6" s="41">
        <v>997.03857658442064</v>
      </c>
      <c r="G6" s="42">
        <v>1047.0135748374207</v>
      </c>
      <c r="H6" s="41">
        <v>995.49230587783904</v>
      </c>
      <c r="I6" s="42">
        <v>1074.7407598708892</v>
      </c>
      <c r="J6" s="41">
        <v>993.89222905819395</v>
      </c>
      <c r="K6" s="42">
        <v>1105.9721249017075</v>
      </c>
      <c r="L6" s="41">
        <v>992.22950352854809</v>
      </c>
      <c r="M6" s="42">
        <v>1141.3995286131899</v>
      </c>
      <c r="N6" s="41">
        <v>990.4944363755942</v>
      </c>
      <c r="O6" s="42">
        <v>1181.9196438432277</v>
      </c>
      <c r="P6" s="41">
        <v>988.67703645642473</v>
      </c>
      <c r="Q6" s="42">
        <v>1228.7140554701095</v>
      </c>
      <c r="R6" s="41">
        <v>986.76817784543425</v>
      </c>
      <c r="S6" s="42">
        <v>1283.3812628833848</v>
      </c>
      <c r="T6" s="41">
        <v>984.76201918495372</v>
      </c>
      <c r="U6" s="42">
        <v>1348.1459656199563</v>
      </c>
      <c r="V6" s="41">
        <v>982.66078333916676</v>
      </c>
      <c r="W6" s="42">
        <v>1426.2124185343632</v>
      </c>
      <c r="X6" s="41">
        <v>980.48413801002471</v>
      </c>
      <c r="Y6" s="42">
        <v>1522.3905108663103</v>
      </c>
      <c r="Z6" s="41">
        <v>978.28746562315587</v>
      </c>
      <c r="AA6" s="42">
        <v>1644.2684782545214</v>
      </c>
      <c r="AB6" s="41">
        <v>976.19725063181897</v>
      </c>
      <c r="AC6" s="42">
        <v>1804.5581385035421</v>
      </c>
      <c r="AD6" s="41">
        <v>974.47690740017504</v>
      </c>
      <c r="AE6" s="42">
        <v>2026.1332394305923</v>
      </c>
      <c r="AF6" s="41">
        <v>973.63287992460096</v>
      </c>
      <c r="AG6" s="42">
        <v>2353.7162686146344</v>
      </c>
      <c r="AH6" s="41">
        <v>974.50408552384988</v>
      </c>
      <c r="AI6" s="42">
        <v>2883.3317344190118</v>
      </c>
      <c r="AJ6" s="41">
        <v>978.04071614537054</v>
      </c>
      <c r="AK6" s="42">
        <v>3846.3805614675175</v>
      </c>
      <c r="AL6" s="41">
        <v>984.44211278339606</v>
      </c>
      <c r="AM6" s="42">
        <v>5926.9492885482896</v>
      </c>
      <c r="AN6" s="41">
        <v>992.8041553238188</v>
      </c>
      <c r="AO6" s="42">
        <v>12309.410075933023</v>
      </c>
      <c r="AP6" s="41">
        <v>994.71046143022977</v>
      </c>
      <c r="AQ6" s="42">
        <v>15341.647257801458</v>
      </c>
      <c r="AR6" s="41">
        <v>996.81201550335834</v>
      </c>
      <c r="AS6" s="42">
        <v>20039.203069059102</v>
      </c>
      <c r="AT6" s="41">
        <v>999.33878277689325</v>
      </c>
      <c r="AU6" s="42">
        <v>28102.594308173942</v>
      </c>
      <c r="AV6" s="41">
        <v>1002.9848187741998</v>
      </c>
      <c r="AW6" s="42">
        <v>44502.995687765229</v>
      </c>
    </row>
    <row r="7" spans="1:49" x14ac:dyDescent="0.2">
      <c r="A7" t="s">
        <v>13</v>
      </c>
      <c r="B7" s="33">
        <v>1015.9116825427475</v>
      </c>
      <c r="C7" s="34">
        <v>1015.9116825427475</v>
      </c>
      <c r="D7" s="33">
        <v>1014.5326408612807</v>
      </c>
      <c r="E7" s="34">
        <v>1014.5326408612807</v>
      </c>
      <c r="F7" s="33">
        <v>1013.1163218517629</v>
      </c>
      <c r="G7" s="34">
        <v>1013.1163218517629</v>
      </c>
      <c r="H7" s="33">
        <v>1011.6562911077554</v>
      </c>
      <c r="I7" s="34">
        <v>1011.6562911077554</v>
      </c>
      <c r="J7" s="33">
        <v>1010.1451171628654</v>
      </c>
      <c r="K7" s="34">
        <v>1010.1451171628654</v>
      </c>
      <c r="L7" s="33">
        <v>1008.5744113229173</v>
      </c>
      <c r="M7" s="34">
        <v>1008.5744113229173</v>
      </c>
      <c r="N7" s="33">
        <v>1006.9349713381376</v>
      </c>
      <c r="O7" s="34">
        <v>1006.9349713381376</v>
      </c>
      <c r="P7" s="33">
        <v>1005.2173024913535</v>
      </c>
      <c r="Q7" s="34">
        <v>1005.2173024913535</v>
      </c>
      <c r="R7" s="33">
        <v>1003.4127156913297</v>
      </c>
      <c r="S7" s="34">
        <v>1003.4127156913297</v>
      </c>
      <c r="T7" s="33">
        <v>1001.515615711258</v>
      </c>
      <c r="U7" s="34">
        <v>1001.515615711258</v>
      </c>
      <c r="V7" s="33">
        <v>999.52802650585534</v>
      </c>
      <c r="W7" s="34">
        <v>999.52802650585534</v>
      </c>
      <c r="X7" s="33">
        <v>997.46847967610483</v>
      </c>
      <c r="Y7" s="34">
        <v>997.46847967610483</v>
      </c>
      <c r="Z7" s="33">
        <v>995.38933632798478</v>
      </c>
      <c r="AA7" s="34">
        <v>995.38933632798478</v>
      </c>
      <c r="AB7" s="33">
        <v>993.4103508903944</v>
      </c>
      <c r="AC7" s="34">
        <v>993.4103508903944</v>
      </c>
      <c r="AD7" s="33">
        <v>991.78111290531058</v>
      </c>
      <c r="AE7" s="34">
        <v>991.78111290531058</v>
      </c>
      <c r="AF7" s="33">
        <v>990.98163717633633</v>
      </c>
      <c r="AG7" s="34">
        <v>990.98163717633633</v>
      </c>
      <c r="AH7" s="33">
        <v>991.80685484244054</v>
      </c>
      <c r="AI7" s="34">
        <v>991.80685484244054</v>
      </c>
      <c r="AJ7" s="33">
        <v>995.15574811541103</v>
      </c>
      <c r="AK7" s="34">
        <v>995.15574811541103</v>
      </c>
      <c r="AL7" s="33">
        <v>1001.2130499923803</v>
      </c>
      <c r="AM7" s="34">
        <v>1001.2130499923803</v>
      </c>
      <c r="AN7" s="33">
        <v>1009.1173023754168</v>
      </c>
      <c r="AO7" s="34">
        <v>1009.1173023754168</v>
      </c>
      <c r="AP7" s="33">
        <v>1010.9179302189967</v>
      </c>
      <c r="AQ7" s="34">
        <v>1010.9179302189967</v>
      </c>
      <c r="AR7" s="33">
        <v>1012.9024168062816</v>
      </c>
      <c r="AS7" s="34">
        <v>1012.9024168062816</v>
      </c>
      <c r="AT7" s="33">
        <v>1015.2876452943195</v>
      </c>
      <c r="AU7" s="34">
        <v>1015.2876452943195</v>
      </c>
      <c r="AV7" s="33">
        <v>1018.7279365363294</v>
      </c>
      <c r="AW7" s="34">
        <v>1018.7279365363294</v>
      </c>
    </row>
    <row r="8" spans="1:49" x14ac:dyDescent="0.2">
      <c r="B8" s="35">
        <v>1005.7716594496609</v>
      </c>
      <c r="C8" s="36">
        <v>1005.7716594496609</v>
      </c>
      <c r="D8" s="35">
        <v>1070.491832099299</v>
      </c>
      <c r="E8" s="36">
        <v>1070.491832099299</v>
      </c>
      <c r="F8" s="35">
        <v>1143.4842002805658</v>
      </c>
      <c r="G8" s="36">
        <v>1143.4842002805658</v>
      </c>
      <c r="H8" s="35">
        <v>1226.3520394263383</v>
      </c>
      <c r="I8" s="36">
        <v>1226.3520394263383</v>
      </c>
      <c r="J8" s="35">
        <v>1321.1307897296326</v>
      </c>
      <c r="K8" s="36">
        <v>1321.1307897296326</v>
      </c>
      <c r="L8" s="35">
        <v>1430.4446050827239</v>
      </c>
      <c r="M8" s="36">
        <v>1430.4446050827239</v>
      </c>
      <c r="N8" s="35">
        <v>1557.7411262548655</v>
      </c>
      <c r="O8" s="36">
        <v>1557.7411262548655</v>
      </c>
      <c r="P8" s="35">
        <v>1707.6376602397461</v>
      </c>
      <c r="Q8" s="36">
        <v>1707.6376602397461</v>
      </c>
      <c r="R8" s="35">
        <v>1886.4764543961828</v>
      </c>
      <c r="S8" s="36">
        <v>1886.4764543961828</v>
      </c>
      <c r="T8" s="35">
        <v>2103.2243337211607</v>
      </c>
      <c r="U8" s="36">
        <v>2103.2243337211607</v>
      </c>
      <c r="V8" s="35">
        <v>2371.0098850506211</v>
      </c>
      <c r="W8" s="36">
        <v>2371.0098850506211</v>
      </c>
      <c r="X8" s="35">
        <v>2709.8865556306396</v>
      </c>
      <c r="Y8" s="36">
        <v>2709.8865556306396</v>
      </c>
      <c r="Z8" s="35">
        <v>3152.1071277159758</v>
      </c>
      <c r="AA8" s="36">
        <v>3152.1071277159758</v>
      </c>
      <c r="AB8" s="35">
        <v>3752.9186820610043</v>
      </c>
      <c r="AC8" s="36">
        <v>3752.9186820610043</v>
      </c>
      <c r="AD8" s="35">
        <v>4614.4796724100679</v>
      </c>
      <c r="AE8" s="36">
        <v>4614.4796724100679</v>
      </c>
      <c r="AF8" s="35">
        <v>5943.6537810401869</v>
      </c>
      <c r="AG8" s="36">
        <v>5943.6537810401869</v>
      </c>
      <c r="AH8" s="35">
        <v>8205.7964538176875</v>
      </c>
      <c r="AI8" s="36">
        <v>8205.7964538176875</v>
      </c>
      <c r="AJ8" s="35">
        <v>12592.296148489042</v>
      </c>
      <c r="AK8" s="36">
        <v>12592.296148489042</v>
      </c>
      <c r="AL8" s="35">
        <v>22881.105741366369</v>
      </c>
      <c r="AM8" s="36">
        <v>22881.105741366369</v>
      </c>
      <c r="AN8" s="35">
        <v>58054.844004595609</v>
      </c>
      <c r="AO8" s="36">
        <v>58054.844004595609</v>
      </c>
      <c r="AP8" s="35">
        <v>75840.112769770436</v>
      </c>
      <c r="AQ8" s="36">
        <v>75840.112769770436</v>
      </c>
      <c r="AR8" s="35">
        <v>104230.23791854031</v>
      </c>
      <c r="AS8" s="36">
        <v>104230.23791854031</v>
      </c>
      <c r="AT8" s="35">
        <v>154613.01130784024</v>
      </c>
      <c r="AU8" s="36">
        <v>154613.01130784024</v>
      </c>
      <c r="AV8" s="35">
        <v>261091.78765669253</v>
      </c>
      <c r="AW8" s="36">
        <v>261091.78765669253</v>
      </c>
    </row>
    <row r="9" spans="1:49" x14ac:dyDescent="0.2">
      <c r="A9" t="s">
        <v>14</v>
      </c>
      <c r="B9" s="41">
        <v>1015.9116825427475</v>
      </c>
      <c r="C9" s="42">
        <v>1005.7716594496609</v>
      </c>
      <c r="D9" s="41">
        <v>1014.5326408612807</v>
      </c>
      <c r="E9" s="42">
        <v>1070.491832099299</v>
      </c>
      <c r="F9" s="41">
        <v>1013.1163218517629</v>
      </c>
      <c r="G9" s="42">
        <v>1143.4842002805658</v>
      </c>
      <c r="H9" s="41">
        <v>1011.6562911077554</v>
      </c>
      <c r="I9" s="42">
        <v>1226.3520394263383</v>
      </c>
      <c r="J9" s="41">
        <v>1010.1451171628654</v>
      </c>
      <c r="K9" s="42">
        <v>1321.1307897296326</v>
      </c>
      <c r="L9" s="41">
        <v>1008.5744113229173</v>
      </c>
      <c r="M9" s="42">
        <v>1430.4446050827239</v>
      </c>
      <c r="N9" s="41">
        <v>1006.9349713381376</v>
      </c>
      <c r="O9" s="42">
        <v>1557.7411262548655</v>
      </c>
      <c r="P9" s="41">
        <v>1005.2173024913535</v>
      </c>
      <c r="Q9" s="42">
        <v>1707.6376602397461</v>
      </c>
      <c r="R9" s="41">
        <v>1003.4127156913297</v>
      </c>
      <c r="S9" s="42">
        <v>1886.4764543961828</v>
      </c>
      <c r="T9" s="41">
        <v>1001.515615711258</v>
      </c>
      <c r="U9" s="42">
        <v>2103.2243337211607</v>
      </c>
      <c r="V9" s="41">
        <v>999.52802650585534</v>
      </c>
      <c r="W9" s="42">
        <v>2371.0098850506211</v>
      </c>
      <c r="X9" s="41">
        <v>997.46847967610483</v>
      </c>
      <c r="Y9" s="42">
        <v>2709.8865556306396</v>
      </c>
      <c r="Z9" s="41">
        <v>995.38933632798478</v>
      </c>
      <c r="AA9" s="42">
        <v>3152.1071277159758</v>
      </c>
      <c r="AB9" s="41">
        <v>993.4103508903944</v>
      </c>
      <c r="AC9" s="42">
        <v>3752.9186820610043</v>
      </c>
      <c r="AD9" s="41">
        <v>991.78111290531058</v>
      </c>
      <c r="AE9" s="42">
        <v>4614.4796724100679</v>
      </c>
      <c r="AF9" s="41">
        <v>990.98163717633633</v>
      </c>
      <c r="AG9" s="42">
        <v>5943.6537810401869</v>
      </c>
      <c r="AH9" s="41">
        <v>991.80685484244054</v>
      </c>
      <c r="AI9" s="42">
        <v>8205.7964538176875</v>
      </c>
      <c r="AJ9" s="41">
        <v>995.15574811541103</v>
      </c>
      <c r="AK9" s="42">
        <v>12592.296148489042</v>
      </c>
      <c r="AL9" s="41">
        <v>1001.2130499923803</v>
      </c>
      <c r="AM9" s="42">
        <v>22881.105741366369</v>
      </c>
      <c r="AN9" s="41">
        <v>1009.1173023754168</v>
      </c>
      <c r="AO9" s="42">
        <v>58054.844004595609</v>
      </c>
      <c r="AP9" s="41">
        <v>1010.9179302189967</v>
      </c>
      <c r="AQ9" s="42">
        <v>75840.112769770436</v>
      </c>
      <c r="AR9" s="41">
        <v>1012.9024168062816</v>
      </c>
      <c r="AS9" s="42">
        <v>104230.23791854031</v>
      </c>
      <c r="AT9" s="41">
        <v>1015.2876452943195</v>
      </c>
      <c r="AU9" s="42">
        <v>154613.01130784024</v>
      </c>
      <c r="AV9" s="41">
        <v>1018.7279365363294</v>
      </c>
      <c r="AW9" s="42">
        <v>261091.78765669253</v>
      </c>
    </row>
    <row r="10" spans="1:49" x14ac:dyDescent="0.2">
      <c r="A10" t="s">
        <v>15</v>
      </c>
      <c r="B10" s="41">
        <v>1015.9116825427475</v>
      </c>
      <c r="C10" s="42">
        <v>1005.7716594496609</v>
      </c>
      <c r="D10" s="41">
        <v>1014.5326408612807</v>
      </c>
      <c r="E10" s="42">
        <v>1070.491832099299</v>
      </c>
      <c r="F10" s="41">
        <v>1013.1163218517629</v>
      </c>
      <c r="G10" s="42">
        <v>1143.4842002805658</v>
      </c>
      <c r="H10" s="41">
        <v>1011.6562911077554</v>
      </c>
      <c r="I10" s="42">
        <v>1226.3520394263383</v>
      </c>
      <c r="J10" s="41">
        <v>1010.1451171628654</v>
      </c>
      <c r="K10" s="42">
        <v>1321.1307897296326</v>
      </c>
      <c r="L10" s="41">
        <v>1008.5744113229173</v>
      </c>
      <c r="M10" s="42">
        <v>1430.4446050827239</v>
      </c>
      <c r="N10" s="41">
        <v>1006.9349713381376</v>
      </c>
      <c r="O10" s="42">
        <v>1557.7411262548655</v>
      </c>
      <c r="P10" s="41">
        <v>1005.2173024913535</v>
      </c>
      <c r="Q10" s="42">
        <v>1707.6376602397461</v>
      </c>
      <c r="R10" s="41">
        <v>1003.4127156913297</v>
      </c>
      <c r="S10" s="42">
        <v>1886.4764543961828</v>
      </c>
      <c r="T10" s="41">
        <v>1001.515615711258</v>
      </c>
      <c r="U10" s="42">
        <v>2103.2243337211607</v>
      </c>
      <c r="V10" s="41">
        <v>999.52802650585534</v>
      </c>
      <c r="W10" s="42">
        <v>2371.0098850506211</v>
      </c>
      <c r="X10" s="41">
        <v>997.46847967610483</v>
      </c>
      <c r="Y10" s="42">
        <v>2709.8865556306396</v>
      </c>
      <c r="Z10" s="41">
        <v>995.38933632798478</v>
      </c>
      <c r="AA10" s="42">
        <v>3152.1071277159758</v>
      </c>
      <c r="AB10" s="41">
        <v>993.4103508903944</v>
      </c>
      <c r="AC10" s="42">
        <v>3752.9186820610043</v>
      </c>
      <c r="AD10" s="41">
        <v>991.78111290531058</v>
      </c>
      <c r="AE10" s="42">
        <v>4614.4796724100679</v>
      </c>
      <c r="AF10" s="41">
        <v>990.98163717633633</v>
      </c>
      <c r="AG10" s="42">
        <v>5943.6537810401869</v>
      </c>
      <c r="AH10" s="41">
        <v>991.80685484244054</v>
      </c>
      <c r="AI10" s="42">
        <v>8205.7964538176875</v>
      </c>
      <c r="AJ10" s="41">
        <v>995.15574811541103</v>
      </c>
      <c r="AK10" s="42">
        <v>12592.296148489042</v>
      </c>
      <c r="AL10" s="41">
        <v>1001.2130499923803</v>
      </c>
      <c r="AM10" s="42">
        <v>22881.105741366369</v>
      </c>
      <c r="AN10" s="41">
        <v>1009.1173023754168</v>
      </c>
      <c r="AO10" s="42">
        <v>58054.844004595609</v>
      </c>
      <c r="AP10" s="41">
        <v>1010.9179302189967</v>
      </c>
      <c r="AQ10" s="42">
        <v>75840.112769770436</v>
      </c>
      <c r="AR10" s="41">
        <v>1012.9024168062816</v>
      </c>
      <c r="AS10" s="42">
        <v>104230.23791854031</v>
      </c>
      <c r="AT10" s="41">
        <v>1015.2876452943195</v>
      </c>
      <c r="AU10" s="42">
        <v>154613.01130784024</v>
      </c>
      <c r="AV10" s="41">
        <v>1018.7279365363294</v>
      </c>
      <c r="AW10" s="42">
        <v>261091.78765669253</v>
      </c>
    </row>
    <row r="11" spans="1:49" x14ac:dyDescent="0.2">
      <c r="A11" t="s">
        <v>29</v>
      </c>
      <c r="B11" s="41">
        <v>1015.9116825427475</v>
      </c>
      <c r="C11" s="42">
        <v>1005.7716594496609</v>
      </c>
      <c r="D11" s="41">
        <v>1014.5326408612807</v>
      </c>
      <c r="E11" s="42">
        <v>1070.491832099299</v>
      </c>
      <c r="F11" s="41">
        <v>1013.1163218517629</v>
      </c>
      <c r="G11" s="42">
        <v>1143.4842002805658</v>
      </c>
      <c r="H11" s="41">
        <v>1011.6562911077554</v>
      </c>
      <c r="I11" s="42">
        <v>1226.3520394263383</v>
      </c>
      <c r="J11" s="41">
        <v>1010.1451171628654</v>
      </c>
      <c r="K11" s="42">
        <v>1321.1307897296326</v>
      </c>
      <c r="L11" s="41">
        <v>1008.5744113229173</v>
      </c>
      <c r="M11" s="42">
        <v>1430.4446050827239</v>
      </c>
      <c r="N11" s="41">
        <v>1006.9349713381376</v>
      </c>
      <c r="O11" s="42">
        <v>1557.7411262548655</v>
      </c>
      <c r="P11" s="41">
        <v>1005.2173024913535</v>
      </c>
      <c r="Q11" s="42">
        <v>1707.6376602397461</v>
      </c>
      <c r="R11" s="41">
        <v>1003.4127156913297</v>
      </c>
      <c r="S11" s="42">
        <v>1886.4764543961828</v>
      </c>
      <c r="T11" s="41">
        <v>1001.515615711258</v>
      </c>
      <c r="U11" s="42">
        <v>2103.2243337211607</v>
      </c>
      <c r="V11" s="41">
        <v>999.52802650585534</v>
      </c>
      <c r="W11" s="42">
        <v>2371.0098850506211</v>
      </c>
      <c r="X11" s="41">
        <v>997.46847967610483</v>
      </c>
      <c r="Y11" s="42">
        <v>2709.8865556306396</v>
      </c>
      <c r="Z11" s="41">
        <v>995.38933632798478</v>
      </c>
      <c r="AA11" s="42">
        <v>3152.1071277159758</v>
      </c>
      <c r="AB11" s="41">
        <v>993.4103508903944</v>
      </c>
      <c r="AC11" s="42">
        <v>3752.9186820610043</v>
      </c>
      <c r="AD11" s="41">
        <v>991.78111290531058</v>
      </c>
      <c r="AE11" s="42">
        <v>4614.4796724100679</v>
      </c>
      <c r="AF11" s="41">
        <v>990.98163717633633</v>
      </c>
      <c r="AG11" s="42">
        <v>5943.6537810401869</v>
      </c>
      <c r="AH11" s="41">
        <v>991.80685484244054</v>
      </c>
      <c r="AI11" s="42">
        <v>8205.7964538176875</v>
      </c>
      <c r="AJ11" s="41">
        <v>995.15574811541103</v>
      </c>
      <c r="AK11" s="42">
        <v>12592.296148489042</v>
      </c>
      <c r="AL11" s="41">
        <v>1001.2130499923803</v>
      </c>
      <c r="AM11" s="42">
        <v>22881.105741366369</v>
      </c>
      <c r="AN11" s="41">
        <v>1009.1173023754168</v>
      </c>
      <c r="AO11" s="42">
        <v>58054.844004595609</v>
      </c>
      <c r="AP11" s="41">
        <v>1010.9179302189967</v>
      </c>
      <c r="AQ11" s="42">
        <v>75840.112769770436</v>
      </c>
      <c r="AR11" s="41">
        <v>1012.9024168062816</v>
      </c>
      <c r="AS11" s="42">
        <v>104230.23791854031</v>
      </c>
      <c r="AT11" s="41">
        <v>1015.2876452943195</v>
      </c>
      <c r="AU11" s="42">
        <v>154613.01130784024</v>
      </c>
      <c r="AV11" s="41">
        <v>1018.7279365363294</v>
      </c>
      <c r="AW11" s="42">
        <v>261091.78765669253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998.80112402149484</v>
      </c>
      <c r="E13" s="98">
        <v>998.80112402149484</v>
      </c>
      <c r="F13" s="97">
        <v>997.2929928748988</v>
      </c>
      <c r="G13" s="98">
        <v>997.2929928748988</v>
      </c>
      <c r="H13" s="97">
        <v>995.429628752957</v>
      </c>
      <c r="I13" s="98">
        <v>995.429628752957</v>
      </c>
      <c r="J13" s="97">
        <v>993.1552334763303</v>
      </c>
      <c r="K13" s="98">
        <v>993.1552334763303</v>
      </c>
      <c r="L13" s="97">
        <v>990.40105698896309</v>
      </c>
      <c r="M13" s="98">
        <v>990.40105698896309</v>
      </c>
      <c r="N13" s="97">
        <v>987.08173946766124</v>
      </c>
      <c r="O13" s="98">
        <v>987.08173946766124</v>
      </c>
      <c r="P13" s="97">
        <v>983.08941677822963</v>
      </c>
      <c r="Q13" s="98">
        <v>983.08941677822963</v>
      </c>
      <c r="R13" s="97">
        <v>978.28551332546601</v>
      </c>
      <c r="S13" s="98">
        <v>978.28551332546601</v>
      </c>
      <c r="T13" s="97">
        <v>972.48837779479823</v>
      </c>
      <c r="U13" s="98">
        <v>972.48837779479823</v>
      </c>
      <c r="V13" s="97">
        <v>965.45367196447637</v>
      </c>
      <c r="W13" s="98">
        <v>965.45367196447637</v>
      </c>
      <c r="X13" s="97">
        <v>956.8425284743887</v>
      </c>
      <c r="Y13" s="98">
        <v>956.8425284743887</v>
      </c>
      <c r="Z13" s="97">
        <v>946.16633375734568</v>
      </c>
      <c r="AA13" s="98">
        <v>946.16633375734568</v>
      </c>
      <c r="AB13" s="97">
        <v>932.6853135896489</v>
      </c>
      <c r="AC13" s="98">
        <v>932.6853135896489</v>
      </c>
      <c r="AD13" s="97">
        <v>915.20802316806169</v>
      </c>
      <c r="AE13" s="98">
        <v>915.20802316806169</v>
      </c>
      <c r="AF13" s="97">
        <v>891.66370363047201</v>
      </c>
      <c r="AG13" s="98">
        <v>891.66370363047201</v>
      </c>
      <c r="AH13" s="97">
        <v>858.11218021298191</v>
      </c>
      <c r="AI13" s="98">
        <v>858.11218021298191</v>
      </c>
      <c r="AJ13" s="97">
        <v>806.23720857423928</v>
      </c>
      <c r="AK13" s="98">
        <v>806.23720857423928</v>
      </c>
      <c r="AL13" s="97">
        <v>715.90926478070867</v>
      </c>
      <c r="AM13" s="98">
        <v>715.90926478070867</v>
      </c>
      <c r="AN13" s="97">
        <v>524.33871935102047</v>
      </c>
      <c r="AO13" s="98">
        <v>524.33871935102047</v>
      </c>
      <c r="AP13" s="97">
        <v>457.87236700784325</v>
      </c>
      <c r="AQ13" s="98">
        <v>457.87236700784325</v>
      </c>
      <c r="AR13" s="97">
        <v>373.38673369277683</v>
      </c>
      <c r="AS13" s="98">
        <v>373.38673369277683</v>
      </c>
      <c r="AT13" s="97">
        <v>263.69622652276996</v>
      </c>
      <c r="AU13" s="98">
        <v>263.69622652276996</v>
      </c>
      <c r="AV13" s="97">
        <v>122.50079125749947</v>
      </c>
      <c r="AW13" s="98">
        <v>122.50079125749947</v>
      </c>
    </row>
    <row r="14" spans="1:49" x14ac:dyDescent="0.2">
      <c r="A14" t="s">
        <v>36</v>
      </c>
      <c r="B14" s="41">
        <v>1457.0034251455234</v>
      </c>
      <c r="C14" s="42">
        <v>1457.0034251455236</v>
      </c>
      <c r="D14" s="41">
        <v>1455.2566587385165</v>
      </c>
      <c r="E14" s="42">
        <v>1455.2566587385168</v>
      </c>
      <c r="F14" s="41">
        <v>1453.0593064923576</v>
      </c>
      <c r="G14" s="42">
        <v>1453.0593064923578</v>
      </c>
      <c r="H14" s="41">
        <v>1450.3443785843949</v>
      </c>
      <c r="I14" s="42">
        <v>1450.3443785843951</v>
      </c>
      <c r="J14" s="41">
        <v>1447.030576876215</v>
      </c>
      <c r="K14" s="42">
        <v>1447.0305768762153</v>
      </c>
      <c r="L14" s="41">
        <v>1443.0177323006658</v>
      </c>
      <c r="M14" s="42">
        <v>1443.017732300666</v>
      </c>
      <c r="N14" s="41">
        <v>1438.1814753029835</v>
      </c>
      <c r="O14" s="42">
        <v>1438.1814753029837</v>
      </c>
      <c r="P14" s="41">
        <v>1432.3646474701955</v>
      </c>
      <c r="Q14" s="42">
        <v>1432.3646474701957</v>
      </c>
      <c r="R14" s="41">
        <v>1425.3653436854504</v>
      </c>
      <c r="S14" s="42">
        <v>1425.3653436854506</v>
      </c>
      <c r="T14" s="41">
        <v>1416.9188973612347</v>
      </c>
      <c r="U14" s="42">
        <v>1416.9188973612349</v>
      </c>
      <c r="V14" s="41">
        <v>1406.6693068715645</v>
      </c>
      <c r="W14" s="42">
        <v>1406.6693068715647</v>
      </c>
      <c r="X14" s="41">
        <v>1394.1228413120873</v>
      </c>
      <c r="Y14" s="42">
        <v>1394.1228413120875</v>
      </c>
      <c r="Z14" s="41">
        <v>1378.5675890418349</v>
      </c>
      <c r="AA14" s="42">
        <v>1378.5675890418352</v>
      </c>
      <c r="AB14" s="41">
        <v>1358.9256964830449</v>
      </c>
      <c r="AC14" s="42">
        <v>1358.9256964830452</v>
      </c>
      <c r="AD14" s="41">
        <v>1333.4612244765292</v>
      </c>
      <c r="AE14" s="42">
        <v>1333.4612244765294</v>
      </c>
      <c r="AF14" s="41">
        <v>1299.1570702675406</v>
      </c>
      <c r="AG14" s="42">
        <v>1299.1570702675406</v>
      </c>
      <c r="AH14" s="41">
        <v>1250.2723857294072</v>
      </c>
      <c r="AI14" s="42">
        <v>1250.2723857294075</v>
      </c>
      <c r="AJ14" s="41">
        <v>1174.6903743724322</v>
      </c>
      <c r="AK14" s="42">
        <v>1174.6903743724324</v>
      </c>
      <c r="AL14" s="41">
        <v>1043.0822508789058</v>
      </c>
      <c r="AM14" s="42">
        <v>1043.0822508789061</v>
      </c>
      <c r="AN14" s="41">
        <v>763.96331003085413</v>
      </c>
      <c r="AO14" s="42">
        <v>763.96331003085425</v>
      </c>
      <c r="AP14" s="41">
        <v>667.12160700991569</v>
      </c>
      <c r="AQ14" s="42">
        <v>667.12160700991581</v>
      </c>
      <c r="AR14" s="41">
        <v>544.02574989427524</v>
      </c>
      <c r="AS14" s="42">
        <v>544.02574989427524</v>
      </c>
      <c r="AT14" s="41">
        <v>384.20630524162561</v>
      </c>
      <c r="AU14" s="42">
        <v>384.20630524162567</v>
      </c>
      <c r="AV14" s="41">
        <v>178.48407244521351</v>
      </c>
      <c r="AW14" s="42">
        <v>178.48407244521354</v>
      </c>
    </row>
    <row r="15" spans="1:49" x14ac:dyDescent="0.2">
      <c r="A15" t="s">
        <v>18</v>
      </c>
      <c r="B15" s="154">
        <v>1000</v>
      </c>
      <c r="C15" s="155">
        <v>1000</v>
      </c>
      <c r="D15" s="154">
        <v>992.71021135883177</v>
      </c>
      <c r="E15" s="155">
        <v>992.71021135883177</v>
      </c>
      <c r="F15" s="154">
        <v>985.18137187442574</v>
      </c>
      <c r="G15" s="155">
        <v>985.18137187442574</v>
      </c>
      <c r="H15" s="154">
        <v>977.37425904114878</v>
      </c>
      <c r="I15" s="155">
        <v>977.37425904114878</v>
      </c>
      <c r="J15" s="154">
        <v>969.2414460562685</v>
      </c>
      <c r="K15" s="155">
        <v>969.2414460562685</v>
      </c>
      <c r="L15" s="154">
        <v>960.72545743384626</v>
      </c>
      <c r="M15" s="155">
        <v>960.72545743384626</v>
      </c>
      <c r="N15" s="154">
        <v>951.75522161550271</v>
      </c>
      <c r="O15" s="155">
        <v>951.75522161550271</v>
      </c>
      <c r="P15" s="154">
        <v>942.24248687510283</v>
      </c>
      <c r="Q15" s="155">
        <v>942.24248687510283</v>
      </c>
      <c r="R15" s="154">
        <v>932.07562685703181</v>
      </c>
      <c r="S15" s="155">
        <v>932.07562685703181</v>
      </c>
      <c r="T15" s="154">
        <v>921.11070763188764</v>
      </c>
      <c r="U15" s="155">
        <v>921.11070763188764</v>
      </c>
      <c r="V15" s="154">
        <v>909.15756243937369</v>
      </c>
      <c r="W15" s="155">
        <v>909.15756243937369</v>
      </c>
      <c r="X15" s="154">
        <v>895.95641257908267</v>
      </c>
      <c r="Y15" s="155">
        <v>895.95641257908267</v>
      </c>
      <c r="Z15" s="154">
        <v>881.13642449507893</v>
      </c>
      <c r="AA15" s="155">
        <v>881.13642449507893</v>
      </c>
      <c r="AB15" s="154">
        <v>864.1359428288107</v>
      </c>
      <c r="AC15" s="155">
        <v>864.1359428288107</v>
      </c>
      <c r="AD15" s="154">
        <v>844.03510373438542</v>
      </c>
      <c r="AE15" s="155">
        <v>844.03510373438542</v>
      </c>
      <c r="AF15" s="154">
        <v>819.17149573044821</v>
      </c>
      <c r="AG15" s="155">
        <v>819.17149573044821</v>
      </c>
      <c r="AH15" s="154">
        <v>786.18835692646815</v>
      </c>
      <c r="AI15" s="155">
        <v>786.18835692646815</v>
      </c>
      <c r="AJ15" s="154">
        <v>737.56492314756497</v>
      </c>
      <c r="AK15" s="155">
        <v>737.56492314756497</v>
      </c>
      <c r="AL15" s="154">
        <v>654.60258005991727</v>
      </c>
      <c r="AM15" s="155">
        <v>654.60258005991727</v>
      </c>
      <c r="AN15" s="154">
        <v>479.39977707947946</v>
      </c>
      <c r="AO15" s="155">
        <v>479.39977707947946</v>
      </c>
      <c r="AP15" s="154">
        <v>418.62926158319385</v>
      </c>
      <c r="AQ15" s="155">
        <v>418.62926158319385</v>
      </c>
      <c r="AR15" s="154">
        <v>341.38444815316126</v>
      </c>
      <c r="AS15" s="155">
        <v>341.38444815316126</v>
      </c>
      <c r="AT15" s="154">
        <v>241.09525860954454</v>
      </c>
      <c r="AU15" s="155">
        <v>241.09525860954454</v>
      </c>
      <c r="AV15" s="154">
        <v>112.00144535046505</v>
      </c>
      <c r="AW15" s="155">
        <v>112.00144535046505</v>
      </c>
    </row>
    <row r="16" spans="1:49" s="29" customFormat="1" x14ac:dyDescent="0.2">
      <c r="A16" t="s">
        <v>61</v>
      </c>
      <c r="B16" s="41">
        <v>1000</v>
      </c>
      <c r="C16" s="42">
        <v>1000</v>
      </c>
      <c r="D16" s="41">
        <v>995.95623622228868</v>
      </c>
      <c r="E16" s="42">
        <v>994.448145833127</v>
      </c>
      <c r="F16" s="41">
        <v>991.63324890354227</v>
      </c>
      <c r="G16" s="42">
        <v>988.63607781477151</v>
      </c>
      <c r="H16" s="41">
        <v>986.9882772815547</v>
      </c>
      <c r="I16" s="42">
        <v>982.52267017870031</v>
      </c>
      <c r="J16" s="41">
        <v>981.96950439893749</v>
      </c>
      <c r="K16" s="42">
        <v>976.05813563738207</v>
      </c>
      <c r="L16" s="41">
        <v>976.51352797228139</v>
      </c>
      <c r="M16" s="42">
        <v>969.18181418663164</v>
      </c>
      <c r="N16" s="41">
        <v>970.54176309891932</v>
      </c>
      <c r="O16" s="42">
        <v>961.81859797489756</v>
      </c>
      <c r="P16" s="41">
        <v>963.95563346284086</v>
      </c>
      <c r="Q16" s="42">
        <v>953.87469061473996</v>
      </c>
      <c r="R16" s="41">
        <v>956.62931931535741</v>
      </c>
      <c r="S16" s="42">
        <v>945.23084468653713</v>
      </c>
      <c r="T16" s="41">
        <v>948.3990185335316</v>
      </c>
      <c r="U16" s="42">
        <v>935.73245908372292</v>
      </c>
      <c r="V16" s="41">
        <v>939.04602754049927</v>
      </c>
      <c r="W16" s="42">
        <v>925.17404639225185</v>
      </c>
      <c r="X16" s="41">
        <v>928.26891048103698</v>
      </c>
      <c r="Y16" s="42">
        <v>913.27346317617571</v>
      </c>
      <c r="Z16" s="41">
        <v>915.63480905333745</v>
      </c>
      <c r="AA16" s="42">
        <v>899.62657544567116</v>
      </c>
      <c r="AB16" s="41">
        <v>900.48828304364019</v>
      </c>
      <c r="AC16" s="42">
        <v>883.62137455992035</v>
      </c>
      <c r="AD16" s="41">
        <v>881.76647444528498</v>
      </c>
      <c r="AE16" s="42">
        <v>864.26122336719618</v>
      </c>
      <c r="AF16" s="41">
        <v>857.5918945361924</v>
      </c>
      <c r="AG16" s="42">
        <v>839.76824542649706</v>
      </c>
      <c r="AH16" s="41">
        <v>824.30016024597171</v>
      </c>
      <c r="AI16" s="42">
        <v>806.62057335939983</v>
      </c>
      <c r="AJ16" s="41">
        <v>773.94996187290053</v>
      </c>
      <c r="AK16" s="42">
        <v>757.07186518888454</v>
      </c>
      <c r="AL16" s="41">
        <v>687.08391381790057</v>
      </c>
      <c r="AM16" s="42">
        <v>672.01678714207651</v>
      </c>
      <c r="AN16" s="41">
        <v>503.20906945988065</v>
      </c>
      <c r="AO16" s="42">
        <v>492.16466137007518</v>
      </c>
      <c r="AP16" s="41">
        <v>439.42081585637612</v>
      </c>
      <c r="AQ16" s="42">
        <v>429.7762451947051</v>
      </c>
      <c r="AR16" s="41">
        <v>358.33971245575179</v>
      </c>
      <c r="AS16" s="42">
        <v>350.47468031477717</v>
      </c>
      <c r="AT16" s="41">
        <v>253.06957144737552</v>
      </c>
      <c r="AU16" s="42">
        <v>247.51505143085373</v>
      </c>
      <c r="AV16" s="41">
        <v>117.56414746718372</v>
      </c>
      <c r="AW16" s="42">
        <v>114.98377891959061</v>
      </c>
    </row>
    <row r="17" spans="1:49" x14ac:dyDescent="0.2">
      <c r="A17" t="s">
        <v>62</v>
      </c>
      <c r="B17" s="35">
        <v>1000.0000000000002</v>
      </c>
      <c r="C17" s="36">
        <v>999.99999999999977</v>
      </c>
      <c r="D17" s="35">
        <v>998.76631659537975</v>
      </c>
      <c r="E17" s="36">
        <v>1031.4973507481081</v>
      </c>
      <c r="F17" s="35">
        <v>997.50070734214501</v>
      </c>
      <c r="G17" s="36">
        <v>1066.9009691175395</v>
      </c>
      <c r="H17" s="35">
        <v>996.19755573521854</v>
      </c>
      <c r="I17" s="36">
        <v>1106.9418593385117</v>
      </c>
      <c r="J17" s="35">
        <v>994.85038296927519</v>
      </c>
      <c r="K17" s="36">
        <v>1152.5444193354601</v>
      </c>
      <c r="L17" s="35">
        <v>993.45188264780575</v>
      </c>
      <c r="M17" s="36">
        <v>1204.8959916181175</v>
      </c>
      <c r="N17" s="35">
        <v>991.99411561134207</v>
      </c>
      <c r="O17" s="36">
        <v>1265.5509861134019</v>
      </c>
      <c r="P17" s="35">
        <v>990.46889820786396</v>
      </c>
      <c r="Q17" s="36">
        <v>1336.5839246902528</v>
      </c>
      <c r="R17" s="35">
        <v>988.86883356185865</v>
      </c>
      <c r="S17" s="36">
        <v>1420.8350541169486</v>
      </c>
      <c r="T17" s="35">
        <v>987.18933157544438</v>
      </c>
      <c r="U17" s="36">
        <v>1522.3073258805341</v>
      </c>
      <c r="V17" s="35">
        <v>985.43257612677098</v>
      </c>
      <c r="W17" s="36">
        <v>1646.8435377575765</v>
      </c>
      <c r="X17" s="35">
        <v>983.61531940669113</v>
      </c>
      <c r="Y17" s="36">
        <v>1803.3405712316048</v>
      </c>
      <c r="Z17" s="35">
        <v>981.78398555036483</v>
      </c>
      <c r="AA17" s="36">
        <v>2006.0602999983482</v>
      </c>
      <c r="AB17" s="35">
        <v>980.04387740226355</v>
      </c>
      <c r="AC17" s="36">
        <v>2279.3411214954599</v>
      </c>
      <c r="AD17" s="35">
        <v>978.61351771513011</v>
      </c>
      <c r="AE17" s="36">
        <v>2667.9859934144824</v>
      </c>
      <c r="AF17" s="35">
        <v>977.91236490163328</v>
      </c>
      <c r="AG17" s="36">
        <v>3262.2108910163138</v>
      </c>
      <c r="AH17" s="35">
        <v>978.63610042719301</v>
      </c>
      <c r="AI17" s="36">
        <v>4263.5657047369241</v>
      </c>
      <c r="AJ17" s="35">
        <v>981.5784371482498</v>
      </c>
      <c r="AK17" s="36">
        <v>6184.1545395622816</v>
      </c>
      <c r="AL17" s="35">
        <v>986.92171499591473</v>
      </c>
      <c r="AM17" s="36">
        <v>10638.081795527494</v>
      </c>
      <c r="AN17" s="35">
        <v>993.93504568713956</v>
      </c>
      <c r="AO17" s="36">
        <v>25712.959734438962</v>
      </c>
      <c r="AP17" s="35">
        <v>995.53910830482664</v>
      </c>
      <c r="AQ17" s="36">
        <v>33309.351606196986</v>
      </c>
      <c r="AR17" s="35">
        <v>997.30968331903273</v>
      </c>
      <c r="AS17" s="36">
        <v>45424.634708081197</v>
      </c>
      <c r="AT17" s="35">
        <v>999.44156808394132</v>
      </c>
      <c r="AU17" s="36">
        <v>66915.297539097286</v>
      </c>
      <c r="AV17" s="35">
        <v>1002.5236532313136</v>
      </c>
      <c r="AW17" s="36">
        <v>112343.29151083183</v>
      </c>
    </row>
    <row r="18" spans="1:49" x14ac:dyDescent="0.2">
      <c r="A18" t="s">
        <v>19</v>
      </c>
      <c r="B18" s="33">
        <v>27857.010133999996</v>
      </c>
      <c r="C18" s="34">
        <v>1236.7674480000003</v>
      </c>
      <c r="D18" s="33">
        <v>27872.016684803839</v>
      </c>
      <c r="E18" s="34">
        <v>1151.6565727280276</v>
      </c>
      <c r="F18" s="33">
        <v>27883.257458909164</v>
      </c>
      <c r="G18" s="34">
        <v>1066.6600173720326</v>
      </c>
      <c r="H18" s="33">
        <v>27890.156378869931</v>
      </c>
      <c r="I18" s="34">
        <v>981.8054735237323</v>
      </c>
      <c r="J18" s="33">
        <v>27892.004867765063</v>
      </c>
      <c r="K18" s="34">
        <v>897.13018912879261</v>
      </c>
      <c r="L18" s="33">
        <v>27887.9126338811</v>
      </c>
      <c r="M18" s="34">
        <v>812.69476994306194</v>
      </c>
      <c r="N18" s="33">
        <v>27876.748522696111</v>
      </c>
      <c r="O18" s="34">
        <v>728.58129992019963</v>
      </c>
      <c r="P18" s="33">
        <v>27857.039867462005</v>
      </c>
      <c r="Q18" s="34">
        <v>644.91888667233582</v>
      </c>
      <c r="R18" s="33">
        <v>27826.82601553456</v>
      </c>
      <c r="S18" s="34">
        <v>561.9037707929923</v>
      </c>
      <c r="T18" s="33">
        <v>27783.426730808245</v>
      </c>
      <c r="U18" s="34">
        <v>479.83602826670904</v>
      </c>
      <c r="V18" s="33">
        <v>27723.059965201443</v>
      </c>
      <c r="W18" s="34">
        <v>399.18154036293612</v>
      </c>
      <c r="X18" s="33">
        <v>27640.195990996042</v>
      </c>
      <c r="Y18" s="34">
        <v>320.66392557589518</v>
      </c>
      <c r="Z18" s="33">
        <v>27526.407415766127</v>
      </c>
      <c r="AA18" s="34">
        <v>245.4114986442147</v>
      </c>
      <c r="AB18" s="33">
        <v>27368.231118534994</v>
      </c>
      <c r="AC18" s="34">
        <v>175.17368312202041</v>
      </c>
      <c r="AD18" s="33">
        <v>27143.004453939273</v>
      </c>
      <c r="AE18" s="34">
        <v>112.59769870387878</v>
      </c>
      <c r="AF18" s="33">
        <v>26810.460021138006</v>
      </c>
      <c r="AG18" s="34">
        <v>61.379820777095098</v>
      </c>
      <c r="AH18" s="33">
        <v>26295.205279898557</v>
      </c>
      <c r="AI18" s="34">
        <v>25.586976770487976</v>
      </c>
      <c r="AJ18" s="33">
        <v>25446.261634406874</v>
      </c>
      <c r="AK18" s="34">
        <v>6.8535497753409063</v>
      </c>
      <c r="AL18" s="33">
        <v>23904.050198169287</v>
      </c>
      <c r="AM18" s="34">
        <v>0.86928622909690512</v>
      </c>
      <c r="AN18" s="33">
        <v>20374.362413217044</v>
      </c>
      <c r="AO18" s="34">
        <v>2.3936424539870563E-2</v>
      </c>
      <c r="AP18" s="33">
        <v>19021.742575474076</v>
      </c>
      <c r="AQ18" s="34">
        <v>7.9479941829575362E-3</v>
      </c>
      <c r="AR18" s="33">
        <v>17160.017331911647</v>
      </c>
      <c r="AS18" s="34">
        <v>2.0495882991834174E-3</v>
      </c>
      <c r="AT18" s="33">
        <v>14403.33504530044</v>
      </c>
      <c r="AU18" s="34">
        <v>3.5343515648986857E-4</v>
      </c>
      <c r="AV18" s="33">
        <v>9799.9299480577229</v>
      </c>
      <c r="AW18" s="34">
        <v>2.8105592348379331E-5</v>
      </c>
    </row>
    <row r="19" spans="1:49" x14ac:dyDescent="0.2">
      <c r="A19" t="s">
        <v>3</v>
      </c>
      <c r="B19" s="41">
        <v>1886.3937399999918</v>
      </c>
      <c r="C19" s="42">
        <v>262.78711299999759</v>
      </c>
      <c r="D19" s="41">
        <v>1881.2661682310377</v>
      </c>
      <c r="E19" s="42">
        <v>268.0546924428134</v>
      </c>
      <c r="F19" s="41">
        <v>1875.7227630927209</v>
      </c>
      <c r="G19" s="42">
        <v>274.09888710134504</v>
      </c>
      <c r="H19" s="41">
        <v>1869.6995210310949</v>
      </c>
      <c r="I19" s="42">
        <v>281.01469441305773</v>
      </c>
      <c r="J19" s="41">
        <v>1863.1200559643885</v>
      </c>
      <c r="K19" s="42">
        <v>288.90753884394388</v>
      </c>
      <c r="L19" s="41">
        <v>1855.8928063179815</v>
      </c>
      <c r="M19" s="42">
        <v>297.89124060327276</v>
      </c>
      <c r="N19" s="41">
        <v>1847.9081821368884</v>
      </c>
      <c r="O19" s="42">
        <v>308.08600844605303</v>
      </c>
      <c r="P19" s="41">
        <v>1839.0347753525718</v>
      </c>
      <c r="Q19" s="42">
        <v>319.60656571095279</v>
      </c>
      <c r="R19" s="41">
        <v>1829.1153250045322</v>
      </c>
      <c r="S19" s="42">
        <v>332.54538610022945</v>
      </c>
      <c r="T19" s="41">
        <v>1817.9625826708841</v>
      </c>
      <c r="U19" s="42">
        <v>346.93662916932431</v>
      </c>
      <c r="V19" s="41">
        <v>1805.3553913719754</v>
      </c>
      <c r="W19" s="42">
        <v>362.68792231016153</v>
      </c>
      <c r="X19" s="41">
        <v>1791.0367323687603</v>
      </c>
      <c r="Y19" s="42">
        <v>379.45081711694991</v>
      </c>
      <c r="Z19" s="41">
        <v>1774.7150625747668</v>
      </c>
      <c r="AA19" s="42">
        <v>396.37364851206428</v>
      </c>
      <c r="AB19" s="41">
        <v>1756.0689003630157</v>
      </c>
      <c r="AC19" s="42">
        <v>411.63466145448456</v>
      </c>
      <c r="AD19" s="41">
        <v>1734.7343195505034</v>
      </c>
      <c r="AE19" s="42">
        <v>421.59597629920182</v>
      </c>
      <c r="AF19" s="41">
        <v>1710.1497521018625</v>
      </c>
      <c r="AG19" s="42">
        <v>419.49873373165707</v>
      </c>
      <c r="AH19" s="41">
        <v>1680.6559510627576</v>
      </c>
      <c r="AI19" s="42">
        <v>394.53598067938981</v>
      </c>
      <c r="AJ19" s="41">
        <v>1639.6733557392574</v>
      </c>
      <c r="AK19" s="42">
        <v>335.09457789267498</v>
      </c>
      <c r="AL19" s="41">
        <v>1562.9845462430103</v>
      </c>
      <c r="AM19" s="42">
        <v>239.78622379429848</v>
      </c>
      <c r="AN19" s="41">
        <v>1357.6338139205941</v>
      </c>
      <c r="AO19" s="42">
        <v>122.86917759891445</v>
      </c>
      <c r="AP19" s="41">
        <v>1272.9443669962782</v>
      </c>
      <c r="AQ19" s="42">
        <v>98.443312357218318</v>
      </c>
      <c r="AR19" s="41">
        <v>1153.779028694014</v>
      </c>
      <c r="AS19" s="42">
        <v>73.897984618772142</v>
      </c>
      <c r="AT19" s="41">
        <v>973.91362104574728</v>
      </c>
      <c r="AU19" s="42">
        <v>49.288005672236331</v>
      </c>
      <c r="AV19" s="41">
        <v>668.04431780586151</v>
      </c>
      <c r="AW19" s="42">
        <v>24.648832310865032</v>
      </c>
    </row>
    <row r="20" spans="1:49" x14ac:dyDescent="0.2">
      <c r="A20" t="s">
        <v>127</v>
      </c>
      <c r="B20" s="82">
        <v>26548.356269999993</v>
      </c>
      <c r="C20" s="83">
        <v>1408.5418709999938</v>
      </c>
      <c r="D20" s="82">
        <v>26548.2193039126</v>
      </c>
      <c r="E20" s="83">
        <v>1338.1147774499941</v>
      </c>
      <c r="F20" s="82">
        <v>26544.052293397392</v>
      </c>
      <c r="G20" s="83">
        <v>1267.6876838999945</v>
      </c>
      <c r="H20" s="82">
        <v>26535.241420980514</v>
      </c>
      <c r="I20" s="83">
        <v>1197.2605903499943</v>
      </c>
      <c r="J20" s="82">
        <v>26521.037077564499</v>
      </c>
      <c r="K20" s="83">
        <v>1126.8334967999951</v>
      </c>
      <c r="L20" s="82">
        <v>26500.507877895096</v>
      </c>
      <c r="M20" s="83">
        <v>1056.4064032499953</v>
      </c>
      <c r="N20" s="82">
        <v>26472.486733253951</v>
      </c>
      <c r="O20" s="83">
        <v>985.97930969999561</v>
      </c>
      <c r="P20" s="82">
        <v>26435.481831417259</v>
      </c>
      <c r="Q20" s="83">
        <v>915.55221614999607</v>
      </c>
      <c r="R20" s="82">
        <v>26387.551109211585</v>
      </c>
      <c r="S20" s="83">
        <v>845.1251225999963</v>
      </c>
      <c r="T20" s="82">
        <v>26326.109872295401</v>
      </c>
      <c r="U20" s="83">
        <v>774.69802904999653</v>
      </c>
      <c r="V20" s="82">
        <v>26247.621493740666</v>
      </c>
      <c r="W20" s="83">
        <v>704.27093549999688</v>
      </c>
      <c r="X20" s="82">
        <v>26147.088152491971</v>
      </c>
      <c r="Y20" s="83">
        <v>633.84384194999723</v>
      </c>
      <c r="Z20" s="82">
        <v>26017.158776708238</v>
      </c>
      <c r="AA20" s="83">
        <v>563.41674839999746</v>
      </c>
      <c r="AB20" s="82">
        <v>25846.479062086579</v>
      </c>
      <c r="AC20" s="83">
        <v>492.98965484999781</v>
      </c>
      <c r="AD20" s="82">
        <v>25616.424010275328</v>
      </c>
      <c r="AE20" s="83">
        <v>422.56256129999804</v>
      </c>
      <c r="AF20" s="82">
        <v>25294.152184435639</v>
      </c>
      <c r="AG20" s="83">
        <v>352.13546774999827</v>
      </c>
      <c r="AH20" s="82">
        <v>24816.572882266159</v>
      </c>
      <c r="AI20" s="83">
        <v>281.70837419999856</v>
      </c>
      <c r="AJ20" s="82">
        <v>24048.745559465337</v>
      </c>
      <c r="AK20" s="83">
        <v>211.28128064999879</v>
      </c>
      <c r="AL20" s="82">
        <v>22647.427621661769</v>
      </c>
      <c r="AM20" s="83">
        <v>140.85418709999902</v>
      </c>
      <c r="AN20" s="82">
        <v>19364.957157829438</v>
      </c>
      <c r="AO20" s="83">
        <v>70.427093549999285</v>
      </c>
      <c r="AP20" s="82">
        <v>18092.343482304601</v>
      </c>
      <c r="AQ20" s="83">
        <v>56.341674839999328</v>
      </c>
      <c r="AR20" s="82">
        <v>16334.454134589007</v>
      </c>
      <c r="AS20" s="83">
        <v>42.256256129999379</v>
      </c>
      <c r="AT20" s="82">
        <v>13723.327784081557</v>
      </c>
      <c r="AU20" s="83">
        <v>28.170837419999433</v>
      </c>
      <c r="AV20" s="82">
        <v>9349.8801094380233</v>
      </c>
      <c r="AW20" s="83">
        <v>14.08541870999948</v>
      </c>
    </row>
    <row r="21" spans="1:49" x14ac:dyDescent="0.2">
      <c r="A21" t="s">
        <v>76</v>
      </c>
      <c r="B21" s="82">
        <v>24661.962529999968</v>
      </c>
      <c r="C21" s="83">
        <v>1145.7547579999991</v>
      </c>
      <c r="D21" s="82">
        <v>24666.956877502344</v>
      </c>
      <c r="E21" s="83">
        <v>1070.2630502227826</v>
      </c>
      <c r="F21" s="82">
        <v>24668.344902494289</v>
      </c>
      <c r="G21" s="83">
        <v>994.45612736263774</v>
      </c>
      <c r="H21" s="82">
        <v>24665.577511827236</v>
      </c>
      <c r="I21" s="83">
        <v>918.33630945293612</v>
      </c>
      <c r="J21" s="82">
        <v>24657.982382455946</v>
      </c>
      <c r="K21" s="83">
        <v>841.91792487570945</v>
      </c>
      <c r="L21" s="82">
        <v>24644.720805938599</v>
      </c>
      <c r="M21" s="83">
        <v>765.23457357699272</v>
      </c>
      <c r="N21" s="82">
        <v>24624.736647542322</v>
      </c>
      <c r="O21" s="83">
        <v>688.34756107155226</v>
      </c>
      <c r="P21" s="82">
        <v>24596.671129958919</v>
      </c>
      <c r="Q21" s="83">
        <v>611.36418477307711</v>
      </c>
      <c r="R21" s="82">
        <v>24558.741304543644</v>
      </c>
      <c r="S21" s="83">
        <v>534.46067364487283</v>
      </c>
      <c r="T21" s="82">
        <v>24508.551648706041</v>
      </c>
      <c r="U21" s="83">
        <v>457.92050880208842</v>
      </c>
      <c r="V21" s="82">
        <v>24442.788263333063</v>
      </c>
      <c r="W21" s="83">
        <v>382.19398212748536</v>
      </c>
      <c r="X21" s="82">
        <v>24356.710577051959</v>
      </c>
      <c r="Y21" s="83">
        <v>307.99156658782738</v>
      </c>
      <c r="Z21" s="82">
        <v>24243.25580886245</v>
      </c>
      <c r="AA21" s="83">
        <v>236.42938652063003</v>
      </c>
      <c r="AB21" s="82">
        <v>24091.380025268059</v>
      </c>
      <c r="AC21" s="83">
        <v>169.24507071818113</v>
      </c>
      <c r="AD21" s="82">
        <v>23882.795159437268</v>
      </c>
      <c r="AE21" s="83">
        <v>109.07169382781547</v>
      </c>
      <c r="AF21" s="82">
        <v>23585.16752124453</v>
      </c>
      <c r="AG21" s="83">
        <v>59.593902124534452</v>
      </c>
      <c r="AH21" s="82">
        <v>23136.985598878324</v>
      </c>
      <c r="AI21" s="83">
        <v>24.88833099657516</v>
      </c>
      <c r="AJ21" s="82">
        <v>22409.840042097236</v>
      </c>
      <c r="AK21" s="83">
        <v>6.6749190255255897</v>
      </c>
      <c r="AL21" s="82">
        <v>21084.805706938907</v>
      </c>
      <c r="AM21" s="83">
        <v>0.84720203146867379</v>
      </c>
      <c r="AN21" s="82">
        <v>18007.389597440149</v>
      </c>
      <c r="AO21" s="83">
        <v>2.333359185376125E-2</v>
      </c>
      <c r="AP21" s="82">
        <v>16819.432553410876</v>
      </c>
      <c r="AQ21" s="83">
        <v>7.7479329143520671E-3</v>
      </c>
      <c r="AR21" s="82">
        <v>15180.686068619743</v>
      </c>
      <c r="AS21" s="83">
        <v>1.9980134844533068E-3</v>
      </c>
      <c r="AT21" s="82">
        <v>12749.414559107005</v>
      </c>
      <c r="AU21" s="83">
        <v>3.4454281348856452E-4</v>
      </c>
      <c r="AV21" s="82">
        <v>8681.841287578538</v>
      </c>
      <c r="AW21" s="83">
        <v>2.7398511624538529E-5</v>
      </c>
    </row>
    <row r="22" spans="1:49" x14ac:dyDescent="0.2">
      <c r="A22" t="s">
        <v>28</v>
      </c>
      <c r="B22" s="41">
        <v>6533.6044688320644</v>
      </c>
      <c r="C22" s="42">
        <v>379.90788307663382</v>
      </c>
      <c r="D22" s="41">
        <v>6503.2673012120686</v>
      </c>
      <c r="E22" s="42">
        <v>363.72738067568457</v>
      </c>
      <c r="F22" s="41">
        <v>6470.684403238165</v>
      </c>
      <c r="G22" s="42">
        <v>347.33612893567386</v>
      </c>
      <c r="H22" s="41">
        <v>6435.5260651418703</v>
      </c>
      <c r="I22" s="42">
        <v>330.72489932396707</v>
      </c>
      <c r="J22" s="41">
        <v>6397.3919182907293</v>
      </c>
      <c r="K22" s="42">
        <v>313.88320134109068</v>
      </c>
      <c r="L22" s="41">
        <v>6355.785946130005</v>
      </c>
      <c r="M22" s="42">
        <v>296.79852328905855</v>
      </c>
      <c r="N22" s="41">
        <v>6310.0923974121388</v>
      </c>
      <c r="O22" s="42">
        <v>279.45534892534408</v>
      </c>
      <c r="P22" s="41">
        <v>6259.5231254575738</v>
      </c>
      <c r="Q22" s="42">
        <v>261.83421251325444</v>
      </c>
      <c r="R22" s="41">
        <v>6203.053061479065</v>
      </c>
      <c r="S22" s="42">
        <v>243.90947347667543</v>
      </c>
      <c r="T22" s="41">
        <v>6139.3149533705973</v>
      </c>
      <c r="U22" s="42">
        <v>225.64664212026184</v>
      </c>
      <c r="V22" s="41">
        <v>6066.4267251527017</v>
      </c>
      <c r="W22" s="42">
        <v>206.99816851243543</v>
      </c>
      <c r="X22" s="41">
        <v>5981.7064671168719</v>
      </c>
      <c r="Y22" s="42">
        <v>187.89766545490764</v>
      </c>
      <c r="Z22" s="41">
        <v>5881.1688287339475</v>
      </c>
      <c r="AA22" s="42">
        <v>168.25219526979205</v>
      </c>
      <c r="AB22" s="41">
        <v>5758.6028036993084</v>
      </c>
      <c r="AC22" s="42">
        <v>147.93413586986219</v>
      </c>
      <c r="AD22" s="41">
        <v>5603.8068241858036</v>
      </c>
      <c r="AE22" s="42">
        <v>126.77975499837621</v>
      </c>
      <c r="AF22" s="41">
        <v>5399.1369654020182</v>
      </c>
      <c r="AG22" s="42">
        <v>104.62119866071139</v>
      </c>
      <c r="AH22" s="41">
        <v>5112.7793581762207</v>
      </c>
      <c r="AI22" s="42">
        <v>81.420149937006599</v>
      </c>
      <c r="AJ22" s="41">
        <v>4685.3789777951069</v>
      </c>
      <c r="AK22" s="42">
        <v>57.578749114891302</v>
      </c>
      <c r="AL22" s="41">
        <v>3994.7582264707671</v>
      </c>
      <c r="AM22" s="42">
        <v>34.229350181508643</v>
      </c>
      <c r="AN22" s="41">
        <v>2710.3966867907934</v>
      </c>
      <c r="AO22" s="42">
        <v>13.224028223432063</v>
      </c>
      <c r="AP22" s="41">
        <v>2307.4399420232071</v>
      </c>
      <c r="AQ22" s="42">
        <v>9.5749540092368939</v>
      </c>
      <c r="AR22" s="41">
        <v>1821.2775426289536</v>
      </c>
      <c r="AS22" s="42">
        <v>6.232526904309676</v>
      </c>
      <c r="AT22" s="41">
        <v>1230.2933794549269</v>
      </c>
      <c r="AU22" s="42">
        <v>3.3147892278438569</v>
      </c>
      <c r="AV22" s="41">
        <v>534.59635829426315</v>
      </c>
      <c r="AW22" s="42">
        <v>1.0484931854607702</v>
      </c>
    </row>
    <row r="23" spans="1:49" x14ac:dyDescent="0.2">
      <c r="A23" t="s">
        <v>7</v>
      </c>
      <c r="B23" s="116">
        <v>3278.5018080150408</v>
      </c>
      <c r="C23" s="8">
        <v>0</v>
      </c>
      <c r="D23" s="116">
        <v>3283.5641586077786</v>
      </c>
      <c r="E23" s="8">
        <v>0</v>
      </c>
      <c r="F23" s="116">
        <v>3288.259730019839</v>
      </c>
      <c r="G23" s="8">
        <v>0</v>
      </c>
      <c r="H23" s="116">
        <v>3292.5296261342314</v>
      </c>
      <c r="I23" s="8">
        <v>0</v>
      </c>
      <c r="J23" s="116">
        <v>3296.301557293029</v>
      </c>
      <c r="K23" s="8">
        <v>0</v>
      </c>
      <c r="L23" s="116">
        <v>3299.4845668823009</v>
      </c>
      <c r="M23" s="8">
        <v>0</v>
      </c>
      <c r="N23" s="116">
        <v>3301.9649676273571</v>
      </c>
      <c r="O23" s="8">
        <v>0</v>
      </c>
      <c r="P23" s="116">
        <v>3303.5964950092371</v>
      </c>
      <c r="Q23" s="8">
        <v>0</v>
      </c>
      <c r="R23" s="116">
        <v>3304.188746561143</v>
      </c>
      <c r="S23" s="8">
        <v>0</v>
      </c>
      <c r="T23" s="116">
        <v>3303.4890577759106</v>
      </c>
      <c r="U23" s="8">
        <v>0</v>
      </c>
      <c r="V23" s="116">
        <v>3301.1533247309799</v>
      </c>
      <c r="W23" s="8">
        <v>0</v>
      </c>
      <c r="X23" s="116">
        <v>3296.6991714691508</v>
      </c>
      <c r="Y23" s="8">
        <v>0</v>
      </c>
      <c r="Z23" s="116">
        <v>3289.4235251032078</v>
      </c>
      <c r="AA23" s="8">
        <v>0</v>
      </c>
      <c r="AB23" s="116">
        <v>3278.2480261073129</v>
      </c>
      <c r="AC23" s="8">
        <v>0</v>
      </c>
      <c r="AD23" s="116">
        <v>3261.3977709348528</v>
      </c>
      <c r="AE23" s="8">
        <v>0</v>
      </c>
      <c r="AF23" s="116">
        <v>3235.6539485430417</v>
      </c>
      <c r="AG23" s="8">
        <v>0</v>
      </c>
      <c r="AH23" s="116">
        <v>3194.3773945014423</v>
      </c>
      <c r="AI23" s="8">
        <v>0</v>
      </c>
      <c r="AJ23" s="116">
        <v>3121.6701698917873</v>
      </c>
      <c r="AK23" s="8">
        <v>0</v>
      </c>
      <c r="AL23" s="116">
        <v>2972.5366543872988</v>
      </c>
      <c r="AM23" s="8">
        <v>0</v>
      </c>
      <c r="AN23" s="116">
        <v>2573.2733520053607</v>
      </c>
      <c r="AO23" s="8">
        <v>0</v>
      </c>
      <c r="AP23" s="116">
        <v>2407.8693450526171</v>
      </c>
      <c r="AQ23" s="8">
        <v>0</v>
      </c>
      <c r="AR23" s="116">
        <v>2173.988150494939</v>
      </c>
      <c r="AS23" s="8">
        <v>0</v>
      </c>
      <c r="AT23" s="116">
        <v>1819.965871573324</v>
      </c>
      <c r="AU23" s="8">
        <v>0</v>
      </c>
      <c r="AV23" s="116">
        <v>1223.3272947894475</v>
      </c>
      <c r="AW23" s="8">
        <v>0</v>
      </c>
    </row>
    <row r="24" spans="1:49" x14ac:dyDescent="0.2">
      <c r="A24" t="s">
        <v>8</v>
      </c>
      <c r="B24" s="97">
        <v>3196.3846373657216</v>
      </c>
      <c r="C24" s="8">
        <v>0</v>
      </c>
      <c r="D24" s="97">
        <v>3234.6530886797964</v>
      </c>
      <c r="E24" s="8">
        <v>0</v>
      </c>
      <c r="F24" s="97">
        <v>3273.468637494107</v>
      </c>
      <c r="G24" s="8">
        <v>0</v>
      </c>
      <c r="H24" s="97">
        <v>3312.9085116439678</v>
      </c>
      <c r="I24" s="8">
        <v>0</v>
      </c>
      <c r="J24" s="97">
        <v>3353.065981271397</v>
      </c>
      <c r="K24" s="8">
        <v>0</v>
      </c>
      <c r="L24" s="97">
        <v>3394.0547631747677</v>
      </c>
      <c r="M24" s="8">
        <v>0</v>
      </c>
      <c r="N24" s="97">
        <v>3436.0177895422212</v>
      </c>
      <c r="O24" s="8">
        <v>0</v>
      </c>
      <c r="P24" s="97">
        <v>3479.1399538702308</v>
      </c>
      <c r="Q24" s="8">
        <v>0</v>
      </c>
      <c r="R24" s="97">
        <v>3523.668417297753</v>
      </c>
      <c r="S24" s="8">
        <v>0</v>
      </c>
      <c r="T24" s="97">
        <v>3569.9469610388587</v>
      </c>
      <c r="U24" s="8">
        <v>0</v>
      </c>
      <c r="V24" s="97">
        <v>3618.4760517495529</v>
      </c>
      <c r="W24" s="8">
        <v>0</v>
      </c>
      <c r="X24" s="97">
        <v>3670.0190692186784</v>
      </c>
      <c r="Y24" s="8">
        <v>0</v>
      </c>
      <c r="Z24" s="97">
        <v>3725.797319834262</v>
      </c>
      <c r="AA24" s="8">
        <v>0</v>
      </c>
      <c r="AB24" s="97">
        <v>3787.8524438628815</v>
      </c>
      <c r="AC24" s="8">
        <v>0</v>
      </c>
      <c r="AD24" s="97">
        <v>3859.703703742955</v>
      </c>
      <c r="AE24" s="8">
        <v>0</v>
      </c>
      <c r="AF24" s="97">
        <v>3947.3968252337281</v>
      </c>
      <c r="AG24" s="8">
        <v>0</v>
      </c>
      <c r="AH24" s="97">
        <v>4060.3726484825879</v>
      </c>
      <c r="AI24" s="8">
        <v>0</v>
      </c>
      <c r="AJ24" s="97">
        <v>4208.7085770210233</v>
      </c>
      <c r="AK24" s="8">
        <v>0</v>
      </c>
      <c r="AL24" s="97">
        <v>4385.9412732372484</v>
      </c>
      <c r="AM24" s="8">
        <v>0</v>
      </c>
      <c r="AN24" s="97">
        <v>4461.0325306420646</v>
      </c>
      <c r="AO24" s="8">
        <v>0</v>
      </c>
      <c r="AP24" s="97">
        <v>4396.5848260100956</v>
      </c>
      <c r="AQ24" s="8">
        <v>0</v>
      </c>
      <c r="AR24" s="97">
        <v>4238.7797551243739</v>
      </c>
      <c r="AS24" s="8">
        <v>0</v>
      </c>
      <c r="AT24" s="97">
        <v>3875.0273695109836</v>
      </c>
      <c r="AU24" s="8">
        <v>0</v>
      </c>
      <c r="AV24" s="97">
        <v>2967.6356266336829</v>
      </c>
      <c r="AW24" s="8">
        <v>0</v>
      </c>
    </row>
    <row r="25" spans="1:49" x14ac:dyDescent="0.2">
      <c r="A25" t="s">
        <v>0</v>
      </c>
      <c r="B25" s="41">
        <v>3195.0476040000012</v>
      </c>
      <c r="C25" s="42">
        <v>91.012690000004397</v>
      </c>
      <c r="D25" s="41">
        <v>3205.0537440389253</v>
      </c>
      <c r="E25" s="42">
        <v>81.356219618793574</v>
      </c>
      <c r="F25" s="41">
        <v>3214.8875558666327</v>
      </c>
      <c r="G25" s="42">
        <v>72.059549322847161</v>
      </c>
      <c r="H25" s="41">
        <v>3224.5207246621389</v>
      </c>
      <c r="I25" s="42">
        <v>63.154599897332375</v>
      </c>
      <c r="J25" s="41">
        <v>3233.9153484434255</v>
      </c>
      <c r="K25" s="42">
        <v>54.675340188571965</v>
      </c>
      <c r="L25" s="41">
        <v>3243.0177763630013</v>
      </c>
      <c r="M25" s="42">
        <v>46.658355600324853</v>
      </c>
      <c r="N25" s="41">
        <v>3251.7504822710307</v>
      </c>
      <c r="O25" s="42">
        <v>39.141911066030737</v>
      </c>
      <c r="P25" s="41">
        <v>3259.9965452345527</v>
      </c>
      <c r="Q25" s="42">
        <v>32.166839540427766</v>
      </c>
      <c r="R25" s="41">
        <v>3267.5747616550498</v>
      </c>
      <c r="S25" s="42">
        <v>25.775947991409815</v>
      </c>
      <c r="T25" s="41">
        <v>3274.1966996065212</v>
      </c>
      <c r="U25" s="42">
        <v>20.013660084035521</v>
      </c>
      <c r="V25" s="41">
        <v>3279.3909720758061</v>
      </c>
      <c r="W25" s="42">
        <v>14.925389613174994</v>
      </c>
      <c r="X25" s="41">
        <v>3282.3674018645379</v>
      </c>
      <c r="Y25" s="42">
        <v>10.555940110350015</v>
      </c>
      <c r="Z25" s="41">
        <v>3281.766409405775</v>
      </c>
      <c r="AA25" s="42">
        <v>6.946506364839717</v>
      </c>
      <c r="AB25" s="41">
        <v>3275.1878761803964</v>
      </c>
      <c r="AC25" s="42">
        <v>4.1284251413668942</v>
      </c>
      <c r="AD25" s="41">
        <v>3258.3051104795736</v>
      </c>
      <c r="AE25" s="42">
        <v>2.1105052023776678</v>
      </c>
      <c r="AF25" s="41">
        <v>3223.2812469539613</v>
      </c>
      <c r="AG25" s="42">
        <v>0.85448374316467635</v>
      </c>
      <c r="AH25" s="41">
        <v>3156.3790163213635</v>
      </c>
      <c r="AI25" s="42">
        <v>0.23780266422844137</v>
      </c>
      <c r="AJ25" s="41">
        <v>3035.1110531527515</v>
      </c>
      <c r="AK25" s="42">
        <v>3.5838681150583203E-2</v>
      </c>
      <c r="AL25" s="41">
        <v>2818.6356166871547</v>
      </c>
      <c r="AM25" s="42">
        <v>1.9157320246748221E-3</v>
      </c>
      <c r="AN25" s="41">
        <v>2366.8639126219255</v>
      </c>
      <c r="AO25" s="42">
        <v>1.2232558201967914E-5</v>
      </c>
      <c r="AP25" s="41">
        <v>2202.2553230798208</v>
      </c>
      <c r="AQ25" s="42">
        <v>2.6148814716643897E-6</v>
      </c>
      <c r="AR25" s="41">
        <v>1979.3134250369394</v>
      </c>
      <c r="AS25" s="42">
        <v>3.9522800029578583E-7</v>
      </c>
      <c r="AT25" s="41">
        <v>1653.9198458050143</v>
      </c>
      <c r="AU25" s="42">
        <v>3.4654585231397826E-8</v>
      </c>
      <c r="AV25" s="41">
        <v>1118.0798553285892</v>
      </c>
      <c r="AW25" s="42">
        <v>1.0989016157424838E-9</v>
      </c>
    </row>
    <row r="26" spans="1:49" x14ac:dyDescent="0.2">
      <c r="A26" t="s">
        <v>27</v>
      </c>
      <c r="B26" s="33">
        <v>5036.2953101960647</v>
      </c>
      <c r="C26" s="34">
        <v>74.905331803938267</v>
      </c>
      <c r="D26" s="33">
        <v>5041.3744941541654</v>
      </c>
      <c r="E26" s="34">
        <v>69.826147845838506</v>
      </c>
      <c r="F26" s="33">
        <v>5046.446180254542</v>
      </c>
      <c r="G26" s="34">
        <v>64.754461745463786</v>
      </c>
      <c r="H26" s="33">
        <v>5051.5094689379912</v>
      </c>
      <c r="I26" s="34">
        <v>59.691173062000601</v>
      </c>
      <c r="J26" s="33">
        <v>5056.5630826720271</v>
      </c>
      <c r="K26" s="34">
        <v>54.637559327972568</v>
      </c>
      <c r="L26" s="33">
        <v>5061.6046200230148</v>
      </c>
      <c r="M26" s="34">
        <v>49.596021976989661</v>
      </c>
      <c r="N26" s="33">
        <v>5066.6307010408846</v>
      </c>
      <c r="O26" s="34">
        <v>44.569940959119201</v>
      </c>
      <c r="P26" s="33">
        <v>5071.6355545840643</v>
      </c>
      <c r="Q26" s="34">
        <v>39.565087415941463</v>
      </c>
      <c r="R26" s="33">
        <v>5076.6099083113304</v>
      </c>
      <c r="S26" s="34">
        <v>34.590733688674028</v>
      </c>
      <c r="T26" s="33">
        <v>5081.5388941258971</v>
      </c>
      <c r="U26" s="34">
        <v>29.661747874107981</v>
      </c>
      <c r="V26" s="33">
        <v>5086.398450260197</v>
      </c>
      <c r="W26" s="34">
        <v>24.802191739810574</v>
      </c>
      <c r="X26" s="33">
        <v>5091.1498222461514</v>
      </c>
      <c r="Y26" s="34">
        <v>20.050819753859951</v>
      </c>
      <c r="Z26" s="33">
        <v>5095.7305368980869</v>
      </c>
      <c r="AA26" s="34">
        <v>15.47010510191128</v>
      </c>
      <c r="AB26" s="33">
        <v>5100.0405722915502</v>
      </c>
      <c r="AC26" s="34">
        <v>11.160069708451966</v>
      </c>
      <c r="AD26" s="33">
        <v>5103.9234463843904</v>
      </c>
      <c r="AE26" s="34">
        <v>7.2771956156159918</v>
      </c>
      <c r="AF26" s="33">
        <v>5107.1518888848686</v>
      </c>
      <c r="AG26" s="34">
        <v>4.0487531151362024</v>
      </c>
      <c r="AH26" s="33">
        <v>5109.4601862834152</v>
      </c>
      <c r="AI26" s="34">
        <v>1.7404557165954149</v>
      </c>
      <c r="AJ26" s="33">
        <v>5110.7107357000004</v>
      </c>
      <c r="AK26" s="34">
        <v>0.48990630000321794</v>
      </c>
      <c r="AL26" s="33">
        <v>5111.132783073127</v>
      </c>
      <c r="AM26" s="34">
        <v>6.7858926877046782E-2</v>
      </c>
      <c r="AN26" s="33">
        <v>5111.1983774218925</v>
      </c>
      <c r="AO26" s="34">
        <v>2.2645781123417398E-3</v>
      </c>
      <c r="AP26" s="33">
        <v>5111.1998342845591</v>
      </c>
      <c r="AQ26" s="34">
        <v>8.0771544528516798E-4</v>
      </c>
      <c r="AR26" s="33">
        <v>5111.2004121776845</v>
      </c>
      <c r="AS26" s="34">
        <v>2.2982232231280017E-4</v>
      </c>
      <c r="AT26" s="33">
        <v>5111.2005959850248</v>
      </c>
      <c r="AU26" s="34">
        <v>4.6014981020926973E-5</v>
      </c>
      <c r="AV26" s="33">
        <v>5111.2006371570169</v>
      </c>
      <c r="AW26" s="34">
        <v>4.8429883939645323E-6</v>
      </c>
    </row>
    <row r="27" spans="1:49" x14ac:dyDescent="0.2">
      <c r="A27" t="s">
        <v>2</v>
      </c>
      <c r="B27" s="35">
        <v>6425.1981589999841</v>
      </c>
      <c r="C27" s="36">
        <v>273.22915400000028</v>
      </c>
      <c r="D27" s="35">
        <v>6443.4914646912011</v>
      </c>
      <c r="E27" s="36">
        <v>254.93583433087088</v>
      </c>
      <c r="F27" s="35">
        <v>6461.7917319818607</v>
      </c>
      <c r="G27" s="36">
        <v>236.63556327255964</v>
      </c>
      <c r="H27" s="35">
        <v>6480.0955303840965</v>
      </c>
      <c r="I27" s="36">
        <v>218.33175721742137</v>
      </c>
      <c r="J27" s="35">
        <v>6498.3980731748825</v>
      </c>
      <c r="K27" s="36">
        <v>200.02917584737767</v>
      </c>
      <c r="L27" s="35">
        <v>6516.6904979435221</v>
      </c>
      <c r="M27" s="36">
        <v>181.736813689998</v>
      </c>
      <c r="N27" s="35">
        <v>6534.9601493909895</v>
      </c>
      <c r="O27" s="36">
        <v>163.46716070818837</v>
      </c>
      <c r="P27" s="35">
        <v>6553.1857353119194</v>
      </c>
      <c r="Q27" s="36">
        <v>145.24157305425967</v>
      </c>
      <c r="R27" s="35">
        <v>6571.332961126509</v>
      </c>
      <c r="S27" s="36">
        <v>127.09435151879769</v>
      </c>
      <c r="T27" s="35">
        <v>6589.3468563837314</v>
      </c>
      <c r="U27" s="36">
        <v>109.08045188679793</v>
      </c>
      <c r="V27" s="35">
        <v>6607.1383606628197</v>
      </c>
      <c r="W27" s="36">
        <v>91.288948420680654</v>
      </c>
      <c r="X27" s="35">
        <v>6624.5638759561762</v>
      </c>
      <c r="Y27" s="36">
        <v>73.863429205828012</v>
      </c>
      <c r="Z27" s="35">
        <v>6641.3916728663644</v>
      </c>
      <c r="AA27" s="36">
        <v>57.035631268436362</v>
      </c>
      <c r="AB27" s="35">
        <v>6657.2503659270669</v>
      </c>
      <c r="AC27" s="36">
        <v>41.176946293069889</v>
      </c>
      <c r="AD27" s="35">
        <v>6671.5582627003123</v>
      </c>
      <c r="AE27" s="36">
        <v>26.869048834435425</v>
      </c>
      <c r="AF27" s="35">
        <v>6683.4697958783654</v>
      </c>
      <c r="AG27" s="36">
        <v>14.957517382952105</v>
      </c>
      <c r="AH27" s="35">
        <v>6691.9948135736777</v>
      </c>
      <c r="AI27" s="36">
        <v>6.432500903509224</v>
      </c>
      <c r="AJ27" s="35">
        <v>6696.6162759270628</v>
      </c>
      <c r="AK27" s="36">
        <v>1.8110348164339876</v>
      </c>
      <c r="AL27" s="35">
        <v>6698.1764406448829</v>
      </c>
      <c r="AM27" s="36">
        <v>0.25087263699601065</v>
      </c>
      <c r="AN27" s="35">
        <v>6698.4189408747297</v>
      </c>
      <c r="AO27" s="36">
        <v>8.3721821171041308E-3</v>
      </c>
      <c r="AP27" s="35">
        <v>6698.4243266376716</v>
      </c>
      <c r="AQ27" s="36">
        <v>2.9861378867614848E-3</v>
      </c>
      <c r="AR27" s="35">
        <v>6698.4264633558751</v>
      </c>
      <c r="AS27" s="36">
        <v>8.4965716133028732E-4</v>
      </c>
      <c r="AT27" s="35">
        <v>6698.4271428783059</v>
      </c>
      <c r="AU27" s="36">
        <v>1.7011824187604629E-4</v>
      </c>
      <c r="AV27" s="35">
        <v>6698.4272950962122</v>
      </c>
      <c r="AW27" s="36">
        <v>1.790461866735025E-5</v>
      </c>
    </row>
    <row r="28" spans="1:49" x14ac:dyDescent="0.2">
      <c r="A28" t="s">
        <v>35</v>
      </c>
      <c r="B28" s="41">
        <v>13763.097675999999</v>
      </c>
      <c r="C28" s="42">
        <v>382.36647900000042</v>
      </c>
      <c r="D28" s="41">
        <v>13788.772109049964</v>
      </c>
      <c r="E28" s="42">
        <v>356.6725666227648</v>
      </c>
      <c r="F28" s="41">
        <v>13814.404106480129</v>
      </c>
      <c r="G28" s="42">
        <v>330.98227895351414</v>
      </c>
      <c r="H28" s="41">
        <v>13839.989022940599</v>
      </c>
      <c r="I28" s="42">
        <v>305.30043304634358</v>
      </c>
      <c r="J28" s="41">
        <v>13865.520346266601</v>
      </c>
      <c r="K28" s="42">
        <v>279.63373973687249</v>
      </c>
      <c r="L28" s="41">
        <v>13890.985933312813</v>
      </c>
      <c r="M28" s="42">
        <v>253.99478098983985</v>
      </c>
      <c r="N28" s="41">
        <v>13916.3685441039</v>
      </c>
      <c r="O28" s="42">
        <v>228.40105990805498</v>
      </c>
      <c r="P28" s="41">
        <v>13941.639046837538</v>
      </c>
      <c r="Q28" s="42">
        <v>202.88242826243763</v>
      </c>
      <c r="R28" s="41">
        <v>13966.750596049164</v>
      </c>
      <c r="S28" s="42">
        <v>177.48678147505768</v>
      </c>
      <c r="T28" s="41">
        <v>13991.628178897114</v>
      </c>
      <c r="U28" s="42">
        <v>152.2908198117062</v>
      </c>
      <c r="V28" s="41">
        <v>14016.150436948226</v>
      </c>
      <c r="W28" s="42">
        <v>127.41874909625231</v>
      </c>
      <c r="X28" s="41">
        <v>14040.121988204879</v>
      </c>
      <c r="Y28" s="42">
        <v>103.07068217111299</v>
      </c>
      <c r="Z28" s="41">
        <v>14063.227987278182</v>
      </c>
      <c r="AA28" s="42">
        <v>79.569412076690014</v>
      </c>
      <c r="AB28" s="41">
        <v>14084.964510144815</v>
      </c>
      <c r="AC28" s="42">
        <v>57.43204756058001</v>
      </c>
      <c r="AD28" s="41">
        <v>14104.543254014765</v>
      </c>
      <c r="AE28" s="42">
        <v>37.468160922899251</v>
      </c>
      <c r="AF28" s="41">
        <v>14120.819601832212</v>
      </c>
      <c r="AG28" s="42">
        <v>20.854251417207408</v>
      </c>
      <c r="AH28" s="41">
        <v>14132.455561410145</v>
      </c>
      <c r="AI28" s="42">
        <v>8.9672905405548153</v>
      </c>
      <c r="AJ28" s="41">
        <v>14138.758983656808</v>
      </c>
      <c r="AK28" s="42">
        <v>2.5245211954656912</v>
      </c>
      <c r="AL28" s="41">
        <v>14140.886247304314</v>
      </c>
      <c r="AM28" s="42">
        <v>0.34970007019108712</v>
      </c>
      <c r="AN28" s="41">
        <v>14141.216861051009</v>
      </c>
      <c r="AO28" s="42">
        <v>1.1670234134953102E-2</v>
      </c>
      <c r="AP28" s="41">
        <v>14141.224203769189</v>
      </c>
      <c r="AQ28" s="42">
        <v>4.1624662702986958E-3</v>
      </c>
      <c r="AR28" s="41">
        <v>14141.227116734644</v>
      </c>
      <c r="AS28" s="42">
        <v>1.1843623111548243E-3</v>
      </c>
      <c r="AT28" s="41">
        <v>14141.228043158098</v>
      </c>
      <c r="AU28" s="42">
        <v>2.3713284110935242E-4</v>
      </c>
      <c r="AV28" s="41">
        <v>14141.228250680293</v>
      </c>
      <c r="AW28" s="42">
        <v>2.4957776544791566E-5</v>
      </c>
    </row>
    <row r="29" spans="1:49" x14ac:dyDescent="0.2">
      <c r="A29" t="s">
        <v>53</v>
      </c>
      <c r="B29" s="35">
        <v>14362.768557999996</v>
      </c>
      <c r="C29" s="36">
        <v>817.26651000000095</v>
      </c>
      <c r="D29" s="35">
        <v>14369.304505456948</v>
      </c>
      <c r="E29" s="36">
        <v>755.40891206898993</v>
      </c>
      <c r="F29" s="35">
        <v>14373.84840278804</v>
      </c>
      <c r="G29" s="36">
        <v>694.09148903316816</v>
      </c>
      <c r="H29" s="35">
        <v>14376.096430920436</v>
      </c>
      <c r="I29" s="36">
        <v>633.38205305903068</v>
      </c>
      <c r="J29" s="35">
        <v>14375.67538070354</v>
      </c>
      <c r="K29" s="36">
        <v>573.36075730598782</v>
      </c>
      <c r="L29" s="35">
        <v>14372.117371522105</v>
      </c>
      <c r="M29" s="36">
        <v>514.12959972399392</v>
      </c>
      <c r="N29" s="35">
        <v>14364.828913592588</v>
      </c>
      <c r="O29" s="36">
        <v>455.81161403312723</v>
      </c>
      <c r="P29" s="35">
        <v>14353.040366548623</v>
      </c>
      <c r="Q29" s="36">
        <v>398.56769783116533</v>
      </c>
      <c r="R29" s="35">
        <v>14335.731134307802</v>
      </c>
      <c r="S29" s="36">
        <v>342.60875785891466</v>
      </c>
      <c r="T29" s="35">
        <v>14311.512919364754</v>
      </c>
      <c r="U29" s="36">
        <v>288.21723983586116</v>
      </c>
      <c r="V29" s="35">
        <v>14278.438091549719</v>
      </c>
      <c r="W29" s="36">
        <v>235.78165041183669</v>
      </c>
      <c r="X29" s="35">
        <v>14233.677189002123</v>
      </c>
      <c r="Y29" s="36">
        <v>185.84454267197341</v>
      </c>
      <c r="Z29" s="35">
        <v>14172.94699979828</v>
      </c>
      <c r="AA29" s="36">
        <v>139.17448189527485</v>
      </c>
      <c r="AB29" s="35">
        <v>14089.448711437954</v>
      </c>
      <c r="AC29" s="36">
        <v>96.861772621495376</v>
      </c>
      <c r="AD29" s="35">
        <v>13971.794306472839</v>
      </c>
      <c r="AE29" s="36">
        <v>60.417345248839432</v>
      </c>
      <c r="AF29" s="35">
        <v>13799.782457630785</v>
      </c>
      <c r="AG29" s="36">
        <v>31.749752903072416</v>
      </c>
      <c r="AH29" s="35">
        <v>13535.418082210666</v>
      </c>
      <c r="AI29" s="36">
        <v>12.640644443182305</v>
      </c>
      <c r="AJ29" s="35">
        <v>13101.686353056522</v>
      </c>
      <c r="AK29" s="36">
        <v>3.1917370532914386</v>
      </c>
      <c r="AL29" s="35">
        <v>12312.950598279745</v>
      </c>
      <c r="AM29" s="36">
        <v>0.37472167052840555</v>
      </c>
      <c r="AN29" s="35">
        <v>10500.354964623297</v>
      </c>
      <c r="AO29" s="36">
        <v>9.2779718259642305E-3</v>
      </c>
      <c r="AP29" s="35">
        <v>9804.3798454755179</v>
      </c>
      <c r="AQ29" s="36">
        <v>2.998497390757999E-3</v>
      </c>
      <c r="AR29" s="35">
        <v>8845.889706312566</v>
      </c>
      <c r="AS29" s="36">
        <v>7.50256507109739E-4</v>
      </c>
      <c r="AT29" s="35">
        <v>7425.9215469923165</v>
      </c>
      <c r="AU29" s="36">
        <v>1.2499557696767861E-4</v>
      </c>
      <c r="AV29" s="35">
        <v>5053.5810789152893</v>
      </c>
      <c r="AW29" s="36">
        <v>9.5414008410165703E-6</v>
      </c>
    </row>
    <row r="30" spans="1:49" x14ac:dyDescent="0.2">
      <c r="A30" t="s">
        <v>48</v>
      </c>
      <c r="B30" s="119">
        <v>2924829.9599999995</v>
      </c>
      <c r="D30" s="119">
        <v>2982507.7170557738</v>
      </c>
      <c r="F30" s="119">
        <v>3041119.1227742918</v>
      </c>
      <c r="H30" s="119">
        <v>3100809.6223550336</v>
      </c>
      <c r="J30" s="119">
        <v>3161755.5323837646</v>
      </c>
      <c r="L30" s="119">
        <v>3224173.2920080274</v>
      </c>
      <c r="N30" s="119">
        <v>3288344.4108102242</v>
      </c>
      <c r="P30" s="119">
        <v>3354634.8142363979</v>
      </c>
      <c r="R30" s="119">
        <v>3423546.1181558012</v>
      </c>
      <c r="T30" s="119">
        <v>3495793.6532326369</v>
      </c>
      <c r="V30" s="119">
        <v>3572441.5361932768</v>
      </c>
      <c r="X30" s="119">
        <v>3655149.6732824515</v>
      </c>
      <c r="Z30" s="119">
        <v>3746627.8278101617</v>
      </c>
      <c r="AB30" s="119">
        <v>3851496.9053983204</v>
      </c>
      <c r="AD30" s="119">
        <v>3977912.0389521304</v>
      </c>
      <c r="AF30" s="119">
        <v>4140403.6105273832</v>
      </c>
      <c r="AH30" s="119">
        <v>4363533.3970159609</v>
      </c>
      <c r="AJ30" s="119">
        <v>4681612.8412648113</v>
      </c>
      <c r="AL30" s="119">
        <v>5122116.6433860734</v>
      </c>
      <c r="AN30" s="119">
        <v>5596402.8383920016</v>
      </c>
      <c r="AP30" s="119">
        <v>5623975.1602071784</v>
      </c>
      <c r="AR30" s="119">
        <v>5546345.2840513811</v>
      </c>
      <c r="AT30" s="119">
        <v>5211622.3218562882</v>
      </c>
      <c r="AV30" s="119">
        <v>4136839.2558075963</v>
      </c>
    </row>
    <row r="31" spans="1:49" x14ac:dyDescent="0.2">
      <c r="A31" t="s">
        <v>47</v>
      </c>
      <c r="B31" s="80">
        <v>1</v>
      </c>
      <c r="D31" s="80">
        <v>0.99322811283100365</v>
      </c>
      <c r="F31" s="80">
        <v>0.98596335001535473</v>
      </c>
      <c r="H31" s="80">
        <v>0.97813697895150054</v>
      </c>
      <c r="J31" s="80">
        <v>0.9696661164484266</v>
      </c>
      <c r="L31" s="80">
        <v>0.96044901896896462</v>
      </c>
      <c r="N31" s="80">
        <v>0.95036006970128251</v>
      </c>
      <c r="P31" s="80">
        <v>0.93924014496186647</v>
      </c>
      <c r="R31" s="80">
        <v>0.9268841639229537</v>
      </c>
      <c r="T31" s="80">
        <v>0.91302134825463699</v>
      </c>
      <c r="V31" s="80">
        <v>0.89728328506952681</v>
      </c>
      <c r="X31" s="80">
        <v>0.87915178727347809</v>
      </c>
      <c r="Z31" s="80">
        <v>0.85786855891876468</v>
      </c>
      <c r="AB31" s="80">
        <v>0.83227374519507558</v>
      </c>
      <c r="AD31" s="80">
        <v>0.80050777747195501</v>
      </c>
      <c r="AF31" s="80">
        <v>0.75946046234222653</v>
      </c>
      <c r="AH31" s="80">
        <v>0.7038000525693473</v>
      </c>
      <c r="AJ31" s="80">
        <v>0.62435655241922505</v>
      </c>
      <c r="AL31" s="80">
        <v>0.50452139105674476</v>
      </c>
      <c r="AN31" s="80">
        <v>0.30750056715207763</v>
      </c>
      <c r="AP31" s="80">
        <v>0.25228725004707303</v>
      </c>
      <c r="AR31" s="80">
        <v>0.18980694744837243</v>
      </c>
      <c r="AT31" s="80">
        <v>0.12004270302059923</v>
      </c>
      <c r="AV31" s="80">
        <v>4.7235044309722508E-2</v>
      </c>
    </row>
    <row r="32" spans="1:49" x14ac:dyDescent="0.2">
      <c r="A32" t="s">
        <v>64</v>
      </c>
      <c r="B32" s="86">
        <v>14734457.915000005</v>
      </c>
      <c r="D32" s="86">
        <v>14737177.400031762</v>
      </c>
      <c r="F32" s="86">
        <v>14737648.92177829</v>
      </c>
      <c r="H32" s="86">
        <v>14735519.741885457</v>
      </c>
      <c r="J32" s="86">
        <v>14730364.215634955</v>
      </c>
      <c r="L32" s="86">
        <v>14721661.490069065</v>
      </c>
      <c r="N32" s="86">
        <v>14708780.474523636</v>
      </c>
      <c r="P32" s="86">
        <v>14690944.993445415</v>
      </c>
      <c r="R32" s="86">
        <v>14667200.494395893</v>
      </c>
      <c r="T32" s="86">
        <v>14636369.958385648</v>
      </c>
      <c r="V32" s="86">
        <v>14596994.779096987</v>
      </c>
      <c r="X32" s="86">
        <v>14547262.657434283</v>
      </c>
      <c r="Z32" s="86">
        <v>14484901.90695042</v>
      </c>
      <c r="AB32" s="86">
        <v>14406990.500886027</v>
      </c>
      <c r="AD32" s="86">
        <v>14309431.636410354</v>
      </c>
      <c r="AF32" s="86">
        <v>14185036.432891719</v>
      </c>
      <c r="AH32" s="86">
        <v>14015742.502401996</v>
      </c>
      <c r="AJ32" s="86">
        <v>13742977.986621467</v>
      </c>
      <c r="AL32" s="86">
        <v>13166080.340468759</v>
      </c>
      <c r="AN32" s="86">
        <v>11487627.79828098</v>
      </c>
      <c r="AP32" s="86">
        <v>10768410.375342576</v>
      </c>
      <c r="AR32" s="86">
        <v>9741538.7088127136</v>
      </c>
      <c r="AT32" s="86">
        <v>8174385.7094449494</v>
      </c>
      <c r="AV32" s="86">
        <v>5513198.9193573771</v>
      </c>
    </row>
    <row r="33" spans="1:49 16319:16321" x14ac:dyDescent="0.2">
      <c r="A33" t="s">
        <v>54</v>
      </c>
      <c r="B33" s="117">
        <v>7019665.6909999885</v>
      </c>
      <c r="D33" s="117">
        <v>6987144.1394496839</v>
      </c>
      <c r="F33" s="117">
        <v>6952729.3580967728</v>
      </c>
      <c r="H33" s="117">
        <v>6916125.5851637274</v>
      </c>
      <c r="J33" s="117">
        <v>6876974.9705091733</v>
      </c>
      <c r="L33" s="117">
        <v>6834836.9155478915</v>
      </c>
      <c r="N33" s="117">
        <v>6789171.7973021008</v>
      </c>
      <c r="P33" s="117">
        <v>6739298.9130815584</v>
      </c>
      <c r="R33" s="117">
        <v>6684351.7967140395</v>
      </c>
      <c r="T33" s="117">
        <v>6623205.3041000888</v>
      </c>
      <c r="V33" s="117">
        <v>6554358.2362646144</v>
      </c>
      <c r="X33" s="117">
        <v>6475745.0130744288</v>
      </c>
      <c r="Z33" s="117">
        <v>6384401.681230084</v>
      </c>
      <c r="AB33" s="117">
        <v>6275840.414081892</v>
      </c>
      <c r="AD33" s="117">
        <v>6142772.3709105039</v>
      </c>
      <c r="AF33" s="117">
        <v>5972277.7723100595</v>
      </c>
      <c r="AH33" s="117">
        <v>5739006.7923585009</v>
      </c>
      <c r="AJ33" s="117">
        <v>5387730.4825661704</v>
      </c>
      <c r="AL33" s="117">
        <v>4782809.4488683045</v>
      </c>
      <c r="AN33" s="117">
        <v>3502827.0885653105</v>
      </c>
      <c r="AP33" s="117">
        <v>3058798.0021206336</v>
      </c>
      <c r="AR33" s="117">
        <v>2494394.1866737735</v>
      </c>
      <c r="AT33" s="117">
        <v>1761611.2126157125</v>
      </c>
      <c r="AV33" s="117">
        <v>818361.20510276314</v>
      </c>
    </row>
    <row r="34" spans="1:49 16319:16321" x14ac:dyDescent="0.2">
      <c r="A34" t="s">
        <v>75</v>
      </c>
      <c r="B34" s="117">
        <v>1136879.4410000162</v>
      </c>
      <c r="D34" s="117">
        <v>1137089.102983868</v>
      </c>
      <c r="F34" s="117">
        <v>1137125.4549954138</v>
      </c>
      <c r="H34" s="117">
        <v>1136961.1091153189</v>
      </c>
      <c r="J34" s="117">
        <v>1136563.0938236653</v>
      </c>
      <c r="L34" s="117">
        <v>1135892.0850420718</v>
      </c>
      <c r="N34" s="117">
        <v>1134898.2027541199</v>
      </c>
      <c r="P34" s="117">
        <v>1133522.0437114558</v>
      </c>
      <c r="R34" s="117">
        <v>1131689.9985416979</v>
      </c>
      <c r="T34" s="117">
        <v>1129311.1478503481</v>
      </c>
      <c r="V34" s="117">
        <v>1126273.048006844</v>
      </c>
      <c r="X34" s="117">
        <v>1122435.7924891778</v>
      </c>
      <c r="Z34" s="117">
        <v>1117624.2046837835</v>
      </c>
      <c r="AB34" s="117">
        <v>1111612.739504263</v>
      </c>
      <c r="AD34" s="117">
        <v>1104085.3198322461</v>
      </c>
      <c r="AF34" s="117">
        <v>1094487.2448636065</v>
      </c>
      <c r="AH34" s="117">
        <v>1081424.8872434446</v>
      </c>
      <c r="AJ34" s="117">
        <v>1060378.9582019697</v>
      </c>
      <c r="AL34" s="117">
        <v>1015866.7623818708</v>
      </c>
      <c r="AN34" s="117">
        <v>886360.93333497527</v>
      </c>
      <c r="AP34" s="117">
        <v>830867.64634120557</v>
      </c>
      <c r="AR34" s="117">
        <v>751636.41211938113</v>
      </c>
      <c r="AT34" s="117">
        <v>630718.21912168525</v>
      </c>
      <c r="AV34" s="117">
        <v>425386.70521296159</v>
      </c>
    </row>
    <row r="35" spans="1:49 16319:16321" x14ac:dyDescent="0.2">
      <c r="A35" t="s">
        <v>78</v>
      </c>
      <c r="B35" s="233">
        <v>1</v>
      </c>
      <c r="D35" s="233">
        <v>1.0021545332867936</v>
      </c>
      <c r="F35" s="233">
        <v>1.0045738499762717</v>
      </c>
      <c r="H35" s="233">
        <v>1.0073043823130299</v>
      </c>
      <c r="J35" s="233">
        <v>1.0104050695798648</v>
      </c>
      <c r="L35" s="233">
        <v>1.0139521231198665</v>
      </c>
      <c r="N35" s="233">
        <v>1.0180462486319919</v>
      </c>
      <c r="P35" s="233">
        <v>1.0228233353938012</v>
      </c>
      <c r="R35" s="233">
        <v>1.028471884386829</v>
      </c>
      <c r="T35" s="233">
        <v>1.0352613174680052</v>
      </c>
      <c r="V35" s="233">
        <v>1.0435903691681685</v>
      </c>
      <c r="X35" s="233">
        <v>1.0540735141192594</v>
      </c>
      <c r="Z35" s="233">
        <v>1.0677033108183001</v>
      </c>
      <c r="AB35" s="233">
        <v>1.0861731934581913</v>
      </c>
      <c r="AD35" s="233">
        <v>1.1125589633086563</v>
      </c>
      <c r="AF35" s="233">
        <v>1.1528430393479221</v>
      </c>
      <c r="AH35" s="233">
        <v>1.2195128033097586</v>
      </c>
      <c r="AJ35" s="233">
        <v>1.3408675546344693</v>
      </c>
      <c r="AL35" s="233">
        <v>1.5925248938775187</v>
      </c>
      <c r="AN35" s="233">
        <v>2.2730687467513899</v>
      </c>
      <c r="AP35" s="233">
        <v>2.5605946257620804</v>
      </c>
      <c r="AR35" s="233">
        <v>2.974192382824381</v>
      </c>
      <c r="AT35" s="233">
        <v>3.6181166353908543</v>
      </c>
      <c r="AV35" s="233">
        <v>4.7620171292117703</v>
      </c>
    </row>
    <row r="36" spans="1:49 16319:16321" x14ac:dyDescent="0.2">
      <c r="A36" t="s">
        <v>21</v>
      </c>
      <c r="B36" s="37">
        <v>0.47195767671988204</v>
      </c>
      <c r="C36" s="38">
        <v>0.31738834428178991</v>
      </c>
      <c r="D36" s="37">
        <v>0.47200010364107903</v>
      </c>
      <c r="E36" s="38">
        <v>0.32226642672736583</v>
      </c>
      <c r="F36" s="37">
        <v>0.4720442832905058</v>
      </c>
      <c r="G36" s="38">
        <v>0.3276653713073811</v>
      </c>
      <c r="H36" s="37">
        <v>0.47209047495302747</v>
      </c>
      <c r="I36" s="38">
        <v>0.33367146381062279</v>
      </c>
      <c r="J36" s="37">
        <v>0.47213898218054318</v>
      </c>
      <c r="K36" s="38">
        <v>0.34039150364992848</v>
      </c>
      <c r="L36" s="37">
        <v>0.47219015206362736</v>
      </c>
      <c r="M36" s="38">
        <v>0.34795954817563018</v>
      </c>
      <c r="N36" s="37">
        <v>0.47224439456445566</v>
      </c>
      <c r="O36" s="38">
        <v>0.35654685271813458</v>
      </c>
      <c r="P36" s="37">
        <v>0.47230214041698065</v>
      </c>
      <c r="Q36" s="38">
        <v>0.36637588661378245</v>
      </c>
      <c r="R36" s="37">
        <v>0.4723638243423996</v>
      </c>
      <c r="S36" s="38">
        <v>0.37774249372081181</v>
      </c>
      <c r="T36" s="37">
        <v>0.47242980377493349</v>
      </c>
      <c r="U36" s="38">
        <v>0.39105047233344031</v>
      </c>
      <c r="V36" s="37">
        <v>0.47250018589062825</v>
      </c>
      <c r="W36" s="38">
        <v>0.40686861775711258</v>
      </c>
      <c r="X36" s="37">
        <v>0.4725744846374591</v>
      </c>
      <c r="Y36" s="38">
        <v>0.42602903042905699</v>
      </c>
      <c r="Z36" s="37">
        <v>0.4726509164900547</v>
      </c>
      <c r="AA36" s="38">
        <v>0.44980563367727394</v>
      </c>
      <c r="AB36" s="37">
        <v>0.47272500731268391</v>
      </c>
      <c r="AC36" s="38">
        <v>0.48025786717081564</v>
      </c>
      <c r="AD36" s="37">
        <v>0.47278699721815182</v>
      </c>
      <c r="AE36" s="38">
        <v>0.5209355638659029</v>
      </c>
      <c r="AF36" s="37">
        <v>0.47281774533157767</v>
      </c>
      <c r="AG36" s="38">
        <v>0.57841789044475844</v>
      </c>
      <c r="AH36" s="37">
        <v>0.47278601029820616</v>
      </c>
      <c r="AI36" s="38">
        <v>0.6658966410410827</v>
      </c>
      <c r="AJ36" s="37">
        <v>0.47265959236267208</v>
      </c>
      <c r="AK36" s="38">
        <v>0.8124535000351264</v>
      </c>
      <c r="AL36" s="37">
        <v>0.47244043427511417</v>
      </c>
      <c r="AM36" s="38">
        <v>1.094702907295044</v>
      </c>
      <c r="AN36" s="37">
        <v>0.47217237676545126</v>
      </c>
      <c r="AO36" s="38">
        <v>1.8157478874825923</v>
      </c>
      <c r="AP36" s="37">
        <v>0.47211408303851154</v>
      </c>
      <c r="AQ36" s="38">
        <v>2.1157084247924054</v>
      </c>
      <c r="AR36" s="37">
        <v>0.47205100722817694</v>
      </c>
      <c r="AS36" s="38">
        <v>2.5472074029492875</v>
      </c>
      <c r="AT36" s="37">
        <v>0.47197680282545934</v>
      </c>
      <c r="AU36" s="38">
        <v>3.2222171303133442</v>
      </c>
      <c r="AV36" s="37">
        <v>0.47187283272314856</v>
      </c>
      <c r="AW36" s="38">
        <v>4.4348213867104418</v>
      </c>
    </row>
    <row r="37" spans="1:49 16319:16321" x14ac:dyDescent="0.2">
      <c r="B37" s="39">
        <v>2.1403217525954421E-2</v>
      </c>
      <c r="C37" s="40">
        <v>0.34962461301992565</v>
      </c>
      <c r="D37" s="39">
        <v>2.0731595268799093E-2</v>
      </c>
      <c r="E37" s="40">
        <v>0.34433525760802913</v>
      </c>
      <c r="F37" s="39">
        <v>2.0044543759737191E-2</v>
      </c>
      <c r="G37" s="40">
        <v>0.3388561549647906</v>
      </c>
      <c r="H37" s="39">
        <v>1.9341060666876259E-2</v>
      </c>
      <c r="I37" s="40">
        <v>0.33317231631709709</v>
      </c>
      <c r="J37" s="39">
        <v>1.8619996965268087E-2</v>
      </c>
      <c r="K37" s="40">
        <v>0.32726657300631901</v>
      </c>
      <c r="L37" s="39">
        <v>1.7880009480253964E-2</v>
      </c>
      <c r="M37" s="40">
        <v>0.32111897021252261</v>
      </c>
      <c r="N37" s="39">
        <v>1.7119471281346388E-2</v>
      </c>
      <c r="O37" s="40">
        <v>0.31470572760042281</v>
      </c>
      <c r="P37" s="39">
        <v>1.6336409154901858E-2</v>
      </c>
      <c r="Q37" s="40">
        <v>0.30799830062403122</v>
      </c>
      <c r="R37" s="39">
        <v>1.5528336259254552E-2</v>
      </c>
      <c r="S37" s="40">
        <v>0.30096138220633534</v>
      </c>
      <c r="T37" s="39">
        <v>1.4692045598164815E-2</v>
      </c>
      <c r="U37" s="40">
        <v>0.29355026476826623</v>
      </c>
      <c r="V37" s="39">
        <v>1.3823289893982259E-2</v>
      </c>
      <c r="W37" s="40">
        <v>0.28570674139461083</v>
      </c>
      <c r="X37" s="39">
        <v>1.2916301765265857E-2</v>
      </c>
      <c r="Y37" s="40">
        <v>0.27735280270071572</v>
      </c>
      <c r="Z37" s="39">
        <v>1.1963085843451635E-2</v>
      </c>
      <c r="AA37" s="40">
        <v>0.26838092765570953</v>
      </c>
      <c r="AB37" s="39">
        <v>1.0952431780444345E-2</v>
      </c>
      <c r="AC37" s="40">
        <v>0.25863945980508363</v>
      </c>
      <c r="AD37" s="39">
        <v>9.8687831042850206E-3</v>
      </c>
      <c r="AE37" s="40">
        <v>0.24791255224373634</v>
      </c>
      <c r="AF37" s="39">
        <v>8.6919314675176391E-3</v>
      </c>
      <c r="AG37" s="40">
        <v>0.23590142075111067</v>
      </c>
      <c r="AH37" s="39">
        <v>7.4006600874842645E-3</v>
      </c>
      <c r="AI37" s="40">
        <v>0.22223603817871562</v>
      </c>
      <c r="AJ37" s="39">
        <v>5.9846444330870739E-3</v>
      </c>
      <c r="AK37" s="40">
        <v>0.20656492316435107</v>
      </c>
      <c r="AL37" s="39">
        <v>4.4536757535230797E-3</v>
      </c>
      <c r="AM37" s="40">
        <v>0.18860090808210261</v>
      </c>
      <c r="AN37" s="39">
        <v>2.8074034325813253E-3</v>
      </c>
      <c r="AO37" s="40">
        <v>0.16754187162373171</v>
      </c>
      <c r="AP37" s="39">
        <v>2.4585248838703585E-3</v>
      </c>
      <c r="AQ37" s="40">
        <v>0.16272868962749151</v>
      </c>
      <c r="AR37" s="39">
        <v>2.0992639775313593E-3</v>
      </c>
      <c r="AS37" s="40">
        <v>0.15758640814021593</v>
      </c>
      <c r="AT37" s="39">
        <v>1.7257110520895907E-3</v>
      </c>
      <c r="AU37" s="40">
        <v>0.1519868214958946</v>
      </c>
      <c r="AV37" s="39">
        <v>1.3303076143526377E-3</v>
      </c>
      <c r="AW37" s="40">
        <v>0.14568306565785491</v>
      </c>
    </row>
    <row r="38" spans="1:49 16319:16321" x14ac:dyDescent="0.2">
      <c r="A38" t="s">
        <v>22</v>
      </c>
      <c r="B38" s="37">
        <v>0.18079094942242827</v>
      </c>
      <c r="C38" s="38">
        <v>6.0565413429233668E-2</v>
      </c>
      <c r="D38" s="37">
        <v>0.18087584228889989</v>
      </c>
      <c r="E38" s="38">
        <v>6.063105052267042E-2</v>
      </c>
      <c r="F38" s="37">
        <v>0.18098481455014212</v>
      </c>
      <c r="G38" s="38">
        <v>6.0707686320709393E-2</v>
      </c>
      <c r="H38" s="37">
        <v>0.18112159000890732</v>
      </c>
      <c r="I38" s="38">
        <v>6.0797352094368561E-2</v>
      </c>
      <c r="J38" s="37">
        <v>0.18129077155425008</v>
      </c>
      <c r="K38" s="38">
        <v>6.0902598073342466E-2</v>
      </c>
      <c r="L38" s="37">
        <v>0.18149815249613405</v>
      </c>
      <c r="M38" s="38">
        <v>6.1026628706450758E-2</v>
      </c>
      <c r="N38" s="37">
        <v>0.18175113560736256</v>
      </c>
      <c r="O38" s="38">
        <v>6.1173599931813892E-2</v>
      </c>
      <c r="P38" s="37">
        <v>0.18205938530130444</v>
      </c>
      <c r="Q38" s="38">
        <v>6.1348935863996971E-2</v>
      </c>
      <c r="R38" s="37">
        <v>0.18243582309665035</v>
      </c>
      <c r="S38" s="38">
        <v>6.1559888875380761E-2</v>
      </c>
      <c r="T38" s="37">
        <v>0.18289820558711442</v>
      </c>
      <c r="U38" s="38">
        <v>6.1816425042641822E-2</v>
      </c>
      <c r="V38" s="37">
        <v>0.18347175443997701</v>
      </c>
      <c r="W38" s="38">
        <v>6.213261193706604E-2</v>
      </c>
      <c r="X38" s="37">
        <v>0.18419369471564614</v>
      </c>
      <c r="Y38" s="38">
        <v>6.2529078435779012E-2</v>
      </c>
      <c r="Z38" s="37">
        <v>0.18512152566554826</v>
      </c>
      <c r="AA38" s="38">
        <v>6.3037409360916147E-2</v>
      </c>
      <c r="AB38" s="37">
        <v>0.18634892953814519</v>
      </c>
      <c r="AC38" s="38">
        <v>6.3708597716006329E-2</v>
      </c>
      <c r="AD38" s="37">
        <v>0.18803826433604909</v>
      </c>
      <c r="AE38" s="38">
        <v>6.4630056381119502E-2</v>
      </c>
      <c r="AF38" s="37">
        <v>0.19049102047701785</v>
      </c>
      <c r="AG38" s="38">
        <v>6.5962283106682867E-2</v>
      </c>
      <c r="AH38" s="37">
        <v>0.1943114773927761</v>
      </c>
      <c r="AI38" s="38">
        <v>6.8021155144942988E-2</v>
      </c>
      <c r="AJ38" s="37">
        <v>0.20084328335245955</v>
      </c>
      <c r="AK38" s="38">
        <v>7.1482124747368495E-2</v>
      </c>
      <c r="AL38" s="37">
        <v>0.21381869351431365</v>
      </c>
      <c r="AM38" s="38">
        <v>7.8062811310774943E-2</v>
      </c>
      <c r="AN38" s="37">
        <v>0.25086421227621869</v>
      </c>
      <c r="AO38" s="38">
        <v>9.4608035906518298E-2</v>
      </c>
      <c r="AP38" s="37">
        <v>0.26870302833741161</v>
      </c>
      <c r="AQ38" s="38">
        <v>0.10162506749402378</v>
      </c>
      <c r="AR38" s="37">
        <v>0.29785520103599394</v>
      </c>
      <c r="AS38" s="38">
        <v>0.11213096913383257</v>
      </c>
      <c r="AT38" s="37">
        <v>0.35486229959308774</v>
      </c>
      <c r="AU38" s="38">
        <v>0.13019355934458665</v>
      </c>
      <c r="AV38" s="37">
        <v>0.52155481358007272</v>
      </c>
      <c r="AW38" s="38">
        <v>0.17231404817709869</v>
      </c>
    </row>
    <row r="39" spans="1:49 16319:16321" x14ac:dyDescent="0.2">
      <c r="A39" t="s">
        <v>23</v>
      </c>
      <c r="B39" s="39">
        <v>0.23064923795098566</v>
      </c>
      <c r="C39" s="40">
        <v>0.22092201281804777</v>
      </c>
      <c r="D39" s="39">
        <v>0.23118138660573745</v>
      </c>
      <c r="E39" s="40">
        <v>0.22136445913470759</v>
      </c>
      <c r="F39" s="39">
        <v>0.2317445062329764</v>
      </c>
      <c r="G39" s="40">
        <v>0.22184722350010541</v>
      </c>
      <c r="H39" s="39">
        <v>0.23234346349142487</v>
      </c>
      <c r="I39" s="40">
        <v>0.2223778162835266</v>
      </c>
      <c r="J39" s="39">
        <v>0.23298425853514443</v>
      </c>
      <c r="K39" s="40">
        <v>0.22296560551777547</v>
      </c>
      <c r="L39" s="39">
        <v>0.23367437296208313</v>
      </c>
      <c r="M39" s="40">
        <v>0.2236224723123672</v>
      </c>
      <c r="N39" s="39">
        <v>0.23442332752941009</v>
      </c>
      <c r="O39" s="40">
        <v>0.22436365128516567</v>
      </c>
      <c r="P39" s="39">
        <v>0.23524343456772911</v>
      </c>
      <c r="Q39" s="40">
        <v>0.22520905505447325</v>
      </c>
      <c r="R39" s="39">
        <v>0.23615100613551854</v>
      </c>
      <c r="S39" s="40">
        <v>0.22618526182772278</v>
      </c>
      <c r="T39" s="39">
        <v>0.23716825574568143</v>
      </c>
      <c r="U39" s="40">
        <v>0.2273285986482185</v>
      </c>
      <c r="V39" s="39">
        <v>0.23832644624930424</v>
      </c>
      <c r="W39" s="40">
        <v>0.22869030551282676</v>
      </c>
      <c r="X39" s="39">
        <v>0.23967137852836382</v>
      </c>
      <c r="Y39" s="40">
        <v>0.23034530333642383</v>
      </c>
      <c r="Z39" s="39">
        <v>0.24127346415218778</v>
      </c>
      <c r="AA39" s="40">
        <v>0.23240814543544988</v>
      </c>
      <c r="AB39" s="39">
        <v>0.24324737455971271</v>
      </c>
      <c r="AC39" s="40">
        <v>0.23506354127627344</v>
      </c>
      <c r="AD39" s="39">
        <v>0.24579291780398566</v>
      </c>
      <c r="AE39" s="40">
        <v>0.23862875657075786</v>
      </c>
      <c r="AF39" s="39">
        <v>0.24928590522538435</v>
      </c>
      <c r="AG39" s="40">
        <v>0.24368786343106677</v>
      </c>
      <c r="AH39" s="39">
        <v>0.25449486864015441</v>
      </c>
      <c r="AI39" s="40">
        <v>0.25139745743344216</v>
      </c>
      <c r="AJ39" s="39">
        <v>0.26316699765722401</v>
      </c>
      <c r="AK39" s="40">
        <v>0.26424770750919424</v>
      </c>
      <c r="AL39" s="39">
        <v>0.28021094271120084</v>
      </c>
      <c r="AM39" s="40">
        <v>0.28859612472711127</v>
      </c>
      <c r="AN39" s="39">
        <v>0.32876704581093547</v>
      </c>
      <c r="AO39" s="40">
        <v>0.34976744764694101</v>
      </c>
      <c r="AP39" s="39">
        <v>0.3521456722516248</v>
      </c>
      <c r="AQ39" s="40">
        <v>0.37570962157527776</v>
      </c>
      <c r="AR39" s="39">
        <v>0.39035079824186064</v>
      </c>
      <c r="AS39" s="40">
        <v>0.41455016193681521</v>
      </c>
      <c r="AT39" s="39">
        <v>0.4650608433262744</v>
      </c>
      <c r="AU39" s="40">
        <v>0.48132801378779316</v>
      </c>
      <c r="AV39" s="39">
        <v>0.68351787518887253</v>
      </c>
      <c r="AW39" s="40">
        <v>0.63704825877411886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0.10799999999999982</v>
      </c>
      <c r="E42" s="135"/>
      <c r="F42" s="177">
        <f>10.8%+(1-10.8%)*(1-SUM(F26:G26)/SUM($B$26:$C$26))</f>
        <v>0.10799999999999961</v>
      </c>
      <c r="G42" s="135"/>
      <c r="H42" s="177">
        <f>10.8%+(1-10.8%)*(1-SUM(H26:I26)/SUM($B$26:$C$26))</f>
        <v>0.10800000000000209</v>
      </c>
      <c r="I42" s="135"/>
      <c r="J42" s="177">
        <f>10.8%+(1-10.8%)*(1-SUM(J26:K26)/SUM($B$26:$C$26))</f>
        <v>0.10800000000000061</v>
      </c>
      <c r="K42" s="135"/>
      <c r="L42" s="177">
        <f>10.8%+(1-10.8%)*(1-SUM(L26:M26)/SUM($B$26:$C$26))</f>
        <v>0.10799999999999982</v>
      </c>
      <c r="M42" s="135"/>
      <c r="N42" s="177">
        <f>10.8%+(1-10.8%)*(1-SUM(N26:O26)/SUM($B$26:$C$26))</f>
        <v>0.10800000000000001</v>
      </c>
      <c r="O42" s="135"/>
      <c r="P42" s="177">
        <f>10.8%+(1-10.8%)*(1-SUM(P26:Q26)/SUM($B$26:$C$26))</f>
        <v>0.10799999999999961</v>
      </c>
      <c r="Q42" s="135"/>
      <c r="R42" s="177">
        <f>10.8%+(1-10.8%)*(1-SUM(R26:S26)/SUM($B$26:$C$26))</f>
        <v>0.10799999999999982</v>
      </c>
      <c r="S42" s="135"/>
      <c r="T42" s="177">
        <f>10.8%+(1-10.8%)*(1-SUM(T26:U26)/SUM($B$26:$C$26))</f>
        <v>0.10799999999999961</v>
      </c>
      <c r="U42" s="135"/>
      <c r="V42" s="177">
        <f>10.8%+(1-10.8%)*(1-SUM(V26:W26)/SUM($B$26:$C$26))</f>
        <v>0.10799999999999922</v>
      </c>
      <c r="W42" s="135"/>
      <c r="X42" s="177">
        <f>10.8%+(1-10.8%)*(1-SUM(X26:Y26)/SUM($B$26:$C$26))</f>
        <v>0.10799999999999862</v>
      </c>
      <c r="Y42" s="162"/>
      <c r="Z42" s="177">
        <f>10.8%+(1-10.8%)*(1-SUM(Z26:AA26)/SUM($B$26:$C$26))</f>
        <v>0.108000000000001</v>
      </c>
      <c r="AA42" s="135"/>
      <c r="AB42" s="177">
        <f>10.8%+(1-10.8%)*(1-SUM(AB26:AC26)/SUM($B$26:$C$26))</f>
        <v>0.10800000000000021</v>
      </c>
      <c r="AC42" s="135"/>
      <c r="AD42" s="177">
        <f>10.8%+(1-10.8%)*(1-SUM(AD26:AE26)/SUM($B$26:$C$26))</f>
        <v>0.10799999999999961</v>
      </c>
      <c r="AE42" s="135"/>
      <c r="AF42" s="177">
        <f>10.8%+(1-10.8%)*(1-SUM(AF26:AG26)/SUM($B$26:$C$26))</f>
        <v>0.10799999999999961</v>
      </c>
      <c r="AG42" s="135"/>
      <c r="AH42" s="177">
        <f>10.8%+(1-10.8%)*(1-SUM(AH26:AI26)/SUM($B$26:$C$26))</f>
        <v>0.10799999999999882</v>
      </c>
      <c r="AI42" s="135"/>
      <c r="AJ42" s="177">
        <f>10.8%+(1-10.8%)*(1-SUM(AJ26:AK26)/SUM($B$26:$C$26))</f>
        <v>0.10800000000000001</v>
      </c>
      <c r="AK42" s="135"/>
      <c r="AL42" s="177">
        <f>10.8%+(1-10.8%)*(1-SUM(AL26:AM26)/SUM($B$26:$C$26))</f>
        <v>0.10799999999999982</v>
      </c>
      <c r="AM42" s="135"/>
      <c r="AN42" s="177">
        <f>10.8%+(1-10.8%)*(1-SUM(AN26:AO26)/SUM($B$26:$C$26))</f>
        <v>0.10799999999999961</v>
      </c>
      <c r="AO42" s="135"/>
      <c r="AP42" s="177">
        <f>10.8%+(1-10.8%)*(1-SUM(AP26:AQ26)/SUM($B$26:$C$26))</f>
        <v>0.10799999999999982</v>
      </c>
      <c r="AQ42" s="135"/>
      <c r="AR42" s="177">
        <f>10.8%+(1-10.8%)*(1-SUM(AR26:AS26)/SUM($B$26:$C$26))</f>
        <v>0.10799999999999942</v>
      </c>
      <c r="AS42" s="135"/>
      <c r="AT42" s="177">
        <f>10.8%+(1-10.8%)*(1-SUM(AT26:AU26)/SUM($B$26:$C$26))</f>
        <v>0.10799999999999961</v>
      </c>
      <c r="AU42" s="135"/>
      <c r="AV42" s="177">
        <f>10.8%+(1-10.8%)*(1-SUM(AV26:AW26)/SUM($B$26:$C$26))</f>
        <v>0.10799999999999961</v>
      </c>
    </row>
    <row r="43" spans="1:49 16319:16321" x14ac:dyDescent="0.2">
      <c r="A43" t="s">
        <v>108</v>
      </c>
      <c r="B43" s="162">
        <f>SUM(B15:C15*B27:C27)/SUM(B15:C15*B27:C27,B13:C13*B26:C26)</f>
        <v>0.56058995943838996</v>
      </c>
      <c r="C43" s="135"/>
      <c r="D43" s="162">
        <f t="array" ref="D43">SUM(D15:E15*D27:E27)/SUM(D15:E15*D27:E27,D13:E13*D26:E26)</f>
        <v>0.56569832317215885</v>
      </c>
      <c r="E43" s="135"/>
      <c r="F43" s="162">
        <f t="array" ref="F43">SUM(F15:G15*F27:G27)/SUM(F15:G15*F27:G27,F13:G13*F26:G26)</f>
        <v>0.56419857676656371</v>
      </c>
      <c r="G43" s="135"/>
      <c r="H43" s="162">
        <f t="array" ref="H43">SUM(H15:I15*H27:I27)/SUM(H15:I15*H27:I27,H13:I13*H26:I26)</f>
        <v>0.56270159412912646</v>
      </c>
      <c r="I43" s="135"/>
      <c r="J43" s="162">
        <f t="array" ref="J43">SUM(J15:K15*J27:K27)/SUM(J15:K15*J27:K27,J13:K13*J26:K26)</f>
        <v>0.56120777565530389</v>
      </c>
      <c r="K43" s="135"/>
      <c r="L43" s="162">
        <f t="array" ref="L43">SUM(L15:M15*L27:M27)/SUM(L15:M15*L27:M27,L13:M13*L26:M26)</f>
        <v>0.5597178751333749</v>
      </c>
      <c r="M43" s="135"/>
      <c r="N43" s="162">
        <f t="array" ref="N43">SUM(N15:O15*N27:O27)/SUM(N15:O15*N27:O27,N13:O13*N26:O26)</f>
        <v>0.55823290589568109</v>
      </c>
      <c r="O43" s="135"/>
      <c r="P43" s="162">
        <f t="array" ref="P43">SUM(P15:Q15*P27:Q27)/SUM(P15:Q15*P27:Q27,P13:Q13*P26:Q26)</f>
        <v>0.55675460267997134</v>
      </c>
      <c r="Q43" s="135"/>
      <c r="R43" s="162">
        <f t="array" ref="R43">SUM(R15:S15*R27:S27)/SUM(R15:S15*R27:S27,R13:S13*R26:S26)</f>
        <v>0.55528573053684427</v>
      </c>
      <c r="S43" s="135"/>
      <c r="T43" s="162">
        <f t="array" ref="T43">SUM(T15:U15*T27:U27)/SUM(T15:U15*T27:U27,T13:U13*T26:U26)</f>
        <v>0.55383069333833934</v>
      </c>
      <c r="U43" s="135"/>
      <c r="V43" s="162">
        <f t="array" ref="V43">SUM(V15:W15*V27:W27)/SUM(V15:W15*V27:W27,V13:W13*V26:W26)</f>
        <v>0.55239660909538035</v>
      </c>
      <c r="W43" s="135"/>
      <c r="X43" s="162">
        <f t="array" ref="X43">SUM(X15:Y15*X27:Y27)/SUM(X15:Y15*X27:Y27,X13:Y13*X26:Y26)</f>
        <v>0.55099491475745765</v>
      </c>
      <c r="Y43" s="135"/>
      <c r="Z43" s="162">
        <f t="array" ref="Z43">SUM(Z15:AA15*Z27:AA27)/SUM(Z15:AA15*Z27:AA27,Z13:AA13*Z26:AA26)</f>
        <v>0.5496440250288237</v>
      </c>
      <c r="AA43" s="135"/>
      <c r="AB43" s="162">
        <f t="array" ref="AB43">SUM(AB15:AC15*AB27:AC27)/SUM(AB15:AC15*AB27:AC27,AB13:AC13*AB26:AC26)</f>
        <v>0.54837339060001056</v>
      </c>
      <c r="AC43" s="135"/>
      <c r="AD43" s="162">
        <f t="array" ref="AD43">SUM(AD15:AE15*AD27:AE27)/SUM(AD15:AE15*AD27:AE27,AD13:AE13*AD26:AE26)</f>
        <v>0.54722906167072294</v>
      </c>
      <c r="AE43" s="135"/>
      <c r="AF43" s="162">
        <f t="array" ref="AF43">SUM(AF15:AG15*AF27:AG27)/SUM(AF15:AG15*AF27:AG27,AF13:AG13*AF26:AG26)</f>
        <v>0.54627788013064937</v>
      </c>
      <c r="AG43" s="135"/>
      <c r="AH43" s="162">
        <f t="array" ref="AH43">SUM(AH15:AI15*AH27:AI27)/SUM(AH15:AI15*AH27:AI27,AH13:AI13*AH26:AI26)</f>
        <v>0.54559795740381622</v>
      </c>
      <c r="AI43" s="135"/>
      <c r="AJ43" s="162">
        <f t="array" ref="AJ43">SUM(AJ15:AK15*AJ27:AK27)/SUM(AJ15:AK15*AJ27:AK27,AJ13:AK13*AJ26:AK26)</f>
        <v>0.54522965755539921</v>
      </c>
      <c r="AK43" s="135"/>
      <c r="AL43" s="162">
        <f t="array" ref="AL43">SUM(AL15:AM15*AL27:AM27)/SUM(AL15:AM15*AL27:AM27,AL13:AM13*AL26:AM26)</f>
        <v>0.54510536940103849</v>
      </c>
      <c r="AM43" s="135"/>
      <c r="AN43" s="162">
        <f t="array" ref="AN43">SUM(AN15:AO15*AN27:AO27)/SUM(AN15:AO15*AN27:AO27,AN13:AO13*AN26:AO26)</f>
        <v>0.54508605301358837</v>
      </c>
      <c r="AO43" s="135"/>
      <c r="AP43" s="162">
        <f t="array" ref="AP43">SUM(AP15:AQ15*AP27:AQ27)/SUM(AP15:AQ15*AP27:AQ27,AP13:AQ13*AP26:AQ26)</f>
        <v>0.54508562398412652</v>
      </c>
      <c r="AQ43" s="135"/>
      <c r="AR43" s="162">
        <f t="array" ref="AR43">SUM(AR15:AS15*AR27:AS27)/SUM(AR15:AS15*AR27:AS27,AR13:AS13*AR26:AS26)</f>
        <v>0.54508545381411078</v>
      </c>
      <c r="AS43" s="135"/>
      <c r="AT43" s="162">
        <f t="array" ref="AT43">SUM(AT15:AU15*AT27:AU27)/SUM(AT15:AU15*AT27:AU27,AT13:AU13*AT26:AU26)</f>
        <v>0.5450853996856565</v>
      </c>
      <c r="AU43" s="135"/>
      <c r="AV43" s="162">
        <f t="array" ref="AV43">SUM(AV15:AW15*AV27:AW27)/SUM(AV15:AW15*AV27:AW27,AV13:AW13*AV26:AW26)</f>
        <v>0.54508538756141744</v>
      </c>
    </row>
    <row r="44" spans="1:49 16319:16321" x14ac:dyDescent="0.2">
      <c r="A44" t="s">
        <v>142</v>
      </c>
      <c r="B44" s="193">
        <f>(SUM(B11:C11*B24:C24)+B34)/B32</f>
        <v>0.29754226190682465</v>
      </c>
      <c r="D44" s="193">
        <f>(SUM(D11:E11*D24:E24)+D34)/D32</f>
        <v>0.29983694457683308</v>
      </c>
      <c r="F44" s="193">
        <f>(SUM(F11:G11*F24:G24)+F34)/F32</f>
        <v>0.30218727453396071</v>
      </c>
      <c r="H44" s="193">
        <f>(SUM(H11:I11*H24:I24)+H34)/H32</f>
        <v>0.30460315790734727</v>
      </c>
      <c r="J44" s="193">
        <f>(SUM(J11:K11*J24:K24)+J34)/J32</f>
        <v>0.30709670556064295</v>
      </c>
      <c r="L44" s="193">
        <f>(SUM(L11:M11*L24:M24)+L34)/L32</f>
        <v>0.30968303902954486</v>
      </c>
      <c r="N44" s="193">
        <f>(SUM(N11:O11*N24:O24)+N34)/N32</f>
        <v>0.31238107640143803</v>
      </c>
      <c r="P44" s="193">
        <f>(SUM(P11:Q11*P24:Q24)+P34)/P32</f>
        <v>0.31521551031583661</v>
      </c>
      <c r="R44" s="193">
        <f>(SUM(R11:S11*R24:S24)+R34)/R32</f>
        <v>0.3182191241008494</v>
      </c>
      <c r="T44" s="193">
        <f>(SUM(T11:U11*T24:U24)+T34)/T32</f>
        <v>0.32143685831719893</v>
      </c>
      <c r="V44" s="193">
        <f>(SUM(V11:W11*V24:W24)+V34)/V32</f>
        <v>0.32493272394416739</v>
      </c>
      <c r="X44" s="193">
        <f>(SUM(X11:Y11*X24:Y24)+X34)/X32</f>
        <v>0.32880166162399233</v>
      </c>
      <c r="Z44" s="193">
        <f>(SUM(Z11:AA11*Z24:AA24)+Z34)/Z32</f>
        <v>0.33319128822338623</v>
      </c>
      <c r="AB44" s="193">
        <f>(SUM(AB11:AC11*AB24:AC24)+AB34)/AB32</f>
        <v>0.33834301234413566</v>
      </c>
      <c r="AD44" s="193">
        <f>(SUM(AD11:AE11*AD24:AE24)+AD34)/AD32</f>
        <v>0.34467242864248626</v>
      </c>
      <c r="AF44" s="193">
        <f>(SUM(AF11:AG11*AF24:AG24)+AF34)/AF32</f>
        <v>0.35292718753333741</v>
      </c>
      <c r="AH44" s="193">
        <f>(SUM(AH11:AI11*AH24:AI24)+AH34)/AH32</f>
        <v>0.36448517175224493</v>
      </c>
      <c r="AJ44" s="193">
        <f>(SUM(AJ11:AK11*AJ24:AK24)+AJ34)/AJ32</f>
        <v>0.38191864207863707</v>
      </c>
      <c r="AL44" s="193">
        <f>(SUM(AL11:AM11*AL24:AM24)+AL34)/AL32</f>
        <v>0.41068626818471077</v>
      </c>
      <c r="AN44" s="193">
        <f>(SUM(AN11:AO11*AN24:AO24)+AN34)/AN32</f>
        <v>0.4690320874838711</v>
      </c>
      <c r="AP44" s="193">
        <f>(SUM(AP11:AQ11*AP24:AQ24)+AP34)/AP32</f>
        <v>0.48990091339416947</v>
      </c>
      <c r="AR44" s="193">
        <f>(SUM(AR11:AS11*AR24:AS24)+AR34)/AR32</f>
        <v>0.51789628119327047</v>
      </c>
      <c r="AT44" s="193">
        <f>(SUM(AT11:AU11*AT24:AU24)+AT34)/AT32</f>
        <v>0.55844999181883492</v>
      </c>
      <c r="AV44" s="193">
        <f>(SUM(AV11:AW11*AV24:AW24)+AV34)/AV32</f>
        <v>0.62551706803409912</v>
      </c>
    </row>
    <row r="45" spans="1:49 16319:16321" x14ac:dyDescent="0.2">
      <c r="A45" t="s">
        <v>82</v>
      </c>
      <c r="B45" s="193">
        <f>SUM(B11:C11*B24:C24)/B32</f>
        <v>0.22038438833194082</v>
      </c>
      <c r="D45" s="193">
        <f>SUM(D11:E11*D24:E24)/D32</f>
        <v>0.22267908238122583</v>
      </c>
      <c r="F45" s="193">
        <f>SUM(F11:G11*F24:G24)/F32</f>
        <v>0.22502941434670601</v>
      </c>
      <c r="H45" s="193">
        <f>SUM(H11:I11*H24:I24)/H32</f>
        <v>0.22744530198974927</v>
      </c>
      <c r="J45" s="193">
        <f>SUM(J11:K11*J24:K24)/J32</f>
        <v>0.22993886498143268</v>
      </c>
      <c r="L45" s="193">
        <f>SUM(L11:M11*L24:M24)/L32</f>
        <v>0.2325251662032799</v>
      </c>
      <c r="N45" s="193">
        <f>SUM(N11:O11*N24:O24)/N32</f>
        <v>0.2352232042909784</v>
      </c>
      <c r="P45" s="193">
        <f>SUM(P11:Q11*P24:Q24)/P32</f>
        <v>0.2380576389728295</v>
      </c>
      <c r="R45" s="193">
        <f>SUM(R11:S11*R24:S24)/R32</f>
        <v>0.24106125072384746</v>
      </c>
      <c r="T45" s="193">
        <f>SUM(T11:U11*T24:U24)/T32</f>
        <v>0.24427898713320848</v>
      </c>
      <c r="V45" s="193">
        <f>SUM(V11:W11*V24:W24)/V32</f>
        <v>0.24777485240613847</v>
      </c>
      <c r="X45" s="193">
        <f>SUM(X11:Y11*X24:Y24)/X32</f>
        <v>0.25164379220753791</v>
      </c>
      <c r="Z45" s="193">
        <f>SUM(Z11:AA11*Z24:AA24)/Z32</f>
        <v>0.25603341640186533</v>
      </c>
      <c r="AB45" s="193">
        <f>SUM(AB11:AC11*AB24:AC24)/AB32</f>
        <v>0.26118513961312367</v>
      </c>
      <c r="AD45" s="193">
        <f>SUM(AD11:AE11*AD24:AE24)/AD32</f>
        <v>0.26751455487880016</v>
      </c>
      <c r="AF45" s="193">
        <f>SUM(AF11:AG11*AF24:AG24)/AF32</f>
        <v>0.27576931416152484</v>
      </c>
      <c r="AH45" s="193">
        <f>SUM(AH11:AI11*AH24:AI24)/AH32</f>
        <v>0.28732729823551101</v>
      </c>
      <c r="AJ45" s="193">
        <f>SUM(AJ11:AK11*AJ24:AK24)/AJ32</f>
        <v>0.30476076849154204</v>
      </c>
      <c r="AL45" s="193">
        <f>SUM(AL11:AM11*AL24:AM24)/AL32</f>
        <v>0.33352839461019007</v>
      </c>
      <c r="AN45" s="193">
        <f>SUM(AN11:AO11*AN24:AO24)/AN32</f>
        <v>0.39187421390899679</v>
      </c>
      <c r="AP45" s="193">
        <f>SUM(AP11:AQ11*AP24:AQ24)/AP32</f>
        <v>0.4127430398194662</v>
      </c>
      <c r="AR45" s="193">
        <f>SUM(AR11:AS11*AR24:AS24)/AR32</f>
        <v>0.44073840761838945</v>
      </c>
      <c r="AT45" s="193">
        <f>SUM(AT11:AU11*AT24:AU24)/AT32</f>
        <v>0.48129211824395168</v>
      </c>
      <c r="AV45" s="193">
        <f>SUM(AV11:AW11*AV24:AW24)/AV32</f>
        <v>0.54835919445921544</v>
      </c>
      <c r="XCQ45" s="193"/>
    </row>
    <row r="46" spans="1:49 16319:16321" x14ac:dyDescent="0.2">
      <c r="A46" t="s">
        <v>139</v>
      </c>
      <c r="B46" s="193">
        <f>B34/B32</f>
        <v>7.7157873574883795E-2</v>
      </c>
      <c r="D46" s="193">
        <f>D34/D32</f>
        <v>7.7157862195607232E-2</v>
      </c>
      <c r="F46" s="193">
        <f>F34/F32</f>
        <v>7.7157860187254665E-2</v>
      </c>
      <c r="H46" s="193">
        <f>H34/H32</f>
        <v>7.7157855917597995E-2</v>
      </c>
      <c r="J46" s="193">
        <f>J34/J32</f>
        <v>7.7157840579210255E-2</v>
      </c>
      <c r="L46" s="193">
        <f>L34/L32</f>
        <v>7.7157872826264989E-2</v>
      </c>
      <c r="N46" s="193">
        <f>N34/N32</f>
        <v>7.7157872110459602E-2</v>
      </c>
      <c r="P46" s="193">
        <f>P34/P32</f>
        <v>7.7157871343007112E-2</v>
      </c>
      <c r="R46" s="193">
        <f>R34/R32</f>
        <v>7.715787337700189E-2</v>
      </c>
      <c r="T46" s="193">
        <f>T34/T32</f>
        <v>7.7157871183990492E-2</v>
      </c>
      <c r="V46" s="193">
        <f>V34/V32</f>
        <v>7.7157871538028916E-2</v>
      </c>
      <c r="X46" s="193">
        <f>X34/X32</f>
        <v>7.7157869416454403E-2</v>
      </c>
      <c r="Z46" s="193">
        <f>Z34/Z32</f>
        <v>7.7157871821520854E-2</v>
      </c>
      <c r="AB46" s="193">
        <f>AB34/AB32</f>
        <v>7.7157872731012017E-2</v>
      </c>
      <c r="AD46" s="193">
        <f>AD34/AD32</f>
        <v>7.7157873763686088E-2</v>
      </c>
      <c r="AF46" s="193">
        <f>AF34/AF32</f>
        <v>7.7157873371812527E-2</v>
      </c>
      <c r="AH46" s="193">
        <f>AH34/AH32</f>
        <v>7.7157873516733894E-2</v>
      </c>
      <c r="AJ46" s="193">
        <f>AJ34/AJ32</f>
        <v>7.7157873587095083E-2</v>
      </c>
      <c r="AL46" s="193">
        <f>AL34/AL32</f>
        <v>7.7157873574520683E-2</v>
      </c>
      <c r="AN46" s="193">
        <f>AN34/AN32</f>
        <v>7.7157873574874275E-2</v>
      </c>
      <c r="AP46" s="193">
        <f>AP34/AP32</f>
        <v>7.7157873574703287E-2</v>
      </c>
      <c r="AR46" s="193">
        <f>AR34/AR32</f>
        <v>7.7157873574881033E-2</v>
      </c>
      <c r="AT46" s="193">
        <f>AT34/AT32</f>
        <v>7.7157873574883185E-2</v>
      </c>
      <c r="AV46" s="193">
        <f>AV34/AV32</f>
        <v>7.7157873574883643E-2</v>
      </c>
      <c r="XCS46" s="193"/>
    </row>
    <row r="48" spans="1:49 16319:16321" x14ac:dyDescent="0.2">
      <c r="A48" t="s">
        <v>159</v>
      </c>
      <c r="B48" s="191">
        <f>B24/$B$24</f>
        <v>1</v>
      </c>
      <c r="C48" s="191"/>
      <c r="D48" s="191">
        <f>D24/$B$24</f>
        <v>1.0119724174827762</v>
      </c>
      <c r="E48" s="191"/>
      <c r="F48" s="191">
        <f>F24/$B$24</f>
        <v>1.024115996312607</v>
      </c>
      <c r="G48" s="191"/>
      <c r="H48" s="191">
        <f>H24/$B$24</f>
        <v>1.0364548974851409</v>
      </c>
      <c r="I48" s="191"/>
      <c r="J48" s="191">
        <f>J24/$B$24</f>
        <v>1.0490183008872185</v>
      </c>
      <c r="K48" s="191"/>
      <c r="L48" s="191">
        <f>L24/$B$24</f>
        <v>1.0618417832129097</v>
      </c>
      <c r="M48" s="191"/>
      <c r="N48" s="191">
        <f>N24/$B$24</f>
        <v>1.0749700612921202</v>
      </c>
      <c r="O48" s="191"/>
      <c r="P48" s="191">
        <f>P24/$B$24</f>
        <v>1.0884609796953411</v>
      </c>
      <c r="Q48" s="191"/>
      <c r="R48" s="191">
        <f>R24/$B$24</f>
        <v>1.1023918636405912</v>
      </c>
      <c r="S48" s="191"/>
      <c r="T48" s="191">
        <f>T24/$B$24</f>
        <v>1.1168702662708971</v>
      </c>
      <c r="U48" s="191"/>
      <c r="V48" s="191">
        <f>V24/$B$24</f>
        <v>1.1320527603122554</v>
      </c>
      <c r="W48" s="191"/>
      <c r="X48" s="191">
        <f>X24/$B$24</f>
        <v>1.1481781717745019</v>
      </c>
      <c r="Y48" s="191"/>
      <c r="Z48" s="191">
        <f>Z24/$B$24</f>
        <v>1.1656285905894141</v>
      </c>
      <c r="AA48" s="191"/>
      <c r="AB48" s="191">
        <f>AB24/$B$24</f>
        <v>1.1850427509827521</v>
      </c>
      <c r="AC48" s="191"/>
      <c r="AD48" s="191">
        <f>AD24/$B$24</f>
        <v>1.20752166639241</v>
      </c>
      <c r="AE48" s="191"/>
      <c r="AF48" s="191">
        <f>AF24/$B$24</f>
        <v>1.2349567630530687</v>
      </c>
      <c r="AG48" s="191"/>
      <c r="AH48" s="191">
        <f>AH24/$B$24</f>
        <v>1.2703016404899619</v>
      </c>
      <c r="AI48" s="191"/>
      <c r="AJ48" s="191">
        <f>AJ24/$B$24</f>
        <v>1.3167090492868847</v>
      </c>
      <c r="AK48" s="191"/>
      <c r="AL48" s="191">
        <f>AL24/$B$24</f>
        <v>1.3721569118952754</v>
      </c>
      <c r="AM48" s="191"/>
      <c r="AN48" s="191">
        <f>AN24/$B$24</f>
        <v>1.3956494717477412</v>
      </c>
      <c r="AO48" s="191"/>
      <c r="AP48" s="191">
        <f>AP24/$B$24</f>
        <v>1.3754867842292944</v>
      </c>
      <c r="AQ48" s="191"/>
      <c r="AR48" s="191">
        <f>AR24/$B$24</f>
        <v>1.3261169214659143</v>
      </c>
      <c r="AS48" s="191"/>
      <c r="AT48" s="191">
        <f>AT24/$B$24</f>
        <v>1.2123157282799859</v>
      </c>
      <c r="AU48" s="191"/>
      <c r="AV48" s="191">
        <f>AV24/$B$24</f>
        <v>0.92843508004075492</v>
      </c>
    </row>
    <row r="49" spans="1:48 16321:16384" x14ac:dyDescent="0.2">
      <c r="A49" t="s">
        <v>160</v>
      </c>
      <c r="B49" s="191">
        <f>B13/B35/$B$13*$B$35</f>
        <v>1</v>
      </c>
      <c r="C49" s="191"/>
      <c r="D49" s="191">
        <f>D13/D35/$B$13*$B$35</f>
        <v>0.99665380023348249</v>
      </c>
      <c r="E49" s="191"/>
      <c r="F49" s="191">
        <f>F13/F35/$B$13*$B$35</f>
        <v>0.99275229282392241</v>
      </c>
      <c r="G49" s="191"/>
      <c r="H49" s="191">
        <f>H13/H35/$B$13*$B$35</f>
        <v>0.98821135520843728</v>
      </c>
      <c r="I49" s="191"/>
      <c r="J49" s="191">
        <f>J13/J35/$B$13*$B$35</f>
        <v>0.98292780131169855</v>
      </c>
      <c r="K49" s="191"/>
      <c r="L49" s="191">
        <f>L13/L35/$B$13*$B$35</f>
        <v>0.97677299983510235</v>
      </c>
      <c r="M49" s="191"/>
      <c r="N49" s="191">
        <f>N13/N35/$B$13*$B$35</f>
        <v>0.96958437869994651</v>
      </c>
      <c r="O49" s="191"/>
      <c r="P49" s="191">
        <f>P13/P35/$B$13*$B$35</f>
        <v>0.96115270619996807</v>
      </c>
      <c r="Q49" s="191"/>
      <c r="R49" s="191">
        <f>R13/R35/$B$13*$B$35</f>
        <v>0.95120297227057016</v>
      </c>
      <c r="S49" s="191"/>
      <c r="T49" s="191">
        <f>T13/T35/$B$13*$B$35</f>
        <v>0.93936512587301702</v>
      </c>
      <c r="U49" s="191"/>
      <c r="V49" s="191">
        <f>V13/V35/$B$13*$B$35</f>
        <v>0.92512704264799439</v>
      </c>
      <c r="W49" s="191"/>
      <c r="X49" s="191">
        <f>X13/X35/$B$13*$B$35</f>
        <v>0.90775692174932132</v>
      </c>
      <c r="Y49" s="191"/>
      <c r="Z49" s="191">
        <f>Z13/Z35/$B$13*$B$35</f>
        <v>0.88616971041533343</v>
      </c>
      <c r="AA49" s="191"/>
      <c r="AB49" s="191">
        <f>AB13/AB35/$B$13*$B$35</f>
        <v>0.85868931327621612</v>
      </c>
      <c r="AC49" s="191"/>
      <c r="AD49" s="191">
        <f>AD13/AD35/$B$13*$B$35</f>
        <v>0.82261529802097888</v>
      </c>
      <c r="AE49" s="191"/>
      <c r="AF49" s="191">
        <f>AF13/AF35/$B$13*$B$35</f>
        <v>0.77344761879710877</v>
      </c>
      <c r="AG49" s="191"/>
      <c r="AH49" s="191">
        <f>AH13/AH35/$B$13*$B$35</f>
        <v>0.70365163685372123</v>
      </c>
      <c r="AI49" s="191"/>
      <c r="AJ49" s="191">
        <f>AJ13/AJ35/$B$13*$B$35</f>
        <v>0.60128027245317728</v>
      </c>
      <c r="AK49" s="191"/>
      <c r="AL49" s="191">
        <f>AL13/AL35/$B$13*$B$35</f>
        <v>0.4495435314907984</v>
      </c>
      <c r="AM49" s="191"/>
      <c r="AN49" s="191">
        <f>AN13/AN35/$B$13*$B$35</f>
        <v>0.23067437801887497</v>
      </c>
      <c r="AO49" s="191"/>
      <c r="AP49" s="191">
        <f>AP13/AP35/$B$13*$B$35</f>
        <v>0.17881485901797983</v>
      </c>
      <c r="AQ49" s="191"/>
      <c r="AR49" s="191">
        <f>AR13/AR35/$B$13*$B$35</f>
        <v>0.12554222647097152</v>
      </c>
      <c r="AS49" s="191"/>
      <c r="AT49" s="191">
        <f>AT13/AT35/$B$13*$B$35</f>
        <v>7.2882179624450844E-2</v>
      </c>
      <c r="AU49" s="191"/>
      <c r="AV49" s="191">
        <f>AV13/AV35/$B$13*$B$35</f>
        <v>2.572455913819368E-2</v>
      </c>
    </row>
    <row r="51" spans="1:48 16321:16384" x14ac:dyDescent="0.2">
      <c r="A51" t="s">
        <v>166</v>
      </c>
      <c r="B51" s="29">
        <f>B30-B10*B23</f>
        <v>-405838.32800000021</v>
      </c>
      <c r="D51" s="29">
        <f>D30-D10*D23</f>
        <v>-348775.30021402473</v>
      </c>
      <c r="F51" s="29">
        <f>F30-F10*F23</f>
        <v>-290270.48019667855</v>
      </c>
      <c r="H51" s="29">
        <f>H30-H10*H23</f>
        <v>-230098.68758232705</v>
      </c>
      <c r="J51" s="29">
        <f>J30-J10*J23</f>
        <v>-167987.39041213784</v>
      </c>
      <c r="L51" s="29">
        <f>L30-L10*L23</f>
        <v>-103602.41270433972</v>
      </c>
      <c r="N51" s="29">
        <f>N30-N10*N23</f>
        <v>-36519.589227163233</v>
      </c>
      <c r="P51" s="29">
        <f>P30-P10*P23</f>
        <v>33802.45700332243</v>
      </c>
      <c r="R51" s="29">
        <f>R30-R10*R23</f>
        <v>108081.11481215386</v>
      </c>
      <c r="T51" s="29">
        <f>T30-T10*T23</f>
        <v>187297.77553879237</v>
      </c>
      <c r="V51" s="29">
        <f>V30-V10*V23</f>
        <v>272846.26833167765</v>
      </c>
      <c r="X51" s="29">
        <f>X30-X10*X23</f>
        <v>366796.16276764311</v>
      </c>
      <c r="Z51" s="29">
        <f>Z30-Z10*Z23</f>
        <v>472370.72825601976</v>
      </c>
      <c r="AB51" s="29">
        <f>AB30-AB10*AB23</f>
        <v>594851.38347731205</v>
      </c>
      <c r="AD51" s="29">
        <f>AD30-AD10*AD23</f>
        <v>743319.32806746289</v>
      </c>
      <c r="AF51" s="29">
        <f>AF30-AF10*AF23</f>
        <v>933929.96326412261</v>
      </c>
      <c r="AH51" s="29">
        <f>AH30-AH10*AH23</f>
        <v>1195328.0001956956</v>
      </c>
      <c r="AJ51" s="29">
        <f>AJ30-AJ10*AJ23</f>
        <v>1575064.8279765877</v>
      </c>
      <c r="AL51" s="29">
        <f>AL30-AL10*AL23</f>
        <v>2145974.15343282</v>
      </c>
      <c r="AN51" s="29">
        <f>AN30-AN10*AN23</f>
        <v>2999668.1751418058</v>
      </c>
      <c r="AP51" s="29">
        <f>AP30-AP10*AP23</f>
        <v>3189816.8656688156</v>
      </c>
      <c r="AQ51" s="29"/>
      <c r="AR51" s="29">
        <f>AR30-AR10*AR23</f>
        <v>3344307.4323068392</v>
      </c>
      <c r="AT51" s="29">
        <f>AT30-AT10*AT23</f>
        <v>3363833.4575905842</v>
      </c>
      <c r="AV51" s="29">
        <f>AV30-AV10*AV23</f>
        <v>2890601.5650781728</v>
      </c>
      <c r="XFD51" s="29"/>
    </row>
    <row r="52" spans="1:48 16321:16384" x14ac:dyDescent="0.2">
      <c r="A52" t="s">
        <v>167</v>
      </c>
      <c r="B52" s="29">
        <f t="array" ref="B52">Calibration!sL*SUM(B13:C13*B26:C26)</f>
        <v>2049247.8195702801</v>
      </c>
      <c r="D52" s="29">
        <f t="array" ref="D52">Calibration!sL*SUM(D13:E13*D26:E26)</f>
        <v>2046791.0255853937</v>
      </c>
      <c r="F52" s="29">
        <f t="array" ref="F52">Calibration!sL*SUM(F13:G13*F26:G26)</f>
        <v>2043700.4911216067</v>
      </c>
      <c r="H52" s="29">
        <f t="array" ref="H52">Calibration!sL*SUM(H13:I13*H26:I26)</f>
        <v>2039881.996257646</v>
      </c>
      <c r="J52" s="29">
        <f t="array" ref="J52">Calibration!sL*SUM(J13:K13*J26:K26)</f>
        <v>2035221.1966961809</v>
      </c>
      <c r="L52" s="29">
        <f t="array" ref="L52">Calibration!sL*SUM(L13:M13*L26:M26)</f>
        <v>2029577.2065347342</v>
      </c>
      <c r="N52" s="29">
        <f t="array" ref="N52">Calibration!sL*SUM(N13:O13*N26:O26)</f>
        <v>2022775.1023417446</v>
      </c>
      <c r="P52" s="29">
        <f t="array" ref="P52">Calibration!sL*SUM(P13:Q13*P26:Q26)</f>
        <v>2014593.8437754067</v>
      </c>
      <c r="R52" s="29">
        <f t="array" ref="R52">Calibration!sL*SUM(R13:S13*R26:S26)</f>
        <v>2004749.4550994043</v>
      </c>
      <c r="T52" s="29">
        <f t="array" ref="T52">Calibration!sL*SUM(T13:U13*T26:U26)</f>
        <v>1992869.6877534301</v>
      </c>
      <c r="V52" s="29">
        <f t="array" ref="V52">Calibration!sL*SUM(V13:W13*V26:W26)</f>
        <v>1978453.8321693256</v>
      </c>
      <c r="X52" s="29">
        <f t="array" ref="X52">Calibration!sL*SUM(X13:Y13*X26:Y26)</f>
        <v>1960807.465148258</v>
      </c>
      <c r="Z52" s="29">
        <f t="array" ref="Z52">Calibration!sL*SUM(Z13:AA13*Z26:AA26)</f>
        <v>1938929.2964030448</v>
      </c>
      <c r="AB52" s="29">
        <f t="array" ref="AB52">Calibration!sL*SUM(AB13:AC13*AB26:AC26)</f>
        <v>1911303.345218811</v>
      </c>
      <c r="AD52" s="29">
        <f t="array" ref="AD52">Calibration!sL*SUM(AD13:AE13*AD26:AE26)</f>
        <v>1875488.0459303781</v>
      </c>
      <c r="AF52" s="29">
        <f t="array" ref="AF52">Calibration!sL*SUM(AF13:AG13*AF26:AG26)</f>
        <v>1827239.900454706</v>
      </c>
      <c r="AH52" s="29">
        <f t="array" ref="AH52">Calibration!sL*SUM(AH13:AI13*AH26:AI26)</f>
        <v>1758484.5142481553</v>
      </c>
      <c r="AJ52" s="29">
        <f t="array" ref="AJ52">Calibration!sL*SUM(AJ13:AK13*AJ26:AK26)</f>
        <v>1652179.8417271893</v>
      </c>
      <c r="AL52" s="29">
        <f t="array" ref="AL52">Calibration!sL*SUM(AL13:AM13*AL26:AM26)</f>
        <v>1467075.4998620299</v>
      </c>
      <c r="AN52" s="29">
        <f t="array" ref="AN52">Calibration!sL*SUM(AN13:AO13*AN26:AO26)</f>
        <v>1074499.9773463523</v>
      </c>
      <c r="AP52" s="29">
        <f t="array" ref="AP52">Calibration!sL*SUM(AP13:AQ13*AP26:AQ26)</f>
        <v>938293.94973230606</v>
      </c>
      <c r="AQ52" s="29"/>
      <c r="AR52" s="29">
        <f t="array" ref="AR52">Calibration!sL*SUM(AR13:AS13*AR26:AS26)</f>
        <v>765161.94987639226</v>
      </c>
      <c r="AT52" s="29">
        <f t="array" ref="AT52">Calibration!sL*SUM(AT13:AU13*AT26:AU26)</f>
        <v>540378.91723069735</v>
      </c>
      <c r="AV52" s="29">
        <f t="array" ref="AV52">Calibration!sL*SUM(AV13:AW13*AV26:AW26)</f>
        <v>251034.47938006493</v>
      </c>
    </row>
    <row r="53" spans="1:48 16321:16384" x14ac:dyDescent="0.2">
      <c r="A53" t="s">
        <v>168</v>
      </c>
      <c r="B53" s="29">
        <f t="array" ref="B53">Calibration!sK*SUM(B15:C15*B27:C27)</f>
        <v>2740714.4444297217</v>
      </c>
      <c r="D53" s="29">
        <f t="array" ref="D53">Calibration!sK*SUM(D15:E15*D27:E27)</f>
        <v>2720735.2097265502</v>
      </c>
      <c r="F53" s="29">
        <f t="array" ref="F53">Calibration!sK*SUM(F15:G15*F27:G27)</f>
        <v>2700100.8091261843</v>
      </c>
      <c r="H53" s="29">
        <f t="array" ref="H53">Calibration!sK*SUM(H15:I15*H27:I27)</f>
        <v>2678703.7392110159</v>
      </c>
      <c r="J53" s="29">
        <f t="array" ref="J53">Calibration!sK*SUM(J15:K15*J27:K27)</f>
        <v>2656414.005974541</v>
      </c>
      <c r="L53" s="29">
        <f t="array" ref="L53">Calibration!sK*SUM(L15:M15*L27:M27)</f>
        <v>2633074.137783153</v>
      </c>
      <c r="N53" s="29">
        <f t="array" ref="N53">Calibration!sK*SUM(N15:O15*N27:O27)</f>
        <v>2608489.2823133925</v>
      </c>
      <c r="P53" s="29">
        <f t="array" ref="P53">Calibration!sK*SUM(P15:Q15*P27:Q27)</f>
        <v>2582417.5921475245</v>
      </c>
      <c r="R53" s="29">
        <f t="array" ref="R53">Calibration!sK*SUM(R15:S15*R27:S27)</f>
        <v>2554553.133692692</v>
      </c>
      <c r="T53" s="29">
        <f t="array" ref="T53">Calibration!sK*SUM(T15:U15*T27:U27)</f>
        <v>2524501.4195431611</v>
      </c>
      <c r="V53" s="29">
        <f t="array" ref="V53">Calibration!sK*SUM(V15:W15*V27:W27)</f>
        <v>2491741.2621832192</v>
      </c>
      <c r="X53" s="29">
        <f t="array" ref="X53">Calibration!sK*SUM(X15:Y15*X27:Y27)</f>
        <v>2455560.6786616202</v>
      </c>
      <c r="Z53" s="29">
        <f t="array" ref="Z53">Calibration!sK*SUM(Z15:AA15*Z27:AA27)</f>
        <v>2414943.3229307109</v>
      </c>
      <c r="AB53" s="29">
        <f t="array" ref="AB53">Calibration!sK*SUM(AB15:AC15*AB27:AC27)</f>
        <v>2368349.8601860884</v>
      </c>
      <c r="AD53" s="29">
        <f t="array" ref="AD53">Calibration!sK*SUM(AD15:AE15*AD27:AE27)</f>
        <v>2313259.1999045587</v>
      </c>
      <c r="AF53" s="29">
        <f t="array" ref="AF53">Calibration!sK*SUM(AF15:AG15*AF27:AG27)</f>
        <v>2245115.1509011309</v>
      </c>
      <c r="AH53" s="29">
        <f t="array" ref="AH53">Calibration!sK*SUM(AH15:AI15*AH27:AI27)</f>
        <v>2154717.7863460202</v>
      </c>
      <c r="AJ53" s="29">
        <f t="array" ref="AJ53">Calibration!sK*SUM(AJ15:AK15*AJ27:AK27)</f>
        <v>2021454.8378942648</v>
      </c>
      <c r="AL53" s="29">
        <f t="array" ref="AL53">Calibration!sK*SUM(AL15:AM15*AL27:AM27)</f>
        <v>1794078.7466066799</v>
      </c>
      <c r="AN53" s="29">
        <f t="array" ref="AN53">Calibration!sK*SUM(AN15:AO15*AN27:AO27)</f>
        <v>1313897.8937092714</v>
      </c>
      <c r="AP53" s="29">
        <f t="array" ref="AP53">Calibration!sK*SUM(AP15:AQ15*AP27:AQ27)</f>
        <v>1147343.2640435668</v>
      </c>
      <c r="AQ53" s="29"/>
      <c r="AR53" s="29">
        <f t="array" ref="AR53">Calibration!sK*SUM(AR15:AS15*AR27:AS27)</f>
        <v>935637.28815886169</v>
      </c>
      <c r="AT53" s="29">
        <f t="array" ref="AT53">Calibration!sK*SUM(AT15:AU15*AT27:AU27)</f>
        <v>660773.25775435905</v>
      </c>
      <c r="AV53" s="29">
        <f t="array" ref="AV53">Calibration!sK*SUM(AV15:AW15*AV27:AW27)</f>
        <v>306963.97906906443</v>
      </c>
      <c r="XFD53" s="29"/>
    </row>
    <row r="55" spans="1:48 16321:16384" x14ac:dyDescent="0.2">
      <c r="A55" t="s">
        <v>169</v>
      </c>
      <c r="B55" s="193">
        <f>B30/B32</f>
        <v>0.19850271905982084</v>
      </c>
      <c r="D55" s="193">
        <f>D30/D32</f>
        <v>0.20237984765314326</v>
      </c>
      <c r="F55" s="193">
        <f>F30/F32</f>
        <v>0.20635035743593633</v>
      </c>
      <c r="H55" s="193">
        <f>H30/H32</f>
        <v>0.21043096386624466</v>
      </c>
      <c r="J55" s="193">
        <f>J30/J32</f>
        <v>0.21464204727727274</v>
      </c>
      <c r="L55" s="193">
        <f>L30/L32</f>
        <v>0.21900879151330774</v>
      </c>
      <c r="N55" s="193">
        <f>N30/N32</f>
        <v>0.22356336179643213</v>
      </c>
      <c r="P55" s="193">
        <f>P30/P32</f>
        <v>0.22834710876210607</v>
      </c>
      <c r="R55" s="193">
        <f>R30/R32</f>
        <v>0.23341510327508541</v>
      </c>
      <c r="T55" s="193">
        <f>T30/T32</f>
        <v>0.23884294146512633</v>
      </c>
      <c r="V55" s="193">
        <f>V30/V32</f>
        <v>0.24473815263050183</v>
      </c>
      <c r="X55" s="193">
        <f>X30/X32</f>
        <v>0.25126030644772274</v>
      </c>
      <c r="Z55" s="193">
        <f>Z30/Z32</f>
        <v>0.25865745255840383</v>
      </c>
      <c r="AB55" s="193">
        <f>AB30/AB32</f>
        <v>0.26733528457323924</v>
      </c>
      <c r="AD55" s="193">
        <f>AD30/AD32</f>
        <v>0.27799231583945877</v>
      </c>
      <c r="AF55" s="193">
        <f>AF30/AF32</f>
        <v>0.29188529970404403</v>
      </c>
      <c r="AH55" s="193">
        <f>AH30/AH32</f>
        <v>0.31133087642471635</v>
      </c>
      <c r="AJ55" s="193">
        <f>AJ30/AJ32</f>
        <v>0.34065490360402773</v>
      </c>
      <c r="AL55" s="193">
        <f>AL30/AL32</f>
        <v>0.38903884154816787</v>
      </c>
      <c r="AN55" s="193">
        <f>AN30/AN32</f>
        <v>0.48716784149547854</v>
      </c>
      <c r="AP55" s="193">
        <f>AP30/AP32</f>
        <v>0.52226605080773236</v>
      </c>
      <c r="AR55" s="193">
        <f>AR30/AR32</f>
        <v>0.56935002260308865</v>
      </c>
      <c r="AT55" s="193">
        <f>AT30/AT32</f>
        <v>0.63755522519993291</v>
      </c>
      <c r="AV55" s="193">
        <f>AV30/AV32</f>
        <v>0.75035189484688314</v>
      </c>
      <c r="XCS55" s="193"/>
      <c r="XFD55" s="193"/>
    </row>
    <row r="56" spans="1:48 16321:16384" x14ac:dyDescent="0.2">
      <c r="A56" t="s">
        <v>170</v>
      </c>
      <c r="B56" s="193">
        <f>(Model!$C$52*B5*B20+B2*C5*C20)/B32</f>
        <v>2.9221206744340551E-2</v>
      </c>
      <c r="D56" s="193">
        <f>(Model!$C$52*D5*D20+D2*E5*E20)/D32</f>
        <v>3.3396382187022788E-2</v>
      </c>
      <c r="F56" s="193">
        <f>(Model!$C$52*F5*F20+F2*G5*G20)/F32</f>
        <v>3.7690638757201494E-2</v>
      </c>
      <c r="H56" s="193">
        <f>(Model!$C$52*H5*H20+H2*I5*I20)/H32</f>
        <v>4.2124524713919219E-2</v>
      </c>
      <c r="J56" s="193">
        <f>(Model!$C$52*J5*J20+J2*K5*K20)/J32</f>
        <v>4.6723132592692271E-2</v>
      </c>
      <c r="L56" s="193">
        <f>(Model!$C$52*L5*L20+L2*M5*M20)/L32</f>
        <v>5.1517520720235681E-2</v>
      </c>
      <c r="N56" s="193">
        <f>(Model!$C$52*N5*N20+N2*O5*O20)/N32</f>
        <v>5.6547376519952577E-2</v>
      </c>
      <c r="P56" s="193">
        <f>(Model!$C$52*P5*P20+P2*Q5*Q20)/P32</f>
        <v>6.1863842976608581E-2</v>
      </c>
      <c r="R56" s="193">
        <f>(Model!$C$52*R5*R20+R2*S5*S20)/R32</f>
        <v>6.7535112458063887E-2</v>
      </c>
      <c r="T56" s="193">
        <f>(Model!$C$52*T5*T20+T2*U5*U20)/T32</f>
        <v>7.3654891131876996E-2</v>
      </c>
      <c r="V56" s="193">
        <f>(Model!$C$52*V5*V20+V2*W5*W20)/V32</f>
        <v>8.0356549397786484E-2</v>
      </c>
      <c r="X56" s="193">
        <f>(Model!$C$52*X5*X20+X2*Y5*Y20)/X32</f>
        <v>8.7837962321887106E-2</v>
      </c>
      <c r="Z56" s="193">
        <f>(Model!$C$52*Z5*Z20+Z2*AA5*AA20)/Z32</f>
        <v>9.6406380342879655E-2</v>
      </c>
      <c r="AB56" s="193">
        <f>(Model!$C$52*AB5*AB20+AB2*AC5*AC20)/AB32</f>
        <v>0.10656319223926039</v>
      </c>
      <c r="AD56" s="193">
        <f>(Model!$C$52*AD5*AD20+AD2*AE5*AE20)/AD32</f>
        <v>0.1191686320552497</v>
      </c>
      <c r="AF56" s="193">
        <f>(Model!$C$52*AF5*AF20+AF2*AG5*AG20)/AF32</f>
        <v>0.13576288452335294</v>
      </c>
      <c r="AH56" s="193">
        <f>(Model!$C$52*AH5*AH20+AH2*AI5*AI20)/AH32</f>
        <v>0.15916733970032235</v>
      </c>
      <c r="AJ56" s="193">
        <f>(Model!$C$52*AJ5*AJ20+AJ2*AK5*AK20)/AJ32</f>
        <v>0.19461470530750005</v>
      </c>
      <c r="AL56" s="193">
        <f>(Model!$C$52*AL5*AL20+AL2*AM5*AM20)/AL32</f>
        <v>0.25316850390040507</v>
      </c>
      <c r="AN56" s="193">
        <f>(Model!$C$52*AN5*AN20+AN2*AO5*AO20)/AN32</f>
        <v>0.37183880774790429</v>
      </c>
      <c r="AP56" s="193">
        <f>(Model!$C$52*AP5*AP20+AP2*AQ5*AQ20)/AP32</f>
        <v>0.41425439618068699</v>
      </c>
      <c r="AR56" s="193">
        <f>(Model!$C$52*AR5*AR20+AR2*AS5*AS20)/AR32</f>
        <v>0.47113505459574256</v>
      </c>
      <c r="AT56" s="193">
        <f>(Model!$C$52*AT5*AT20+AT2*AU5*AU20)/AT32</f>
        <v>0.55349815643793854</v>
      </c>
      <c r="AV56" s="193">
        <f>(Model!$C$52*AV5*AV20+AV2*AW5*AW20)/AV32</f>
        <v>0.68963988010773081</v>
      </c>
      <c r="XFD56" s="193"/>
    </row>
    <row r="57" spans="1:48 16321:16384" x14ac:dyDescent="0.2">
      <c r="A57" t="s">
        <v>171</v>
      </c>
      <c r="B57" s="193">
        <f t="array" ref="B57">SUM(Model!tauL*B13:C13*B26:C26)/B32</f>
        <v>0.15852881819439493</v>
      </c>
      <c r="D57" s="193">
        <f t="array" ref="D57">SUM(Model!tauL*D13:E13*D26:E26)/D32</f>
        <v>0.15830954318871593</v>
      </c>
      <c r="F57" s="193">
        <f t="array" ref="F57">SUM(Model!tauL*F13:G13*F26:G26)/F32</f>
        <v>0.15806544769302627</v>
      </c>
      <c r="H57" s="193">
        <f t="array" ref="H57">SUM(Model!tauL*H13:I13*H26:I26)/H32</f>
        <v>0.1577929114223561</v>
      </c>
      <c r="J57" s="193">
        <f t="array" ref="J57">SUM(Model!tauL*J13:K13*J26:K26)/J32</f>
        <v>0.15748748045965844</v>
      </c>
      <c r="L57" s="193">
        <f t="array" ref="L57">SUM(Model!tauL*L13:M13*L26:M26)/L32</f>
        <v>0.15714358348707214</v>
      </c>
      <c r="N57" s="193">
        <f t="array" ref="N57">SUM(Model!tauL*N13:O13*N26:O26)/N32</f>
        <v>0.15675407375893979</v>
      </c>
      <c r="P57" s="193">
        <f t="array" ref="P57">SUM(Model!tauL*P13:Q13*P26:Q26)/P32</f>
        <v>0.15630960762374518</v>
      </c>
      <c r="R57" s="193">
        <f t="array" ref="R57">SUM(Model!tauL*R13:S13*R26:S26)/R32</f>
        <v>0.15579760546904045</v>
      </c>
      <c r="T57" s="193">
        <f t="array" ref="T57">SUM(Model!tauL*T13:U13*T26:U26)/T32</f>
        <v>0.15520061076557498</v>
      </c>
      <c r="V57" s="193">
        <f t="array" ref="V57">SUM(Model!tauL*V13:W13*V26:W26)/V32</f>
        <v>0.15449355641525137</v>
      </c>
      <c r="X57" s="193">
        <f t="array" ref="X57">SUM(Model!tauL*X13:Y13*X26:Y26)/X32</f>
        <v>0.15363903631504272</v>
      </c>
      <c r="Y57" s="193"/>
      <c r="Z57" s="193">
        <f t="array" ref="Z57">SUM(Model!tauL*Z13:AA13*Z26:AA26)/Z32</f>
        <v>0.15257884297795626</v>
      </c>
      <c r="AB57" s="193">
        <f t="array" ref="AB57">SUM(Model!tauL*AB13:AC13*AB26:AC26)/AB32</f>
        <v>0.15121826578264694</v>
      </c>
      <c r="AD57" s="193">
        <f t="array" ref="AD57">SUM(Model!tauL*AD13:AE13*AD26:AE26)/AD32</f>
        <v>0.14939629227528689</v>
      </c>
      <c r="AF57" s="193">
        <f t="array" ref="AF57">SUM(Model!tauL*AF13:AG13*AF26:AG26)/AF32</f>
        <v>0.14682939779672732</v>
      </c>
      <c r="AH57" s="193">
        <f t="array" ref="AH57">SUM(Model!tauL*AH13:AI13*AH26:AI26)/AH32</f>
        <v>0.14301129560983991</v>
      </c>
      <c r="AJ57" s="193">
        <f t="array" ref="AJ57">SUM(Model!tauL*AJ13:AK13*AJ26:AK26)/AJ32</f>
        <v>0.13703274933627596</v>
      </c>
      <c r="AL57" s="193">
        <f t="array" ref="AL57">SUM(Model!tauL*AL13:AM13*AL26:AM26)/AL32</f>
        <v>0.12701174027095646</v>
      </c>
      <c r="AN57" s="193">
        <f t="array" ref="AN57">SUM(Model!tauL*AN13:AO13*AN26:AO26)/AN32</f>
        <v>0.10661638618767137</v>
      </c>
      <c r="AP57" s="193">
        <f t="array" ref="AP57">SUM(Model!tauL*AP13:AQ13*AP26:AQ26)/AP32</f>
        <v>9.9319659314393585E-2</v>
      </c>
      <c r="AR57" s="193">
        <f t="array" ref="AR57">SUM(Model!tauL*AR13:AS13*AR26:AS26)/AR32</f>
        <v>8.9531056153412045E-2</v>
      </c>
      <c r="AT57" s="193">
        <f t="array" ref="AT57">SUM(Model!tauL*AT13:AU13*AT26:AU26)/AT32</f>
        <v>7.5351373621090137E-2</v>
      </c>
      <c r="AV57" s="193">
        <f t="array" ref="AV57">SUM(Model!tauL*AV13:AW13*AV26:AW26)/AV32</f>
        <v>5.1901225936767714E-2</v>
      </c>
      <c r="XFD57" s="193"/>
    </row>
    <row r="58" spans="1:48 16321:16384" x14ac:dyDescent="0.2">
      <c r="A58" t="s">
        <v>172</v>
      </c>
      <c r="B58" s="193">
        <f t="array" ref="B58">SUM(Model!tauY/(1+Model!tauY)*B3:C3*B18:C18)/B32</f>
        <v>1.075269412108535E-2</v>
      </c>
      <c r="D58" s="193">
        <f t="array" ref="D58">SUM(Model!tauY/(1+Model!tauY)*D3:E3*D18:E18)/D32</f>
        <v>1.0673922277404537E-2</v>
      </c>
      <c r="F58" s="193">
        <f t="array" ref="F58">SUM(Model!tauY/(1+Model!tauY)*F3:G3*F18:G18)/F32</f>
        <v>1.0594270985708589E-2</v>
      </c>
      <c r="H58" s="193">
        <f t="array" ref="H58">SUM(Model!tauY/(1+Model!tauY)*H3:I3*H18:I18)/H32</f>
        <v>1.0513527729969344E-2</v>
      </c>
      <c r="J58" s="193">
        <f t="array" ref="J58">SUM(Model!tauY/(1+Model!tauY)*J3:K3*J18:K18)/J32</f>
        <v>1.0431434224922043E-2</v>
      </c>
      <c r="L58" s="193">
        <f t="array" ref="L58">SUM(Model!tauY/(1+Model!tauY)*L3:M3*L18:M18)/L32</f>
        <v>1.0347687305999916E-2</v>
      </c>
      <c r="N58" s="193">
        <f t="array" ref="N58">SUM(Model!tauY/(1+Model!tauY)*N3:O3*N18:O18)/N32</f>
        <v>1.0261911517539761E-2</v>
      </c>
      <c r="P58" s="193">
        <f t="array" ref="P58">SUM(Model!tauY/(1+Model!tauY)*P3:Q3*P18:Q18)/P32</f>
        <v>1.0173658161752322E-2</v>
      </c>
      <c r="R58" s="193">
        <f t="array" ref="R58">SUM(Model!tauY/(1+Model!tauY)*R3:S3*R18:S18)/R32</f>
        <v>1.0082385347981105E-2</v>
      </c>
      <c r="T58" s="193">
        <f t="array" ref="T58">SUM(Model!tauY/(1+Model!tauY)*T3:U3*T18:U18)/T32</f>
        <v>9.9874395676743631E-3</v>
      </c>
      <c r="V58" s="193">
        <f t="array" ref="V58">SUM(Model!tauY/(1+Model!tauY)*V3:W3*V18:W18)/V32</f>
        <v>9.8880468174639882E-3</v>
      </c>
      <c r="X58" s="193">
        <f t="array" ref="X58">SUM(Model!tauY/(1+Model!tauY)*X3:Y3*X18:Y18)/X32</f>
        <v>9.7833078107929048E-3</v>
      </c>
      <c r="Y58" s="193"/>
      <c r="Z58" s="193">
        <f t="array" ref="Z58">SUM(Model!tauY/(1+Model!tauY)*Z3:AA3*Z18:AA18)/Z32</f>
        <v>9.6722292375679558E-3</v>
      </c>
      <c r="AB58" s="193">
        <f t="array" ref="AB58">SUM(Model!tauY/(1+Model!tauY)*AB3:AC3*AB18:AC18)/AB32</f>
        <v>9.5538265513319277E-3</v>
      </c>
      <c r="AD58" s="193">
        <f t="array" ref="AD58">SUM(Model!tauY/(1+Model!tauY)*AD3:AE3*AD18:AE18)/AD32</f>
        <v>9.4273915089221755E-3</v>
      </c>
      <c r="AF58" s="193">
        <f t="array" ref="AF58">SUM(Model!tauY/(1+Model!tauY)*AF3:AG3*AF18:AG18)/AF32</f>
        <v>9.2930173839638128E-3</v>
      </c>
      <c r="AH58" s="193">
        <f t="array" ref="AH58">SUM(Model!tauY/(1+Model!tauY)*AH3:AI3*AH18:AI18)/AH32</f>
        <v>9.1522411145541493E-3</v>
      </c>
      <c r="AJ58" s="193">
        <f t="array" ref="AJ58">SUM(Model!tauY/(1+Model!tauY)*AJ3:AK3*AJ18:AK18)/AJ32</f>
        <v>9.0074489602517474E-3</v>
      </c>
      <c r="AL58" s="193">
        <f t="array" ref="AL58">SUM(Model!tauY/(1+Model!tauY)*AL3:AM3*AL18:AM18)/AL32</f>
        <v>8.8585973768063528E-3</v>
      </c>
      <c r="AN58" s="193">
        <f t="array" ref="AN58">SUM(Model!tauY/(1+Model!tauY)*AN3:AO3*AN18:AO18)/AN32</f>
        <v>8.7126475599028624E-3</v>
      </c>
      <c r="AP58" s="193">
        <f t="array" ref="AP58">SUM(Model!tauY/(1+Model!tauY)*AP3:AQ3*AP18:AQ18)/AP32</f>
        <v>8.6919953126517943E-3</v>
      </c>
      <c r="AR58" s="193">
        <f t="array" ref="AR58">SUM(Model!tauY/(1+Model!tauY)*AR3:AS3*AR18:AS18)/AR32</f>
        <v>8.6839118539340319E-3</v>
      </c>
      <c r="AT58" s="193">
        <f t="array" ref="AT58">SUM(Model!tauY/(1+Model!tauY)*AT3:AU3*AT18:AU18)/AT32</f>
        <v>8.7056951409042495E-3</v>
      </c>
      <c r="AV58" s="193">
        <f t="array" ref="AV58">SUM(Model!tauY/(1+Model!tauY)*AV3:AW3*AV18:AW18)/AV32</f>
        <v>8.8107888023846309E-3</v>
      </c>
      <c r="XFD58" s="193"/>
    </row>
    <row r="59" spans="1:48 16321:16384" x14ac:dyDescent="0.2">
      <c r="A59" t="s">
        <v>173</v>
      </c>
      <c r="B59" s="193">
        <f>(B2*C5*C20)/B32</f>
        <v>5.5174232040962052E-4</v>
      </c>
      <c r="D59" s="193">
        <f>(D2*E5*E20)/D32</f>
        <v>4.7712658536262203E-3</v>
      </c>
      <c r="F59" s="193">
        <f>(F2*G5*G20)/F32</f>
        <v>9.1108851218114975E-3</v>
      </c>
      <c r="H59" s="193">
        <f>(H2*I5*I20)/H32</f>
        <v>1.3591308838545747E-2</v>
      </c>
      <c r="J59" s="193">
        <f>(J2*K5*K20)/J32</f>
        <v>1.8237823428557391E-2</v>
      </c>
      <c r="L59" s="193">
        <f>(L2*M5*M20)/L32</f>
        <v>2.3081719723394525E-2</v>
      </c>
      <c r="N59" s="193">
        <f>(N2*O5*O20)/N32</f>
        <v>2.8162981093743485E-2</v>
      </c>
      <c r="P59" s="193">
        <f>(P2*Q5*Q20)/P32</f>
        <v>3.3533123473889086E-2</v>
      </c>
      <c r="R59" s="193">
        <f>(R2*S5*S20)/R32</f>
        <v>3.9260828838531506E-2</v>
      </c>
      <c r="T59" s="193">
        <f>(T2*U5*U20)/T32</f>
        <v>4.5440467217072775E-2</v>
      </c>
      <c r="V59" s="193">
        <f>(V2*W5*W20)/V32</f>
        <v>5.2206340045598432E-2</v>
      </c>
      <c r="X59" s="193">
        <f>(X2*Y5*Y20)/X32</f>
        <v>5.9757685654401364E-2</v>
      </c>
      <c r="Z59" s="193">
        <f>(Z2*AA5*AA20)/Z32</f>
        <v>6.840383922197886E-2</v>
      </c>
      <c r="AB59" s="193">
        <f>(AB2*AC5*AC20)/AB32</f>
        <v>7.8649521484301751E-2</v>
      </c>
      <c r="AD59" s="193">
        <f>(AD2*AE5*AE20)/AD32</f>
        <v>9.1360481664118073E-2</v>
      </c>
      <c r="AF59" s="193">
        <f>(AF2*AG5*AG20)/AF32</f>
        <v>0.10808611292945837</v>
      </c>
      <c r="AH59" s="193">
        <f>(AH2*AI5*AI20)/AH32</f>
        <v>0.13166225715587523</v>
      </c>
      <c r="AJ59" s="193">
        <f>(AJ2*AK5*AK20)/AJ32</f>
        <v>0.16733982939499747</v>
      </c>
      <c r="AL59" s="193">
        <f>(AL2*AM5*AM20)/AL32</f>
        <v>0.22619427540016923</v>
      </c>
      <c r="AN59" s="193">
        <f>(AN2*AO5*AO20)/AN32</f>
        <v>0.34519550938337257</v>
      </c>
      <c r="AP59" s="193">
        <f>(AP2*AQ5*AQ20)/AP32</f>
        <v>0.3876520906626606</v>
      </c>
      <c r="AR59" s="193">
        <f>(AR2*AS5*AS20)/AR32</f>
        <v>0.44453363438852933</v>
      </c>
      <c r="AT59" s="193">
        <f>(AT2*AU5*AU20)/AT32</f>
        <v>0.52680170344473143</v>
      </c>
      <c r="AV59" s="193">
        <f>(AV2*AW5*AW20)/AV32</f>
        <v>0.66258031910189008</v>
      </c>
      <c r="XFD59" s="193"/>
    </row>
    <row r="60" spans="1:48 16321:16384" x14ac:dyDescent="0.2">
      <c r="A60" t="s">
        <v>174</v>
      </c>
      <c r="B60" s="193">
        <f>Model!$C$52*B5*B20/B32</f>
        <v>2.8669464423930927E-2</v>
      </c>
      <c r="D60" s="193">
        <f>Model!$C$52*D5*D20/D32</f>
        <v>2.862511633339657E-2</v>
      </c>
      <c r="F60" s="193">
        <f>Model!$C$52*F5*F20/F32</f>
        <v>2.8579753635389993E-2</v>
      </c>
      <c r="H60" s="193">
        <f>Model!$C$52*H5*H20/H32</f>
        <v>2.8533215875373476E-2</v>
      </c>
      <c r="J60" s="193">
        <f>Model!$C$52*J5*J20/J32</f>
        <v>2.848530916413488E-2</v>
      </c>
      <c r="L60" s="193">
        <f>Model!$C$52*L5*L20/L32</f>
        <v>2.8435800996841159E-2</v>
      </c>
      <c r="N60" s="193">
        <f>Model!$C$52*N5*N20/N32</f>
        <v>2.8384395426209089E-2</v>
      </c>
      <c r="P60" s="193">
        <f>Model!$C$52*P5*P20/P32</f>
        <v>2.8330719502719495E-2</v>
      </c>
      <c r="R60" s="193">
        <f>Model!$C$52*R5*R20/R32</f>
        <v>2.8274283619532384E-2</v>
      </c>
      <c r="T60" s="193">
        <f>Model!$C$52*T5*T20/T32</f>
        <v>2.8214423914804228E-2</v>
      </c>
      <c r="V60" s="193">
        <f>Model!$C$52*V5*V20/V32</f>
        <v>2.8150209352188059E-2</v>
      </c>
      <c r="X60" s="193">
        <f>Model!$C$52*X5*X20/X32</f>
        <v>2.8080276667485745E-2</v>
      </c>
      <c r="Z60" s="193">
        <f>Model!$C$52*Z5*Z20/Z32</f>
        <v>2.8002541120900802E-2</v>
      </c>
      <c r="AB60" s="193">
        <f>Model!$C$52*AB5*AB20/AB32</f>
        <v>2.7913670754958646E-2</v>
      </c>
      <c r="AD60" s="193">
        <f>Model!$C$52*AD5*AD20/AD32</f>
        <v>2.7808150391131631E-2</v>
      </c>
      <c r="AF60" s="193">
        <f>Model!$C$52*AF5*AF20/AF32</f>
        <v>2.7676771593894586E-2</v>
      </c>
      <c r="AH60" s="193">
        <f>Model!$C$52*AH5*AH20/AH32</f>
        <v>2.7505082544447113E-2</v>
      </c>
      <c r="AJ60" s="193">
        <f>Model!$C$52*AJ5*AJ20/AJ32</f>
        <v>2.727487591250256E-2</v>
      </c>
      <c r="AL60" s="193">
        <f>Model!$C$52*AL5*AL20/AL32</f>
        <v>2.6974228500235876E-2</v>
      </c>
      <c r="AN60" s="193">
        <f>Model!$C$52*AN5*AN20/AN32</f>
        <v>2.6643298364531706E-2</v>
      </c>
      <c r="AP60" s="193">
        <f>Model!$C$52*AP5*AP20/AP32</f>
        <v>2.6602305518026406E-2</v>
      </c>
      <c r="AR60" s="193">
        <f>Model!$C$52*AR5*AR20/AR32</f>
        <v>2.6601420207213178E-2</v>
      </c>
      <c r="AT60" s="193">
        <f>Model!$C$52*AT5*AT20/AT32</f>
        <v>2.6696452993207109E-2</v>
      </c>
      <c r="AV60" s="193">
        <f>Model!$C$52*AV5*AV20/AV32</f>
        <v>2.7059561005840678E-2</v>
      </c>
      <c r="XFD60" s="193"/>
    </row>
    <row r="62" spans="1:48 16321:16384" x14ac:dyDescent="0.2">
      <c r="A62" t="s">
        <v>175</v>
      </c>
      <c r="B62">
        <f>B13/B15</f>
        <v>1</v>
      </c>
      <c r="D62">
        <f>D13/D15</f>
        <v>1.0061356401827737</v>
      </c>
      <c r="F62">
        <f>F13/F15</f>
        <v>1.0122937982246145</v>
      </c>
      <c r="H62">
        <f>H13/H15</f>
        <v>1.0184733427801971</v>
      </c>
      <c r="J62">
        <f>J13/J15</f>
        <v>1.0246726834860027</v>
      </c>
      <c r="L62">
        <f>L13/L15</f>
        <v>1.0308887407172307</v>
      </c>
      <c r="N62">
        <f>N13/N15</f>
        <v>1.0371172304074103</v>
      </c>
      <c r="P62">
        <f>P13/P15</f>
        <v>1.0433507621149556</v>
      </c>
      <c r="R62">
        <f>R13/R15</f>
        <v>1.0495774003062974</v>
      </c>
      <c r="T62">
        <f>T13/T15</f>
        <v>1.0557779534394938</v>
      </c>
      <c r="V62">
        <f>V13/V15</f>
        <v>1.0619211804981898</v>
      </c>
      <c r="X62">
        <f>X13/X15</f>
        <v>1.0679565602081473</v>
      </c>
      <c r="Z62">
        <f>Z13/Z15</f>
        <v>1.0738023164795747</v>
      </c>
      <c r="AB62">
        <f>AB13/AB15</f>
        <v>1.0793270680726887</v>
      </c>
      <c r="AD62">
        <f>AD13/AD15</f>
        <v>1.0843245963571606</v>
      </c>
      <c r="AF62">
        <f>AF13/AF15</f>
        <v>1.088494543911569</v>
      </c>
      <c r="AH62">
        <f>AH13/AH15</f>
        <v>1.0914842132331919</v>
      </c>
      <c r="AJ62">
        <f>AJ13/AJ15</f>
        <v>1.093106766972614</v>
      </c>
      <c r="AL62">
        <f>AL13/AL15</f>
        <v>1.093654816812943</v>
      </c>
      <c r="AN62">
        <f>AN13/AN15</f>
        <v>1.0937400149522609</v>
      </c>
      <c r="AP62">
        <f>AP13/AP15</f>
        <v>1.0937419072814876</v>
      </c>
      <c r="AR62">
        <f>AR13/AR15</f>
        <v>1.0937426579117564</v>
      </c>
      <c r="AT62">
        <f>AT13/AT15</f>
        <v>1.0937428966607254</v>
      </c>
      <c r="AV62">
        <f>AV13/AV15</f>
        <v>1.0937429501394451</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0.99876545260748506</v>
      </c>
      <c r="E65" s="191"/>
      <c r="F65" s="191">
        <f t="array" ref="F65">SQRT((F9:G9*$B$22:$C$22+F10:G10*$B$23:$C$23+F11:G11*$B$24:$C$24+F4:G4*($B$25:$C$25-$B$19:$C$19))/($B$9:$C$9*$B$22:$C$22+$B$10:$C$10*$B$23:$C$23+$B$11:$C$11*$B$24:$C$24+$B$4:$C$4*($B$25:$C$25-$B$19:$C$19))*(F9:G9*F22:G22+F10:G10*F23:G23+F11:G11*F24:G24+F4:G4*(F25:G25-F19:G19))/($B$9:$C$9*F22:G22+$B$10:$C$10*F23:G23+$B$11:$C$11*F24:G24+$B$4:$C$4*(F25:G25-F19:G19)))</f>
        <v>0.99749875756974071</v>
      </c>
      <c r="G65" s="191"/>
      <c r="H65" s="191">
        <f t="array" ref="H65">SQRT((H9:I9*$B$22:$C$22+H10:I10*$B$23:$C$23+H11:I11*$B$24:$C$24+H4:I4*($B$25:$C$25-$B$19:$C$19))/($B$9:$C$9*$B$22:$C$22+$B$10:$C$10*$B$23:$C$23+$B$11:$C$11*$B$24:$C$24+$B$4:$C$4*($B$25:$C$25-$B$19:$C$19))*(H9:I9*H22:I22+H10:I10*H23:I23+H11:I11*H24:I24+H4:I4*(H25:I25-H19:I19))/($B$9:$C$9*H22:I22+$B$10:$C$10*H23:I23+$B$11:$C$11*H24:I24+$B$4:$C$4*(H25:I25-H19:I19)))</f>
        <v>0.99619427094529522</v>
      </c>
      <c r="I65" s="191"/>
      <c r="J65" s="191">
        <f t="array" ref="J65">SQRT((J9:K9*$B$22:$C$22+J10:K10*$B$23:$C$23+J11:K11*$B$24:$C$24+J4:K4*($B$25:$C$25-$B$19:$C$19))/($B$9:$C$9*$B$22:$C$22+$B$10:$C$10*$B$23:$C$23+$B$11:$C$11*$B$24:$C$24+$B$4:$C$4*($B$25:$C$25-$B$19:$C$19))*(J9:K9*J22:K22+J10:K10*J23:K23+J11:K11*J24:K24+J4:K4*(J25:K25-J19:K19))/($B$9:$C$9*J22:K22+$B$10:$C$10*J23:K23+$B$11:$C$11*J24:K24+$B$4:$C$4*(J25:K25-J19:K19)))</f>
        <v>0.99484548730901523</v>
      </c>
      <c r="K65" s="191"/>
      <c r="L65" s="191">
        <f t="array" ref="L65">SQRT((L9:M9*$B$22:$C$22+L10:M10*$B$23:$C$23+L11:M11*$B$24:$C$24+L4:M4*($B$25:$C$25-$B$19:$C$19))/($B$9:$C$9*$B$22:$C$22+$B$10:$C$10*$B$23:$C$23+$B$11:$C$11*$B$24:$C$24+$B$4:$C$4*($B$25:$C$25-$B$19:$C$19))*(L9:M9*L22:M22+L10:M10*L23:M23+L11:M11*L24:M24+L4:M4*(L25:M25-L19:M19))/($B$9:$C$9*L22:M22+$B$10:$C$10*L23:M23+$B$11:$C$11*L24:M24+$B$4:$C$4*(L25:M25-L19:M19)))</f>
        <v>0.9934450823964448</v>
      </c>
      <c r="M65" s="191"/>
      <c r="N65" s="191">
        <f t="array" ref="N65">SQRT((N9:O9*$B$22:$C$22+N10:O10*$B$23:$C$23+N11:O11*$B$24:$C$24+N4:O4*($B$25:$C$25-$B$19:$C$19))/($B$9:$C$9*$B$22:$C$22+$B$10:$C$10*$B$23:$C$23+$B$11:$C$11*$B$24:$C$24+$B$4:$C$4*($B$25:$C$25-$B$19:$C$19))*(N9:O9*N22:O22+N10:O10*N23:O23+N11:O11*N24:O24+N4:O4*(N25:O25-N19:O19))/($B$9:$C$9*N22:O22+$B$10:$C$10*N23:O23+$B$11:$C$11*N24:O24+$B$4:$C$4*(N25:O25-N19:O19)))</f>
        <v>0.99198504862295322</v>
      </c>
      <c r="O65" s="191"/>
      <c r="P65" s="191">
        <f t="array" ref="P65">SQRT((P9:Q9*$B$22:$C$22+P10:Q10*$B$23:$C$23+P11:Q11*$B$24:$C$24+P4:Q4*($B$25:$C$25-$B$19:$C$19))/($B$9:$C$9*$B$22:$C$22+$B$10:$C$10*$B$23:$C$23+$B$11:$C$11*$B$24:$C$24+$B$4:$C$4*($B$25:$C$25-$B$19:$C$19))*(P9:Q9*P22:Q22+P10:Q10*P23:Q23+P11:Q11*P24:Q24+P4:Q4*(P25:Q25-P19:Q19))/($B$9:$C$9*P22:Q22+$B$10:$C$10*P23:Q23+$B$11:$C$11*P24:Q24+$B$4:$C$4*(P25:Q25-P19:Q19)))</f>
        <v>0.99045716637761205</v>
      </c>
      <c r="Q65" s="191"/>
      <c r="R65" s="191">
        <f t="array" ref="R65">SQRT((R9:S9*$B$22:$C$22+R10:S10*$B$23:$C$23+R11:S11*$B$24:$C$24+R4:S4*($B$25:$C$25-$B$19:$C$19))/($B$9:$C$9*$B$22:$C$22+$B$10:$C$10*$B$23:$C$23+$B$11:$C$11*$B$24:$C$24+$B$4:$C$4*($B$25:$C$25-$B$19:$C$19))*(R9:S9*R22:S22+R10:S10*R23:S23+R11:S11*R24:S24+R4:S4*(R25:S25-R19:S19))/($B$9:$C$9*R22:S22+$B$10:$C$10*R23:S23+$B$11:$C$11*R24:S24+$B$4:$C$4*(R25:S25-R19:S19)))</f>
        <v>0.98885398462037466</v>
      </c>
      <c r="S65" s="191"/>
      <c r="T65" s="191">
        <f t="array" ref="T65">SQRT((T9:U9*$B$22:$C$22+T10:U10*$B$23:$C$23+T11:U11*$B$24:$C$24+T4:U4*($B$25:$C$25-$B$19:$C$19))/($B$9:$C$9*$B$22:$C$22+$B$10:$C$10*$B$23:$C$23+$B$11:$C$11*$B$24:$C$24+$B$4:$C$4*($B$25:$C$25-$B$19:$C$19))*(T9:U9*T22:U22+T10:U10*T23:U23+T11:U11*T24:U24+T4:U4*(T25:U25-T19:U19))/($B$9:$C$9*T22:U22+$B$10:$C$10*T23:U23+$B$11:$C$11*T24:U24+$B$4:$C$4*(T25:U25-T19:U19)))</f>
        <v>0.98717084873561856</v>
      </c>
      <c r="U65" s="191"/>
      <c r="V65" s="191">
        <f t="array" ref="V65">SQRT((V9:W9*$B$22:$C$22+V10:W10*$B$23:$C$23+V11:W11*$B$24:$C$24+V4:W4*($B$25:$C$25-$B$19:$C$19))/($B$9:$C$9*$B$22:$C$22+$B$10:$C$10*$B$23:$C$23+$B$11:$C$11*$B$24:$C$24+$B$4:$C$4*($B$25:$C$25-$B$19:$C$19))*(V9:W9*V22:W22+V10:W10*V23:W23+V11:W11*V24:W24+V4:W4*(V25:W25-V19:W19))/($B$9:$C$9*V22:W22+$B$10:$C$10*V23:W23+$B$11:$C$11*V24:W24+$B$4:$C$4*(V25:W25-V19:W19)))</f>
        <v>0.98540988944118291</v>
      </c>
      <c r="W65" s="191"/>
      <c r="X65" s="191">
        <f t="array" ref="X65">SQRT((X9:Y9*$B$22:$C$22+X10:Y10*$B$23:$C$23+X11:Y11*$B$24:$C$24+X4:Y4*($B$25:$C$25-$B$19:$C$19))/($B$9:$C$9*$B$22:$C$22+$B$10:$C$10*$B$23:$C$23+$B$11:$C$11*$B$24:$C$24+$B$4:$C$4*($B$25:$C$25-$B$19:$C$19))*(X9:Y9*X22:Y22+X10:Y10*X23:Y23+X11:Y11*X24:Y24+X4:Y4*(X25:Y25-X19:Y19))/($B$9:$C$9*X22:Y22+$B$10:$C$10*X23:Y23+$B$11:$C$11*X24:Y24+$B$4:$C$4*(X25:Y25-X19:Y19)))</f>
        <v>0.98358782599503636</v>
      </c>
      <c r="Y65" s="191"/>
      <c r="Z65" s="191">
        <f t="array" ref="Z65">SQRT((Z9:AA9*$B$22:$C$22+Z10:AA10*$B$23:$C$23+Z11:AA11*$B$24:$C$24+Z4:AA4*($B$25:$C$25-$B$19:$C$19))/($B$9:$C$9*$B$22:$C$22+$B$10:$C$10*$B$23:$C$23+$B$11:$C$11*$B$24:$C$24+$B$4:$C$4*($B$25:$C$25-$B$19:$C$19))*(Z9:AA9*Z22:AA22+Z10:AA10*Z23:AA23+Z11:AA11*Z24:AA24+Z4:AA4*(Z25:AA25-Z19:AA19))/($B$9:$C$9*Z22:AA22+$B$10:$C$10*Z23:AA23+$B$11:$C$11*Z24:AA24+$B$4:$C$4*(Z25:AA25-Z19:AA19)))</f>
        <v>0.98175112685950905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0.9800053289135664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0.97856956281796981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0.9778646492515386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0.97858860150454674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0.98153755364523942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0.98689363946986364</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0.99392270002868122</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0.9955301403766833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0.99730434893909659</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0.99944047902292577</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1.0025284587768399</v>
      </c>
    </row>
    <row r="66" spans="1:48 16384:16384" x14ac:dyDescent="0.2">
      <c r="A66" t="s">
        <v>182</v>
      </c>
      <c r="B66" s="191">
        <f t="array" ref="B66">SQRT((B9:C9*$B$22:$C$22)/($B$9:$C$9*$B$22:$C$22)*(B9:C9*B22:C22)/($B$9:$C$9*B22:C22))</f>
        <v>1</v>
      </c>
      <c r="C66" s="191"/>
      <c r="D66" s="191">
        <f t="array" ref="D66">SQRT((D9:E9*$B$22:$C$22)/($B$9:$C$9*$B$22:$C$22)*(D9:E9*D22:E22)/($B$9:$C$9*D22:E22))</f>
        <v>0.998642557512465</v>
      </c>
      <c r="E66" s="191"/>
      <c r="F66" s="191">
        <f t="array" ref="F66">SQRT((F9:G9*$B$22:$C$22)/($B$9:$C$9*$B$22:$C$22)*(F9:G9*F22:G22)/($B$9:$C$9*F22:G22))</f>
        <v>0.99724842155177507</v>
      </c>
      <c r="G66" s="191"/>
      <c r="H66" s="191">
        <f t="array" ref="H66">SQRT((H9:I9*$B$22:$C$22)/($B$9:$C$9*$B$22:$C$22)*(H9:I9*H22:I22)/($B$9:$C$9*H22:I22))</f>
        <v>0.99581125849016605</v>
      </c>
      <c r="I66" s="191"/>
      <c r="J66" s="191">
        <f t="array" ref="J66">SQRT((J9:K9*$B$22:$C$22)/($B$9:$C$9*$B$22:$C$22)*(J9:K9*J22:K22)/($B$9:$C$9*J22:K22))</f>
        <v>0.99432375325633737</v>
      </c>
      <c r="K66" s="191"/>
      <c r="L66" s="191">
        <f t="array" ref="L66">SQRT((L9:M9*$B$22:$C$22)/($B$9:$C$9*$B$22:$C$22)*(L9:M9*L22:M22)/($B$9:$C$9*L22:M22))</f>
        <v>0.99277764854375372</v>
      </c>
      <c r="M66" s="191"/>
      <c r="N66" s="191">
        <f t="array" ref="N66">SQRT((N9:O9*$B$22:$C$22)/($B$9:$C$9*$B$22:$C$22)*(N9:O9*N22:O22)/($B$9:$C$9*N22:O22))</f>
        <v>0.99116388623256924</v>
      </c>
      <c r="O66" s="191"/>
      <c r="P66" s="191">
        <f t="array" ref="P66">SQRT((P9:Q9*$B$22:$C$22)/($B$9:$C$9*$B$22:$C$22)*(P9:Q9*P22:Q22)/($B$9:$C$9*P22:Q22))</f>
        <v>0.98947312031629886</v>
      </c>
      <c r="Q66" s="191"/>
      <c r="R66" s="191">
        <f t="array" ref="R66">SQRT((R9:S9*$B$22:$C$22)/($B$9:$C$9*$B$22:$C$22)*(R9:S9*R22:S22)/($B$9:$C$9*R22:S22))</f>
        <v>0.9876967977963067</v>
      </c>
      <c r="S66" s="191"/>
      <c r="T66" s="191">
        <f t="array" ref="T66">SQRT((T9:U9*$B$22:$C$22)/($B$9:$C$9*$B$22:$C$22)*(T9:U9*T22:U22)/($B$9:$C$9*T22:U22))</f>
        <v>0.98582941108083599</v>
      </c>
      <c r="U66" s="191"/>
      <c r="V66" s="191">
        <f t="array" ref="V66">SQRT((V9:W9*$B$22:$C$22)/($B$9:$C$9*$B$22:$C$22)*(V9:W9*V22:W22)/($B$9:$C$9*V22:W22))</f>
        <v>0.98387295242448125</v>
      </c>
      <c r="W66" s="191"/>
      <c r="X66" s="191">
        <f t="array" ref="X66">SQRT((X9:Y9*$B$22:$C$22)/($B$9:$C$9*$B$22:$C$22)*(X9:Y9*X22:Y22)/($B$9:$C$9*X22:Y22))</f>
        <v>0.98184566317764876</v>
      </c>
      <c r="Y66" s="191"/>
      <c r="Z66" s="191">
        <f t="array" ref="Z66">SQRT((Z9:AA9*$B$22:$C$22)/($B$9:$C$9*$B$22:$C$22)*(Z9:AA9*Z22:AA22)/($B$9:$C$9*Z22:AA22))</f>
        <v>0.97979908434225604</v>
      </c>
      <c r="AA66" s="191"/>
      <c r="AB66" s="191">
        <f t="array" ref="AB66">SQRT((AB9:AC9*$B$22:$C$22)/($B$9:$C$9*$B$22:$C$22)*(AB9:AC9*AB22:AC22)/($B$9:$C$9*AB22:AC22))</f>
        <v>0.97785109469748988</v>
      </c>
      <c r="AC66" s="191"/>
      <c r="AD66" s="191">
        <f t="array" ref="AD66">SQRT((AD9:AE9*$B$22:$C$22)/($B$9:$C$9*$B$22:$C$22)*(AD9:AE9*AD22:AE22)/($B$9:$C$9*AD22:AE22))</f>
        <v>0.97624737459752409</v>
      </c>
      <c r="AE66" s="191"/>
      <c r="AF66" s="191">
        <f t="array" ref="AF66">SQRT((AF9:AG9*$B$22:$C$22)/($B$9:$C$9*$B$22:$C$22)*(AF9:AG9*AF22:AG22)/($B$9:$C$9*AF22:AG22))</f>
        <v>0.97546042063025273</v>
      </c>
      <c r="AG66" s="191"/>
      <c r="AH66" s="191">
        <f t="array" ref="AH66">SQRT((AH9:AI9*$B$22:$C$22)/($B$9:$C$9*$B$22:$C$22)*(AH9:AI9*AH22:AI22)/($B$9:$C$9*AH22:AI22))</f>
        <v>0.97627271335242993</v>
      </c>
      <c r="AI66" s="191"/>
      <c r="AJ66" s="191">
        <f t="array" ref="AJ66">SQRT((AJ9:AK9*$B$22:$C$22)/($B$9:$C$9*$B$22:$C$22)*(AJ9:AK9*AJ22:AK22)/($B$9:$C$9*AJ22:AK22))</f>
        <v>0.97956915469720174</v>
      </c>
      <c r="AK66" s="191"/>
      <c r="AL66" s="191">
        <f t="array" ref="AL66">SQRT((AL9:AM9*$B$22:$C$22)/($B$9:$C$9*$B$22:$C$22)*(AL9:AM9*AL22:AM22)/($B$9:$C$9*AL22:AM22))</f>
        <v>0.98553158428734899</v>
      </c>
      <c r="AM66" s="191"/>
      <c r="AN66" s="191">
        <f t="array" ref="AN66">SQRT((AN9:AO9*$B$22:$C$22)/($B$9:$C$9*$B$22:$C$22)*(AN9:AO9*AN22:AO22)/($B$9:$C$9*AN22:AO22))</f>
        <v>0.99331203658341161</v>
      </c>
      <c r="AO66" s="191"/>
      <c r="AP66" s="191">
        <f t="array" ref="AP66">SQRT((AP9:AQ9*$B$22:$C$22)/($B$9:$C$9*$B$22:$C$22)*(AP9:AQ9*AP22:AQ22)/($B$9:$C$9*AP22:AQ22))</f>
        <v>0.99508446215398194</v>
      </c>
      <c r="AQ66" s="191"/>
      <c r="AR66" s="191">
        <f t="array" ref="AR66">SQRT((AR9:AS9*$B$22:$C$22)/($B$9:$C$9*$B$22:$C$22)*(AR9:AS9*AR22:AS22)/($B$9:$C$9*AR22:AS22))</f>
        <v>0.99703786678687079</v>
      </c>
      <c r="AS66" s="191"/>
      <c r="AT66" s="191">
        <f t="array" ref="AT66">SQRT((AT9:AU9*$B$22:$C$22)/($B$9:$C$9*$B$22:$C$22)*(AT9:AU9*AT22:AU22)/($B$9:$C$9*AT22:AU22))</f>
        <v>0.99938573671397701</v>
      </c>
      <c r="AU66" s="191"/>
      <c r="AV66" s="191">
        <f t="array" ref="AV66">SQRT((AV9:AW9*$B$22:$C$22)/($B$9:$C$9*$B$22:$C$22)*(AV9:AW9*AV22:AW22)/($B$9:$C$9*AV22:AW22))</f>
        <v>1.0027721445101736</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0.998642557512465</v>
      </c>
      <c r="E68" s="191"/>
      <c r="F68" s="191">
        <f>F66/F67</f>
        <v>0.99724842155177507</v>
      </c>
      <c r="G68" s="191"/>
      <c r="H68" s="191">
        <f>H66/H67</f>
        <v>0.99581125849016605</v>
      </c>
      <c r="I68" s="191"/>
      <c r="J68" s="191">
        <f>J66/J67</f>
        <v>0.99432375325633737</v>
      </c>
      <c r="K68" s="191"/>
      <c r="L68" s="191">
        <f>L66/L67</f>
        <v>0.99277764854375372</v>
      </c>
      <c r="M68" s="191"/>
      <c r="N68" s="191">
        <f>N66/N67</f>
        <v>0.99116388623256924</v>
      </c>
      <c r="O68" s="191"/>
      <c r="P68" s="191">
        <f>P66/P67</f>
        <v>0.98947312031629886</v>
      </c>
      <c r="Q68" s="191"/>
      <c r="R68" s="191">
        <f>R66/R67</f>
        <v>0.9876967977963067</v>
      </c>
      <c r="S68" s="191"/>
      <c r="T68" s="191">
        <f>T66/T67</f>
        <v>0.98582941108083599</v>
      </c>
      <c r="U68" s="191"/>
      <c r="V68" s="191">
        <f>V66/V67</f>
        <v>0.98387295242448125</v>
      </c>
      <c r="W68" s="191"/>
      <c r="X68" s="191">
        <f>X66/X67</f>
        <v>0.98184566317764876</v>
      </c>
      <c r="Y68" s="191"/>
      <c r="Z68" s="191">
        <f>Z66/Z67</f>
        <v>0.97979908434225604</v>
      </c>
      <c r="AA68" s="191"/>
      <c r="AB68" s="191">
        <f>AB66/AB67</f>
        <v>0.97785109469748988</v>
      </c>
      <c r="AC68" s="191"/>
      <c r="AD68" s="191">
        <f>AD66/AD67</f>
        <v>0.97624737459752409</v>
      </c>
      <c r="AE68" s="191"/>
      <c r="AF68" s="191">
        <f>AF66/AF67</f>
        <v>0.97546042063025273</v>
      </c>
      <c r="AG68" s="191"/>
      <c r="AH68" s="191">
        <f>AH66/AH67</f>
        <v>0.97627271335242993</v>
      </c>
      <c r="AI68" s="191"/>
      <c r="AJ68" s="191">
        <f>AJ66/AJ67</f>
        <v>0.97956915469720174</v>
      </c>
      <c r="AK68" s="191"/>
      <c r="AL68" s="191">
        <f>AL66/AL67</f>
        <v>0.98553158428734899</v>
      </c>
      <c r="AM68" s="191"/>
      <c r="AN68" s="191">
        <f>AN66/AN67</f>
        <v>0.99331203658341161</v>
      </c>
      <c r="AO68" s="191"/>
      <c r="AP68" s="191">
        <f>AP66/AP67</f>
        <v>0.99508446215398194</v>
      </c>
      <c r="AQ68" s="191"/>
      <c r="AR68" s="191">
        <f>AR66/AR67</f>
        <v>0.99703786678687079</v>
      </c>
      <c r="AS68" s="191"/>
      <c r="AT68" s="191">
        <f>AT66/AT67</f>
        <v>0.99938573671397701</v>
      </c>
      <c r="AU68" s="191"/>
      <c r="AV68" s="191">
        <f>AV66/AV67</f>
        <v>1.0027721445101736</v>
      </c>
      <c r="XFD68" s="191"/>
    </row>
    <row r="69" spans="1:48 16384:16384" x14ac:dyDescent="0.2">
      <c r="A69" t="s">
        <v>177</v>
      </c>
      <c r="B69" s="191">
        <f>B32/B65/($B$32)</f>
        <v>1</v>
      </c>
      <c r="C69" s="191"/>
      <c r="D69" s="191">
        <f>D32/D65/($B$32)</f>
        <v>1.0014208678654752</v>
      </c>
      <c r="E69" s="191"/>
      <c r="F69" s="191">
        <f>F32/F65/($B$32)</f>
        <v>1.0027246250180257</v>
      </c>
      <c r="G69" s="191"/>
      <c r="H69" s="191">
        <f>H32/H65/($B$32)</f>
        <v>1.003892607461534</v>
      </c>
      <c r="I69" s="191"/>
      <c r="J69" s="191">
        <f>J32/J65/($B$32)</f>
        <v>1.0049019481535075</v>
      </c>
      <c r="K69" s="191"/>
      <c r="L69" s="191">
        <f>L32/L65/($B$32)</f>
        <v>1.0057239684054808</v>
      </c>
      <c r="M69" s="191"/>
      <c r="N69" s="191">
        <f>N32/N65/($B$32)</f>
        <v>1.0063229498275821</v>
      </c>
      <c r="O69" s="191"/>
      <c r="P69" s="191">
        <f>P32/P65/($B$32)</f>
        <v>1.0066531835400552</v>
      </c>
      <c r="Q69" s="191"/>
      <c r="R69" s="191">
        <f>R32/R65/($B$32)</f>
        <v>1.0066555635082737</v>
      </c>
      <c r="S69" s="191"/>
      <c r="T69" s="191">
        <f>T32/T65/($B$32)</f>
        <v>1.0062523177037033</v>
      </c>
      <c r="U69" s="191"/>
      <c r="V69" s="191">
        <f>V32/V65/($B$32)</f>
        <v>1.0053386368652</v>
      </c>
      <c r="W69" s="191"/>
      <c r="X69" s="191">
        <f>X32/X65/($B$32)</f>
        <v>1.0037694481045223</v>
      </c>
      <c r="Y69" s="191"/>
      <c r="Z69" s="191">
        <f>Z32/Z65/($B$32)</f>
        <v>1.0013363624351381</v>
      </c>
      <c r="AA69" s="191"/>
      <c r="AB69" s="191">
        <f>AB32/AB65/($B$32)</f>
        <v>0.99772457604016784</v>
      </c>
      <c r="AC69" s="191"/>
      <c r="AD69" s="191">
        <f>AD32/AD65/($B$32)</f>
        <v>0.99242230824224276</v>
      </c>
      <c r="AE69" s="191"/>
      <c r="AF69" s="191">
        <f>AF32/AF65/($B$32)</f>
        <v>0.98450413980002871</v>
      </c>
      <c r="AG69" s="191"/>
      <c r="AH69" s="191">
        <f>AH32/AH65/($B$32)</f>
        <v>0.97203475762585534</v>
      </c>
      <c r="AI69" s="191"/>
      <c r="AJ69" s="191">
        <f>AJ32/AJ65/($B$32)</f>
        <v>0.9502541343905696</v>
      </c>
      <c r="AK69" s="191"/>
      <c r="AL69" s="191">
        <f>AL32/AL65/($B$32)</f>
        <v>0.90542397108389661</v>
      </c>
      <c r="AM69" s="191"/>
      <c r="AN69" s="191">
        <f>AN32/AN65/($B$32)</f>
        <v>0.78441083468728867</v>
      </c>
      <c r="AO69" s="191"/>
      <c r="AP69" s="191">
        <f>AP32/AP65/($B$32)</f>
        <v>0.73411318119113178</v>
      </c>
      <c r="AQ69" s="191"/>
      <c r="AR69" s="191">
        <f>AR32/AR65/($B$32)</f>
        <v>0.6629269656799508</v>
      </c>
      <c r="AS69" s="191"/>
      <c r="AT69" s="191">
        <f>AT32/AT65/($B$32)</f>
        <v>0.55509079855147025</v>
      </c>
      <c r="AU69" s="191"/>
      <c r="AV69" s="191">
        <f>AV32/AV65/($B$32)</f>
        <v>0.37322677308143848</v>
      </c>
    </row>
    <row r="70" spans="1:48 16384:16384" x14ac:dyDescent="0.2">
      <c r="A70" t="s">
        <v>178</v>
      </c>
      <c r="B70" s="138">
        <f>B18/$B$18</f>
        <v>1</v>
      </c>
      <c r="C70" s="138"/>
      <c r="D70" s="138">
        <f>D18/$B$18</f>
        <v>1.0005386992621124</v>
      </c>
      <c r="E70" s="138"/>
      <c r="F70" s="138">
        <f>F18/$B$18</f>
        <v>1.0009422161525199</v>
      </c>
      <c r="G70" s="138"/>
      <c r="H70" s="138">
        <f>H18/$B$18</f>
        <v>1.0011898708695044</v>
      </c>
      <c r="I70" s="138"/>
      <c r="J70" s="138">
        <f>J18/$B$18</f>
        <v>1.001256227197274</v>
      </c>
      <c r="K70" s="138"/>
      <c r="L70" s="138">
        <f>L18/$B$18</f>
        <v>1.001109325793847</v>
      </c>
      <c r="M70" s="138"/>
      <c r="N70" s="138">
        <f>N18/$B$18</f>
        <v>1.0007085609188195</v>
      </c>
      <c r="O70" s="138"/>
      <c r="P70" s="138">
        <f>P18/$B$18</f>
        <v>1.0000010673601318</v>
      </c>
      <c r="Q70" s="138"/>
      <c r="R70" s="138">
        <f>R18/$B$18</f>
        <v>0.99891646237983756</v>
      </c>
      <c r="S70" s="138"/>
      <c r="T70" s="138">
        <f>T18/$B$18</f>
        <v>0.9973585319157442</v>
      </c>
      <c r="U70" s="138"/>
      <c r="V70" s="138">
        <f>V18/$B$18</f>
        <v>0.9951915094924324</v>
      </c>
      <c r="W70" s="138"/>
      <c r="X70" s="138">
        <f>X18/$B$18</f>
        <v>0.99221689111785449</v>
      </c>
      <c r="Y70" s="138"/>
      <c r="Z70" s="138">
        <f>Z18/$B$18</f>
        <v>0.9881321535712706</v>
      </c>
      <c r="AA70" s="138"/>
      <c r="AB70" s="138">
        <f>AB18/$B$18</f>
        <v>0.98245400302782537</v>
      </c>
      <c r="AC70" s="138"/>
      <c r="AD70" s="138">
        <f>AD18/$B$18</f>
        <v>0.97436890475229909</v>
      </c>
      <c r="AE70" s="138"/>
      <c r="AF70" s="138">
        <f>AF18/$B$18</f>
        <v>0.96243135541726144</v>
      </c>
      <c r="AG70" s="138"/>
      <c r="AH70" s="138">
        <f>AH18/$B$18</f>
        <v>0.94393494324808291</v>
      </c>
      <c r="AI70" s="138"/>
      <c r="AJ70" s="138">
        <f>AJ18/$B$18</f>
        <v>0.91345989795757876</v>
      </c>
      <c r="AK70" s="138"/>
      <c r="AL70" s="138">
        <f>AL18/$B$18</f>
        <v>0.8580981980185286</v>
      </c>
      <c r="AM70" s="138"/>
      <c r="AN70" s="138">
        <f>AN18/$B$18</f>
        <v>0.73139085333317078</v>
      </c>
      <c r="AO70" s="138"/>
      <c r="AP70" s="138">
        <f>AP18/$B$18</f>
        <v>0.68283503807387025</v>
      </c>
      <c r="AQ70" s="138"/>
      <c r="AR70" s="138">
        <f>AR18/$B$18</f>
        <v>0.61600355707117072</v>
      </c>
      <c r="AS70" s="138"/>
      <c r="AT70" s="138">
        <f>AT18/$B$18</f>
        <v>0.51704525991900696</v>
      </c>
      <c r="AU70" s="138"/>
      <c r="AV70" s="138">
        <f>AV18/$B$18</f>
        <v>0.35179403320447256</v>
      </c>
    </row>
    <row r="71" spans="1:48 16384:16384" x14ac:dyDescent="0.2">
      <c r="A71" t="s">
        <v>179</v>
      </c>
      <c r="B71" s="138">
        <f>C18/$C$18</f>
        <v>1</v>
      </c>
      <c r="D71" s="138">
        <f>E18/$C$18</f>
        <v>0.93118279801946036</v>
      </c>
      <c r="E71" s="138"/>
      <c r="F71" s="138">
        <f>G18/$C$18</f>
        <v>0.86245803048661118</v>
      </c>
      <c r="G71" s="138"/>
      <c r="H71" s="138">
        <f>I18/$C$18</f>
        <v>0.79384808769945248</v>
      </c>
      <c r="I71" s="138"/>
      <c r="J71" s="138">
        <f>K18/$C$18</f>
        <v>0.72538308683621855</v>
      </c>
      <c r="K71" s="138"/>
      <c r="L71" s="138">
        <f>M18/$C$18</f>
        <v>0.65711203125315576</v>
      </c>
      <c r="M71" s="138"/>
      <c r="N71" s="138">
        <f>O18/$C$18</f>
        <v>0.589101290706189</v>
      </c>
      <c r="O71" s="138"/>
      <c r="P71" s="138">
        <f>Q18/$C$18</f>
        <v>0.5214552563743865</v>
      </c>
      <c r="Q71" s="138"/>
      <c r="R71" s="138">
        <f>S18/$C$18</f>
        <v>0.45433260044291868</v>
      </c>
      <c r="S71" s="138"/>
      <c r="T71" s="138">
        <f>U18/$C$18</f>
        <v>0.38797595218297576</v>
      </c>
      <c r="U71" s="138"/>
      <c r="V71" s="138">
        <f>W18/$C$18</f>
        <v>0.32276200429471202</v>
      </c>
      <c r="W71" s="138"/>
      <c r="X71" s="138">
        <f>Y18/$C$18</f>
        <v>0.25927584534541787</v>
      </c>
      <c r="Y71" s="138"/>
      <c r="Z71" s="138">
        <f>AA18/$C$18</f>
        <v>0.19842978487271332</v>
      </c>
      <c r="AA71" s="138"/>
      <c r="AB71" s="138">
        <f>AC18/$C$18</f>
        <v>0.14163833581268415</v>
      </c>
      <c r="AC71" s="138"/>
      <c r="AD71" s="138">
        <f>AE18/$C$18</f>
        <v>9.1041932649474744E-2</v>
      </c>
      <c r="AE71" s="138"/>
      <c r="AF71" s="138">
        <f>AG18/$C$18</f>
        <v>4.9629233754780296E-2</v>
      </c>
      <c r="AG71" s="138"/>
      <c r="AH71" s="138">
        <f>AI18/$C$18</f>
        <v>2.0688591708865844E-2</v>
      </c>
      <c r="AI71" s="138"/>
      <c r="AJ71" s="138">
        <f>AK18/$C$18</f>
        <v>5.541502395154327E-3</v>
      </c>
      <c r="AK71" s="138"/>
      <c r="AL71" s="138">
        <f>AM18/$C$18</f>
        <v>7.0286958999660296E-4</v>
      </c>
      <c r="AM71" s="138"/>
      <c r="AN71" s="138">
        <f>AO18/$C$18</f>
        <v>1.9354022115134581E-5</v>
      </c>
      <c r="AO71" s="138"/>
      <c r="AP71" s="138">
        <f>AQ18/$C$18</f>
        <v>6.4264257567664689E-6</v>
      </c>
      <c r="AQ71" s="138"/>
      <c r="AR71" s="138">
        <f>AS18/$C$18</f>
        <v>1.6572139754307448E-6</v>
      </c>
      <c r="AS71" s="138"/>
      <c r="AT71" s="138">
        <f>AU18/$C$18</f>
        <v>2.8577333358944331E-7</v>
      </c>
      <c r="AU71" s="138"/>
      <c r="AV71" s="138">
        <f>AW18/$C$18</f>
        <v>2.2725042119946969E-8</v>
      </c>
      <c r="XFD71" s="138"/>
    </row>
    <row r="72" spans="1:48 16384:16384" x14ac:dyDescent="0.2">
      <c r="A72" t="s">
        <v>180</v>
      </c>
      <c r="B72" s="138">
        <f>C19/$C$19</f>
        <v>1</v>
      </c>
      <c r="D72" s="138">
        <f>E19/$C$19</f>
        <v>1.0200450447614449</v>
      </c>
      <c r="E72" s="138"/>
      <c r="F72" s="138">
        <f>G19/$C$19</f>
        <v>1.0430453912758939</v>
      </c>
      <c r="G72" s="138"/>
      <c r="H72" s="138">
        <f>I19/$C$19</f>
        <v>1.0693625391480301</v>
      </c>
      <c r="I72" s="138"/>
      <c r="J72" s="138">
        <f>K19/$C$19</f>
        <v>1.0993976665969405</v>
      </c>
      <c r="K72" s="138"/>
      <c r="L72" s="138">
        <f>M19/$C$19</f>
        <v>1.1335839006811399</v>
      </c>
      <c r="M72" s="138"/>
      <c r="N72" s="138">
        <f>O19/$C$19</f>
        <v>1.1723786791860522</v>
      </c>
      <c r="O72" s="138"/>
      <c r="P72" s="138">
        <f>Q19/$C$19</f>
        <v>1.2162185659041649</v>
      </c>
      <c r="Q72" s="138"/>
      <c r="R72" s="138">
        <f>S19/$C$19</f>
        <v>1.2654554567150045</v>
      </c>
      <c r="S72" s="138"/>
      <c r="T72" s="138">
        <f>U19/$C$19</f>
        <v>1.3202193410805783</v>
      </c>
      <c r="U72" s="138"/>
      <c r="V72" s="138">
        <f>W19/$C$19</f>
        <v>1.3801587078212807</v>
      </c>
      <c r="W72" s="138"/>
      <c r="X72" s="138">
        <f>Y19/$C$19</f>
        <v>1.4439475847392615</v>
      </c>
      <c r="Y72" s="138"/>
      <c r="Z72" s="138">
        <f>AA19/$C$19</f>
        <v>1.5083450782157186</v>
      </c>
      <c r="AA72" s="138"/>
      <c r="AB72" s="138">
        <f>AC19/$C$19</f>
        <v>1.566418751495201</v>
      </c>
      <c r="AC72" s="138"/>
      <c r="AD72" s="138">
        <f>AE19/$C$19</f>
        <v>1.6043251569159165</v>
      </c>
      <c r="AE72" s="138"/>
      <c r="AF72" s="138">
        <f>AG19/$C$19</f>
        <v>1.5963443904939925</v>
      </c>
      <c r="AG72" s="138"/>
      <c r="AH72" s="138">
        <f>AI19/$C$19</f>
        <v>1.501352087533278</v>
      </c>
      <c r="AI72" s="138"/>
      <c r="AJ72" s="138">
        <f>AK19/$C$19</f>
        <v>1.2751560533818036</v>
      </c>
      <c r="AK72" s="138"/>
      <c r="AL72" s="138">
        <f>AM19/$C$19</f>
        <v>0.91247329846917069</v>
      </c>
      <c r="AM72" s="138"/>
      <c r="AN72" s="138">
        <f>AO19/$C$19</f>
        <v>0.46756165550216905</v>
      </c>
      <c r="AO72" s="138"/>
      <c r="AP72" s="138">
        <f>AQ19/$C$19</f>
        <v>0.37461240482222286</v>
      </c>
      <c r="AQ72" s="138"/>
      <c r="AR72" s="138">
        <f>AS19/$C$19</f>
        <v>0.2812085561394056</v>
      </c>
      <c r="AS72" s="138"/>
      <c r="AT72" s="138">
        <f>AU19/$C$19</f>
        <v>0.1875586862291713</v>
      </c>
      <c r="AU72" s="138"/>
      <c r="AV72" s="138">
        <f>AW19/$C$19</f>
        <v>9.3797721012541649E-2</v>
      </c>
      <c r="XFD72" s="138"/>
    </row>
    <row r="73" spans="1:48 16384:16384" x14ac:dyDescent="0.2">
      <c r="A73" t="s">
        <v>184</v>
      </c>
      <c r="B73" s="193">
        <f t="array" ref="B73">SUM(B9:C9*B22:C22)/B32</f>
        <v>0.47641153352875065</v>
      </c>
      <c r="D73" s="193">
        <f t="array" ref="D73">SUM(D9:E9*D22:E22)/D32</f>
        <v>0.47411685085874222</v>
      </c>
      <c r="E73" s="138"/>
      <c r="F73" s="193">
        <f t="array" ref="F73">SUM(F9:G9*F22:G22)/F32</f>
        <v>0.47176652090161464</v>
      </c>
      <c r="G73" s="138"/>
      <c r="H73" s="193">
        <f t="array" ref="H73">SUM(H9:I9*H22:I22)/H32</f>
        <v>0.46935063752822803</v>
      </c>
      <c r="I73" s="138"/>
      <c r="J73" s="193">
        <f t="array" ref="J73">SUM(J9:K9*J22:K22)/J32</f>
        <v>0.46685708987493246</v>
      </c>
      <c r="K73" s="138"/>
      <c r="L73" s="193">
        <f t="array" ref="L73">SUM(L9:M9*L22:M22)/L32</f>
        <v>0.46427075640603038</v>
      </c>
      <c r="M73" s="138"/>
      <c r="N73" s="193">
        <f t="array" ref="N73">SUM(N9:O9*N22:O22)/N32</f>
        <v>0.46157271903413744</v>
      </c>
      <c r="O73" s="138"/>
      <c r="P73" s="193">
        <f t="array" ref="P73">SUM(P9:Q9*P22:Q22)/P32</f>
        <v>0.45873828511973858</v>
      </c>
      <c r="Q73" s="138"/>
      <c r="R73" s="193">
        <f t="array" ref="R73">SUM(R9:S9*R22:S22)/R32</f>
        <v>0.45573467133472606</v>
      </c>
      <c r="S73" s="138"/>
      <c r="T73" s="193">
        <f t="array" ref="T73">SUM(T9:U9*T22:U22)/T32</f>
        <v>0.45251693711837637</v>
      </c>
      <c r="U73" s="138"/>
      <c r="V73" s="193">
        <f t="array" ref="V73">SUM(V9:W9*V22:W22)/V32</f>
        <v>0.44902107149140796</v>
      </c>
      <c r="W73" s="138"/>
      <c r="X73" s="193">
        <f t="array" ref="X73">SUM(X9:Y9*X22:Y22)/X32</f>
        <v>0.44515213381158292</v>
      </c>
      <c r="Y73" s="138"/>
      <c r="Z73" s="193">
        <f t="array" ref="Z73">SUM(Z9:AA9*Z22:AA22)/Z32</f>
        <v>0.44076250721218918</v>
      </c>
      <c r="AA73" s="138"/>
      <c r="AB73" s="193">
        <f t="array" ref="AB73">SUM(AB9:AC9*AB22:AC22)/AB32</f>
        <v>0.43561078309143975</v>
      </c>
      <c r="AC73" s="138"/>
      <c r="AD73" s="193">
        <f t="array" ref="AD73">SUM(AD9:AE9*AD22:AE22)/AD32</f>
        <v>0.42928136679308909</v>
      </c>
      <c r="AE73" s="138"/>
      <c r="AF73" s="193">
        <f t="array" ref="AF73">SUM(AF9:AG9*AF22:AG22)/AF32</f>
        <v>0.421026607902238</v>
      </c>
      <c r="AG73" s="138"/>
      <c r="AH73" s="193">
        <f t="array" ref="AH73">SUM(AH9:AI9*AH22:AI22)/AH32</f>
        <v>0.40946862368333037</v>
      </c>
      <c r="AI73" s="138"/>
      <c r="AJ73" s="193">
        <f t="array" ref="AJ73">SUM(AJ9:AK9*AJ22:AK22)/AJ32</f>
        <v>0.39203515335693817</v>
      </c>
      <c r="AK73" s="138"/>
      <c r="AL73" s="193">
        <f t="array" ref="AL73">SUM(AL9:AM9*AL22:AM22)/AL32</f>
        <v>0.36326752725086453</v>
      </c>
      <c r="AM73" s="138"/>
      <c r="AN73" s="193">
        <f t="array" ref="AN73">SUM(AN9:AO9*AN22:AO22)/AN32</f>
        <v>0.30492170795170415</v>
      </c>
      <c r="AO73" s="138"/>
      <c r="AP73" s="193">
        <f t="array" ref="AP73">SUM(AP9:AQ9*AP22:AQ22)/AP32</f>
        <v>0.28405288204140572</v>
      </c>
      <c r="AQ73" s="138"/>
      <c r="AR73" s="193">
        <f t="array" ref="AR73">SUM(AR9:AS9*AR22:AS22)/AR32</f>
        <v>0.25605751424230472</v>
      </c>
      <c r="AS73" s="138"/>
      <c r="AT73" s="193">
        <f t="array" ref="AT73">SUM(AT9:AU9*AT22:AU22)/AT32</f>
        <v>0.21550380361674032</v>
      </c>
      <c r="AU73" s="138"/>
      <c r="AV73" s="193">
        <f t="array" ref="AV73">SUM(AV9:AW9*AV22:AW22)/AV32</f>
        <v>0.14843672740147609</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0.22604620456442481</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0.22267908238122583</v>
      </c>
      <c r="E75" s="138"/>
      <c r="F75" s="193">
        <f t="array" ref="F75">SUM(F11:G11*F24:G24)/F32</f>
        <v>0.22502941434670601</v>
      </c>
      <c r="G75" s="138"/>
      <c r="H75" s="193">
        <f t="array" ref="H75">SUM(H11:I11*H24:I24)/H32</f>
        <v>0.22744530198974927</v>
      </c>
      <c r="I75" s="138"/>
      <c r="J75" s="193">
        <f t="array" ref="J75">SUM(J11:K11*J24:K24)/J32</f>
        <v>0.22993886498143268</v>
      </c>
      <c r="K75" s="138"/>
      <c r="L75" s="193">
        <f t="array" ref="L75">SUM(L11:M11*L24:M24)/L32</f>
        <v>0.2325251662032799</v>
      </c>
      <c r="M75" s="138"/>
      <c r="N75" s="193">
        <f t="array" ref="N75">SUM(N11:O11*N24:O24)/N32</f>
        <v>0.2352232042909784</v>
      </c>
      <c r="O75" s="138"/>
      <c r="P75" s="193">
        <f t="array" ref="P75">SUM(P11:Q11*P24:Q24)/P32</f>
        <v>0.2380576389728295</v>
      </c>
      <c r="Q75" s="138"/>
      <c r="R75" s="193">
        <f t="array" ref="R75">SUM(R11:S11*R24:S24)/R32</f>
        <v>0.24106125072384746</v>
      </c>
      <c r="S75" s="138"/>
      <c r="T75" s="193">
        <f t="array" ref="T75">SUM(T11:U11*T24:U24)/T32</f>
        <v>0.24427898713320848</v>
      </c>
      <c r="U75" s="138"/>
      <c r="V75" s="193">
        <f t="array" ref="V75">SUM(V11:W11*V24:W24)/V32</f>
        <v>0.24777485240613847</v>
      </c>
      <c r="W75" s="138"/>
      <c r="X75" s="193">
        <f t="array" ref="X75">SUM(X11:Y11*X24:Y24)/X32</f>
        <v>0.25164379220753791</v>
      </c>
      <c r="Y75" s="138"/>
      <c r="Z75" s="193">
        <f t="array" ref="Z75">SUM(Z11:AA11*Z24:AA24)/Z32</f>
        <v>0.25603341640186533</v>
      </c>
      <c r="AA75" s="138"/>
      <c r="AB75" s="193">
        <f t="array" ref="AB75">SUM(AB11:AC11*AB24:AC24)/AB32</f>
        <v>0.26118513961312367</v>
      </c>
      <c r="AC75" s="138"/>
      <c r="AD75" s="193">
        <f t="array" ref="AD75">SUM(AD11:AE11*AD24:AE24)/AD32</f>
        <v>0.26751455487880016</v>
      </c>
      <c r="AE75" s="138"/>
      <c r="AF75" s="193">
        <f t="array" ref="AF75">SUM(AF11:AG11*AF24:AG24)/AF32</f>
        <v>0.27576931416152484</v>
      </c>
      <c r="AG75" s="138"/>
      <c r="AH75" s="193">
        <f t="array" ref="AH75">SUM(AH11:AI11*AH24:AI24)/AH32</f>
        <v>0.28732729823551101</v>
      </c>
      <c r="AI75" s="138"/>
      <c r="AJ75" s="193">
        <f t="array" ref="AJ75">SUM(AJ11:AK11*AJ24:AK24)/AJ32</f>
        <v>0.30476076849154204</v>
      </c>
      <c r="AK75" s="138"/>
      <c r="AL75" s="193">
        <f t="array" ref="AL75">SUM(AL11:AM11*AL24:AM24)/AL32</f>
        <v>0.33352839461019007</v>
      </c>
      <c r="AM75" s="138"/>
      <c r="AN75" s="193">
        <f t="array" ref="AN75">SUM(AN11:AO11*AN24:AO24)/AN32</f>
        <v>0.39187421390899679</v>
      </c>
      <c r="AO75" s="138"/>
      <c r="AP75" s="193">
        <f t="array" ref="AP75">SUM(AP11:AQ11*AP24:AQ24)/AP32</f>
        <v>0.4127430398194662</v>
      </c>
      <c r="AQ75" s="138"/>
      <c r="AR75" s="193">
        <f t="array" ref="AR75">SUM(AR11:AS11*AR24:AS24)/AR32</f>
        <v>0.44073840761838945</v>
      </c>
      <c r="AS75" s="138"/>
      <c r="AT75" s="193">
        <f t="array" ref="AT75">SUM(AT11:AU11*AT24:AU24)/AT32</f>
        <v>0.48129211824395168</v>
      </c>
      <c r="AU75" s="138"/>
      <c r="AV75" s="193">
        <f t="array" ref="AV75">SUM(AV11:AW11*AV24:AW24)/AV32</f>
        <v>0.54835919445921544</v>
      </c>
      <c r="XFD75" s="193"/>
    </row>
    <row r="76" spans="1:48 16384:16384" x14ac:dyDescent="0.2">
      <c r="A76" t="s">
        <v>187</v>
      </c>
      <c r="B76" s="193">
        <f t="array" ref="B76">SUM(B12:C12*B25:C25)/B32</f>
        <v>0.22301874374724867</v>
      </c>
      <c r="D76" s="193">
        <f t="array" ref="D76">SUM(D12:E12*D25:E25)/D32</f>
        <v>0.22300131663276551</v>
      </c>
      <c r="E76" s="138"/>
      <c r="F76" s="193">
        <f t="array" ref="F76">SUM(F12:G12*F25:G25)/F32</f>
        <v>0.22303062874107785</v>
      </c>
      <c r="G76" s="138"/>
      <c r="H76" s="193">
        <f t="array" ref="H76">SUM(H12:I12*H25:I25)/H32</f>
        <v>0.22311227443266299</v>
      </c>
      <c r="I76" s="138"/>
      <c r="J76" s="193">
        <f t="array" ref="J76">SUM(J12:K12*J25:K25)/J32</f>
        <v>0.22325250350167547</v>
      </c>
      <c r="K76" s="138"/>
      <c r="L76" s="193">
        <f t="array" ref="L76">SUM(L12:M12*L25:M25)/L32</f>
        <v>0.22345821048680375</v>
      </c>
      <c r="M76" s="138"/>
      <c r="N76" s="193">
        <f t="array" ref="N76">SUM(N12:O12*N25:O25)/N32</f>
        <v>0.22373659046968958</v>
      </c>
      <c r="O76" s="138"/>
      <c r="P76" s="193">
        <f t="array" ref="P76">SUM(P12:Q12*P25:Q25)/P32</f>
        <v>0.22409473224791382</v>
      </c>
      <c r="Q76" s="138"/>
      <c r="R76" s="193">
        <f t="array" ref="R76">SUM(R12:S12*R25:S25)/R32</f>
        <v>0.22453846668999972</v>
      </c>
      <c r="S76" s="138"/>
      <c r="T76" s="193">
        <f t="array" ref="T76">SUM(T12:U12*T25:U25)/T32</f>
        <v>0.22507017580566124</v>
      </c>
      <c r="U76" s="138"/>
      <c r="V76" s="193">
        <f t="array" ref="V76">SUM(V12:W12*V25:W25)/V32</f>
        <v>0.2256845612088913</v>
      </c>
      <c r="W76" s="138"/>
      <c r="X76" s="193">
        <f t="array" ref="X76">SUM(X12:Y12*X25:Y25)/X32</f>
        <v>0.2263603414276748</v>
      </c>
      <c r="Y76" s="138"/>
      <c r="Z76" s="193">
        <f t="array" ref="Z76">SUM(Z12:AA12*Z25:AA25)/Z32</f>
        <v>0.22704419656391059</v>
      </c>
      <c r="AA76" s="138"/>
      <c r="AB76" s="193">
        <f t="array" ref="AB76">SUM(AB12:AC12*AB25:AC25)/AB32</f>
        <v>0.22761980034068086</v>
      </c>
      <c r="AC76" s="138"/>
      <c r="AD76" s="193">
        <f t="array" ref="AD76">SUM(AD12:AE12*AD25:AE25)/AD32</f>
        <v>0.22785081186493969</v>
      </c>
      <c r="AE76" s="138"/>
      <c r="AF76" s="193">
        <f t="array" ref="AF76">SUM(AF12:AG12*AF25:AG25)/AF32</f>
        <v>0.2272913253307636</v>
      </c>
      <c r="AG76" s="138"/>
      <c r="AH76" s="193">
        <f t="array" ref="AH76">SUM(AH12:AI12*AH25:AI25)/AH32</f>
        <v>0.22521937874105602</v>
      </c>
      <c r="AI76" s="138"/>
      <c r="AJ76" s="193">
        <f t="array" ref="AJ76">SUM(AJ12:AK12*AJ25:AK25)/AJ32</f>
        <v>0.22085074245105837</v>
      </c>
      <c r="AK76" s="138"/>
      <c r="AL76" s="193">
        <f t="array" ref="AL76">SUM(AL12:AM12*AL25:AM25)/AL32</f>
        <v>0.21408327000371519</v>
      </c>
      <c r="AM76" s="138"/>
      <c r="AN76" s="193">
        <f t="array" ref="AN76">SUM(AN12:AO12*AN25:AO25)/AN32</f>
        <v>0.20603591676330807</v>
      </c>
      <c r="AO76" s="138"/>
      <c r="AP76" s="193">
        <f t="array" ref="AP76">SUM(AP12:AQ12*AP25:AQ25)/AP32</f>
        <v>0.20451071689628486</v>
      </c>
      <c r="AQ76" s="138"/>
      <c r="AR76" s="193">
        <f t="array" ref="AR76">SUM(AR12:AS12*AR25:AS25)/AR32</f>
        <v>0.20318283226053141</v>
      </c>
      <c r="AS76" s="138"/>
      <c r="AT76" s="193">
        <f t="array" ref="AT76">SUM(AT12:AU12*AT25:AU25)/AT32</f>
        <v>0.20232955779523301</v>
      </c>
      <c r="AU76" s="138"/>
      <c r="AV76" s="193">
        <f t="array" ref="AV76">SUM(AV12:AW12*AV25:AW25)/AV32</f>
        <v>0.20280056491413745</v>
      </c>
      <c r="XFD76" s="193"/>
    </row>
    <row r="77" spans="1:48 16384:16384" x14ac:dyDescent="0.2">
      <c r="A77" t="s">
        <v>188</v>
      </c>
      <c r="B77" s="193">
        <f t="array" ref="B77">SUM(B4:C4*B19:C19)/B32</f>
        <v>0.14586087017236485</v>
      </c>
      <c r="D77" s="193">
        <f t="array" ref="D77">SUM(D4:E4*D19:E19)/D32</f>
        <v>0.14584345443715829</v>
      </c>
      <c r="E77" s="138"/>
      <c r="F77" s="193">
        <f t="array" ref="F77">SUM(F4:G4*F19:G19)/F32</f>
        <v>0.14587276855382317</v>
      </c>
      <c r="G77" s="138"/>
      <c r="H77" s="193">
        <f t="array" ref="H77">SUM(H4:I4*H19:I19)/H32</f>
        <v>0.14595441851506502</v>
      </c>
      <c r="I77" s="138"/>
      <c r="J77" s="193">
        <f t="array" ref="J77">SUM(J4:K4*J19:K19)/J32</f>
        <v>0.1460946629224652</v>
      </c>
      <c r="K77" s="138"/>
      <c r="L77" s="193">
        <f t="array" ref="L77">SUM(L4:M4*L19:M19)/L32</f>
        <v>0.14630033766053874</v>
      </c>
      <c r="M77" s="138"/>
      <c r="N77" s="193">
        <f t="array" ref="N77">SUM(N4:O4*N19:O19)/N32</f>
        <v>0.14657871835923</v>
      </c>
      <c r="O77" s="138"/>
      <c r="P77" s="193">
        <f t="array" ref="P77">SUM(P4:Q4*P19:Q19)/P32</f>
        <v>0.14693686090490671</v>
      </c>
      <c r="Q77" s="138"/>
      <c r="R77" s="193">
        <f t="array" ref="R77">SUM(R4:S4*R19:S19)/R32</f>
        <v>0.14738059331299783</v>
      </c>
      <c r="S77" s="138"/>
      <c r="T77" s="193">
        <f t="array" ref="T77">SUM(T4:U4*T19:U19)/T32</f>
        <v>0.14791230462167076</v>
      </c>
      <c r="U77" s="138"/>
      <c r="V77" s="193">
        <f t="array" ref="V77">SUM(V4:W4*V19:W19)/V32</f>
        <v>0.14852668967086241</v>
      </c>
      <c r="W77" s="138"/>
      <c r="X77" s="193">
        <f t="array" ref="X77">SUM(X4:Y4*X19:Y19)/X32</f>
        <v>0.14920247201122039</v>
      </c>
      <c r="Y77" s="138"/>
      <c r="Z77" s="193">
        <f t="array" ref="Z77">SUM(Z4:AA4*Z19:AA19)/Z32</f>
        <v>0.14988632474238975</v>
      </c>
      <c r="AA77" s="138"/>
      <c r="AB77" s="193">
        <f t="array" ref="AB77">SUM(AB4:AC4*AB19:AC19)/AB32</f>
        <v>0.15046192760966887</v>
      </c>
      <c r="AC77" s="138"/>
      <c r="AD77" s="193">
        <f t="array" ref="AD77">SUM(AD4:AE4*AD19:AE19)/AD32</f>
        <v>0.15069293810125359</v>
      </c>
      <c r="AE77" s="138"/>
      <c r="AF77" s="193">
        <f t="array" ref="AF77">SUM(AF4:AG4*AF19:AG19)/AF32</f>
        <v>0.15013345195895109</v>
      </c>
      <c r="AG77" s="138"/>
      <c r="AH77" s="193">
        <f t="array" ref="AH77">SUM(AH4:AI4*AH19:AI19)/AH32</f>
        <v>0.14806150522432215</v>
      </c>
      <c r="AI77" s="138"/>
      <c r="AJ77" s="193">
        <f t="array" ref="AJ77">SUM(AJ4:AK4*AJ19:AK19)/AJ32</f>
        <v>0.14369286886396326</v>
      </c>
      <c r="AK77" s="138"/>
      <c r="AL77" s="193">
        <f t="array" ref="AL77">SUM(AL4:AM4*AL19:AM19)/AL32</f>
        <v>0.13692539642919449</v>
      </c>
      <c r="AM77" s="138"/>
      <c r="AN77" s="193">
        <f t="array" ref="AN77">SUM(AN4:AO4*AN19:AO19)/AN32</f>
        <v>0.12887804318843377</v>
      </c>
      <c r="AO77" s="138"/>
      <c r="AP77" s="193">
        <f t="array" ref="AP77">SUM(AP4:AQ4*AP19:AQ19)/AP32</f>
        <v>0.12735284332158159</v>
      </c>
      <c r="AQ77" s="138"/>
      <c r="AR77" s="193">
        <f t="array" ref="AR77">SUM(AR4:AS4*AR19:AS19)/AR32</f>
        <v>0.12602495868565036</v>
      </c>
      <c r="AS77" s="138"/>
      <c r="AT77" s="193">
        <f t="array" ref="AT77">SUM(AT4:AU4*AT19:AU19)/AT32</f>
        <v>0.12517168422034985</v>
      </c>
      <c r="AU77" s="138"/>
      <c r="AV77" s="193">
        <f t="array" ref="AV77">SUM(AV4:AW4*AV19:AW19)/AV32</f>
        <v>0.12564269133925379</v>
      </c>
      <c r="XFD77" s="193"/>
    </row>
    <row r="78" spans="1:48 16384:16384" x14ac:dyDescent="0.2">
      <c r="A78" t="s">
        <v>189</v>
      </c>
      <c r="B78" s="193">
        <f t="array" ref="B78">SUM(B13:C13*B26:C26)/B32</f>
        <v>0.346887593115773</v>
      </c>
      <c r="D78" s="193">
        <f t="array" ref="D78">SUM(D13:E13*D26:E26)/D32</f>
        <v>0.34640778269507616</v>
      </c>
      <c r="E78" s="138"/>
      <c r="F78" s="193">
        <f t="array" ref="F78">SUM(F13:G13*F26:G26)/F32</f>
        <v>0.34587366088710075</v>
      </c>
      <c r="G78" s="138"/>
      <c r="H78" s="193">
        <f t="array" ref="H78">SUM(H13:I13*H26:I26)/H32</f>
        <v>0.34527730590227024</v>
      </c>
      <c r="I78" s="138"/>
      <c r="J78" s="193">
        <f t="array" ref="J78">SUM(J13:K13*J26:K26)/J32</f>
        <v>0.3446089718244667</v>
      </c>
      <c r="K78" s="138"/>
      <c r="L78" s="193">
        <f t="array" ref="L78">SUM(L13:M13*L26:M26)/L32</f>
        <v>0.34385646767753003</v>
      </c>
      <c r="M78" s="138"/>
      <c r="N78" s="193">
        <f t="array" ref="N78">SUM(N13:O13*N26:O26)/N32</f>
        <v>0.34300415518554306</v>
      </c>
      <c r="O78" s="138"/>
      <c r="P78" s="193">
        <f t="array" ref="P78">SUM(P13:Q13*P26:Q26)/P32</f>
        <v>0.34203158887479151</v>
      </c>
      <c r="Q78" s="138"/>
      <c r="R78" s="193">
        <f t="array" ref="R78">SUM(R13:S13*R26:S26)/R32</f>
        <v>0.34091124244731841</v>
      </c>
      <c r="S78" s="138"/>
      <c r="T78" s="193">
        <f t="array" ref="T78">SUM(T13:U13*T26:U26)/T32</f>
        <v>0.33960491809477045</v>
      </c>
      <c r="U78" s="138"/>
      <c r="V78" s="193">
        <f t="array" ref="V78">SUM(V13:W13*V26:W26)/V32</f>
        <v>0.33805776481009109</v>
      </c>
      <c r="W78" s="138"/>
      <c r="X78" s="193">
        <f t="array" ref="X78">SUM(X13:Y13*X26:Y26)/X32</f>
        <v>0.33618793177779693</v>
      </c>
      <c r="Y78" s="138"/>
      <c r="Z78" s="193">
        <f t="array" ref="Z78">SUM(Z13:AA13*Z26:AA26)/Z32</f>
        <v>0.33386805127198044</v>
      </c>
      <c r="AA78" s="138"/>
      <c r="AB78" s="193">
        <f t="array" ref="AB78">SUM(AB13:AC13*AB26:AC26)/AB32</f>
        <v>0.33089088059787425</v>
      </c>
      <c r="AC78" s="138"/>
      <c r="AD78" s="193">
        <f t="array" ref="AD78">SUM(AD13:AE13*AD26:AE26)/AD32</f>
        <v>0.32690409755181749</v>
      </c>
      <c r="AE78" s="138"/>
      <c r="AF78" s="193">
        <f t="array" ref="AF78">SUM(AF13:AG13*AF26:AG26)/AF32</f>
        <v>0.32128730271545014</v>
      </c>
      <c r="AG78" s="138"/>
      <c r="AH78" s="193">
        <f t="array" ref="AH78">SUM(AH13:AI13*AH26:AI26)/AH32</f>
        <v>0.3129326559517599</v>
      </c>
      <c r="AI78" s="138"/>
      <c r="AJ78" s="193">
        <f t="array" ref="AJ78">SUM(AJ13:AK13*AJ26:AK26)/AJ32</f>
        <v>0.29985059585196916</v>
      </c>
      <c r="AK78" s="138"/>
      <c r="AL78" s="193">
        <f t="array" ref="AL78">SUM(AL13:AM13*AL26:AM26)/AL32</f>
        <v>0.27792295042539822</v>
      </c>
      <c r="AM78" s="138"/>
      <c r="AN78" s="193">
        <f t="array" ref="AN78">SUM(AN13:AO13*AN26:AO26)/AN32</f>
        <v>0.23329450135679308</v>
      </c>
      <c r="AO78" s="138"/>
      <c r="AP78" s="193">
        <f t="array" ref="AP78">SUM(AP13:AQ13*AP26:AQ26)/AP32</f>
        <v>0.21732804143156539</v>
      </c>
      <c r="AQ78" s="138"/>
      <c r="AR78" s="193">
        <f t="array" ref="AR78">SUM(AR13:AS13*AR26:AS26)/AR32</f>
        <v>0.19590893903016748</v>
      </c>
      <c r="AS78" s="138"/>
      <c r="AT78" s="193">
        <f t="array" ref="AT78">SUM(AT13:AU13*AT26:AU26)/AT32</f>
        <v>0.16488141986484245</v>
      </c>
      <c r="AU78" s="138"/>
      <c r="AV78" s="193">
        <f t="array" ref="AV78">SUM(AV13:AW13*AV26:AW26)/AV32</f>
        <v>0.11356857100193687</v>
      </c>
      <c r="XFD78" s="193"/>
    </row>
    <row r="79" spans="1:48 16384:16384" x14ac:dyDescent="0.2">
      <c r="A79" t="s">
        <v>190</v>
      </c>
      <c r="B79" s="193">
        <f t="array" ref="B79">SUM(B15:C15*B27:C27)/B32</f>
        <v>0.45460968782440492</v>
      </c>
      <c r="D79" s="193">
        <f t="array" ref="D79">SUM(D15:E15*D27:E27)/D32</f>
        <v>0.45121239972110516</v>
      </c>
      <c r="F79" s="193">
        <f t="array" ref="F79">SUM(F15:G15*F27:G27)/F32</f>
        <v>0.44777602093560886</v>
      </c>
      <c r="H79" s="193">
        <f t="array" ref="H79">SUM(H15:I15*H27:I27)/H32</f>
        <v>0.44429178757442672</v>
      </c>
      <c r="J79" s="193">
        <f t="array" ref="J79">SUM(J15:K15*J27:K27)/J32</f>
        <v>0.44074900105008652</v>
      </c>
      <c r="L79" s="193">
        <f t="array" ref="L79">SUM(L15:M15*L27:M27)/L32</f>
        <v>0.43713473831725036</v>
      </c>
      <c r="N79" s="193">
        <f t="array" ref="N79">SUM(N15:O15*N27:O27)/N32</f>
        <v>0.43343247797062867</v>
      </c>
      <c r="P79" s="193">
        <f t="array" ref="P79">SUM(P15:Q15*P27:Q27)/P32</f>
        <v>0.42962129447785957</v>
      </c>
      <c r="R79" s="193">
        <f t="array" ref="R79">SUM(R15:S15*R27:S27)/R32</f>
        <v>0.42567365454475498</v>
      </c>
      <c r="T79" s="193">
        <f t="array" ref="T79">SUM(T15:U15*T27:U27)/T32</f>
        <v>0.42155214274334735</v>
      </c>
      <c r="V79" s="193">
        <f t="array" ref="V79">SUM(V15:W15*V27:W27)/V32</f>
        <v>0.41720408458489766</v>
      </c>
      <c r="X79" s="193">
        <f t="array" ref="X79">SUM(X15:Y15*X27:Y27)/X32</f>
        <v>0.41255176589443754</v>
      </c>
      <c r="Z79" s="193">
        <f t="array" ref="Z79">SUM(Z15:AA15*Z27:AA27)/Z32</f>
        <v>0.40747450845168859</v>
      </c>
      <c r="AB79" s="193">
        <f t="array" ref="AB79">SUM(AB15:AC15*AB27:AC27)/AB32</f>
        <v>0.40177383337343231</v>
      </c>
      <c r="AD79" s="193">
        <f t="array" ref="AD79">SUM(AD15:AE15*AD27:AE27)/AD32</f>
        <v>0.39510358862630224</v>
      </c>
      <c r="AF79" s="193">
        <f t="array" ref="AF79">SUM(AF15:AG15*AF27:AG27)/AF32</f>
        <v>0.38682739710999564</v>
      </c>
      <c r="AH79" s="193">
        <f t="array" ref="AH79">SUM(AH15:AI15*AH27:AI27)/AH32</f>
        <v>0.37573646658089477</v>
      </c>
      <c r="AJ79" s="193">
        <f t="array" ref="AJ79">SUM(AJ15:AK15*AJ27:AK27)/AJ32</f>
        <v>0.35949450180794779</v>
      </c>
      <c r="AL79" s="193">
        <f t="array" ref="AL79">SUM(AL15:AM15*AL27:AM27)/AL32</f>
        <v>0.33303820789703786</v>
      </c>
      <c r="AN79" s="193">
        <f t="array" ref="AN79">SUM(AN15:AO15*AN27:AO27)/AN32</f>
        <v>0.27953765712561474</v>
      </c>
      <c r="AP79" s="193">
        <f t="array" ref="AP79">SUM(AP15:AQ15*AP27:AQ27)/AP32</f>
        <v>0.26040590783360823</v>
      </c>
      <c r="AR79" s="193">
        <f t="array" ref="AR79">SUM(AR15:AS15*AR27:AS27)/AR32</f>
        <v>0.23474103836166177</v>
      </c>
      <c r="AT79" s="193">
        <f t="array" ref="AT79">SUM(AT15:AU15*AT27:AU27)/AT32</f>
        <v>0.19756335493664845</v>
      </c>
      <c r="AV79" s="193">
        <f t="array" ref="AV79">SUM(AV15:AW15*AV27:AW27)/AV32</f>
        <v>0.13607953415157617</v>
      </c>
      <c r="XFD79" s="193"/>
    </row>
    <row r="80" spans="1:48 16384:16384" x14ac:dyDescent="0.2">
      <c r="A80" t="s">
        <v>169</v>
      </c>
      <c r="B80" s="236">
        <f>B55</f>
        <v>0.19850271905982084</v>
      </c>
      <c r="D80" s="236">
        <f>D55</f>
        <v>0.20237984765314326</v>
      </c>
      <c r="F80" s="236">
        <f>F55</f>
        <v>0.20635035743593633</v>
      </c>
      <c r="H80" s="236">
        <f>H55</f>
        <v>0.21043096386624466</v>
      </c>
      <c r="J80" s="236">
        <f>J55</f>
        <v>0.21464204727727274</v>
      </c>
      <c r="L80" s="236">
        <f>L55</f>
        <v>0.21900879151330774</v>
      </c>
      <c r="N80" s="236">
        <f>N55</f>
        <v>0.22356336179643213</v>
      </c>
      <c r="P80" s="236">
        <f>P55</f>
        <v>0.22834710876210607</v>
      </c>
      <c r="R80" s="236">
        <f>R55</f>
        <v>0.23341510327508541</v>
      </c>
      <c r="T80" s="236">
        <f>T55</f>
        <v>0.23884294146512633</v>
      </c>
      <c r="V80" s="236">
        <f>V55</f>
        <v>0.24473815263050183</v>
      </c>
      <c r="X80" s="236">
        <f>X55</f>
        <v>0.25126030644772274</v>
      </c>
      <c r="Z80" s="236">
        <f>Z55</f>
        <v>0.25865745255840383</v>
      </c>
      <c r="AB80" s="236">
        <f>AB55</f>
        <v>0.26733528457323924</v>
      </c>
      <c r="AD80" s="236">
        <f>AD55</f>
        <v>0.27799231583945877</v>
      </c>
      <c r="AF80" s="236">
        <f>AF55</f>
        <v>0.29188529970404403</v>
      </c>
      <c r="AH80" s="236">
        <f>AH55</f>
        <v>0.31133087642471635</v>
      </c>
      <c r="AJ80" s="236">
        <f>AJ55</f>
        <v>0.34065490360402773</v>
      </c>
      <c r="AL80" s="236">
        <f>AL55</f>
        <v>0.38903884154816787</v>
      </c>
      <c r="AN80" s="236">
        <f>AN55</f>
        <v>0.48716784149547854</v>
      </c>
      <c r="AP80" s="236">
        <f>AP55</f>
        <v>0.52226605080773236</v>
      </c>
      <c r="AR80" s="236">
        <f>AR55</f>
        <v>0.56935002260308865</v>
      </c>
      <c r="AT80" s="236">
        <f>AT55</f>
        <v>0.63755522519993291</v>
      </c>
      <c r="AV80" s="236">
        <f>AV55</f>
        <v>0.75035189484688314</v>
      </c>
      <c r="XFD80" s="236"/>
    </row>
    <row r="81" spans="1:48 16384:16384" x14ac:dyDescent="0.2">
      <c r="A81" t="s">
        <v>191</v>
      </c>
      <c r="B81" s="236">
        <f>B51/B$32</f>
        <v>-2.7543485504603994E-2</v>
      </c>
      <c r="D81" s="236">
        <f>D51/D$32</f>
        <v>-2.3666356911281602E-2</v>
      </c>
      <c r="F81" s="236">
        <f>F51/F$32</f>
        <v>-1.96958471284885E-2</v>
      </c>
      <c r="H81" s="236">
        <f>H51/H$32</f>
        <v>-1.5615240698180164E-2</v>
      </c>
      <c r="J81" s="236">
        <f>J51/J$32</f>
        <v>-1.1404157287152095E-2</v>
      </c>
      <c r="L81" s="236">
        <f>L51/L$32</f>
        <v>-7.0374130511170769E-3</v>
      </c>
      <c r="N81" s="236">
        <f>N51/N$32</f>
        <v>-2.4828427679926992E-3</v>
      </c>
      <c r="P81" s="236">
        <f>P51/P$32</f>
        <v>2.3009041976812181E-3</v>
      </c>
      <c r="R81" s="236">
        <f>R51/R$32</f>
        <v>7.3688987106605621E-3</v>
      </c>
      <c r="T81" s="236">
        <f>T51/T$32</f>
        <v>1.279673690070149E-2</v>
      </c>
      <c r="V81" s="236">
        <f>V51/V$32</f>
        <v>1.8691948066076977E-2</v>
      </c>
      <c r="X81" s="236">
        <f>X51/X$32</f>
        <v>2.521410188329791E-2</v>
      </c>
      <c r="Z81" s="236">
        <f>Z51/Z$32</f>
        <v>3.261124799397902E-2</v>
      </c>
      <c r="AB81" s="236">
        <f>AB51/AB$32</f>
        <v>4.1289080008814386E-2</v>
      </c>
      <c r="AD81" s="236">
        <f>AD51/AD$32</f>
        <v>5.1946111275033915E-2</v>
      </c>
      <c r="AF81" s="236">
        <f>AF51/AF$32</f>
        <v>6.5839095139619205E-2</v>
      </c>
      <c r="AH81" s="236">
        <f>AH51/AH$32</f>
        <v>8.5284671860291525E-2</v>
      </c>
      <c r="AJ81" s="236">
        <f>AJ51/AJ$32</f>
        <v>0.11460869903960291</v>
      </c>
      <c r="AL81" s="236">
        <f>AL51/AL$32</f>
        <v>0.162992636983743</v>
      </c>
      <c r="AN81" s="236">
        <f>AN51/AN$32</f>
        <v>0.26112163693105367</v>
      </c>
      <c r="AP81" s="236">
        <f>AP51/AP$32</f>
        <v>0.29621984624330755</v>
      </c>
      <c r="AR81" s="236">
        <f>AR51/AR$32</f>
        <v>0.34330381803866372</v>
      </c>
      <c r="AT81" s="236">
        <f>AT51/AT$32</f>
        <v>0.41150902063550809</v>
      </c>
      <c r="AV81" s="236">
        <f>AV51/AV$32</f>
        <v>0.52430569028245833</v>
      </c>
      <c r="XFD81" s="236"/>
    </row>
    <row r="82" spans="1:48 16384:16384" x14ac:dyDescent="0.2">
      <c r="A82" t="s">
        <v>192</v>
      </c>
      <c r="B82" s="236">
        <f>B52/B$32</f>
        <v>0.13907860278212886</v>
      </c>
      <c r="D82" s="236">
        <f>D52/D$32</f>
        <v>0.13888623106219664</v>
      </c>
      <c r="F82" s="236">
        <f>F52/F$32</f>
        <v>0.13867208412744625</v>
      </c>
      <c r="H82" s="236">
        <f>H52/H$32</f>
        <v>0.13843298587285774</v>
      </c>
      <c r="J82" s="236">
        <f>J52/J$32</f>
        <v>0.13816502884130841</v>
      </c>
      <c r="L82" s="236">
        <f>L52/L$32</f>
        <v>0.1378633252709856</v>
      </c>
      <c r="N82" s="236">
        <f>N52/N$32</f>
        <v>0.13752160526464413</v>
      </c>
      <c r="P82" s="236">
        <f>P52/P$32</f>
        <v>0.13713167156192116</v>
      </c>
      <c r="R82" s="236">
        <f>R52/R$32</f>
        <v>0.13668248796799276</v>
      </c>
      <c r="T82" s="236">
        <f>T52/T$32</f>
        <v>0.13615873972983655</v>
      </c>
      <c r="V82" s="236">
        <f>V52/V$32</f>
        <v>0.13553843528138321</v>
      </c>
      <c r="X82" s="236">
        <f>X52/X$32</f>
        <v>0.13478875794864406</v>
      </c>
      <c r="Z82" s="236">
        <f>Z52/Z$32</f>
        <v>0.13385864183675769</v>
      </c>
      <c r="AB82" s="236">
        <f>AB52/AB$32</f>
        <v>0.13266499655852942</v>
      </c>
      <c r="AD82" s="236">
        <f>AD52/AD$32</f>
        <v>0.13106656459772995</v>
      </c>
      <c r="AF82" s="236">
        <f>AF52/AF$32</f>
        <v>0.1288146074984885</v>
      </c>
      <c r="AH82" s="236">
        <f>AH52/AH$32</f>
        <v>0.12546495584852455</v>
      </c>
      <c r="AJ82" s="236">
        <f>AJ52/AJ$32</f>
        <v>0.12021992928574546</v>
      </c>
      <c r="AL82" s="236">
        <f>AL52/AL$32</f>
        <v>0.1114284177161414</v>
      </c>
      <c r="AN82" s="236">
        <f>AN52/AN$32</f>
        <v>9.3535410113752243E-2</v>
      </c>
      <c r="AP82" s="236">
        <f>AP52/AP$32</f>
        <v>8.7133933145861944E-2</v>
      </c>
      <c r="AR82" s="236">
        <f>AR52/AR$32</f>
        <v>7.8546313138825402E-2</v>
      </c>
      <c r="AT82" s="236">
        <f>AT52/AT$32</f>
        <v>6.6106364005594456E-2</v>
      </c>
      <c r="AV82" s="236">
        <f>AV52/AV$32</f>
        <v>4.5533361493389705E-2</v>
      </c>
    </row>
    <row r="83" spans="1:48 16384:16384" x14ac:dyDescent="0.2">
      <c r="A83" t="s">
        <v>193</v>
      </c>
      <c r="B83" s="236">
        <f>B53/B$32</f>
        <v>0.18600714462929877</v>
      </c>
      <c r="D83" s="236">
        <f>D53/D$32</f>
        <v>0.18461711736744693</v>
      </c>
      <c r="F83" s="236">
        <f>F53/F$32</f>
        <v>0.1832110958442062</v>
      </c>
      <c r="H83" s="236">
        <f>H53/H$32</f>
        <v>0.18178549424333146</v>
      </c>
      <c r="J83" s="236">
        <f>J53/J$32</f>
        <v>0.1803359351532528</v>
      </c>
      <c r="L83" s="236">
        <f>L53/L$32</f>
        <v>0.17885713100789416</v>
      </c>
      <c r="N83" s="236">
        <f>N53/N$32</f>
        <v>0.17734232194378249</v>
      </c>
      <c r="P83" s="236">
        <f>P53/P$32</f>
        <v>0.17578294611406609</v>
      </c>
      <c r="R83" s="236">
        <f>R53/R$32</f>
        <v>0.17416773805394878</v>
      </c>
      <c r="T83" s="236">
        <f>T53/T$32</f>
        <v>0.17248138894554199</v>
      </c>
      <c r="V83" s="236">
        <f>V53/V$32</f>
        <v>0.17070234660571451</v>
      </c>
      <c r="X83" s="236">
        <f>X53/X$32</f>
        <v>0.168798813665932</v>
      </c>
      <c r="Z83" s="236">
        <f>Z53/Z$32</f>
        <v>0.16672141367915838</v>
      </c>
      <c r="AB83" s="236">
        <f>AB53/AB$32</f>
        <v>0.16438893744258631</v>
      </c>
      <c r="AD83" s="236">
        <f>AD53/AD$32</f>
        <v>0.16165975411758982</v>
      </c>
      <c r="AF83" s="236">
        <f>AF53/AF$32</f>
        <v>0.15827348498698557</v>
      </c>
      <c r="AH83" s="236">
        <f>AH53/AH$32</f>
        <v>0.15373554315632926</v>
      </c>
      <c r="AJ83" s="236">
        <f>AJ53/AJ$32</f>
        <v>0.14709001497798463</v>
      </c>
      <c r="AL83" s="236">
        <f>AL53/AL$32</f>
        <v>0.13626521335223785</v>
      </c>
      <c r="AN83" s="236">
        <f>AN53/AN$32</f>
        <v>0.11437504041573182</v>
      </c>
      <c r="AP83" s="236">
        <f>AP53/AP$32</f>
        <v>0.1065471340756798</v>
      </c>
      <c r="AR83" s="236">
        <f>AR53/AR$32</f>
        <v>9.6046150010412057E-2</v>
      </c>
      <c r="AT83" s="236">
        <f>AT53/AT$32</f>
        <v>8.0834607179213508E-2</v>
      </c>
      <c r="AV83" s="236">
        <f>AV53/AV$32</f>
        <v>5.567801625863418E-2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5.3359204869771082E-2</v>
      </c>
      <c r="E2" s="227"/>
      <c r="F2" s="226">
        <v>0.10576058804941847</v>
      </c>
      <c r="G2" s="227"/>
      <c r="H2" s="226">
        <v>0.1638016750781851</v>
      </c>
      <c r="I2" s="227"/>
      <c r="J2" s="226">
        <v>0.22852443708429307</v>
      </c>
      <c r="K2" s="227"/>
      <c r="L2" s="226">
        <v>0.30126724626378865</v>
      </c>
      <c r="M2" s="227"/>
      <c r="N2" s="226">
        <v>0.38379169570785837</v>
      </c>
      <c r="O2" s="227"/>
      <c r="P2" s="226">
        <v>0.47846640273618651</v>
      </c>
      <c r="Q2" s="227"/>
      <c r="R2" s="226">
        <v>0.58857630530923666</v>
      </c>
      <c r="S2" s="227"/>
      <c r="T2" s="226">
        <v>0.71883519288139341</v>
      </c>
      <c r="U2" s="227"/>
      <c r="V2" s="226">
        <v>0.8762839838068347</v>
      </c>
      <c r="W2" s="227"/>
      <c r="X2" s="226">
        <v>1.071957352280394</v>
      </c>
      <c r="Y2" s="227"/>
      <c r="Z2" s="226">
        <v>1.3241617118229645</v>
      </c>
      <c r="AA2" s="227"/>
      <c r="AB2" s="226">
        <v>1.6654009370944387</v>
      </c>
      <c r="AC2" s="227"/>
      <c r="AD2" s="226">
        <v>2.15818331950135</v>
      </c>
      <c r="AE2" s="227"/>
      <c r="AF2" s="226">
        <v>2.9341625363186448</v>
      </c>
      <c r="AG2" s="227"/>
      <c r="AH2" s="226">
        <v>4.2993356694343632</v>
      </c>
      <c r="AI2" s="227"/>
      <c r="AJ2" s="226">
        <v>7.0513895289381097</v>
      </c>
      <c r="AK2" s="227"/>
      <c r="AL2" s="226">
        <v>13.731892202189021</v>
      </c>
      <c r="AM2" s="227"/>
      <c r="AN2" s="226">
        <v>37.035786395560955</v>
      </c>
      <c r="AO2" s="227"/>
      <c r="AP2" s="226">
        <v>48.778902982589116</v>
      </c>
      <c r="AQ2" s="227"/>
      <c r="AR2" s="226">
        <v>67.304199978892285</v>
      </c>
      <c r="AS2" s="227"/>
      <c r="AT2" s="226">
        <v>99.32424282071689</v>
      </c>
      <c r="AU2" s="227"/>
      <c r="AV2" s="226">
        <v>162.97878108596376</v>
      </c>
      <c r="AW2" s="227"/>
    </row>
    <row r="3" spans="1:49" x14ac:dyDescent="0.2">
      <c r="A3" t="s">
        <v>12</v>
      </c>
      <c r="B3" s="84">
        <v>1000</v>
      </c>
      <c r="C3" s="85">
        <v>1000</v>
      </c>
      <c r="D3" s="84">
        <v>998.62556438102126</v>
      </c>
      <c r="E3" s="85">
        <v>1021.4151540766634</v>
      </c>
      <c r="F3" s="84">
        <v>997.21255633487579</v>
      </c>
      <c r="G3" s="85">
        <v>1045.3514892073151</v>
      </c>
      <c r="H3" s="84">
        <v>995.75414516572255</v>
      </c>
      <c r="I3" s="85">
        <v>1072.2544607434174</v>
      </c>
      <c r="J3" s="84">
        <v>994.2424507248312</v>
      </c>
      <c r="K3" s="85">
        <v>1102.6825200515375</v>
      </c>
      <c r="L3" s="84">
        <v>992.66858942291981</v>
      </c>
      <c r="M3" s="85">
        <v>1137.3465131967</v>
      </c>
      <c r="N3" s="84">
        <v>991.02282305576</v>
      </c>
      <c r="O3" s="85">
        <v>1177.1698995618624</v>
      </c>
      <c r="P3" s="84">
        <v>989.29511078842791</v>
      </c>
      <c r="Q3" s="85">
        <v>1223.3743250090774</v>
      </c>
      <c r="R3" s="84">
        <v>987.47625121992712</v>
      </c>
      <c r="S3" s="85">
        <v>1277.619341089475</v>
      </c>
      <c r="T3" s="84">
        <v>985.5602591047832</v>
      </c>
      <c r="U3" s="85">
        <v>1342.2263100330424</v>
      </c>
      <c r="V3" s="84">
        <v>983.54904332689466</v>
      </c>
      <c r="W3" s="85">
        <v>1420.5597978215314</v>
      </c>
      <c r="X3" s="84">
        <v>981.46155849881075</v>
      </c>
      <c r="Y3" s="85">
        <v>1517.7088188864589</v>
      </c>
      <c r="Z3" s="84">
        <v>979.35155625843606</v>
      </c>
      <c r="AA3" s="85">
        <v>1641.7762591491596</v>
      </c>
      <c r="AB3" s="84">
        <v>977.34166232998598</v>
      </c>
      <c r="AC3" s="85">
        <v>1806.4835299935601</v>
      </c>
      <c r="AD3" s="84">
        <v>975.68538392785888</v>
      </c>
      <c r="AE3" s="85">
        <v>2036.8169579698406</v>
      </c>
      <c r="AF3" s="84">
        <v>974.85994912586523</v>
      </c>
      <c r="AG3" s="85">
        <v>2382.1864762711484</v>
      </c>
      <c r="AH3" s="84">
        <v>975.61073862755893</v>
      </c>
      <c r="AI3" s="85">
        <v>2949.4882181804182</v>
      </c>
      <c r="AJ3" s="84">
        <v>978.62935837932446</v>
      </c>
      <c r="AK3" s="85">
        <v>3997.0300565461639</v>
      </c>
      <c r="AL3" s="84">
        <v>983.62864348264861</v>
      </c>
      <c r="AM3" s="85">
        <v>6291.8638192219323</v>
      </c>
      <c r="AN3" s="84">
        <v>988.65288570982887</v>
      </c>
      <c r="AO3" s="85">
        <v>13404.035484623957</v>
      </c>
      <c r="AP3" s="84">
        <v>989.31706333877219</v>
      </c>
      <c r="AQ3" s="85">
        <v>16768.448523677871</v>
      </c>
      <c r="AR3" s="84">
        <v>989.71057696332025</v>
      </c>
      <c r="AS3" s="85">
        <v>21922.920261705316</v>
      </c>
      <c r="AT3" s="84">
        <v>989.67819471322821</v>
      </c>
      <c r="AU3" s="85">
        <v>30552.640845410649</v>
      </c>
      <c r="AV3" s="84">
        <v>988.91964103459816</v>
      </c>
      <c r="AW3" s="85">
        <v>47109.395516932134</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998.55739750363932</v>
      </c>
      <c r="E5" s="42">
        <v>1018.6099291282833</v>
      </c>
      <c r="F5" s="41">
        <v>997.07343847156596</v>
      </c>
      <c r="G5" s="42">
        <v>1038.9560264776178</v>
      </c>
      <c r="H5" s="41">
        <v>995.54086605142732</v>
      </c>
      <c r="I5" s="42">
        <v>1061.2566817786458</v>
      </c>
      <c r="J5" s="41">
        <v>993.95129839223546</v>
      </c>
      <c r="K5" s="42">
        <v>1085.763846934356</v>
      </c>
      <c r="L5" s="41">
        <v>992.29527198968447</v>
      </c>
      <c r="M5" s="42">
        <v>1112.7697820470935</v>
      </c>
      <c r="N5" s="41">
        <v>990.56239136512602</v>
      </c>
      <c r="O5" s="42">
        <v>1142.6104818687902</v>
      </c>
      <c r="P5" s="41">
        <v>988.74190537848995</v>
      </c>
      <c r="Q5" s="42">
        <v>1175.6733812168513</v>
      </c>
      <c r="R5" s="41">
        <v>986.82390619380612</v>
      </c>
      <c r="S5" s="42">
        <v>1212.4002434677363</v>
      </c>
      <c r="T5" s="41">
        <v>984.80183767881306</v>
      </c>
      <c r="U5" s="42">
        <v>1253.284726663222</v>
      </c>
      <c r="V5" s="41">
        <v>982.67744892234498</v>
      </c>
      <c r="W5" s="42">
        <v>1298.8594103499661</v>
      </c>
      <c r="X5" s="41">
        <v>980.47050931131935</v>
      </c>
      <c r="Y5" s="42">
        <v>1349.6505937743621</v>
      </c>
      <c r="Z5" s="41">
        <v>978.237689095321</v>
      </c>
      <c r="AA5" s="42">
        <v>1406.067203612153</v>
      </c>
      <c r="AB5" s="41">
        <v>976.1088506573891</v>
      </c>
      <c r="AC5" s="42">
        <v>1468.1365185117422</v>
      </c>
      <c r="AD5" s="41">
        <v>974.35311240443832</v>
      </c>
      <c r="AE5" s="42">
        <v>1534.9194427533685</v>
      </c>
      <c r="AF5" s="41">
        <v>973.47762102146021</v>
      </c>
      <c r="AG5" s="42">
        <v>1603.3447854945007</v>
      </c>
      <c r="AH5" s="41">
        <v>974.27395381820259</v>
      </c>
      <c r="AI5" s="42">
        <v>1666.6152360538902</v>
      </c>
      <c r="AJ5" s="41">
        <v>977.47297201822983</v>
      </c>
      <c r="AK5" s="42">
        <v>1714.6144029479574</v>
      </c>
      <c r="AL5" s="41">
        <v>982.76156392831479</v>
      </c>
      <c r="AM5" s="42">
        <v>1740.7075945731249</v>
      </c>
      <c r="AN5" s="41">
        <v>988.06484771710689</v>
      </c>
      <c r="AO5" s="42">
        <v>1749.0919026028489</v>
      </c>
      <c r="AP5" s="41">
        <v>988.76504525006612</v>
      </c>
      <c r="AQ5" s="42">
        <v>1749.5697790504857</v>
      </c>
      <c r="AR5" s="41">
        <v>989.1798050798277</v>
      </c>
      <c r="AS5" s="42">
        <v>1749.8456699097619</v>
      </c>
      <c r="AT5" s="41">
        <v>989.145677143684</v>
      </c>
      <c r="AU5" s="42">
        <v>1749.9866331707158</v>
      </c>
      <c r="AV5" s="41">
        <v>988.34609401429009</v>
      </c>
      <c r="AW5" s="42">
        <v>1750.0467076236569</v>
      </c>
    </row>
    <row r="6" spans="1:49" x14ac:dyDescent="0.2">
      <c r="A6" t="s">
        <v>77</v>
      </c>
      <c r="B6" s="41">
        <v>999.99999999999943</v>
      </c>
      <c r="C6" s="42">
        <v>999.99999999999909</v>
      </c>
      <c r="D6" s="41">
        <v>998.44722417808714</v>
      </c>
      <c r="E6" s="42">
        <v>1023.078135094597</v>
      </c>
      <c r="F6" s="41">
        <v>996.85029084227381</v>
      </c>
      <c r="G6" s="42">
        <v>1048.7886277649557</v>
      </c>
      <c r="H6" s="41">
        <v>995.20142357592158</v>
      </c>
      <c r="I6" s="42">
        <v>1077.5893127863769</v>
      </c>
      <c r="J6" s="41">
        <v>993.49164445919746</v>
      </c>
      <c r="K6" s="42">
        <v>1110.0537234689405</v>
      </c>
      <c r="L6" s="41">
        <v>991.71082237213318</v>
      </c>
      <c r="M6" s="42">
        <v>1146.9114551145653</v>
      </c>
      <c r="N6" s="41">
        <v>989.84783726442049</v>
      </c>
      <c r="O6" s="42">
        <v>1189.1099607345539</v>
      </c>
      <c r="P6" s="41">
        <v>987.89120089042763</v>
      </c>
      <c r="Q6" s="42">
        <v>1237.9021827983331</v>
      </c>
      <c r="R6" s="41">
        <v>985.83034739748587</v>
      </c>
      <c r="S6" s="42">
        <v>1294.9898895095398</v>
      </c>
      <c r="T6" s="41">
        <v>983.65832742470911</v>
      </c>
      <c r="U6" s="42">
        <v>1362.7532705580384</v>
      </c>
      <c r="V6" s="41">
        <v>981.37712218432921</v>
      </c>
      <c r="W6" s="42">
        <v>1444.6420560908116</v>
      </c>
      <c r="X6" s="41">
        <v>979.00805638454244</v>
      </c>
      <c r="Y6" s="42">
        <v>1545.8740693682598</v>
      </c>
      <c r="Z6" s="41">
        <v>976.61202133544248</v>
      </c>
      <c r="AA6" s="42">
        <v>1674.7572350922039</v>
      </c>
      <c r="AB6" s="41">
        <v>974.32832971462506</v>
      </c>
      <c r="AC6" s="42">
        <v>1845.3596574429623</v>
      </c>
      <c r="AD6" s="41">
        <v>972.44543636840467</v>
      </c>
      <c r="AE6" s="42">
        <v>2083.2971152995424</v>
      </c>
      <c r="AF6" s="41">
        <v>971.50672822548756</v>
      </c>
      <c r="AG6" s="42">
        <v>2439.2202586712474</v>
      </c>
      <c r="AH6" s="41">
        <v>972.36055680580944</v>
      </c>
      <c r="AI6" s="42">
        <v>3022.7090586804729</v>
      </c>
      <c r="AJ6" s="41">
        <v>975.79159276821395</v>
      </c>
      <c r="AK6" s="42">
        <v>4098.6039128079665</v>
      </c>
      <c r="AL6" s="41">
        <v>981.46743224842965</v>
      </c>
      <c r="AM6" s="42">
        <v>6453.5992990704108</v>
      </c>
      <c r="AN6" s="41">
        <v>987.16364637234221</v>
      </c>
      <c r="AO6" s="42">
        <v>13749.807060615974</v>
      </c>
      <c r="AP6" s="41">
        <v>987.91606792777077</v>
      </c>
      <c r="AQ6" s="42">
        <v>17201.094484532161</v>
      </c>
      <c r="AR6" s="41">
        <v>988.36180047351058</v>
      </c>
      <c r="AS6" s="42">
        <v>22488.622380778834</v>
      </c>
      <c r="AT6" s="41">
        <v>988.3251229235459</v>
      </c>
      <c r="AU6" s="42">
        <v>31341.071496995148</v>
      </c>
      <c r="AV6" s="41">
        <v>987.4658596637513</v>
      </c>
      <c r="AW6" s="42">
        <v>48325.114154052339</v>
      </c>
    </row>
    <row r="7" spans="1:49" x14ac:dyDescent="0.2">
      <c r="A7" t="s">
        <v>13</v>
      </c>
      <c r="B7" s="33">
        <v>1015.9116825427475</v>
      </c>
      <c r="C7" s="34">
        <v>1015.9116825427475</v>
      </c>
      <c r="D7" s="33">
        <v>1014.4461258134293</v>
      </c>
      <c r="E7" s="34">
        <v>1014.4461258134293</v>
      </c>
      <c r="F7" s="33">
        <v>1012.9385544963311</v>
      </c>
      <c r="G7" s="34">
        <v>1012.9385544963311</v>
      </c>
      <c r="H7" s="33">
        <v>1011.3815962703695</v>
      </c>
      <c r="I7" s="34">
        <v>1011.3815962703695</v>
      </c>
      <c r="J7" s="33">
        <v>1009.7667359152043</v>
      </c>
      <c r="K7" s="34">
        <v>1009.7667359152043</v>
      </c>
      <c r="L7" s="33">
        <v>1008.0843593462536</v>
      </c>
      <c r="M7" s="34">
        <v>1008.0843593462536</v>
      </c>
      <c r="N7" s="33">
        <v>1006.3239056753126</v>
      </c>
      <c r="O7" s="34">
        <v>1006.3239056753126</v>
      </c>
      <c r="P7" s="33">
        <v>1004.4744526935837</v>
      </c>
      <c r="Q7" s="34">
        <v>1004.4744526935837</v>
      </c>
      <c r="R7" s="33">
        <v>1002.5259349147559</v>
      </c>
      <c r="S7" s="34">
        <v>1002.5259349147559</v>
      </c>
      <c r="T7" s="33">
        <v>1000.4716918874726</v>
      </c>
      <c r="U7" s="34">
        <v>1000.4716918874726</v>
      </c>
      <c r="V7" s="33">
        <v>998.31350053151425</v>
      </c>
      <c r="W7" s="34">
        <v>998.31350053151425</v>
      </c>
      <c r="X7" s="33">
        <v>996.07144479800695</v>
      </c>
      <c r="Y7" s="34">
        <v>996.07144479800695</v>
      </c>
      <c r="Z7" s="33">
        <v>993.8030966555566</v>
      </c>
      <c r="AA7" s="34">
        <v>993.8030966555566</v>
      </c>
      <c r="AB7" s="33">
        <v>991.6403848162156</v>
      </c>
      <c r="AC7" s="34">
        <v>991.6403848162156</v>
      </c>
      <c r="AD7" s="33">
        <v>989.85670981355565</v>
      </c>
      <c r="AE7" s="34">
        <v>989.85670981355565</v>
      </c>
      <c r="AF7" s="33">
        <v>988.96728788962264</v>
      </c>
      <c r="AG7" s="34">
        <v>988.96728788962264</v>
      </c>
      <c r="AH7" s="33">
        <v>989.77629168102521</v>
      </c>
      <c r="AI7" s="34">
        <v>989.77629168102521</v>
      </c>
      <c r="AJ7" s="33">
        <v>993.02621164309971</v>
      </c>
      <c r="AK7" s="34">
        <v>993.02621164309971</v>
      </c>
      <c r="AL7" s="33">
        <v>998.39895394875612</v>
      </c>
      <c r="AM7" s="34">
        <v>998.39895394875612</v>
      </c>
      <c r="AN7" s="33">
        <v>1003.7866219056295</v>
      </c>
      <c r="AO7" s="34">
        <v>1003.7866219056295</v>
      </c>
      <c r="AP7" s="33">
        <v>1004.4979607594505</v>
      </c>
      <c r="AQ7" s="34">
        <v>1004.4979607594505</v>
      </c>
      <c r="AR7" s="33">
        <v>1004.9193201159547</v>
      </c>
      <c r="AS7" s="34">
        <v>1004.9193201159547</v>
      </c>
      <c r="AT7" s="33">
        <v>1004.8846491469252</v>
      </c>
      <c r="AU7" s="34">
        <v>1004.8846491469252</v>
      </c>
      <c r="AV7" s="33">
        <v>1004.0723433046099</v>
      </c>
      <c r="AW7" s="34">
        <v>1004.0723433046099</v>
      </c>
    </row>
    <row r="8" spans="1:49" x14ac:dyDescent="0.2">
      <c r="B8" s="35">
        <v>1005.7716594496609</v>
      </c>
      <c r="C8" s="36">
        <v>1005.7716594496609</v>
      </c>
      <c r="D8" s="35">
        <v>1072.9621450190223</v>
      </c>
      <c r="E8" s="36">
        <v>1072.9621450190223</v>
      </c>
      <c r="F8" s="35">
        <v>1148.8366267953779</v>
      </c>
      <c r="G8" s="36">
        <v>1148.8366267953779</v>
      </c>
      <c r="H8" s="35">
        <v>1235.0923039419044</v>
      </c>
      <c r="I8" s="36">
        <v>1235.0923039419044</v>
      </c>
      <c r="J8" s="35">
        <v>1333.8874188615064</v>
      </c>
      <c r="K8" s="36">
        <v>1333.8874188615064</v>
      </c>
      <c r="L8" s="35">
        <v>1448.0108700099777</v>
      </c>
      <c r="M8" s="36">
        <v>1448.0108700099777</v>
      </c>
      <c r="N8" s="35">
        <v>1581.1348962387865</v>
      </c>
      <c r="O8" s="36">
        <v>1581.1348962387865</v>
      </c>
      <c r="P8" s="35">
        <v>1738.1935947203674</v>
      </c>
      <c r="Q8" s="36">
        <v>1738.1935947203674</v>
      </c>
      <c r="R8" s="35">
        <v>1925.9902993239957</v>
      </c>
      <c r="S8" s="36">
        <v>1925.9902993239957</v>
      </c>
      <c r="T8" s="35">
        <v>2154.1898948894836</v>
      </c>
      <c r="U8" s="36">
        <v>2154.1898948894836</v>
      </c>
      <c r="V8" s="35">
        <v>2437.0291088564304</v>
      </c>
      <c r="W8" s="36">
        <v>2437.0291088564304</v>
      </c>
      <c r="X8" s="35">
        <v>2796.4184707803888</v>
      </c>
      <c r="Y8" s="36">
        <v>2796.4184707803888</v>
      </c>
      <c r="Z8" s="35">
        <v>3267.9275588853498</v>
      </c>
      <c r="AA8" s="36">
        <v>3267.9275588853498</v>
      </c>
      <c r="AB8" s="35">
        <v>3913.1724522237641</v>
      </c>
      <c r="AC8" s="36">
        <v>3913.1724522237641</v>
      </c>
      <c r="AD8" s="35">
        <v>4847.5569808819955</v>
      </c>
      <c r="AE8" s="36">
        <v>4847.5569808819955</v>
      </c>
      <c r="AF8" s="35">
        <v>6307.8189878943185</v>
      </c>
      <c r="AG8" s="36">
        <v>6307.8189878943185</v>
      </c>
      <c r="AH8" s="35">
        <v>8831.9535676431515</v>
      </c>
      <c r="AI8" s="36">
        <v>8831.9535676431515</v>
      </c>
      <c r="AJ8" s="35">
        <v>13805.028450061653</v>
      </c>
      <c r="AK8" s="36">
        <v>13805.028450061653</v>
      </c>
      <c r="AL8" s="35">
        <v>25643.916638783026</v>
      </c>
      <c r="AM8" s="36">
        <v>25643.916638783026</v>
      </c>
      <c r="AN8" s="35">
        <v>66528.085993607267</v>
      </c>
      <c r="AO8" s="36">
        <v>66528.085993607267</v>
      </c>
      <c r="AP8" s="35">
        <v>87091.664292624002</v>
      </c>
      <c r="AQ8" s="36">
        <v>87091.664292624002</v>
      </c>
      <c r="AR8" s="35">
        <v>119521.80856971511</v>
      </c>
      <c r="AS8" s="36">
        <v>119521.80856971511</v>
      </c>
      <c r="AT8" s="35">
        <v>175566.08391922771</v>
      </c>
      <c r="AU8" s="36">
        <v>175566.08391922771</v>
      </c>
      <c r="AV8" s="35">
        <v>286970.52595963125</v>
      </c>
      <c r="AW8" s="36">
        <v>286970.52595963125</v>
      </c>
    </row>
    <row r="9" spans="1:49" x14ac:dyDescent="0.2">
      <c r="A9" t="s">
        <v>14</v>
      </c>
      <c r="B9" s="41">
        <v>1015.9116825427475</v>
      </c>
      <c r="C9" s="42">
        <v>1005.7716594496609</v>
      </c>
      <c r="D9" s="41">
        <v>1014.4461258134293</v>
      </c>
      <c r="E9" s="42">
        <v>1072.9621450190223</v>
      </c>
      <c r="F9" s="41">
        <v>1012.9385544963311</v>
      </c>
      <c r="G9" s="42">
        <v>1148.8366267953779</v>
      </c>
      <c r="H9" s="41">
        <v>1011.3815962703695</v>
      </c>
      <c r="I9" s="42">
        <v>1235.0923039419044</v>
      </c>
      <c r="J9" s="41">
        <v>1009.7667359152043</v>
      </c>
      <c r="K9" s="42">
        <v>1333.8874188615064</v>
      </c>
      <c r="L9" s="41">
        <v>1008.0843593462536</v>
      </c>
      <c r="M9" s="42">
        <v>1448.0108700099777</v>
      </c>
      <c r="N9" s="41">
        <v>1006.3239056753126</v>
      </c>
      <c r="O9" s="42">
        <v>1581.1348962387865</v>
      </c>
      <c r="P9" s="41">
        <v>1004.4744526935837</v>
      </c>
      <c r="Q9" s="42">
        <v>1738.1935947203674</v>
      </c>
      <c r="R9" s="41">
        <v>1002.5259349147559</v>
      </c>
      <c r="S9" s="42">
        <v>1925.9902993239957</v>
      </c>
      <c r="T9" s="41">
        <v>1000.4716918874726</v>
      </c>
      <c r="U9" s="42">
        <v>2154.1898948894836</v>
      </c>
      <c r="V9" s="41">
        <v>998.31350053151425</v>
      </c>
      <c r="W9" s="42">
        <v>2437.0291088564304</v>
      </c>
      <c r="X9" s="41">
        <v>996.07144479800695</v>
      </c>
      <c r="Y9" s="42">
        <v>2796.4184707803888</v>
      </c>
      <c r="Z9" s="41">
        <v>993.8030966555566</v>
      </c>
      <c r="AA9" s="42">
        <v>3267.9275588853498</v>
      </c>
      <c r="AB9" s="41">
        <v>991.6403848162156</v>
      </c>
      <c r="AC9" s="42">
        <v>3913.1724522237641</v>
      </c>
      <c r="AD9" s="41">
        <v>989.85670981355565</v>
      </c>
      <c r="AE9" s="42">
        <v>4847.5569808819955</v>
      </c>
      <c r="AF9" s="41">
        <v>988.96728788962264</v>
      </c>
      <c r="AG9" s="42">
        <v>6307.8189878943185</v>
      </c>
      <c r="AH9" s="41">
        <v>989.77629168102521</v>
      </c>
      <c r="AI9" s="42">
        <v>8831.9535676431515</v>
      </c>
      <c r="AJ9" s="41">
        <v>993.02621164309971</v>
      </c>
      <c r="AK9" s="42">
        <v>13805.028450061653</v>
      </c>
      <c r="AL9" s="41">
        <v>998.39895394875612</v>
      </c>
      <c r="AM9" s="42">
        <v>25643.916638783026</v>
      </c>
      <c r="AN9" s="41">
        <v>1003.7866219056295</v>
      </c>
      <c r="AO9" s="42">
        <v>66528.085993607267</v>
      </c>
      <c r="AP9" s="41">
        <v>1004.4979607594505</v>
      </c>
      <c r="AQ9" s="42">
        <v>87091.664292624002</v>
      </c>
      <c r="AR9" s="41">
        <v>1004.9193201159547</v>
      </c>
      <c r="AS9" s="42">
        <v>119521.80856971511</v>
      </c>
      <c r="AT9" s="41">
        <v>1004.8846491469252</v>
      </c>
      <c r="AU9" s="42">
        <v>175566.08391922771</v>
      </c>
      <c r="AV9" s="41">
        <v>1004.0723433046099</v>
      </c>
      <c r="AW9" s="42">
        <v>286970.52595963125</v>
      </c>
    </row>
    <row r="10" spans="1:49" x14ac:dyDescent="0.2">
      <c r="A10" t="s">
        <v>15</v>
      </c>
      <c r="B10" s="41">
        <v>1015.9116825427475</v>
      </c>
      <c r="C10" s="42">
        <v>1005.7716594496609</v>
      </c>
      <c r="D10" s="41">
        <v>1014.4461258134293</v>
      </c>
      <c r="E10" s="42">
        <v>1072.9621450190223</v>
      </c>
      <c r="F10" s="41">
        <v>1012.9385544963311</v>
      </c>
      <c r="G10" s="42">
        <v>1148.8366267953779</v>
      </c>
      <c r="H10" s="41">
        <v>1011.3815962703695</v>
      </c>
      <c r="I10" s="42">
        <v>1235.0923039419044</v>
      </c>
      <c r="J10" s="41">
        <v>1009.7667359152043</v>
      </c>
      <c r="K10" s="42">
        <v>1333.8874188615064</v>
      </c>
      <c r="L10" s="41">
        <v>1008.0843593462536</v>
      </c>
      <c r="M10" s="42">
        <v>1448.0108700099777</v>
      </c>
      <c r="N10" s="41">
        <v>1006.3239056753126</v>
      </c>
      <c r="O10" s="42">
        <v>1581.1348962387865</v>
      </c>
      <c r="P10" s="41">
        <v>1004.4744526935837</v>
      </c>
      <c r="Q10" s="42">
        <v>1738.1935947203674</v>
      </c>
      <c r="R10" s="41">
        <v>1002.5259349147559</v>
      </c>
      <c r="S10" s="42">
        <v>1925.9902993239957</v>
      </c>
      <c r="T10" s="41">
        <v>1000.4716918874726</v>
      </c>
      <c r="U10" s="42">
        <v>2154.1898948894836</v>
      </c>
      <c r="V10" s="41">
        <v>998.31350053151425</v>
      </c>
      <c r="W10" s="42">
        <v>2437.0291088564304</v>
      </c>
      <c r="X10" s="41">
        <v>996.07144479800695</v>
      </c>
      <c r="Y10" s="42">
        <v>2796.4184707803888</v>
      </c>
      <c r="Z10" s="41">
        <v>993.8030966555566</v>
      </c>
      <c r="AA10" s="42">
        <v>3267.9275588853498</v>
      </c>
      <c r="AB10" s="41">
        <v>991.6403848162156</v>
      </c>
      <c r="AC10" s="42">
        <v>3913.1724522237641</v>
      </c>
      <c r="AD10" s="41">
        <v>989.85670981355565</v>
      </c>
      <c r="AE10" s="42">
        <v>4847.5569808819955</v>
      </c>
      <c r="AF10" s="41">
        <v>988.96728788962264</v>
      </c>
      <c r="AG10" s="42">
        <v>6307.8189878943185</v>
      </c>
      <c r="AH10" s="41">
        <v>989.77629168102521</v>
      </c>
      <c r="AI10" s="42">
        <v>8831.9535676431515</v>
      </c>
      <c r="AJ10" s="41">
        <v>993.02621164309971</v>
      </c>
      <c r="AK10" s="42">
        <v>13805.028450061653</v>
      </c>
      <c r="AL10" s="41">
        <v>998.39895394875612</v>
      </c>
      <c r="AM10" s="42">
        <v>25643.916638783026</v>
      </c>
      <c r="AN10" s="41">
        <v>1003.7866219056295</v>
      </c>
      <c r="AO10" s="42">
        <v>66528.085993607267</v>
      </c>
      <c r="AP10" s="41">
        <v>1004.4979607594505</v>
      </c>
      <c r="AQ10" s="42">
        <v>87091.664292624002</v>
      </c>
      <c r="AR10" s="41">
        <v>1004.9193201159547</v>
      </c>
      <c r="AS10" s="42">
        <v>119521.80856971511</v>
      </c>
      <c r="AT10" s="41">
        <v>1004.8846491469252</v>
      </c>
      <c r="AU10" s="42">
        <v>175566.08391922771</v>
      </c>
      <c r="AV10" s="41">
        <v>1004.0723433046099</v>
      </c>
      <c r="AW10" s="42">
        <v>286970.52595963125</v>
      </c>
    </row>
    <row r="11" spans="1:49" x14ac:dyDescent="0.2">
      <c r="A11" t="s">
        <v>29</v>
      </c>
      <c r="B11" s="41">
        <v>1015.9116825427475</v>
      </c>
      <c r="C11" s="42">
        <v>1005.7716594496609</v>
      </c>
      <c r="D11" s="41">
        <v>1014.4461258134293</v>
      </c>
      <c r="E11" s="42">
        <v>1072.9621450190223</v>
      </c>
      <c r="F11" s="41">
        <v>1012.9385544963311</v>
      </c>
      <c r="G11" s="42">
        <v>1148.8366267953779</v>
      </c>
      <c r="H11" s="41">
        <v>1011.3815962703695</v>
      </c>
      <c r="I11" s="42">
        <v>1235.0923039419044</v>
      </c>
      <c r="J11" s="41">
        <v>1009.7667359152043</v>
      </c>
      <c r="K11" s="42">
        <v>1333.8874188615064</v>
      </c>
      <c r="L11" s="41">
        <v>1008.0843593462536</v>
      </c>
      <c r="M11" s="42">
        <v>1448.0108700099777</v>
      </c>
      <c r="N11" s="41">
        <v>1006.3239056753126</v>
      </c>
      <c r="O11" s="42">
        <v>1581.1348962387865</v>
      </c>
      <c r="P11" s="41">
        <v>1004.4744526935837</v>
      </c>
      <c r="Q11" s="42">
        <v>1738.1935947203674</v>
      </c>
      <c r="R11" s="41">
        <v>1002.5259349147559</v>
      </c>
      <c r="S11" s="42">
        <v>1925.9902993239957</v>
      </c>
      <c r="T11" s="41">
        <v>1000.4716918874726</v>
      </c>
      <c r="U11" s="42">
        <v>2154.1898948894836</v>
      </c>
      <c r="V11" s="41">
        <v>998.31350053151425</v>
      </c>
      <c r="W11" s="42">
        <v>2437.0291088564304</v>
      </c>
      <c r="X11" s="41">
        <v>996.07144479800695</v>
      </c>
      <c r="Y11" s="42">
        <v>2796.4184707803888</v>
      </c>
      <c r="Z11" s="41">
        <v>993.8030966555566</v>
      </c>
      <c r="AA11" s="42">
        <v>3267.9275588853498</v>
      </c>
      <c r="AB11" s="41">
        <v>991.6403848162156</v>
      </c>
      <c r="AC11" s="42">
        <v>3913.1724522237641</v>
      </c>
      <c r="AD11" s="41">
        <v>989.85670981355565</v>
      </c>
      <c r="AE11" s="42">
        <v>4847.5569808819955</v>
      </c>
      <c r="AF11" s="41">
        <v>988.96728788962264</v>
      </c>
      <c r="AG11" s="42">
        <v>6307.8189878943185</v>
      </c>
      <c r="AH11" s="41">
        <v>989.77629168102521</v>
      </c>
      <c r="AI11" s="42">
        <v>8831.9535676431515</v>
      </c>
      <c r="AJ11" s="41">
        <v>993.02621164309971</v>
      </c>
      <c r="AK11" s="42">
        <v>13805.028450061653</v>
      </c>
      <c r="AL11" s="41">
        <v>998.39895394875612</v>
      </c>
      <c r="AM11" s="42">
        <v>25643.916638783026</v>
      </c>
      <c r="AN11" s="41">
        <v>1003.7866219056295</v>
      </c>
      <c r="AO11" s="42">
        <v>66528.085993607267</v>
      </c>
      <c r="AP11" s="41">
        <v>1004.4979607594505</v>
      </c>
      <c r="AQ11" s="42">
        <v>87091.664292624002</v>
      </c>
      <c r="AR11" s="41">
        <v>1004.9193201159547</v>
      </c>
      <c r="AS11" s="42">
        <v>119521.80856971511</v>
      </c>
      <c r="AT11" s="41">
        <v>1004.8846491469252</v>
      </c>
      <c r="AU11" s="42">
        <v>175566.08391922771</v>
      </c>
      <c r="AV11" s="41">
        <v>1004.0723433046099</v>
      </c>
      <c r="AW11" s="42">
        <v>286970.52595963125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998.64407164181944</v>
      </c>
      <c r="E13" s="98">
        <v>998.64407164181944</v>
      </c>
      <c r="F13" s="97">
        <v>996.96434920294109</v>
      </c>
      <c r="G13" s="98">
        <v>996.96434920294109</v>
      </c>
      <c r="H13" s="97">
        <v>994.9124230188927</v>
      </c>
      <c r="I13" s="98">
        <v>994.9124230188927</v>
      </c>
      <c r="J13" s="97">
        <v>992.42950673019106</v>
      </c>
      <c r="K13" s="98">
        <v>992.42950673019106</v>
      </c>
      <c r="L13" s="97">
        <v>989.44311991871939</v>
      </c>
      <c r="M13" s="98">
        <v>989.44311991871939</v>
      </c>
      <c r="N13" s="97">
        <v>985.86316800322481</v>
      </c>
      <c r="O13" s="98">
        <v>985.86316800322481</v>
      </c>
      <c r="P13" s="97">
        <v>981.57566249325407</v>
      </c>
      <c r="Q13" s="98">
        <v>981.57566249325407</v>
      </c>
      <c r="R13" s="97">
        <v>976.43388827110277</v>
      </c>
      <c r="S13" s="98">
        <v>976.43388827110277</v>
      </c>
      <c r="T13" s="97">
        <v>970.24504481127747</v>
      </c>
      <c r="U13" s="98">
        <v>970.24504481127747</v>
      </c>
      <c r="V13" s="97">
        <v>962.74888557073416</v>
      </c>
      <c r="W13" s="98">
        <v>962.74888557073416</v>
      </c>
      <c r="X13" s="97">
        <v>953.58273689283658</v>
      </c>
      <c r="Y13" s="98">
        <v>953.58273689283658</v>
      </c>
      <c r="Z13" s="97">
        <v>942.22027226437922</v>
      </c>
      <c r="AA13" s="98">
        <v>942.22027226437922</v>
      </c>
      <c r="AB13" s="97">
        <v>927.85796770502463</v>
      </c>
      <c r="AC13" s="98">
        <v>927.85796770502463</v>
      </c>
      <c r="AD13" s="97">
        <v>909.18905902471636</v>
      </c>
      <c r="AE13" s="98">
        <v>909.18905902471636</v>
      </c>
      <c r="AF13" s="97">
        <v>883.92093340375004</v>
      </c>
      <c r="AG13" s="98">
        <v>883.92093340375004</v>
      </c>
      <c r="AH13" s="97">
        <v>847.67138974518798</v>
      </c>
      <c r="AI13" s="98">
        <v>847.67138974518798</v>
      </c>
      <c r="AJ13" s="97">
        <v>791.24755650631778</v>
      </c>
      <c r="AK13" s="98">
        <v>791.24755650631778</v>
      </c>
      <c r="AL13" s="97">
        <v>692.79394102894412</v>
      </c>
      <c r="AM13" s="98">
        <v>692.79394102894412</v>
      </c>
      <c r="AN13" s="97">
        <v>486.86930976603719</v>
      </c>
      <c r="AO13" s="98">
        <v>486.86930976603719</v>
      </c>
      <c r="AP13" s="97">
        <v>417.25444551619296</v>
      </c>
      <c r="AQ13" s="98">
        <v>417.25444551619296</v>
      </c>
      <c r="AR13" s="97">
        <v>330.83323410579266</v>
      </c>
      <c r="AS13" s="98">
        <v>330.83323410579266</v>
      </c>
      <c r="AT13" s="97">
        <v>223.14805230683243</v>
      </c>
      <c r="AU13" s="98">
        <v>223.14805230683243</v>
      </c>
      <c r="AV13" s="97">
        <v>95.080196099422167</v>
      </c>
      <c r="AW13" s="98">
        <v>95.080196099422167</v>
      </c>
    </row>
    <row r="14" spans="1:49" x14ac:dyDescent="0.2">
      <c r="A14" t="s">
        <v>36</v>
      </c>
      <c r="B14" s="41">
        <v>1457.0034251455234</v>
      </c>
      <c r="C14" s="42">
        <v>1457.0034251455236</v>
      </c>
      <c r="D14" s="41">
        <v>1455.0278328834022</v>
      </c>
      <c r="E14" s="42">
        <v>1455.0278328834024</v>
      </c>
      <c r="F14" s="41">
        <v>1452.5804715366628</v>
      </c>
      <c r="G14" s="42">
        <v>1452.580471536663</v>
      </c>
      <c r="H14" s="41">
        <v>1449.5908080583583</v>
      </c>
      <c r="I14" s="42">
        <v>1449.5908080583586</v>
      </c>
      <c r="J14" s="41">
        <v>1445.9731905213705</v>
      </c>
      <c r="K14" s="42">
        <v>1445.9731905213707</v>
      </c>
      <c r="L14" s="41">
        <v>1441.622014708247</v>
      </c>
      <c r="M14" s="42">
        <v>1441.6220147082472</v>
      </c>
      <c r="N14" s="41">
        <v>1436.406012505515</v>
      </c>
      <c r="O14" s="42">
        <v>1436.4060125055153</v>
      </c>
      <c r="P14" s="41">
        <v>1430.1591022921573</v>
      </c>
      <c r="Q14" s="42">
        <v>1430.1591022921575</v>
      </c>
      <c r="R14" s="41">
        <v>1422.6675196391579</v>
      </c>
      <c r="S14" s="42">
        <v>1422.6675196391582</v>
      </c>
      <c r="T14" s="41">
        <v>1413.6503535205029</v>
      </c>
      <c r="U14" s="42">
        <v>1413.6503535205031</v>
      </c>
      <c r="V14" s="41">
        <v>1402.7284238315951</v>
      </c>
      <c r="W14" s="42">
        <v>1402.7284238315954</v>
      </c>
      <c r="X14" s="41">
        <v>1389.3733138125053</v>
      </c>
      <c r="Y14" s="42">
        <v>1389.3733138125056</v>
      </c>
      <c r="Z14" s="41">
        <v>1372.8181639307479</v>
      </c>
      <c r="AA14" s="42">
        <v>1372.8181639307481</v>
      </c>
      <c r="AB14" s="41">
        <v>1351.8922369947852</v>
      </c>
      <c r="AC14" s="42">
        <v>1351.8922369947854</v>
      </c>
      <c r="AD14" s="41">
        <v>1324.6915731038471</v>
      </c>
      <c r="AE14" s="42">
        <v>1324.6915731038473</v>
      </c>
      <c r="AF14" s="41">
        <v>1287.8758275270918</v>
      </c>
      <c r="AG14" s="42">
        <v>1287.875827527092</v>
      </c>
      <c r="AH14" s="41">
        <v>1235.0601182566047</v>
      </c>
      <c r="AI14" s="42">
        <v>1235.0601182566049</v>
      </c>
      <c r="AJ14" s="41">
        <v>1152.8503999677309</v>
      </c>
      <c r="AK14" s="42">
        <v>1152.8503999677312</v>
      </c>
      <c r="AL14" s="41">
        <v>1009.4031449992373</v>
      </c>
      <c r="AM14" s="42">
        <v>1009.4031449992374</v>
      </c>
      <c r="AN14" s="41">
        <v>709.37025192735291</v>
      </c>
      <c r="AO14" s="42">
        <v>709.37025192735302</v>
      </c>
      <c r="AP14" s="41">
        <v>607.94115627428926</v>
      </c>
      <c r="AQ14" s="42">
        <v>607.94115627428937</v>
      </c>
      <c r="AR14" s="41">
        <v>482.02515524411064</v>
      </c>
      <c r="AS14" s="42">
        <v>482.02515524411075</v>
      </c>
      <c r="AT14" s="41">
        <v>325.12747652560722</v>
      </c>
      <c r="AU14" s="42">
        <v>325.12747652560728</v>
      </c>
      <c r="AV14" s="41">
        <v>138.53217138036612</v>
      </c>
      <c r="AW14" s="42">
        <v>138.53217138036615</v>
      </c>
    </row>
    <row r="15" spans="1:49" x14ac:dyDescent="0.2">
      <c r="A15" t="s">
        <v>18</v>
      </c>
      <c r="B15" s="154">
        <v>1000</v>
      </c>
      <c r="C15" s="155">
        <v>1000</v>
      </c>
      <c r="D15" s="154">
        <v>992.49536348903769</v>
      </c>
      <c r="E15" s="155">
        <v>992.49536348903769</v>
      </c>
      <c r="F15" s="154">
        <v>984.73985284974981</v>
      </c>
      <c r="G15" s="155">
        <v>984.73985284974981</v>
      </c>
      <c r="H15" s="154">
        <v>976.69203577300118</v>
      </c>
      <c r="I15" s="155">
        <v>976.69203577300118</v>
      </c>
      <c r="J15" s="154">
        <v>968.30184249765739</v>
      </c>
      <c r="K15" s="155">
        <v>968.30184249765739</v>
      </c>
      <c r="L15" s="154">
        <v>959.5085910641975</v>
      </c>
      <c r="M15" s="155">
        <v>959.5085910641975</v>
      </c>
      <c r="N15" s="154">
        <v>950.23732251070942</v>
      </c>
      <c r="O15" s="155">
        <v>950.23732251070942</v>
      </c>
      <c r="P15" s="154">
        <v>940.39492145774705</v>
      </c>
      <c r="Q15" s="155">
        <v>940.39492145774705</v>
      </c>
      <c r="R15" s="154">
        <v>929.8635553314474</v>
      </c>
      <c r="S15" s="155">
        <v>929.8635553314474</v>
      </c>
      <c r="T15" s="154">
        <v>918.49106959392282</v>
      </c>
      <c r="U15" s="155">
        <v>918.49106959392282</v>
      </c>
      <c r="V15" s="154">
        <v>906.07583757396799</v>
      </c>
      <c r="W15" s="155">
        <v>906.07583757396799</v>
      </c>
      <c r="X15" s="154">
        <v>892.34105828168958</v>
      </c>
      <c r="Y15" s="155">
        <v>892.34105828168958</v>
      </c>
      <c r="Z15" s="154">
        <v>876.88853208449257</v>
      </c>
      <c r="AA15" s="155">
        <v>876.88853208449257</v>
      </c>
      <c r="AB15" s="154">
        <v>859.10854171118331</v>
      </c>
      <c r="AC15" s="155">
        <v>859.10854171118331</v>
      </c>
      <c r="AD15" s="154">
        <v>837.98877680649048</v>
      </c>
      <c r="AE15" s="155">
        <v>837.98877680649048</v>
      </c>
      <c r="AF15" s="154">
        <v>811.67448081917701</v>
      </c>
      <c r="AG15" s="155">
        <v>811.67448081917701</v>
      </c>
      <c r="AH15" s="154">
        <v>776.39385632104791</v>
      </c>
      <c r="AI15" s="155">
        <v>776.39385632104791</v>
      </c>
      <c r="AJ15" s="154">
        <v>723.7670860174112</v>
      </c>
      <c r="AK15" s="155">
        <v>723.7670860174112</v>
      </c>
      <c r="AL15" s="154">
        <v>633.45296550840749</v>
      </c>
      <c r="AM15" s="155">
        <v>633.45296550840749</v>
      </c>
      <c r="AN15" s="154">
        <v>445.1413197693646</v>
      </c>
      <c r="AO15" s="155">
        <v>445.1413197693646</v>
      </c>
      <c r="AP15" s="154">
        <v>381.49247729913077</v>
      </c>
      <c r="AQ15" s="155">
        <v>381.49247729913077</v>
      </c>
      <c r="AR15" s="154">
        <v>302.47810242862948</v>
      </c>
      <c r="AS15" s="155">
        <v>302.47810242862948</v>
      </c>
      <c r="AT15" s="154">
        <v>204.02239793218911</v>
      </c>
      <c r="AU15" s="155">
        <v>204.02239793218911</v>
      </c>
      <c r="AV15" s="154">
        <v>86.931025214929008</v>
      </c>
      <c r="AW15" s="155">
        <v>86.931025214929008</v>
      </c>
    </row>
    <row r="16" spans="1:49" s="29" customFormat="1" x14ac:dyDescent="0.2">
      <c r="A16" t="s">
        <v>61</v>
      </c>
      <c r="B16" s="41">
        <v>1000</v>
      </c>
      <c r="C16" s="42">
        <v>1000</v>
      </c>
      <c r="D16" s="41">
        <v>995.77217563625527</v>
      </c>
      <c r="E16" s="42">
        <v>994.24978330359886</v>
      </c>
      <c r="F16" s="41">
        <v>991.25180455424345</v>
      </c>
      <c r="G16" s="42">
        <v>988.22673300815109</v>
      </c>
      <c r="H16" s="41">
        <v>986.39380012875995</v>
      </c>
      <c r="I16" s="42">
        <v>981.88745108697469</v>
      </c>
      <c r="J16" s="41">
        <v>981.14352111028245</v>
      </c>
      <c r="K16" s="42">
        <v>975.17940984505003</v>
      </c>
      <c r="L16" s="41">
        <v>975.43408281859081</v>
      </c>
      <c r="M16" s="42">
        <v>968.03859463896345</v>
      </c>
      <c r="N16" s="41">
        <v>969.18256585224287</v>
      </c>
      <c r="O16" s="42">
        <v>960.38577024709559</v>
      </c>
      <c r="P16" s="41">
        <v>962.28486510283403</v>
      </c>
      <c r="Q16" s="42">
        <v>952.12191964978319</v>
      </c>
      <c r="R16" s="41">
        <v>954.60793476193112</v>
      </c>
      <c r="S16" s="42">
        <v>943.12104186017871</v>
      </c>
      <c r="T16" s="41">
        <v>945.97820811401743</v>
      </c>
      <c r="U16" s="42">
        <v>933.21948641631445</v>
      </c>
      <c r="V16" s="41">
        <v>936.16317792333234</v>
      </c>
      <c r="W16" s="42">
        <v>922.19904780504351</v>
      </c>
      <c r="X16" s="41">
        <v>924.84081393067379</v>
      </c>
      <c r="Y16" s="42">
        <v>909.75864247319134</v>
      </c>
      <c r="Z16" s="41">
        <v>911.54544622109563</v>
      </c>
      <c r="AA16" s="42">
        <v>895.46384628147325</v>
      </c>
      <c r="AB16" s="41">
        <v>895.5653176969779</v>
      </c>
      <c r="AC16" s="42">
        <v>878.65015609558361</v>
      </c>
      <c r="AD16" s="41">
        <v>875.73308431878615</v>
      </c>
      <c r="AE16" s="42">
        <v>858.22202387337484</v>
      </c>
      <c r="AF16" s="41">
        <v>849.96335769764403</v>
      </c>
      <c r="AG16" s="42">
        <v>832.20087915670206</v>
      </c>
      <c r="AH16" s="41">
        <v>814.16241321798043</v>
      </c>
      <c r="AI16" s="42">
        <v>796.64214996366798</v>
      </c>
      <c r="AJ16" s="41">
        <v>759.5203632012018</v>
      </c>
      <c r="AK16" s="42">
        <v>742.93536082747096</v>
      </c>
      <c r="AL16" s="41">
        <v>664.89278472169269</v>
      </c>
      <c r="AM16" s="42">
        <v>650.3087916168879</v>
      </c>
      <c r="AN16" s="41">
        <v>467.24940245769869</v>
      </c>
      <c r="AO16" s="42">
        <v>456.99413407251757</v>
      </c>
      <c r="AP16" s="41">
        <v>400.43967523436237</v>
      </c>
      <c r="AQ16" s="42">
        <v>391.65064552162681</v>
      </c>
      <c r="AR16" s="41">
        <v>317.50105284314742</v>
      </c>
      <c r="AS16" s="42">
        <v>310.53236243809391</v>
      </c>
      <c r="AT16" s="41">
        <v>214.15544043348521</v>
      </c>
      <c r="AU16" s="42">
        <v>209.45502980061374</v>
      </c>
      <c r="AV16" s="41">
        <v>91.248571328337292</v>
      </c>
      <c r="AW16" s="42">
        <v>89.245792823523544</v>
      </c>
    </row>
    <row r="17" spans="1:49" x14ac:dyDescent="0.2">
      <c r="A17" t="s">
        <v>62</v>
      </c>
      <c r="B17" s="35">
        <v>1000.0000000000002</v>
      </c>
      <c r="C17" s="36">
        <v>999.99999999999977</v>
      </c>
      <c r="D17" s="35">
        <v>998.68896675042436</v>
      </c>
      <c r="E17" s="36">
        <v>1032.7002954938418</v>
      </c>
      <c r="F17" s="35">
        <v>997.34195894826894</v>
      </c>
      <c r="G17" s="36">
        <v>1069.4921649225005</v>
      </c>
      <c r="H17" s="35">
        <v>995.95254961212015</v>
      </c>
      <c r="I17" s="36">
        <v>1111.1475463819534</v>
      </c>
      <c r="J17" s="35">
        <v>994.51332333457435</v>
      </c>
      <c r="K17" s="36">
        <v>1158.6442659589527</v>
      </c>
      <c r="L17" s="35">
        <v>993.01592956780553</v>
      </c>
      <c r="M17" s="36">
        <v>1213.2413314353735</v>
      </c>
      <c r="N17" s="35">
        <v>991.45126728485332</v>
      </c>
      <c r="O17" s="36">
        <v>1276.590782373785</v>
      </c>
      <c r="P17" s="35">
        <v>989.8099496177216</v>
      </c>
      <c r="Q17" s="36">
        <v>1350.9049355934687</v>
      </c>
      <c r="R17" s="35">
        <v>988.08343602899367</v>
      </c>
      <c r="S17" s="36">
        <v>1439.2247368643032</v>
      </c>
      <c r="T17" s="35">
        <v>986.26628089005749</v>
      </c>
      <c r="U17" s="36">
        <v>1545.8572241489182</v>
      </c>
      <c r="V17" s="35">
        <v>984.36054637630139</v>
      </c>
      <c r="W17" s="36">
        <v>1677.1282365414074</v>
      </c>
      <c r="X17" s="35">
        <v>982.38443570354809</v>
      </c>
      <c r="Y17" s="36">
        <v>1842.7441893531166</v>
      </c>
      <c r="Z17" s="35">
        <v>980.38898499408629</v>
      </c>
      <c r="AA17" s="36">
        <v>2058.4115140639992</v>
      </c>
      <c r="AB17" s="35">
        <v>978.49006128493966</v>
      </c>
      <c r="AC17" s="36">
        <v>2351.236385959332</v>
      </c>
      <c r="AD17" s="35">
        <v>976.92660866740039</v>
      </c>
      <c r="AE17" s="36">
        <v>2771.7557478950744</v>
      </c>
      <c r="AF17" s="35">
        <v>976.1479005899763</v>
      </c>
      <c r="AG17" s="36">
        <v>3423.0444222067449</v>
      </c>
      <c r="AH17" s="35">
        <v>976.85617529487365</v>
      </c>
      <c r="AI17" s="36">
        <v>4537.6918860885253</v>
      </c>
      <c r="AJ17" s="35">
        <v>979.70644886187563</v>
      </c>
      <c r="AK17" s="36">
        <v>6710.0290472518918</v>
      </c>
      <c r="AL17" s="35">
        <v>984.43593778108504</v>
      </c>
      <c r="AM17" s="36">
        <v>11824.968682276209</v>
      </c>
      <c r="AN17" s="35">
        <v>989.20016614497433</v>
      </c>
      <c r="AO17" s="36">
        <v>29327.839866027643</v>
      </c>
      <c r="AP17" s="35">
        <v>989.83079479693833</v>
      </c>
      <c r="AQ17" s="36">
        <v>38105.714232382124</v>
      </c>
      <c r="AR17" s="35">
        <v>990.20452130886042</v>
      </c>
      <c r="AS17" s="36">
        <v>51940.148272533319</v>
      </c>
      <c r="AT17" s="35">
        <v>990.17376481885572</v>
      </c>
      <c r="AU17" s="36">
        <v>75842.950803406246</v>
      </c>
      <c r="AV17" s="35">
        <v>989.45342411926686</v>
      </c>
      <c r="AW17" s="36">
        <v>123377.24731747918</v>
      </c>
    </row>
    <row r="18" spans="1:49" x14ac:dyDescent="0.2">
      <c r="A18" t="s">
        <v>19</v>
      </c>
      <c r="B18" s="33">
        <v>27857.010133999996</v>
      </c>
      <c r="C18" s="34">
        <v>1236.7674480000003</v>
      </c>
      <c r="D18" s="33">
        <v>27871.16996779832</v>
      </c>
      <c r="E18" s="34">
        <v>1150.7882773945437</v>
      </c>
      <c r="F18" s="33">
        <v>27881.426183654854</v>
      </c>
      <c r="G18" s="34">
        <v>1064.9189993550001</v>
      </c>
      <c r="H18" s="33">
        <v>27887.179528789962</v>
      </c>
      <c r="I18" s="34">
        <v>979.18668990285403</v>
      </c>
      <c r="J18" s="33">
        <v>27887.691456660388</v>
      </c>
      <c r="K18" s="34">
        <v>893.62889952108833</v>
      </c>
      <c r="L18" s="33">
        <v>27882.031705943169</v>
      </c>
      <c r="M18" s="34">
        <v>808.30799620406822</v>
      </c>
      <c r="N18" s="33">
        <v>27869.014481662172</v>
      </c>
      <c r="O18" s="34">
        <v>723.31108726971388</v>
      </c>
      <c r="P18" s="33">
        <v>27847.090198099097</v>
      </c>
      <c r="Q18" s="34">
        <v>638.77650627326693</v>
      </c>
      <c r="R18" s="33">
        <v>27814.186347506198</v>
      </c>
      <c r="S18" s="34">
        <v>554.91707959015298</v>
      </c>
      <c r="T18" s="33">
        <v>27767.454700932543</v>
      </c>
      <c r="U18" s="34">
        <v>472.06073436421525</v>
      </c>
      <c r="V18" s="33">
        <v>27702.851199945679</v>
      </c>
      <c r="W18" s="34">
        <v>390.71867397759348</v>
      </c>
      <c r="X18" s="33">
        <v>27614.421203624355</v>
      </c>
      <c r="Y18" s="34">
        <v>311.68670979645418</v>
      </c>
      <c r="Z18" s="33">
        <v>27493.018435769041</v>
      </c>
      <c r="AA18" s="34">
        <v>236.20508804532071</v>
      </c>
      <c r="AB18" s="33">
        <v>27323.909812870428</v>
      </c>
      <c r="AC18" s="34">
        <v>166.18955760182664</v>
      </c>
      <c r="AD18" s="33">
        <v>27082.103414761586</v>
      </c>
      <c r="AE18" s="34">
        <v>104.50773478540921</v>
      </c>
      <c r="AF18" s="33">
        <v>26722.981734306315</v>
      </c>
      <c r="AG18" s="34">
        <v>55.053025739459798</v>
      </c>
      <c r="AH18" s="33">
        <v>26163.163040456409</v>
      </c>
      <c r="AI18" s="34">
        <v>21.765803251811441</v>
      </c>
      <c r="AJ18" s="33">
        <v>25236.867351808145</v>
      </c>
      <c r="AK18" s="34">
        <v>5.403862752656666</v>
      </c>
      <c r="AL18" s="33">
        <v>23549.335721031573</v>
      </c>
      <c r="AM18" s="34">
        <v>0.62221160622212046</v>
      </c>
      <c r="AN18" s="33">
        <v>19686.747696478578</v>
      </c>
      <c r="AO18" s="34">
        <v>1.5388635463654458E-2</v>
      </c>
      <c r="AP18" s="33">
        <v>18218.351464220283</v>
      </c>
      <c r="AQ18" s="34">
        <v>5.0317888774786016E-3</v>
      </c>
      <c r="AR18" s="33">
        <v>16218.807628586626</v>
      </c>
      <c r="AS18" s="34">
        <v>1.2924920557256456E-3</v>
      </c>
      <c r="AT18" s="33">
        <v>13320.442906752705</v>
      </c>
      <c r="AU18" s="34">
        <v>2.2849223873319883E-4</v>
      </c>
      <c r="AV18" s="33">
        <v>8698.5906917833399</v>
      </c>
      <c r="AW18" s="34">
        <v>2.0214566068057855E-5</v>
      </c>
    </row>
    <row r="19" spans="1:49" x14ac:dyDescent="0.2">
      <c r="A19" t="s">
        <v>3</v>
      </c>
      <c r="B19" s="41">
        <v>1886.3937399999918</v>
      </c>
      <c r="C19" s="42">
        <v>262.78711299999759</v>
      </c>
      <c r="D19" s="41">
        <v>1880.8239249156809</v>
      </c>
      <c r="E19" s="42">
        <v>268.75679914720416</v>
      </c>
      <c r="F19" s="41">
        <v>1874.8093570073147</v>
      </c>
      <c r="G19" s="42">
        <v>275.57222796720657</v>
      </c>
      <c r="H19" s="41">
        <v>1868.2807764915888</v>
      </c>
      <c r="I19" s="42">
        <v>283.33813360113226</v>
      </c>
      <c r="J19" s="41">
        <v>1861.155588943067</v>
      </c>
      <c r="K19" s="42">
        <v>292.17051657674835</v>
      </c>
      <c r="L19" s="41">
        <v>1853.3349335673638</v>
      </c>
      <c r="M19" s="42">
        <v>302.19459911879147</v>
      </c>
      <c r="N19" s="41">
        <v>1844.7006342495856</v>
      </c>
      <c r="O19" s="42">
        <v>313.54154368623188</v>
      </c>
      <c r="P19" s="41">
        <v>1835.1112990433155</v>
      </c>
      <c r="Q19" s="42">
        <v>326.33560610706468</v>
      </c>
      <c r="R19" s="41">
        <v>1824.3981270556872</v>
      </c>
      <c r="S19" s="42">
        <v>340.67434694703456</v>
      </c>
      <c r="T19" s="41">
        <v>1812.3607245982507</v>
      </c>
      <c r="U19" s="42">
        <v>356.58725273823518</v>
      </c>
      <c r="V19" s="41">
        <v>1798.7631882116591</v>
      </c>
      <c r="W19" s="42">
        <v>373.95786690444061</v>
      </c>
      <c r="X19" s="41">
        <v>1783.3322521146192</v>
      </c>
      <c r="Y19" s="42">
        <v>392.37568758046251</v>
      </c>
      <c r="Z19" s="41">
        <v>1765.7584584840015</v>
      </c>
      <c r="AA19" s="42">
        <v>410.85477745840166</v>
      </c>
      <c r="AB19" s="41">
        <v>1745.6982808344969</v>
      </c>
      <c r="AC19" s="42">
        <v>427.30496486609718</v>
      </c>
      <c r="AD19" s="41">
        <v>1722.7474205869776</v>
      </c>
      <c r="AE19" s="42">
        <v>437.5901830483059</v>
      </c>
      <c r="AF19" s="41">
        <v>1696.2175535391714</v>
      </c>
      <c r="AG19" s="42">
        <v>434.1619149897673</v>
      </c>
      <c r="AH19" s="41">
        <v>1663.9653660014669</v>
      </c>
      <c r="AI19" s="42">
        <v>405.48560811820983</v>
      </c>
      <c r="AJ19" s="41">
        <v>1617.8009902015874</v>
      </c>
      <c r="AK19" s="42">
        <v>340.69141635472323</v>
      </c>
      <c r="AL19" s="41">
        <v>1529.3882309638093</v>
      </c>
      <c r="AM19" s="42">
        <v>241.27223958774263</v>
      </c>
      <c r="AN19" s="41">
        <v>1295.2116949786252</v>
      </c>
      <c r="AO19" s="42">
        <v>122.97719554623046</v>
      </c>
      <c r="AP19" s="41">
        <v>1200.6491489590321</v>
      </c>
      <c r="AQ19" s="42">
        <v>98.489317627234925</v>
      </c>
      <c r="AR19" s="41">
        <v>1069.951646392976</v>
      </c>
      <c r="AS19" s="42">
        <v>73.913591810378279</v>
      </c>
      <c r="AT19" s="41">
        <v>878.67414400165137</v>
      </c>
      <c r="AU19" s="42">
        <v>49.291607907052722</v>
      </c>
      <c r="AV19" s="41">
        <v>572.68141935015649</v>
      </c>
      <c r="AW19" s="42">
        <v>24.649188343713025</v>
      </c>
    </row>
    <row r="20" spans="1:49" x14ac:dyDescent="0.2">
      <c r="A20" t="s">
        <v>127</v>
      </c>
      <c r="B20" s="82">
        <v>26548.356269999993</v>
      </c>
      <c r="C20" s="83">
        <v>1408.5418709999938</v>
      </c>
      <c r="D20" s="82">
        <v>26546.505769094238</v>
      </c>
      <c r="E20" s="83">
        <v>1338.1147774499941</v>
      </c>
      <c r="F20" s="82">
        <v>26540.439409186642</v>
      </c>
      <c r="G20" s="83">
        <v>1267.6876838999945</v>
      </c>
      <c r="H20" s="82">
        <v>26529.511394575457</v>
      </c>
      <c r="I20" s="83">
        <v>1197.2605903499946</v>
      </c>
      <c r="J20" s="82">
        <v>26512.932157787858</v>
      </c>
      <c r="K20" s="83">
        <v>1126.8334967999949</v>
      </c>
      <c r="L20" s="82">
        <v>26489.719420038196</v>
      </c>
      <c r="M20" s="83">
        <v>1056.4064032499953</v>
      </c>
      <c r="N20" s="82">
        <v>26458.640007718073</v>
      </c>
      <c r="O20" s="83">
        <v>985.97930969999561</v>
      </c>
      <c r="P20" s="82">
        <v>26418.11447304377</v>
      </c>
      <c r="Q20" s="83">
        <v>915.55221614999607</v>
      </c>
      <c r="R20" s="82">
        <v>26366.081152643597</v>
      </c>
      <c r="S20" s="83">
        <v>845.12512259999642</v>
      </c>
      <c r="T20" s="82">
        <v>26299.787046541209</v>
      </c>
      <c r="U20" s="83">
        <v>774.69802904999653</v>
      </c>
      <c r="V20" s="82">
        <v>26215.449111030717</v>
      </c>
      <c r="W20" s="83">
        <v>704.27093549999688</v>
      </c>
      <c r="X20" s="82">
        <v>26107.69218564418</v>
      </c>
      <c r="Y20" s="83">
        <v>633.84384194999723</v>
      </c>
      <c r="Z20" s="82">
        <v>25968.556156623574</v>
      </c>
      <c r="AA20" s="83">
        <v>563.41674839999746</v>
      </c>
      <c r="AB20" s="82">
        <v>25785.643465633391</v>
      </c>
      <c r="AC20" s="83">
        <v>492.98965484999781</v>
      </c>
      <c r="AD20" s="82">
        <v>25538.427075456111</v>
      </c>
      <c r="AE20" s="83">
        <v>422.56256129999809</v>
      </c>
      <c r="AF20" s="82">
        <v>25190.390478280606</v>
      </c>
      <c r="AG20" s="83">
        <v>352.13546774999827</v>
      </c>
      <c r="AH20" s="82">
        <v>24671.036086250169</v>
      </c>
      <c r="AI20" s="83">
        <v>281.70837419999856</v>
      </c>
      <c r="AJ20" s="82">
        <v>23829.826053967819</v>
      </c>
      <c r="AK20" s="83">
        <v>211.28128064999879</v>
      </c>
      <c r="AL20" s="82">
        <v>22285.722010423033</v>
      </c>
      <c r="AM20" s="83">
        <v>140.85418709999902</v>
      </c>
      <c r="AN20" s="82">
        <v>18671.325506703331</v>
      </c>
      <c r="AO20" s="83">
        <v>70.42709354999927</v>
      </c>
      <c r="AP20" s="82">
        <v>17283.63945639673</v>
      </c>
      <c r="AQ20" s="83">
        <v>56.341674839999328</v>
      </c>
      <c r="AR20" s="82">
        <v>15389.30330964428</v>
      </c>
      <c r="AS20" s="83">
        <v>42.256256129999379</v>
      </c>
      <c r="AT20" s="82">
        <v>12638.997351506978</v>
      </c>
      <c r="AU20" s="83">
        <v>28.170837419999433</v>
      </c>
      <c r="AV20" s="82">
        <v>8250.8802254679485</v>
      </c>
      <c r="AW20" s="83">
        <v>14.08541870999948</v>
      </c>
    </row>
    <row r="21" spans="1:49" x14ac:dyDescent="0.2">
      <c r="A21" t="s">
        <v>76</v>
      </c>
      <c r="B21" s="82">
        <v>24661.962529999968</v>
      </c>
      <c r="C21" s="83">
        <v>1145.7547579999991</v>
      </c>
      <c r="D21" s="82">
        <v>24665.686069944386</v>
      </c>
      <c r="E21" s="83">
        <v>1069.5765019061084</v>
      </c>
      <c r="F21" s="82">
        <v>24665.64743931868</v>
      </c>
      <c r="G21" s="83">
        <v>993.050135256717</v>
      </c>
      <c r="H21" s="82">
        <v>24661.270967290169</v>
      </c>
      <c r="I21" s="83">
        <v>916.17731105813402</v>
      </c>
      <c r="J21" s="82">
        <v>24651.85076591876</v>
      </c>
      <c r="K21" s="83">
        <v>838.97303459143222</v>
      </c>
      <c r="L21" s="82">
        <v>24636.504767378123</v>
      </c>
      <c r="M21" s="83">
        <v>761.47340929721156</v>
      </c>
      <c r="N21" s="82">
        <v>24614.119632136637</v>
      </c>
      <c r="O21" s="83">
        <v>683.74573395847415</v>
      </c>
      <c r="P21" s="82">
        <v>24583.259289769925</v>
      </c>
      <c r="Q21" s="83">
        <v>605.9080918606046</v>
      </c>
      <c r="R21" s="82">
        <v>24542.033151016454</v>
      </c>
      <c r="S21" s="83">
        <v>528.15515965894133</v>
      </c>
      <c r="T21" s="82">
        <v>24487.890986023507</v>
      </c>
      <c r="U21" s="83">
        <v>450.80060237915831</v>
      </c>
      <c r="V21" s="82">
        <v>24417.287630722974</v>
      </c>
      <c r="W21" s="83">
        <v>374.34261030450386</v>
      </c>
      <c r="X21" s="82">
        <v>24325.121582801807</v>
      </c>
      <c r="Y21" s="83">
        <v>299.56650047928713</v>
      </c>
      <c r="Z21" s="82">
        <v>24203.738422820039</v>
      </c>
      <c r="AA21" s="83">
        <v>227.70286573020107</v>
      </c>
      <c r="AB21" s="82">
        <v>24041.070973206901</v>
      </c>
      <c r="AC21" s="83">
        <v>160.6576672149134</v>
      </c>
      <c r="AD21" s="82">
        <v>23816.964551514116</v>
      </c>
      <c r="AE21" s="83">
        <v>101.28621126255325</v>
      </c>
      <c r="AF21" s="82">
        <v>23495.528315641037</v>
      </c>
      <c r="AG21" s="83">
        <v>53.473086972123724</v>
      </c>
      <c r="AH21" s="82">
        <v>23008.319650517908</v>
      </c>
      <c r="AI21" s="83">
        <v>21.177644803078888</v>
      </c>
      <c r="AJ21" s="82">
        <v>22212.950045980644</v>
      </c>
      <c r="AK21" s="83">
        <v>5.2638680730338079</v>
      </c>
      <c r="AL21" s="82">
        <v>20756.840335089833</v>
      </c>
      <c r="AM21" s="83">
        <v>0.60643879223981378</v>
      </c>
      <c r="AN21" s="82">
        <v>17376.317251464876</v>
      </c>
      <c r="AO21" s="83">
        <v>1.5001192153861776E-2</v>
      </c>
      <c r="AP21" s="82">
        <v>16083.15717909004</v>
      </c>
      <c r="AQ21" s="83">
        <v>4.9051513083996842E-3</v>
      </c>
      <c r="AR21" s="82">
        <v>14319.489477410913</v>
      </c>
      <c r="AS21" s="83">
        <v>1.2599708707996622E-3</v>
      </c>
      <c r="AT21" s="82">
        <v>11760.437107264646</v>
      </c>
      <c r="AU21" s="83">
        <v>2.2274359781993995E-4</v>
      </c>
      <c r="AV21" s="82">
        <v>7678.2845193783514</v>
      </c>
      <c r="AW21" s="83">
        <v>1.9706008898285982E-5</v>
      </c>
    </row>
    <row r="22" spans="1:49" x14ac:dyDescent="0.2">
      <c r="A22" t="s">
        <v>28</v>
      </c>
      <c r="B22" s="41">
        <v>6533.6044688320644</v>
      </c>
      <c r="C22" s="42">
        <v>379.90788307663382</v>
      </c>
      <c r="D22" s="41">
        <v>6534.8394131208252</v>
      </c>
      <c r="E22" s="42">
        <v>364.96068410287933</v>
      </c>
      <c r="F22" s="41">
        <v>6534.5927006825186</v>
      </c>
      <c r="G22" s="42">
        <v>349.7314047502129</v>
      </c>
      <c r="H22" s="41">
        <v>6532.6458688751854</v>
      </c>
      <c r="I22" s="42">
        <v>334.20936449069114</v>
      </c>
      <c r="J22" s="41">
        <v>6528.7331571424347</v>
      </c>
      <c r="K22" s="42">
        <v>318.38238453798738</v>
      </c>
      <c r="L22" s="41">
        <v>6522.5244720350875</v>
      </c>
      <c r="M22" s="42">
        <v>302.2358408295575</v>
      </c>
      <c r="N22" s="41">
        <v>6513.6105522395355</v>
      </c>
      <c r="O22" s="42">
        <v>285.75165896587066</v>
      </c>
      <c r="P22" s="41">
        <v>6501.4691101603876</v>
      </c>
      <c r="Q22" s="42">
        <v>268.90713450227986</v>
      </c>
      <c r="R22" s="41">
        <v>6485.4249286804506</v>
      </c>
      <c r="S22" s="42">
        <v>251.67247963178644</v>
      </c>
      <c r="T22" s="41">
        <v>6464.5860278011796</v>
      </c>
      <c r="U22" s="42">
        <v>234.00782681329017</v>
      </c>
      <c r="V22" s="41">
        <v>6437.7415261374072</v>
      </c>
      <c r="W22" s="42">
        <v>215.85857135904854</v>
      </c>
      <c r="X22" s="41">
        <v>6403.1962161362844</v>
      </c>
      <c r="Y22" s="42">
        <v>197.14903426095279</v>
      </c>
      <c r="Z22" s="41">
        <v>6358.4821736514214</v>
      </c>
      <c r="AA22" s="42">
        <v>177.77408656995496</v>
      </c>
      <c r="AB22" s="41">
        <v>6299.8298615485319</v>
      </c>
      <c r="AC22" s="42">
        <v>157.59054850668929</v>
      </c>
      <c r="AD22" s="41">
        <v>6221.1233453218629</v>
      </c>
      <c r="AE22" s="42">
        <v>136.41650384840727</v>
      </c>
      <c r="AF22" s="41">
        <v>6111.6775483944884</v>
      </c>
      <c r="AG22" s="42">
        <v>114.06779494627177</v>
      </c>
      <c r="AH22" s="41">
        <v>5951.0920412920304</v>
      </c>
      <c r="AI22" s="42">
        <v>90.499794989728912</v>
      </c>
      <c r="AJ22" s="41">
        <v>5696.0983410284753</v>
      </c>
      <c r="AK22" s="42">
        <v>66.095017215333741</v>
      </c>
      <c r="AL22" s="41">
        <v>5240.1835319101383</v>
      </c>
      <c r="AM22" s="42">
        <v>41.812825477045806</v>
      </c>
      <c r="AN22" s="41">
        <v>4231.2174852613525</v>
      </c>
      <c r="AO22" s="42">
        <v>18.936577981921328</v>
      </c>
      <c r="AP22" s="41">
        <v>3864.5100414356434</v>
      </c>
      <c r="AQ22" s="42">
        <v>14.681337083353357</v>
      </c>
      <c r="AR22" s="41">
        <v>3380.6713602875384</v>
      </c>
      <c r="AS22" s="42">
        <v>10.590785747798023</v>
      </c>
      <c r="AT22" s="41">
        <v>2709.4949287932031</v>
      </c>
      <c r="AU22" s="42">
        <v>6.713336493284161</v>
      </c>
      <c r="AV22" s="41">
        <v>1705.6166072776064</v>
      </c>
      <c r="AW22" s="42">
        <v>3.130006817110063</v>
      </c>
    </row>
    <row r="23" spans="1:49" x14ac:dyDescent="0.2">
      <c r="A23" t="s">
        <v>7</v>
      </c>
      <c r="B23" s="116">
        <v>3278.5018080150408</v>
      </c>
      <c r="C23" s="8">
        <v>0</v>
      </c>
      <c r="D23" s="116">
        <v>3283.7834143309215</v>
      </c>
      <c r="E23" s="8">
        <v>0</v>
      </c>
      <c r="F23" s="116">
        <v>3288.7145528798146</v>
      </c>
      <c r="G23" s="8">
        <v>0</v>
      </c>
      <c r="H23" s="116">
        <v>3293.2387640834791</v>
      </c>
      <c r="I23" s="8">
        <v>0</v>
      </c>
      <c r="J23" s="116">
        <v>3297.2867742579092</v>
      </c>
      <c r="K23" s="8">
        <v>0</v>
      </c>
      <c r="L23" s="116">
        <v>3300.7714501322657</v>
      </c>
      <c r="M23" s="8">
        <v>0</v>
      </c>
      <c r="N23" s="116">
        <v>3303.5839665406402</v>
      </c>
      <c r="O23" s="8">
        <v>0</v>
      </c>
      <c r="P23" s="116">
        <v>3305.5845718492774</v>
      </c>
      <c r="Q23" s="8">
        <v>0</v>
      </c>
      <c r="R23" s="116">
        <v>3306.5917655919284</v>
      </c>
      <c r="S23" s="8">
        <v>0</v>
      </c>
      <c r="T23" s="116">
        <v>3306.3655606457751</v>
      </c>
      <c r="U23" s="8">
        <v>0</v>
      </c>
      <c r="V23" s="116">
        <v>3304.580671080188</v>
      </c>
      <c r="W23" s="8">
        <v>0</v>
      </c>
      <c r="X23" s="116">
        <v>3300.7838865760841</v>
      </c>
      <c r="Y23" s="8">
        <v>0</v>
      </c>
      <c r="Z23" s="116">
        <v>3294.3195020698331</v>
      </c>
      <c r="AA23" s="8">
        <v>0</v>
      </c>
      <c r="AB23" s="116">
        <v>3284.1894052766584</v>
      </c>
      <c r="AC23" s="8">
        <v>0</v>
      </c>
      <c r="AD23" s="116">
        <v>3268.758935404458</v>
      </c>
      <c r="AE23" s="8">
        <v>0</v>
      </c>
      <c r="AF23" s="116">
        <v>3245.0525919631136</v>
      </c>
      <c r="AG23" s="8">
        <v>0</v>
      </c>
      <c r="AH23" s="116">
        <v>3206.8167811208305</v>
      </c>
      <c r="AI23" s="8">
        <v>0</v>
      </c>
      <c r="AJ23" s="116">
        <v>3138.640004772823</v>
      </c>
      <c r="AK23" s="8">
        <v>0</v>
      </c>
      <c r="AL23" s="116">
        <v>2995.9163487526394</v>
      </c>
      <c r="AM23" s="8">
        <v>0</v>
      </c>
      <c r="AN23" s="116">
        <v>2603.1120831899161</v>
      </c>
      <c r="AO23" s="8">
        <v>0</v>
      </c>
      <c r="AP23" s="116">
        <v>2437.5801177119688</v>
      </c>
      <c r="AQ23" s="8">
        <v>0</v>
      </c>
      <c r="AR23" s="116">
        <v>2201.7167696520664</v>
      </c>
      <c r="AS23" s="8">
        <v>0</v>
      </c>
      <c r="AT23" s="116">
        <v>1842.1085547090099</v>
      </c>
      <c r="AU23" s="8">
        <v>0</v>
      </c>
      <c r="AV23" s="116">
        <v>1233.7313061912298</v>
      </c>
      <c r="AW23" s="8">
        <v>0</v>
      </c>
    </row>
    <row r="24" spans="1:49" x14ac:dyDescent="0.2">
      <c r="A24" t="s">
        <v>8</v>
      </c>
      <c r="B24" s="97">
        <v>3196.3846373657216</v>
      </c>
      <c r="C24" s="8">
        <v>0</v>
      </c>
      <c r="D24" s="97">
        <v>3201.533956359372</v>
      </c>
      <c r="E24" s="8">
        <v>0</v>
      </c>
      <c r="F24" s="97">
        <v>3206.3415842236227</v>
      </c>
      <c r="G24" s="8">
        <v>0</v>
      </c>
      <c r="H24" s="97">
        <v>3210.7524775472079</v>
      </c>
      <c r="I24" s="8">
        <v>0</v>
      </c>
      <c r="J24" s="97">
        <v>3214.6990917325375</v>
      </c>
      <c r="K24" s="8">
        <v>0</v>
      </c>
      <c r="L24" s="97">
        <v>3218.0964878397299</v>
      </c>
      <c r="M24" s="8">
        <v>0</v>
      </c>
      <c r="N24" s="97">
        <v>3220.838558405916</v>
      </c>
      <c r="O24" s="8">
        <v>0</v>
      </c>
      <c r="P24" s="97">
        <v>3222.7890539170526</v>
      </c>
      <c r="Q24" s="8">
        <v>0</v>
      </c>
      <c r="R24" s="97">
        <v>3223.7710210932341</v>
      </c>
      <c r="S24" s="8">
        <v>0</v>
      </c>
      <c r="T24" s="97">
        <v>3223.5504819288794</v>
      </c>
      <c r="U24" s="8">
        <v>0</v>
      </c>
      <c r="V24" s="97">
        <v>3221.81029885619</v>
      </c>
      <c r="W24" s="8">
        <v>0</v>
      </c>
      <c r="X24" s="97">
        <v>3218.1086129667742</v>
      </c>
      <c r="Y24" s="8">
        <v>0</v>
      </c>
      <c r="Z24" s="97">
        <v>3211.8061433628095</v>
      </c>
      <c r="AA24" s="8">
        <v>0</v>
      </c>
      <c r="AB24" s="97">
        <v>3201.9297764058397</v>
      </c>
      <c r="AC24" s="8">
        <v>0</v>
      </c>
      <c r="AD24" s="97">
        <v>3186.8857961465783</v>
      </c>
      <c r="AE24" s="8">
        <v>0</v>
      </c>
      <c r="AF24" s="97">
        <v>3163.7732293084837</v>
      </c>
      <c r="AG24" s="8">
        <v>0</v>
      </c>
      <c r="AH24" s="97">
        <v>3126.4951170623904</v>
      </c>
      <c r="AI24" s="8">
        <v>0</v>
      </c>
      <c r="AJ24" s="97">
        <v>3060.0259755704524</v>
      </c>
      <c r="AK24" s="8">
        <v>0</v>
      </c>
      <c r="AL24" s="97">
        <v>2920.8771422894474</v>
      </c>
      <c r="AM24" s="8">
        <v>0</v>
      </c>
      <c r="AN24" s="97">
        <v>2537.9115093695423</v>
      </c>
      <c r="AO24" s="8">
        <v>0</v>
      </c>
      <c r="AP24" s="97">
        <v>2376.5256500864866</v>
      </c>
      <c r="AQ24" s="8">
        <v>0</v>
      </c>
      <c r="AR24" s="97">
        <v>2146.5700098567891</v>
      </c>
      <c r="AS24" s="8">
        <v>0</v>
      </c>
      <c r="AT24" s="97">
        <v>1795.9689606505897</v>
      </c>
      <c r="AU24" s="8">
        <v>0</v>
      </c>
      <c r="AV24" s="97">
        <v>1202.8298365148303</v>
      </c>
      <c r="AW24" s="8">
        <v>0</v>
      </c>
    </row>
    <row r="25" spans="1:49" x14ac:dyDescent="0.2">
      <c r="A25" t="s">
        <v>0</v>
      </c>
      <c r="B25" s="41">
        <v>3195.0476040000012</v>
      </c>
      <c r="C25" s="42">
        <v>91.012690000004397</v>
      </c>
      <c r="D25" s="41">
        <v>3205.4770482305585</v>
      </c>
      <c r="E25" s="42">
        <v>81.17171841708803</v>
      </c>
      <c r="F25" s="41">
        <v>3215.7504527281499</v>
      </c>
      <c r="G25" s="42">
        <v>71.714305272226255</v>
      </c>
      <c r="H25" s="41">
        <v>3225.8426354694911</v>
      </c>
      <c r="I25" s="42">
        <v>62.67346166290649</v>
      </c>
      <c r="J25" s="41">
        <v>3235.7189453758424</v>
      </c>
      <c r="K25" s="42">
        <v>54.084165079515536</v>
      </c>
      <c r="L25" s="41">
        <v>3245.3286812423066</v>
      </c>
      <c r="M25" s="42">
        <v>45.983834008845712</v>
      </c>
      <c r="N25" s="41">
        <v>3254.5963246251808</v>
      </c>
      <c r="O25" s="42">
        <v>38.411452480047643</v>
      </c>
      <c r="P25" s="41">
        <v>3263.4046428730062</v>
      </c>
      <c r="Q25" s="42">
        <v>31.408277257786196</v>
      </c>
      <c r="R25" s="41">
        <v>3271.5673983041397</v>
      </c>
      <c r="S25" s="42">
        <v>25.017219630927404</v>
      </c>
      <c r="T25" s="41">
        <v>3278.7819605689983</v>
      </c>
      <c r="U25" s="42">
        <v>19.282364462495583</v>
      </c>
      <c r="V25" s="41">
        <v>3284.5453286500947</v>
      </c>
      <c r="W25" s="42">
        <v>14.248168199174641</v>
      </c>
      <c r="X25" s="41">
        <v>3288.0028698736123</v>
      </c>
      <c r="Y25" s="42">
        <v>9.9576136959922597</v>
      </c>
      <c r="Z25" s="41">
        <v>3287.6684862797779</v>
      </c>
      <c r="AA25" s="42">
        <v>6.4487450955014154</v>
      </c>
      <c r="AB25" s="41">
        <v>3280.8989120771466</v>
      </c>
      <c r="AC25" s="42">
        <v>3.7475688780490461</v>
      </c>
      <c r="AD25" s="41">
        <v>3262.9139813771521</v>
      </c>
      <c r="AE25" s="42">
        <v>1.8537806084811359</v>
      </c>
      <c r="AF25" s="41">
        <v>3225.1007720785801</v>
      </c>
      <c r="AG25" s="42">
        <v>0.71391020176604436</v>
      </c>
      <c r="AH25" s="41">
        <v>3152.6803121512289</v>
      </c>
      <c r="AI25" s="42">
        <v>0.18411758611715362</v>
      </c>
      <c r="AJ25" s="41">
        <v>3022.3293985500295</v>
      </c>
      <c r="AK25" s="42">
        <v>2.4891059725588634E-2</v>
      </c>
      <c r="AL25" s="41">
        <v>2791.6383649242553</v>
      </c>
      <c r="AM25" s="42">
        <v>1.1566271543944008E-3</v>
      </c>
      <c r="AN25" s="41">
        <v>2310.0912218853668</v>
      </c>
      <c r="AO25" s="42">
        <v>6.302935732149386E-6</v>
      </c>
      <c r="AP25" s="41">
        <v>2134.9165692251177</v>
      </c>
      <c r="AQ25" s="42">
        <v>1.3168931890552507E-6</v>
      </c>
      <c r="AR25" s="41">
        <v>1899.0890539902682</v>
      </c>
      <c r="AS25" s="42">
        <v>1.9789962835201683E-7</v>
      </c>
      <c r="AT25" s="41">
        <v>1559.8164390636957</v>
      </c>
      <c r="AU25" s="42">
        <v>1.8013074609997584E-8</v>
      </c>
      <c r="AV25" s="41">
        <v>1020.1633607532149</v>
      </c>
      <c r="AW25" s="42">
        <v>6.7029080916272102E-10</v>
      </c>
    </row>
    <row r="26" spans="1:49" x14ac:dyDescent="0.2">
      <c r="A26" t="s">
        <v>27</v>
      </c>
      <c r="B26" s="33">
        <v>5036.2953101960647</v>
      </c>
      <c r="C26" s="34">
        <v>74.905331803938267</v>
      </c>
      <c r="D26" s="33">
        <v>5041.4236722604373</v>
      </c>
      <c r="E26" s="34">
        <v>69.776969739566866</v>
      </c>
      <c r="F26" s="33">
        <v>5046.5448637652398</v>
      </c>
      <c r="G26" s="34">
        <v>64.655778234741717</v>
      </c>
      <c r="H26" s="33">
        <v>5051.6580869545023</v>
      </c>
      <c r="I26" s="34">
        <v>59.542555045488328</v>
      </c>
      <c r="J26" s="33">
        <v>5056.7621295619692</v>
      </c>
      <c r="K26" s="34">
        <v>54.438512438030422</v>
      </c>
      <c r="L26" s="33">
        <v>5061.8545917470137</v>
      </c>
      <c r="M26" s="34">
        <v>49.346050252987318</v>
      </c>
      <c r="N26" s="33">
        <v>5066.9319293204035</v>
      </c>
      <c r="O26" s="34">
        <v>44.268712679605372</v>
      </c>
      <c r="P26" s="33">
        <v>5071.9879890054726</v>
      </c>
      <c r="Q26" s="34">
        <v>39.212652994529492</v>
      </c>
      <c r="R26" s="33">
        <v>5077.0127152127425</v>
      </c>
      <c r="S26" s="34">
        <v>34.187926787262647</v>
      </c>
      <c r="T26" s="33">
        <v>5081.9898204766851</v>
      </c>
      <c r="U26" s="34">
        <v>29.210821523317346</v>
      </c>
      <c r="V26" s="33">
        <v>5086.8928072119143</v>
      </c>
      <c r="W26" s="34">
        <v>24.307834788088027</v>
      </c>
      <c r="X26" s="33">
        <v>5091.6788696409394</v>
      </c>
      <c r="Y26" s="34">
        <v>19.521772359060641</v>
      </c>
      <c r="Z26" s="33">
        <v>5096.2790027972815</v>
      </c>
      <c r="AA26" s="34">
        <v>14.92163920272408</v>
      </c>
      <c r="AB26" s="33">
        <v>5100.583073323005</v>
      </c>
      <c r="AC26" s="34">
        <v>10.617568677005313</v>
      </c>
      <c r="AD26" s="33">
        <v>5104.4204553713344</v>
      </c>
      <c r="AE26" s="34">
        <v>6.7801866286695942</v>
      </c>
      <c r="AF26" s="33">
        <v>5107.5495866440378</v>
      </c>
      <c r="AG26" s="34">
        <v>3.6510553559657857</v>
      </c>
      <c r="AH26" s="33">
        <v>5109.7082399423607</v>
      </c>
      <c r="AI26" s="34">
        <v>1.4924020576393238</v>
      </c>
      <c r="AJ26" s="33">
        <v>5110.8095515201157</v>
      </c>
      <c r="AK26" s="34">
        <v>0.39109047988825352</v>
      </c>
      <c r="AL26" s="33">
        <v>5111.1510803558067</v>
      </c>
      <c r="AM26" s="34">
        <v>4.9561644198605398E-2</v>
      </c>
      <c r="AN26" s="33">
        <v>5111.1991315347832</v>
      </c>
      <c r="AO26" s="34">
        <v>1.5104652260419377E-3</v>
      </c>
      <c r="AP26" s="33">
        <v>5111.2001083008345</v>
      </c>
      <c r="AQ26" s="34">
        <v>5.3369916898580332E-4</v>
      </c>
      <c r="AR26" s="33">
        <v>5111.2004895410309</v>
      </c>
      <c r="AS26" s="34">
        <v>1.5245898070134387E-4</v>
      </c>
      <c r="AT26" s="33">
        <v>5111.2006103575313</v>
      </c>
      <c r="AU26" s="34">
        <v>3.1642468974694405E-5</v>
      </c>
      <c r="AV26" s="33">
        <v>5111.2006382309155</v>
      </c>
      <c r="AW26" s="34">
        <v>3.7690878199401659E-6</v>
      </c>
    </row>
    <row r="27" spans="1:49" x14ac:dyDescent="0.2">
      <c r="A27" t="s">
        <v>2</v>
      </c>
      <c r="B27" s="35">
        <v>6425.1981589999841</v>
      </c>
      <c r="C27" s="36">
        <v>273.22915400000028</v>
      </c>
      <c r="D27" s="35">
        <v>6443.6687487789277</v>
      </c>
      <c r="E27" s="36">
        <v>254.75854808650439</v>
      </c>
      <c r="F27" s="35">
        <v>6462.1481467030753</v>
      </c>
      <c r="G27" s="36">
        <v>236.27914639718443</v>
      </c>
      <c r="H27" s="35">
        <v>6480.6332910661595</v>
      </c>
      <c r="I27" s="36">
        <v>217.79399365919505</v>
      </c>
      <c r="J27" s="35">
        <v>6499.1196506618517</v>
      </c>
      <c r="K27" s="36">
        <v>199.30760443781489</v>
      </c>
      <c r="L27" s="35">
        <v>6517.5983506154334</v>
      </c>
      <c r="M27" s="36">
        <v>180.82896085320615</v>
      </c>
      <c r="N27" s="35">
        <v>6536.0561634708592</v>
      </c>
      <c r="O27" s="36">
        <v>162.37114624119124</v>
      </c>
      <c r="P27" s="35">
        <v>6554.4704000003967</v>
      </c>
      <c r="Q27" s="36">
        <v>143.95690768329635</v>
      </c>
      <c r="R27" s="35">
        <v>6572.8038905395288</v>
      </c>
      <c r="S27" s="36">
        <v>125.62341959045142</v>
      </c>
      <c r="T27" s="35">
        <v>6590.9964508372423</v>
      </c>
      <c r="U27" s="36">
        <v>107.43085890635476</v>
      </c>
      <c r="V27" s="35">
        <v>6608.9500158425317</v>
      </c>
      <c r="W27" s="36">
        <v>89.477296066947915</v>
      </c>
      <c r="X27" s="35">
        <v>6626.5059852158529</v>
      </c>
      <c r="Y27" s="36">
        <v>71.921323306433479</v>
      </c>
      <c r="Z27" s="35">
        <v>6643.4083818739655</v>
      </c>
      <c r="AA27" s="36">
        <v>55.018922433064169</v>
      </c>
      <c r="AB27" s="35">
        <v>6659.2482190769679</v>
      </c>
      <c r="AC27" s="36">
        <v>39.179093620077673</v>
      </c>
      <c r="AD27" s="35">
        <v>6673.3911097302689</v>
      </c>
      <c r="AE27" s="36">
        <v>25.036200754759236</v>
      </c>
      <c r="AF27" s="35">
        <v>6684.9380712431503</v>
      </c>
      <c r="AG27" s="36">
        <v>13.48923999428515</v>
      </c>
      <c r="AH27" s="35">
        <v>6692.9113411823892</v>
      </c>
      <c r="AI27" s="36">
        <v>5.5159708914924437</v>
      </c>
      <c r="AJ27" s="35">
        <v>6696.9815448412273</v>
      </c>
      <c r="AK27" s="36">
        <v>1.4457679231395992</v>
      </c>
      <c r="AL27" s="35">
        <v>6698.2440838809935</v>
      </c>
      <c r="AM27" s="36">
        <v>0.18322870656170634</v>
      </c>
      <c r="AN27" s="35">
        <v>6698.4217284835222</v>
      </c>
      <c r="AO27" s="36">
        <v>5.5842161694849351E-3</v>
      </c>
      <c r="AP27" s="35">
        <v>6698.4253398921846</v>
      </c>
      <c r="AQ27" s="36">
        <v>1.9730954471359327E-3</v>
      </c>
      <c r="AR27" s="35">
        <v>6698.4267493653415</v>
      </c>
      <c r="AS27" s="36">
        <v>5.6364352754560676E-4</v>
      </c>
      <c r="AT27" s="35">
        <v>6698.4271960165843</v>
      </c>
      <c r="AU27" s="36">
        <v>1.1698278888101662E-4</v>
      </c>
      <c r="AV27" s="35">
        <v>6698.4272976161046</v>
      </c>
      <c r="AW27" s="36">
        <v>1.3934389002700207E-5</v>
      </c>
    </row>
    <row r="28" spans="1:49" x14ac:dyDescent="0.2">
      <c r="A28" t="s">
        <v>35</v>
      </c>
      <c r="B28" s="41">
        <v>13763.097675999999</v>
      </c>
      <c r="C28" s="42">
        <v>382.36647900000042</v>
      </c>
      <c r="D28" s="41">
        <v>13789.020670870286</v>
      </c>
      <c r="E28" s="42">
        <v>356.42362387802171</v>
      </c>
      <c r="F28" s="41">
        <v>13814.902797846657</v>
      </c>
      <c r="G28" s="42">
        <v>330.48206624418594</v>
      </c>
      <c r="H28" s="41">
        <v>13840.739917888497</v>
      </c>
      <c r="I28" s="42">
        <v>304.54610570667103</v>
      </c>
      <c r="J28" s="41">
        <v>13866.525856893302</v>
      </c>
      <c r="K28" s="42">
        <v>278.62211547465222</v>
      </c>
      <c r="L28" s="41">
        <v>13892.248450767005</v>
      </c>
      <c r="M28" s="42">
        <v>252.7226653928013</v>
      </c>
      <c r="N28" s="41">
        <v>13917.889645587036</v>
      </c>
      <c r="O28" s="42">
        <v>226.8660938906535</v>
      </c>
      <c r="P28" s="41">
        <v>13943.418372700688</v>
      </c>
      <c r="Q28" s="42">
        <v>201.08420314465533</v>
      </c>
      <c r="R28" s="41">
        <v>13968.783827732466</v>
      </c>
      <c r="S28" s="42">
        <v>175.42890597716658</v>
      </c>
      <c r="T28" s="41">
        <v>13993.903847492094</v>
      </c>
      <c r="U28" s="42">
        <v>149.98419419539576</v>
      </c>
      <c r="V28" s="41">
        <v>14018.644783563213</v>
      </c>
      <c r="W28" s="42">
        <v>124.88682029213955</v>
      </c>
      <c r="X28" s="41">
        <v>14042.790837033286</v>
      </c>
      <c r="Y28" s="42">
        <v>100.35780375913443</v>
      </c>
      <c r="Z28" s="41">
        <v>14065.994252434386</v>
      </c>
      <c r="AA28" s="42">
        <v>76.753695581750904</v>
      </c>
      <c r="AB28" s="41">
        <v>14087.700180075304</v>
      </c>
      <c r="AC28" s="42">
        <v>54.643935726506093</v>
      </c>
      <c r="AD28" s="41">
        <v>14107.049096559378</v>
      </c>
      <c r="AE28" s="42">
        <v>34.911375499513625</v>
      </c>
      <c r="AF28" s="41">
        <v>14122.824448962581</v>
      </c>
      <c r="AG28" s="42">
        <v>18.806730681149141</v>
      </c>
      <c r="AH28" s="41">
        <v>14133.705907391661</v>
      </c>
      <c r="AI28" s="42">
        <v>7.6894904115518061</v>
      </c>
      <c r="AJ28" s="41">
        <v>14139.257054528922</v>
      </c>
      <c r="AK28" s="42">
        <v>2.0153409460560416</v>
      </c>
      <c r="AL28" s="41">
        <v>14140.978470155156</v>
      </c>
      <c r="AM28" s="42">
        <v>0.25540858312908238</v>
      </c>
      <c r="AN28" s="41">
        <v>14141.220661645077</v>
      </c>
      <c r="AO28" s="42">
        <v>7.784004625453895E-3</v>
      </c>
      <c r="AP28" s="41">
        <v>14141.225585087801</v>
      </c>
      <c r="AQ28" s="42">
        <v>2.7503561459386993E-3</v>
      </c>
      <c r="AR28" s="41">
        <v>14141.227506663052</v>
      </c>
      <c r="AS28" s="42">
        <v>7.8567942672251524E-4</v>
      </c>
      <c r="AT28" s="41">
        <v>14141.228115602162</v>
      </c>
      <c r="AU28" s="42">
        <v>1.6306576750910881E-4</v>
      </c>
      <c r="AV28" s="41">
        <v>14141.228254711315</v>
      </c>
      <c r="AW28" s="42">
        <v>1.942355585169678E-5</v>
      </c>
    </row>
    <row r="29" spans="1:49" x14ac:dyDescent="0.2">
      <c r="A29" t="s">
        <v>53</v>
      </c>
      <c r="B29" s="35">
        <v>14362.768557999996</v>
      </c>
      <c r="C29" s="36">
        <v>817.26651000000095</v>
      </c>
      <c r="D29" s="35">
        <v>14368.792075471385</v>
      </c>
      <c r="E29" s="36">
        <v>754.62410412914312</v>
      </c>
      <c r="F29" s="35">
        <v>14372.746111259567</v>
      </c>
      <c r="G29" s="36">
        <v>692.5506413746657</v>
      </c>
      <c r="H29" s="35">
        <v>14374.313788757201</v>
      </c>
      <c r="I29" s="36">
        <v>631.11635646435138</v>
      </c>
      <c r="J29" s="35">
        <v>14373.105171152627</v>
      </c>
      <c r="K29" s="36">
        <v>570.40467688347599</v>
      </c>
      <c r="L29" s="35">
        <v>14368.630192000886</v>
      </c>
      <c r="M29" s="36">
        <v>510.52198951741849</v>
      </c>
      <c r="N29" s="35">
        <v>14360.265499122108</v>
      </c>
      <c r="O29" s="36">
        <v>451.59797671317716</v>
      </c>
      <c r="P29" s="35">
        <v>14347.199884575311</v>
      </c>
      <c r="Q29" s="36">
        <v>393.80279036251659</v>
      </c>
      <c r="R29" s="35">
        <v>14328.353158623866</v>
      </c>
      <c r="S29" s="36">
        <v>337.36090321316448</v>
      </c>
      <c r="T29" s="35">
        <v>14302.248811360676</v>
      </c>
      <c r="U29" s="36">
        <v>282.57451423861784</v>
      </c>
      <c r="V29" s="35">
        <v>14266.803504917872</v>
      </c>
      <c r="W29" s="36">
        <v>229.86089787030016</v>
      </c>
      <c r="X29" s="35">
        <v>14218.97054312115</v>
      </c>
      <c r="Y29" s="36">
        <v>179.80440379469042</v>
      </c>
      <c r="Z29" s="35">
        <v>14154.103180365873</v>
      </c>
      <c r="AA29" s="36">
        <v>133.23310510296585</v>
      </c>
      <c r="AB29" s="35">
        <v>14064.76545691888</v>
      </c>
      <c r="AC29" s="36">
        <v>91.317872915106364</v>
      </c>
      <c r="AD29" s="35">
        <v>13938.404291445398</v>
      </c>
      <c r="AE29" s="36">
        <v>55.66241253498513</v>
      </c>
      <c r="AF29" s="35">
        <v>13752.631948238448</v>
      </c>
      <c r="AG29" s="36">
        <v>28.226114892697186</v>
      </c>
      <c r="AH29" s="35">
        <v>13465.368152330939</v>
      </c>
      <c r="AI29" s="36">
        <v>10.638698959435324</v>
      </c>
      <c r="AJ29" s="35">
        <v>12991.828769596601</v>
      </c>
      <c r="AK29" s="36">
        <v>2.4847864883739366</v>
      </c>
      <c r="AL29" s="35">
        <v>12127.841473050064</v>
      </c>
      <c r="AM29" s="36">
        <v>0.26436215608190539</v>
      </c>
      <c r="AN29" s="35">
        <v>10142.409854029631</v>
      </c>
      <c r="AO29" s="36">
        <v>5.8782034521203726E-3</v>
      </c>
      <c r="AP29" s="35">
        <v>9386.357478650827</v>
      </c>
      <c r="AQ29" s="36">
        <v>1.8717593472330541E-3</v>
      </c>
      <c r="AR29" s="35">
        <v>8356.3998376976888</v>
      </c>
      <c r="AS29" s="36">
        <v>4.6696055077984148E-4</v>
      </c>
      <c r="AT29" s="35">
        <v>6863.0623831917646</v>
      </c>
      <c r="AU29" s="36">
        <v>7.9898859997806963E-5</v>
      </c>
      <c r="AV29" s="35">
        <v>4481.5109448617732</v>
      </c>
      <c r="AW29" s="36">
        <v>6.8084899143116155E-6</v>
      </c>
    </row>
    <row r="30" spans="1:49" x14ac:dyDescent="0.2">
      <c r="A30" t="s">
        <v>48</v>
      </c>
      <c r="B30" s="119">
        <v>2924829.9599999995</v>
      </c>
      <c r="D30" s="119">
        <v>2984476.8994539562</v>
      </c>
      <c r="F30" s="119">
        <v>3045208.5941645298</v>
      </c>
      <c r="H30" s="119">
        <v>3107194.7880728999</v>
      </c>
      <c r="J30" s="119">
        <v>3170642.0380394477</v>
      </c>
      <c r="L30" s="119">
        <v>3235806.5776598006</v>
      </c>
      <c r="N30" s="119">
        <v>3303021.7189072715</v>
      </c>
      <c r="P30" s="119">
        <v>3372725.5199011005</v>
      </c>
      <c r="R30" s="119">
        <v>3445522.7171159619</v>
      </c>
      <c r="T30" s="119">
        <v>3522282.3789097732</v>
      </c>
      <c r="V30" s="119">
        <v>3604308.7074790965</v>
      </c>
      <c r="X30" s="119">
        <v>3693652.9463743805</v>
      </c>
      <c r="Z30" s="119">
        <v>3793693.1459639594</v>
      </c>
      <c r="AB30" s="119">
        <v>3910241.2865730962</v>
      </c>
      <c r="AD30" s="119">
        <v>4053646.310668462</v>
      </c>
      <c r="AF30" s="119">
        <v>4242482.7468879437</v>
      </c>
      <c r="AH30" s="119">
        <v>4508278.8648280315</v>
      </c>
      <c r="AJ30" s="119">
        <v>4895791.994654783</v>
      </c>
      <c r="AL30" s="119">
        <v>5448190.3720440567</v>
      </c>
      <c r="AN30" s="119">
        <v>6089213.3359917011</v>
      </c>
      <c r="AP30" s="119">
        <v>6143981.2477949644</v>
      </c>
      <c r="AR30" s="119">
        <v>6070950.4202930965</v>
      </c>
      <c r="AT30" s="119">
        <v>5681879.3228266314</v>
      </c>
      <c r="AV30" s="119">
        <v>4411823.462781813</v>
      </c>
    </row>
    <row r="31" spans="1:49" x14ac:dyDescent="0.2">
      <c r="A31" t="s">
        <v>47</v>
      </c>
      <c r="B31" s="80">
        <v>1</v>
      </c>
      <c r="D31" s="80">
        <v>0.99796891807887156</v>
      </c>
      <c r="F31" s="80">
        <v>0.99553305376638834</v>
      </c>
      <c r="H31" s="80">
        <v>0.99263602928897521</v>
      </c>
      <c r="J31" s="80">
        <v>0.98920976684459361</v>
      </c>
      <c r="L31" s="80">
        <v>0.98517058901227705</v>
      </c>
      <c r="N31" s="80">
        <v>0.98041509369274582</v>
      </c>
      <c r="P31" s="80">
        <v>0.97481251092062471</v>
      </c>
      <c r="R31" s="80">
        <v>0.9681946991435022</v>
      </c>
      <c r="T31" s="80">
        <v>0.96034058062787786</v>
      </c>
      <c r="V31" s="80">
        <v>0.9509513018226049</v>
      </c>
      <c r="X31" s="80">
        <v>0.93960988452495975</v>
      </c>
      <c r="Z31" s="80">
        <v>0.92571168470103227</v>
      </c>
      <c r="AB31" s="80">
        <v>0.90833946834907031</v>
      </c>
      <c r="AD31" s="80">
        <v>0.88602755180803816</v>
      </c>
      <c r="AF31" s="80">
        <v>0.85630113560040833</v>
      </c>
      <c r="AH31" s="80">
        <v>0.814755312491238</v>
      </c>
      <c r="AJ31" s="80">
        <v>0.75310799725245658</v>
      </c>
      <c r="AL31" s="80">
        <v>0.65398934561194277</v>
      </c>
      <c r="AN31" s="80">
        <v>0.47084907197547682</v>
      </c>
      <c r="AP31" s="80">
        <v>0.41358113951207914</v>
      </c>
      <c r="AR31" s="80">
        <v>0.34414189107171578</v>
      </c>
      <c r="AT31" s="80">
        <v>0.25788356553016201</v>
      </c>
      <c r="AV31" s="80">
        <v>0.14734084437281741</v>
      </c>
    </row>
    <row r="32" spans="1:49" x14ac:dyDescent="0.2">
      <c r="A32" t="s">
        <v>64</v>
      </c>
      <c r="B32" s="86">
        <v>14734457.915000005</v>
      </c>
      <c r="D32" s="86">
        <v>14736904.647868022</v>
      </c>
      <c r="F32" s="86">
        <v>14737101.079685202</v>
      </c>
      <c r="H32" s="86">
        <v>14734691.45184841</v>
      </c>
      <c r="J32" s="86">
        <v>14729247.54403409</v>
      </c>
      <c r="L32" s="86">
        <v>14720247.478017883</v>
      </c>
      <c r="N32" s="86">
        <v>14707061.887376297</v>
      </c>
      <c r="P32" s="86">
        <v>14688922.824600337</v>
      </c>
      <c r="R32" s="86">
        <v>14664895.646308884</v>
      </c>
      <c r="T32" s="86">
        <v>14633845.115125421</v>
      </c>
      <c r="V32" s="86">
        <v>14594394.55704111</v>
      </c>
      <c r="X32" s="86">
        <v>14544887.321612909</v>
      </c>
      <c r="Z32" s="86">
        <v>14483343.920055531</v>
      </c>
      <c r="AB32" s="86">
        <v>14407385.65787195</v>
      </c>
      <c r="AD32" s="86">
        <v>14313900.873531133</v>
      </c>
      <c r="AF32" s="86">
        <v>14197322.477132283</v>
      </c>
      <c r="AH32" s="86">
        <v>14041515.21957377</v>
      </c>
      <c r="AJ32" s="86">
        <v>13788118.228557736</v>
      </c>
      <c r="AL32" s="86">
        <v>13232337.85091101</v>
      </c>
      <c r="AN32" s="86">
        <v>11559446.837260285</v>
      </c>
      <c r="AP32" s="86">
        <v>10832052.067176385</v>
      </c>
      <c r="AR32" s="86">
        <v>9788033.0417848621</v>
      </c>
      <c r="AT32" s="86">
        <v>8189062.9938081251</v>
      </c>
      <c r="AV32" s="86">
        <v>5480098.5754336379</v>
      </c>
    </row>
    <row r="33" spans="1:49 16319:16321" x14ac:dyDescent="0.2">
      <c r="A33" t="s">
        <v>54</v>
      </c>
      <c r="B33" s="117">
        <v>7019665.6909999885</v>
      </c>
      <c r="D33" s="117">
        <v>7020831.5239159558</v>
      </c>
      <c r="F33" s="117">
        <v>7020925.1317692669</v>
      </c>
      <c r="H33" s="117">
        <v>7019777.2207197864</v>
      </c>
      <c r="J33" s="117">
        <v>7017183.8268714286</v>
      </c>
      <c r="L33" s="117">
        <v>7012895.686539554</v>
      </c>
      <c r="N33" s="117">
        <v>7006613.9306266829</v>
      </c>
      <c r="P33" s="117">
        <v>6997972.2848990634</v>
      </c>
      <c r="R33" s="117">
        <v>6986525.4443224659</v>
      </c>
      <c r="T33" s="117">
        <v>6971732.6164325997</v>
      </c>
      <c r="V33" s="117">
        <v>6952937.9002734907</v>
      </c>
      <c r="X33" s="117">
        <v>6929352.1072358415</v>
      </c>
      <c r="Z33" s="117">
        <v>6900032.110961563</v>
      </c>
      <c r="AB33" s="117">
        <v>6863844.7013298785</v>
      </c>
      <c r="AD33" s="117">
        <v>6819307.4614824597</v>
      </c>
      <c r="AF33" s="117">
        <v>6763768.1723609213</v>
      </c>
      <c r="AH33" s="117">
        <v>6689539.7993129976</v>
      </c>
      <c r="AJ33" s="117">
        <v>6568818.5498030484</v>
      </c>
      <c r="AL33" s="117">
        <v>6304038.367723925</v>
      </c>
      <c r="AN33" s="117">
        <v>5507053.7944844365</v>
      </c>
      <c r="AP33" s="117">
        <v>5160514.5365867838</v>
      </c>
      <c r="AR33" s="117">
        <v>4663131.8316668151</v>
      </c>
      <c r="AT33" s="117">
        <v>3901364.0590436719</v>
      </c>
      <c r="AV33" s="117">
        <v>2610782.1662117904</v>
      </c>
    </row>
    <row r="34" spans="1:49 16319:16321" x14ac:dyDescent="0.2">
      <c r="A34" t="s">
        <v>75</v>
      </c>
      <c r="B34" s="117">
        <v>1136879.4410000162</v>
      </c>
      <c r="D34" s="117">
        <v>1137068.0425847615</v>
      </c>
      <c r="F34" s="117">
        <v>1137083.1730258549</v>
      </c>
      <c r="H34" s="117">
        <v>1136897.1870396766</v>
      </c>
      <c r="J34" s="117">
        <v>1136477.0049355426</v>
      </c>
      <c r="L34" s="117">
        <v>1135782.9825649972</v>
      </c>
      <c r="N34" s="117">
        <v>1134765.5991694112</v>
      </c>
      <c r="P34" s="117">
        <v>1133366.0149804126</v>
      </c>
      <c r="R34" s="117">
        <v>1131512.1439323453</v>
      </c>
      <c r="T34" s="117">
        <v>1129116.3476950082</v>
      </c>
      <c r="V34" s="117">
        <v>1126072.4417331694</v>
      </c>
      <c r="X34" s="117">
        <v>1122252.5438745229</v>
      </c>
      <c r="Z34" s="117">
        <v>1117503.9954328761</v>
      </c>
      <c r="AB34" s="117">
        <v>1111643.2352546016</v>
      </c>
      <c r="AD34" s="117">
        <v>1104430.1583503499</v>
      </c>
      <c r="AF34" s="117">
        <v>1095435.2137514076</v>
      </c>
      <c r="AH34" s="117">
        <v>1083413.4556176695</v>
      </c>
      <c r="AJ34" s="117">
        <v>1063861.8830534443</v>
      </c>
      <c r="AL34" s="117">
        <v>1020979.0509998578</v>
      </c>
      <c r="AN34" s="117">
        <v>891902.33766344679</v>
      </c>
      <c r="AP34" s="117">
        <v>835778.10395574383</v>
      </c>
      <c r="AR34" s="117">
        <v>755223.81598481361</v>
      </c>
      <c r="AT34" s="117">
        <v>631850.68717300473</v>
      </c>
      <c r="AV34" s="117">
        <v>422832.75306001573</v>
      </c>
    </row>
    <row r="35" spans="1:49 16319:16321" x14ac:dyDescent="0.2">
      <c r="A35" t="s">
        <v>78</v>
      </c>
      <c r="B35" s="233">
        <v>1</v>
      </c>
      <c r="D35" s="233">
        <v>1.0022027326446359</v>
      </c>
      <c r="F35" s="233">
        <v>1.0046768797688417</v>
      </c>
      <c r="H35" s="233">
        <v>1.0074707000781649</v>
      </c>
      <c r="J35" s="233">
        <v>1.01064564356834</v>
      </c>
      <c r="L35" s="233">
        <v>1.0142815065063624</v>
      </c>
      <c r="N35" s="233">
        <v>1.0184841433750138</v>
      </c>
      <c r="P35" s="233">
        <v>1.0233971498574994</v>
      </c>
      <c r="R35" s="233">
        <v>1.0292208477586355</v>
      </c>
      <c r="T35" s="233">
        <v>1.036243396537752</v>
      </c>
      <c r="V35" s="233">
        <v>1.0448943830550688</v>
      </c>
      <c r="X35" s="233">
        <v>1.0558412228797269</v>
      </c>
      <c r="Z35" s="233">
        <v>1.0701717815412304</v>
      </c>
      <c r="AB35" s="233">
        <v>1.0897603369375961</v>
      </c>
      <c r="AD35" s="233">
        <v>1.1180447186914055</v>
      </c>
      <c r="AF35" s="233">
        <v>1.1617638682095959</v>
      </c>
      <c r="AH35" s="233">
        <v>1.2350133990762255</v>
      </c>
      <c r="AJ35" s="233">
        <v>1.3695787070808156</v>
      </c>
      <c r="AL35" s="233">
        <v>1.6499646851888887</v>
      </c>
      <c r="AN35" s="233">
        <v>2.4050206842510016</v>
      </c>
      <c r="AP35" s="233">
        <v>2.719683855891871</v>
      </c>
      <c r="AR35" s="233">
        <v>3.1656852304494811</v>
      </c>
      <c r="AT35" s="233">
        <v>3.8414266235740775</v>
      </c>
      <c r="AV35" s="233">
        <v>4.9763446291900424</v>
      </c>
    </row>
    <row r="36" spans="1:49 16319:16321" x14ac:dyDescent="0.2">
      <c r="A36" t="s">
        <v>21</v>
      </c>
      <c r="B36" s="37">
        <v>0.47195767671988204</v>
      </c>
      <c r="C36" s="38">
        <v>0.31738834428178991</v>
      </c>
      <c r="D36" s="37">
        <v>0.47200278487497366</v>
      </c>
      <c r="E36" s="38">
        <v>0.32245673226044502</v>
      </c>
      <c r="F36" s="37">
        <v>0.47204987228174389</v>
      </c>
      <c r="G36" s="38">
        <v>0.32806930576008841</v>
      </c>
      <c r="H36" s="37">
        <v>0.47209923965321648</v>
      </c>
      <c r="I36" s="38">
        <v>0.33431672131755924</v>
      </c>
      <c r="J36" s="37">
        <v>0.47215123876035331</v>
      </c>
      <c r="K36" s="38">
        <v>0.34131132397207814</v>
      </c>
      <c r="L36" s="37">
        <v>0.47220627689460898</v>
      </c>
      <c r="M36" s="38">
        <v>0.34919441370115739</v>
      </c>
      <c r="N36" s="37">
        <v>0.47226483013208381</v>
      </c>
      <c r="O36" s="38">
        <v>0.35814681282138178</v>
      </c>
      <c r="P36" s="37">
        <v>0.47232740595442951</v>
      </c>
      <c r="Q36" s="38">
        <v>0.36840410819924979</v>
      </c>
      <c r="R36" s="37">
        <v>0.47239452074027694</v>
      </c>
      <c r="S36" s="38">
        <v>0.38028066337591504</v>
      </c>
      <c r="T36" s="37">
        <v>0.47246660890392594</v>
      </c>
      <c r="U36" s="38">
        <v>0.39420742467478137</v>
      </c>
      <c r="V36" s="37">
        <v>0.47254383056195554</v>
      </c>
      <c r="W36" s="38">
        <v>0.41079480640693211</v>
      </c>
      <c r="X36" s="37">
        <v>0.47262568181962145</v>
      </c>
      <c r="Y36" s="38">
        <v>0.43094189523706145</v>
      </c>
      <c r="Z36" s="37">
        <v>0.47271019973986761</v>
      </c>
      <c r="AA36" s="38">
        <v>0.45603658639076722</v>
      </c>
      <c r="AB36" s="37">
        <v>0.4727923936675576</v>
      </c>
      <c r="AC36" s="38">
        <v>0.48834416443299167</v>
      </c>
      <c r="AD36" s="37">
        <v>0.4728613811007113</v>
      </c>
      <c r="AE36" s="38">
        <v>0.5318092834791418</v>
      </c>
      <c r="AF36" s="37">
        <v>0.47289618836668912</v>
      </c>
      <c r="AG36" s="38">
        <v>0.59380769765612806</v>
      </c>
      <c r="AH36" s="37">
        <v>0.4728645167644791</v>
      </c>
      <c r="AI36" s="38">
        <v>0.68918668076861478</v>
      </c>
      <c r="AJ36" s="37">
        <v>0.47273954218553366</v>
      </c>
      <c r="AK36" s="38">
        <v>0.85061655990844065</v>
      </c>
      <c r="AL36" s="37">
        <v>0.47254074380847466</v>
      </c>
      <c r="AM36" s="38">
        <v>1.1641870925932807</v>
      </c>
      <c r="AN36" s="37">
        <v>0.47235095752340928</v>
      </c>
      <c r="AO36" s="38">
        <v>1.9692735958898198</v>
      </c>
      <c r="AP36" s="37">
        <v>0.47232660315943076</v>
      </c>
      <c r="AQ36" s="38">
        <v>2.3023472040554021</v>
      </c>
      <c r="AR36" s="37">
        <v>0.47231225355163792</v>
      </c>
      <c r="AS36" s="38">
        <v>2.7766886675955096</v>
      </c>
      <c r="AT36" s="37">
        <v>0.47231343214216243</v>
      </c>
      <c r="AU36" s="38">
        <v>3.5030224612092979</v>
      </c>
      <c r="AV36" s="37">
        <v>0.47234115561939261</v>
      </c>
      <c r="AW36" s="38">
        <v>4.7460237886726642</v>
      </c>
    </row>
    <row r="37" spans="1:49 16319:16321" x14ac:dyDescent="0.2">
      <c r="B37" s="39">
        <v>2.1403217525954421E-2</v>
      </c>
      <c r="C37" s="40">
        <v>0.34962461301992565</v>
      </c>
      <c r="D37" s="39">
        <v>2.0706804764216526E-2</v>
      </c>
      <c r="E37" s="40">
        <v>0.344139013769443</v>
      </c>
      <c r="F37" s="39">
        <v>1.9995983972993986E-2</v>
      </c>
      <c r="G37" s="40">
        <v>0.33846672902877989</v>
      </c>
      <c r="H37" s="39">
        <v>1.9269801764854246E-2</v>
      </c>
      <c r="I37" s="40">
        <v>0.33259307603042126</v>
      </c>
      <c r="J37" s="39">
        <v>1.8527160142850795E-2</v>
      </c>
      <c r="K37" s="40">
        <v>0.32650121222601475</v>
      </c>
      <c r="L37" s="39">
        <v>1.7766760562634144E-2</v>
      </c>
      <c r="M37" s="40">
        <v>0.32017145681832199</v>
      </c>
      <c r="N37" s="39">
        <v>1.6987019470649053E-2</v>
      </c>
      <c r="O37" s="40">
        <v>0.31358028523223064</v>
      </c>
      <c r="P37" s="39">
        <v>1.6185989879847484E-2</v>
      </c>
      <c r="Q37" s="40">
        <v>0.30669924408190891</v>
      </c>
      <c r="R37" s="39">
        <v>1.5361187183339755E-2</v>
      </c>
      <c r="S37" s="40">
        <v>0.29949286406948822</v>
      </c>
      <c r="T37" s="39">
        <v>1.4509366795076339E-2</v>
      </c>
      <c r="U37" s="40">
        <v>0.2919158332366939</v>
      </c>
      <c r="V37" s="39">
        <v>1.3626177869677757E-2</v>
      </c>
      <c r="W37" s="40">
        <v>0.28390857470160713</v>
      </c>
      <c r="X37" s="39">
        <v>1.2705652330143353E-2</v>
      </c>
      <c r="Y37" s="40">
        <v>0.27539049859296932</v>
      </c>
      <c r="Z37" s="39">
        <v>1.1739457753130008E-2</v>
      </c>
      <c r="AA37" s="40">
        <v>0.26624964476781776</v>
      </c>
      <c r="AB37" s="39">
        <v>1.0715895479033656E-2</v>
      </c>
      <c r="AC37" s="40">
        <v>0.25632742346092852</v>
      </c>
      <c r="AD37" s="39">
        <v>9.6188970239541819E-3</v>
      </c>
      <c r="AE37" s="40">
        <v>0.24539900087525712</v>
      </c>
      <c r="AF37" s="39">
        <v>8.4283819632281019E-3</v>
      </c>
      <c r="AG37" s="40">
        <v>0.23316020617519154</v>
      </c>
      <c r="AH37" s="39">
        <v>7.12590471738451E-3</v>
      </c>
      <c r="AI37" s="40">
        <v>0.21926007979922602</v>
      </c>
      <c r="AJ37" s="39">
        <v>5.7093842884360022E-3</v>
      </c>
      <c r="AK37" s="40">
        <v>0.20342659531702975</v>
      </c>
      <c r="AL37" s="39">
        <v>4.2007951537588756E-3</v>
      </c>
      <c r="AM37" s="40">
        <v>0.18550955281700604</v>
      </c>
      <c r="AN37" s="39">
        <v>2.6153622985879408E-3</v>
      </c>
      <c r="AO37" s="40">
        <v>0.16491663084467018</v>
      </c>
      <c r="AP37" s="39">
        <v>2.2866795189881968E-3</v>
      </c>
      <c r="AQ37" s="40">
        <v>0.16029950058692613</v>
      </c>
      <c r="AR37" s="39">
        <v>1.9523796214562824E-3</v>
      </c>
      <c r="AS37" s="40">
        <v>0.1554237945885219</v>
      </c>
      <c r="AT37" s="39">
        <v>1.6108673529758467E-3</v>
      </c>
      <c r="AU37" s="40">
        <v>0.15020658427266084</v>
      </c>
      <c r="AV37" s="39">
        <v>1.2594464275102872E-3</v>
      </c>
      <c r="AW37" s="40">
        <v>0.14450637658935131</v>
      </c>
    </row>
    <row r="38" spans="1:49 16319:16321" x14ac:dyDescent="0.2">
      <c r="A38" t="s">
        <v>22</v>
      </c>
      <c r="B38" s="37">
        <v>0.18079094942242827</v>
      </c>
      <c r="C38" s="38">
        <v>6.0565413429233668E-2</v>
      </c>
      <c r="D38" s="37">
        <v>0.18088310171712121</v>
      </c>
      <c r="E38" s="38">
        <v>6.0634063719823661E-2</v>
      </c>
      <c r="F38" s="37">
        <v>0.18100024118291752</v>
      </c>
      <c r="G38" s="38">
        <v>6.0714268666351538E-2</v>
      </c>
      <c r="H38" s="37">
        <v>0.18114625330752107</v>
      </c>
      <c r="I38" s="38">
        <v>6.0808174436476049E-2</v>
      </c>
      <c r="J38" s="37">
        <v>0.18132594938597071</v>
      </c>
      <c r="K38" s="38">
        <v>6.0918477980294719E-2</v>
      </c>
      <c r="L38" s="37">
        <v>0.18154539974459818</v>
      </c>
      <c r="M38" s="38">
        <v>6.1048573668358523E-2</v>
      </c>
      <c r="N38" s="37">
        <v>0.18181238280436676</v>
      </c>
      <c r="O38" s="38">
        <v>6.1202867561047231E-2</v>
      </c>
      <c r="P38" s="37">
        <v>0.18213709055144647</v>
      </c>
      <c r="Q38" s="38">
        <v>6.1387124619380444E-2</v>
      </c>
      <c r="R38" s="37">
        <v>0.18253320991602345</v>
      </c>
      <c r="S38" s="38">
        <v>6.1609072859161125E-2</v>
      </c>
      <c r="T38" s="37">
        <v>0.18301964926969022</v>
      </c>
      <c r="U38" s="38">
        <v>6.1879371438633438E-2</v>
      </c>
      <c r="V38" s="37">
        <v>0.1836234389917919</v>
      </c>
      <c r="W38" s="38">
        <v>6.2213138012139152E-2</v>
      </c>
      <c r="X38" s="37">
        <v>0.18438477605942591</v>
      </c>
      <c r="Y38" s="38">
        <v>6.2632674879879419E-2</v>
      </c>
      <c r="Z38" s="37">
        <v>0.18536629634550808</v>
      </c>
      <c r="AA38" s="38">
        <v>6.3172386870265315E-2</v>
      </c>
      <c r="AB38" s="37">
        <v>0.18667105506696074</v>
      </c>
      <c r="AC38" s="38">
        <v>6.3888302190706431E-2</v>
      </c>
      <c r="AD38" s="37">
        <v>0.1884794684222747</v>
      </c>
      <c r="AE38" s="38">
        <v>6.4877366661823449E-2</v>
      </c>
      <c r="AF38" s="37">
        <v>0.19112947939065833</v>
      </c>
      <c r="AG38" s="38">
        <v>6.6318886326875506E-2</v>
      </c>
      <c r="AH38" s="37">
        <v>0.19530162435028051</v>
      </c>
      <c r="AI38" s="38">
        <v>6.8566367175772386E-2</v>
      </c>
      <c r="AJ38" s="37">
        <v>0.2025136273957529</v>
      </c>
      <c r="AK38" s="38">
        <v>7.2372393191515505E-2</v>
      </c>
      <c r="AL38" s="37">
        <v>0.217040138240125</v>
      </c>
      <c r="AM38" s="38">
        <v>7.9654001473113981E-2</v>
      </c>
      <c r="AN38" s="37">
        <v>0.25962638473032479</v>
      </c>
      <c r="AO38" s="38">
        <v>9.8154591393721652E-2</v>
      </c>
      <c r="AP38" s="37">
        <v>0.28055228368707869</v>
      </c>
      <c r="AQ38" s="38">
        <v>0.10606549320352977</v>
      </c>
      <c r="AR38" s="37">
        <v>0.31514033624347526</v>
      </c>
      <c r="AS38" s="38">
        <v>0.11795738320089605</v>
      </c>
      <c r="AT38" s="37">
        <v>0.38371101067265895</v>
      </c>
      <c r="AU38" s="38">
        <v>0.13848378023746374</v>
      </c>
      <c r="AV38" s="37">
        <v>0.58758950953502598</v>
      </c>
      <c r="AW38" s="38">
        <v>0.18645405532082671</v>
      </c>
    </row>
    <row r="39" spans="1:49 16319:16321" x14ac:dyDescent="0.2">
      <c r="A39" t="s">
        <v>23</v>
      </c>
      <c r="B39" s="39">
        <v>0.23064923795098566</v>
      </c>
      <c r="C39" s="40">
        <v>0.22092201281804777</v>
      </c>
      <c r="D39" s="39">
        <v>0.23119477066171917</v>
      </c>
      <c r="E39" s="40">
        <v>0.22137742718694842</v>
      </c>
      <c r="F39" s="39">
        <v>0.23177251063618226</v>
      </c>
      <c r="G39" s="40">
        <v>0.22187522857634612</v>
      </c>
      <c r="H39" s="39">
        <v>0.23238754870766801</v>
      </c>
      <c r="I39" s="40">
        <v>0.22242336002422847</v>
      </c>
      <c r="J39" s="39">
        <v>0.23304616880038215</v>
      </c>
      <c r="K39" s="40">
        <v>0.22303173559475012</v>
      </c>
      <c r="L39" s="39">
        <v>0.233756220470339</v>
      </c>
      <c r="M39" s="40">
        <v>0.22371294321274221</v>
      </c>
      <c r="N39" s="39">
        <v>0.23452771061465372</v>
      </c>
      <c r="O39" s="40">
        <v>0.22448314300572172</v>
      </c>
      <c r="P39" s="39">
        <v>0.23537361905222756</v>
      </c>
      <c r="Q39" s="40">
        <v>0.22536349767020386</v>
      </c>
      <c r="R39" s="39">
        <v>0.23631120495203131</v>
      </c>
      <c r="S39" s="40">
        <v>0.22638232667704794</v>
      </c>
      <c r="T39" s="39">
        <v>0.23736408402661011</v>
      </c>
      <c r="U39" s="40">
        <v>0.22757846837451048</v>
      </c>
      <c r="V39" s="39">
        <v>0.23856569737686389</v>
      </c>
      <c r="W39" s="40">
        <v>0.22900696082951788</v>
      </c>
      <c r="X39" s="39">
        <v>0.23996541286717726</v>
      </c>
      <c r="Y39" s="40">
        <v>0.2307487648523783</v>
      </c>
      <c r="Z39" s="39">
        <v>0.24163983294139652</v>
      </c>
      <c r="AA39" s="40">
        <v>0.23292860830545564</v>
      </c>
      <c r="AB39" s="39">
        <v>0.24371505632551352</v>
      </c>
      <c r="AC39" s="40">
        <v>0.235749430863441</v>
      </c>
      <c r="AD39" s="39">
        <v>0.2464133234973476</v>
      </c>
      <c r="AE39" s="40">
        <v>0.23956313670148222</v>
      </c>
      <c r="AF39" s="39">
        <v>0.25015689258437762</v>
      </c>
      <c r="AG39" s="40">
        <v>0.24502268155293422</v>
      </c>
      <c r="AH39" s="39">
        <v>0.25581430390633814</v>
      </c>
      <c r="AI39" s="40">
        <v>0.2534237228774629</v>
      </c>
      <c r="AJ39" s="39">
        <v>0.26536500951103226</v>
      </c>
      <c r="AK39" s="40">
        <v>0.26754342020045302</v>
      </c>
      <c r="AL39" s="39">
        <v>0.28443452347145776</v>
      </c>
      <c r="AM39" s="40">
        <v>0.29447973121911897</v>
      </c>
      <c r="AN39" s="39">
        <v>0.34025029587196298</v>
      </c>
      <c r="AO39" s="40">
        <v>0.36287922880972634</v>
      </c>
      <c r="AP39" s="39">
        <v>0.36767461386654432</v>
      </c>
      <c r="AQ39" s="40">
        <v>0.39212604009821622</v>
      </c>
      <c r="AR39" s="39">
        <v>0.41300365000685751</v>
      </c>
      <c r="AS39" s="40">
        <v>0.43609051602963983</v>
      </c>
      <c r="AT39" s="39">
        <v>0.50286820362563645</v>
      </c>
      <c r="AU39" s="40">
        <v>0.51197707865085396</v>
      </c>
      <c r="AV39" s="39">
        <v>0.77005891355980427</v>
      </c>
      <c r="AW39" s="40">
        <v>0.68932417128254364</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0.10799999999999982</v>
      </c>
      <c r="E42" s="135"/>
      <c r="F42" s="177">
        <f>10.8%+(1-10.8%)*(1-SUM(F26:G26)/SUM($B$26:$C$26))</f>
        <v>0.10800000000000377</v>
      </c>
      <c r="G42" s="135"/>
      <c r="H42" s="177">
        <f>10.8%+(1-10.8%)*(1-SUM(H26:I26)/SUM($B$26:$C$26))</f>
        <v>0.10800000000000219</v>
      </c>
      <c r="I42" s="135"/>
      <c r="J42" s="177">
        <f>10.8%+(1-10.8%)*(1-SUM(J26:K26)/SUM($B$26:$C$26))</f>
        <v>0.10800000000000061</v>
      </c>
      <c r="K42" s="135"/>
      <c r="L42" s="177">
        <f>10.8%+(1-10.8%)*(1-SUM(L26:M26)/SUM($B$26:$C$26))</f>
        <v>0.10800000000000051</v>
      </c>
      <c r="M42" s="135"/>
      <c r="N42" s="177">
        <f>10.8%+(1-10.8%)*(1-SUM(N26:O26)/SUM($B$26:$C$26))</f>
        <v>0.10799999999999903</v>
      </c>
      <c r="O42" s="135"/>
      <c r="P42" s="177">
        <f>10.8%+(1-10.8%)*(1-SUM(P26:Q26)/SUM($B$26:$C$26))</f>
        <v>0.10800000000000021</v>
      </c>
      <c r="Q42" s="135"/>
      <c r="R42" s="177">
        <f>10.8%+(1-10.8%)*(1-SUM(R26:S26)/SUM($B$26:$C$26))</f>
        <v>0.10799999999999961</v>
      </c>
      <c r="S42" s="135"/>
      <c r="T42" s="177">
        <f>10.8%+(1-10.8%)*(1-SUM(T26:U26)/SUM($B$26:$C$26))</f>
        <v>0.10800000000000021</v>
      </c>
      <c r="U42" s="135"/>
      <c r="V42" s="177">
        <f>10.8%+(1-10.8%)*(1-SUM(V26:W26)/SUM($B$26:$C$26))</f>
        <v>0.10800000000000021</v>
      </c>
      <c r="W42" s="135"/>
      <c r="X42" s="177">
        <f>10.8%+(1-10.8%)*(1-SUM(X26:Y26)/SUM($B$26:$C$26))</f>
        <v>0.10800000000000061</v>
      </c>
      <c r="Y42" s="162"/>
      <c r="Z42" s="177">
        <f>10.8%+(1-10.8%)*(1-SUM(Z26:AA26)/SUM($B$26:$C$26))</f>
        <v>0.10799999999999961</v>
      </c>
      <c r="AA42" s="135"/>
      <c r="AB42" s="177">
        <f>10.8%+(1-10.8%)*(1-SUM(AB26:AC26)/SUM($B$26:$C$26))</f>
        <v>0.10799999999999882</v>
      </c>
      <c r="AC42" s="135"/>
      <c r="AD42" s="177">
        <f>10.8%+(1-10.8%)*(1-SUM(AD26:AE26)/SUM($B$26:$C$26))</f>
        <v>0.10799999999999982</v>
      </c>
      <c r="AE42" s="135"/>
      <c r="AF42" s="177">
        <f>10.8%+(1-10.8%)*(1-SUM(AF26:AG26)/SUM($B$26:$C$26))</f>
        <v>0.10800000000000001</v>
      </c>
      <c r="AG42" s="135"/>
      <c r="AH42" s="177">
        <f>10.8%+(1-10.8%)*(1-SUM(AH26:AI26)/SUM($B$26:$C$26))</f>
        <v>0.10800000000000061</v>
      </c>
      <c r="AI42" s="135"/>
      <c r="AJ42" s="177">
        <f>10.8%+(1-10.8%)*(1-SUM(AJ26:AK26)/SUM($B$26:$C$26))</f>
        <v>0.10799999999999982</v>
      </c>
      <c r="AK42" s="135"/>
      <c r="AL42" s="177">
        <f>10.8%+(1-10.8%)*(1-SUM(AL26:AM26)/SUM($B$26:$C$26))</f>
        <v>0.10799999999999961</v>
      </c>
      <c r="AM42" s="135"/>
      <c r="AN42" s="177">
        <f>10.8%+(1-10.8%)*(1-SUM(AN26:AO26)/SUM($B$26:$C$26))</f>
        <v>0.10799999999999903</v>
      </c>
      <c r="AO42" s="135"/>
      <c r="AP42" s="177">
        <f>10.8%+(1-10.8%)*(1-SUM(AP26:AQ26)/SUM($B$26:$C$26))</f>
        <v>0.10800000000000001</v>
      </c>
      <c r="AQ42" s="135"/>
      <c r="AR42" s="177">
        <f>10.8%+(1-10.8%)*(1-SUM(AR26:AS26)/SUM($B$26:$C$26))</f>
        <v>0.10799999999999862</v>
      </c>
      <c r="AS42" s="135"/>
      <c r="AT42" s="177">
        <f>10.8%+(1-10.8%)*(1-SUM(AT26:AU26)/SUM($B$26:$C$26))</f>
        <v>0.10800000000000051</v>
      </c>
      <c r="AU42" s="135"/>
      <c r="AV42" s="177">
        <f>10.8%+(1-10.8%)*(1-SUM(AV26:AW26)/SUM($B$26:$C$26))</f>
        <v>0.10800000000000001</v>
      </c>
    </row>
    <row r="43" spans="1:49 16319:16321" x14ac:dyDescent="0.2">
      <c r="A43" t="s">
        <v>108</v>
      </c>
      <c r="B43" s="162">
        <f>SUM(B15:C15*B27:C27)/SUM(B15:C15*B27:C27,B13:C13*B26:C26)</f>
        <v>0.56058995943838996</v>
      </c>
      <c r="C43" s="135"/>
      <c r="D43" s="162">
        <f t="array" ref="D43">SUM(D15:E15*D27:E27)/SUM(D15:E15*D27:E27,D13:E13*D26:E26)</f>
        <v>0.56568377960770955</v>
      </c>
      <c r="E43" s="135"/>
      <c r="F43" s="162">
        <f t="array" ref="F43">SUM(F15:G15*F27:G27)/SUM(F15:G15*F27:G27,F13:G13*F26:G26)</f>
        <v>0.56416939792072085</v>
      </c>
      <c r="G43" s="135"/>
      <c r="H43" s="162">
        <f t="array" ref="H43">SUM(H15:I15*H27:I27)/SUM(H15:I15*H27:I27,H13:I13*H26:I26)</f>
        <v>0.56265765930457112</v>
      </c>
      <c r="I43" s="135"/>
      <c r="J43" s="162">
        <f t="array" ref="J43">SUM(J15:K15*J27:K27)/SUM(J15:K15*J27:K27,J13:K13*J26:K26)</f>
        <v>0.56114894595931819</v>
      </c>
      <c r="K43" s="135"/>
      <c r="L43" s="162">
        <f t="array" ref="L43">SUM(L15:M15*L27:M27)/SUM(L15:M15*L27:M27,L13:M13*L26:M26)</f>
        <v>0.55964401135052255</v>
      </c>
      <c r="M43" s="135"/>
      <c r="N43" s="162">
        <f t="array" ref="N43">SUM(N15:O15*N27:O27)/SUM(N15:O15*N27:O27,N13:O13*N26:O26)</f>
        <v>0.55814391935828811</v>
      </c>
      <c r="O43" s="135"/>
      <c r="P43" s="162">
        <f t="array" ref="P43">SUM(P15:Q15*P27:Q27)/SUM(P15:Q15*P27:Q27,P13:Q13*P26:Q26)</f>
        <v>0.5566505180760607</v>
      </c>
      <c r="Q43" s="135"/>
      <c r="R43" s="162">
        <f t="array" ref="R43">SUM(R15:S15*R27:S27)/SUM(R15:S15*R27:S27,R13:S13*R26:S26)</f>
        <v>0.55516680489209758</v>
      </c>
      <c r="S43" s="135"/>
      <c r="T43" s="162">
        <f t="array" ref="T43">SUM(T15:U15*T27:U27)/SUM(T15:U15*T27:U27,T13:U13*T26:U26)</f>
        <v>0.55369760285450909</v>
      </c>
      <c r="U43" s="135"/>
      <c r="V43" s="162">
        <f t="array" ref="V43">SUM(V15:W15*V27:W27)/SUM(V15:W15*V27:W27,V13:W13*V26:W26)</f>
        <v>0.55225074807326735</v>
      </c>
      <c r="W43" s="135"/>
      <c r="X43" s="162">
        <f t="array" ref="X43">SUM(X15:Y15*X27:Y27)/SUM(X15:Y15*X27:Y27,X13:Y13*X26:Y26)</f>
        <v>0.55083887116354258</v>
      </c>
      <c r="Y43" s="135"/>
      <c r="Z43" s="162">
        <f t="array" ref="Z43">SUM(Z15:AA15*Z27:AA27)/SUM(Z15:AA15*Z27:AA27,Z13:AA13*Z26:AA26)</f>
        <v>0.54948230914764962</v>
      </c>
      <c r="AA43" s="135"/>
      <c r="AB43" s="162">
        <f t="array" ref="AB43">SUM(AB15:AC15*AB27:AC27)/SUM(AB15:AC15*AB27:AC27,AB13:AC13*AB26:AC26)</f>
        <v>0.5482134876581829</v>
      </c>
      <c r="AC43" s="135"/>
      <c r="AD43" s="162">
        <f t="array" ref="AD43">SUM(AD15:AE15*AD27:AE27)/SUM(AD15:AE15*AD27:AE27,AD13:AE13*AD26:AE26)</f>
        <v>0.54708261358608645</v>
      </c>
      <c r="AE43" s="135"/>
      <c r="AF43" s="162">
        <f t="array" ref="AF43">SUM(AF15:AG15*AF27:AG27)/SUM(AF15:AG15*AF27:AG27,AF13:AG13*AF26:AG26)</f>
        <v>0.54616072637620849</v>
      </c>
      <c r="AG43" s="135"/>
      <c r="AH43" s="162">
        <f t="array" ref="AH43">SUM(AH15:AI15*AH27:AI27)/SUM(AH15:AI15*AH27:AI27,AH13:AI13*AH26:AI26)</f>
        <v>0.54552489981014518</v>
      </c>
      <c r="AI43" s="135"/>
      <c r="AJ43" s="162">
        <f t="array" ref="AJ43">SUM(AJ15:AK15*AJ27:AK27)/SUM(AJ15:AK15*AJ27:AK27,AJ13:AK13*AJ26:AK26)</f>
        <v>0.54520055702756109</v>
      </c>
      <c r="AK43" s="135"/>
      <c r="AL43" s="162">
        <f t="array" ref="AL43">SUM(AL15:AM15*AL27:AM27)/SUM(AL15:AM15*AL27:AM27,AL13:AM13*AL26:AM26)</f>
        <v>0.5450999811413747</v>
      </c>
      <c r="AM43" s="135"/>
      <c r="AN43" s="162">
        <f t="array" ref="AN43">SUM(AN15:AO15*AN27:AO27)/SUM(AN15:AO15*AN27:AO27,AN13:AO13*AN26:AO26)</f>
        <v>0.54508583092819174</v>
      </c>
      <c r="AO43" s="135"/>
      <c r="AP43" s="162">
        <f t="array" ref="AP43">SUM(AP15:AQ15*AP27:AQ27)/SUM(AP15:AQ15*AP27:AQ27,AP13:AQ13*AP26:AQ26)</f>
        <v>0.54508554329930414</v>
      </c>
      <c r="AQ43" s="135"/>
      <c r="AR43" s="162">
        <f t="array" ref="AR43">SUM(AR15:AS15*AR27:AS27)/SUM(AR15:AS15*AR27:AS27,AR13:AS13*AR26:AS26)</f>
        <v>0.54508543103188756</v>
      </c>
      <c r="AS43" s="135"/>
      <c r="AT43" s="162">
        <f t="array" ref="AT43">SUM(AT15:AU15*AT27:AU27)/SUM(AT15:AU15*AT27:AU27,AT13:AU13*AT26:AU26)</f>
        <v>0.54508539545332013</v>
      </c>
      <c r="AU43" s="135"/>
      <c r="AV43" s="162">
        <f t="array" ref="AV43">SUM(AV15:AW15*AV27:AW27)/SUM(AV15:AW15*AV27:AW27,AV13:AW13*AV26:AW26)</f>
        <v>0.54508538718903476</v>
      </c>
    </row>
    <row r="44" spans="1:49 16319:16321" x14ac:dyDescent="0.2">
      <c r="A44" t="s">
        <v>142</v>
      </c>
      <c r="B44" s="193">
        <f>(SUM(B11:C11*B24:C24)+B34)/B32</f>
        <v>0.29754226190682465</v>
      </c>
      <c r="D44" s="193">
        <f>(SUM(D11:E11*D24:E24)+D34)/D32</f>
        <v>0.29754224961400022</v>
      </c>
      <c r="F44" s="193">
        <f>(SUM(F11:G11*F24:G24)+F34)/F32</f>
        <v>0.29754224788586936</v>
      </c>
      <c r="H44" s="193">
        <f>(SUM(H11:I11*H24:I24)+H34)/H32</f>
        <v>0.2975422435778548</v>
      </c>
      <c r="J44" s="193">
        <f>(SUM(J11:K11*J24:K24)+J34)/J32</f>
        <v>0.29754223361661059</v>
      </c>
      <c r="L44" s="193">
        <f>(SUM(L11:M11*L24:M24)+L34)/L32</f>
        <v>0.29754226111782078</v>
      </c>
      <c r="N44" s="193">
        <f>(SUM(N11:O11*N24:O24)+N34)/N32</f>
        <v>0.29754226033210485</v>
      </c>
      <c r="P44" s="193">
        <f>(SUM(P11:Q11*P24:Q24)+P34)/P32</f>
        <v>0.29754225944607571</v>
      </c>
      <c r="R44" s="193">
        <f>(SUM(R11:S11*R24:S24)+R34)/R32</f>
        <v>0.29754226051401877</v>
      </c>
      <c r="T44" s="193">
        <f>(SUM(T11:U11*T24:U24)+T34)/T32</f>
        <v>0.29754226028636999</v>
      </c>
      <c r="V44" s="193">
        <f>(SUM(V11:W11*V24:W24)+V34)/V32</f>
        <v>0.29754226132921346</v>
      </c>
      <c r="X44" s="193">
        <f>(SUM(X11:Y11*X24:Y24)+X34)/X32</f>
        <v>0.29754225961437969</v>
      </c>
      <c r="Z44" s="193">
        <f>(SUM(Z11:AA11*Z24:AA24)+Z34)/Z32</f>
        <v>0.29754226029230779</v>
      </c>
      <c r="AB44" s="193">
        <f>(SUM(AB11:AC11*AB24:AC24)+AB34)/AB32</f>
        <v>0.29754226149571766</v>
      </c>
      <c r="AD44" s="193">
        <f>(SUM(AD11:AE11*AD24:AE24)+AD34)/AD32</f>
        <v>0.29754226221806257</v>
      </c>
      <c r="AF44" s="193">
        <f>(SUM(AF11:AG11*AF24:AG24)+AF34)/AF32</f>
        <v>0.29754226197527905</v>
      </c>
      <c r="AH44" s="193">
        <f>(SUM(AH11:AI11*AH24:AI24)+AH34)/AH32</f>
        <v>0.29754226187203014</v>
      </c>
      <c r="AJ44" s="193">
        <f>(SUM(AJ11:AK11*AJ24:AK24)+AJ34)/AJ32</f>
        <v>0.29754226190246308</v>
      </c>
      <c r="AL44" s="193">
        <f>(SUM(AL11:AM11*AL24:AM24)+AL34)/AL32</f>
        <v>0.29754226190675825</v>
      </c>
      <c r="AN44" s="193">
        <f>(SUM(AN11:AO11*AN24:AO24)+AN34)/AN32</f>
        <v>0.29754226190672095</v>
      </c>
      <c r="AP44" s="193">
        <f>(SUM(AP11:AQ11*AP24:AQ24)+AP34)/AP32</f>
        <v>0.2975422619068237</v>
      </c>
      <c r="AR44" s="193">
        <f>(SUM(AR11:AS11*AR24:AS24)+AR34)/AR32</f>
        <v>0.29754226190682376</v>
      </c>
      <c r="AT44" s="193">
        <f>(SUM(AT11:AU11*AT24:AU24)+AT34)/AT32</f>
        <v>0.29754226190682437</v>
      </c>
      <c r="AV44" s="193">
        <f>(SUM(AV11:AW11*AV24:AW24)+AV34)/AV32</f>
        <v>0.29754226190669147</v>
      </c>
    </row>
    <row r="45" spans="1:49 16319:16321" x14ac:dyDescent="0.2">
      <c r="A45" t="s">
        <v>82</v>
      </c>
      <c r="B45" s="193">
        <f>SUM(B11:C11*B24:C24)/B32</f>
        <v>0.22038438833194082</v>
      </c>
      <c r="D45" s="193">
        <f>SUM(D11:E11*D24:E24)/D32</f>
        <v>0.22038438846510147</v>
      </c>
      <c r="F45" s="193">
        <f>SUM(F11:G11*F24:G24)/F32</f>
        <v>0.22038438848886074</v>
      </c>
      <c r="H45" s="193">
        <f>SUM(H11:I11*H24:I24)/H32</f>
        <v>0.22038438854200629</v>
      </c>
      <c r="J45" s="193">
        <f>SUM(J11:K11*J24:K24)/J32</f>
        <v>0.22038438821154377</v>
      </c>
      <c r="L45" s="193">
        <f>SUM(L11:M11*L24:M24)/L32</f>
        <v>0.22038438831295862</v>
      </c>
      <c r="N45" s="193">
        <f>SUM(N11:O11*N24:O24)/N32</f>
        <v>0.22038438829354162</v>
      </c>
      <c r="P45" s="193">
        <f>SUM(P11:Q11*P24:Q24)/P32</f>
        <v>0.22038438827241122</v>
      </c>
      <c r="R45" s="193">
        <f>SUM(R11:S11*R24:S24)/R32</f>
        <v>0.22038438832574006</v>
      </c>
      <c r="T45" s="193">
        <f>SUM(T11:U11*T24:U24)/T32</f>
        <v>0.22038438832502452</v>
      </c>
      <c r="V45" s="193">
        <f>SUM(V11:W11*V24:W24)/V32</f>
        <v>0.22038438832996032</v>
      </c>
      <c r="X45" s="193">
        <f>SUM(X11:Y11*X24:Y24)/X32</f>
        <v>0.22038438832534488</v>
      </c>
      <c r="Z45" s="193">
        <f>SUM(Z11:AA11*Z24:AA24)/Z32</f>
        <v>0.22038438835325691</v>
      </c>
      <c r="AB45" s="193">
        <f>SUM(AB11:AC11*AB24:AC24)/AB32</f>
        <v>0.22038438832896315</v>
      </c>
      <c r="AD45" s="193">
        <f>SUM(AD11:AE11*AD24:AE24)/AD32</f>
        <v>0.22038438833669238</v>
      </c>
      <c r="AF45" s="193">
        <f>SUM(AF11:AG11*AF24:AG24)/AF32</f>
        <v>0.22038438833284882</v>
      </c>
      <c r="AH45" s="193">
        <f>SUM(AH11:AI11*AH24:AI24)/AH32</f>
        <v>0.22038438833232846</v>
      </c>
      <c r="AJ45" s="193">
        <f>SUM(AJ11:AK11*AJ24:AK24)/AJ32</f>
        <v>0.22038438833201526</v>
      </c>
      <c r="AL45" s="193">
        <f>SUM(AL11:AM11*AL24:AM24)/AL32</f>
        <v>0.22038438833194118</v>
      </c>
      <c r="AN45" s="193">
        <f>SUM(AN11:AO11*AN24:AO24)/AN32</f>
        <v>0.22038438833196455</v>
      </c>
      <c r="AP45" s="193">
        <f>SUM(AP11:AQ11*AP24:AQ24)/AP32</f>
        <v>0.22038438833194085</v>
      </c>
      <c r="AR45" s="193">
        <f>SUM(AR11:AS11*AR24:AS24)/AR32</f>
        <v>0.22038438833194082</v>
      </c>
      <c r="AT45" s="193">
        <f>SUM(AT11:AU11*AT24:AU24)/AT32</f>
        <v>0.22038438833194082</v>
      </c>
      <c r="AV45" s="193">
        <f>SUM(AV11:AW11*AV24:AW24)/AV32</f>
        <v>0.22038438833202548</v>
      </c>
      <c r="XCQ45" s="193"/>
    </row>
    <row r="46" spans="1:49 16319:16321" x14ac:dyDescent="0.2">
      <c r="A46" t="s">
        <v>139</v>
      </c>
      <c r="B46" s="193">
        <f>B34/B32</f>
        <v>7.7157873574883795E-2</v>
      </c>
      <c r="D46" s="193">
        <f>D34/D32</f>
        <v>7.7157861148898749E-2</v>
      </c>
      <c r="F46" s="193">
        <f>F34/F32</f>
        <v>7.715785939700863E-2</v>
      </c>
      <c r="H46" s="193">
        <f>H34/H32</f>
        <v>7.7157855035848558E-2</v>
      </c>
      <c r="J46" s="193">
        <f>J34/J32</f>
        <v>7.715784540506683E-2</v>
      </c>
      <c r="L46" s="193">
        <f>L34/L32</f>
        <v>7.7157872804862179E-2</v>
      </c>
      <c r="N46" s="193">
        <f>N34/N32</f>
        <v>7.715787203856328E-2</v>
      </c>
      <c r="P46" s="193">
        <f>P34/P32</f>
        <v>7.7157871173664475E-2</v>
      </c>
      <c r="R46" s="193">
        <f>R34/R32</f>
        <v>7.7157872188278673E-2</v>
      </c>
      <c r="T46" s="193">
        <f>T34/T32</f>
        <v>7.7157871961345478E-2</v>
      </c>
      <c r="V46" s="193">
        <f>V34/V32</f>
        <v>7.7157872999253141E-2</v>
      </c>
      <c r="X46" s="193">
        <f>X34/X32</f>
        <v>7.7157871289034799E-2</v>
      </c>
      <c r="Z46" s="193">
        <f>Z34/Z32</f>
        <v>7.7157871939050895E-2</v>
      </c>
      <c r="AB46" s="193">
        <f>AB34/AB32</f>
        <v>7.7157873166754487E-2</v>
      </c>
      <c r="AD46" s="193">
        <f>AD34/AD32</f>
        <v>7.7157873881370201E-2</v>
      </c>
      <c r="AF46" s="193">
        <f>AF34/AF32</f>
        <v>7.715787364243025E-2</v>
      </c>
      <c r="AH46" s="193">
        <f>AH34/AH32</f>
        <v>7.7157873539701688E-2</v>
      </c>
      <c r="AJ46" s="193">
        <f>AJ34/AJ32</f>
        <v>7.7157873570447788E-2</v>
      </c>
      <c r="AL46" s="193">
        <f>AL34/AL32</f>
        <v>7.7157873574817029E-2</v>
      </c>
      <c r="AN46" s="193">
        <f>AN34/AN32</f>
        <v>7.7157873574756397E-2</v>
      </c>
      <c r="AP46" s="193">
        <f>AP34/AP32</f>
        <v>7.7157873574882838E-2</v>
      </c>
      <c r="AR46" s="193">
        <f>AR34/AR32</f>
        <v>7.7157873574882976E-2</v>
      </c>
      <c r="AT46" s="193">
        <f>AT34/AT32</f>
        <v>7.7157873574883545E-2</v>
      </c>
      <c r="AV46" s="193">
        <f>AV34/AV32</f>
        <v>7.7157873574665969E-2</v>
      </c>
      <c r="XCS46" s="193"/>
    </row>
    <row r="48" spans="1:49 16319:16321" x14ac:dyDescent="0.2">
      <c r="A48" t="s">
        <v>159</v>
      </c>
      <c r="B48" s="191">
        <f>B24/$B$24</f>
        <v>1</v>
      </c>
      <c r="C48" s="191"/>
      <c r="D48" s="191">
        <f>D24/$B$24</f>
        <v>1.0016109822746158</v>
      </c>
      <c r="E48" s="191"/>
      <c r="F48" s="191">
        <f>F24/$B$24</f>
        <v>1.0031150652964305</v>
      </c>
      <c r="G48" s="191"/>
      <c r="H48" s="191">
        <f>H24/$B$24</f>
        <v>1.0044950285436636</v>
      </c>
      <c r="I48" s="191"/>
      <c r="J48" s="191">
        <f>J24/$B$24</f>
        <v>1.0057297404551129</v>
      </c>
      <c r="K48" s="191"/>
      <c r="L48" s="191">
        <f>L24/$B$24</f>
        <v>1.0067926275893699</v>
      </c>
      <c r="M48" s="191"/>
      <c r="N48" s="191">
        <f>N24/$B$24</f>
        <v>1.0076504938593209</v>
      </c>
      <c r="O48" s="191"/>
      <c r="P48" s="191">
        <f>P24/$B$24</f>
        <v>1.0082607131327888</v>
      </c>
      <c r="Q48" s="191"/>
      <c r="R48" s="191">
        <f>R24/$B$24</f>
        <v>1.0085679249635247</v>
      </c>
      <c r="S48" s="191"/>
      <c r="T48" s="191">
        <f>T24/$B$24</f>
        <v>1.008498928522428</v>
      </c>
      <c r="U48" s="191"/>
      <c r="V48" s="191">
        <f>V24/$B$24</f>
        <v>1.007954506223451</v>
      </c>
      <c r="W48" s="191"/>
      <c r="X48" s="191">
        <f>X24/$B$24</f>
        <v>1.0067964209773441</v>
      </c>
      <c r="Y48" s="191"/>
      <c r="Z48" s="191">
        <f>Z24/$B$24</f>
        <v>1.0048246715419697</v>
      </c>
      <c r="AA48" s="191"/>
      <c r="AB48" s="191">
        <f>AB24/$B$24</f>
        <v>1.0017348159465214</v>
      </c>
      <c r="AC48" s="191"/>
      <c r="AD48" s="191">
        <f>AD24/$B$24</f>
        <v>0.99702825463866207</v>
      </c>
      <c r="AE48" s="191"/>
      <c r="AF48" s="191">
        <f>AF24/$B$24</f>
        <v>0.98979740808536909</v>
      </c>
      <c r="AG48" s="191"/>
      <c r="AH48" s="191">
        <f>AH24/$B$24</f>
        <v>0.97813482160866283</v>
      </c>
      <c r="AI48" s="191"/>
      <c r="AJ48" s="191">
        <f>AJ24/$B$24</f>
        <v>0.95733972057016004</v>
      </c>
      <c r="AK48" s="191"/>
      <c r="AL48" s="191">
        <f>AL24/$B$24</f>
        <v>0.91380652633115778</v>
      </c>
      <c r="AM48" s="191"/>
      <c r="AN48" s="191">
        <f>AN24/$B$24</f>
        <v>0.79399440220722139</v>
      </c>
      <c r="AO48" s="191"/>
      <c r="AP48" s="191">
        <f>AP24/$B$24</f>
        <v>0.74350427739669145</v>
      </c>
      <c r="AQ48" s="191"/>
      <c r="AR48" s="191">
        <f>AR24/$B$24</f>
        <v>0.67156185922163292</v>
      </c>
      <c r="AS48" s="191"/>
      <c r="AT48" s="191">
        <f>AT24/$B$24</f>
        <v>0.56187510716192313</v>
      </c>
      <c r="AU48" s="191"/>
      <c r="AV48" s="191">
        <f>AV24/$B$24</f>
        <v>0.37630947866966791</v>
      </c>
    </row>
    <row r="49" spans="1:48 16321:16384" x14ac:dyDescent="0.2">
      <c r="A49" t="s">
        <v>160</v>
      </c>
      <c r="B49" s="191">
        <f>B13/B35/$B$13*$B$35</f>
        <v>1</v>
      </c>
      <c r="C49" s="191"/>
      <c r="D49" s="191">
        <f>D13/D35/$B$13*$B$35</f>
        <v>0.99644916054716215</v>
      </c>
      <c r="E49" s="191"/>
      <c r="F49" s="191">
        <f>F13/F35/$B$13*$B$35</f>
        <v>0.99232337209981869</v>
      </c>
      <c r="G49" s="191"/>
      <c r="H49" s="191">
        <f>H13/H35/$B$13*$B$35</f>
        <v>0.98753484636496336</v>
      </c>
      <c r="I49" s="191"/>
      <c r="J49" s="191">
        <f>J13/J35/$B$13*$B$35</f>
        <v>0.98197574297769474</v>
      </c>
      <c r="K49" s="191"/>
      <c r="L49" s="191">
        <f>L13/L35/$B$13*$B$35</f>
        <v>0.97551134825163333</v>
      </c>
      <c r="M49" s="191"/>
      <c r="N49" s="191">
        <f>N13/N35/$B$13*$B$35</f>
        <v>0.96797105228983649</v>
      </c>
      <c r="O49" s="191"/>
      <c r="P49" s="191">
        <f>P13/P35/$B$13*$B$35</f>
        <v>0.95913464545990901</v>
      </c>
      <c r="Q49" s="191"/>
      <c r="R49" s="191">
        <f>R13/R35/$B$13*$B$35</f>
        <v>0.94871172732024567</v>
      </c>
      <c r="S49" s="191"/>
      <c r="T49" s="191">
        <f>T13/T35/$B$13*$B$35</f>
        <v>0.93630999054181174</v>
      </c>
      <c r="U49" s="191"/>
      <c r="V49" s="191">
        <f>V13/V35/$B$13*$B$35</f>
        <v>0.92138392279977888</v>
      </c>
      <c r="W49" s="191"/>
      <c r="X49" s="191">
        <f>X13/X35/$B$13*$B$35</f>
        <v>0.90314975038766898</v>
      </c>
      <c r="Y49" s="191"/>
      <c r="Z49" s="191">
        <f>Z13/Z35/$B$13*$B$35</f>
        <v>0.88043834505467977</v>
      </c>
      <c r="AA49" s="191"/>
      <c r="AB49" s="191">
        <f>AB13/AB35/$B$13*$B$35</f>
        <v>0.85143305023603311</v>
      </c>
      <c r="AC49" s="191"/>
      <c r="AD49" s="191">
        <f>AD13/AD35/$B$13*$B$35</f>
        <v>0.81319561178989308</v>
      </c>
      <c r="AE49" s="191"/>
      <c r="AF49" s="191">
        <f>AF13/AF35/$B$13*$B$35</f>
        <v>0.76084388367660982</v>
      </c>
      <c r="AG49" s="191"/>
      <c r="AH49" s="191">
        <f>AH13/AH35/$B$13*$B$35</f>
        <v>0.68636614823712483</v>
      </c>
      <c r="AI49" s="191"/>
      <c r="AJ49" s="191">
        <f>AJ13/AJ35/$B$13*$B$35</f>
        <v>0.57773062067591574</v>
      </c>
      <c r="AK49" s="191"/>
      <c r="AL49" s="191">
        <f>AL13/AL35/$B$13*$B$35</f>
        <v>0.41988410251922009</v>
      </c>
      <c r="AM49" s="191"/>
      <c r="AN49" s="191">
        <f>AN13/AN35/$B$13*$B$35</f>
        <v>0.20243872036288263</v>
      </c>
      <c r="AO49" s="191"/>
      <c r="AP49" s="191">
        <f>AP13/AP35/$B$13*$B$35</f>
        <v>0.15342020162095713</v>
      </c>
      <c r="AQ49" s="191"/>
      <c r="AR49" s="191">
        <f>AR13/AR35/$B$13*$B$35</f>
        <v>0.10450604214330531</v>
      </c>
      <c r="AS49" s="191"/>
      <c r="AT49" s="191">
        <f>AT13/AT35/$B$13*$B$35</f>
        <v>5.808989059882514E-2</v>
      </c>
      <c r="AU49" s="191"/>
      <c r="AV49" s="191">
        <f>AV13/AV35/$B$13*$B$35</f>
        <v>1.9106433172193214E-2</v>
      </c>
    </row>
    <row r="51" spans="1:48 16321:16384" x14ac:dyDescent="0.2">
      <c r="A51" t="s">
        <v>166</v>
      </c>
      <c r="B51" s="29">
        <f>B30-B10*B23</f>
        <v>-405838.32800000021</v>
      </c>
      <c r="D51" s="29">
        <f>D30-D10*D23</f>
        <v>-346744.46322444221</v>
      </c>
      <c r="F51" s="29">
        <f>F30-F10*F23</f>
        <v>-286057.17118059751</v>
      </c>
      <c r="H51" s="29">
        <f>H30-H10*H23</f>
        <v>-223526.29004530795</v>
      </c>
      <c r="J51" s="29">
        <f>J30-J10*J23</f>
        <v>-158848.46537933452</v>
      </c>
      <c r="L51" s="29">
        <f>L30-L10*L23</f>
        <v>-91649.494995188899</v>
      </c>
      <c r="N51" s="29">
        <f>N30-N10*N23</f>
        <v>-21453.801028246991</v>
      </c>
      <c r="P51" s="29">
        <f>P30-P10*P23</f>
        <v>52350.266260443721</v>
      </c>
      <c r="R51" s="29">
        <f>R30-R10*R23</f>
        <v>130578.71593448054</v>
      </c>
      <c r="T51" s="29">
        <f>T30-T10*T23</f>
        <v>214357.23245202284</v>
      </c>
      <c r="V51" s="29">
        <f>V30-V10*V23</f>
        <v>305301.20994425332</v>
      </c>
      <c r="X51" s="29">
        <f>X30-X10*X23</f>
        <v>405836.37150655966</v>
      </c>
      <c r="Z51" s="29">
        <f>Z30-Z10*Z23</f>
        <v>519788.22343416791</v>
      </c>
      <c r="AB51" s="29">
        <f>AB30-AB10*AB23</f>
        <v>653506.4409152125</v>
      </c>
      <c r="AD51" s="29">
        <f>AD30-AD10*AD23</f>
        <v>818043.34569534427</v>
      </c>
      <c r="AF51" s="29">
        <f>AF30-AF10*AF23</f>
        <v>1033231.8859549928</v>
      </c>
      <c r="AH51" s="29">
        <f>AH30-AH10*AH23</f>
        <v>1334247.6431097742</v>
      </c>
      <c r="AJ51" s="29">
        <f>AJ30-AJ10*AJ23</f>
        <v>1779040.2010037461</v>
      </c>
      <c r="AL51" s="29">
        <f>AL30-AL10*AL23</f>
        <v>2457070.6233314448</v>
      </c>
      <c r="AN51" s="29">
        <f>AN30-AN10*AN23</f>
        <v>3476244.2515647691</v>
      </c>
      <c r="AP51" s="29">
        <f>AP30-AP10*AP23</f>
        <v>3695436.9903655103</v>
      </c>
      <c r="AQ51" s="29"/>
      <c r="AR51" s="29">
        <f>AR30-AR10*AR23</f>
        <v>3858402.7010464459</v>
      </c>
      <c r="AT51" s="29">
        <f>AT30-AT10*AT23</f>
        <v>3830772.7141373185</v>
      </c>
      <c r="AV51" s="29">
        <f>AV30-AV10*AV23</f>
        <v>3173067.9791661277</v>
      </c>
      <c r="XFD51" s="29"/>
    </row>
    <row r="52" spans="1:48 16321:16384" x14ac:dyDescent="0.2">
      <c r="A52" t="s">
        <v>167</v>
      </c>
      <c r="B52" s="29">
        <f t="array" ref="B52">Calibration!sL*SUM(B13:C13*B26:C26)</f>
        <v>2049247.8195702801</v>
      </c>
      <c r="D52" s="29">
        <f t="array" ref="D52">Calibration!sL*SUM(D13:E13*D26:E26)</f>
        <v>2046469.1863387856</v>
      </c>
      <c r="F52" s="29">
        <f t="array" ref="F52">Calibration!sL*SUM(F13:G13*F26:G26)</f>
        <v>2043027.0187934218</v>
      </c>
      <c r="H52" s="29">
        <f t="array" ref="H52">Calibration!sL*SUM(H13:I13*H26:I26)</f>
        <v>2038822.1135348449</v>
      </c>
      <c r="J52" s="29">
        <f t="array" ref="J52">Calibration!sL*SUM(J13:K13*J26:K26)</f>
        <v>2033734.0027440514</v>
      </c>
      <c r="L52" s="29">
        <f t="array" ref="L52">Calibration!sL*SUM(L13:M13*L26:M26)</f>
        <v>2027614.1560822499</v>
      </c>
      <c r="N52" s="29">
        <f t="array" ref="N52">Calibration!sL*SUM(N13:O13*N26:O26)</f>
        <v>2020277.9474252597</v>
      </c>
      <c r="P52" s="29">
        <f t="array" ref="P52">Calibration!sL*SUM(P13:Q13*P26:Q26)</f>
        <v>2011491.7861075539</v>
      </c>
      <c r="R52" s="29">
        <f t="array" ref="R52">Calibration!sL*SUM(R13:S13*R26:S26)</f>
        <v>2000955.0164940886</v>
      </c>
      <c r="T52" s="29">
        <f t="array" ref="T52">Calibration!sL*SUM(T13:U13*T26:U26)</f>
        <v>1988272.5425283792</v>
      </c>
      <c r="V52" s="29">
        <f t="array" ref="V52">Calibration!sL*SUM(V13:W13*V26:W26)</f>
        <v>1972911.0545495439</v>
      </c>
      <c r="X52" s="29">
        <f t="array" ref="X52">Calibration!sL*SUM(X13:Y13*X26:Y26)</f>
        <v>1954127.3443575045</v>
      </c>
      <c r="Z52" s="29">
        <f t="array" ref="Z52">Calibration!sL*SUM(Z13:AA13*Z26:AA26)</f>
        <v>1930842.8384926957</v>
      </c>
      <c r="AB52" s="29">
        <f t="array" ref="AB52">Calibration!sL*SUM(AB13:AC13*AB26:AC26)</f>
        <v>1901410.9171904358</v>
      </c>
      <c r="AD52" s="29">
        <f t="array" ref="AD52">Calibration!sL*SUM(AD13:AE13*AD26:AE26)</f>
        <v>1863153.6967835552</v>
      </c>
      <c r="AF52" s="29">
        <f t="array" ref="AF52">Calibration!sL*SUM(AF13:AG13*AF26:AG26)</f>
        <v>1811373.0454501617</v>
      </c>
      <c r="AH52" s="29">
        <f t="array" ref="AH52">Calibration!sL*SUM(AH13:AI13*AH26:AI26)</f>
        <v>1737088.7471474344</v>
      </c>
      <c r="AJ52" s="29">
        <f t="array" ref="AJ52">Calibration!sL*SUM(AJ13:AK13*AJ26:AK26)</f>
        <v>1621462.3299108841</v>
      </c>
      <c r="AL52" s="29">
        <f t="array" ref="AL52">Calibration!sL*SUM(AL13:AM13*AL26:AM26)</f>
        <v>1419706.4730650657</v>
      </c>
      <c r="AN52" s="29">
        <f t="array" ref="AN52">Calibration!sL*SUM(AN13:AO13*AN26:AO26)</f>
        <v>997715.87145374017</v>
      </c>
      <c r="AP52" s="29">
        <f t="array" ref="AP52">Calibration!sL*SUM(AP13:AQ13*AP26:AQ26)</f>
        <v>855057.76268006477</v>
      </c>
      <c r="AQ52" s="29"/>
      <c r="AR52" s="29">
        <f t="array" ref="AR52">Calibration!sL*SUM(AR13:AS13*AR26:AS26)</f>
        <v>677959.28363268077</v>
      </c>
      <c r="AT52" s="29">
        <f t="array" ref="AT52">Calibration!sL*SUM(AT13:AU13*AT26:AU26)</f>
        <v>457285.65963113087</v>
      </c>
      <c r="AV52" s="29">
        <f t="array" ref="AV52">Calibration!sL*SUM(AV13:AW13*AV26:AW26)</f>
        <v>194842.88454105554</v>
      </c>
    </row>
    <row r="53" spans="1:48 16321:16384" x14ac:dyDescent="0.2">
      <c r="A53" t="s">
        <v>168</v>
      </c>
      <c r="B53" s="29">
        <f t="array" ref="B53">Calibration!sK*SUM(B15:C15*B27:C27)</f>
        <v>2740714.4444297217</v>
      </c>
      <c r="D53" s="29">
        <f t="array" ref="D53">Calibration!sK*SUM(D15:E15*D27:E27)</f>
        <v>2720146.3721918957</v>
      </c>
      <c r="F53" s="29">
        <f t="array" ref="F53">Calibration!sK*SUM(F15:G15*F27:G27)</f>
        <v>2698890.7306930283</v>
      </c>
      <c r="H53" s="29">
        <f t="array" ref="H53">Calibration!sK*SUM(H15:I15*H27:I27)</f>
        <v>2676833.9589033914</v>
      </c>
      <c r="J53" s="29">
        <f t="array" ref="J53">Calibration!sK*SUM(J15:K15*J27:K27)</f>
        <v>2653838.8233618117</v>
      </c>
      <c r="L53" s="29">
        <f t="array" ref="L53">Calibration!sK*SUM(L15:M15*L27:M27)</f>
        <v>2629739.0544828656</v>
      </c>
      <c r="N53" s="29">
        <f t="array" ref="N53">Calibration!sK*SUM(N15:O15*N27:O27)</f>
        <v>2604329.1541629857</v>
      </c>
      <c r="P53" s="29">
        <f t="array" ref="P53">Calibration!sK*SUM(P15:Q15*P27:Q27)</f>
        <v>2577353.9426620514</v>
      </c>
      <c r="R53" s="29">
        <f t="array" ref="R53">Calibration!sK*SUM(R15:S15*R27:S27)</f>
        <v>2548490.4763537487</v>
      </c>
      <c r="T53" s="29">
        <f t="array" ref="T53">Calibration!sK*SUM(T15:U15*T27:U27)</f>
        <v>2517321.7402919931</v>
      </c>
      <c r="V53" s="29">
        <f t="array" ref="V53">Calibration!sK*SUM(V15:W15*V27:W27)</f>
        <v>2483295.1353834518</v>
      </c>
      <c r="X53" s="29">
        <f t="array" ref="X53">Calibration!sK*SUM(X15:Y15*X27:Y27)</f>
        <v>2445652.0261554858</v>
      </c>
      <c r="Z53" s="29">
        <f t="array" ref="Z53">Calibration!sK*SUM(Z15:AA15*Z27:AA27)</f>
        <v>2403301.0629198346</v>
      </c>
      <c r="AB53" s="29">
        <f t="array" ref="AB53">Calibration!sK*SUM(AB15:AC15*AB27:AC27)</f>
        <v>2354571.1894943076</v>
      </c>
      <c r="AD53" s="29">
        <f t="array" ref="AD53">Calibration!sK*SUM(AD15:AE15*AD27:AE27)</f>
        <v>2296687.9440012402</v>
      </c>
      <c r="AF53" s="29">
        <f t="array" ref="AF53">Calibration!sK*SUM(AF15:AG15*AF27:AG27)</f>
        <v>2224567.9731707661</v>
      </c>
      <c r="AH53" s="29">
        <f t="array" ref="AH53">Calibration!sK*SUM(AH15:AI15*AH27:AI27)</f>
        <v>2127873.856291397</v>
      </c>
      <c r="AJ53" s="29">
        <f t="array" ref="AJ53">Calibration!sK*SUM(AJ15:AK15*AJ27:AK27)</f>
        <v>1983638.9069809529</v>
      </c>
      <c r="AL53" s="29">
        <f t="array" ref="AL53">Calibration!sK*SUM(AL15:AM15*AL27:AM27)</f>
        <v>1736113.6923288405</v>
      </c>
      <c r="AN53" s="29">
        <f t="array" ref="AN53">Calibration!sK*SUM(AN15:AO15*AN27:AO27)</f>
        <v>1220005.244849714</v>
      </c>
      <c r="AP53" s="29">
        <f t="array" ref="AP53">Calibration!sK*SUM(AP15:AQ15*AP27:AQ27)</f>
        <v>1045561.9429730772</v>
      </c>
      <c r="AQ53" s="29"/>
      <c r="AR53" s="29">
        <f t="array" ref="AR53">Calibration!sK*SUM(AR15:AS15*AR27:AS27)</f>
        <v>829006.10445093724</v>
      </c>
      <c r="AT53" s="29">
        <f t="array" ref="AT53">Calibration!sK*SUM(AT15:AU15*AT27:AU27)</f>
        <v>559167.13299988827</v>
      </c>
      <c r="AV53" s="29">
        <f t="array" ref="AV53">Calibration!sK*SUM(AV15:AW15*AV27:AW27)</f>
        <v>238253.11642408406</v>
      </c>
      <c r="XFD53" s="29"/>
    </row>
    <row r="55" spans="1:48 16321:16384" x14ac:dyDescent="0.2">
      <c r="A55" t="s">
        <v>169</v>
      </c>
      <c r="B55" s="193">
        <f>B30/B32</f>
        <v>0.19850271905982084</v>
      </c>
      <c r="D55" s="193">
        <f>D30/D32</f>
        <v>0.2025172158446257</v>
      </c>
      <c r="F55" s="193">
        <f>F30/F32</f>
        <v>0.20663552334334523</v>
      </c>
      <c r="H55" s="193">
        <f>H30/H32</f>
        <v>0.21087613529112034</v>
      </c>
      <c r="J55" s="193">
        <f>J30/J32</f>
        <v>0.21526164378462628</v>
      </c>
      <c r="L55" s="193">
        <f>L30/L32</f>
        <v>0.21982012072092622</v>
      </c>
      <c r="N55" s="193">
        <f>N30/N32</f>
        <v>0.22458746309773789</v>
      </c>
      <c r="P55" s="193">
        <f>P30/P32</f>
        <v>0.22961013276294256</v>
      </c>
      <c r="R55" s="193">
        <f>R30/R32</f>
        <v>0.23495037402350633</v>
      </c>
      <c r="T55" s="193">
        <f>T30/T32</f>
        <v>0.24069425029441996</v>
      </c>
      <c r="V55" s="193">
        <f>V30/V32</f>
        <v>0.24696527789432599</v>
      </c>
      <c r="X55" s="193">
        <f>X30/X32</f>
        <v>0.25394854320293109</v>
      </c>
      <c r="Z55" s="193">
        <f>Z30/Z32</f>
        <v>0.26193489341302706</v>
      </c>
      <c r="AB55" s="193">
        <f>AB30/AB32</f>
        <v>0.2714053319199245</v>
      </c>
      <c r="AD55" s="193">
        <f>AD30/AD32</f>
        <v>0.28319647777946766</v>
      </c>
      <c r="AF55" s="193">
        <f>AF30/AF32</f>
        <v>0.29882273602796144</v>
      </c>
      <c r="AH55" s="193">
        <f>AH30/AH32</f>
        <v>0.32106783308852049</v>
      </c>
      <c r="AJ55" s="193">
        <f>AJ30/AJ32</f>
        <v>0.35507325318074912</v>
      </c>
      <c r="AL55" s="193">
        <f>AL30/AL32</f>
        <v>0.4117330159967888</v>
      </c>
      <c r="AN55" s="193">
        <f>AN30/AN32</f>
        <v>0.5267737653642699</v>
      </c>
      <c r="AP55" s="193">
        <f>AP30/AP32</f>
        <v>0.5672038141704141</v>
      </c>
      <c r="AR55" s="193">
        <f>AR30/AR32</f>
        <v>0.62024212570353665</v>
      </c>
      <c r="AT55" s="193">
        <f>AT30/AT32</f>
        <v>0.69383754003636144</v>
      </c>
      <c r="AV55" s="193">
        <f>AV30/AV32</f>
        <v>0.80506279258538838</v>
      </c>
      <c r="XCS55" s="193"/>
      <c r="XFD55" s="193"/>
    </row>
    <row r="56" spans="1:48 16321:16384" x14ac:dyDescent="0.2">
      <c r="A56" t="s">
        <v>170</v>
      </c>
      <c r="B56" s="193">
        <f>(Model!$C$52*B5*B20+B2*C5*C20)/B32</f>
        <v>2.9221206744340551E-2</v>
      </c>
      <c r="D56" s="193">
        <f>(Model!$C$52*D5*D20+D2*E5*E20)/D32</f>
        <v>3.3556552941496051E-2</v>
      </c>
      <c r="F56" s="193">
        <f>(Model!$C$52*F5*F20+F2*G5*G20)/F32</f>
        <v>3.8023857695446438E-2</v>
      </c>
      <c r="H56" s="193">
        <f>(Model!$C$52*H5*H20+H2*I5*I20)/H32</f>
        <v>4.2645845317516855E-2</v>
      </c>
      <c r="J56" s="193">
        <f>(Model!$C$52*J5*J20+J2*K5*K20)/J32</f>
        <v>4.7450324410391778E-2</v>
      </c>
      <c r="L56" s="193">
        <f>(Model!$C$52*L5*L20+L2*M5*M20)/L32</f>
        <v>5.2471898117468364E-2</v>
      </c>
      <c r="N56" s="193">
        <f>(Model!$C$52*N5*N20+N2*O5*O20)/N32</f>
        <v>5.775485538725654E-2</v>
      </c>
      <c r="P56" s="193">
        <f>(Model!$C$52*P5*P20+P2*Q5*Q20)/P32</f>
        <v>6.335664467284452E-2</v>
      </c>
      <c r="R56" s="193">
        <f>(Model!$C$52*R5*R20+R2*S5*S20)/R32</f>
        <v>6.9354318741119678E-2</v>
      </c>
      <c r="T56" s="193">
        <f>(Model!$C$52*T5*T20+T2*U5*U20)/T32</f>
        <v>7.5854519314038971E-2</v>
      </c>
      <c r="V56" s="193">
        <f>(Model!$C$52*V5*V20+V2*W5*W20)/V32</f>
        <v>8.3010360508448816E-2</v>
      </c>
      <c r="X56" s="193">
        <f>(Model!$C$52*X5*X20+X2*Y5*Y20)/X32</f>
        <v>9.1051192201261982E-2</v>
      </c>
      <c r="Z56" s="193">
        <f>(Model!$C$52*Z5*Z20+Z2*AA5*AA20)/Z32</f>
        <v>0.10033694398841771</v>
      </c>
      <c r="AB56" s="193">
        <f>(Model!$C$52*AB5*AB20+AB2*AC5*AC20)/AB32</f>
        <v>0.11146144494805825</v>
      </c>
      <c r="AD56" s="193">
        <f>(Model!$C$52*AD5*AD20+AD2*AE5*AE20)/AD32</f>
        <v>0.12545385848876103</v>
      </c>
      <c r="AF56" s="193">
        <f>(Model!$C$52*AF5*AF20+AF2*AG5*AG20)/AF32</f>
        <v>0.14416823903691409</v>
      </c>
      <c r="AH56" s="193">
        <f>(Model!$C$52*AH5*AH20+AH2*AI5*AI20)/AH32</f>
        <v>0.17099255395692001</v>
      </c>
      <c r="AJ56" s="193">
        <f>(Model!$C$52*AJ5*AJ20+AJ2*AK5*AK20)/AJ32</f>
        <v>0.21214708996625858</v>
      </c>
      <c r="AL56" s="193">
        <f>(Model!$C$52*AL5*AL20+AL2*AM5*AM20)/AL32</f>
        <v>0.28077862338678566</v>
      </c>
      <c r="AN56" s="193">
        <f>(Model!$C$52*AN5*AN20+AN2*AO5*AO20)/AN32</f>
        <v>0.42006704202202783</v>
      </c>
      <c r="AP56" s="193">
        <f>(Model!$C$52*AP5*AP20+AP2*AQ5*AQ20)/AP32</f>
        <v>0.46900056859075639</v>
      </c>
      <c r="AR56" s="193">
        <f>(Model!$C$52*AR5*AR20+AR2*AS5*AS20)/AR32</f>
        <v>0.5331839786181356</v>
      </c>
      <c r="AT56" s="193">
        <f>(Model!$C$52*AT5*AT20+AT2*AU5*AU20)/AT32</f>
        <v>0.62222867829219142</v>
      </c>
      <c r="AV56" s="193">
        <f>(Model!$C$52*AV5*AV20+AV2*AW5*AW20)/AV32</f>
        <v>0.75677567057146589</v>
      </c>
      <c r="XFD56" s="193"/>
    </row>
    <row r="57" spans="1:48 16321:16384" x14ac:dyDescent="0.2">
      <c r="A57" t="s">
        <v>171</v>
      </c>
      <c r="B57" s="193">
        <f t="array" ref="B57">SUM(Model!tauL*B13:C13*B26:C26)/B32</f>
        <v>0.15852881819439493</v>
      </c>
      <c r="D57" s="193">
        <f t="array" ref="D57">SUM(Model!tauL*D13:E13*D26:E26)/D32</f>
        <v>0.15828758000370319</v>
      </c>
      <c r="F57" s="193">
        <f t="array" ref="F57">SUM(Model!tauL*F13:G13*F26:G26)/F32</f>
        <v>0.15801923352400624</v>
      </c>
      <c r="H57" s="193">
        <f t="array" ref="H57">SUM(Model!tauL*H13:I13*H26:I26)/H32</f>
        <v>0.15771979081555218</v>
      </c>
      <c r="J57" s="193">
        <f t="array" ref="J57">SUM(Model!tauL*J13:K13*J26:K26)/J32</f>
        <v>0.15738433079071051</v>
      </c>
      <c r="L57" s="193">
        <f t="array" ref="L57">SUM(Model!tauL*L13:M13*L26:M26)/L32</f>
        <v>0.15700667130755938</v>
      </c>
      <c r="N57" s="193">
        <f t="array" ref="N57">SUM(Model!tauL*N13:O13*N26:O26)/N32</f>
        <v>0.15657885264256763</v>
      </c>
      <c r="P57" s="193">
        <f t="array" ref="P57">SUM(Model!tauL*P13:Q13*P26:Q26)/P32</f>
        <v>0.15609040859353193</v>
      </c>
      <c r="R57" s="193">
        <f t="array" ref="R57">SUM(Model!tauL*R13:S13*R26:S26)/R32</f>
        <v>0.15552716351612544</v>
      </c>
      <c r="T57" s="193">
        <f t="array" ref="T57">SUM(Model!tauL*T13:U13*T26:U26)/T32</f>
        <v>0.15486931019915876</v>
      </c>
      <c r="V57" s="193">
        <f t="array" ref="V57">SUM(Model!tauL*V13:W13*V26:W26)/V32</f>
        <v>0.15408818020072138</v>
      </c>
      <c r="X57" s="193">
        <f t="array" ref="X57">SUM(Model!tauL*X13:Y13*X26:Y26)/X32</f>
        <v>0.15314062098092343</v>
      </c>
      <c r="Y57" s="193"/>
      <c r="Z57" s="193">
        <f t="array" ref="Z57">SUM(Model!tauL*Z13:AA13*Z26:AA26)/Z32</f>
        <v>0.15195884544876254</v>
      </c>
      <c r="AB57" s="193">
        <f t="array" ref="AB57">SUM(Model!tauL*AB13:AC13*AB26:AC26)/AB32</f>
        <v>0.15043147180832497</v>
      </c>
      <c r="AD57" s="193">
        <f t="array" ref="AD57">SUM(Model!tauL*AD13:AE13*AD26:AE26)/AD32</f>
        <v>0.14836743215408085</v>
      </c>
      <c r="AF57" s="193">
        <f t="array" ref="AF57">SUM(Model!tauL*AF13:AG13*AF26:AG26)/AF32</f>
        <v>0.145428443814521</v>
      </c>
      <c r="AH57" s="193">
        <f t="array" ref="AH57">SUM(Model!tauL*AH13:AI13*AH26:AI26)/AH32</f>
        <v>0.14101195539858699</v>
      </c>
      <c r="AJ57" s="193">
        <f t="array" ref="AJ57">SUM(Model!tauL*AJ13:AK13*AJ26:AK26)/AJ32</f>
        <v>0.13404473728844216</v>
      </c>
      <c r="AL57" s="193">
        <f t="array" ref="AL57">SUM(Model!tauL*AL13:AM13*AL26:AM26)/AL32</f>
        <v>0.12229533320785493</v>
      </c>
      <c r="AN57" s="193">
        <f t="array" ref="AN57">SUM(Model!tauL*AN13:AO13*AN26:AO26)/AN32</f>
        <v>9.8382472313014599E-2</v>
      </c>
      <c r="AP57" s="193">
        <f t="array" ref="AP57">SUM(Model!tauL*AP13:AQ13*AP26:AQ26)/AP32</f>
        <v>8.9977229836351022E-2</v>
      </c>
      <c r="AR57" s="193">
        <f t="array" ref="AR57">SUM(Model!tauL*AR13:AS13*AR26:AS26)/AR32</f>
        <v>7.8950718810249343E-2</v>
      </c>
      <c r="AT57" s="193">
        <f t="array" ref="AT57">SUM(Model!tauL*AT13:AU13*AT26:AU26)/AT32</f>
        <v>6.3650419948156178E-2</v>
      </c>
      <c r="AV57" s="193">
        <f t="array" ref="AV57">SUM(Model!tauL*AV13:AW13*AV26:AW26)/AV32</f>
        <v>4.0526965143971881E-2</v>
      </c>
      <c r="XFD57" s="193"/>
    </row>
    <row r="58" spans="1:48 16321:16384" x14ac:dyDescent="0.2">
      <c r="A58" t="s">
        <v>172</v>
      </c>
      <c r="B58" s="193">
        <f t="array" ref="B58">SUM(Model!tauY/(1+Model!tauY)*B3:C3*B18:C18)/B32</f>
        <v>1.075269412108535E-2</v>
      </c>
      <c r="D58" s="193">
        <f t="array" ref="D58">SUM(Model!tauY/(1+Model!tauY)*D3:E3*D18:E18)/D32</f>
        <v>1.0673082899426504E-2</v>
      </c>
      <c r="F58" s="193">
        <f t="array" ref="F58">SUM(Model!tauY/(1+Model!tauY)*F3:G3*F18:G18)/F32</f>
        <v>1.0592432123892584E-2</v>
      </c>
      <c r="H58" s="193">
        <f t="array" ref="H58">SUM(Model!tauY/(1+Model!tauY)*H3:I3*H18:I18)/H32</f>
        <v>1.0510499158051294E-2</v>
      </c>
      <c r="J58" s="193">
        <f t="array" ref="J58">SUM(Model!tauY/(1+Model!tauY)*J3:K3*J18:K18)/J32</f>
        <v>1.0426988583523995E-2</v>
      </c>
      <c r="L58" s="193">
        <f t="array" ref="L58">SUM(Model!tauY/(1+Model!tauY)*L3:M3*L18:M18)/L32</f>
        <v>1.0341551295898406E-2</v>
      </c>
      <c r="N58" s="193">
        <f t="array" ref="N58">SUM(Model!tauY/(1+Model!tauY)*N3:O3*N18:O18)/N32</f>
        <v>1.0253755067913704E-2</v>
      </c>
      <c r="P58" s="193">
        <f t="array" ref="P58">SUM(Model!tauY/(1+Model!tauY)*P3:Q3*P18:Q18)/P32</f>
        <v>1.0163079496566099E-2</v>
      </c>
      <c r="R58" s="193">
        <f t="array" ref="R58">SUM(Model!tauY/(1+Model!tauY)*R3:S3*R18:S18)/R32</f>
        <v>1.0068891766261242E-2</v>
      </c>
      <c r="T58" s="193">
        <f t="array" ref="T58">SUM(Model!tauY/(1+Model!tauY)*T3:U3*T18:U18)/T32</f>
        <v>9.9704207812222577E-3</v>
      </c>
      <c r="V58" s="193">
        <f t="array" ref="V58">SUM(Model!tauY/(1+Model!tauY)*V3:W3*V18:W18)/V32</f>
        <v>9.866737185155839E-3</v>
      </c>
      <c r="X58" s="193">
        <f t="array" ref="X58">SUM(Model!tauY/(1+Model!tauY)*X3:Y3*X18:Y18)/X32</f>
        <v>9.7567300207456447E-3</v>
      </c>
      <c r="Y58" s="193"/>
      <c r="Z58" s="193">
        <f t="array" ref="Z58">SUM(Model!tauY/(1+Model!tauY)*Z3:AA3*Z18:AA18)/Z32</f>
        <v>9.6391039758468421E-3</v>
      </c>
      <c r="AB58" s="193">
        <f t="array" ref="AB58">SUM(Model!tauY/(1+Model!tauY)*AB3:AC3*AB18:AC18)/AB32</f>
        <v>9.5124151635412411E-3</v>
      </c>
      <c r="AD58" s="193">
        <f t="array" ref="AD58">SUM(Model!tauY/(1+Model!tauY)*AD3:AE3*AD18:AE18)/AD32</f>
        <v>9.3751871366257247E-3</v>
      </c>
      <c r="AF58" s="193">
        <f t="array" ref="AF58">SUM(Model!tauY/(1+Model!tauY)*AF3:AG3*AF18:AG18)/AF32</f>
        <v>9.2260531765263661E-3</v>
      </c>
      <c r="AH58" s="193">
        <f t="array" ref="AH58">SUM(Model!tauY/(1+Model!tauY)*AH3:AI3*AH18:AI18)/AH32</f>
        <v>9.0633237330134692E-3</v>
      </c>
      <c r="AJ58" s="193">
        <f t="array" ref="AJ58">SUM(Model!tauY/(1+Model!tauY)*AJ3:AK3*AJ18:AK18)/AJ32</f>
        <v>8.8814259260483908E-3</v>
      </c>
      <c r="AL58" s="193">
        <f t="array" ref="AL58">SUM(Model!tauY/(1+Model!tauY)*AL3:AM3*AL18:AM18)/AL32</f>
        <v>8.6590594021481952E-3</v>
      </c>
      <c r="AN58" s="193">
        <f t="array" ref="AN58">SUM(Model!tauY/(1+Model!tauY)*AN3:AO3*AN18:AO18)/AN32</f>
        <v>8.3242510292274724E-3</v>
      </c>
      <c r="AP58" s="193">
        <f t="array" ref="AP58">SUM(Model!tauY/(1+Model!tauY)*AP3:AQ3*AP18:AQ18)/AP32</f>
        <v>8.2260157433066451E-3</v>
      </c>
      <c r="AR58" s="193">
        <f t="array" ref="AR58">SUM(Model!tauY/(1+Model!tauY)*AR3:AS3*AR18:AS18)/AR32</f>
        <v>8.1074282751516114E-3</v>
      </c>
      <c r="AT58" s="193">
        <f t="array" ref="AT58">SUM(Model!tauY/(1+Model!tauY)*AT3:AU3*AT18:AU18)/AT32</f>
        <v>7.9584417960139771E-3</v>
      </c>
      <c r="AV58" s="193">
        <f t="array" ref="AV58">SUM(Model!tauY/(1+Model!tauY)*AV3:AW3*AV18:AW18)/AV32</f>
        <v>7.7601568699506218E-3</v>
      </c>
      <c r="XFD58" s="193"/>
    </row>
    <row r="59" spans="1:48 16321:16384" x14ac:dyDescent="0.2">
      <c r="A59" t="s">
        <v>173</v>
      </c>
      <c r="B59" s="193">
        <f>(B2*C5*C20)/B32</f>
        <v>5.5174232040962052E-4</v>
      </c>
      <c r="D59" s="193">
        <f>(D2*E5*E20)/D32</f>
        <v>4.9351953485749171E-3</v>
      </c>
      <c r="F59" s="193">
        <f>(F2*G5*G20)/F32</f>
        <v>9.4519460081858696E-3</v>
      </c>
      <c r="H59" s="193">
        <f>(H2*I5*I20)/H32</f>
        <v>1.4124933684236254E-2</v>
      </c>
      <c r="J59" s="193">
        <f>(J2*K5*K20)/J32</f>
        <v>1.8982229157145373E-2</v>
      </c>
      <c r="L59" s="193">
        <f>(L2*M5*M20)/L32</f>
        <v>2.4058755295068786E-2</v>
      </c>
      <c r="N59" s="193">
        <f>(N2*O5*O20)/N32</f>
        <v>2.939920989509472E-2</v>
      </c>
      <c r="P59" s="193">
        <f>(P2*Q5*Q20)/P32</f>
        <v>3.5061565388565245E-2</v>
      </c>
      <c r="R59" s="193">
        <f>(R2*S5*S20)/R32</f>
        <v>4.1123571417533492E-2</v>
      </c>
      <c r="T59" s="193">
        <f>(T2*U5*U20)/T32</f>
        <v>4.7692828008987623E-2</v>
      </c>
      <c r="V59" s="193">
        <f>(V2*W5*W20)/V32</f>
        <v>5.4923815797358486E-2</v>
      </c>
      <c r="X59" s="193">
        <f>(X2*Y5*Y20)/X32</f>
        <v>6.3047921190059128E-2</v>
      </c>
      <c r="Z59" s="193">
        <f>(Z2*AA5*AA20)/Z32</f>
        <v>7.2428253663872594E-2</v>
      </c>
      <c r="AB59" s="193">
        <f>(AB2*AC5*AC20)/AB32</f>
        <v>8.3663854753407957E-2</v>
      </c>
      <c r="AD59" s="193">
        <f>(AD2*AE5*AE20)/AD32</f>
        <v>9.7792810998056978E-2</v>
      </c>
      <c r="AF59" s="193">
        <f>(AF2*AG5*AG20)/AF32</f>
        <v>0.11668483451356237</v>
      </c>
      <c r="AH59" s="193">
        <f>(AH2*AI5*AI20)/AH32</f>
        <v>0.14375484272317823</v>
      </c>
      <c r="AJ59" s="193">
        <f>(AJ2*AK5*AK20)/AJ32</f>
        <v>0.1852666274772812</v>
      </c>
      <c r="AL59" s="193">
        <f>(AL2*AM5*AM20)/AL32</f>
        <v>0.25444234548256572</v>
      </c>
      <c r="AN59" s="193">
        <f>(AN2*AO5*AO20)/AN32</f>
        <v>0.39467254282587355</v>
      </c>
      <c r="AP59" s="193">
        <f>(AP2*AQ5*AQ20)/AP32</f>
        <v>0.44389710365393814</v>
      </c>
      <c r="AR59" s="193">
        <f>(AR2*AS5*AS20)/AR32</f>
        <v>0.50843741617769078</v>
      </c>
      <c r="AT59" s="193">
        <f>(AT2*AU5*AU20)/AT32</f>
        <v>0.59793715365563405</v>
      </c>
      <c r="AV59" s="193">
        <f>(AV2*AW5*AW20)/AV32</f>
        <v>0.73309810391747332</v>
      </c>
      <c r="XFD59" s="193"/>
    </row>
    <row r="60" spans="1:48 16321:16384" x14ac:dyDescent="0.2">
      <c r="A60" t="s">
        <v>174</v>
      </c>
      <c r="B60" s="193">
        <f>Model!$C$52*B5*B20/B32</f>
        <v>2.8669464423930927E-2</v>
      </c>
      <c r="D60" s="193">
        <f>Model!$C$52*D5*D20/D32</f>
        <v>2.8621357592921132E-2</v>
      </c>
      <c r="F60" s="193">
        <f>Model!$C$52*F5*F20/F32</f>
        <v>2.8571911687260566E-2</v>
      </c>
      <c r="H60" s="193">
        <f>Model!$C$52*H5*H20/H32</f>
        <v>2.8520911633280605E-2</v>
      </c>
      <c r="J60" s="193">
        <f>Model!$C$52*J5*J20/J32</f>
        <v>2.8468095253246405E-2</v>
      </c>
      <c r="L60" s="193">
        <f>Model!$C$52*L5*L20/L32</f>
        <v>2.8413142822399578E-2</v>
      </c>
      <c r="N60" s="193">
        <f>Model!$C$52*N5*N20/N32</f>
        <v>2.835564549216182E-2</v>
      </c>
      <c r="P60" s="193">
        <f>Model!$C$52*P5*P20/P32</f>
        <v>2.8295079284279274E-2</v>
      </c>
      <c r="R60" s="193">
        <f>Model!$C$52*R5*R20/R32</f>
        <v>2.8230747323586183E-2</v>
      </c>
      <c r="T60" s="193">
        <f>Model!$C$52*T5*T20/T32</f>
        <v>2.8161691305051351E-2</v>
      </c>
      <c r="V60" s="193">
        <f>Model!$C$52*V5*V20/V32</f>
        <v>2.808654471109033E-2</v>
      </c>
      <c r="X60" s="193">
        <f>Model!$C$52*X5*X20/X32</f>
        <v>2.8003271011202858E-2</v>
      </c>
      <c r="Z60" s="193">
        <f>Model!$C$52*Z5*Z20/Z32</f>
        <v>2.7908690324545134E-2</v>
      </c>
      <c r="AB60" s="193">
        <f>Model!$C$52*AB5*AB20/AB32</f>
        <v>2.7797590194650289E-2</v>
      </c>
      <c r="AD60" s="193">
        <f>Model!$C$52*AD5*AD20/AD32</f>
        <v>2.7661047490704055E-2</v>
      </c>
      <c r="AF60" s="193">
        <f>Model!$C$52*AF5*AF20/AF32</f>
        <v>2.7483404523351702E-2</v>
      </c>
      <c r="AH60" s="193">
        <f>Model!$C$52*AH5*AH20/AH32</f>
        <v>2.7237711233741781E-2</v>
      </c>
      <c r="AJ60" s="193">
        <f>Model!$C$52*AJ5*AJ20/AJ32</f>
        <v>2.688046248897738E-2</v>
      </c>
      <c r="AL60" s="193">
        <f>Model!$C$52*AL5*AL20/AL32</f>
        <v>2.6336277904219909E-2</v>
      </c>
      <c r="AN60" s="193">
        <f>Model!$C$52*AN5*AN20/AN32</f>
        <v>2.5394499196154337E-2</v>
      </c>
      <c r="AP60" s="193">
        <f>Model!$C$52*AP5*AP20/AP32</f>
        <v>2.5103464936818313E-2</v>
      </c>
      <c r="AR60" s="193">
        <f>Model!$C$52*AR5*AR20/AR32</f>
        <v>2.4746562440444833E-2</v>
      </c>
      <c r="AT60" s="193">
        <f>Model!$C$52*AT5*AT20/AT32</f>
        <v>2.4291524636557264E-2</v>
      </c>
      <c r="AV60" s="193">
        <f>Model!$C$52*AV5*AV20/AV32</f>
        <v>2.3677566653992534E-2</v>
      </c>
      <c r="XFD60" s="193"/>
    </row>
    <row r="62" spans="1:48 16321:16384" x14ac:dyDescent="0.2">
      <c r="A62" t="s">
        <v>175</v>
      </c>
      <c r="B62">
        <f>B13/B15</f>
        <v>1</v>
      </c>
      <c r="D62">
        <f>D13/D15</f>
        <v>1.0061952008835251</v>
      </c>
      <c r="F62">
        <f>F13/F15</f>
        <v>1.0124139348253396</v>
      </c>
      <c r="H62">
        <f>H13/H15</f>
        <v>1.0186552020273933</v>
      </c>
      <c r="J62">
        <f>J13/J15</f>
        <v>1.0249175031726661</v>
      </c>
      <c r="L62">
        <f>L13/L15</f>
        <v>1.0311977705393145</v>
      </c>
      <c r="N62">
        <f>N13/N15</f>
        <v>1.0374915241156653</v>
      </c>
      <c r="P62">
        <f>P13/P15</f>
        <v>1.0437909011372275</v>
      </c>
      <c r="R62">
        <f>R13/R15</f>
        <v>1.050082974725314</v>
      </c>
      <c r="T62">
        <f>T13/T15</f>
        <v>1.0563467375248796</v>
      </c>
      <c r="V62">
        <f>V13/V15</f>
        <v>1.0625477974873594</v>
      </c>
      <c r="X62">
        <f>X13/X15</f>
        <v>1.0686303493969842</v>
      </c>
      <c r="Z62">
        <f>Z13/Z15</f>
        <v>1.0745040421780674</v>
      </c>
      <c r="AB62">
        <f>AB13/AB15</f>
        <v>1.0800241443961265</v>
      </c>
      <c r="AD62">
        <f>AD13/AD15</f>
        <v>1.0849656751842962</v>
      </c>
      <c r="AF62">
        <f>AF13/AF15</f>
        <v>1.0890091462671818</v>
      </c>
      <c r="AH62">
        <f>AH13/AH15</f>
        <v>1.0918058957368488</v>
      </c>
      <c r="AJ62">
        <f>AJ13/AJ15</f>
        <v>1.0932350638659509</v>
      </c>
      <c r="AL62">
        <f>AL13/AL15</f>
        <v>1.0936785819179324</v>
      </c>
      <c r="AN62">
        <f>AN13/AN15</f>
        <v>1.0937409944740528</v>
      </c>
      <c r="AP62">
        <f>AP13/AP15</f>
        <v>1.0937422632033214</v>
      </c>
      <c r="AR62">
        <f>AR13/AR15</f>
        <v>1.0937427583996882</v>
      </c>
      <c r="AT62">
        <f>AT13/AT15</f>
        <v>1.0937429153293263</v>
      </c>
      <c r="AV62">
        <f>AV13/AV15</f>
        <v>1.0937429515451484</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0.99868804758191265</v>
      </c>
      <c r="E65" s="191"/>
      <c r="F65" s="191">
        <f t="array" ref="F65">SQRT((F9:G9*$B$22:$C$22+F10:G10*$B$23:$C$23+F11:G11*$B$24:$C$24+F4:G4*($B$25:$C$25-$B$19:$C$19))/($B$9:$C$9*$B$22:$C$22+$B$10:$C$10*$B$23:$C$23+$B$11:$C$11*$B$24:$C$24+$B$4:$C$4*($B$25:$C$25-$B$19:$C$19))*(F9:G9*F22:G22+F10:G10*F23:G23+F11:G11*F24:G24+F4:G4*(F25:G25-F19:G19))/($B$9:$C$9*F22:G22+$B$10:$C$10*F23:G23+$B$11:$C$11*F24:G24+$B$4:$C$4*(F25:G25-F19:G19)))</f>
        <v>0.99733988209561975</v>
      </c>
      <c r="G65" s="191"/>
      <c r="H65" s="191">
        <f t="array" ref="H65">SQRT((H9:I9*$B$22:$C$22+H10:I10*$B$23:$C$23+H11:I11*$B$24:$C$24+H4:I4*($B$25:$C$25-$B$19:$C$19))/($B$9:$C$9*$B$22:$C$22+$B$10:$C$10*$B$23:$C$23+$B$11:$C$11*$B$24:$C$24+$B$4:$C$4*($B$25:$C$25-$B$19:$C$19))*(H9:I9*H22:I22+H10:I10*H23:I23+H11:I11*H24:I24+H4:I4*(H25:I25-H19:I19))/($B$9:$C$9*H22:I22+$B$10:$C$10*H23:I23+$B$11:$C$11*H24:I24+$B$4:$C$4*(H25:I25-H19:I19)))</f>
        <v>0.99594904472340595</v>
      </c>
      <c r="I65" s="191"/>
      <c r="J65" s="191">
        <f t="array" ref="J65">SQRT((J9:K9*$B$22:$C$22+J10:K10*$B$23:$C$23+J11:K11*$B$24:$C$24+J4:K4*($B$25:$C$25-$B$19:$C$19))/($B$9:$C$9*$B$22:$C$22+$B$10:$C$10*$B$23:$C$23+$B$11:$C$11*$B$24:$C$24+$B$4:$C$4*($B$25:$C$25-$B$19:$C$19))*(J9:K9*J22:K22+J10:K10*J23:K23+J11:K11*J24:K24+J4:K4*(J25:K25-J19:K19))/($B$9:$C$9*J22:K22+$B$10:$C$10*J23:K23+$B$11:$C$11*J24:K24+$B$4:$C$4*(J25:K25-J19:K19)))</f>
        <v>0.99450809198305867</v>
      </c>
      <c r="K65" s="191"/>
      <c r="L65" s="191">
        <f t="array" ref="L65">SQRT((L9:M9*$B$22:$C$22+L10:M10*$B$23:$C$23+L11:M11*$B$24:$C$24+L4:M4*($B$25:$C$25-$B$19:$C$19))/($B$9:$C$9*$B$22:$C$22+$B$10:$C$10*$B$23:$C$23+$B$11:$C$11*$B$24:$C$24+$B$4:$C$4*($B$25:$C$25-$B$19:$C$19))*(L9:M9*L22:M22+L10:M10*L23:M23+L11:M11*L24:M24+L4:M4*(L25:M25-L19:M19))/($B$9:$C$9*L22:M22+$B$10:$C$10*L23:M23+$B$11:$C$11*L24:M24+$B$4:$C$4*(L25:M25-L19:M19)))</f>
        <v>0.99300864392099997</v>
      </c>
      <c r="M65" s="191"/>
      <c r="N65" s="191">
        <f t="array" ref="N65">SQRT((N9:O9*$B$22:$C$22+N10:O10*$B$23:$C$23+N11:O11*$B$24:$C$24+N4:O4*($B$25:$C$25-$B$19:$C$19))/($B$9:$C$9*$B$22:$C$22+$B$10:$C$10*$B$23:$C$23+$B$11:$C$11*$B$24:$C$24+$B$4:$C$4*($B$25:$C$25-$B$19:$C$19))*(N9:O9*N22:O22+N10:O10*N23:O23+N11:O11*N24:O24+N4:O4*(N25:O25-N19:O19))/($B$9:$C$9*N22:O22+$B$10:$C$10*N23:O23+$B$11:$C$11*N24:O24+$B$4:$C$4*(N25:O25-N19:O19)))</f>
        <v>0.99144152912448602</v>
      </c>
      <c r="O65" s="191"/>
      <c r="P65" s="191">
        <f t="array" ref="P65">SQRT((P9:Q9*$B$22:$C$22+P10:Q10*$B$23:$C$23+P11:Q11*$B$24:$C$24+P4:Q4*($B$25:$C$25-$B$19:$C$19))/($B$9:$C$9*$B$22:$C$22+$B$10:$C$10*$B$23:$C$23+$B$11:$C$11*$B$24:$C$24+$B$4:$C$4*($B$25:$C$25-$B$19:$C$19))*(P9:Q9*P22:Q22+P10:Q10*P23:Q23+P11:Q11*P24:Q24+P4:Q4*(P25:Q25-P19:Q19))/($B$9:$C$9*P22:Q22+$B$10:$C$10*P23:Q23+$B$11:$C$11*P24:Q24+$B$4:$C$4*(P25:Q25-P19:Q19)))</f>
        <v>0.98979731525921411</v>
      </c>
      <c r="Q65" s="191"/>
      <c r="R65" s="191">
        <f t="array" ref="R65">SQRT((R9:S9*$B$22:$C$22+R10:S10*$B$23:$C$23+R11:S11*$B$24:$C$24+R4:S4*($B$25:$C$25-$B$19:$C$19))/($B$9:$C$9*$B$22:$C$22+$B$10:$C$10*$B$23:$C$23+$B$11:$C$11*$B$24:$C$24+$B$4:$C$4*($B$25:$C$25-$B$19:$C$19))*(R9:S9*R22:S22+R10:S10*R23:S23+R11:S11*R24:S24+R4:S4*(R25:S25-R19:S19))/($B$9:$C$9*R22:S22+$B$10:$C$10*R23:S23+$B$11:$C$11*R24:S24+$B$4:$C$4*(R25:S25-R19:S19)))</f>
        <v>0.98806739742587368</v>
      </c>
      <c r="S65" s="191"/>
      <c r="T65" s="191">
        <f t="array" ref="T65">SQRT((T9:U9*$B$22:$C$22+T10:U10*$B$23:$C$23+T11:U11*$B$24:$C$24+T4:U4*($B$25:$C$25-$B$19:$C$19))/($B$9:$C$9*$B$22:$C$22+$B$10:$C$10*$B$23:$C$23+$B$11:$C$11*$B$24:$C$24+$B$4:$C$4*($B$25:$C$25-$B$19:$C$19))*(T9:U9*T22:U22+T10:U10*T23:U23+T11:U11*T24:U24+T4:U4*(T25:U25-T19:U19))/($B$9:$C$9*T22:U22+$B$10:$C$10*T23:U23+$B$11:$C$11*T24:U24+$B$4:$C$4*(T25:U25-T19:U19)))</f>
        <v>0.98624625558467782</v>
      </c>
      <c r="U65" s="191"/>
      <c r="V65" s="191">
        <f t="array" ref="V65">SQRT((V9:W9*$B$22:$C$22+V10:W10*$B$23:$C$23+V11:W11*$B$24:$C$24+V4:W4*($B$25:$C$25-$B$19:$C$19))/($B$9:$C$9*$B$22:$C$22+$B$10:$C$10*$B$23:$C$23+$B$11:$C$11*$B$24:$C$24+$B$4:$C$4*($B$25:$C$25-$B$19:$C$19))*(V9:W9*V22:W22+V10:W10*V23:W23+V11:W11*V24:W24+V4:W4*(V25:W25-V19:W19))/($B$9:$C$9*V22:W22+$B$10:$C$10*V23:W23+$B$11:$C$11*V24:W24+$B$4:$C$4*(V25:W25-V19:W19)))</f>
        <v>0.98433588554223872</v>
      </c>
      <c r="W65" s="191"/>
      <c r="X65" s="191">
        <f t="array" ref="X65">SQRT((X9:Y9*$B$22:$C$22+X10:Y10*$B$23:$C$23+X11:Y11*$B$24:$C$24+X4:Y4*($B$25:$C$25-$B$19:$C$19))/($B$9:$C$9*$B$22:$C$22+$B$10:$C$10*$B$23:$C$23+$B$11:$C$11*$B$24:$C$24+$B$4:$C$4*($B$25:$C$25-$B$19:$C$19))*(X9:Y9*X22:Y22+X10:Y10*X23:Y23+X11:Y11*X24:Y24+X4:Y4*(X25:Y25-X19:Y19))/($B$9:$C$9*X22:Y22+$B$10:$C$10*X23:Y23+$B$11:$C$11*X24:Y24+$B$4:$C$4*(X25:Y25-X19:Y19)))</f>
        <v>0.98235444958184859</v>
      </c>
      <c r="Y65" s="191"/>
      <c r="Z65" s="191">
        <f t="array" ref="Z65">SQRT((Z9:AA9*$B$22:$C$22+Z10:AA10*$B$23:$C$23+Z11:AA11*$B$24:$C$24+Z4:AA4*($B$25:$C$25-$B$19:$C$19))/($B$9:$C$9*$B$22:$C$22+$B$10:$C$10*$B$23:$C$23+$B$11:$C$11*$B$24:$C$24+$B$4:$C$4*($B$25:$C$25-$B$19:$C$19))*(Z9:AA9*Z22:AA22+Z10:AA10*Z23:AA23+Z11:AA11*Z24:AA24+Z4:AA4*(Z25:AA25-Z19:AA19))/($B$9:$C$9*Z22:AA22+$B$10:$C$10*Z23:AA23+$B$11:$C$11*Z24:AA24+$B$4:$C$4*(Z25:AA25-Z19:AA19)))</f>
        <v>0.98035303020589881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0.978447760379205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0.97687827828819784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0.97609538716938027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0.9768038041357372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0.97966066517414263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0.98440185276534697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0.98917735061041601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0.9898094166857947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0.99018398872882618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0.99015316263757924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0.98943118628026361</v>
      </c>
    </row>
    <row r="66" spans="1:48 16384:16384" x14ac:dyDescent="0.2">
      <c r="A66" t="s">
        <v>182</v>
      </c>
      <c r="B66" s="191">
        <f t="array" ref="B66">SQRT((B9:C9*$B$22:$C$22)/($B$9:$C$9*$B$22:$C$22)*(B9:C9*B22:C22)/($B$9:$C$9*B22:C22))</f>
        <v>1</v>
      </c>
      <c r="C66" s="191"/>
      <c r="D66" s="191">
        <f t="array" ref="D66">SQRT((D9:E9*$B$22:$C$22)/($B$9:$C$9*$B$22:$C$22)*(D9:E9*D22:E22)/($B$9:$C$9*D22:E22))</f>
        <v>0.99855739750363925</v>
      </c>
      <c r="E66" s="191"/>
      <c r="F66" s="191">
        <f t="array" ref="F66">SQRT((F9:G9*$B$22:$C$22)/($B$9:$C$9*$B$22:$C$22)*(F9:G9*F22:G22)/($B$9:$C$9*F22:G22))</f>
        <v>0.99707343847156593</v>
      </c>
      <c r="G66" s="191"/>
      <c r="H66" s="191">
        <f t="array" ref="H66">SQRT((H9:I9*$B$22:$C$22)/($B$9:$C$9*$B$22:$C$22)*(H9:I9*H22:I22)/($B$9:$C$9*H22:I22))</f>
        <v>0.99554086605142733</v>
      </c>
      <c r="I66" s="191"/>
      <c r="J66" s="191">
        <f t="array" ref="J66">SQRT((J9:K9*$B$22:$C$22)/($B$9:$C$9*$B$22:$C$22)*(J9:K9*J22:K22)/($B$9:$C$9*J22:K22))</f>
        <v>0.99395129839223539</v>
      </c>
      <c r="K66" s="191"/>
      <c r="L66" s="191">
        <f t="array" ref="L66">SQRT((L9:M9*$B$22:$C$22)/($B$9:$C$9*$B$22:$C$22)*(L9:M9*L22:M22)/($B$9:$C$9*L22:M22))</f>
        <v>0.99229527198968448</v>
      </c>
      <c r="M66" s="191"/>
      <c r="N66" s="191">
        <f t="array" ref="N66">SQRT((N9:O9*$B$22:$C$22)/($B$9:$C$9*$B$22:$C$22)*(N9:O9*N22:O22)/($B$9:$C$9*N22:O22))</f>
        <v>0.99056239136512603</v>
      </c>
      <c r="O66" s="191"/>
      <c r="P66" s="191">
        <f t="array" ref="P66">SQRT((P9:Q9*$B$22:$C$22)/($B$9:$C$9*$B$22:$C$22)*(P9:Q9*P22:Q22)/($B$9:$C$9*P22:Q22))</f>
        <v>0.98874190537848983</v>
      </c>
      <c r="Q66" s="191"/>
      <c r="R66" s="191">
        <f t="array" ref="R66">SQRT((R9:S9*$B$22:$C$22)/($B$9:$C$9*$B$22:$C$22)*(R9:S9*R22:S22)/($B$9:$C$9*R22:S22))</f>
        <v>0.986823906193806</v>
      </c>
      <c r="S66" s="191"/>
      <c r="T66" s="191">
        <f t="array" ref="T66">SQRT((T9:U9*$B$22:$C$22)/($B$9:$C$9*$B$22:$C$22)*(T9:U9*T22:U22)/($B$9:$C$9*T22:U22))</f>
        <v>0.98480183767881302</v>
      </c>
      <c r="U66" s="191"/>
      <c r="V66" s="191">
        <f t="array" ref="V66">SQRT((V9:W9*$B$22:$C$22)/($B$9:$C$9*$B$22:$C$22)*(V9:W9*V22:W22)/($B$9:$C$9*V22:W22))</f>
        <v>0.98267744892234488</v>
      </c>
      <c r="W66" s="191"/>
      <c r="X66" s="191">
        <f t="array" ref="X66">SQRT((X9:Y9*$B$22:$C$22)/($B$9:$C$9*$B$22:$C$22)*(X9:Y9*X22:Y22)/($B$9:$C$9*X22:Y22))</f>
        <v>0.98047050931131929</v>
      </c>
      <c r="Y66" s="191"/>
      <c r="Z66" s="191">
        <f t="array" ref="Z66">SQRT((Z9:AA9*$B$22:$C$22)/($B$9:$C$9*$B$22:$C$22)*(Z9:AA9*Z22:AA22)/($B$9:$C$9*Z22:AA22))</f>
        <v>0.97823768909532105</v>
      </c>
      <c r="AA66" s="191"/>
      <c r="AB66" s="191">
        <f t="array" ref="AB66">SQRT((AB9:AC9*$B$22:$C$22)/($B$9:$C$9*$B$22:$C$22)*(AB9:AC9*AB22:AC22)/($B$9:$C$9*AB22:AC22))</f>
        <v>0.97610885065738906</v>
      </c>
      <c r="AC66" s="191"/>
      <c r="AD66" s="191">
        <f t="array" ref="AD66">SQRT((AD9:AE9*$B$22:$C$22)/($B$9:$C$9*$B$22:$C$22)*(AD9:AE9*AD22:AE22)/($B$9:$C$9*AD22:AE22))</f>
        <v>0.97435311240443834</v>
      </c>
      <c r="AE66" s="191"/>
      <c r="AF66" s="191">
        <f t="array" ref="AF66">SQRT((AF9:AG9*$B$22:$C$22)/($B$9:$C$9*$B$22:$C$22)*(AF9:AG9*AF22:AG22)/($B$9:$C$9*AF22:AG22))</f>
        <v>0.97347762102146018</v>
      </c>
      <c r="AG66" s="191"/>
      <c r="AH66" s="191">
        <f t="array" ref="AH66">SQRT((AH9:AI9*$B$22:$C$22)/($B$9:$C$9*$B$22:$C$22)*(AH9:AI9*AH22:AI22)/($B$9:$C$9*AH22:AI22))</f>
        <v>0.97427395381820248</v>
      </c>
      <c r="AI66" s="191"/>
      <c r="AJ66" s="191">
        <f t="array" ref="AJ66">SQRT((AJ9:AK9*$B$22:$C$22)/($B$9:$C$9*$B$22:$C$22)*(AJ9:AK9*AJ22:AK22)/($B$9:$C$9*AJ22:AK22))</f>
        <v>0.9774729720182298</v>
      </c>
      <c r="AK66" s="191"/>
      <c r="AL66" s="191">
        <f t="array" ref="AL66">SQRT((AL9:AM9*$B$22:$C$22)/($B$9:$C$9*$B$22:$C$22)*(AL9:AM9*AL22:AM22)/($B$9:$C$9*AL22:AM22))</f>
        <v>0.9827615639283146</v>
      </c>
      <c r="AM66" s="191"/>
      <c r="AN66" s="191">
        <f t="array" ref="AN66">SQRT((AN9:AO9*$B$22:$C$22)/($B$9:$C$9*$B$22:$C$22)*(AN9:AO9*AN22:AO22)/($B$9:$C$9*AN22:AO22))</f>
        <v>0.9880648477171069</v>
      </c>
      <c r="AO66" s="191"/>
      <c r="AP66" s="191">
        <f t="array" ref="AP66">SQRT((AP9:AQ9*$B$22:$C$22)/($B$9:$C$9*$B$22:$C$22)*(AP9:AQ9*AP22:AQ22)/($B$9:$C$9*AP22:AQ22))</f>
        <v>0.98876504525006603</v>
      </c>
      <c r="AQ66" s="191"/>
      <c r="AR66" s="191">
        <f t="array" ref="AR66">SQRT((AR9:AS9*$B$22:$C$22)/($B$9:$C$9*$B$22:$C$22)*(AR9:AS9*AR22:AS22)/($B$9:$C$9*AR22:AS22))</f>
        <v>0.98917980507982772</v>
      </c>
      <c r="AS66" s="191"/>
      <c r="AT66" s="191">
        <f t="array" ref="AT66">SQRT((AT9:AU9*$B$22:$C$22)/($B$9:$C$9*$B$22:$C$22)*(AT9:AU9*AT22:AU22)/($B$9:$C$9*AT22:AU22))</f>
        <v>0.98914567714368395</v>
      </c>
      <c r="AU66" s="191"/>
      <c r="AV66" s="191">
        <f t="array" ref="AV66">SQRT((AV9:AW9*$B$22:$C$22)/($B$9:$C$9*$B$22:$C$22)*(AV9:AW9*AV22:AW22)/($B$9:$C$9*AV22:AW22))</f>
        <v>0.98834609401429008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0.99855739750363925</v>
      </c>
      <c r="E68" s="191"/>
      <c r="F68" s="191">
        <f>F66/F67</f>
        <v>0.99707343847156593</v>
      </c>
      <c r="G68" s="191"/>
      <c r="H68" s="191">
        <f>H66/H67</f>
        <v>0.99554086605142733</v>
      </c>
      <c r="I68" s="191"/>
      <c r="J68" s="191">
        <f>J66/J67</f>
        <v>0.99395129839223539</v>
      </c>
      <c r="K68" s="191"/>
      <c r="L68" s="191">
        <f>L66/L67</f>
        <v>0.99229527198968448</v>
      </c>
      <c r="M68" s="191"/>
      <c r="N68" s="191">
        <f>N66/N67</f>
        <v>0.99056239136512603</v>
      </c>
      <c r="O68" s="191"/>
      <c r="P68" s="191">
        <f>P66/P67</f>
        <v>0.98874190537848983</v>
      </c>
      <c r="Q68" s="191"/>
      <c r="R68" s="191">
        <f>R66/R67</f>
        <v>0.986823906193806</v>
      </c>
      <c r="S68" s="191"/>
      <c r="T68" s="191">
        <f>T66/T67</f>
        <v>0.98480183767881302</v>
      </c>
      <c r="U68" s="191"/>
      <c r="V68" s="191">
        <f>V66/V67</f>
        <v>0.98267744892234488</v>
      </c>
      <c r="W68" s="191"/>
      <c r="X68" s="191">
        <f>X66/X67</f>
        <v>0.98047050931131929</v>
      </c>
      <c r="Y68" s="191"/>
      <c r="Z68" s="191">
        <f>Z66/Z67</f>
        <v>0.97823768909532105</v>
      </c>
      <c r="AA68" s="191"/>
      <c r="AB68" s="191">
        <f>AB66/AB67</f>
        <v>0.97610885065738906</v>
      </c>
      <c r="AC68" s="191"/>
      <c r="AD68" s="191">
        <f>AD66/AD67</f>
        <v>0.97435311240443834</v>
      </c>
      <c r="AE68" s="191"/>
      <c r="AF68" s="191">
        <f>AF66/AF67</f>
        <v>0.97347762102146018</v>
      </c>
      <c r="AG68" s="191"/>
      <c r="AH68" s="191">
        <f>AH66/AH67</f>
        <v>0.97427395381820248</v>
      </c>
      <c r="AI68" s="191"/>
      <c r="AJ68" s="191">
        <f>AJ66/AJ67</f>
        <v>0.9774729720182298</v>
      </c>
      <c r="AK68" s="191"/>
      <c r="AL68" s="191">
        <f>AL66/AL67</f>
        <v>0.9827615639283146</v>
      </c>
      <c r="AM68" s="191"/>
      <c r="AN68" s="191">
        <f>AN66/AN67</f>
        <v>0.9880648477171069</v>
      </c>
      <c r="AO68" s="191"/>
      <c r="AP68" s="191">
        <f>AP66/AP67</f>
        <v>0.98876504525006603</v>
      </c>
      <c r="AQ68" s="191"/>
      <c r="AR68" s="191">
        <f>AR66/AR67</f>
        <v>0.98917980507982772</v>
      </c>
      <c r="AS68" s="191"/>
      <c r="AT68" s="191">
        <f>AT66/AT67</f>
        <v>0.98914567714368395</v>
      </c>
      <c r="AU68" s="191"/>
      <c r="AV68" s="191">
        <f>AV66/AV67</f>
        <v>0.98834609401429008</v>
      </c>
      <c r="XFD68" s="191"/>
    </row>
    <row r="69" spans="1:48 16384:16384" x14ac:dyDescent="0.2">
      <c r="A69" t="s">
        <v>177</v>
      </c>
      <c r="B69" s="191">
        <f>B32/B65/($B$32)</f>
        <v>1</v>
      </c>
      <c r="C69" s="191"/>
      <c r="D69" s="191">
        <f>D32/D65/($B$32)</f>
        <v>1.0014799492079132</v>
      </c>
      <c r="E69" s="191"/>
      <c r="F69" s="191">
        <f>F32/F65/($B$32)</f>
        <v>1.0028470780933767</v>
      </c>
      <c r="G69" s="191"/>
      <c r="H69" s="191">
        <f>H32/H65/($B$32)</f>
        <v>1.004083346437912</v>
      </c>
      <c r="I69" s="191"/>
      <c r="J69" s="191">
        <f>J32/J65/($B$32)</f>
        <v>1.0051666647677573</v>
      </c>
      <c r="K69" s="191"/>
      <c r="L69" s="191">
        <f>L32/L65/($B$32)</f>
        <v>1.006069353406889</v>
      </c>
      <c r="M69" s="191"/>
      <c r="N69" s="191">
        <f>N32/N65/($B$32)</f>
        <v>1.0067569833521925</v>
      </c>
      <c r="O69" s="191"/>
      <c r="P69" s="191">
        <f>P32/P65/($B$32)</f>
        <v>1.0071856162080963</v>
      </c>
      <c r="Q69" s="191"/>
      <c r="R69" s="191">
        <f>R32/R65/($B$32)</f>
        <v>1.0072986336713508</v>
      </c>
      <c r="S69" s="191"/>
      <c r="T69" s="191">
        <f>T32/T65/($B$32)</f>
        <v>1.0070219202488999</v>
      </c>
      <c r="U69" s="191"/>
      <c r="V69" s="191">
        <f>V32/V65/($B$32)</f>
        <v>1.0062562763001499</v>
      </c>
      <c r="W69" s="191"/>
      <c r="X69" s="191">
        <f>X32/X65/($B$32)</f>
        <v>1.0048656063991974</v>
      </c>
      <c r="Y69" s="191"/>
      <c r="Z69" s="191">
        <f>Z32/Z65/($B$32)</f>
        <v>1.0026565270407353</v>
      </c>
      <c r="AA69" s="191"/>
      <c r="AB69" s="191">
        <f>AB32/AB65/($B$32)</f>
        <v>0.99934024018952905</v>
      </c>
      <c r="AC69" s="191"/>
      <c r="AD69" s="191">
        <f>AD32/AD65/($B$32)</f>
        <v>0.99445100237432194</v>
      </c>
      <c r="AE69" s="191"/>
      <c r="AF69" s="191">
        <f>AF32/AF65/($B$32)</f>
        <v>0.98714289482138484</v>
      </c>
      <c r="AG69" s="191"/>
      <c r="AH69" s="191">
        <f>AH32/AH65/($B$32)</f>
        <v>0.97560152405163303</v>
      </c>
      <c r="AI69" s="191"/>
      <c r="AJ69" s="191">
        <f>AJ32/AJ65/($B$32)</f>
        <v>0.95520187260979639</v>
      </c>
      <c r="AK69" s="191"/>
      <c r="AL69" s="191">
        <f>AL32/AL65/($B$32)</f>
        <v>0.9122838690544175</v>
      </c>
      <c r="AM69" s="191"/>
      <c r="AN69" s="191">
        <f>AN32/AN65/($B$32)</f>
        <v>0.79310141666800915</v>
      </c>
      <c r="AO69" s="191"/>
      <c r="AP69" s="191">
        <f>AP32/AP65/($B$32)</f>
        <v>0.742719788366212</v>
      </c>
      <c r="AQ69" s="191"/>
      <c r="AR69" s="191">
        <f>AR32/AR65/($B$32)</f>
        <v>0.67088080252308235</v>
      </c>
      <c r="AS69" s="191"/>
      <c r="AT69" s="191">
        <f>AT32/AT65/($B$32)</f>
        <v>0.56130339660116646</v>
      </c>
      <c r="AU69" s="191"/>
      <c r="AV69" s="191">
        <f>AV32/AV65/($B$32)</f>
        <v>0.37589678649792124</v>
      </c>
    </row>
    <row r="70" spans="1:48 16384:16384" x14ac:dyDescent="0.2">
      <c r="A70" t="s">
        <v>178</v>
      </c>
      <c r="B70" s="138">
        <f>B18/$B$18</f>
        <v>1</v>
      </c>
      <c r="C70" s="138"/>
      <c r="D70" s="138">
        <f>D18/$B$18</f>
        <v>1.0005083041478684</v>
      </c>
      <c r="E70" s="138"/>
      <c r="F70" s="138">
        <f>F18/$B$18</f>
        <v>1.0008764777532624</v>
      </c>
      <c r="G70" s="138"/>
      <c r="H70" s="138">
        <f>H18/$B$18</f>
        <v>1.0010830090754479</v>
      </c>
      <c r="I70" s="138"/>
      <c r="J70" s="138">
        <f>J18/$B$18</f>
        <v>1.0011013860609164</v>
      </c>
      <c r="K70" s="138"/>
      <c r="L70" s="138">
        <f>L18/$B$18</f>
        <v>1.000898214554355</v>
      </c>
      <c r="M70" s="138"/>
      <c r="N70" s="138">
        <f>N18/$B$18</f>
        <v>1.0004309273538126</v>
      </c>
      <c r="O70" s="138"/>
      <c r="P70" s="138">
        <f>P18/$B$18</f>
        <v>0.99964389804027132</v>
      </c>
      <c r="Q70" s="138"/>
      <c r="R70" s="138">
        <f>R18/$B$18</f>
        <v>0.99846272854524576</v>
      </c>
      <c r="S70" s="138"/>
      <c r="T70" s="138">
        <f>T18/$B$18</f>
        <v>0.99678517426541235</v>
      </c>
      <c r="U70" s="138"/>
      <c r="V70" s="138">
        <f>V18/$B$18</f>
        <v>0.99446606318076602</v>
      </c>
      <c r="W70" s="138"/>
      <c r="X70" s="138">
        <f>X18/$B$18</f>
        <v>0.99129163793211406</v>
      </c>
      <c r="Y70" s="138"/>
      <c r="Z70" s="138">
        <f>Z18/$B$18</f>
        <v>0.98693356909158403</v>
      </c>
      <c r="AA70" s="138"/>
      <c r="AB70" s="138">
        <f>AB18/$B$18</f>
        <v>0.98086297421851065</v>
      </c>
      <c r="AC70" s="138"/>
      <c r="AD70" s="138">
        <f>AD18/$B$18</f>
        <v>0.97218270318634725</v>
      </c>
      <c r="AE70" s="138"/>
      <c r="AF70" s="138">
        <f>AF18/$B$18</f>
        <v>0.95929109426177872</v>
      </c>
      <c r="AG70" s="138"/>
      <c r="AH70" s="138">
        <f>AH18/$B$18</f>
        <v>0.93919494283859939</v>
      </c>
      <c r="AI70" s="138"/>
      <c r="AJ70" s="138">
        <f>AJ18/$B$18</f>
        <v>0.90594314430772604</v>
      </c>
      <c r="AK70" s="138"/>
      <c r="AL70" s="138">
        <f>AL18/$B$18</f>
        <v>0.84536479714630874</v>
      </c>
      <c r="AM70" s="138"/>
      <c r="AN70" s="138">
        <f>AN18/$B$18</f>
        <v>0.70670713051328282</v>
      </c>
      <c r="AO70" s="138"/>
      <c r="AP70" s="138">
        <f>AP18/$B$18</f>
        <v>0.65399521975204533</v>
      </c>
      <c r="AQ70" s="138"/>
      <c r="AR70" s="138">
        <f>AR18/$B$18</f>
        <v>0.58221638110370189</v>
      </c>
      <c r="AS70" s="138"/>
      <c r="AT70" s="138">
        <f>AT18/$B$18</f>
        <v>0.47817202358320782</v>
      </c>
      <c r="AU70" s="138"/>
      <c r="AV70" s="138">
        <f>AV18/$B$18</f>
        <v>0.31225858948755414</v>
      </c>
    </row>
    <row r="71" spans="1:48 16384:16384" x14ac:dyDescent="0.2">
      <c r="A71" t="s">
        <v>179</v>
      </c>
      <c r="B71" s="138">
        <f>C18/$C$18</f>
        <v>1</v>
      </c>
      <c r="D71" s="138">
        <f>E18/$C$18</f>
        <v>0.93048072962746953</v>
      </c>
      <c r="E71" s="138"/>
      <c r="F71" s="138">
        <f>G18/$C$18</f>
        <v>0.86105031392692333</v>
      </c>
      <c r="G71" s="138"/>
      <c r="H71" s="138">
        <f>I18/$C$18</f>
        <v>0.79173064547123639</v>
      </c>
      <c r="I71" s="138"/>
      <c r="J71" s="138">
        <f>K18/$C$18</f>
        <v>0.72255208605804777</v>
      </c>
      <c r="K71" s="138"/>
      <c r="L71" s="138">
        <f>M18/$C$18</f>
        <v>0.65356506391819913</v>
      </c>
      <c r="M71" s="138"/>
      <c r="N71" s="138">
        <f>O18/$C$18</f>
        <v>0.58484001049622847</v>
      </c>
      <c r="O71" s="138"/>
      <c r="P71" s="138">
        <f>Q18/$C$18</f>
        <v>0.516488776694636</v>
      </c>
      <c r="Q71" s="138"/>
      <c r="R71" s="138">
        <f>S18/$C$18</f>
        <v>0.44868344528918491</v>
      </c>
      <c r="S71" s="138"/>
      <c r="T71" s="138">
        <f>U18/$C$18</f>
        <v>0.381689164868944</v>
      </c>
      <c r="U71" s="138"/>
      <c r="V71" s="138">
        <f>W18/$C$18</f>
        <v>0.31591927375630069</v>
      </c>
      <c r="W71" s="138"/>
      <c r="X71" s="138">
        <f>Y18/$C$18</f>
        <v>0.25201723274693927</v>
      </c>
      <c r="Y71" s="138"/>
      <c r="Z71" s="138">
        <f>AA18/$C$18</f>
        <v>0.19098585463847093</v>
      </c>
      <c r="AA71" s="138"/>
      <c r="AB71" s="138">
        <f>AC18/$C$18</f>
        <v>0.13437413627806494</v>
      </c>
      <c r="AC71" s="138"/>
      <c r="AD71" s="138">
        <f>AE18/$C$18</f>
        <v>8.4500715922310718E-2</v>
      </c>
      <c r="AE71" s="138"/>
      <c r="AF71" s="138">
        <f>AG18/$C$18</f>
        <v>4.45136438774218E-2</v>
      </c>
      <c r="AG71" s="138"/>
      <c r="AH71" s="138">
        <f>AI18/$C$18</f>
        <v>1.7598945773523816E-2</v>
      </c>
      <c r="AI71" s="138"/>
      <c r="AJ71" s="138">
        <f>AK18/$C$18</f>
        <v>4.3693442622502344E-3</v>
      </c>
      <c r="AK71" s="138"/>
      <c r="AL71" s="138">
        <f>AM18/$C$18</f>
        <v>5.030950703208679E-4</v>
      </c>
      <c r="AM71" s="138"/>
      <c r="AN71" s="138">
        <f>AO18/$C$18</f>
        <v>1.2442626533015328E-5</v>
      </c>
      <c r="AO71" s="138"/>
      <c r="AP71" s="138">
        <f>AQ18/$C$18</f>
        <v>4.0685004166430817E-6</v>
      </c>
      <c r="AQ71" s="138"/>
      <c r="AR71" s="138">
        <f>AS18/$C$18</f>
        <v>1.0450566578347115E-6</v>
      </c>
      <c r="AS71" s="138"/>
      <c r="AT71" s="138">
        <f>AU18/$C$18</f>
        <v>1.8474955748770547E-7</v>
      </c>
      <c r="AU71" s="138"/>
      <c r="AV71" s="138">
        <f>AW18/$C$18</f>
        <v>1.6344678298856595E-8</v>
      </c>
      <c r="XFD71" s="138"/>
    </row>
    <row r="72" spans="1:48 16384:16384" x14ac:dyDescent="0.2">
      <c r="A72" t="s">
        <v>180</v>
      </c>
      <c r="B72" s="138">
        <f>C19/$C$19</f>
        <v>1</v>
      </c>
      <c r="D72" s="138">
        <f>E19/$C$19</f>
        <v>1.0227168146833998</v>
      </c>
      <c r="E72" s="138"/>
      <c r="F72" s="138">
        <f>G19/$C$19</f>
        <v>1.0486519860934318</v>
      </c>
      <c r="G72" s="138"/>
      <c r="H72" s="138">
        <f>I19/$C$19</f>
        <v>1.0782040655134213</v>
      </c>
      <c r="I72" s="138"/>
      <c r="J72" s="138">
        <f>K19/$C$19</f>
        <v>1.1118144769022635</v>
      </c>
      <c r="K72" s="138"/>
      <c r="L72" s="138">
        <f>M19/$C$19</f>
        <v>1.1499597361107821</v>
      </c>
      <c r="M72" s="138"/>
      <c r="N72" s="138">
        <f>O19/$C$19</f>
        <v>1.1931389637293011</v>
      </c>
      <c r="O72" s="138"/>
      <c r="P72" s="138">
        <f>Q19/$C$19</f>
        <v>1.2418249981195526</v>
      </c>
      <c r="Q72" s="138"/>
      <c r="R72" s="138">
        <f>S19/$C$19</f>
        <v>1.2963890925162593</v>
      </c>
      <c r="S72" s="138"/>
      <c r="T72" s="138">
        <f>U19/$C$19</f>
        <v>1.3569434538376257</v>
      </c>
      <c r="U72" s="138"/>
      <c r="V72" s="138">
        <f>W19/$C$19</f>
        <v>1.4230449226954445</v>
      </c>
      <c r="W72" s="138"/>
      <c r="X72" s="138">
        <f>Y19/$C$19</f>
        <v>1.4931313910376804</v>
      </c>
      <c r="Y72" s="138"/>
      <c r="Z72" s="138">
        <f>AA19/$C$19</f>
        <v>1.5634510108507695</v>
      </c>
      <c r="AA72" s="138"/>
      <c r="AB72" s="138">
        <f>AC19/$C$19</f>
        <v>1.6260499230268612</v>
      </c>
      <c r="AC72" s="138"/>
      <c r="AD72" s="138">
        <f>AE19/$C$19</f>
        <v>1.6651888977840017</v>
      </c>
      <c r="AE72" s="138"/>
      <c r="AF72" s="138">
        <f>AG19/$C$19</f>
        <v>1.6521430980132243</v>
      </c>
      <c r="AG72" s="138"/>
      <c r="AH72" s="138">
        <f>AI19/$C$19</f>
        <v>1.5430193797905667</v>
      </c>
      <c r="AI72" s="138"/>
      <c r="AJ72" s="138">
        <f>AK19/$C$19</f>
        <v>1.2964540477855411</v>
      </c>
      <c r="AK72" s="138"/>
      <c r="AL72" s="138">
        <f>AM19/$C$19</f>
        <v>0.91812812596995519</v>
      </c>
      <c r="AM72" s="138"/>
      <c r="AN72" s="138">
        <f>AO19/$C$19</f>
        <v>0.4679727028556061</v>
      </c>
      <c r="AO72" s="138"/>
      <c r="AP72" s="138">
        <f>AQ19/$C$19</f>
        <v>0.37478747151210506</v>
      </c>
      <c r="AQ72" s="138"/>
      <c r="AR72" s="138">
        <f>AS19/$C$19</f>
        <v>0.28126794714769349</v>
      </c>
      <c r="AS72" s="138"/>
      <c r="AT72" s="138">
        <f>AU19/$C$19</f>
        <v>0.18757239403536952</v>
      </c>
      <c r="AU72" s="138"/>
      <c r="AV72" s="138">
        <f>AW19/$C$19</f>
        <v>9.3799075846284941E-2</v>
      </c>
      <c r="XFD72" s="138"/>
    </row>
    <row r="73" spans="1:48 16384:16384" x14ac:dyDescent="0.2">
      <c r="A73" t="s">
        <v>184</v>
      </c>
      <c r="B73" s="193">
        <f t="array" ref="B73">SUM(B9:C9*B22:C22)/B32</f>
        <v>0.47641153352875065</v>
      </c>
      <c r="D73" s="193">
        <f t="array" ref="D73">SUM(D9:E9*D22:E22)/D32</f>
        <v>0.47641154582157513</v>
      </c>
      <c r="E73" s="138"/>
      <c r="F73" s="193">
        <f t="array" ref="F73">SUM(F9:G9*F22:G22)/F32</f>
        <v>0.47641154754970605</v>
      </c>
      <c r="G73" s="138"/>
      <c r="H73" s="193">
        <f t="array" ref="H73">SUM(H9:I9*H22:I22)/H32</f>
        <v>0.47641155185772038</v>
      </c>
      <c r="I73" s="138"/>
      <c r="J73" s="193">
        <f t="array" ref="J73">SUM(J9:K9*J22:K22)/J32</f>
        <v>0.47641156181896466</v>
      </c>
      <c r="K73" s="138"/>
      <c r="L73" s="193">
        <f t="array" ref="L73">SUM(L9:M9*L22:M22)/L32</f>
        <v>0.47641153431775457</v>
      </c>
      <c r="M73" s="138"/>
      <c r="N73" s="193">
        <f t="array" ref="N73">SUM(N9:O9*N22:O22)/N32</f>
        <v>0.47641153510347023</v>
      </c>
      <c r="O73" s="138"/>
      <c r="P73" s="193">
        <f t="array" ref="P73">SUM(P9:Q9*P22:Q22)/P32</f>
        <v>0.47641153598949965</v>
      </c>
      <c r="Q73" s="138"/>
      <c r="R73" s="193">
        <f t="array" ref="R73">SUM(R9:S9*R22:S22)/R32</f>
        <v>0.47641153492155663</v>
      </c>
      <c r="S73" s="138"/>
      <c r="T73" s="193">
        <f t="array" ref="T73">SUM(T9:U9*T22:U22)/T32</f>
        <v>0.4764115351492052</v>
      </c>
      <c r="U73" s="138"/>
      <c r="V73" s="193">
        <f t="array" ref="V73">SUM(V9:W9*V22:W22)/V32</f>
        <v>0.47641153410636178</v>
      </c>
      <c r="W73" s="138"/>
      <c r="X73" s="193">
        <f t="array" ref="X73">SUM(X9:Y9*X22:Y22)/X32</f>
        <v>0.47641153582119572</v>
      </c>
      <c r="Y73" s="138"/>
      <c r="Z73" s="193">
        <f t="array" ref="Z73">SUM(Z9:AA9*Z22:AA22)/Z32</f>
        <v>0.47641153514326734</v>
      </c>
      <c r="AA73" s="138"/>
      <c r="AB73" s="193">
        <f t="array" ref="AB73">SUM(AB9:AC9*AB22:AC22)/AB32</f>
        <v>0.47641153393985769</v>
      </c>
      <c r="AC73" s="138"/>
      <c r="AD73" s="193">
        <f t="array" ref="AD73">SUM(AD9:AE9*AD22:AE22)/AD32</f>
        <v>0.47641153321751278</v>
      </c>
      <c r="AE73" s="138"/>
      <c r="AF73" s="193">
        <f t="array" ref="AF73">SUM(AF9:AG9*AF22:AG22)/AF32</f>
        <v>0.47641153346029635</v>
      </c>
      <c r="AG73" s="138"/>
      <c r="AH73" s="193">
        <f t="array" ref="AH73">SUM(AH9:AI9*AH22:AI22)/AH32</f>
        <v>0.4764115335635451</v>
      </c>
      <c r="AI73" s="138"/>
      <c r="AJ73" s="193">
        <f t="array" ref="AJ73">SUM(AJ9:AK9*AJ22:AK22)/AJ32</f>
        <v>0.47641153353311222</v>
      </c>
      <c r="AK73" s="138"/>
      <c r="AL73" s="193">
        <f t="array" ref="AL73">SUM(AL9:AM9*AL22:AM22)/AL32</f>
        <v>0.4764115335288171</v>
      </c>
      <c r="AM73" s="138"/>
      <c r="AN73" s="193">
        <f t="array" ref="AN73">SUM(AN9:AO9*AN22:AO22)/AN32</f>
        <v>0.4764115335288544</v>
      </c>
      <c r="AO73" s="138"/>
      <c r="AP73" s="193">
        <f t="array" ref="AP73">SUM(AP9:AQ9*AP22:AQ22)/AP32</f>
        <v>0.47641153352875165</v>
      </c>
      <c r="AQ73" s="138"/>
      <c r="AR73" s="193">
        <f t="array" ref="AR73">SUM(AR9:AS9*AR22:AS22)/AR32</f>
        <v>0.47641153352875149</v>
      </c>
      <c r="AS73" s="138"/>
      <c r="AT73" s="193">
        <f t="array" ref="AT73">SUM(AT9:AU9*AT22:AU22)/AT32</f>
        <v>0.47641153352875076</v>
      </c>
      <c r="AU73" s="138"/>
      <c r="AV73" s="193">
        <f t="array" ref="AV73">SUM(AV9:AW9*AV22:AW22)/AV32</f>
        <v>0.47641153352888377</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0.22604620456442487</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0.22604620456442487</v>
      </c>
      <c r="AC74" s="138"/>
      <c r="AD74" s="193">
        <f t="array" ref="AD74">SUM(AD10:AE10*AD23:AE23)/AD32</f>
        <v>0.22604620456442481</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0.22038438846510147</v>
      </c>
      <c r="E75" s="138"/>
      <c r="F75" s="193">
        <f t="array" ref="F75">SUM(F11:G11*F24:G24)/F32</f>
        <v>0.22038438848886074</v>
      </c>
      <c r="G75" s="138"/>
      <c r="H75" s="193">
        <f t="array" ref="H75">SUM(H11:I11*H24:I24)/H32</f>
        <v>0.22038438854200629</v>
      </c>
      <c r="I75" s="138"/>
      <c r="J75" s="193">
        <f t="array" ref="J75">SUM(J11:K11*J24:K24)/J32</f>
        <v>0.22038438821154377</v>
      </c>
      <c r="K75" s="138"/>
      <c r="L75" s="193">
        <f t="array" ref="L75">SUM(L11:M11*L24:M24)/L32</f>
        <v>0.22038438831295862</v>
      </c>
      <c r="M75" s="138"/>
      <c r="N75" s="193">
        <f t="array" ref="N75">SUM(N11:O11*N24:O24)/N32</f>
        <v>0.22038438829354162</v>
      </c>
      <c r="O75" s="138"/>
      <c r="P75" s="193">
        <f t="array" ref="P75">SUM(P11:Q11*P24:Q24)/P32</f>
        <v>0.22038438827241122</v>
      </c>
      <c r="Q75" s="138"/>
      <c r="R75" s="193">
        <f t="array" ref="R75">SUM(R11:S11*R24:S24)/R32</f>
        <v>0.22038438832574006</v>
      </c>
      <c r="S75" s="138"/>
      <c r="T75" s="193">
        <f t="array" ref="T75">SUM(T11:U11*T24:U24)/T32</f>
        <v>0.22038438832502452</v>
      </c>
      <c r="U75" s="138"/>
      <c r="V75" s="193">
        <f t="array" ref="V75">SUM(V11:W11*V24:W24)/V32</f>
        <v>0.22038438832996032</v>
      </c>
      <c r="W75" s="138"/>
      <c r="X75" s="193">
        <f t="array" ref="X75">SUM(X11:Y11*X24:Y24)/X32</f>
        <v>0.22038438832534488</v>
      </c>
      <c r="Y75" s="138"/>
      <c r="Z75" s="193">
        <f t="array" ref="Z75">SUM(Z11:AA11*Z24:AA24)/Z32</f>
        <v>0.22038438835325691</v>
      </c>
      <c r="AA75" s="138"/>
      <c r="AB75" s="193">
        <f t="array" ref="AB75">SUM(AB11:AC11*AB24:AC24)/AB32</f>
        <v>0.22038438832896315</v>
      </c>
      <c r="AC75" s="138"/>
      <c r="AD75" s="193">
        <f t="array" ref="AD75">SUM(AD11:AE11*AD24:AE24)/AD32</f>
        <v>0.22038438833669238</v>
      </c>
      <c r="AE75" s="138"/>
      <c r="AF75" s="193">
        <f t="array" ref="AF75">SUM(AF11:AG11*AF24:AG24)/AF32</f>
        <v>0.22038438833284882</v>
      </c>
      <c r="AG75" s="138"/>
      <c r="AH75" s="193">
        <f t="array" ref="AH75">SUM(AH11:AI11*AH24:AI24)/AH32</f>
        <v>0.22038438833232846</v>
      </c>
      <c r="AI75" s="138"/>
      <c r="AJ75" s="193">
        <f t="array" ref="AJ75">SUM(AJ11:AK11*AJ24:AK24)/AJ32</f>
        <v>0.22038438833201526</v>
      </c>
      <c r="AK75" s="138"/>
      <c r="AL75" s="193">
        <f t="array" ref="AL75">SUM(AL11:AM11*AL24:AM24)/AL32</f>
        <v>0.22038438833194118</v>
      </c>
      <c r="AM75" s="138"/>
      <c r="AN75" s="193">
        <f t="array" ref="AN75">SUM(AN11:AO11*AN24:AO24)/AN32</f>
        <v>0.22038438833196455</v>
      </c>
      <c r="AO75" s="138"/>
      <c r="AP75" s="193">
        <f t="array" ref="AP75">SUM(AP11:AQ11*AP24:AQ24)/AP32</f>
        <v>0.22038438833194085</v>
      </c>
      <c r="AQ75" s="138"/>
      <c r="AR75" s="193">
        <f t="array" ref="AR75">SUM(AR11:AS11*AR24:AS24)/AR32</f>
        <v>0.22038438833194082</v>
      </c>
      <c r="AS75" s="138"/>
      <c r="AT75" s="193">
        <f t="array" ref="AT75">SUM(AT11:AU11*AT24:AU24)/AT32</f>
        <v>0.22038438833194082</v>
      </c>
      <c r="AU75" s="138"/>
      <c r="AV75" s="193">
        <f t="array" ref="AV75">SUM(AV11:AW11*AV24:AW24)/AV32</f>
        <v>0.22038438833202548</v>
      </c>
      <c r="XFD75" s="193"/>
    </row>
    <row r="76" spans="1:48 16384:16384" x14ac:dyDescent="0.2">
      <c r="A76" t="s">
        <v>187</v>
      </c>
      <c r="B76" s="193">
        <f t="array" ref="B76">SUM(B12:C12*B25:C25)/B32</f>
        <v>0.22301874374724867</v>
      </c>
      <c r="D76" s="193">
        <f t="array" ref="D76">SUM(D12:E12*D25:E25)/D32</f>
        <v>0.22302164838415534</v>
      </c>
      <c r="E76" s="138"/>
      <c r="F76" s="193">
        <f t="array" ref="F76">SUM(F12:G12*F25:G25)/F32</f>
        <v>0.22307404558228078</v>
      </c>
      <c r="G76" s="138"/>
      <c r="H76" s="193">
        <f t="array" ref="H76">SUM(H12:I12*H25:I25)/H32</f>
        <v>0.22318187712847332</v>
      </c>
      <c r="I76" s="138"/>
      <c r="J76" s="193">
        <f t="array" ref="J76">SUM(J12:K12*J25:K25)/J32</f>
        <v>0.22335174289251825</v>
      </c>
      <c r="K76" s="138"/>
      <c r="L76" s="193">
        <f t="array" ref="L76">SUM(L12:M12*L25:M25)/L32</f>
        <v>0.22359084112995736</v>
      </c>
      <c r="M76" s="138"/>
      <c r="N76" s="193">
        <f t="array" ref="N76">SUM(N12:O12*N25:O25)/N32</f>
        <v>0.22390656966853173</v>
      </c>
      <c r="O76" s="138"/>
      <c r="P76" s="193">
        <f t="array" ref="P76">SUM(P12:Q12*P25:Q25)/P32</f>
        <v>0.22430595895110772</v>
      </c>
      <c r="Q76" s="138"/>
      <c r="R76" s="193">
        <f t="array" ref="R76">SUM(R12:S12*R25:S25)/R32</f>
        <v>0.22479427726202802</v>
      </c>
      <c r="S76" s="138"/>
      <c r="T76" s="193">
        <f t="array" ref="T76">SUM(T12:U12*T25:U25)/T32</f>
        <v>0.22537236789684498</v>
      </c>
      <c r="U76" s="138"/>
      <c r="V76" s="193">
        <f t="array" ref="V76">SUM(V12:W12*V25:W25)/V32</f>
        <v>0.22603154135350934</v>
      </c>
      <c r="W76" s="138"/>
      <c r="X76" s="193">
        <f t="array" ref="X76">SUM(X12:Y12*X25:Y25)/X32</f>
        <v>0.22674362548474439</v>
      </c>
      <c r="Y76" s="138"/>
      <c r="Z76" s="193">
        <f t="array" ref="Z76">SUM(Z12:AA12*Z25:AA25)/Z32</f>
        <v>0.22744175996634408</v>
      </c>
      <c r="AA76" s="138"/>
      <c r="AB76" s="193">
        <f t="array" ref="AB76">SUM(AB12:AC12*AB25:AC25)/AB32</f>
        <v>0.22798351893638114</v>
      </c>
      <c r="AC76" s="138"/>
      <c r="AD76" s="193">
        <f t="array" ref="AD76">SUM(AD12:AE12*AD25:AE25)/AD32</f>
        <v>0.22808372021233927</v>
      </c>
      <c r="AE76" s="138"/>
      <c r="AF76" s="193">
        <f t="array" ref="AF76">SUM(AF12:AG12*AF25:AG25)/AF32</f>
        <v>0.22721289084446636</v>
      </c>
      <c r="AG76" s="138"/>
      <c r="AH76" s="193">
        <f t="array" ref="AH76">SUM(AH12:AI12*AH25:AI25)/AH32</f>
        <v>0.2245387609837346</v>
      </c>
      <c r="AI76" s="138"/>
      <c r="AJ76" s="193">
        <f t="array" ref="AJ76">SUM(AJ12:AK12*AJ25:AK25)/AJ32</f>
        <v>0.21919991107632816</v>
      </c>
      <c r="AK76" s="138"/>
      <c r="AL76" s="193">
        <f t="array" ref="AL76">SUM(AL12:AM12*AL25:AM25)/AL32</f>
        <v>0.21097099794494842</v>
      </c>
      <c r="AM76" s="138"/>
      <c r="AN76" s="193">
        <f t="array" ref="AN76">SUM(AN12:AO12*AN25:AO25)/AN32</f>
        <v>0.19984444417721109</v>
      </c>
      <c r="AO76" s="138"/>
      <c r="AP76" s="193">
        <f t="array" ref="AP76">SUM(AP12:AQ12*AP25:AQ25)/AP32</f>
        <v>0.19709253217230191</v>
      </c>
      <c r="AQ76" s="138"/>
      <c r="AR76" s="193">
        <f t="array" ref="AR76">SUM(AR12:AS12*AR25:AS25)/AR32</f>
        <v>0.19402152057323521</v>
      </c>
      <c r="AS76" s="138"/>
      <c r="AT76" s="193">
        <f t="array" ref="AT76">SUM(AT12:AU12*AT25:AU25)/AT32</f>
        <v>0.19047556970328716</v>
      </c>
      <c r="AU76" s="138"/>
      <c r="AV76" s="193">
        <f t="array" ref="AV76">SUM(AV12:AW12*AV25:AW25)/AV32</f>
        <v>0.18615784856993381</v>
      </c>
      <c r="XFD76" s="193"/>
    </row>
    <row r="77" spans="1:48 16384:16384" x14ac:dyDescent="0.2">
      <c r="A77" t="s">
        <v>188</v>
      </c>
      <c r="B77" s="193">
        <f t="array" ref="B77">SUM(B4:C4*B19:C19)/B32</f>
        <v>0.14586087017236485</v>
      </c>
      <c r="D77" s="193">
        <f t="array" ref="D77">SUM(D4:E4*D19:E19)/D32</f>
        <v>0.14586378723525659</v>
      </c>
      <c r="E77" s="138"/>
      <c r="F77" s="193">
        <f t="array" ref="F77">SUM(F4:G4*F19:G19)/F32</f>
        <v>0.14591618618527216</v>
      </c>
      <c r="G77" s="138"/>
      <c r="H77" s="193">
        <f t="array" ref="H77">SUM(H4:I4*H19:I19)/H32</f>
        <v>0.14602402209262472</v>
      </c>
      <c r="I77" s="138"/>
      <c r="J77" s="193">
        <f t="array" ref="J77">SUM(J4:K4*J19:K19)/J32</f>
        <v>0.14619389748745143</v>
      </c>
      <c r="K77" s="138"/>
      <c r="L77" s="193">
        <f t="array" ref="L77">SUM(L4:M4*L19:M19)/L32</f>
        <v>0.1464329683250952</v>
      </c>
      <c r="M77" s="138"/>
      <c r="N77" s="193">
        <f t="array" ref="N77">SUM(N4:O4*N19:O19)/N32</f>
        <v>0.14674869762996848</v>
      </c>
      <c r="O77" s="138"/>
      <c r="P77" s="193">
        <f t="array" ref="P77">SUM(P4:Q4*P19:Q19)/P32</f>
        <v>0.14714808777744326</v>
      </c>
      <c r="Q77" s="138"/>
      <c r="R77" s="193">
        <f t="array" ref="R77">SUM(R4:S4*R19:S19)/R32</f>
        <v>0.14763640507374937</v>
      </c>
      <c r="S77" s="138"/>
      <c r="T77" s="193">
        <f t="array" ref="T77">SUM(T4:U4*T19:U19)/T32</f>
        <v>0.14821449593549949</v>
      </c>
      <c r="U77" s="138"/>
      <c r="V77" s="193">
        <f t="array" ref="V77">SUM(V4:W4*V19:W19)/V32</f>
        <v>0.14887366835425617</v>
      </c>
      <c r="W77" s="138"/>
      <c r="X77" s="193">
        <f t="array" ref="X77">SUM(X4:Y4*X19:Y19)/X32</f>
        <v>0.1495857541957096</v>
      </c>
      <c r="Y77" s="138"/>
      <c r="Z77" s="193">
        <f t="array" ref="Z77">SUM(Z4:AA4*Z19:AA19)/Z32</f>
        <v>0.15028388802729317</v>
      </c>
      <c r="AA77" s="138"/>
      <c r="AB77" s="193">
        <f t="array" ref="AB77">SUM(AB4:AC4*AB19:AC19)/AB32</f>
        <v>0.15082564576962665</v>
      </c>
      <c r="AC77" s="138"/>
      <c r="AD77" s="193">
        <f t="array" ref="AD77">SUM(AD4:AE4*AD19:AE19)/AD32</f>
        <v>0.15092584633096906</v>
      </c>
      <c r="AE77" s="138"/>
      <c r="AF77" s="193">
        <f t="array" ref="AF77">SUM(AF4:AG4*AF19:AG19)/AF32</f>
        <v>0.1500550172020361</v>
      </c>
      <c r="AG77" s="138"/>
      <c r="AH77" s="193">
        <f t="array" ref="AH77">SUM(AH4:AI4*AH19:AI19)/AH32</f>
        <v>0.14738088744403291</v>
      </c>
      <c r="AI77" s="138"/>
      <c r="AJ77" s="193">
        <f t="array" ref="AJ77">SUM(AJ4:AK4*AJ19:AK19)/AJ32</f>
        <v>0.14204203750588038</v>
      </c>
      <c r="AK77" s="138"/>
      <c r="AL77" s="193">
        <f t="array" ref="AL77">SUM(AL4:AM4*AL19:AM19)/AL32</f>
        <v>0.13381312437013138</v>
      </c>
      <c r="AM77" s="138"/>
      <c r="AN77" s="193">
        <f t="array" ref="AN77">SUM(AN4:AO4*AN19:AO19)/AN32</f>
        <v>0.12268657060245471</v>
      </c>
      <c r="AO77" s="138"/>
      <c r="AP77" s="193">
        <f t="array" ref="AP77">SUM(AP4:AQ4*AP19:AQ19)/AP32</f>
        <v>0.11993465859741904</v>
      </c>
      <c r="AQ77" s="138"/>
      <c r="AR77" s="193">
        <f t="array" ref="AR77">SUM(AR4:AS4*AR19:AS19)/AR32</f>
        <v>0.11686364699835225</v>
      </c>
      <c r="AS77" s="138"/>
      <c r="AT77" s="193">
        <f t="array" ref="AT77">SUM(AT4:AU4*AT19:AU19)/AT32</f>
        <v>0.11331769612840359</v>
      </c>
      <c r="AU77" s="138"/>
      <c r="AV77" s="193">
        <f t="array" ref="AV77">SUM(AV4:AW4*AV19:AW19)/AV32</f>
        <v>0.10899997499526785</v>
      </c>
      <c r="XFD77" s="193"/>
    </row>
    <row r="78" spans="1:48 16384:16384" x14ac:dyDescent="0.2">
      <c r="A78" t="s">
        <v>189</v>
      </c>
      <c r="B78" s="193">
        <f t="array" ref="B78">SUM(B13:C13*B26:C26)/B32</f>
        <v>0.346887593115773</v>
      </c>
      <c r="D78" s="193">
        <f t="array" ref="D78">SUM(D13:E13*D26:E26)/D32</f>
        <v>0.34635972356946726</v>
      </c>
      <c r="E78" s="138"/>
      <c r="F78" s="193">
        <f t="array" ref="F78">SUM(F13:G13*F26:G26)/F32</f>
        <v>0.34577253654868834</v>
      </c>
      <c r="G78" s="138"/>
      <c r="H78" s="193">
        <f t="array" ref="H78">SUM(H13:I13*H26:I26)/H32</f>
        <v>0.34511730577364835</v>
      </c>
      <c r="I78" s="138"/>
      <c r="J78" s="193">
        <f t="array" ref="J78">SUM(J13:K13*J26:K26)/J32</f>
        <v>0.34438326308078482</v>
      </c>
      <c r="K78" s="138"/>
      <c r="L78" s="193">
        <f t="array" ref="L78">SUM(L13:M13*L26:M26)/L32</f>
        <v>0.34355688090863618</v>
      </c>
      <c r="M78" s="138"/>
      <c r="N78" s="193">
        <f t="array" ref="N78">SUM(N13:O13*N26:O26)/N32</f>
        <v>0.34262074204959919</v>
      </c>
      <c r="O78" s="138"/>
      <c r="P78" s="193">
        <f t="array" ref="P78">SUM(P13:Q13*P26:Q26)/P32</f>
        <v>0.34155194470113254</v>
      </c>
      <c r="Q78" s="138"/>
      <c r="R78" s="193">
        <f t="array" ref="R78">SUM(R13:S13*R26:S26)/R32</f>
        <v>0.34031947018034048</v>
      </c>
      <c r="S78" s="138"/>
      <c r="T78" s="193">
        <f t="array" ref="T78">SUM(T13:U13*T26:U26)/T32</f>
        <v>0.33887997699326616</v>
      </c>
      <c r="U78" s="138"/>
      <c r="V78" s="193">
        <f t="array" ref="V78">SUM(V13:W13*V26:W26)/V32</f>
        <v>0.33717073378969786</v>
      </c>
      <c r="W78" s="138"/>
      <c r="X78" s="193">
        <f t="array" ref="X78">SUM(X13:Y13*X26:Y26)/X32</f>
        <v>0.33509731558829992</v>
      </c>
      <c r="Y78" s="138"/>
      <c r="Z78" s="193">
        <f t="array" ref="Z78">SUM(Z13:AA13*Z26:AA26)/Z32</f>
        <v>0.33251139288589443</v>
      </c>
      <c r="AA78" s="138"/>
      <c r="AB78" s="193">
        <f t="array" ref="AB78">SUM(AB13:AC13*AB26:AC26)/AB32</f>
        <v>0.32916924366687877</v>
      </c>
      <c r="AC78" s="138"/>
      <c r="AD78" s="193">
        <f t="array" ref="AD78">SUM(AD13:AE13*AD26:AE26)/AD32</f>
        <v>0.32465277936776138</v>
      </c>
      <c r="AE78" s="138"/>
      <c r="AF78" s="193">
        <f t="array" ref="AF78">SUM(AF13:AG13*AF26:AG26)/AF32</f>
        <v>0.31822178087223807</v>
      </c>
      <c r="AG78" s="138"/>
      <c r="AH78" s="193">
        <f t="array" ref="AH78">SUM(AH13:AI13*AH26:AI26)/AH32</f>
        <v>0.30855776486507652</v>
      </c>
      <c r="AI78" s="138"/>
      <c r="AJ78" s="193">
        <f t="array" ref="AJ78">SUM(AJ13:AK13*AJ26:AK26)/AJ32</f>
        <v>0.29331232527580814</v>
      </c>
      <c r="AK78" s="138"/>
      <c r="AL78" s="193">
        <f t="array" ref="AL78">SUM(AL13:AM13*AL26:AM26)/AL32</f>
        <v>0.26760266220961582</v>
      </c>
      <c r="AM78" s="138"/>
      <c r="AN78" s="193">
        <f t="array" ref="AN78">SUM(AN13:AO13*AN26:AO26)/AN32</f>
        <v>0.2152773193804548</v>
      </c>
      <c r="AO78" s="138"/>
      <c r="AP78" s="193">
        <f t="array" ref="AP78">SUM(AP13:AQ13*AP26:AQ26)/AP32</f>
        <v>0.19688524174124</v>
      </c>
      <c r="AQ78" s="138"/>
      <c r="AR78" s="193">
        <f t="array" ref="AR78">SUM(AR13:AS13*AR26:AS26)/AR32</f>
        <v>0.17275738969595053</v>
      </c>
      <c r="AS78" s="138"/>
      <c r="AT78" s="193">
        <f t="array" ref="AT78">SUM(AT13:AU13*AT26:AU26)/AT32</f>
        <v>0.13927777440155509</v>
      </c>
      <c r="AU78" s="138"/>
      <c r="AV78" s="193">
        <f t="array" ref="AV78">SUM(AV13:AW13*AV26:AW26)/AV32</f>
        <v>8.8679784251216295E-2</v>
      </c>
      <c r="XFD78" s="193"/>
    </row>
    <row r="79" spans="1:48 16384:16384" x14ac:dyDescent="0.2">
      <c r="A79" t="s">
        <v>190</v>
      </c>
      <c r="B79" s="193">
        <f t="array" ref="B79">SUM(B15:C15*B27:C27)/B32</f>
        <v>0.45460968782440492</v>
      </c>
      <c r="D79" s="193">
        <f t="array" ref="D79">SUM(D15:E15*D27:E27)/D32</f>
        <v>0.45112309495529879</v>
      </c>
      <c r="F79" s="193">
        <f t="array" ref="F79">SUM(F15:G15*F27:G27)/F32</f>
        <v>0.44759198374672465</v>
      </c>
      <c r="H79" s="193">
        <f t="array" ref="H79">SUM(H15:I15*H27:I27)/H32</f>
        <v>0.44400662223402831</v>
      </c>
      <c r="J79" s="193">
        <f t="array" ref="J79">SUM(J15:K15*J27:K27)/J32</f>
        <v>0.44035511206929584</v>
      </c>
      <c r="L79" s="193">
        <f t="array" ref="L79">SUM(L15:M15*L27:M27)/L32</f>
        <v>0.43662299574590113</v>
      </c>
      <c r="N79" s="193">
        <f t="array" ref="N79">SUM(N15:O15*N27:O27)/N32</f>
        <v>0.43279178945162583</v>
      </c>
      <c r="P79" s="193">
        <f t="array" ref="P79">SUM(P15:Q15*P27:Q27)/P32</f>
        <v>0.42883791392450349</v>
      </c>
      <c r="R79" s="193">
        <f t="array" ref="R79">SUM(R15:S15*R27:S27)/R32</f>
        <v>0.42473015723739266</v>
      </c>
      <c r="T79" s="193">
        <f t="array" ref="T79">SUM(T15:U15*T27:U27)/T32</f>
        <v>0.42042577435539635</v>
      </c>
      <c r="V79" s="193">
        <f t="array" ref="V79">SUM(V15:W15*V27:W27)/V32</f>
        <v>0.41586398896818783</v>
      </c>
      <c r="X79" s="193">
        <f t="array" ref="X79">SUM(X15:Y15*X27:Y27)/X32</f>
        <v>0.41095414362047566</v>
      </c>
      <c r="Z79" s="193">
        <f t="array" ref="Z79">SUM(Z15:AA15*Z27:AA27)/Z32</f>
        <v>0.40555372561545544</v>
      </c>
      <c r="AB79" s="193">
        <f t="array" ref="AB79">SUM(AB15:AC15*AB27:AC27)/AB32</f>
        <v>0.39942542366978717</v>
      </c>
      <c r="AD79" s="193">
        <f t="array" ref="AD79">SUM(AD15:AE15*AD27:AE27)/AD32</f>
        <v>0.39215074618969348</v>
      </c>
      <c r="AF79" s="193">
        <f t="array" ref="AF79">SUM(AF15:AG15*AF27:AG27)/AF32</f>
        <v>0.38295548466346097</v>
      </c>
      <c r="AH79" s="193">
        <f t="array" ref="AH79">SUM(AH15:AI15*AH27:AI27)/AH32</f>
        <v>0.37037440267540706</v>
      </c>
      <c r="AJ79" s="193">
        <f t="array" ref="AJ79">SUM(AJ15:AK15*AJ27:AK27)/AJ32</f>
        <v>0.35161442168501222</v>
      </c>
      <c r="AL79" s="193">
        <f t="array" ref="AL79">SUM(AL15:AM15*AL27:AM27)/AL32</f>
        <v>0.32066432199726302</v>
      </c>
      <c r="AN79" s="193">
        <f t="array" ref="AN79">SUM(AN15:AO15*AN27:AO27)/AN32</f>
        <v>0.25794891540510823</v>
      </c>
      <c r="AP79" s="193">
        <f t="array" ref="AP79">SUM(AP15:AQ15*AP27:AQ27)/AP32</f>
        <v>0.23591094409371069</v>
      </c>
      <c r="AR79" s="193">
        <f t="array" ref="AR79">SUM(AR15:AS15*AR27:AS27)/AR32</f>
        <v>0.20700048459639842</v>
      </c>
      <c r="AT79" s="193">
        <f t="array" ref="AT79">SUM(AT15:AU15*AT27:AU27)/AT32</f>
        <v>0.16688468556243022</v>
      </c>
      <c r="AV79" s="193">
        <f t="array" ref="AV79">SUM(AV15:AW15*AV27:AW27)/AV32</f>
        <v>0.10625742320240797</v>
      </c>
      <c r="XFD79" s="193"/>
    </row>
    <row r="80" spans="1:48 16384:16384" x14ac:dyDescent="0.2">
      <c r="A80" t="s">
        <v>169</v>
      </c>
      <c r="B80" s="236">
        <f>B55</f>
        <v>0.19850271905982084</v>
      </c>
      <c r="D80" s="236">
        <f>D55</f>
        <v>0.2025172158446257</v>
      </c>
      <c r="F80" s="236">
        <f>F55</f>
        <v>0.20663552334334523</v>
      </c>
      <c r="H80" s="236">
        <f>H55</f>
        <v>0.21087613529112034</v>
      </c>
      <c r="J80" s="236">
        <f>J55</f>
        <v>0.21526164378462628</v>
      </c>
      <c r="L80" s="236">
        <f>L55</f>
        <v>0.21982012072092622</v>
      </c>
      <c r="N80" s="236">
        <f>N55</f>
        <v>0.22458746309773789</v>
      </c>
      <c r="P80" s="236">
        <f>P55</f>
        <v>0.22961013276294256</v>
      </c>
      <c r="R80" s="236">
        <f>R55</f>
        <v>0.23495037402350633</v>
      </c>
      <c r="T80" s="236">
        <f>T55</f>
        <v>0.24069425029441996</v>
      </c>
      <c r="V80" s="236">
        <f>V55</f>
        <v>0.24696527789432599</v>
      </c>
      <c r="X80" s="236">
        <f>X55</f>
        <v>0.25394854320293109</v>
      </c>
      <c r="Z80" s="236">
        <f>Z55</f>
        <v>0.26193489341302706</v>
      </c>
      <c r="AB80" s="236">
        <f>AB55</f>
        <v>0.2714053319199245</v>
      </c>
      <c r="AD80" s="236">
        <f>AD55</f>
        <v>0.28319647777946766</v>
      </c>
      <c r="AF80" s="236">
        <f>AF55</f>
        <v>0.29882273602796144</v>
      </c>
      <c r="AH80" s="236">
        <f>AH55</f>
        <v>0.32106783308852049</v>
      </c>
      <c r="AJ80" s="236">
        <f>AJ55</f>
        <v>0.35507325318074912</v>
      </c>
      <c r="AL80" s="236">
        <f>AL55</f>
        <v>0.4117330159967888</v>
      </c>
      <c r="AN80" s="236">
        <f>AN55</f>
        <v>0.5267737653642699</v>
      </c>
      <c r="AP80" s="236">
        <f>AP55</f>
        <v>0.5672038141704141</v>
      </c>
      <c r="AR80" s="236">
        <f>AR55</f>
        <v>0.62024212570353665</v>
      </c>
      <c r="AT80" s="236">
        <f>AT55</f>
        <v>0.69383754003636144</v>
      </c>
      <c r="AV80" s="236">
        <f>AV55</f>
        <v>0.80506279258538838</v>
      </c>
      <c r="XFD80" s="236"/>
    </row>
    <row r="81" spans="1:48 16384:16384" x14ac:dyDescent="0.2">
      <c r="A81" t="s">
        <v>191</v>
      </c>
      <c r="B81" s="236">
        <f>B51/B$32</f>
        <v>-2.7543485504603994E-2</v>
      </c>
      <c r="D81" s="236">
        <f>D51/D$32</f>
        <v>-2.3528988719799141E-2</v>
      </c>
      <c r="F81" s="236">
        <f>F51/F$32</f>
        <v>-1.9410681221079605E-2</v>
      </c>
      <c r="H81" s="236">
        <f>H51/H$32</f>
        <v>-1.5170069273304493E-2</v>
      </c>
      <c r="J81" s="236">
        <f>J51/J$32</f>
        <v>-1.0784560779798575E-2</v>
      </c>
      <c r="L81" s="236">
        <f>L51/L$32</f>
        <v>-6.2260838434986506E-3</v>
      </c>
      <c r="N81" s="236">
        <f>N51/N$32</f>
        <v>-1.4587414666869464E-3</v>
      </c>
      <c r="P81" s="236">
        <f>P51/P$32</f>
        <v>3.5639281985177214E-3</v>
      </c>
      <c r="R81" s="236">
        <f>R51/R$32</f>
        <v>8.9041694590814811E-3</v>
      </c>
      <c r="T81" s="236">
        <f>T51/T$32</f>
        <v>1.4648045729995118E-2</v>
      </c>
      <c r="V81" s="236">
        <f>V51/V$32</f>
        <v>2.0919073329901158E-2</v>
      </c>
      <c r="X81" s="236">
        <f>X51/X$32</f>
        <v>2.7902338638506257E-2</v>
      </c>
      <c r="Z81" s="236">
        <f>Z51/Z$32</f>
        <v>3.5888688848602232E-2</v>
      </c>
      <c r="AB81" s="236">
        <f>AB51/AB$32</f>
        <v>4.5359127355499622E-2</v>
      </c>
      <c r="AD81" s="236">
        <f>AD51/AD$32</f>
        <v>5.7150273215042818E-2</v>
      </c>
      <c r="AF81" s="236">
        <f>AF51/AF$32</f>
        <v>7.277653146353659E-2</v>
      </c>
      <c r="AH81" s="236">
        <f>AH51/AH$32</f>
        <v>9.5021628524095653E-2</v>
      </c>
      <c r="AJ81" s="236">
        <f>AJ51/AJ$32</f>
        <v>0.1290270486163243</v>
      </c>
      <c r="AL81" s="236">
        <f>AL51/AL$32</f>
        <v>0.18568681143236396</v>
      </c>
      <c r="AN81" s="236">
        <f>AN51/AN$32</f>
        <v>0.30072756079984503</v>
      </c>
      <c r="AP81" s="236">
        <f>AP51/AP$32</f>
        <v>0.34115760960598929</v>
      </c>
      <c r="AR81" s="236">
        <f>AR51/AR$32</f>
        <v>0.39419592113911178</v>
      </c>
      <c r="AT81" s="236">
        <f>AT51/AT$32</f>
        <v>0.46779133547193663</v>
      </c>
      <c r="AV81" s="236">
        <f>AV51/AV$32</f>
        <v>0.57901658802096345</v>
      </c>
      <c r="XFD81" s="236"/>
    </row>
    <row r="82" spans="1:48 16384:16384" x14ac:dyDescent="0.2">
      <c r="A82" t="s">
        <v>192</v>
      </c>
      <c r="B82" s="236">
        <f>B52/B$32</f>
        <v>0.13907860278212886</v>
      </c>
      <c r="D82" s="236">
        <f>D52/D$32</f>
        <v>0.13886696258395395</v>
      </c>
      <c r="F82" s="236">
        <f>F52/F$32</f>
        <v>0.13863154006656667</v>
      </c>
      <c r="H82" s="236">
        <f>H52/H$32</f>
        <v>0.13836883657846005</v>
      </c>
      <c r="J82" s="236">
        <f>J52/J$32</f>
        <v>0.13807453481001422</v>
      </c>
      <c r="L82" s="236">
        <f>L52/L$32</f>
        <v>0.13774321111857238</v>
      </c>
      <c r="N82" s="236">
        <f>N52/N$32</f>
        <v>0.1373678823748849</v>
      </c>
      <c r="P82" s="236">
        <f>P52/P$32</f>
        <v>0.13693936649587396</v>
      </c>
      <c r="R82" s="236">
        <f>R52/R$32</f>
        <v>0.13644522707515644</v>
      </c>
      <c r="T82" s="236">
        <f>T52/T$32</f>
        <v>0.1358680870876047</v>
      </c>
      <c r="V82" s="236">
        <f>V52/V$32</f>
        <v>0.13518279547935799</v>
      </c>
      <c r="X82" s="236">
        <f>X52/X$32</f>
        <v>0.13435149418131123</v>
      </c>
      <c r="Z82" s="236">
        <f>Z52/Z$32</f>
        <v>0.13331471303522652</v>
      </c>
      <c r="AB82" s="236">
        <f>AB52/AB$32</f>
        <v>0.13197473589884348</v>
      </c>
      <c r="AD82" s="236">
        <f>AD52/AD$32</f>
        <v>0.13016393736726564</v>
      </c>
      <c r="AF82" s="236">
        <f>AF52/AF$32</f>
        <v>0.12758553934150271</v>
      </c>
      <c r="AH82" s="236">
        <f>AH52/AH$32</f>
        <v>0.12371091865683737</v>
      </c>
      <c r="AJ82" s="236">
        <f>AJ52/AJ$32</f>
        <v>0.11759852236779755</v>
      </c>
      <c r="AL82" s="236">
        <f>AL52/AL$32</f>
        <v>0.10729067599852152</v>
      </c>
      <c r="AN82" s="236">
        <f>AN52/AN$32</f>
        <v>8.6311731478165579E-2</v>
      </c>
      <c r="AP82" s="236">
        <f>AP52/AP$32</f>
        <v>7.8937744886870234E-2</v>
      </c>
      <c r="AR82" s="236">
        <f>AR52/AR$32</f>
        <v>6.9264098388153159E-2</v>
      </c>
      <c r="AT82" s="236">
        <f>AT52/AT$32</f>
        <v>5.5841023567273995E-2</v>
      </c>
      <c r="AV82" s="236">
        <f>AV52/AV$32</f>
        <v>3.555463133719957E-2</v>
      </c>
    </row>
    <row r="83" spans="1:48 16384:16384" x14ac:dyDescent="0.2">
      <c r="A83" t="s">
        <v>193</v>
      </c>
      <c r="B83" s="236">
        <f>B53/B$32</f>
        <v>0.18600714462929877</v>
      </c>
      <c r="D83" s="236">
        <f>D53/D$32</f>
        <v>0.18458057761711971</v>
      </c>
      <c r="F83" s="236">
        <f>F53/F$32</f>
        <v>0.18313579557470736</v>
      </c>
      <c r="H83" s="236">
        <f>H53/H$32</f>
        <v>0.18166881659185288</v>
      </c>
      <c r="J83" s="236">
        <f>J53/J$32</f>
        <v>0.18017477236552509</v>
      </c>
      <c r="L83" s="236">
        <f>L53/L$32</f>
        <v>0.17864774749269136</v>
      </c>
      <c r="N83" s="236">
        <f>N53/N$32</f>
        <v>0.17708017917558322</v>
      </c>
      <c r="P83" s="236">
        <f>P53/P$32</f>
        <v>0.1754624197729201</v>
      </c>
      <c r="R83" s="236">
        <f>R53/R$32</f>
        <v>0.17378169867817622</v>
      </c>
      <c r="T83" s="236">
        <f>T53/T$32</f>
        <v>0.17202052642269053</v>
      </c>
      <c r="V83" s="236">
        <f>V53/V$32</f>
        <v>0.17015403589903486</v>
      </c>
      <c r="X83" s="236">
        <f>X53/X$32</f>
        <v>0.16814513389329461</v>
      </c>
      <c r="Z83" s="236">
        <f>Z53/Z$32</f>
        <v>0.16593551020989772</v>
      </c>
      <c r="AB83" s="236">
        <f>AB53/AB$32</f>
        <v>0.16342806706279914</v>
      </c>
      <c r="AD83" s="236">
        <f>AD53/AD$32</f>
        <v>0.16045157531083729</v>
      </c>
      <c r="AF83" s="236">
        <f>AF53/AF$32</f>
        <v>0.15668926142615214</v>
      </c>
      <c r="AH83" s="236">
        <f>AH53/AH$32</f>
        <v>0.15154161235570621</v>
      </c>
      <c r="AJ83" s="236">
        <f>AJ53/AJ$32</f>
        <v>0.14386581795276973</v>
      </c>
      <c r="AL83" s="236">
        <f>AL53/AL$32</f>
        <v>0.13120234019790492</v>
      </c>
      <c r="AN83" s="236">
        <f>AN53/AN$32</f>
        <v>0.10554183621634861</v>
      </c>
      <c r="AP83" s="236">
        <f>AP53/AP$32</f>
        <v>9.652482618149251E-2</v>
      </c>
      <c r="AR83" s="236">
        <f>AR53/AR$32</f>
        <v>8.4695883321187354E-2</v>
      </c>
      <c r="AT83" s="236">
        <f>AT53/AT$32</f>
        <v>6.8282187281094683E-2</v>
      </c>
      <c r="AV83" s="236">
        <f>AV53/AV$32</f>
        <v>4.3476064005879889E-2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topLeftCell="M1" workbookViewId="0">
      <pane ySplit="1" topLeftCell="A2" activePane="bottomLeft" state="frozen"/>
      <selection pane="bottomLeft" activeCell="P40" sqref="P38:AM40"/>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5.4924522889605379E-2</v>
      </c>
      <c r="E2" s="227"/>
      <c r="F2" s="226">
        <v>0.10898998918205414</v>
      </c>
      <c r="G2" s="227"/>
      <c r="H2" s="226">
        <v>0.16880241492668246</v>
      </c>
      <c r="I2" s="227"/>
      <c r="J2" s="226">
        <v>0.23541252411142624</v>
      </c>
      <c r="K2" s="227"/>
      <c r="L2" s="226">
        <v>0.31016683113360366</v>
      </c>
      <c r="M2" s="227"/>
      <c r="N2" s="226">
        <v>0.39483456120673988</v>
      </c>
      <c r="O2" s="227"/>
      <c r="P2" s="226">
        <v>0.49178902142599318</v>
      </c>
      <c r="Q2" s="227"/>
      <c r="R2" s="226">
        <v>0.60431475036208882</v>
      </c>
      <c r="S2" s="227"/>
      <c r="T2" s="226">
        <v>0.7371154251348484</v>
      </c>
      <c r="U2" s="227"/>
      <c r="V2" s="226">
        <v>0.8972023210343808</v>
      </c>
      <c r="W2" s="227"/>
      <c r="X2" s="226">
        <v>1.095543284965997</v>
      </c>
      <c r="Y2" s="227"/>
      <c r="Z2" s="226">
        <v>1.3503046984277955</v>
      </c>
      <c r="AA2" s="227"/>
      <c r="AB2" s="226">
        <v>1.6936970222960088</v>
      </c>
      <c r="AC2" s="227"/>
      <c r="AD2" s="226">
        <v>2.1876307007776985</v>
      </c>
      <c r="AE2" s="227"/>
      <c r="AF2" s="226">
        <v>2.9626347523863963</v>
      </c>
      <c r="AG2" s="227"/>
      <c r="AH2" s="226">
        <v>4.3231577317298209</v>
      </c>
      <c r="AI2" s="227"/>
      <c r="AJ2" s="226">
        <v>7.0666476650742718</v>
      </c>
      <c r="AK2" s="227"/>
      <c r="AL2" s="226">
        <v>13.738228177435362</v>
      </c>
      <c r="AM2" s="227"/>
      <c r="AN2" s="226"/>
      <c r="AO2" s="227"/>
      <c r="AP2" s="226"/>
      <c r="AQ2" s="227"/>
      <c r="AR2" s="226"/>
      <c r="AS2" s="227"/>
      <c r="AT2" s="226"/>
      <c r="AU2" s="227"/>
      <c r="AV2" s="226"/>
      <c r="AW2" s="227"/>
    </row>
    <row r="3" spans="1:49" x14ac:dyDescent="0.2">
      <c r="A3" t="s">
        <v>12</v>
      </c>
      <c r="B3" s="84">
        <v>1000</v>
      </c>
      <c r="C3" s="85">
        <v>1000</v>
      </c>
      <c r="D3" s="84">
        <v>998.71059628861349</v>
      </c>
      <c r="E3" s="85">
        <v>1020.4101460977224</v>
      </c>
      <c r="F3" s="84">
        <v>997.37872583704336</v>
      </c>
      <c r="G3" s="85">
        <v>1043.2982926836621</v>
      </c>
      <c r="H3" s="84">
        <v>995.99774232789605</v>
      </c>
      <c r="I3" s="85">
        <v>1069.103557120236</v>
      </c>
      <c r="J3" s="84">
        <v>994.55987082649233</v>
      </c>
      <c r="K3" s="85">
        <v>1098.376310795571</v>
      </c>
      <c r="L3" s="84">
        <v>993.05621017750434</v>
      </c>
      <c r="M3" s="85">
        <v>1131.8164501741621</v>
      </c>
      <c r="N3" s="84">
        <v>991.47680705461369</v>
      </c>
      <c r="O3" s="85">
        <v>1170.3327409494805</v>
      </c>
      <c r="P3" s="84">
        <v>989.81111087491763</v>
      </c>
      <c r="Q3" s="85">
        <v>1215.1256138077854</v>
      </c>
      <c r="R3" s="84">
        <v>988.04896422209708</v>
      </c>
      <c r="S3" s="85">
        <v>1267.8232593059997</v>
      </c>
      <c r="T3" s="84">
        <v>986.18275458762741</v>
      </c>
      <c r="U3" s="85">
        <v>1330.6989818580564</v>
      </c>
      <c r="V3" s="84">
        <v>984.21175441408104</v>
      </c>
      <c r="W3" s="85">
        <v>1407.0404402637205</v>
      </c>
      <c r="X3" s="84">
        <v>982.1507533455441</v>
      </c>
      <c r="Y3" s="85">
        <v>1501.8092620991845</v>
      </c>
      <c r="Z3" s="84">
        <v>980.04705991297897</v>
      </c>
      <c r="AA3" s="85">
        <v>1622.8884540155029</v>
      </c>
      <c r="AB3" s="84">
        <v>978.01354215516426</v>
      </c>
      <c r="AC3" s="85">
        <v>1783.6051514882431</v>
      </c>
      <c r="AD3" s="84">
        <v>976.29012127077749</v>
      </c>
      <c r="AE3" s="85">
        <v>2008.2163142091802</v>
      </c>
      <c r="AF3" s="84">
        <v>975.34012145374743</v>
      </c>
      <c r="AG3" s="85">
        <v>2344.7765632816636</v>
      </c>
      <c r="AH3" s="84">
        <v>975.91274359936313</v>
      </c>
      <c r="AI3" s="85">
        <v>2897.7807489549587</v>
      </c>
      <c r="AJ3" s="84">
        <v>978.75407007538797</v>
      </c>
      <c r="AK3" s="85">
        <v>3921.4540336852369</v>
      </c>
      <c r="AL3" s="84">
        <v>983.65408891348523</v>
      </c>
      <c r="AM3" s="85">
        <v>6173.3797226414654</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998.6466708841881</v>
      </c>
      <c r="E5" s="42">
        <v>1017.7451927448187</v>
      </c>
      <c r="F5" s="41">
        <v>997.24799774917824</v>
      </c>
      <c r="G5" s="42">
        <v>1037.2294953014227</v>
      </c>
      <c r="H5" s="41">
        <v>995.79691624246323</v>
      </c>
      <c r="I5" s="42">
        <v>1058.6756260667539</v>
      </c>
      <c r="J5" s="41">
        <v>994.285154878556</v>
      </c>
      <c r="K5" s="42">
        <v>1082.3412948660214</v>
      </c>
      <c r="L5" s="41">
        <v>992.70323240420191</v>
      </c>
      <c r="M5" s="42">
        <v>1108.5262375521568</v>
      </c>
      <c r="N5" s="41">
        <v>991.0405282092172</v>
      </c>
      <c r="O5" s="42">
        <v>1137.576396988432</v>
      </c>
      <c r="P5" s="41">
        <v>989.28575560362094</v>
      </c>
      <c r="Q5" s="42">
        <v>1169.8921343031338</v>
      </c>
      <c r="R5" s="41">
        <v>987.42799910979534</v>
      </c>
      <c r="S5" s="42">
        <v>1205.9322178583971</v>
      </c>
      <c r="T5" s="41">
        <v>985.45898226592772</v>
      </c>
      <c r="U5" s="42">
        <v>1246.2128245046777</v>
      </c>
      <c r="V5" s="41">
        <v>983.37765858945284</v>
      </c>
      <c r="W5" s="42">
        <v>1291.2970258522805</v>
      </c>
      <c r="X5" s="41">
        <v>981.1993678593941</v>
      </c>
      <c r="Y5" s="42">
        <v>1341.7534909919916</v>
      </c>
      <c r="Z5" s="41">
        <v>978.97390766598619</v>
      </c>
      <c r="AA5" s="42">
        <v>1398.0504356145641</v>
      </c>
      <c r="AB5" s="41">
        <v>976.82070492036996</v>
      </c>
      <c r="AC5" s="42">
        <v>1460.3048574673617</v>
      </c>
      <c r="AD5" s="41">
        <v>974.99431590969186</v>
      </c>
      <c r="AE5" s="42">
        <v>1527.7080668316894</v>
      </c>
      <c r="AF5" s="41">
        <v>973.98695195839559</v>
      </c>
      <c r="AG5" s="42">
        <v>1597.3509562877036</v>
      </c>
      <c r="AH5" s="41">
        <v>974.59420253445899</v>
      </c>
      <c r="AI5" s="42">
        <v>1662.4956853043682</v>
      </c>
      <c r="AJ5" s="41">
        <v>977.60504368621332</v>
      </c>
      <c r="AK5" s="42">
        <v>1712.61056215758</v>
      </c>
      <c r="AL5" s="41">
        <v>982.78845197969372</v>
      </c>
      <c r="AM5" s="42">
        <v>1740.1641815059411</v>
      </c>
      <c r="AN5" s="41"/>
      <c r="AO5" s="42"/>
      <c r="AP5" s="41"/>
      <c r="AQ5" s="42"/>
      <c r="AR5" s="41"/>
      <c r="AS5" s="42"/>
      <c r="AT5" s="41"/>
      <c r="AU5" s="42"/>
      <c r="AV5" s="41"/>
      <c r="AW5" s="42"/>
    </row>
    <row r="6" spans="1:49" x14ac:dyDescent="0.2">
      <c r="A6" t="s">
        <v>77</v>
      </c>
      <c r="B6" s="41">
        <v>999.99999999999943</v>
      </c>
      <c r="C6" s="42">
        <v>999.99999999999909</v>
      </c>
      <c r="D6" s="41">
        <v>998.54330553094132</v>
      </c>
      <c r="E6" s="42">
        <v>1021.9967394492379</v>
      </c>
      <c r="F6" s="41">
        <v>997.0381205668441</v>
      </c>
      <c r="G6" s="42">
        <v>1046.5865404203244</v>
      </c>
      <c r="H6" s="41">
        <v>995.47687650997887</v>
      </c>
      <c r="I6" s="42">
        <v>1074.2210806044532</v>
      </c>
      <c r="J6" s="41">
        <v>993.850714484067</v>
      </c>
      <c r="K6" s="42">
        <v>1105.4659335133574</v>
      </c>
      <c r="L6" s="41">
        <v>992.14948418894164</v>
      </c>
      <c r="M6" s="42">
        <v>1141.0397502180817</v>
      </c>
      <c r="N6" s="41">
        <v>990.3618232676331</v>
      </c>
      <c r="O6" s="42">
        <v>1181.8751623549683</v>
      </c>
      <c r="P6" s="41">
        <v>988.47566751839577</v>
      </c>
      <c r="Q6" s="42">
        <v>1229.2035236331085</v>
      </c>
      <c r="R6" s="41">
        <v>986.47936852481837</v>
      </c>
      <c r="S6" s="42">
        <v>1284.6945167255035</v>
      </c>
      <c r="T6" s="41">
        <v>984.36413057103061</v>
      </c>
      <c r="U6" s="42">
        <v>1350.6790104871548</v>
      </c>
      <c r="V6" s="41">
        <v>982.12893758311134</v>
      </c>
      <c r="W6" s="42">
        <v>1430.5276928526462</v>
      </c>
      <c r="X6" s="41">
        <v>979.79036999284313</v>
      </c>
      <c r="Y6" s="42">
        <v>1529.3274481258734</v>
      </c>
      <c r="Z6" s="41">
        <v>977.40196575831328</v>
      </c>
      <c r="AA6" s="42">
        <v>1655.1603109137043</v>
      </c>
      <c r="AB6" s="41">
        <v>975.09188213503535</v>
      </c>
      <c r="AC6" s="42">
        <v>1821.6896541782912</v>
      </c>
      <c r="AD6" s="41">
        <v>973.13301897505482</v>
      </c>
      <c r="AE6" s="42">
        <v>2053.7830951931169</v>
      </c>
      <c r="AF6" s="41">
        <v>972.05282124663836</v>
      </c>
      <c r="AG6" s="42">
        <v>2400.7016423103141</v>
      </c>
      <c r="AH6" s="41">
        <v>972.70395697273841</v>
      </c>
      <c r="AI6" s="42">
        <v>2969.5627974219306</v>
      </c>
      <c r="AJ6" s="41">
        <v>975.93327933437843</v>
      </c>
      <c r="AK6" s="42">
        <v>4021.0161808797184</v>
      </c>
      <c r="AL6" s="41">
        <v>981.49630084594173</v>
      </c>
      <c r="AM6" s="42">
        <v>6332.0329001564851</v>
      </c>
      <c r="AN6" s="41"/>
      <c r="AO6" s="42"/>
      <c r="AP6" s="41"/>
      <c r="AQ6" s="42"/>
      <c r="AR6" s="41"/>
      <c r="AS6" s="42"/>
      <c r="AT6" s="41"/>
      <c r="AU6" s="42"/>
      <c r="AV6" s="41"/>
      <c r="AW6" s="42"/>
    </row>
    <row r="7" spans="1:49" x14ac:dyDescent="0.2">
      <c r="A7" t="s">
        <v>13</v>
      </c>
      <c r="B7" s="33">
        <v>1015.9116825427475</v>
      </c>
      <c r="C7" s="34">
        <v>1015.9116825427475</v>
      </c>
      <c r="D7" s="33">
        <v>1014.5368196836689</v>
      </c>
      <c r="E7" s="34">
        <v>1014.5368196836689</v>
      </c>
      <c r="F7" s="33">
        <v>1013.1158913057536</v>
      </c>
      <c r="G7" s="34">
        <v>1013.1158913057536</v>
      </c>
      <c r="H7" s="33">
        <v>1011.6417206507601</v>
      </c>
      <c r="I7" s="34">
        <v>1011.6417206507601</v>
      </c>
      <c r="J7" s="33">
        <v>1010.10590461995</v>
      </c>
      <c r="K7" s="34">
        <v>1010.10590461995</v>
      </c>
      <c r="L7" s="33">
        <v>1008.4988110973768</v>
      </c>
      <c r="M7" s="34">
        <v>1008.4988110973768</v>
      </c>
      <c r="N7" s="33">
        <v>1006.809650481079</v>
      </c>
      <c r="O7" s="34">
        <v>1006.809650481079</v>
      </c>
      <c r="P7" s="33">
        <v>1005.0269564908477</v>
      </c>
      <c r="Q7" s="34">
        <v>1005.0269564908477</v>
      </c>
      <c r="R7" s="33">
        <v>1003.1396399654507</v>
      </c>
      <c r="S7" s="34">
        <v>1003.1396399654507</v>
      </c>
      <c r="T7" s="33">
        <v>1001.1392927506421</v>
      </c>
      <c r="U7" s="34">
        <v>1001.1392927506421</v>
      </c>
      <c r="V7" s="33">
        <v>999.02485171255853</v>
      </c>
      <c r="W7" s="34">
        <v>999.02485171255853</v>
      </c>
      <c r="X7" s="33">
        <v>996.81190071191725</v>
      </c>
      <c r="Y7" s="34">
        <v>996.81190071191725</v>
      </c>
      <c r="Z7" s="33">
        <v>994.55102970240034</v>
      </c>
      <c r="AA7" s="34">
        <v>994.55102970240034</v>
      </c>
      <c r="AB7" s="33">
        <v>992.36356587824571</v>
      </c>
      <c r="AC7" s="34">
        <v>992.36356587824571</v>
      </c>
      <c r="AD7" s="33">
        <v>990.50811594543006</v>
      </c>
      <c r="AE7" s="34">
        <v>990.50811594543006</v>
      </c>
      <c r="AF7" s="33">
        <v>989.48472313873583</v>
      </c>
      <c r="AG7" s="34">
        <v>989.48472313873583</v>
      </c>
      <c r="AH7" s="33">
        <v>990.10163609318943</v>
      </c>
      <c r="AI7" s="34">
        <v>990.10163609318943</v>
      </c>
      <c r="AJ7" s="33">
        <v>993.1603847935371</v>
      </c>
      <c r="AK7" s="34">
        <v>993.1603847935371</v>
      </c>
      <c r="AL7" s="33">
        <v>998.42626983427283</v>
      </c>
      <c r="AM7" s="34">
        <v>998.42626983427283</v>
      </c>
      <c r="AN7" s="33"/>
      <c r="AO7" s="34"/>
      <c r="AP7" s="33"/>
      <c r="AQ7" s="34"/>
      <c r="AR7" s="33"/>
      <c r="AS7" s="34"/>
      <c r="AT7" s="33"/>
      <c r="AU7" s="34"/>
      <c r="AV7" s="33"/>
      <c r="AW7" s="34"/>
    </row>
    <row r="8" spans="1:49" x14ac:dyDescent="0.2">
      <c r="B8" s="35">
        <v>1005.7716594496609</v>
      </c>
      <c r="C8" s="36">
        <v>1005.7716594496609</v>
      </c>
      <c r="D8" s="35">
        <v>1073.6443618795174</v>
      </c>
      <c r="E8" s="36">
        <v>1073.6443618795174</v>
      </c>
      <c r="F8" s="35">
        <v>1150.2771267736321</v>
      </c>
      <c r="G8" s="36">
        <v>1150.2771267736321</v>
      </c>
      <c r="H8" s="35">
        <v>1237.3826283708395</v>
      </c>
      <c r="I8" s="36">
        <v>1237.3826283708395</v>
      </c>
      <c r="J8" s="35">
        <v>1337.137991040461</v>
      </c>
      <c r="K8" s="36">
        <v>1337.137991040461</v>
      </c>
      <c r="L8" s="35">
        <v>1452.3543078821656</v>
      </c>
      <c r="M8" s="36">
        <v>1452.3543078821656</v>
      </c>
      <c r="N8" s="35">
        <v>1586.7308745325035</v>
      </c>
      <c r="O8" s="36">
        <v>1586.7308745325035</v>
      </c>
      <c r="P8" s="35">
        <v>1745.2322422060388</v>
      </c>
      <c r="Q8" s="36">
        <v>1745.2322422060388</v>
      </c>
      <c r="R8" s="35">
        <v>1934.6948450470945</v>
      </c>
      <c r="S8" s="36">
        <v>1934.6948450470945</v>
      </c>
      <c r="T8" s="35">
        <v>2164.8155204479435</v>
      </c>
      <c r="U8" s="36">
        <v>2164.8155204479435</v>
      </c>
      <c r="V8" s="35">
        <v>2449.8517145917394</v>
      </c>
      <c r="W8" s="36">
        <v>2449.8517145917394</v>
      </c>
      <c r="X8" s="35">
        <v>2811.7025181279519</v>
      </c>
      <c r="Y8" s="36">
        <v>2811.7025181279519</v>
      </c>
      <c r="Z8" s="35">
        <v>3285.8445074639362</v>
      </c>
      <c r="AA8" s="36">
        <v>3285.8445074639362</v>
      </c>
      <c r="AB8" s="35">
        <v>3933.6188462042296</v>
      </c>
      <c r="AC8" s="36">
        <v>3933.6188462042296</v>
      </c>
      <c r="AD8" s="35">
        <v>4869.769135658441</v>
      </c>
      <c r="AE8" s="36">
        <v>4869.769135658441</v>
      </c>
      <c r="AF8" s="35">
        <v>6329.718411143298</v>
      </c>
      <c r="AG8" s="36">
        <v>6329.718411143298</v>
      </c>
      <c r="AH8" s="35">
        <v>8849.7267611954139</v>
      </c>
      <c r="AI8" s="36">
        <v>8849.7267611954139</v>
      </c>
      <c r="AJ8" s="35">
        <v>13815.025992409977</v>
      </c>
      <c r="AK8" s="36">
        <v>13815.025992409977</v>
      </c>
      <c r="AL8" s="35">
        <v>25646.936773234604</v>
      </c>
      <c r="AM8" s="36">
        <v>25646.936773234604</v>
      </c>
      <c r="AN8" s="35"/>
      <c r="AO8" s="36"/>
      <c r="AP8" s="35"/>
      <c r="AQ8" s="36"/>
      <c r="AR8" s="35"/>
      <c r="AS8" s="36"/>
      <c r="AT8" s="35"/>
      <c r="AU8" s="36"/>
      <c r="AV8" s="35"/>
      <c r="AW8" s="36"/>
    </row>
    <row r="9" spans="1:49" x14ac:dyDescent="0.2">
      <c r="A9" t="s">
        <v>14</v>
      </c>
      <c r="B9" s="41">
        <v>1015.9116825427475</v>
      </c>
      <c r="C9" s="42">
        <v>1005.7716594496609</v>
      </c>
      <c r="D9" s="41">
        <v>1014.5368196836689</v>
      </c>
      <c r="E9" s="42">
        <v>1073.6443618795174</v>
      </c>
      <c r="F9" s="41">
        <v>1013.1158913057536</v>
      </c>
      <c r="G9" s="42">
        <v>1150.2771267736321</v>
      </c>
      <c r="H9" s="41">
        <v>1011.6417206507601</v>
      </c>
      <c r="I9" s="42">
        <v>1237.3826283708395</v>
      </c>
      <c r="J9" s="41">
        <v>1010.10590461995</v>
      </c>
      <c r="K9" s="42">
        <v>1337.137991040461</v>
      </c>
      <c r="L9" s="41">
        <v>1008.4988110973768</v>
      </c>
      <c r="M9" s="42">
        <v>1452.3543078821656</v>
      </c>
      <c r="N9" s="41">
        <v>1006.809650481079</v>
      </c>
      <c r="O9" s="42">
        <v>1586.7308745325035</v>
      </c>
      <c r="P9" s="41">
        <v>1005.0269564908477</v>
      </c>
      <c r="Q9" s="42">
        <v>1745.2322422060388</v>
      </c>
      <c r="R9" s="41">
        <v>1003.1396399654507</v>
      </c>
      <c r="S9" s="42">
        <v>1934.6948450470945</v>
      </c>
      <c r="T9" s="41">
        <v>1001.1392927506421</v>
      </c>
      <c r="U9" s="42">
        <v>2164.8155204479435</v>
      </c>
      <c r="V9" s="41">
        <v>999.02485171255853</v>
      </c>
      <c r="W9" s="42">
        <v>2449.8517145917394</v>
      </c>
      <c r="X9" s="41">
        <v>996.81190071191725</v>
      </c>
      <c r="Y9" s="42">
        <v>2811.7025181279519</v>
      </c>
      <c r="Z9" s="41">
        <v>994.55102970240034</v>
      </c>
      <c r="AA9" s="42">
        <v>3285.8445074639362</v>
      </c>
      <c r="AB9" s="41">
        <v>992.36356587824571</v>
      </c>
      <c r="AC9" s="42">
        <v>3933.6188462042296</v>
      </c>
      <c r="AD9" s="41">
        <v>990.50811594543006</v>
      </c>
      <c r="AE9" s="42">
        <v>4869.769135658441</v>
      </c>
      <c r="AF9" s="41">
        <v>989.48472313873583</v>
      </c>
      <c r="AG9" s="42">
        <v>6329.718411143298</v>
      </c>
      <c r="AH9" s="41">
        <v>990.10163609318943</v>
      </c>
      <c r="AI9" s="42">
        <v>8849.7267611954139</v>
      </c>
      <c r="AJ9" s="41">
        <v>993.1603847935371</v>
      </c>
      <c r="AK9" s="42">
        <v>13815.025992409977</v>
      </c>
      <c r="AL9" s="41">
        <v>998.42626983427283</v>
      </c>
      <c r="AM9" s="42">
        <v>25646.936773234604</v>
      </c>
      <c r="AN9" s="41"/>
      <c r="AO9" s="42"/>
      <c r="AP9" s="41"/>
      <c r="AQ9" s="42"/>
      <c r="AR9" s="41"/>
      <c r="AS9" s="42"/>
      <c r="AT9" s="41"/>
      <c r="AU9" s="42"/>
      <c r="AV9" s="41"/>
      <c r="AW9" s="42"/>
    </row>
    <row r="10" spans="1:49" x14ac:dyDescent="0.2">
      <c r="A10" t="s">
        <v>15</v>
      </c>
      <c r="B10" s="41">
        <v>1015.9116825427475</v>
      </c>
      <c r="C10" s="42">
        <v>1005.7716594496609</v>
      </c>
      <c r="D10" s="41">
        <v>1014.5368196836689</v>
      </c>
      <c r="E10" s="42">
        <v>1073.6443618795174</v>
      </c>
      <c r="F10" s="41">
        <v>1013.1158913057536</v>
      </c>
      <c r="G10" s="42">
        <v>1150.2771267736321</v>
      </c>
      <c r="H10" s="41">
        <v>1011.6417206507601</v>
      </c>
      <c r="I10" s="42">
        <v>1237.3826283708395</v>
      </c>
      <c r="J10" s="41">
        <v>1010.10590461995</v>
      </c>
      <c r="K10" s="42">
        <v>1337.137991040461</v>
      </c>
      <c r="L10" s="41">
        <v>1008.4988110973768</v>
      </c>
      <c r="M10" s="42">
        <v>1452.3543078821656</v>
      </c>
      <c r="N10" s="41">
        <v>1006.809650481079</v>
      </c>
      <c r="O10" s="42">
        <v>1586.7308745325035</v>
      </c>
      <c r="P10" s="41">
        <v>1005.0269564908477</v>
      </c>
      <c r="Q10" s="42">
        <v>1745.2322422060388</v>
      </c>
      <c r="R10" s="41">
        <v>1003.1396399654507</v>
      </c>
      <c r="S10" s="42">
        <v>1934.6948450470945</v>
      </c>
      <c r="T10" s="41">
        <v>1001.1392927506421</v>
      </c>
      <c r="U10" s="42">
        <v>2164.8155204479435</v>
      </c>
      <c r="V10" s="41">
        <v>999.02485171255853</v>
      </c>
      <c r="W10" s="42">
        <v>2449.8517145917394</v>
      </c>
      <c r="X10" s="41">
        <v>996.81190071191725</v>
      </c>
      <c r="Y10" s="42">
        <v>2811.7025181279519</v>
      </c>
      <c r="Z10" s="41">
        <v>994.55102970240034</v>
      </c>
      <c r="AA10" s="42">
        <v>3285.8445074639362</v>
      </c>
      <c r="AB10" s="41">
        <v>992.36356587824571</v>
      </c>
      <c r="AC10" s="42">
        <v>3933.6188462042296</v>
      </c>
      <c r="AD10" s="41">
        <v>990.50811594543006</v>
      </c>
      <c r="AE10" s="42">
        <v>4869.769135658441</v>
      </c>
      <c r="AF10" s="41">
        <v>989.48472313873583</v>
      </c>
      <c r="AG10" s="42">
        <v>6329.718411143298</v>
      </c>
      <c r="AH10" s="41">
        <v>990.10163609318943</v>
      </c>
      <c r="AI10" s="42">
        <v>8849.7267611954139</v>
      </c>
      <c r="AJ10" s="41">
        <v>993.1603847935371</v>
      </c>
      <c r="AK10" s="42">
        <v>13815.025992409977</v>
      </c>
      <c r="AL10" s="41">
        <v>998.42626983427283</v>
      </c>
      <c r="AM10" s="42">
        <v>25646.936773234604</v>
      </c>
      <c r="AN10" s="41"/>
      <c r="AO10" s="42"/>
      <c r="AP10" s="41"/>
      <c r="AQ10" s="42"/>
      <c r="AR10" s="41"/>
      <c r="AS10" s="42"/>
      <c r="AT10" s="41"/>
      <c r="AU10" s="42"/>
      <c r="AV10" s="41"/>
      <c r="AW10" s="42"/>
    </row>
    <row r="11" spans="1:49" x14ac:dyDescent="0.2">
      <c r="A11" t="s">
        <v>29</v>
      </c>
      <c r="B11" s="41">
        <v>1015.9116825427475</v>
      </c>
      <c r="C11" s="42">
        <v>1005.7716594496609</v>
      </c>
      <c r="D11" s="41">
        <v>1014.5368196836689</v>
      </c>
      <c r="E11" s="42">
        <v>1073.6443618795174</v>
      </c>
      <c r="F11" s="41">
        <v>1013.1158913057536</v>
      </c>
      <c r="G11" s="42">
        <v>1150.2771267736321</v>
      </c>
      <c r="H11" s="41">
        <v>1011.6417206507601</v>
      </c>
      <c r="I11" s="42">
        <v>1237.3826283708395</v>
      </c>
      <c r="J11" s="41">
        <v>1010.10590461995</v>
      </c>
      <c r="K11" s="42">
        <v>1337.137991040461</v>
      </c>
      <c r="L11" s="41">
        <v>1008.4988110973768</v>
      </c>
      <c r="M11" s="42">
        <v>1452.3543078821656</v>
      </c>
      <c r="N11" s="41">
        <v>1006.809650481079</v>
      </c>
      <c r="O11" s="42">
        <v>1586.7308745325035</v>
      </c>
      <c r="P11" s="41">
        <v>1005.0269564908477</v>
      </c>
      <c r="Q11" s="42">
        <v>1745.2322422060388</v>
      </c>
      <c r="R11" s="41">
        <v>1003.1396399654507</v>
      </c>
      <c r="S11" s="42">
        <v>1934.6948450470945</v>
      </c>
      <c r="T11" s="41">
        <v>1001.1392927506421</v>
      </c>
      <c r="U11" s="42">
        <v>2164.8155204479435</v>
      </c>
      <c r="V11" s="41">
        <v>999.02485171255853</v>
      </c>
      <c r="W11" s="42">
        <v>2449.8517145917394</v>
      </c>
      <c r="X11" s="41">
        <v>996.81190071191725</v>
      </c>
      <c r="Y11" s="42">
        <v>2811.7025181279519</v>
      </c>
      <c r="Z11" s="41">
        <v>994.55102970240034</v>
      </c>
      <c r="AA11" s="42">
        <v>3285.8445074639362</v>
      </c>
      <c r="AB11" s="41">
        <v>992.36356587824571</v>
      </c>
      <c r="AC11" s="42">
        <v>3933.6188462042296</v>
      </c>
      <c r="AD11" s="41">
        <v>990.50811594543006</v>
      </c>
      <c r="AE11" s="42">
        <v>4869.769135658441</v>
      </c>
      <c r="AF11" s="41">
        <v>989.48472313873583</v>
      </c>
      <c r="AG11" s="42">
        <v>6329.718411143298</v>
      </c>
      <c r="AH11" s="41">
        <v>990.10163609318943</v>
      </c>
      <c r="AI11" s="42">
        <v>8849.7267611954139</v>
      </c>
      <c r="AJ11" s="41">
        <v>993.1603847935371</v>
      </c>
      <c r="AK11" s="42">
        <v>13815.025992409977</v>
      </c>
      <c r="AL11" s="41">
        <v>998.42626983427283</v>
      </c>
      <c r="AM11" s="42">
        <v>25646.936773234604</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1006.4342304682041</v>
      </c>
      <c r="E13" s="98">
        <v>1006.4342304682041</v>
      </c>
      <c r="F13" s="97">
        <v>1012.8849326637471</v>
      </c>
      <c r="G13" s="98">
        <v>1012.8849326637471</v>
      </c>
      <c r="H13" s="97">
        <v>1019.3562708157549</v>
      </c>
      <c r="I13" s="98">
        <v>1019.3562708157549</v>
      </c>
      <c r="J13" s="97">
        <v>1025.8533633335253</v>
      </c>
      <c r="K13" s="98">
        <v>1025.8533633335253</v>
      </c>
      <c r="L13" s="97">
        <v>1032.383099308596</v>
      </c>
      <c r="M13" s="98">
        <v>1032.383099308596</v>
      </c>
      <c r="N13" s="97">
        <v>1038.955802544368</v>
      </c>
      <c r="O13" s="98">
        <v>1038.955802544368</v>
      </c>
      <c r="P13" s="97">
        <v>1045.5878386977688</v>
      </c>
      <c r="Q13" s="98">
        <v>1045.5878386977688</v>
      </c>
      <c r="R13" s="97">
        <v>1052.3068752908646</v>
      </c>
      <c r="S13" s="98">
        <v>1052.3068752908646</v>
      </c>
      <c r="T13" s="97">
        <v>1059.1611672009176</v>
      </c>
      <c r="U13" s="98">
        <v>1059.1611672009176</v>
      </c>
      <c r="V13" s="97">
        <v>1066.2373115925618</v>
      </c>
      <c r="W13" s="98">
        <v>1066.2373115925618</v>
      </c>
      <c r="X13" s="97">
        <v>1073.6934069247204</v>
      </c>
      <c r="Y13" s="98">
        <v>1073.6934069247204</v>
      </c>
      <c r="Z13" s="97">
        <v>1081.8228057326473</v>
      </c>
      <c r="AA13" s="98">
        <v>1081.8228057326473</v>
      </c>
      <c r="AB13" s="97">
        <v>1091.176474337017</v>
      </c>
      <c r="AC13" s="98">
        <v>1091.176474337017</v>
      </c>
      <c r="AD13" s="97">
        <v>1102.7900867819492</v>
      </c>
      <c r="AE13" s="98">
        <v>1102.7900867819492</v>
      </c>
      <c r="AF13" s="97">
        <v>1118.5430871263702</v>
      </c>
      <c r="AG13" s="98">
        <v>1118.5430871263702</v>
      </c>
      <c r="AH13" s="97">
        <v>1141.3926729510947</v>
      </c>
      <c r="AI13" s="98">
        <v>1141.3926729510947</v>
      </c>
      <c r="AJ13" s="97">
        <v>1174.0862318601432</v>
      </c>
      <c r="AK13" s="98">
        <v>1174.0862318601432</v>
      </c>
      <c r="AL13" s="97">
        <v>1212.7341590743069</v>
      </c>
      <c r="AM13" s="98">
        <v>1212.7341590743069</v>
      </c>
      <c r="AN13" s="97"/>
      <c r="AO13" s="98"/>
      <c r="AP13" s="97"/>
      <c r="AQ13" s="98"/>
      <c r="AR13" s="97"/>
      <c r="AS13" s="98"/>
      <c r="AT13" s="97"/>
      <c r="AU13" s="98"/>
      <c r="AV13" s="97"/>
      <c r="AW13" s="98"/>
    </row>
    <row r="14" spans="1:49" x14ac:dyDescent="0.2">
      <c r="A14" t="s">
        <v>36</v>
      </c>
      <c r="B14" s="41">
        <v>1457.0034251455234</v>
      </c>
      <c r="C14" s="42">
        <v>1457.0034251455236</v>
      </c>
      <c r="D14" s="41">
        <v>1466.3781209758722</v>
      </c>
      <c r="E14" s="42">
        <v>1466.3781209758724</v>
      </c>
      <c r="F14" s="41">
        <v>1475.7768161693723</v>
      </c>
      <c r="G14" s="42">
        <v>1475.7768161693725</v>
      </c>
      <c r="H14" s="41">
        <v>1485.2055780221226</v>
      </c>
      <c r="I14" s="42">
        <v>1485.2055780221226</v>
      </c>
      <c r="J14" s="41">
        <v>1494.6718640740014</v>
      </c>
      <c r="K14" s="42">
        <v>1494.6718640740016</v>
      </c>
      <c r="L14" s="41">
        <v>1504.1857117549753</v>
      </c>
      <c r="M14" s="42">
        <v>1504.1857117549755</v>
      </c>
      <c r="N14" s="41">
        <v>1513.7621628819602</v>
      </c>
      <c r="O14" s="42">
        <v>1513.7621628819604</v>
      </c>
      <c r="P14" s="41">
        <v>1523.425062273154</v>
      </c>
      <c r="Q14" s="42">
        <v>1523.4250622731543</v>
      </c>
      <c r="R14" s="41">
        <v>1533.2147216029728</v>
      </c>
      <c r="S14" s="42">
        <v>1533.214721602973</v>
      </c>
      <c r="T14" s="41">
        <v>1543.2014483928672</v>
      </c>
      <c r="U14" s="42">
        <v>1543.2014483928674</v>
      </c>
      <c r="V14" s="41">
        <v>1553.511415008317</v>
      </c>
      <c r="W14" s="42">
        <v>1553.5114150083173</v>
      </c>
      <c r="X14" s="41">
        <v>1564.3749714454837</v>
      </c>
      <c r="Y14" s="42">
        <v>1564.3749714454841</v>
      </c>
      <c r="Z14" s="41">
        <v>1576.2195333530071</v>
      </c>
      <c r="AA14" s="42">
        <v>1576.2195333530074</v>
      </c>
      <c r="AB14" s="41">
        <v>1589.8478605472499</v>
      </c>
      <c r="AC14" s="42">
        <v>1589.8478605472501</v>
      </c>
      <c r="AD14" s="41">
        <v>1606.7689336578287</v>
      </c>
      <c r="AE14" s="42">
        <v>1606.7689336578292</v>
      </c>
      <c r="AF14" s="41">
        <v>1629.7211091159688</v>
      </c>
      <c r="AG14" s="42">
        <v>1629.7211091159691</v>
      </c>
      <c r="AH14" s="41">
        <v>1663.0130339257491</v>
      </c>
      <c r="AI14" s="42">
        <v>1663.0130339257494</v>
      </c>
      <c r="AJ14" s="41">
        <v>1710.6476612364297</v>
      </c>
      <c r="AK14" s="42">
        <v>1710.6476612364299</v>
      </c>
      <c r="AL14" s="41">
        <v>1766.9578235622412</v>
      </c>
      <c r="AM14" s="42">
        <v>1766.9578235622414</v>
      </c>
      <c r="AN14" s="41"/>
      <c r="AO14" s="42"/>
      <c r="AP14" s="41"/>
      <c r="AQ14" s="42"/>
      <c r="AR14" s="41"/>
      <c r="AS14" s="42"/>
      <c r="AT14" s="41"/>
      <c r="AU14" s="42"/>
      <c r="AV14" s="41"/>
      <c r="AW14" s="42"/>
    </row>
    <row r="15" spans="1:49" x14ac:dyDescent="0.2">
      <c r="A15" t="s">
        <v>18</v>
      </c>
      <c r="B15" s="154">
        <v>1000</v>
      </c>
      <c r="C15" s="155">
        <v>1000</v>
      </c>
      <c r="D15" s="154">
        <v>983.7343033971091</v>
      </c>
      <c r="E15" s="155">
        <v>983.7343033971091</v>
      </c>
      <c r="F15" s="154">
        <v>966.85095943116414</v>
      </c>
      <c r="G15" s="155">
        <v>966.85095943116414</v>
      </c>
      <c r="H15" s="154">
        <v>949.2508319761464</v>
      </c>
      <c r="I15" s="155">
        <v>949.2508319761464</v>
      </c>
      <c r="J15" s="154">
        <v>930.81351491525515</v>
      </c>
      <c r="K15" s="155">
        <v>930.81351491525515</v>
      </c>
      <c r="L15" s="154">
        <v>911.39075373005539</v>
      </c>
      <c r="M15" s="155">
        <v>911.39075373005539</v>
      </c>
      <c r="N15" s="154">
        <v>890.79646150550934</v>
      </c>
      <c r="O15" s="155">
        <v>890.79646150550934</v>
      </c>
      <c r="P15" s="154">
        <v>868.79295189612162</v>
      </c>
      <c r="Q15" s="155">
        <v>868.79295189612162</v>
      </c>
      <c r="R15" s="154">
        <v>845.06859602467466</v>
      </c>
      <c r="S15" s="155">
        <v>845.06859602467466</v>
      </c>
      <c r="T15" s="154">
        <v>819.20293113671823</v>
      </c>
      <c r="U15" s="155">
        <v>819.20293113671823</v>
      </c>
      <c r="V15" s="154">
        <v>790.60791194616718</v>
      </c>
      <c r="W15" s="155">
        <v>790.60791194616718</v>
      </c>
      <c r="X15" s="154">
        <v>758.42628968014662</v>
      </c>
      <c r="Y15" s="155">
        <v>758.42628968014662</v>
      </c>
      <c r="Z15" s="154">
        <v>721.34644621346467</v>
      </c>
      <c r="AA15" s="155">
        <v>721.34644621346467</v>
      </c>
      <c r="AB15" s="154">
        <v>677.24991384065856</v>
      </c>
      <c r="AC15" s="155">
        <v>677.24991384065856</v>
      </c>
      <c r="AD15" s="154">
        <v>622.51726413452627</v>
      </c>
      <c r="AE15" s="155">
        <v>622.51726413452627</v>
      </c>
      <c r="AF15" s="154">
        <v>550.65403544887886</v>
      </c>
      <c r="AG15" s="155">
        <v>550.65403544887886</v>
      </c>
      <c r="AH15" s="154">
        <v>449.73006704432834</v>
      </c>
      <c r="AI15" s="155">
        <v>449.73006704432834</v>
      </c>
      <c r="AJ15" s="154">
        <v>298.08736331684941</v>
      </c>
      <c r="AK15" s="155">
        <v>298.08736331684941</v>
      </c>
      <c r="AL15" s="154">
        <v>55.391206337714685</v>
      </c>
      <c r="AM15" s="155">
        <v>55.391206337714685</v>
      </c>
      <c r="AN15" s="154"/>
      <c r="AO15" s="155"/>
      <c r="AP15" s="154"/>
      <c r="AQ15" s="155"/>
      <c r="AR15" s="154"/>
      <c r="AS15" s="155"/>
      <c r="AT15" s="154"/>
      <c r="AU15" s="155"/>
      <c r="AV15" s="154"/>
      <c r="AW15" s="155"/>
    </row>
    <row r="16" spans="1:49" s="29" customFormat="1" x14ac:dyDescent="0.2">
      <c r="A16" t="s">
        <v>61</v>
      </c>
      <c r="B16" s="41">
        <v>1000</v>
      </c>
      <c r="C16" s="42">
        <v>1000</v>
      </c>
      <c r="D16" s="41">
        <v>995.82812252583051</v>
      </c>
      <c r="E16" s="42">
        <v>990.20895063288674</v>
      </c>
      <c r="F16" s="41">
        <v>991.35844579975651</v>
      </c>
      <c r="G16" s="42">
        <v>979.97190354345366</v>
      </c>
      <c r="H16" s="41">
        <v>986.54586370562356</v>
      </c>
      <c r="I16" s="42">
        <v>969.21862974077817</v>
      </c>
      <c r="J16" s="41">
        <v>981.33562384432651</v>
      </c>
      <c r="K16" s="42">
        <v>957.86383137940413</v>
      </c>
      <c r="L16" s="41">
        <v>975.6606272047627</v>
      </c>
      <c r="M16" s="42">
        <v>945.80270672331039</v>
      </c>
      <c r="N16" s="41">
        <v>969.43756806789793</v>
      </c>
      <c r="O16" s="42">
        <v>932.90413384426608</v>
      </c>
      <c r="P16" s="41">
        <v>962.56177665085102</v>
      </c>
      <c r="Q16" s="42">
        <v>919.0016035253235</v>
      </c>
      <c r="R16" s="41">
        <v>954.89940668109341</v>
      </c>
      <c r="S16" s="42">
        <v>903.8786206628248</v>
      </c>
      <c r="T16" s="41">
        <v>946.27581614271799</v>
      </c>
      <c r="U16" s="42">
        <v>887.24623974631857</v>
      </c>
      <c r="V16" s="41">
        <v>936.45714471660654</v>
      </c>
      <c r="W16" s="42">
        <v>868.70594379114311</v>
      </c>
      <c r="X16" s="41">
        <v>925.11976863018253</v>
      </c>
      <c r="Y16" s="42">
        <v>847.68603809898923</v>
      </c>
      <c r="Z16" s="41">
        <v>911.79644355033247</v>
      </c>
      <c r="AA16" s="42">
        <v>823.32672091854567</v>
      </c>
      <c r="AB16" s="41">
        <v>895.7743676690493</v>
      </c>
      <c r="AC16" s="42">
        <v>794.26177574496535</v>
      </c>
      <c r="AD16" s="41">
        <v>875.88718723078716</v>
      </c>
      <c r="AE16" s="42">
        <v>758.18461190748371</v>
      </c>
      <c r="AF16" s="41">
        <v>850.05543765512698</v>
      </c>
      <c r="AG16" s="42">
        <v>710.96365387846447</v>
      </c>
      <c r="AH16" s="41">
        <v>814.19956959110448</v>
      </c>
      <c r="AI16" s="42">
        <v>644.87068793878541</v>
      </c>
      <c r="AJ16" s="41">
        <v>759.52678081356748</v>
      </c>
      <c r="AK16" s="42">
        <v>545.13399931554977</v>
      </c>
      <c r="AL16" s="41">
        <v>664.89232690824986</v>
      </c>
      <c r="AM16" s="42">
        <v>381.69053855075424</v>
      </c>
      <c r="AN16" s="41"/>
      <c r="AO16" s="42"/>
      <c r="AP16" s="41"/>
      <c r="AQ16" s="42"/>
      <c r="AR16" s="41"/>
      <c r="AS16" s="42"/>
      <c r="AT16" s="41"/>
      <c r="AU16" s="42"/>
      <c r="AV16" s="41"/>
      <c r="AW16" s="42"/>
    </row>
    <row r="17" spans="1:49" x14ac:dyDescent="0.2">
      <c r="A17" t="s">
        <v>62</v>
      </c>
      <c r="B17" s="35">
        <v>1000.0000000000002</v>
      </c>
      <c r="C17" s="36">
        <v>999.99999999999977</v>
      </c>
      <c r="D17" s="35">
        <v>998.77005401339125</v>
      </c>
      <c r="E17" s="36">
        <v>1031.1490548819797</v>
      </c>
      <c r="F17" s="35">
        <v>997.50032396352719</v>
      </c>
      <c r="G17" s="36">
        <v>1066.2996567553648</v>
      </c>
      <c r="H17" s="35">
        <v>996.18456005906887</v>
      </c>
      <c r="I17" s="36">
        <v>1106.208611448568</v>
      </c>
      <c r="J17" s="35">
        <v>994.8154487025065</v>
      </c>
      <c r="K17" s="36">
        <v>1151.8345447885074</v>
      </c>
      <c r="L17" s="35">
        <v>993.38461692099565</v>
      </c>
      <c r="M17" s="36">
        <v>1204.4110709319878</v>
      </c>
      <c r="N17" s="35">
        <v>991.88276305837746</v>
      </c>
      <c r="O17" s="36">
        <v>1265.5563625020457</v>
      </c>
      <c r="P17" s="35">
        <v>990.30001244786422</v>
      </c>
      <c r="Q17" s="36">
        <v>1337.4350970190878</v>
      </c>
      <c r="R17" s="35">
        <v>988.62691580511671</v>
      </c>
      <c r="S17" s="36">
        <v>1423.0191233835508</v>
      </c>
      <c r="T17" s="35">
        <v>986.85648920240078</v>
      </c>
      <c r="U17" s="36">
        <v>1526.5112160491435</v>
      </c>
      <c r="V17" s="35">
        <v>984.98830423467814</v>
      </c>
      <c r="W17" s="36">
        <v>1654.0724816668921</v>
      </c>
      <c r="X17" s="35">
        <v>983.03664801437924</v>
      </c>
      <c r="Y17" s="36">
        <v>1815.1375448967519</v>
      </c>
      <c r="Z17" s="35">
        <v>981.0465109733484</v>
      </c>
      <c r="AA17" s="36">
        <v>2024.9411340680952</v>
      </c>
      <c r="AB17" s="35">
        <v>979.12464106335221</v>
      </c>
      <c r="AC17" s="36">
        <v>2309.7312079873964</v>
      </c>
      <c r="AD17" s="35">
        <v>977.49730924749463</v>
      </c>
      <c r="AE17" s="36">
        <v>2718.4083350202131</v>
      </c>
      <c r="AF17" s="35">
        <v>976.60085261719155</v>
      </c>
      <c r="AG17" s="36">
        <v>3350.8438535822506</v>
      </c>
      <c r="AH17" s="35">
        <v>977.1411532080449</v>
      </c>
      <c r="AI17" s="36">
        <v>4433.4218196263746</v>
      </c>
      <c r="AJ17" s="35">
        <v>979.82429532209142</v>
      </c>
      <c r="AK17" s="36">
        <v>6548.4724505597205</v>
      </c>
      <c r="AL17" s="35">
        <v>984.46003841662002</v>
      </c>
      <c r="AM17" s="36">
        <v>11551.12007579764</v>
      </c>
      <c r="AN17" s="35"/>
      <c r="AO17" s="36"/>
      <c r="AP17" s="35"/>
      <c r="AQ17" s="36"/>
      <c r="AR17" s="35"/>
      <c r="AS17" s="36"/>
      <c r="AT17" s="35"/>
      <c r="AU17" s="36"/>
      <c r="AV17" s="35"/>
      <c r="AW17" s="36"/>
    </row>
    <row r="18" spans="1:49" x14ac:dyDescent="0.2">
      <c r="A18" t="s">
        <v>19</v>
      </c>
      <c r="B18" s="33">
        <v>27857.010133999996</v>
      </c>
      <c r="C18" s="34">
        <v>1236.7674480000003</v>
      </c>
      <c r="D18" s="33">
        <v>27869.237997640739</v>
      </c>
      <c r="E18" s="34">
        <v>1151.9157868814</v>
      </c>
      <c r="F18" s="33">
        <v>27877.679269993485</v>
      </c>
      <c r="G18" s="34">
        <v>1067.0790035581122</v>
      </c>
      <c r="H18" s="33">
        <v>27881.73453930259</v>
      </c>
      <c r="I18" s="34">
        <v>982.28345697050383</v>
      </c>
      <c r="J18" s="33">
        <v>27880.666303873866</v>
      </c>
      <c r="K18" s="34">
        <v>897.56474787655543</v>
      </c>
      <c r="L18" s="33">
        <v>27873.547634707833</v>
      </c>
      <c r="M18" s="34">
        <v>812.98135959015531</v>
      </c>
      <c r="N18" s="33">
        <v>27859.198981738075</v>
      </c>
      <c r="O18" s="34">
        <v>728.61394072219457</v>
      </c>
      <c r="P18" s="33">
        <v>27836.081922565336</v>
      </c>
      <c r="Q18" s="34">
        <v>644.59108884375541</v>
      </c>
      <c r="R18" s="33">
        <v>27802.142395810133</v>
      </c>
      <c r="S18" s="34">
        <v>561.11140614844157</v>
      </c>
      <c r="T18" s="33">
        <v>27754.561612296289</v>
      </c>
      <c r="U18" s="34">
        <v>478.48291072330022</v>
      </c>
      <c r="V18" s="33">
        <v>27689.34183690805</v>
      </c>
      <c r="W18" s="34">
        <v>397.18996630716225</v>
      </c>
      <c r="X18" s="33">
        <v>27600.600411392301</v>
      </c>
      <c r="Y18" s="34">
        <v>317.99350707887913</v>
      </c>
      <c r="Z18" s="33">
        <v>27479.303286243012</v>
      </c>
      <c r="AA18" s="34">
        <v>242.08979916615613</v>
      </c>
      <c r="AB18" s="33">
        <v>27310.884879069657</v>
      </c>
      <c r="AC18" s="34">
        <v>171.34888691287426</v>
      </c>
      <c r="AD18" s="33">
        <v>27070.584760861093</v>
      </c>
      <c r="AE18" s="34">
        <v>108.60863558164479</v>
      </c>
      <c r="AF18" s="33">
        <v>26714.007095210407</v>
      </c>
      <c r="AG18" s="34">
        <v>57.810038245653836</v>
      </c>
      <c r="AH18" s="33">
        <v>26157.640000061892</v>
      </c>
      <c r="AI18" s="34">
        <v>23.138554977711138</v>
      </c>
      <c r="AJ18" s="33">
        <v>25234.647304799208</v>
      </c>
      <c r="AK18" s="34">
        <v>5.80621908613666</v>
      </c>
      <c r="AL18" s="33">
        <v>23548.898823026317</v>
      </c>
      <c r="AM18" s="34">
        <v>0.67055753406163443</v>
      </c>
      <c r="AN18" s="33"/>
      <c r="AO18" s="34"/>
      <c r="AP18" s="33"/>
      <c r="AQ18" s="34"/>
      <c r="AR18" s="33"/>
      <c r="AS18" s="34"/>
      <c r="AT18" s="33"/>
      <c r="AU18" s="34"/>
      <c r="AV18" s="33"/>
      <c r="AW18" s="34"/>
    </row>
    <row r="19" spans="1:49" x14ac:dyDescent="0.2">
      <c r="A19" t="s">
        <v>3</v>
      </c>
      <c r="B19" s="41">
        <v>1886.3937399999918</v>
      </c>
      <c r="C19" s="42">
        <v>262.78711299999759</v>
      </c>
      <c r="D19" s="41">
        <v>1881.0972166412141</v>
      </c>
      <c r="E19" s="42">
        <v>267.84532892424011</v>
      </c>
      <c r="F19" s="41">
        <v>1875.3456013108646</v>
      </c>
      <c r="G19" s="42">
        <v>273.74501056424697</v>
      </c>
      <c r="H19" s="41">
        <v>1869.0702725081562</v>
      </c>
      <c r="I19" s="42">
        <v>280.5917738645777</v>
      </c>
      <c r="J19" s="41">
        <v>1862.1889527581827</v>
      </c>
      <c r="K19" s="42">
        <v>288.50399202009453</v>
      </c>
      <c r="L19" s="41">
        <v>1854.6026342082102</v>
      </c>
      <c r="M19" s="42">
        <v>297.61122338440509</v>
      </c>
      <c r="N19" s="41">
        <v>1846.1922070703927</v>
      </c>
      <c r="O19" s="42">
        <v>308.05236891134717</v>
      </c>
      <c r="P19" s="41">
        <v>1836.8142233936878</v>
      </c>
      <c r="Q19" s="42">
        <v>319.96389709078107</v>
      </c>
      <c r="R19" s="41">
        <v>1826.2961359263863</v>
      </c>
      <c r="S19" s="42">
        <v>333.46242715666301</v>
      </c>
      <c r="T19" s="41">
        <v>1814.4312986681027</v>
      </c>
      <c r="U19" s="42">
        <v>348.60670012576611</v>
      </c>
      <c r="V19" s="41">
        <v>1800.9738694799128</v>
      </c>
      <c r="W19" s="42">
        <v>365.32447165096994</v>
      </c>
      <c r="X19" s="41">
        <v>1785.6351741220317</v>
      </c>
      <c r="Y19" s="42">
        <v>383.27217623778932</v>
      </c>
      <c r="Z19" s="41">
        <v>1768.0825341394275</v>
      </c>
      <c r="AA19" s="42">
        <v>401.56457073065673</v>
      </c>
      <c r="AB19" s="41">
        <v>1747.938075432073</v>
      </c>
      <c r="AC19" s="42">
        <v>418.26005289598783</v>
      </c>
      <c r="AD19" s="41">
        <v>1724.7514810320567</v>
      </c>
      <c r="AE19" s="42">
        <v>429.42441572687085</v>
      </c>
      <c r="AF19" s="41">
        <v>1697.790747099069</v>
      </c>
      <c r="AG19" s="42">
        <v>427.70608521291842</v>
      </c>
      <c r="AH19" s="41">
        <v>1664.9345087323875</v>
      </c>
      <c r="AI19" s="42">
        <v>401.49128860888487</v>
      </c>
      <c r="AJ19" s="41">
        <v>1618.1859728786442</v>
      </c>
      <c r="AK19" s="42">
        <v>339.10152467241164</v>
      </c>
      <c r="AL19" s="41">
        <v>1529.4606695015816</v>
      </c>
      <c r="AM19" s="42">
        <v>240.97110008880924</v>
      </c>
      <c r="AN19" s="41"/>
      <c r="AO19" s="42"/>
      <c r="AP19" s="41"/>
      <c r="AQ19" s="42"/>
      <c r="AR19" s="41"/>
      <c r="AS19" s="42"/>
      <c r="AT19" s="41"/>
      <c r="AU19" s="42"/>
      <c r="AV19" s="41"/>
      <c r="AW19" s="42"/>
    </row>
    <row r="20" spans="1:49" x14ac:dyDescent="0.2">
      <c r="A20" t="s">
        <v>127</v>
      </c>
      <c r="B20" s="82">
        <v>26548.356269999993</v>
      </c>
      <c r="C20" s="83">
        <v>1408.5418709999938</v>
      </c>
      <c r="D20" s="82">
        <v>26545.616396152313</v>
      </c>
      <c r="E20" s="83">
        <v>1338.1147774499941</v>
      </c>
      <c r="F20" s="82">
        <v>26538.737492328917</v>
      </c>
      <c r="G20" s="83">
        <v>1267.6876838999945</v>
      </c>
      <c r="H20" s="82">
        <v>26527.075079477818</v>
      </c>
      <c r="I20" s="83">
        <v>1197.2605903499946</v>
      </c>
      <c r="J20" s="82">
        <v>26509.841177448154</v>
      </c>
      <c r="K20" s="83">
        <v>1126.8334967999949</v>
      </c>
      <c r="L20" s="82">
        <v>26486.055869975895</v>
      </c>
      <c r="M20" s="83">
        <v>1056.4064032499953</v>
      </c>
      <c r="N20" s="82">
        <v>26454.488796581591</v>
      </c>
      <c r="O20" s="83">
        <v>985.97930969999561</v>
      </c>
      <c r="P20" s="82">
        <v>26413.564469178036</v>
      </c>
      <c r="Q20" s="83">
        <v>915.55221614999596</v>
      </c>
      <c r="R20" s="82">
        <v>26361.226660433676</v>
      </c>
      <c r="S20" s="83">
        <v>845.12512259999642</v>
      </c>
      <c r="T20" s="82">
        <v>26294.729931391732</v>
      </c>
      <c r="U20" s="83">
        <v>774.69802904999653</v>
      </c>
      <c r="V20" s="82">
        <v>26210.302155509078</v>
      </c>
      <c r="W20" s="83">
        <v>704.27093549999688</v>
      </c>
      <c r="X20" s="82">
        <v>26102.584077725645</v>
      </c>
      <c r="Y20" s="83">
        <v>633.84384194999723</v>
      </c>
      <c r="Z20" s="82">
        <v>25963.640727864178</v>
      </c>
      <c r="AA20" s="83">
        <v>563.41674839999746</v>
      </c>
      <c r="AB20" s="82">
        <v>25781.110505770535</v>
      </c>
      <c r="AC20" s="83">
        <v>492.98965484999781</v>
      </c>
      <c r="AD20" s="82">
        <v>25534.517123585778</v>
      </c>
      <c r="AE20" s="83">
        <v>422.56256129999809</v>
      </c>
      <c r="AF20" s="82">
        <v>25187.390483677282</v>
      </c>
      <c r="AG20" s="83">
        <v>352.13546774999827</v>
      </c>
      <c r="AH20" s="82">
        <v>24669.184794607816</v>
      </c>
      <c r="AI20" s="83">
        <v>281.70837419999856</v>
      </c>
      <c r="AJ20" s="82">
        <v>23829.056976810632</v>
      </c>
      <c r="AK20" s="83">
        <v>211.28128064999879</v>
      </c>
      <c r="AL20" s="82">
        <v>22285.558091422408</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24664.522898324347</v>
      </c>
      <c r="E21" s="83">
        <v>1070.4678826389218</v>
      </c>
      <c r="F21" s="82">
        <v>24663.407264864378</v>
      </c>
      <c r="G21" s="83">
        <v>994.79418287941246</v>
      </c>
      <c r="H21" s="82">
        <v>24658.040652099968</v>
      </c>
      <c r="I21" s="83">
        <v>918.72991397099418</v>
      </c>
      <c r="J21" s="82">
        <v>24647.718449504406</v>
      </c>
      <c r="K21" s="83">
        <v>842.28288813560732</v>
      </c>
      <c r="L21" s="82">
        <v>24631.561101384708</v>
      </c>
      <c r="M21" s="83">
        <v>765.47994020816975</v>
      </c>
      <c r="N21" s="82">
        <v>24608.459020504317</v>
      </c>
      <c r="O21" s="83">
        <v>688.37602338530087</v>
      </c>
      <c r="P21" s="82">
        <v>24576.98217466001</v>
      </c>
      <c r="Q21" s="83">
        <v>611.07342532426901</v>
      </c>
      <c r="R21" s="82">
        <v>24535.249222357881</v>
      </c>
      <c r="S21" s="83">
        <v>533.7464882717328</v>
      </c>
      <c r="T21" s="82">
        <v>24480.723901047506</v>
      </c>
      <c r="U21" s="83">
        <v>456.68288040622554</v>
      </c>
      <c r="V21" s="82">
        <v>24409.88222400118</v>
      </c>
      <c r="W21" s="83">
        <v>380.34813626750724</v>
      </c>
      <c r="X21" s="82">
        <v>24317.654624733455</v>
      </c>
      <c r="Y21" s="83">
        <v>305.48716303934231</v>
      </c>
      <c r="Z21" s="82">
        <v>24196.4361794176</v>
      </c>
      <c r="AA21" s="83">
        <v>233.28281067270052</v>
      </c>
      <c r="AB21" s="82">
        <v>24034.231944538715</v>
      </c>
      <c r="AC21" s="83">
        <v>165.59088462337485</v>
      </c>
      <c r="AD21" s="82">
        <v>23810.986907362349</v>
      </c>
      <c r="AE21" s="83">
        <v>105.23399062282428</v>
      </c>
      <c r="AF21" s="82">
        <v>23490.903414690521</v>
      </c>
      <c r="AG21" s="83">
        <v>56.141017131176717</v>
      </c>
      <c r="AH21" s="82">
        <v>23005.468223857402</v>
      </c>
      <c r="AI21" s="83">
        <v>22.51094242849657</v>
      </c>
      <c r="AJ21" s="82">
        <v>22211.785142448218</v>
      </c>
      <c r="AK21" s="83">
        <v>5.655539828231575</v>
      </c>
      <c r="AL21" s="82">
        <v>20756.602394845719</v>
      </c>
      <c r="AM21" s="83">
        <v>0.6535516495398036</v>
      </c>
      <c r="AN21" s="82"/>
      <c r="AO21" s="83"/>
      <c r="AP21" s="82"/>
      <c r="AQ21" s="83"/>
      <c r="AR21" s="82"/>
      <c r="AS21" s="83"/>
      <c r="AT21" s="82"/>
      <c r="AU21" s="83"/>
      <c r="AV21" s="82"/>
      <c r="AW21" s="83"/>
    </row>
    <row r="22" spans="1:49" x14ac:dyDescent="0.2">
      <c r="A22" t="s">
        <v>28</v>
      </c>
      <c r="B22" s="41">
        <v>6533.6044688320644</v>
      </c>
      <c r="C22" s="42">
        <v>379.90788307663382</v>
      </c>
      <c r="D22" s="41">
        <v>6534.8089571996998</v>
      </c>
      <c r="E22" s="42">
        <v>364.83740005851405</v>
      </c>
      <c r="F22" s="41">
        <v>6534.5333230498372</v>
      </c>
      <c r="G22" s="42">
        <v>349.49832062672618</v>
      </c>
      <c r="H22" s="41">
        <v>6532.5592448934476</v>
      </c>
      <c r="I22" s="42">
        <v>333.87982567466599</v>
      </c>
      <c r="J22" s="41">
        <v>6528.6211198967685</v>
      </c>
      <c r="K22" s="42">
        <v>317.96970577622022</v>
      </c>
      <c r="L22" s="41">
        <v>6522.3890275469685</v>
      </c>
      <c r="M22" s="42">
        <v>301.75354333355421</v>
      </c>
      <c r="N22" s="41">
        <v>6513.4540756388324</v>
      </c>
      <c r="O22" s="42">
        <v>285.2135921808042</v>
      </c>
      <c r="P22" s="41">
        <v>6501.2943375191035</v>
      </c>
      <c r="Q22" s="42">
        <v>268.3278350640212</v>
      </c>
      <c r="R22" s="41">
        <v>6485.2351206337935</v>
      </c>
      <c r="S22" s="42">
        <v>251.06751811206692</v>
      </c>
      <c r="T22" s="41">
        <v>6464.3851946119858</v>
      </c>
      <c r="U22" s="42">
        <v>233.39421923213311</v>
      </c>
      <c r="V22" s="41">
        <v>6437.5344950101835</v>
      </c>
      <c r="W22" s="42">
        <v>215.25527057662168</v>
      </c>
      <c r="X22" s="41">
        <v>6402.9887855359693</v>
      </c>
      <c r="Y22" s="42">
        <v>196.57733812460552</v>
      </c>
      <c r="Z22" s="41">
        <v>6358.2821183856004</v>
      </c>
      <c r="AA22" s="42">
        <v>177.25789846814848</v>
      </c>
      <c r="AB22" s="41">
        <v>6299.6460996112592</v>
      </c>
      <c r="AC22" s="42">
        <v>157.1556583875896</v>
      </c>
      <c r="AD22" s="41">
        <v>6220.9664660708404</v>
      </c>
      <c r="AE22" s="42">
        <v>136.08777700634258</v>
      </c>
      <c r="AF22" s="41">
        <v>6111.5587391040272</v>
      </c>
      <c r="AG22" s="42">
        <v>113.86100763817825</v>
      </c>
      <c r="AH22" s="41">
        <v>5951.0189644581169</v>
      </c>
      <c r="AI22" s="42">
        <v>90.405894346012573</v>
      </c>
      <c r="AJ22" s="41">
        <v>5696.0670673322193</v>
      </c>
      <c r="AK22" s="42">
        <v>66.070918406090101</v>
      </c>
      <c r="AL22" s="41">
        <v>5240.176169213757</v>
      </c>
      <c r="AM22" s="42">
        <v>41.810460922728851</v>
      </c>
      <c r="AN22" s="41"/>
      <c r="AO22" s="42"/>
      <c r="AP22" s="41"/>
      <c r="AQ22" s="42"/>
      <c r="AR22" s="41"/>
      <c r="AS22" s="42"/>
      <c r="AT22" s="41"/>
      <c r="AU22" s="42"/>
      <c r="AV22" s="41"/>
      <c r="AW22" s="42"/>
    </row>
    <row r="23" spans="1:49" x14ac:dyDescent="0.2">
      <c r="A23" t="s">
        <v>7</v>
      </c>
      <c r="B23" s="116">
        <v>3278.5018080150408</v>
      </c>
      <c r="C23" s="8">
        <v>0</v>
      </c>
      <c r="D23" s="116">
        <v>3283.8071276124979</v>
      </c>
      <c r="E23" s="8">
        <v>0</v>
      </c>
      <c r="F23" s="116">
        <v>3288.7638088968579</v>
      </c>
      <c r="G23" s="8">
        <v>0</v>
      </c>
      <c r="H23" s="116">
        <v>3293.3156255245349</v>
      </c>
      <c r="I23" s="8">
        <v>0</v>
      </c>
      <c r="J23" s="116">
        <v>3297.3935222313858</v>
      </c>
      <c r="K23" s="8">
        <v>0</v>
      </c>
      <c r="L23" s="116">
        <v>3300.9105957162701</v>
      </c>
      <c r="M23" s="8">
        <v>0</v>
      </c>
      <c r="N23" s="116">
        <v>3303.7581774888167</v>
      </c>
      <c r="O23" s="8">
        <v>0</v>
      </c>
      <c r="P23" s="116">
        <v>3305.7965384471686</v>
      </c>
      <c r="Q23" s="8">
        <v>0</v>
      </c>
      <c r="R23" s="116">
        <v>3306.8439502730462</v>
      </c>
      <c r="S23" s="8">
        <v>0</v>
      </c>
      <c r="T23" s="116">
        <v>3306.6597238507538</v>
      </c>
      <c r="U23" s="8">
        <v>0</v>
      </c>
      <c r="V23" s="116">
        <v>3304.9170142569828</v>
      </c>
      <c r="W23" s="8">
        <v>0</v>
      </c>
      <c r="X23" s="116">
        <v>3301.1595575470956</v>
      </c>
      <c r="Y23" s="8">
        <v>0</v>
      </c>
      <c r="Z23" s="116">
        <v>3294.7263837875184</v>
      </c>
      <c r="AA23" s="8">
        <v>0</v>
      </c>
      <c r="AB23" s="116">
        <v>3284.6098559149204</v>
      </c>
      <c r="AC23" s="8">
        <v>0</v>
      </c>
      <c r="AD23" s="116">
        <v>3269.1606969430891</v>
      </c>
      <c r="AE23" s="8">
        <v>0</v>
      </c>
      <c r="AF23" s="116">
        <v>3245.3859034498814</v>
      </c>
      <c r="AG23" s="8">
        <v>0</v>
      </c>
      <c r="AH23" s="116">
        <v>3207.0287830294428</v>
      </c>
      <c r="AI23" s="8">
        <v>0</v>
      </c>
      <c r="AJ23" s="116">
        <v>3138.7229018843113</v>
      </c>
      <c r="AK23" s="8">
        <v>0</v>
      </c>
      <c r="AL23" s="116">
        <v>2995.9301062220675</v>
      </c>
      <c r="AM23" s="8">
        <v>0</v>
      </c>
      <c r="AN23" s="116"/>
      <c r="AO23" s="8"/>
      <c r="AP23" s="116"/>
      <c r="AQ23" s="8"/>
      <c r="AR23" s="116"/>
      <c r="AS23" s="8"/>
      <c r="AT23" s="116"/>
      <c r="AU23" s="8"/>
      <c r="AV23" s="116"/>
      <c r="AW23" s="8"/>
    </row>
    <row r="24" spans="1:49" x14ac:dyDescent="0.2">
      <c r="A24" t="s">
        <v>8</v>
      </c>
      <c r="B24" s="97">
        <v>3196.3846373657216</v>
      </c>
      <c r="C24" s="8">
        <v>0</v>
      </c>
      <c r="D24" s="97">
        <v>3201.5570754385772</v>
      </c>
      <c r="E24" s="8">
        <v>0</v>
      </c>
      <c r="F24" s="97">
        <v>3206.389606235462</v>
      </c>
      <c r="G24" s="8">
        <v>0</v>
      </c>
      <c r="H24" s="97">
        <v>3210.8274134593248</v>
      </c>
      <c r="I24" s="8">
        <v>0</v>
      </c>
      <c r="J24" s="97">
        <v>3214.8031659767998</v>
      </c>
      <c r="K24" s="8">
        <v>0</v>
      </c>
      <c r="L24" s="97">
        <v>3218.2321482551915</v>
      </c>
      <c r="M24" s="8">
        <v>0</v>
      </c>
      <c r="N24" s="97">
        <v>3221.0084059314968</v>
      </c>
      <c r="O24" s="8">
        <v>0</v>
      </c>
      <c r="P24" s="97">
        <v>3222.9957114587742</v>
      </c>
      <c r="Q24" s="8">
        <v>0</v>
      </c>
      <c r="R24" s="97">
        <v>3224.016889354255</v>
      </c>
      <c r="S24" s="8">
        <v>0</v>
      </c>
      <c r="T24" s="97">
        <v>3223.8372771196437</v>
      </c>
      <c r="U24" s="8">
        <v>0</v>
      </c>
      <c r="V24" s="97">
        <v>3222.1382175059771</v>
      </c>
      <c r="W24" s="8">
        <v>0</v>
      </c>
      <c r="X24" s="97">
        <v>3218.474875141017</v>
      </c>
      <c r="Y24" s="8">
        <v>0</v>
      </c>
      <c r="Z24" s="97">
        <v>3212.2028338622054</v>
      </c>
      <c r="AA24" s="8">
        <v>0</v>
      </c>
      <c r="AB24" s="97">
        <v>3202.3396958812291</v>
      </c>
      <c r="AC24" s="8">
        <v>0</v>
      </c>
      <c r="AD24" s="97">
        <v>3187.277494685688</v>
      </c>
      <c r="AE24" s="8">
        <v>0</v>
      </c>
      <c r="AF24" s="97">
        <v>3164.0981922847559</v>
      </c>
      <c r="AG24" s="8">
        <v>0</v>
      </c>
      <c r="AH24" s="97">
        <v>3126.7018089514522</v>
      </c>
      <c r="AI24" s="8">
        <v>0</v>
      </c>
      <c r="AJ24" s="97">
        <v>3060.1067963422247</v>
      </c>
      <c r="AK24" s="8">
        <v>0</v>
      </c>
      <c r="AL24" s="97">
        <v>2920.8905551734265</v>
      </c>
      <c r="AM24" s="8">
        <v>0</v>
      </c>
      <c r="AN24" s="97"/>
      <c r="AO24" s="8"/>
      <c r="AP24" s="97"/>
      <c r="AQ24" s="8"/>
      <c r="AR24" s="97"/>
      <c r="AS24" s="8"/>
      <c r="AT24" s="97"/>
      <c r="AU24" s="8"/>
      <c r="AV24" s="97"/>
      <c r="AW24" s="8"/>
    </row>
    <row r="25" spans="1:49" x14ac:dyDescent="0.2">
      <c r="A25" t="s">
        <v>0</v>
      </c>
      <c r="B25" s="41">
        <v>3195.0476040000012</v>
      </c>
      <c r="C25" s="42">
        <v>91.012690000004397</v>
      </c>
      <c r="D25" s="41">
        <v>3204.7090729947549</v>
      </c>
      <c r="E25" s="42">
        <v>81.411376633666578</v>
      </c>
      <c r="F25" s="41">
        <v>3214.2470014142295</v>
      </c>
      <c r="G25" s="42">
        <v>72.142881697701483</v>
      </c>
      <c r="H25" s="41">
        <v>3223.6353611688974</v>
      </c>
      <c r="I25" s="42">
        <v>63.242813988909511</v>
      </c>
      <c r="J25" s="41">
        <v>3232.8392888266358</v>
      </c>
      <c r="K25" s="42">
        <v>54.749149436837733</v>
      </c>
      <c r="L25" s="41">
        <v>3241.8089374663023</v>
      </c>
      <c r="M25" s="42">
        <v>46.702753783072218</v>
      </c>
      <c r="N25" s="41">
        <v>3250.4713113379839</v>
      </c>
      <c r="O25" s="42">
        <v>39.146475884149481</v>
      </c>
      <c r="P25" s="41">
        <v>3258.7143111349137</v>
      </c>
      <c r="Q25" s="42">
        <v>32.125940522788035</v>
      </c>
      <c r="R25" s="41">
        <v>3266.360837862695</v>
      </c>
      <c r="S25" s="42">
        <v>25.688903759739212</v>
      </c>
      <c r="T25" s="41">
        <v>3273.1235250566938</v>
      </c>
      <c r="U25" s="42">
        <v>19.884775257436967</v>
      </c>
      <c r="V25" s="41">
        <v>3278.5240130761331</v>
      </c>
      <c r="W25" s="42">
        <v>14.763829258197351</v>
      </c>
      <c r="X25" s="41">
        <v>3281.7466641799033</v>
      </c>
      <c r="Y25" s="42">
        <v>10.375346280349932</v>
      </c>
      <c r="Z25" s="41">
        <v>3281.366107986144</v>
      </c>
      <c r="AA25" s="42">
        <v>6.7641472594179701</v>
      </c>
      <c r="AB25" s="41">
        <v>3274.830797721931</v>
      </c>
      <c r="AC25" s="42">
        <v>3.9636724333218734</v>
      </c>
      <c r="AD25" s="41">
        <v>3257.4869049872441</v>
      </c>
      <c r="AE25" s="42">
        <v>1.9817883945324886</v>
      </c>
      <c r="AF25" s="41">
        <v>3220.843986833439</v>
      </c>
      <c r="AG25" s="42">
        <v>0.77377417750579547</v>
      </c>
      <c r="AH25" s="41">
        <v>3150.0642449694487</v>
      </c>
      <c r="AI25" s="42">
        <v>0.2027771861668087</v>
      </c>
      <c r="AJ25" s="41">
        <v>3021.2934425301773</v>
      </c>
      <c r="AK25" s="42">
        <v>2.778517051694342E-2</v>
      </c>
      <c r="AL25" s="41">
        <v>2791.4421480078322</v>
      </c>
      <c r="AM25" s="42">
        <v>1.2948038107098811E-3</v>
      </c>
      <c r="AN25" s="41"/>
      <c r="AO25" s="42"/>
      <c r="AP25" s="41"/>
      <c r="AQ25" s="42"/>
      <c r="AR25" s="41"/>
      <c r="AS25" s="42"/>
      <c r="AT25" s="41"/>
      <c r="AU25" s="42"/>
      <c r="AV25" s="41"/>
      <c r="AW25" s="42"/>
    </row>
    <row r="26" spans="1:49" x14ac:dyDescent="0.2">
      <c r="A26" t="s">
        <v>27</v>
      </c>
      <c r="B26" s="33">
        <v>5036.2953101960647</v>
      </c>
      <c r="C26" s="34">
        <v>74.905331803938267</v>
      </c>
      <c r="D26" s="33">
        <v>5041.2973667636925</v>
      </c>
      <c r="E26" s="34">
        <v>69.903275236311174</v>
      </c>
      <c r="F26" s="33">
        <v>5046.3026836611598</v>
      </c>
      <c r="G26" s="34">
        <v>64.89795833886896</v>
      </c>
      <c r="H26" s="33">
        <v>5051.3107447460925</v>
      </c>
      <c r="I26" s="34">
        <v>59.889897253914128</v>
      </c>
      <c r="J26" s="33">
        <v>5056.3207436641087</v>
      </c>
      <c r="K26" s="34">
        <v>54.879898335903299</v>
      </c>
      <c r="L26" s="33">
        <v>5061.3308882263855</v>
      </c>
      <c r="M26" s="34">
        <v>49.869753773618513</v>
      </c>
      <c r="N26" s="33">
        <v>5066.3384649417621</v>
      </c>
      <c r="O26" s="34">
        <v>44.862177058248527</v>
      </c>
      <c r="P26" s="33">
        <v>5071.3384643031295</v>
      </c>
      <c r="Q26" s="34">
        <v>39.862177696876309</v>
      </c>
      <c r="R26" s="33">
        <v>5076.3223737236594</v>
      </c>
      <c r="S26" s="34">
        <v>34.878268276343192</v>
      </c>
      <c r="T26" s="33">
        <v>5081.2759435294001</v>
      </c>
      <c r="U26" s="34">
        <v>29.924698470605136</v>
      </c>
      <c r="V26" s="33">
        <v>5086.1753137077003</v>
      </c>
      <c r="W26" s="34">
        <v>25.025328292301243</v>
      </c>
      <c r="X26" s="33">
        <v>5090.9809882075197</v>
      </c>
      <c r="Y26" s="34">
        <v>20.219653792487833</v>
      </c>
      <c r="Z26" s="33">
        <v>5095.6279470661866</v>
      </c>
      <c r="AA26" s="34">
        <v>15.572694933810457</v>
      </c>
      <c r="AB26" s="33">
        <v>5100.0101078483831</v>
      </c>
      <c r="AC26" s="34">
        <v>11.190534151626469</v>
      </c>
      <c r="AD26" s="33">
        <v>5103.9592591548635</v>
      </c>
      <c r="AE26" s="34">
        <v>7.2413828451408619</v>
      </c>
      <c r="AF26" s="33">
        <v>5107.2292949781668</v>
      </c>
      <c r="AG26" s="34">
        <v>3.9713470218421296</v>
      </c>
      <c r="AH26" s="33">
        <v>5109.5358351933019</v>
      </c>
      <c r="AI26" s="34">
        <v>1.6648068067051585</v>
      </c>
      <c r="AJ26" s="33">
        <v>5110.7489788835101</v>
      </c>
      <c r="AK26" s="34">
        <v>0.45166311649596286</v>
      </c>
      <c r="AL26" s="33">
        <v>5111.139959543747</v>
      </c>
      <c r="AM26" s="34">
        <v>6.0682456256221477E-2</v>
      </c>
      <c r="AN26" s="33"/>
      <c r="AO26" s="34"/>
      <c r="AP26" s="33"/>
      <c r="AQ26" s="34"/>
      <c r="AR26" s="33"/>
      <c r="AS26" s="34"/>
      <c r="AT26" s="33"/>
      <c r="AU26" s="34"/>
      <c r="AV26" s="33"/>
      <c r="AW26" s="34"/>
    </row>
    <row r="27" spans="1:49" x14ac:dyDescent="0.2">
      <c r="A27" t="s">
        <v>2</v>
      </c>
      <c r="B27" s="35">
        <v>6425.1981589999841</v>
      </c>
      <c r="C27" s="36">
        <v>273.22915400000028</v>
      </c>
      <c r="D27" s="35">
        <v>6443.144526167217</v>
      </c>
      <c r="E27" s="36">
        <v>255.28277261565194</v>
      </c>
      <c r="F27" s="35">
        <v>6461.1452986319837</v>
      </c>
      <c r="G27" s="36">
        <v>237.28199701793889</v>
      </c>
      <c r="H27" s="35">
        <v>6479.1987100529259</v>
      </c>
      <c r="I27" s="36">
        <v>219.22857853521379</v>
      </c>
      <c r="J27" s="35">
        <v>6497.3020065691508</v>
      </c>
      <c r="K27" s="36">
        <v>201.12524329410448</v>
      </c>
      <c r="L27" s="35">
        <v>6515.4487831361466</v>
      </c>
      <c r="M27" s="36">
        <v>182.97852793867511</v>
      </c>
      <c r="N27" s="35">
        <v>6533.6291538667983</v>
      </c>
      <c r="O27" s="36">
        <v>164.79815502123844</v>
      </c>
      <c r="P27" s="35">
        <v>6551.8248930909222</v>
      </c>
      <c r="Q27" s="36">
        <v>146.60241330893899</v>
      </c>
      <c r="R27" s="35">
        <v>6570.004744052766</v>
      </c>
      <c r="S27" s="36">
        <v>128.42256886422675</v>
      </c>
      <c r="T27" s="35">
        <v>6588.1162122237301</v>
      </c>
      <c r="U27" s="36">
        <v>110.31109563014728</v>
      </c>
      <c r="V27" s="35">
        <v>6606.0710206852236</v>
      </c>
      <c r="W27" s="36">
        <v>92.356288286053129</v>
      </c>
      <c r="X27" s="35">
        <v>6623.722580130865</v>
      </c>
      <c r="Y27" s="36">
        <v>74.704728916313016</v>
      </c>
      <c r="Z27" s="35">
        <v>6640.8290466447506</v>
      </c>
      <c r="AA27" s="36">
        <v>57.59825750325205</v>
      </c>
      <c r="AB27" s="35">
        <v>6656.9948702531001</v>
      </c>
      <c r="AC27" s="36">
        <v>41.432441411496747</v>
      </c>
      <c r="AD27" s="35">
        <v>6671.5916957074578</v>
      </c>
      <c r="AE27" s="36">
        <v>26.835615610692962</v>
      </c>
      <c r="AF27" s="35">
        <v>6683.6987911413507</v>
      </c>
      <c r="AG27" s="36">
        <v>14.728520765710879</v>
      </c>
      <c r="AH27" s="35">
        <v>6692.2497218034805</v>
      </c>
      <c r="AI27" s="36">
        <v>6.1775858504903214</v>
      </c>
      <c r="AJ27" s="35">
        <v>6696.7508521483451</v>
      </c>
      <c r="AK27" s="36">
        <v>1.6764578885053931</v>
      </c>
      <c r="AL27" s="35">
        <v>6698.2020544735078</v>
      </c>
      <c r="AM27" s="36">
        <v>0.22525817288813485</v>
      </c>
      <c r="AN27" s="35"/>
      <c r="AO27" s="36"/>
      <c r="AP27" s="35"/>
      <c r="AQ27" s="36"/>
      <c r="AR27" s="35"/>
      <c r="AS27" s="36"/>
      <c r="AT27" s="35"/>
      <c r="AU27" s="36"/>
      <c r="AV27" s="35"/>
      <c r="AW27" s="36"/>
    </row>
    <row r="28" spans="1:49" x14ac:dyDescent="0.2">
      <c r="A28" t="s">
        <v>35</v>
      </c>
      <c r="B28" s="41">
        <v>13763.097675999999</v>
      </c>
      <c r="C28" s="42">
        <v>382.36647900000042</v>
      </c>
      <c r="D28" s="41">
        <v>13788.313596908836</v>
      </c>
      <c r="E28" s="42">
        <v>357.13174939798785</v>
      </c>
      <c r="F28" s="41">
        <v>13813.551581336525</v>
      </c>
      <c r="G28" s="42">
        <v>331.83729955248691</v>
      </c>
      <c r="H28" s="41">
        <v>13838.808863855276</v>
      </c>
      <c r="I28" s="42">
        <v>306.48577418953158</v>
      </c>
      <c r="J28" s="41">
        <v>13864.081292002049</v>
      </c>
      <c r="K28" s="42">
        <v>281.08121776381688</v>
      </c>
      <c r="L28" s="41">
        <v>13889.359687017006</v>
      </c>
      <c r="M28" s="42">
        <v>255.63292149337366</v>
      </c>
      <c r="N28" s="41">
        <v>13914.630144203622</v>
      </c>
      <c r="O28" s="42">
        <v>230.15470788956682</v>
      </c>
      <c r="P28" s="41">
        <v>13939.867275843942</v>
      </c>
      <c r="Q28" s="42">
        <v>204.67231102666557</v>
      </c>
      <c r="R28" s="41">
        <v>13965.027925003127</v>
      </c>
      <c r="S28" s="42">
        <v>179.2295454846859</v>
      </c>
      <c r="T28" s="41">
        <v>13990.039987401464</v>
      </c>
      <c r="U28" s="42">
        <v>153.89979078087671</v>
      </c>
      <c r="V28" s="41">
        <v>14014.782735168708</v>
      </c>
      <c r="W28" s="42">
        <v>128.80623878506779</v>
      </c>
      <c r="X28" s="41">
        <v>14039.056362493182</v>
      </c>
      <c r="Y28" s="42">
        <v>104.1531288657354</v>
      </c>
      <c r="Z28" s="41">
        <v>14062.53207700579</v>
      </c>
      <c r="AA28" s="42">
        <v>80.277104259407992</v>
      </c>
      <c r="AB28" s="41">
        <v>14084.673348764372</v>
      </c>
      <c r="AC28" s="42">
        <v>57.728276368741412</v>
      </c>
      <c r="AD28" s="41">
        <v>14104.629414641129</v>
      </c>
      <c r="AE28" s="42">
        <v>37.379898354633319</v>
      </c>
      <c r="AF28" s="41">
        <v>14121.15559759226</v>
      </c>
      <c r="AG28" s="42">
        <v>20.510904533606588</v>
      </c>
      <c r="AH28" s="41">
        <v>14132.81342257813</v>
      </c>
      <c r="AI28" s="42">
        <v>8.6014790309957956</v>
      </c>
      <c r="AJ28" s="41">
        <v>14138.94527720093</v>
      </c>
      <c r="AK28" s="42">
        <v>2.334045711871664</v>
      </c>
      <c r="AL28" s="41">
        <v>14140.921545036468</v>
      </c>
      <c r="AM28" s="42">
        <v>0.31360661388221855</v>
      </c>
      <c r="AN28" s="41"/>
      <c r="AO28" s="42"/>
      <c r="AP28" s="41"/>
      <c r="AQ28" s="42"/>
      <c r="AR28" s="41"/>
      <c r="AS28" s="42"/>
      <c r="AT28" s="41"/>
      <c r="AU28" s="42"/>
      <c r="AV28" s="41"/>
      <c r="AW28" s="42"/>
    </row>
    <row r="29" spans="1:49" x14ac:dyDescent="0.2">
      <c r="A29" t="s">
        <v>53</v>
      </c>
      <c r="B29" s="35">
        <v>14362.768557999996</v>
      </c>
      <c r="C29" s="36">
        <v>817.26651000000095</v>
      </c>
      <c r="D29" s="35">
        <v>14367.875618050493</v>
      </c>
      <c r="E29" s="36">
        <v>755.63784694218407</v>
      </c>
      <c r="F29" s="35">
        <v>14370.972446628772</v>
      </c>
      <c r="G29" s="36">
        <v>694.45271488557989</v>
      </c>
      <c r="H29" s="35">
        <v>14371.74219862793</v>
      </c>
      <c r="I29" s="36">
        <v>633.7827164193161</v>
      </c>
      <c r="J29" s="35">
        <v>14369.795522357599</v>
      </c>
      <c r="K29" s="36">
        <v>573.71226717684999</v>
      </c>
      <c r="L29" s="35">
        <v>14364.644073213623</v>
      </c>
      <c r="M29" s="36">
        <v>514.34808548920603</v>
      </c>
      <c r="N29" s="35">
        <v>14355.667427372306</v>
      </c>
      <c r="O29" s="36">
        <v>455.81922175070184</v>
      </c>
      <c r="P29" s="35">
        <v>14342.059592256515</v>
      </c>
      <c r="Q29" s="36">
        <v>398.2940994289512</v>
      </c>
      <c r="R29" s="35">
        <v>14322.748809551795</v>
      </c>
      <c r="S29" s="36">
        <v>341.99388341210636</v>
      </c>
      <c r="T29" s="35">
        <v>14296.271787265832</v>
      </c>
      <c r="U29" s="36">
        <v>287.21555865712276</v>
      </c>
      <c r="V29" s="35">
        <v>14260.565791480696</v>
      </c>
      <c r="W29" s="36">
        <v>234.36910078759649</v>
      </c>
      <c r="X29" s="35">
        <v>14212.615731925516</v>
      </c>
      <c r="Y29" s="36">
        <v>184.02955862457989</v>
      </c>
      <c r="Z29" s="35">
        <v>14147.823869319694</v>
      </c>
      <c r="AA29" s="36">
        <v>137.01418796843603</v>
      </c>
      <c r="AB29" s="35">
        <v>14058.826615678277</v>
      </c>
      <c r="AC29" s="36">
        <v>94.487212418310648</v>
      </c>
      <c r="AD29" s="35">
        <v>13933.170500784101</v>
      </c>
      <c r="AE29" s="36">
        <v>58.061342724275711</v>
      </c>
      <c r="AF29" s="35">
        <v>13748.562239107352</v>
      </c>
      <c r="AG29" s="36">
        <v>29.753770321020973</v>
      </c>
      <c r="AH29" s="35">
        <v>13462.861495773202</v>
      </c>
      <c r="AI29" s="36">
        <v>11.353778606073366</v>
      </c>
      <c r="AJ29" s="35">
        <v>12990.815886868215</v>
      </c>
      <c r="AK29" s="36">
        <v>2.6796869690358323</v>
      </c>
      <c r="AL29" s="35">
        <v>12127.640025060331</v>
      </c>
      <c r="AM29" s="36">
        <v>0.28578598571018859</v>
      </c>
      <c r="AN29" s="35"/>
      <c r="AO29" s="36"/>
      <c r="AP29" s="35"/>
      <c r="AQ29" s="36"/>
      <c r="AR29" s="35"/>
      <c r="AS29" s="36"/>
      <c r="AT29" s="35"/>
      <c r="AU29" s="36"/>
      <c r="AV29" s="35"/>
      <c r="AW29" s="36"/>
    </row>
    <row r="30" spans="1:49" x14ac:dyDescent="0.2">
      <c r="A30" t="s">
        <v>48</v>
      </c>
      <c r="B30" s="119">
        <v>2924829.9599999995</v>
      </c>
      <c r="D30" s="119">
        <v>3004769.0886854688</v>
      </c>
      <c r="F30" s="119">
        <v>3086463.5392111656</v>
      </c>
      <c r="H30" s="119">
        <v>3170203.9572301391</v>
      </c>
      <c r="J30" s="119">
        <v>3256343.3096279949</v>
      </c>
      <c r="L30" s="119">
        <v>3345318.2704081419</v>
      </c>
      <c r="N30" s="119">
        <v>3437689.8316246043</v>
      </c>
      <c r="P30" s="119">
        <v>3534189.0132218204</v>
      </c>
      <c r="R30" s="119">
        <v>3635809.8877378511</v>
      </c>
      <c r="T30" s="119">
        <v>3743956.4177858126</v>
      </c>
      <c r="V30" s="119">
        <v>3860697.8972777855</v>
      </c>
      <c r="X30" s="119">
        <v>3989230.6922025564</v>
      </c>
      <c r="Z30" s="119">
        <v>4134734.2601548382</v>
      </c>
      <c r="AB30" s="119">
        <v>4306007.2179638594</v>
      </c>
      <c r="AD30" s="119">
        <v>4518613.0482206643</v>
      </c>
      <c r="AF30" s="119">
        <v>4800595.4871587465</v>
      </c>
      <c r="AH30" s="119">
        <v>5200688.2504296238</v>
      </c>
      <c r="AJ30" s="119">
        <v>5792638.6221612431</v>
      </c>
      <c r="AL30" s="119">
        <v>6663199.069798518</v>
      </c>
      <c r="AN30" s="119"/>
      <c r="AP30" s="119"/>
      <c r="AR30" s="119"/>
      <c r="AT30" s="119"/>
      <c r="AV30" s="119"/>
    </row>
    <row r="31" spans="1:49" x14ac:dyDescent="0.2">
      <c r="A31" t="s">
        <v>47</v>
      </c>
      <c r="B31" s="80">
        <v>1</v>
      </c>
      <c r="D31" s="80">
        <v>0.99794571895232465</v>
      </c>
      <c r="F31" s="80">
        <v>0.99548653705975232</v>
      </c>
      <c r="H31" s="80">
        <v>0.99256604448247598</v>
      </c>
      <c r="J31" s="80">
        <v>0.98911614411546578</v>
      </c>
      <c r="L31" s="80">
        <v>0.98505318340344472</v>
      </c>
      <c r="N31" s="80">
        <v>0.98027384828542907</v>
      </c>
      <c r="P31" s="80">
        <v>0.9746475652123161</v>
      </c>
      <c r="R31" s="80">
        <v>0.96800657274775193</v>
      </c>
      <c r="T31" s="80">
        <v>0.96013046924035639</v>
      </c>
      <c r="V31" s="80">
        <v>0.95072152970731916</v>
      </c>
      <c r="X31" s="80">
        <v>0.939364621325666</v>
      </c>
      <c r="Z31" s="80">
        <v>0.92545821704317688</v>
      </c>
      <c r="AB31" s="80">
        <v>0.9080896874169998</v>
      </c>
      <c r="AD31" s="80">
        <v>0.88579996790135218</v>
      </c>
      <c r="AF31" s="80">
        <v>0.85612090956102593</v>
      </c>
      <c r="AH31" s="80">
        <v>0.81464542101723159</v>
      </c>
      <c r="AJ31" s="80">
        <v>0.75306628528698782</v>
      </c>
      <c r="AL31" s="80">
        <v>0.65398229228429294</v>
      </c>
      <c r="AN31" s="80"/>
      <c r="AP31" s="80"/>
      <c r="AR31" s="80"/>
      <c r="AT31" s="80"/>
      <c r="AV31" s="80"/>
    </row>
    <row r="32" spans="1:49" x14ac:dyDescent="0.2">
      <c r="A32" t="s">
        <v>64</v>
      </c>
      <c r="B32" s="86">
        <v>14734457.915000005</v>
      </c>
      <c r="D32" s="86">
        <v>14738328.591370057</v>
      </c>
      <c r="F32" s="86">
        <v>14739901.888487712</v>
      </c>
      <c r="H32" s="86">
        <v>14738825.155111723</v>
      </c>
      <c r="J32" s="86">
        <v>14734671.936118346</v>
      </c>
      <c r="L32" s="86">
        <v>14726920.178700956</v>
      </c>
      <c r="N32" s="86">
        <v>14714936.808432518</v>
      </c>
      <c r="P32" s="86">
        <v>14697944.786180317</v>
      </c>
      <c r="R32" s="86">
        <v>14674992.026921637</v>
      </c>
      <c r="T32" s="86">
        <v>14644912.900360072</v>
      </c>
      <c r="V32" s="86">
        <v>14606280.324204192</v>
      </c>
      <c r="X32" s="86">
        <v>14557356.269054174</v>
      </c>
      <c r="Z32" s="86">
        <v>14496034.224054568</v>
      </c>
      <c r="AB32" s="86">
        <v>14419738.457522174</v>
      </c>
      <c r="AD32" s="86">
        <v>14325081.05540457</v>
      </c>
      <c r="AF32" s="86">
        <v>14206209.647896251</v>
      </c>
      <c r="AH32" s="86">
        <v>14047059.322203403</v>
      </c>
      <c r="AJ32" s="86">
        <v>13790345.434033904</v>
      </c>
      <c r="AL32" s="86">
        <v>13232760.649104273</v>
      </c>
      <c r="AN32" s="86"/>
      <c r="AP32" s="86"/>
      <c r="AR32" s="86"/>
      <c r="AT32" s="86"/>
      <c r="AV32" s="86"/>
    </row>
    <row r="33" spans="1:49 16319:16321" x14ac:dyDescent="0.2">
      <c r="A33" t="s">
        <v>54</v>
      </c>
      <c r="B33" s="117">
        <v>7019665.6909999885</v>
      </c>
      <c r="D33" s="117">
        <v>7021509.914253341</v>
      </c>
      <c r="F33" s="117">
        <v>7022259.4759115018</v>
      </c>
      <c r="H33" s="117">
        <v>7021746.571010354</v>
      </c>
      <c r="J33" s="117">
        <v>7019768.1158275772</v>
      </c>
      <c r="L33" s="117">
        <v>7016074.6383748865</v>
      </c>
      <c r="N33" s="117">
        <v>7010365.6338680945</v>
      </c>
      <c r="P33" s="117">
        <v>7002270.4505230803</v>
      </c>
      <c r="R33" s="117">
        <v>6991335.4570540609</v>
      </c>
      <c r="T33" s="117">
        <v>6977005.4499781169</v>
      </c>
      <c r="V33" s="117">
        <v>6958600.4379690737</v>
      </c>
      <c r="X33" s="117">
        <v>6935292.4181590425</v>
      </c>
      <c r="Z33" s="117">
        <v>6906077.9200649224</v>
      </c>
      <c r="AB33" s="117">
        <v>6869729.7268022671</v>
      </c>
      <c r="AD33" s="117">
        <v>6824633.8298733812</v>
      </c>
      <c r="AF33" s="117">
        <v>6768002.1232671747</v>
      </c>
      <c r="AH33" s="117">
        <v>6692181.0756952912</v>
      </c>
      <c r="AJ33" s="117">
        <v>6569879.615523993</v>
      </c>
      <c r="AL33" s="117">
        <v>6304239.7936475622</v>
      </c>
      <c r="AN33" s="117"/>
      <c r="AP33" s="117"/>
      <c r="AR33" s="117"/>
      <c r="AT33" s="117"/>
      <c r="AV33" s="117"/>
    </row>
    <row r="34" spans="1:49 16319:16321" x14ac:dyDescent="0.2">
      <c r="A34" t="s">
        <v>75</v>
      </c>
      <c r="B34" s="117">
        <v>1136879.4410000162</v>
      </c>
      <c r="D34" s="117">
        <v>1137177.9040629673</v>
      </c>
      <c r="F34" s="117">
        <v>1137299.2712368197</v>
      </c>
      <c r="H34" s="117">
        <v>1137216.1287850728</v>
      </c>
      <c r="J34" s="117">
        <v>1136895.493485196</v>
      </c>
      <c r="L34" s="117">
        <v>1136297.8336567592</v>
      </c>
      <c r="N34" s="117">
        <v>1135373.211240394</v>
      </c>
      <c r="P34" s="117">
        <v>1134062.131173233</v>
      </c>
      <c r="R34" s="117">
        <v>1132291.1785393849</v>
      </c>
      <c r="T34" s="117">
        <v>1129970.3015202617</v>
      </c>
      <c r="V34" s="117">
        <v>1126989.5012034476</v>
      </c>
      <c r="X34" s="117">
        <v>1123214.6601004323</v>
      </c>
      <c r="Z34" s="117">
        <v>1118483.1503754775</v>
      </c>
      <c r="AB34" s="117">
        <v>1112596.3418271923</v>
      </c>
      <c r="AD34" s="117">
        <v>1105292.7966228488</v>
      </c>
      <c r="AF34" s="117">
        <v>1096120.9286989577</v>
      </c>
      <c r="AH34" s="117">
        <v>1083841.2248143428</v>
      </c>
      <c r="AJ34" s="117">
        <v>1064033.7301496386</v>
      </c>
      <c r="AL34" s="117">
        <v>1021011.6732212518</v>
      </c>
      <c r="AN34" s="117"/>
      <c r="AP34" s="117"/>
      <c r="AR34" s="117"/>
      <c r="AT34" s="117"/>
      <c r="AV34" s="117"/>
    </row>
    <row r="35" spans="1:49 16319:16321" x14ac:dyDescent="0.2">
      <c r="A35" t="s">
        <v>78</v>
      </c>
      <c r="B35" s="233">
        <v>1</v>
      </c>
      <c r="D35" s="233">
        <v>1.0023228987185708</v>
      </c>
      <c r="F35" s="233">
        <v>1.0049150097476724</v>
      </c>
      <c r="H35" s="233">
        <v>1.0078252336035467</v>
      </c>
      <c r="J35" s="233">
        <v>1.0111156640008405</v>
      </c>
      <c r="L35" s="233">
        <v>1.0148666729049947</v>
      </c>
      <c r="N35" s="233">
        <v>1.0191845932092651</v>
      </c>
      <c r="P35" s="233">
        <v>1.0242132083490469</v>
      </c>
      <c r="R35" s="233">
        <v>1.0301525259331781</v>
      </c>
      <c r="T35" s="233">
        <v>1.0372894808202358</v>
      </c>
      <c r="V35" s="233">
        <v>1.0460507759208841</v>
      </c>
      <c r="X35" s="233">
        <v>1.0570979994266114</v>
      </c>
      <c r="Z35" s="233">
        <v>1.0715078350548306</v>
      </c>
      <c r="AB35" s="233">
        <v>1.0911339117742913</v>
      </c>
      <c r="AD35" s="233">
        <v>1.1193778353387127</v>
      </c>
      <c r="AF35" s="233">
        <v>1.1629249297887463</v>
      </c>
      <c r="AH35" s="233">
        <v>1.235832298618158</v>
      </c>
      <c r="AJ35" s="233">
        <v>1.3699687146649999</v>
      </c>
      <c r="AL35" s="233">
        <v>1.6500598068474621</v>
      </c>
      <c r="AN35" s="233"/>
      <c r="AP35" s="233"/>
      <c r="AR35" s="233"/>
      <c r="AT35" s="233"/>
      <c r="AV35" s="233"/>
    </row>
    <row r="36" spans="1:49 16319:16321" x14ac:dyDescent="0.2">
      <c r="A36" t="s">
        <v>21</v>
      </c>
      <c r="B36" s="37">
        <v>0.47195767671988204</v>
      </c>
      <c r="C36" s="38">
        <v>0.31738834428178991</v>
      </c>
      <c r="D36" s="37">
        <v>0.47199997458663978</v>
      </c>
      <c r="E36" s="38">
        <v>0.32221444141327171</v>
      </c>
      <c r="F36" s="37">
        <v>0.47204429720354352</v>
      </c>
      <c r="G36" s="38">
        <v>0.32757797205920164</v>
      </c>
      <c r="H36" s="37">
        <v>0.47209093974387811</v>
      </c>
      <c r="I36" s="38">
        <v>0.33356867448066208</v>
      </c>
      <c r="J36" s="37">
        <v>0.47214025057171666</v>
      </c>
      <c r="K36" s="38">
        <v>0.34029774152528053</v>
      </c>
      <c r="L36" s="37">
        <v>0.47219263473362161</v>
      </c>
      <c r="M36" s="38">
        <v>0.34790491852710598</v>
      </c>
      <c r="N36" s="37">
        <v>0.47224857600119535</v>
      </c>
      <c r="O36" s="38">
        <v>0.35656895591241433</v>
      </c>
      <c r="P36" s="37">
        <v>0.47230859763788502</v>
      </c>
      <c r="Q36" s="38">
        <v>0.36652243589027006</v>
      </c>
      <c r="R36" s="37">
        <v>0.47237324986282719</v>
      </c>
      <c r="S36" s="38">
        <v>0.37807526722996859</v>
      </c>
      <c r="T36" s="37">
        <v>0.47244303074919242</v>
      </c>
      <c r="U36" s="38">
        <v>0.39165156023575121</v>
      </c>
      <c r="V36" s="37">
        <v>0.4725182089668728</v>
      </c>
      <c r="W36" s="38">
        <v>0.40785082133844164</v>
      </c>
      <c r="X36" s="37">
        <v>0.47259846605242711</v>
      </c>
      <c r="Y36" s="38">
        <v>0.42755426714683264</v>
      </c>
      <c r="Z36" s="37">
        <v>0.47268214173475931</v>
      </c>
      <c r="AA36" s="38">
        <v>0.45211953062769938</v>
      </c>
      <c r="AB36" s="37">
        <v>0.4727647323095277</v>
      </c>
      <c r="AC36" s="38">
        <v>0.48375968867238922</v>
      </c>
      <c r="AD36" s="37">
        <v>0.47283606055942673</v>
      </c>
      <c r="AE36" s="38">
        <v>0.52632846808712364</v>
      </c>
      <c r="AF36" s="37">
        <v>0.47287590540718405</v>
      </c>
      <c r="AG36" s="38">
        <v>0.58704960844877641</v>
      </c>
      <c r="AH36" s="37">
        <v>0.47285184397075947</v>
      </c>
      <c r="AI36" s="38">
        <v>0.68055020094525454</v>
      </c>
      <c r="AJ36" s="37">
        <v>0.47273446015565201</v>
      </c>
      <c r="AK36" s="38">
        <v>0.83924654530344711</v>
      </c>
      <c r="AL36" s="37">
        <v>0.47253975761308409</v>
      </c>
      <c r="AM36" s="38">
        <v>1.1487751603147796</v>
      </c>
      <c r="AN36" s="37"/>
      <c r="AO36" s="38"/>
      <c r="AP36" s="37"/>
      <c r="AQ36" s="38"/>
      <c r="AR36" s="37"/>
      <c r="AS36" s="38"/>
      <c r="AT36" s="37"/>
      <c r="AU36" s="38"/>
      <c r="AV36" s="37"/>
      <c r="AW36" s="38"/>
    </row>
    <row r="37" spans="1:49 16319:16321" x14ac:dyDescent="0.2">
      <c r="B37" s="39">
        <v>2.1403217525954421E-2</v>
      </c>
      <c r="C37" s="40">
        <v>0.34962461301992565</v>
      </c>
      <c r="D37" s="39">
        <v>2.0701179914792155E-2</v>
      </c>
      <c r="E37" s="40">
        <v>0.34407998619449137</v>
      </c>
      <c r="F37" s="39">
        <v>1.9985265510823316E-2</v>
      </c>
      <c r="G37" s="40">
        <v>0.33835024266912034</v>
      </c>
      <c r="H37" s="39">
        <v>1.9254516974040646E-2</v>
      </c>
      <c r="I37" s="40">
        <v>0.3324206597569736</v>
      </c>
      <c r="J37" s="39">
        <v>1.8507837952587074E-2</v>
      </c>
      <c r="K37" s="40">
        <v>0.32627440557310927</v>
      </c>
      <c r="L37" s="39">
        <v>1.7743943699245708E-2</v>
      </c>
      <c r="M37" s="40">
        <v>0.31989191992162513</v>
      </c>
      <c r="N37" s="39">
        <v>1.6961271305067881E-2</v>
      </c>
      <c r="O37" s="40">
        <v>0.3132498733665986</v>
      </c>
      <c r="P37" s="39">
        <v>1.6157914186994689E-2</v>
      </c>
      <c r="Q37" s="40">
        <v>0.30632020055657821</v>
      </c>
      <c r="R37" s="39">
        <v>1.5331448625598388E-2</v>
      </c>
      <c r="S37" s="40">
        <v>0.29906803526105097</v>
      </c>
      <c r="T37" s="39">
        <v>1.4478717028584514E-2</v>
      </c>
      <c r="U37" s="40">
        <v>0.29144895200038773</v>
      </c>
      <c r="V37" s="39">
        <v>1.3595489967891942E-2</v>
      </c>
      <c r="W37" s="40">
        <v>0.28340464225299355</v>
      </c>
      <c r="X37" s="39">
        <v>1.2675956968049433E-2</v>
      </c>
      <c r="Y37" s="40">
        <v>0.27485621714911918</v>
      </c>
      <c r="Z37" s="39">
        <v>1.1711980055856653E-2</v>
      </c>
      <c r="AA37" s="40">
        <v>0.26569390393715248</v>
      </c>
      <c r="AB37" s="39">
        <v>1.0692056810903603E-2</v>
      </c>
      <c r="AC37" s="40">
        <v>0.25576153570153037</v>
      </c>
      <c r="AD37" s="39">
        <v>9.6002162417946121E-3</v>
      </c>
      <c r="AE37" s="40">
        <v>0.24483611961013912</v>
      </c>
      <c r="AF37" s="39">
        <v>8.416077068030969E-3</v>
      </c>
      <c r="AG37" s="40">
        <v>0.23261214713543785</v>
      </c>
      <c r="AH37" s="39">
        <v>7.1199614608541068E-3</v>
      </c>
      <c r="AI37" s="40">
        <v>0.21872965933608782</v>
      </c>
      <c r="AJ37" s="39">
        <v>5.7077184162402901E-3</v>
      </c>
      <c r="AK37" s="40">
        <v>0.2029032065201509</v>
      </c>
      <c r="AL37" s="39">
        <v>4.20060738360947E-3</v>
      </c>
      <c r="AM37" s="40">
        <v>0.18499211664032048</v>
      </c>
      <c r="AN37" s="39"/>
      <c r="AO37" s="40"/>
      <c r="AP37" s="39"/>
      <c r="AQ37" s="40"/>
      <c r="AR37" s="39"/>
      <c r="AS37" s="40"/>
      <c r="AT37" s="39"/>
      <c r="AU37" s="40"/>
      <c r="AV37" s="39"/>
      <c r="AW37" s="40"/>
    </row>
    <row r="38" spans="1:49 16319:16321" x14ac:dyDescent="0.2">
      <c r="A38" t="s">
        <v>22</v>
      </c>
      <c r="B38" s="37">
        <v>0.18079094942242827</v>
      </c>
      <c r="C38" s="38">
        <v>6.0565413429233668E-2</v>
      </c>
      <c r="D38" s="37">
        <v>0.18089110894206945</v>
      </c>
      <c r="E38" s="38">
        <v>6.0684362548378147E-2</v>
      </c>
      <c r="F38" s="37">
        <v>0.18101588137190514</v>
      </c>
      <c r="G38" s="38">
        <v>6.0818325655804806E-2</v>
      </c>
      <c r="H38" s="37">
        <v>0.18116917143822867</v>
      </c>
      <c r="I38" s="38">
        <v>6.0970076233007875E-2</v>
      </c>
      <c r="J38" s="37">
        <v>0.18135580723053096</v>
      </c>
      <c r="K38" s="38">
        <v>6.11431080217191E-2</v>
      </c>
      <c r="L38" s="37">
        <v>0.18158186946838703</v>
      </c>
      <c r="M38" s="38">
        <v>6.1341816986750015E-2</v>
      </c>
      <c r="N38" s="37">
        <v>0.18185513762483937</v>
      </c>
      <c r="O38" s="38">
        <v>6.1571944415147482E-2</v>
      </c>
      <c r="P38" s="37">
        <v>0.18218578600288016</v>
      </c>
      <c r="Q38" s="38">
        <v>6.1841031293776751E-2</v>
      </c>
      <c r="R38" s="37">
        <v>0.18258745320607656</v>
      </c>
      <c r="S38" s="38">
        <v>6.2159257313539933E-2</v>
      </c>
      <c r="T38" s="37">
        <v>0.18307894804860506</v>
      </c>
      <c r="U38" s="38">
        <v>6.2540788395910249E-2</v>
      </c>
      <c r="V38" s="37">
        <v>0.18368711483521674</v>
      </c>
      <c r="W38" s="38">
        <v>6.30059427859469E-2</v>
      </c>
      <c r="X38" s="37">
        <v>0.18445182033453841</v>
      </c>
      <c r="Y38" s="38">
        <v>6.3585115237816139E-2</v>
      </c>
      <c r="Z38" s="37">
        <v>0.18543512162541673</v>
      </c>
      <c r="AA38" s="38">
        <v>6.4326109515759816E-2</v>
      </c>
      <c r="AB38" s="37">
        <v>0.18673910165967916</v>
      </c>
      <c r="AC38" s="38">
        <v>6.5308472983057766E-2</v>
      </c>
      <c r="AD38" s="37">
        <v>0.18854263046929876</v>
      </c>
      <c r="AE38" s="38">
        <v>6.6674098301301915E-2</v>
      </c>
      <c r="AF38" s="37">
        <v>0.19118170017607913</v>
      </c>
      <c r="AG38" s="38">
        <v>6.8696495320874421E-2</v>
      </c>
      <c r="AH38" s="37">
        <v>0.19533627021326128</v>
      </c>
      <c r="AI38" s="38">
        <v>7.1949471706804088E-2</v>
      </c>
      <c r="AJ38" s="37">
        <v>0.20252904338835484</v>
      </c>
      <c r="AK38" s="38">
        <v>7.7789540800206058E-2</v>
      </c>
      <c r="AL38" s="37">
        <v>0.21704369269895671</v>
      </c>
      <c r="AM38" s="38">
        <v>9.0495525251445219E-2</v>
      </c>
      <c r="AN38" s="37"/>
      <c r="AO38" s="38"/>
      <c r="AP38" s="37"/>
      <c r="AQ38" s="38"/>
      <c r="AR38" s="37"/>
      <c r="AS38" s="38"/>
      <c r="AT38" s="37"/>
      <c r="AU38" s="38"/>
      <c r="AV38" s="37"/>
      <c r="AW38" s="38"/>
    </row>
    <row r="39" spans="1:49 16319:16321" x14ac:dyDescent="0.2">
      <c r="A39" t="s">
        <v>23</v>
      </c>
      <c r="B39" s="39">
        <v>0.23064923795098566</v>
      </c>
      <c r="C39" s="40">
        <v>0.22092201281804777</v>
      </c>
      <c r="D39" s="39">
        <v>0.23119198762135726</v>
      </c>
      <c r="E39" s="40">
        <v>0.22161582949286862</v>
      </c>
      <c r="F39" s="39">
        <v>0.23176768898358496</v>
      </c>
      <c r="G39" s="40">
        <v>0.22236591313926712</v>
      </c>
      <c r="H39" s="39">
        <v>0.23238147902598139</v>
      </c>
      <c r="I39" s="40">
        <v>0.22318260271973289</v>
      </c>
      <c r="J39" s="39">
        <v>0.23303969624522158</v>
      </c>
      <c r="K39" s="40">
        <v>0.22407881299919968</v>
      </c>
      <c r="L39" s="39">
        <v>0.23375025197808627</v>
      </c>
      <c r="M39" s="40">
        <v>0.22507100043587625</v>
      </c>
      <c r="N39" s="39">
        <v>0.2345232236630222</v>
      </c>
      <c r="O39" s="40">
        <v>0.226180348481793</v>
      </c>
      <c r="P39" s="39">
        <v>0.23537166298464157</v>
      </c>
      <c r="Q39" s="40">
        <v>0.22743475025680107</v>
      </c>
      <c r="R39" s="39">
        <v>0.23631289454307972</v>
      </c>
      <c r="S39" s="40">
        <v>0.2288717845636748</v>
      </c>
      <c r="T39" s="39">
        <v>0.23737057368274025</v>
      </c>
      <c r="U39" s="40">
        <v>0.23054343876857619</v>
      </c>
      <c r="V39" s="39">
        <v>0.23857811643178065</v>
      </c>
      <c r="W39" s="40">
        <v>0.23252422296748168</v>
      </c>
      <c r="X39" s="39">
        <v>0.23998472791906683</v>
      </c>
      <c r="Y39" s="40">
        <v>0.23492532788659207</v>
      </c>
      <c r="Z39" s="39">
        <v>0.24166657274638237</v>
      </c>
      <c r="AA39" s="40">
        <v>0.23792104294208619</v>
      </c>
      <c r="AB39" s="39">
        <v>0.2437487800094989</v>
      </c>
      <c r="AC39" s="40">
        <v>0.24180163733753282</v>
      </c>
      <c r="AD39" s="39">
        <v>0.24645170226811311</v>
      </c>
      <c r="AE39" s="40">
        <v>0.2470854685447155</v>
      </c>
      <c r="AF39" s="39">
        <v>0.25019454278499764</v>
      </c>
      <c r="AG39" s="40">
        <v>0.25477445116234931</v>
      </c>
      <c r="AH39" s="39">
        <v>0.25584302413320337</v>
      </c>
      <c r="AI39" s="40">
        <v>0.26698235289286881</v>
      </c>
      <c r="AJ39" s="39">
        <v>0.26537921339898163</v>
      </c>
      <c r="AK39" s="40">
        <v>0.28873486577663299</v>
      </c>
      <c r="AL39" s="39">
        <v>0.28443801575655625</v>
      </c>
      <c r="AM39" s="40">
        <v>0.3359266900242302</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0.10800000000000001</v>
      </c>
      <c r="E42" s="135"/>
      <c r="F42" s="177">
        <f>10.8%+(1-10.8%)*(1-SUM(F26:G26)/SUM($B$26:$C$26))</f>
        <v>0.10799999999999566</v>
      </c>
      <c r="G42" s="135"/>
      <c r="H42" s="177">
        <f>10.8%+(1-10.8%)*(1-SUM(H26:I26)/SUM($B$26:$C$26))</f>
        <v>0.10799999999999942</v>
      </c>
      <c r="I42" s="135"/>
      <c r="J42" s="177">
        <f>10.8%+(1-10.8%)*(1-SUM(J26:K26)/SUM($B$26:$C$26))</f>
        <v>0.10799999999999862</v>
      </c>
      <c r="K42" s="135"/>
      <c r="L42" s="177">
        <f>10.8%+(1-10.8%)*(1-SUM(L26:M26)/SUM($B$26:$C$26))</f>
        <v>0.10799999999999982</v>
      </c>
      <c r="M42" s="135"/>
      <c r="N42" s="177">
        <f>10.8%+(1-10.8%)*(1-SUM(N26:O26)/SUM($B$26:$C$26))</f>
        <v>0.10799999999999882</v>
      </c>
      <c r="O42" s="135"/>
      <c r="P42" s="177">
        <f>10.8%+(1-10.8%)*(1-SUM(P26:Q26)/SUM($B$26:$C$26))</f>
        <v>0.10799999999999961</v>
      </c>
      <c r="Q42" s="135"/>
      <c r="R42" s="177">
        <f>10.8%+(1-10.8%)*(1-SUM(R26:S26)/SUM($B$26:$C$26))</f>
        <v>0.10800000000000021</v>
      </c>
      <c r="S42" s="135"/>
      <c r="T42" s="177">
        <f>10.8%+(1-10.8%)*(1-SUM(T26:U26)/SUM($B$26:$C$26))</f>
        <v>0.10799999999999961</v>
      </c>
      <c r="U42" s="135"/>
      <c r="V42" s="177">
        <f>10.8%+(1-10.8%)*(1-SUM(V26:W26)/SUM($B$26:$C$26))</f>
        <v>0.1080000000000003</v>
      </c>
      <c r="W42" s="135"/>
      <c r="X42" s="177">
        <f>10.8%+(1-10.8%)*(1-SUM(X26:Y26)/SUM($B$26:$C$26))</f>
        <v>0.10799999999999942</v>
      </c>
      <c r="Y42" s="162"/>
      <c r="Z42" s="177">
        <f>10.8%+(1-10.8%)*(1-SUM(Z26:AA26)/SUM($B$26:$C$26))</f>
        <v>0.1080000000000011</v>
      </c>
      <c r="AA42" s="135"/>
      <c r="AB42" s="177">
        <f>10.8%+(1-10.8%)*(1-SUM(AB26:AC26)/SUM($B$26:$C$26))</f>
        <v>0.10799999999999882</v>
      </c>
      <c r="AC42" s="135"/>
      <c r="AD42" s="177">
        <f>10.8%+(1-10.8%)*(1-SUM(AD26:AE26)/SUM($B$26:$C$26))</f>
        <v>0.10799999999999982</v>
      </c>
      <c r="AE42" s="135"/>
      <c r="AF42" s="177">
        <f>10.8%+(1-10.8%)*(1-SUM(AF26:AG26)/SUM($B$26:$C$26))</f>
        <v>0.10799999999999903</v>
      </c>
      <c r="AG42" s="135"/>
      <c r="AH42" s="177">
        <f>10.8%+(1-10.8%)*(1-SUM(AH26:AI26)/SUM($B$26:$C$26))</f>
        <v>0.10799999999999942</v>
      </c>
      <c r="AI42" s="135"/>
      <c r="AJ42" s="177">
        <f>10.8%+(1-10.8%)*(1-SUM(AJ26:AK26)/SUM($B$26:$C$26))</f>
        <v>0.10799999999999961</v>
      </c>
      <c r="AK42" s="135"/>
      <c r="AL42" s="177">
        <f>10.8%+(1-10.8%)*(1-SUM(AL26:AM26)/SUM($B$26:$C$26))</f>
        <v>0.10800000000000001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0.56058995943838996</v>
      </c>
      <c r="C43" s="135"/>
      <c r="D43" s="162">
        <f t="array" ref="D43">SUM(D15:E15*D27:E27)/SUM(D15:E15*D27:E27,D13:E13*D26:E26)</f>
        <v>0.56159193919106642</v>
      </c>
      <c r="E43" s="135"/>
      <c r="F43" s="162">
        <f t="array" ref="F43">SUM(F15:G15*F27:G27)/SUM(F15:G15*F27:G27,F13:G13*F26:G26)</f>
        <v>0.55574846798865307</v>
      </c>
      <c r="G43" s="135"/>
      <c r="H43" s="162">
        <f t="array" ref="H43">SUM(H15:I15*H27:I27)/SUM(H15:I15*H27:I27,H13:I13*H26:I26)</f>
        <v>0.54963223971855601</v>
      </c>
      <c r="I43" s="135"/>
      <c r="J43" s="162">
        <f t="array" ref="J43">SUM(J15:K15*J27:K27)/SUM(J15:K15*J27:K27,J13:K13*J26:K26)</f>
        <v>0.54319636791758075</v>
      </c>
      <c r="K43" s="135"/>
      <c r="L43" s="162">
        <f t="array" ref="L43">SUM(L15:M15*L27:M27)/SUM(L15:M15*L27:M27,L13:M13*L26:M26)</f>
        <v>0.5363818540178279</v>
      </c>
      <c r="M43" s="135"/>
      <c r="N43" s="162">
        <f t="array" ref="N43">SUM(N15:O15*N27:O27)/SUM(N15:O15*N27:O27,N13:O13*N26:O26)</f>
        <v>0.52911276948669761</v>
      </c>
      <c r="O43" s="135"/>
      <c r="P43" s="162">
        <f t="array" ref="P43">SUM(P15:Q15*P27:Q27)/SUM(P15:Q15*P27:Q27,P13:Q13*P26:Q26)</f>
        <v>0.52128930507047866</v>
      </c>
      <c r="Q43" s="135"/>
      <c r="R43" s="162">
        <f t="array" ref="R43">SUM(R15:S15*R27:S27)/SUM(R15:S15*R27:S27,R13:S13*R26:S26)</f>
        <v>0.51277626298386769</v>
      </c>
      <c r="S43" s="135"/>
      <c r="T43" s="162">
        <f t="array" ref="T43">SUM(T15:U15*T27:U27)/SUM(T15:U15*T27:U27,T13:U13*T26:U26)</f>
        <v>0.50338438405243846</v>
      </c>
      <c r="U43" s="135"/>
      <c r="V43" s="162">
        <f t="array" ref="V43">SUM(V15:W15*V27:W27)/SUM(V15:W15*V27:W27,V13:W13*V26:W26)</f>
        <v>0.49283783805829418</v>
      </c>
      <c r="W43" s="135"/>
      <c r="X43" s="162">
        <f t="array" ref="X43">SUM(X15:Y15*X27:Y27)/SUM(X15:Y15*X27:Y27,X13:Y13*X26:Y26)</f>
        <v>0.4807156411766505</v>
      </c>
      <c r="Y43" s="135"/>
      <c r="Z43" s="162">
        <f t="array" ref="Z43">SUM(Z15:AA15*Z27:AA27)/SUM(Z15:AA15*Z27:AA27,Z13:AA13*Z26:AA26)</f>
        <v>0.46633980880733289</v>
      </c>
      <c r="AA43" s="135"/>
      <c r="AB43" s="162">
        <f t="array" ref="AB43">SUM(AB15:AC15*AB27:AC27)/SUM(AB15:AC15*AB27:AC27,AB13:AC13*AB26:AC26)</f>
        <v>0.44854952369893147</v>
      </c>
      <c r="AC43" s="135"/>
      <c r="AD43" s="162">
        <f t="array" ref="AD43">SUM(AD15:AE15*AD27:AE27)/SUM(AD15:AE15*AD27:AE27,AD13:AE13*AD26:AE26)</f>
        <v>0.4252179913698409</v>
      </c>
      <c r="AE43" s="135"/>
      <c r="AF43" s="162">
        <f t="array" ref="AF43">SUM(AF15:AG15*AF27:AG27)/SUM(AF15:AG15*AF27:AG27,AF13:AG13*AF26:AG26)</f>
        <v>0.39216110310748509</v>
      </c>
      <c r="AG43" s="135"/>
      <c r="AH43" s="162">
        <f t="array" ref="AH43">SUM(AH15:AI15*AH27:AI27)/SUM(AH15:AI15*AH27:AI27,AH13:AI13*AH26:AI26)</f>
        <v>0.34053332373487599</v>
      </c>
      <c r="AI43" s="135"/>
      <c r="AJ43" s="162">
        <f t="array" ref="AJ43">SUM(AJ15:AK15*AJ27:AK27)/SUM(AJ15:AK15*AJ27:AK27,AJ13:AK13*AJ26:AK26)</f>
        <v>0.24966113110257313</v>
      </c>
      <c r="AK43" s="135"/>
      <c r="AL43" s="162">
        <f t="array" ref="AL43">SUM(AL15:AM15*AL27:AM27)/SUM(AL15:AM15*AL27:AM27,AL13:AM13*AL26:AM26)</f>
        <v>5.6477736724184546E-2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0.29754224912463562</v>
      </c>
      <c r="F44" s="193">
        <f>(SUM(F11:G11*F24:G24)+F34)/F32</f>
        <v>0.29754224744582303</v>
      </c>
      <c r="H44" s="193">
        <f>(SUM(H11:I11*H24:I24)+H34)/H32</f>
        <v>0.29754224315014283</v>
      </c>
      <c r="J44" s="193">
        <f>(SUM(J11:K11*J24:K24)+J34)/J32</f>
        <v>0.29754223050480944</v>
      </c>
      <c r="L44" s="193">
        <f>(SUM(L11:M11*L24:M24)+L34)/L32</f>
        <v>0.29754226109983556</v>
      </c>
      <c r="N44" s="193">
        <f>(SUM(N11:O11*N24:O24)+N34)/N32</f>
        <v>0.29754226033127584</v>
      </c>
      <c r="P44" s="193">
        <f>(SUM(P11:Q11*P24:Q24)+P34)/P32</f>
        <v>0.29754225951070651</v>
      </c>
      <c r="R44" s="193">
        <f>(SUM(R11:S11*R24:S24)+R34)/R32</f>
        <v>0.29754226183962623</v>
      </c>
      <c r="T44" s="193">
        <f>(SUM(T11:U11*T24:U24)+T34)/T32</f>
        <v>0.29754225939929219</v>
      </c>
      <c r="V44" s="193">
        <f>(SUM(V11:W11*V24:W24)+V34)/V32</f>
        <v>0.29754225988275429</v>
      </c>
      <c r="X44" s="193">
        <f>(SUM(X11:Y11*X24:Y24)+X34)/X32</f>
        <v>0.2975422623262296</v>
      </c>
      <c r="Z44" s="193">
        <f>(SUM(Z11:AA11*Z24:AA24)+Z34)/Z32</f>
        <v>0.29754226016166901</v>
      </c>
      <c r="AB44" s="193">
        <f>(SUM(AB11:AC11*AB24:AC24)+AB34)/AB32</f>
        <v>0.29754226085475088</v>
      </c>
      <c r="AD44" s="193">
        <f>(SUM(AD11:AE11*AD24:AE24)+AD34)/AD32</f>
        <v>0.29754226216201074</v>
      </c>
      <c r="AF44" s="193">
        <f>(SUM(AF11:AG11*AF24:AG24)+AF34)/AF32</f>
        <v>0.29754226195736649</v>
      </c>
      <c r="AH44" s="193">
        <f>(SUM(AH11:AI11*AH24:AI24)+AH34)/AH32</f>
        <v>0.29754226173347609</v>
      </c>
      <c r="AJ44" s="193">
        <f>(SUM(AJ11:AK11*AJ24:AK24)+AJ34)/AJ32</f>
        <v>0.29754226194999261</v>
      </c>
      <c r="AL44" s="193">
        <f>(SUM(AL11:AM11*AL24:AM24)+AL34)/AL32</f>
        <v>0.29754226190766409</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0.22038438844775837</v>
      </c>
      <c r="F45" s="193">
        <f>SUM(F11:G11*F24:G24)/F32</f>
        <v>0.22038438846949673</v>
      </c>
      <c r="H45" s="193">
        <f>SUM(H11:I11*H24:I24)/H32</f>
        <v>0.2203843885167521</v>
      </c>
      <c r="J45" s="193">
        <f>SUM(J11:K11*J24:K24)/J32</f>
        <v>0.22038438821187156</v>
      </c>
      <c r="L45" s="193">
        <f>SUM(L11:M11*L24:M24)/L32</f>
        <v>0.22038438831526325</v>
      </c>
      <c r="N45" s="193">
        <f>SUM(N11:O11*N24:O24)/N32</f>
        <v>0.22038438829816193</v>
      </c>
      <c r="P45" s="193">
        <f>SUM(P11:Q11*P24:Q24)/P32</f>
        <v>0.22038438827965312</v>
      </c>
      <c r="R45" s="193">
        <f>SUM(R11:S11*R24:S24)/R32</f>
        <v>0.22038438833194943</v>
      </c>
      <c r="T45" s="193">
        <f>SUM(T11:U11*T24:U24)/T32</f>
        <v>0.22038438832090027</v>
      </c>
      <c r="V45" s="193">
        <f>SUM(V11:W11*V24:W24)/V32</f>
        <v>0.22038438832418208</v>
      </c>
      <c r="X45" s="193">
        <f>SUM(X11:Y11*X24:Y24)/X32</f>
        <v>0.22038438837296609</v>
      </c>
      <c r="Z45" s="193">
        <f>SUM(Z11:AA11*Z24:AA24)/Z32</f>
        <v>0.22038438835425578</v>
      </c>
      <c r="AB45" s="193">
        <f>SUM(AB11:AC11*AB24:AC24)/AB32</f>
        <v>0.22038438832435159</v>
      </c>
      <c r="AD45" s="193">
        <f>SUM(AD11:AE11*AD24:AE24)/AD32</f>
        <v>0.22038438833582089</v>
      </c>
      <c r="AF45" s="193">
        <f>SUM(AF11:AG11*AF24:AG24)/AF32</f>
        <v>0.22038438833262536</v>
      </c>
      <c r="AH45" s="193">
        <f>SUM(AH11:AI11*AH24:AI24)/AH32</f>
        <v>0.22038438833422483</v>
      </c>
      <c r="AJ45" s="193">
        <f>SUM(AJ11:AK11*AJ24:AK24)/AJ32</f>
        <v>0.22038438833185575</v>
      </c>
      <c r="AL45" s="193">
        <f>SUM(AL11:AM11*AL24:AM24)/AL32</f>
        <v>0.22038438833195151</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7.7157860676877243E-2</v>
      </c>
      <c r="F46" s="193">
        <f>F34/F32</f>
        <v>7.7157858976326238E-2</v>
      </c>
      <c r="H46" s="193">
        <f>H34/H32</f>
        <v>7.7157854633390727E-2</v>
      </c>
      <c r="J46" s="193">
        <f>J34/J32</f>
        <v>7.7157842292937817E-2</v>
      </c>
      <c r="L46" s="193">
        <f>L34/L32</f>
        <v>7.7157872784572312E-2</v>
      </c>
      <c r="N46" s="193">
        <f>N34/N32</f>
        <v>7.7157872033113931E-2</v>
      </c>
      <c r="P46" s="193">
        <f>P34/P32</f>
        <v>7.715787123105336E-2</v>
      </c>
      <c r="R46" s="193">
        <f>R34/R32</f>
        <v>7.7157873507676777E-2</v>
      </c>
      <c r="T46" s="193">
        <f>T34/T32</f>
        <v>7.7157871078391962E-2</v>
      </c>
      <c r="V46" s="193">
        <f>V34/V32</f>
        <v>7.7157871558572219E-2</v>
      </c>
      <c r="X46" s="193">
        <f>X34/X32</f>
        <v>7.7157873953263512E-2</v>
      </c>
      <c r="Z46" s="193">
        <f>Z34/Z32</f>
        <v>7.715787180741325E-2</v>
      </c>
      <c r="AB46" s="193">
        <f>AB34/AB32</f>
        <v>7.7157872530399282E-2</v>
      </c>
      <c r="AD46" s="193">
        <f>AD34/AD32</f>
        <v>7.7157873826189882E-2</v>
      </c>
      <c r="AF46" s="193">
        <f>AF34/AF32</f>
        <v>7.7157873624741163E-2</v>
      </c>
      <c r="AH46" s="193">
        <f>AH34/AH32</f>
        <v>7.7157873399251287E-2</v>
      </c>
      <c r="AJ46" s="193">
        <f>AJ34/AJ32</f>
        <v>7.7157873618136849E-2</v>
      </c>
      <c r="AL46" s="193">
        <f>AL34/AL32</f>
        <v>7.7157873575712577E-2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1.0016182151585857</v>
      </c>
      <c r="E48" s="191"/>
      <c r="F48" s="191">
        <f>F24/$B$24</f>
        <v>1.0031300891490913</v>
      </c>
      <c r="G48" s="191"/>
      <c r="H48" s="191">
        <f>H24/$B$24</f>
        <v>1.0045184725032048</v>
      </c>
      <c r="I48" s="191"/>
      <c r="J48" s="191">
        <f>J24/$B$24</f>
        <v>1.0057623004427458</v>
      </c>
      <c r="K48" s="191"/>
      <c r="L48" s="191">
        <f>L24/$B$24</f>
        <v>1.0068350694200168</v>
      </c>
      <c r="M48" s="191"/>
      <c r="N48" s="191">
        <f>N24/$B$24</f>
        <v>1.0077036312457279</v>
      </c>
      <c r="O48" s="191"/>
      <c r="P48" s="191">
        <f>P24/$B$24</f>
        <v>1.0083253666601852</v>
      </c>
      <c r="Q48" s="191"/>
      <c r="R48" s="191">
        <f>R24/$B$24</f>
        <v>1.0086448457002053</v>
      </c>
      <c r="S48" s="191"/>
      <c r="T48" s="191">
        <f>T24/$B$24</f>
        <v>1.0085886533907717</v>
      </c>
      <c r="U48" s="191"/>
      <c r="V48" s="191">
        <f>V24/$B$24</f>
        <v>1.0080570967083236</v>
      </c>
      <c r="W48" s="191"/>
      <c r="X48" s="191">
        <f>X24/$B$24</f>
        <v>1.0069110073665919</v>
      </c>
      <c r="Y48" s="191"/>
      <c r="Z48" s="191">
        <f>Z24/$B$24</f>
        <v>1.0049487775380876</v>
      </c>
      <c r="AA48" s="191"/>
      <c r="AB48" s="191">
        <f>AB24/$B$24</f>
        <v>1.0018630606735788</v>
      </c>
      <c r="AC48" s="191"/>
      <c r="AD48" s="191">
        <f>AD24/$B$24</f>
        <v>0.99715079888272173</v>
      </c>
      <c r="AE48" s="191"/>
      <c r="AF48" s="191">
        <f>AF24/$B$24</f>
        <v>0.98989907387754983</v>
      </c>
      <c r="AG48" s="191"/>
      <c r="AH48" s="191">
        <f>AH24/$B$24</f>
        <v>0.97819948588174355</v>
      </c>
      <c r="AI48" s="191"/>
      <c r="AJ48" s="191">
        <f>AJ24/$B$24</f>
        <v>0.95736500562841853</v>
      </c>
      <c r="AK48" s="191"/>
      <c r="AL48" s="191">
        <f>AL24/$B$24</f>
        <v>0.91381072259834739</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1.0041018036751326</v>
      </c>
      <c r="E49" s="191"/>
      <c r="F49" s="191">
        <f>F13/F35/$B$13*$B$35</f>
        <v>1.0079309422575704</v>
      </c>
      <c r="G49" s="191"/>
      <c r="H49" s="191">
        <f>H13/H35/$B$13*$B$35</f>
        <v>1.0114415047646488</v>
      </c>
      <c r="I49" s="191"/>
      <c r="J49" s="191">
        <f>J13/J35/$B$13*$B$35</f>
        <v>1.014575680960544</v>
      </c>
      <c r="K49" s="191"/>
      <c r="L49" s="191">
        <f>L13/L35/$B$13*$B$35</f>
        <v>1.0172598301543014</v>
      </c>
      <c r="M49" s="191"/>
      <c r="N49" s="191">
        <f>N13/N35/$B$13*$B$35</f>
        <v>1.0193990465189884</v>
      </c>
      <c r="O49" s="191"/>
      <c r="P49" s="191">
        <f>P13/P35/$B$13*$B$35</f>
        <v>1.0208693172227061</v>
      </c>
      <c r="Q49" s="191"/>
      <c r="R49" s="191">
        <f>R13/R35/$B$13*$B$35</f>
        <v>1.0215058923799829</v>
      </c>
      <c r="S49" s="191"/>
      <c r="T49" s="191">
        <f>T13/T35/$B$13*$B$35</f>
        <v>1.0210854219435319</v>
      </c>
      <c r="U49" s="191"/>
      <c r="V49" s="191">
        <f>V13/V35/$B$13*$B$35</f>
        <v>1.0192978544984173</v>
      </c>
      <c r="W49" s="191"/>
      <c r="X49" s="191">
        <f>X13/X35/$B$13*$B$35</f>
        <v>1.0156990246004729</v>
      </c>
      <c r="Y49" s="191"/>
      <c r="Z49" s="191">
        <f>Z13/Z35/$B$13*$B$35</f>
        <v>1.0096265937964783</v>
      </c>
      <c r="AA49" s="191"/>
      <c r="AB49" s="191">
        <f>AB13/AB35/$B$13*$B$35</f>
        <v>1.0000390076435774</v>
      </c>
      <c r="AC49" s="191"/>
      <c r="AD49" s="191">
        <f>AD13/AD35/$B$13*$B$35</f>
        <v>0.98518127835562852</v>
      </c>
      <c r="AE49" s="191"/>
      <c r="AF49" s="191">
        <f>AF13/AF35/$B$13*$B$35</f>
        <v>0.96183602094553222</v>
      </c>
      <c r="AG49" s="191"/>
      <c r="AH49" s="191">
        <f>AH13/AH35/$B$13*$B$35</f>
        <v>0.92358216744079225</v>
      </c>
      <c r="AI49" s="191"/>
      <c r="AJ49" s="191">
        <f>AJ13/AJ35/$B$13*$B$35</f>
        <v>0.85701682037844484</v>
      </c>
      <c r="AK49" s="191"/>
      <c r="AL49" s="191">
        <f>AL13/AL35/$B$13*$B$35</f>
        <v>0.73496375952051585</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-326774.15101707866</v>
      </c>
      <c r="F51" s="29">
        <f>F30-F10*F23</f>
        <v>-245435.33833347959</v>
      </c>
      <c r="H51" s="29">
        <f>H30-H10*H23</f>
        <v>-161451.52882153587</v>
      </c>
      <c r="J51" s="29">
        <f>J30-J10*J23</f>
        <v>-74373.357033502311</v>
      </c>
      <c r="L51" s="29">
        <f>L30-L10*L23</f>
        <v>16353.859089549631</v>
      </c>
      <c r="N51" s="29">
        <f>N30-N10*N23</f>
        <v>111434.21567308251</v>
      </c>
      <c r="P51" s="29">
        <f>P30-P10*P23</f>
        <v>211774.37940828269</v>
      </c>
      <c r="R51" s="29">
        <f>R30-R10*R23</f>
        <v>318583.63803901896</v>
      </c>
      <c r="T51" s="29">
        <f>T30-T10*T23</f>
        <v>433529.44048283529</v>
      </c>
      <c r="V51" s="29">
        <f>V30-V10*V23</f>
        <v>559003.66718739131</v>
      </c>
      <c r="X51" s="29">
        <f>X30-X10*X23</f>
        <v>698595.55909072421</v>
      </c>
      <c r="Z51" s="29">
        <f>Z30-Z10*Z23</f>
        <v>857960.7425712957</v>
      </c>
      <c r="AB51" s="29">
        <f>AB30-AB10*AB23</f>
        <v>1046480.068829298</v>
      </c>
      <c r="AD51" s="29">
        <f>AD30-AD10*AD23</f>
        <v>1280482.8455687161</v>
      </c>
      <c r="AF51" s="29">
        <f>AF30-AF10*AF23</f>
        <v>1589335.7150052846</v>
      </c>
      <c r="AH51" s="29">
        <f>AH30-AH10*AH23</f>
        <v>2025403.8053542222</v>
      </c>
      <c r="AJ51" s="29">
        <f>AJ30-AJ10*AJ23</f>
        <v>2675383.3771655331</v>
      </c>
      <c r="AL51" s="29">
        <f>AL30-AL10*AL23</f>
        <v>3671983.7491590222</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2062433.1523278602</v>
      </c>
      <c r="F52" s="29">
        <f t="array" ref="F52">Calibration!sL*SUM(F13:G13*F26:G26)</f>
        <v>2075652.2397367842</v>
      </c>
      <c r="H52" s="29">
        <f t="array" ref="H52">Calibration!sL*SUM(H13:I13*H26:I26)</f>
        <v>2088913.6153344789</v>
      </c>
      <c r="J52" s="29">
        <f t="array" ref="J52">Calibration!sL*SUM(J13:K13*J26:K26)</f>
        <v>2102227.7680100687</v>
      </c>
      <c r="L52" s="29">
        <f t="array" ref="L52">Calibration!sL*SUM(L13:M13*L26:M26)</f>
        <v>2115608.8152193492</v>
      </c>
      <c r="N52" s="29">
        <f t="array" ref="N52">Calibration!sL*SUM(N13:O13*N26:O26)</f>
        <v>2129077.9129939401</v>
      </c>
      <c r="P52" s="29">
        <f t="array" ref="P52">Calibration!sL*SUM(P13:Q13*P26:Q26)</f>
        <v>2142668.5986206061</v>
      </c>
      <c r="R52" s="29">
        <f t="array" ref="R52">Calibration!sL*SUM(R13:S13*R26:S26)</f>
        <v>2156437.5697086188</v>
      </c>
      <c r="T52" s="29">
        <f t="array" ref="T52">Calibration!sL*SUM(T13:U13*T26:U26)</f>
        <v>2170483.7124599945</v>
      </c>
      <c r="V52" s="29">
        <f t="array" ref="V52">Calibration!sL*SUM(V13:W13*V26:W26)</f>
        <v>2184984.4859255343</v>
      </c>
      <c r="X52" s="29">
        <f t="array" ref="X52">Calibration!sL*SUM(X13:Y13*X26:Y26)</f>
        <v>2200263.8730274709</v>
      </c>
      <c r="Z52" s="29">
        <f t="array" ref="Z52">Calibration!sL*SUM(Z13:AA13*Z26:AA26)</f>
        <v>2216923.0258090277</v>
      </c>
      <c r="AB52" s="29">
        <f t="array" ref="AB52">Calibration!sL*SUM(AB13:AC13*AB26:AC26)</f>
        <v>2236091.0108015207</v>
      </c>
      <c r="AD52" s="29">
        <f t="array" ref="AD52">Calibration!sL*SUM(AD13:AE13*AD26:AE26)</f>
        <v>2259890.1807816299</v>
      </c>
      <c r="AF52" s="29">
        <f t="array" ref="AF52">Calibration!sL*SUM(AF13:AG13*AF26:AG26)</f>
        <v>2292171.9823891264</v>
      </c>
      <c r="AH52" s="29">
        <f t="array" ref="AH52">Calibration!sL*SUM(AH13:AI13*AH26:AI26)</f>
        <v>2338996.4463185268</v>
      </c>
      <c r="AJ52" s="29">
        <f t="array" ref="AJ52">Calibration!sL*SUM(AJ13:AK13*AJ26:AK26)</f>
        <v>2405993.6506268866</v>
      </c>
      <c r="AL52" s="29">
        <f t="array" ref="AL52">Calibration!sL*SUM(AL13:AM13*AL26:AM26)</f>
        <v>2485192.8312014206</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2740714.4444297217</v>
      </c>
      <c r="D53" s="29">
        <f t="array" ref="D53">Calibration!sK*SUM(D15:E15*D27:E27)</f>
        <v>2696134.8090790403</v>
      </c>
      <c r="F53" s="29">
        <f t="array" ref="F53">Calibration!sK*SUM(F15:G15*F27:G27)</f>
        <v>2649862.3832601337</v>
      </c>
      <c r="H53" s="29">
        <f t="array" ref="H53">Calibration!sK*SUM(H15:I15*H27:I27)</f>
        <v>2601625.4571025539</v>
      </c>
      <c r="J53" s="29">
        <f t="array" ref="J53">Calibration!sK*SUM(J15:K15*J27:K27)</f>
        <v>2551094.0213530357</v>
      </c>
      <c r="L53" s="29">
        <f t="array" ref="L53">Calibration!sK*SUM(L15:M15*L27:M27)</f>
        <v>2497861.8025497557</v>
      </c>
      <c r="N53" s="29">
        <f t="array" ref="N53">Calibration!sK*SUM(N15:O15*N27:O27)</f>
        <v>2441418.7275963263</v>
      </c>
      <c r="P53" s="29">
        <f t="array" ref="P53">Calibration!sK*SUM(P15:Q15*P27:Q27)</f>
        <v>2381113.390134268</v>
      </c>
      <c r="R53" s="29">
        <f t="array" ref="R53">Calibration!sK*SUM(R15:S15*R27:S27)</f>
        <v>2316091.7076300755</v>
      </c>
      <c r="T53" s="29">
        <f t="array" ref="T53">Calibration!sK*SUM(T15:U15*T27:U27)</f>
        <v>2245201.3045606809</v>
      </c>
      <c r="V53" s="29">
        <f t="array" ref="V53">Calibration!sK*SUM(V15:W15*V27:W27)</f>
        <v>2166830.5228480618</v>
      </c>
      <c r="X53" s="29">
        <f t="array" ref="X53">Calibration!sK*SUM(X15:Y15*X27:Y27)</f>
        <v>2078629.8859349987</v>
      </c>
      <c r="Z53" s="29">
        <f t="array" ref="Z53">Calibration!sK*SUM(Z15:AA15*Z27:AA27)</f>
        <v>1977004.6219626754</v>
      </c>
      <c r="AB53" s="29">
        <f t="array" ref="AB53">Calibration!sK*SUM(AB15:AC15*AB27:AC27)</f>
        <v>1856148.6209818388</v>
      </c>
      <c r="AD53" s="29">
        <f t="array" ref="AD53">Calibration!sK*SUM(AD15:AE15*AD27:AE27)</f>
        <v>1706142.0572919922</v>
      </c>
      <c r="AF53" s="29">
        <f t="array" ref="AF53">Calibration!sK*SUM(AF15:AG15*AF27:AG27)</f>
        <v>1509185.4685920179</v>
      </c>
      <c r="AH53" s="29">
        <f t="array" ref="AH53">Calibration!sK*SUM(AH15:AI15*AH27:AI27)</f>
        <v>1232581.6898590145</v>
      </c>
      <c r="AJ53" s="29">
        <f t="array" ref="AJ53">Calibration!sK*SUM(AJ15:AK15*AJ27:AK27)</f>
        <v>816972.34198306152</v>
      </c>
      <c r="AL53" s="29">
        <f t="array" ref="AL53">Calibration!sK*SUM(AL15:AM15*AL27:AM27)</f>
        <v>151811.47929614814</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0.20387448074979778</v>
      </c>
      <c r="F55" s="193">
        <f>F30/F32</f>
        <v>0.20939512098257471</v>
      </c>
      <c r="H55" s="193">
        <f>H30/H32</f>
        <v>0.21509203914605421</v>
      </c>
      <c r="J55" s="193">
        <f>J30/J32</f>
        <v>0.22099869774812478</v>
      </c>
      <c r="L55" s="193">
        <f>L30/L32</f>
        <v>0.22715667836961337</v>
      </c>
      <c r="N55" s="193">
        <f>N30/N32</f>
        <v>0.23361906859529341</v>
      </c>
      <c r="P55" s="193">
        <f>P30/P32</f>
        <v>0.24045463938229153</v>
      </c>
      <c r="R55" s="193">
        <f>R30/R32</f>
        <v>0.2477554932273808</v>
      </c>
      <c r="T55" s="193">
        <f>T30/T32</f>
        <v>0.25564893716054538</v>
      </c>
      <c r="V55" s="193">
        <f>V30/V32</f>
        <v>0.26431766415438362</v>
      </c>
      <c r="X55" s="193">
        <f>X30/X32</f>
        <v>0.27403538241918335</v>
      </c>
      <c r="Z55" s="193">
        <f>Z30/Z32</f>
        <v>0.28523209839651892</v>
      </c>
      <c r="AB55" s="193">
        <f>AB30/AB32</f>
        <v>0.298618954195913</v>
      </c>
      <c r="AD55" s="193">
        <f>AD30/AD32</f>
        <v>0.31543368102031655</v>
      </c>
      <c r="AF55" s="193">
        <f>AF30/AF32</f>
        <v>0.33792233158192553</v>
      </c>
      <c r="AH55" s="193">
        <f>AH30/AH32</f>
        <v>0.3702332375153557</v>
      </c>
      <c r="AJ55" s="193">
        <f>AJ30/AJ32</f>
        <v>0.42005029169648583</v>
      </c>
      <c r="AL55" s="193">
        <f>AL30/AL32</f>
        <v>0.50353809356096457</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3.3695360752501111E-2</v>
      </c>
      <c r="F56" s="193">
        <f>(Model!$C$52*F5*F20+F2*G5*G20)/F32</f>
        <v>3.8292178335758847E-2</v>
      </c>
      <c r="H56" s="193">
        <f>(Model!$C$52*H5*H20+H2*I5*I20)/H32</f>
        <v>4.3034309760898642E-2</v>
      </c>
      <c r="J56" s="193">
        <f>(Model!$C$52*J5*J20+J2*K5*K20)/J32</f>
        <v>4.7949422840150781E-2</v>
      </c>
      <c r="L56" s="193">
        <f>(Model!$C$52*L5*L20+L2*M5*M20)/L32</f>
        <v>5.3071840235144566E-2</v>
      </c>
      <c r="N56" s="193">
        <f>(Model!$C$52*N5*N20+N2*O5*O20)/N32</f>
        <v>5.8445449096160486E-2</v>
      </c>
      <c r="P56" s="193">
        <f>(Model!$C$52*P5*P20+P2*Q5*Q20)/P32</f>
        <v>6.4127002040023154E-2</v>
      </c>
      <c r="R56" s="193">
        <f>(Model!$C$52*R5*R20+R2*S5*S20)/R32</f>
        <v>7.019245588431737E-2</v>
      </c>
      <c r="T56" s="193">
        <f>(Model!$C$52*T5*T20+T2*U5*U20)/T32</f>
        <v>7.6746733497852659E-2</v>
      </c>
      <c r="V56" s="193">
        <f>(Model!$C$52*V5*V20+V2*W5*W20)/V32</f>
        <v>8.3940197428427163E-2</v>
      </c>
      <c r="X56" s="193">
        <f>(Model!$C$52*X5*X20+X2*Y5*Y20)/X32</f>
        <v>9.1997857682902806E-2</v>
      </c>
      <c r="Z56" s="193">
        <f>(Model!$C$52*Z5*Z20+Z2*AA5*AA20)/Z32</f>
        <v>0.10127277399094749</v>
      </c>
      <c r="AB56" s="193">
        <f>(Model!$C$52*AB5*AB20+AB2*AC5*AC20)/AB32</f>
        <v>0.11234811438128263</v>
      </c>
      <c r="AD56" s="193">
        <f>(Model!$C$52*AD5*AD20+AD2*AE5*AE20)/AD32</f>
        <v>0.12623783913925046</v>
      </c>
      <c r="AF56" s="193">
        <f>(Model!$C$52*AF5*AF20+AF2*AG5*AG20)/AF32</f>
        <v>0.14478054967539747</v>
      </c>
      <c r="AH56" s="193">
        <f>(Model!$C$52*AH5*AH20+AH2*AI5*AI20)/AH32</f>
        <v>0.17137102295384898</v>
      </c>
      <c r="AJ56" s="193">
        <f>(Model!$C$52*AJ5*AJ20+AJ2*AK5*AK20)/AJ32</f>
        <v>0.21229946375214048</v>
      </c>
      <c r="AL56" s="193">
        <f>(Model!$C$52*AL5*AL20+AL2*AM5*AM20)/AL32</f>
        <v>0.28080811074485129</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0.15950692738817815</v>
      </c>
      <c r="F57" s="193">
        <f t="array" ref="F57">SUM(Model!tauL*F13:G13*F26:G26)/F32</f>
        <v>0.16051214655630888</v>
      </c>
      <c r="H57" s="193">
        <f t="array" ref="H57">SUM(Model!tauL*H13:I13*H26:I26)/H32</f>
        <v>0.16154946225429972</v>
      </c>
      <c r="J57" s="193">
        <f t="array" ref="J57">SUM(Model!tauL*J13:K13*J26:K26)/J32</f>
        <v>0.16262495916807346</v>
      </c>
      <c r="L57" s="193">
        <f t="array" ref="L57">SUM(Model!tauL*L13:M13*L26:M26)/L32</f>
        <v>0.16374624065124299</v>
      </c>
      <c r="N57" s="193">
        <f t="array" ref="N57">SUM(Model!tauL*N13:O13*N26:O26)/N32</f>
        <v>0.16492293547550094</v>
      </c>
      <c r="P57" s="193">
        <f t="array" ref="P57">SUM(Model!tauL*P13:Q13*P26:Q26)/P32</f>
        <v>0.16616758053183006</v>
      </c>
      <c r="R57" s="193">
        <f t="array" ref="R57">SUM(Model!tauL*R13:S13*R26:S26)/R32</f>
        <v>0.16749695593046957</v>
      </c>
      <c r="T57" s="193">
        <f t="array" ref="T57">SUM(Model!tauL*T13:U13*T26:U26)/T32</f>
        <v>0.16893422397352242</v>
      </c>
      <c r="V57" s="193">
        <f t="array" ref="V57">SUM(Model!tauL*V13:W13*V26:W26)/V32</f>
        <v>0.1705126599604872</v>
      </c>
      <c r="X57" s="193">
        <f t="array" ref="X57">SUM(Model!tauL*X13:Y13*X26:Y26)/X32</f>
        <v>0.17228210131310079</v>
      </c>
      <c r="Y57" s="193"/>
      <c r="Z57" s="193">
        <f t="array" ref="Z57">SUM(Model!tauL*Z13:AA13*Z26:AA26)/Z32</f>
        <v>0.17432084062154521</v>
      </c>
      <c r="AB57" s="193">
        <f t="array" ref="AB57">SUM(Model!tauL*AB13:AC13*AB26:AC26)/AB32</f>
        <v>0.17675837303520375</v>
      </c>
      <c r="AD57" s="193">
        <f t="array" ref="AD57">SUM(Model!tauL*AD13:AE13*AD26:AE26)/AD32</f>
        <v>0.17982006494368619</v>
      </c>
      <c r="AF57" s="193">
        <f t="array" ref="AF57">SUM(Model!tauL*AF13:AG13*AF26:AG26)/AF32</f>
        <v>0.18391488644238349</v>
      </c>
      <c r="AH57" s="193">
        <f t="array" ref="AH57">SUM(Model!tauL*AH13:AI13*AH26:AI26)/AH32</f>
        <v>0.18979818214903982</v>
      </c>
      <c r="AJ57" s="193">
        <f t="array" ref="AJ57">SUM(Model!tauL*AJ13:AK13*AJ26:AK26)/AJ32</f>
        <v>0.19886906643630739</v>
      </c>
      <c r="AL57" s="193">
        <f t="array" ref="AL57">SUM(Model!tauL*AL13:AM13*AL26:AM26)/AL32</f>
        <v>0.21407085224760508</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1.067219260911853E-2</v>
      </c>
      <c r="F58" s="193">
        <f t="array" ref="F58">SUM(Model!tauY/(1+Model!tauY)*F3:G3*F18:G18)/F32</f>
        <v>1.0590796090506959E-2</v>
      </c>
      <c r="H58" s="193">
        <f t="array" ref="H58">SUM(Model!tauY/(1+Model!tauY)*H3:I3*H18:I18)/H32</f>
        <v>1.0508267130855842E-2</v>
      </c>
      <c r="J58" s="193">
        <f t="array" ref="J58">SUM(Model!tauY/(1+Model!tauY)*J3:K3*J18:K18)/J32</f>
        <v>1.0424315739900518E-2</v>
      </c>
      <c r="L58" s="193">
        <f t="array" ref="L58">SUM(Model!tauY/(1+Model!tauY)*L3:M3*L18:M18)/L32</f>
        <v>1.0338597483225789E-2</v>
      </c>
      <c r="N58" s="193">
        <f t="array" ref="N58">SUM(Model!tauY/(1+Model!tauY)*N3:O3*N18:O18)/N32</f>
        <v>1.0250684023632007E-2</v>
      </c>
      <c r="P58" s="193">
        <f t="array" ref="P58">SUM(Model!tauY/(1+Model!tauY)*P3:Q3*P18:Q18)/P32</f>
        <v>1.0160056810438349E-2</v>
      </c>
      <c r="R58" s="193">
        <f t="array" ref="R58">SUM(Model!tauY/(1+Model!tauY)*R3:S3*R18:S18)/R32</f>
        <v>1.0066081412593852E-2</v>
      </c>
      <c r="T58" s="193">
        <f t="array" ref="T58">SUM(Model!tauY/(1+Model!tauY)*T3:U3*T18:U18)/T32</f>
        <v>9.9679796891703424E-3</v>
      </c>
      <c r="V58" s="193">
        <f t="array" ref="V58">SUM(Model!tauY/(1+Model!tauY)*V3:W3*V18:W18)/V32</f>
        <v>9.8648067654692698E-3</v>
      </c>
      <c r="X58" s="193">
        <f t="array" ref="X58">SUM(Model!tauY/(1+Model!tauY)*X3:Y3*X18:Y18)/X32</f>
        <v>9.7554234231797335E-3</v>
      </c>
      <c r="Y58" s="193"/>
      <c r="Z58" s="193">
        <f t="array" ref="Z58">SUM(Model!tauY/(1+Model!tauY)*Z3:AA3*Z18:AA18)/Z32</f>
        <v>9.6384837840262326E-3</v>
      </c>
      <c r="AB58" s="193">
        <f t="array" ref="AB58">SUM(Model!tauY/(1+Model!tauY)*AB3:AC3*AB18:AC18)/AB32</f>
        <v>9.5124667794266142E-3</v>
      </c>
      <c r="AD58" s="193">
        <f t="array" ref="AD58">SUM(Model!tauY/(1+Model!tauY)*AD3:AE3*AD18:AE18)/AD32</f>
        <v>9.375776937379867E-3</v>
      </c>
      <c r="AF58" s="193">
        <f t="array" ref="AF58">SUM(Model!tauY/(1+Model!tauY)*AF3:AG3*AF18:AG18)/AF32</f>
        <v>9.2268954641445879E-3</v>
      </c>
      <c r="AH58" s="193">
        <f t="array" ref="AH58">SUM(Model!tauY/(1+Model!tauY)*AH3:AI3*AH18:AI18)/AH32</f>
        <v>9.0640324124668849E-3</v>
      </c>
      <c r="AJ58" s="193">
        <f t="array" ref="AJ58">SUM(Model!tauY/(1+Model!tauY)*AJ3:AK3*AJ18:AK18)/AJ32</f>
        <v>8.8817615080379417E-3</v>
      </c>
      <c r="AL58" s="193">
        <f t="array" ref="AL58">SUM(Model!tauY/(1+Model!tauY)*AL3:AM3*AL18:AM18)/AL32</f>
        <v>8.6591305685082259E-3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5.0751687209712E-3</v>
      </c>
      <c r="F59" s="193">
        <f>(F2*G5*G20)/F32</f>
        <v>9.7225267302025933E-3</v>
      </c>
      <c r="H59" s="193">
        <f>(H2*I5*I20)/H32</f>
        <v>1.4516682898844353E-2</v>
      </c>
      <c r="J59" s="193">
        <f>(J2*K5*K20)/J32</f>
        <v>1.9485568010478953E-2</v>
      </c>
      <c r="L59" s="193">
        <f>(L2*M5*M20)/L32</f>
        <v>2.4663824527210172E-2</v>
      </c>
      <c r="N59" s="193">
        <f>(N2*O5*O20)/N32</f>
        <v>3.0095747435611345E-2</v>
      </c>
      <c r="P59" s="193">
        <f>(P2*Q5*Q20)/P32</f>
        <v>3.583860998891223E-2</v>
      </c>
      <c r="R59" s="193">
        <f>(R2*S5*S20)/R32</f>
        <v>4.1969058894155954E-2</v>
      </c>
      <c r="T59" s="193">
        <f>(T2*U5*U20)/T32</f>
        <v>4.8592962134296085E-2</v>
      </c>
      <c r="V59" s="193">
        <f>(V2*W5*W20)/V32</f>
        <v>5.5862024852032406E-2</v>
      </c>
      <c r="X59" s="193">
        <f>(X2*Y5*Y20)/X32</f>
        <v>6.4003251799995553E-2</v>
      </c>
      <c r="Z59" s="193">
        <f>(Z2*AA5*AA20)/Z32</f>
        <v>7.3372812258211503E-2</v>
      </c>
      <c r="AB59" s="193">
        <f>(AB2*AC5*AC20)/AB32</f>
        <v>8.455896847470161E-2</v>
      </c>
      <c r="AD59" s="193">
        <f>(AD2*AE5*AE20)/AD32</f>
        <v>9.8584425442509796E-2</v>
      </c>
      <c r="AF59" s="193">
        <f>(AF2*AG5*AG20)/AF32</f>
        <v>0.11730324052533043</v>
      </c>
      <c r="AH59" s="193">
        <f>(AH2*AI5*AI20)/AH32</f>
        <v>0.14413715603725241</v>
      </c>
      <c r="AJ59" s="193">
        <f>(AJ2*AK5*AK20)/AJ32</f>
        <v>0.18542057871526893</v>
      </c>
      <c r="AL59" s="193">
        <f>(AL2*AM5*AM20)/AL32</f>
        <v>0.25447214748952746</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2.862019203152991E-2</v>
      </c>
      <c r="F60" s="193">
        <f>Model!$C$52*F5*F20/F32</f>
        <v>2.8569651605556259E-2</v>
      </c>
      <c r="H60" s="193">
        <f>Model!$C$52*H5*H20/H32</f>
        <v>2.8517626862054293E-2</v>
      </c>
      <c r="J60" s="193">
        <f>Model!$C$52*J5*J20/J32</f>
        <v>2.8463854829671821E-2</v>
      </c>
      <c r="L60" s="193">
        <f>Model!$C$52*L5*L20/L32</f>
        <v>2.8408015707934393E-2</v>
      </c>
      <c r="N60" s="193">
        <f>Model!$C$52*N5*N20/N32</f>
        <v>2.8349701660549138E-2</v>
      </c>
      <c r="P60" s="193">
        <f>Model!$C$52*P5*P20/P32</f>
        <v>2.8288392051110917E-2</v>
      </c>
      <c r="R60" s="193">
        <f>Model!$C$52*R5*R20/R32</f>
        <v>2.8223396990161412E-2</v>
      </c>
      <c r="T60" s="193">
        <f>Model!$C$52*T5*T20/T32</f>
        <v>2.8153771363556564E-2</v>
      </c>
      <c r="V60" s="193">
        <f>Model!$C$52*V5*V20/V32</f>
        <v>2.8078172576394753E-2</v>
      </c>
      <c r="X60" s="193">
        <f>Model!$C$52*X5*X20/X32</f>
        <v>2.799460588290726E-2</v>
      </c>
      <c r="Z60" s="193">
        <f>Model!$C$52*Z5*Z20/Z32</f>
        <v>2.7899961732735994E-2</v>
      </c>
      <c r="AB60" s="193">
        <f>Model!$C$52*AB5*AB20/AB32</f>
        <v>2.7789145906581034E-2</v>
      </c>
      <c r="AD60" s="193">
        <f>Model!$C$52*AD5*AD20/AD32</f>
        <v>2.7653413696740667E-2</v>
      </c>
      <c r="AF60" s="193">
        <f>Model!$C$52*AF5*AF20/AF32</f>
        <v>2.747730915006703E-2</v>
      </c>
      <c r="AH60" s="193">
        <f>Model!$C$52*AH5*AH20/AH32</f>
        <v>2.7233866916596579E-2</v>
      </c>
      <c r="AJ60" s="193">
        <f>Model!$C$52*AJ5*AJ20/AJ32</f>
        <v>2.6878885036871577E-2</v>
      </c>
      <c r="AL60" s="193">
        <f>Model!$C$52*AL5*AL20/AL32</f>
        <v>2.6335963255323874E-2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1.0230752622864789</v>
      </c>
      <c r="F62">
        <f>F13/F15</f>
        <v>1.0476122744498972</v>
      </c>
      <c r="H62">
        <f>H13/H15</f>
        <v>1.0738534394472568</v>
      </c>
      <c r="J62">
        <f>J13/J15</f>
        <v>1.102104070144408</v>
      </c>
      <c r="L62">
        <f>L13/L15</f>
        <v>1.1327557308249556</v>
      </c>
      <c r="N62">
        <f>N13/N15</f>
        <v>1.1663223277610004</v>
      </c>
      <c r="P62">
        <f>P13/P15</f>
        <v>1.2034948446759337</v>
      </c>
      <c r="R62">
        <f>R13/R15</f>
        <v>1.2452324938366766</v>
      </c>
      <c r="T62">
        <f>T13/T15</f>
        <v>1.2929167205630423</v>
      </c>
      <c r="V62">
        <f>V13/V15</f>
        <v>1.3486297006159513</v>
      </c>
      <c r="X62">
        <f>X13/X15</f>
        <v>1.4156859032108873</v>
      </c>
      <c r="Z62">
        <f>Z13/Z15</f>
        <v>1.4997270887122505</v>
      </c>
      <c r="AB62">
        <f>AB13/AB15</f>
        <v>1.6111873210127066</v>
      </c>
      <c r="AD62">
        <f>AD13/AD15</f>
        <v>1.7715012101955709</v>
      </c>
      <c r="AF62">
        <f>AF13/AF15</f>
        <v>2.0312991735628758</v>
      </c>
      <c r="AH62">
        <f>AH13/AH15</f>
        <v>2.5379505543234928</v>
      </c>
      <c r="AJ62">
        <f>AJ13/AJ15</f>
        <v>3.9387319837914712</v>
      </c>
      <c r="AL62">
        <f>AL13/AL15</f>
        <v>21.89398352656173</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0.99876919178558432</v>
      </c>
      <c r="E65" s="191"/>
      <c r="F65" s="191">
        <f t="array" ref="F65">SQRT((F9:G9*$B$22:$C$22+F10:G10*$B$23:$C$23+F11:G11*$B$24:$C$24+F4:G4*($B$25:$C$25-$B$19:$C$19))/($B$9:$C$9*$B$22:$C$22+$B$10:$C$10*$B$23:$C$23+$B$11:$C$11*$B$24:$C$24+$B$4:$C$4*($B$25:$C$25-$B$19:$C$19))*(F9:G9*F22:G22+F10:G10*F23:G23+F11:G11*F24:G24+F4:G4*(F25:G25-F19:G19))/($B$9:$C$9*F22:G22+$B$10:$C$10*F23:G23+$B$11:$C$11*F24:G24+$B$4:$C$4*(F25:G25-F19:G19)))</f>
        <v>0.99749837375813688</v>
      </c>
      <c r="G65" s="191"/>
      <c r="H65" s="191">
        <f t="array" ref="H65">SQRT((H9:I9*$B$22:$C$22+H10:I10*$B$23:$C$23+H11:I11*$B$24:$C$24+H4:I4*($B$25:$C$25-$B$19:$C$19))/($B$9:$C$9*$B$22:$C$22+$B$10:$C$10*$B$23:$C$23+$B$11:$C$11*$B$24:$C$24+$B$4:$C$4*($B$25:$C$25-$B$19:$C$19))*(H9:I9*H22:I22+H10:I10*H23:I23+H11:I11*H24:I24+H4:I4*(H25:I25-H19:I19))/($B$9:$C$9*H22:I22+$B$10:$C$10*H23:I23+$B$11:$C$11*H24:I24+$B$4:$C$4*(H25:I25-H19:I19)))</f>
        <v>0.99618126450855526</v>
      </c>
      <c r="I65" s="191"/>
      <c r="J65" s="191">
        <f t="array" ref="J65">SQRT((J9:K9*$B$22:$C$22+J10:K10*$B$23:$C$23+J11:K11*$B$24:$C$24+J4:K4*($B$25:$C$25-$B$19:$C$19))/($B$9:$C$9*$B$22:$C$22+$B$10:$C$10*$B$23:$C$23+$B$11:$C$11*$B$24:$C$24+$B$4:$C$4*($B$25:$C$25-$B$19:$C$19))*(J9:K9*J22:K22+J10:K10*J23:K23+J11:K11*J24:K24+J4:K4*(J25:K25-J19:K19))/($B$9:$C$9*J22:K22+$B$10:$C$10*J23:K23+$B$11:$C$11*J24:K24+$B$4:$C$4*(J25:K25-J19:K19)))</f>
        <v>0.99481052161895278</v>
      </c>
      <c r="K65" s="191"/>
      <c r="L65" s="191">
        <f t="array" ref="L65">SQRT((L9:M9*$B$22:$C$22+L10:M10*$B$23:$C$23+L11:M11*$B$24:$C$24+L4:M4*($B$25:$C$25-$B$19:$C$19))/($B$9:$C$9*$B$22:$C$22+$B$10:$C$10*$B$23:$C$23+$B$11:$C$11*$B$24:$C$24+$B$4:$C$4*($B$25:$C$25-$B$19:$C$19))*(L9:M9*L22:M22+L10:M10*L23:M23+L11:M11*L24:M24+L4:M4*(L25:M25-L19:M19))/($B$9:$C$9*L22:M22+$B$10:$C$10*L23:M23+$B$11:$C$11*L24:M24+$B$4:$C$4*(L25:M25-L19:M19)))</f>
        <v>0.99337774851395921</v>
      </c>
      <c r="M65" s="191"/>
      <c r="N65" s="191">
        <f t="array" ref="N65">SQRT((N9:O9*$B$22:$C$22+N10:O10*$B$23:$C$23+N11:O11*$B$24:$C$24+N4:O4*($B$25:$C$25-$B$19:$C$19))/($B$9:$C$9*$B$22:$C$22+$B$10:$C$10*$B$23:$C$23+$B$11:$C$11*$B$24:$C$24+$B$4:$C$4*($B$25:$C$25-$B$19:$C$19))*(N9:O9*N22:O22+N10:O10*N23:O23+N11:O11*N24:O24+N4:O4*(N25:O25-N19:O19))/($B$9:$C$9*N22:O22+$B$10:$C$10*N23:O23+$B$11:$C$11*N24:O24+$B$4:$C$4*(N25:O25-N19:O19)))</f>
        <v>0.99187356849443498</v>
      </c>
      <c r="O65" s="191"/>
      <c r="P65" s="191">
        <f t="array" ref="P65">SQRT((P9:Q9*$B$22:$C$22+P10:Q10*$B$23:$C$23+P11:Q11*$B$24:$C$24+P4:Q4*($B$25:$C$25-$B$19:$C$19))/($B$9:$C$9*$B$22:$C$22+$B$10:$C$10*$B$23:$C$23+$B$11:$C$11*$B$24:$C$24+$B$4:$C$4*($B$25:$C$25-$B$19:$C$19))*(P9:Q9*P22:Q22+P10:Q10*P23:Q23+P11:Q11*P24:Q24+P4:Q4*(P25:Q25-P19:Q19))/($B$9:$C$9*P22:Q22+$B$10:$C$10*P23:Q23+$B$11:$C$11*P24:Q24+$B$4:$C$4*(P25:Q25-P19:Q19)))</f>
        <v>0.9902880637734065</v>
      </c>
      <c r="Q65" s="191"/>
      <c r="R65" s="191">
        <f t="array" ref="R65">SQRT((R9:S9*$B$22:$C$22+R10:S10*$B$23:$C$23+R11:S11*$B$24:$C$24+R4:S4*($B$25:$C$25-$B$19:$C$19))/($B$9:$C$9*$B$22:$C$22+$B$10:$C$10*$B$23:$C$23+$B$11:$C$11*$B$24:$C$24+$B$4:$C$4*($B$25:$C$25-$B$19:$C$19))*(R9:S9*R22:S22+R10:S10*R23:S23+R11:S11*R24:S24+R4:S4*(R25:S25-R19:S19))/($B$9:$C$9*R22:S22+$B$10:$C$10*R23:S23+$B$11:$C$11*R24:S24+$B$4:$C$4*(R25:S25-R19:S19)))</f>
        <v>0.98861172095518135</v>
      </c>
      <c r="S65" s="191"/>
      <c r="T65" s="191">
        <f t="array" ref="T65">SQRT((T9:U9*$B$22:$C$22+T10:U10*$B$23:$C$23+T11:U11*$B$24:$C$24+T4:U4*($B$25:$C$25-$B$19:$C$19))/($B$9:$C$9*$B$22:$C$22+$B$10:$C$10*$B$23:$C$23+$B$11:$C$11*$B$24:$C$24+$B$4:$C$4*($B$25:$C$25-$B$19:$C$19))*(T9:U9*T22:U22+T10:U10*T23:U23+T11:U11*T24:U24+T4:U4*(T25:U25-T19:U19))/($B$9:$C$9*T22:U22+$B$10:$C$10*T23:U23+$B$11:$C$11*T24:U24+$B$4:$C$4*(T25:U25-T19:U19)))</f>
        <v>0.98683747720113058</v>
      </c>
      <c r="U65" s="191"/>
      <c r="V65" s="191">
        <f t="array" ref="V65">SQRT((V9:W9*$B$22:$C$22+V10:W10*$B$23:$C$23+V11:W11*$B$24:$C$24+V4:W4*($B$25:$C$25-$B$19:$C$19))/($B$9:$C$9*$B$22:$C$22+$B$10:$C$10*$B$23:$C$23+$B$11:$C$11*$B$24:$C$24+$B$4:$C$4*($B$25:$C$25-$B$19:$C$19))*(V9:W9*V22:W22+V10:W10*V23:W23+V11:W11*V24:W24+V4:W4*(V25:W25-V19:W19))/($B$9:$C$9*V22:W22+$B$10:$C$10*V23:W23+$B$11:$C$11*V24:W24+$B$4:$C$4*(V25:W25-V19:W19)))</f>
        <v>0.98496483483851238</v>
      </c>
      <c r="W65" s="191"/>
      <c r="X65" s="191">
        <f t="array" ref="X65">SQRT((X9:Y9*$B$22:$C$22+X10:Y10*$B$23:$C$23+X11:Y11*$B$24:$C$24+X4:Y4*($B$25:$C$25-$B$19:$C$19))/($B$9:$C$9*$B$22:$C$22+$B$10:$C$10*$B$23:$C$23+$B$11:$C$11*$B$24:$C$24+$B$4:$C$4*($B$25:$C$25-$B$19:$C$19))*(X9:Y9*X22:Y22+X10:Y10*X23:Y23+X11:Y11*X24:Y24+X4:Y4*(X25:Y25-X19:Y19))/($B$9:$C$9*X22:Y22+$B$10:$C$10*X23:Y23+$B$11:$C$11*X24:Y24+$B$4:$C$4*(X25:Y25-X19:Y19)))</f>
        <v>0.98300802680273458</v>
      </c>
      <c r="Y65" s="191"/>
      <c r="Z65" s="191">
        <f t="array" ref="Z65">SQRT((Z9:AA9*$B$22:$C$22+Z10:AA10*$B$23:$C$23+Z11:AA11*$B$24:$C$24+Z4:AA4*($B$25:$C$25-$B$19:$C$19))/($B$9:$C$9*$B$22:$C$22+$B$10:$C$10*$B$23:$C$23+$B$11:$C$11*$B$24:$C$24+$B$4:$C$4*($B$25:$C$25-$B$19:$C$19))*(Z9:AA9*Z22:AA22+Z10:AA10*Z23:AA23+Z11:AA11*Z24:AA24+Z4:AA4*(Z25:AA25-Z19:AA19))/($B$9:$C$9*Z22:AA22+$B$10:$C$10*Z23:AA23+$B$11:$C$11*Z24:AA24+$B$4:$C$4*(Z25:AA25-Z19:AA19)))</f>
        <v>0.98101207179148242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0.97908393969956375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0.97745053328154619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0.97654964240585118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0.97708961352709844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0.97977884256842462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0.984426015830977</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0.99864667088418801</v>
      </c>
      <c r="E66" s="191"/>
      <c r="F66" s="191">
        <f t="array" ref="F66">SQRT((F9:G9*$B$22:$C$22)/($B$9:$C$9*$B$22:$C$22)*(F9:G9*F22:G22)/($B$9:$C$9*F22:G22))</f>
        <v>0.99724799774917816</v>
      </c>
      <c r="G66" s="191"/>
      <c r="H66" s="191">
        <f t="array" ref="H66">SQRT((H9:I9*$B$22:$C$22)/($B$9:$C$9*$B$22:$C$22)*(H9:I9*H22:I22)/($B$9:$C$9*H22:I22))</f>
        <v>0.99579691624246314</v>
      </c>
      <c r="I66" s="191"/>
      <c r="J66" s="191">
        <f t="array" ref="J66">SQRT((J9:K9*$B$22:$C$22)/($B$9:$C$9*$B$22:$C$22)*(J9:K9*J22:K22)/($B$9:$C$9*J22:K22))</f>
        <v>0.99428515487855584</v>
      </c>
      <c r="K66" s="191"/>
      <c r="L66" s="191">
        <f t="array" ref="L66">SQRT((L9:M9*$B$22:$C$22)/($B$9:$C$9*$B$22:$C$22)*(L9:M9*L22:M22)/($B$9:$C$9*L22:M22))</f>
        <v>0.99270323240420177</v>
      </c>
      <c r="M66" s="191"/>
      <c r="N66" s="191">
        <f t="array" ref="N66">SQRT((N9:O9*$B$22:$C$22)/($B$9:$C$9*$B$22:$C$22)*(N9:O9*N22:O22)/($B$9:$C$9*N22:O22))</f>
        <v>0.99104052820921706</v>
      </c>
      <c r="O66" s="191"/>
      <c r="P66" s="191">
        <f t="array" ref="P66">SQRT((P9:Q9*$B$22:$C$22)/($B$9:$C$9*$B$22:$C$22)*(P9:Q9*P22:Q22)/($B$9:$C$9*P22:Q22))</f>
        <v>0.98928575560362086</v>
      </c>
      <c r="Q66" s="191"/>
      <c r="R66" s="191">
        <f t="array" ref="R66">SQRT((R9:S9*$B$22:$C$22)/($B$9:$C$9*$B$22:$C$22)*(R9:S9*R22:S22)/($B$9:$C$9*R22:S22))</f>
        <v>0.98742799910979528</v>
      </c>
      <c r="S66" s="191"/>
      <c r="T66" s="191">
        <f t="array" ref="T66">SQRT((T9:U9*$B$22:$C$22)/($B$9:$C$9*$B$22:$C$22)*(T9:U9*T22:U22)/($B$9:$C$9*T22:U22))</f>
        <v>0.98545898226592754</v>
      </c>
      <c r="U66" s="191"/>
      <c r="V66" s="191">
        <f t="array" ref="V66">SQRT((V9:W9*$B$22:$C$22)/($B$9:$C$9*$B$22:$C$22)*(V9:W9*V22:W22)/($B$9:$C$9*V22:W22))</f>
        <v>0.98337765858945292</v>
      </c>
      <c r="W66" s="191"/>
      <c r="X66" s="191">
        <f t="array" ref="X66">SQRT((X9:Y9*$B$22:$C$22)/($B$9:$C$9*$B$22:$C$22)*(X9:Y9*X22:Y22)/($B$9:$C$9*X22:Y22))</f>
        <v>0.9811993678593941</v>
      </c>
      <c r="Y66" s="191"/>
      <c r="Z66" s="191">
        <f t="array" ref="Z66">SQRT((Z9:AA9*$B$22:$C$22)/($B$9:$C$9*$B$22:$C$22)*(Z9:AA9*Z22:AA22)/($B$9:$C$9*Z22:AA22))</f>
        <v>0.97897390766598613</v>
      </c>
      <c r="AA66" s="191"/>
      <c r="AB66" s="191">
        <f t="array" ref="AB66">SQRT((AB9:AC9*$B$22:$C$22)/($B$9:$C$9*$B$22:$C$22)*(AB9:AC9*AB22:AC22)/($B$9:$C$9*AB22:AC22))</f>
        <v>0.97682070492036988</v>
      </c>
      <c r="AC66" s="191"/>
      <c r="AD66" s="191">
        <f t="array" ref="AD66">SQRT((AD9:AE9*$B$22:$C$22)/($B$9:$C$9*$B$22:$C$22)*(AD9:AE9*AD22:AE22)/($B$9:$C$9*AD22:AE22))</f>
        <v>0.97499431590969166</v>
      </c>
      <c r="AE66" s="191"/>
      <c r="AF66" s="191">
        <f t="array" ref="AF66">SQRT((AF9:AG9*$B$22:$C$22)/($B$9:$C$9*$B$22:$C$22)*(AF9:AG9*AF22:AG22)/($B$9:$C$9*AF22:AG22))</f>
        <v>0.97398695195839557</v>
      </c>
      <c r="AG66" s="191"/>
      <c r="AH66" s="191">
        <f t="array" ref="AH66">SQRT((AH9:AI9*$B$22:$C$22)/($B$9:$C$9*$B$22:$C$22)*(AH9:AI9*AH22:AI22)/($B$9:$C$9*AH22:AI22))</f>
        <v>0.97459420253445905</v>
      </c>
      <c r="AI66" s="191"/>
      <c r="AJ66" s="191">
        <f t="array" ref="AJ66">SQRT((AJ9:AK9*$B$22:$C$22)/($B$9:$C$9*$B$22:$C$22)*(AJ9:AK9*AJ22:AK22)/($B$9:$C$9*AJ22:AK22))</f>
        <v>0.97760504368621337</v>
      </c>
      <c r="AK66" s="191"/>
      <c r="AL66" s="191">
        <f t="array" ref="AL66">SQRT((AL9:AM9*$B$22:$C$22)/($B$9:$C$9*$B$22:$C$22)*(AL9:AM9*AL22:AM22)/($B$9:$C$9*AL22:AM22))</f>
        <v>0.98278845197969367</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0.99864667088418801</v>
      </c>
      <c r="E68" s="191"/>
      <c r="F68" s="191">
        <f>F66/F67</f>
        <v>0.99724799774917816</v>
      </c>
      <c r="G68" s="191"/>
      <c r="H68" s="191">
        <f>H66/H67</f>
        <v>0.99579691624246314</v>
      </c>
      <c r="I68" s="191"/>
      <c r="J68" s="191">
        <f>J66/J67</f>
        <v>0.99428515487855584</v>
      </c>
      <c r="K68" s="191"/>
      <c r="L68" s="191">
        <f>L66/L67</f>
        <v>0.99270323240420177</v>
      </c>
      <c r="M68" s="191"/>
      <c r="N68" s="191">
        <f>N66/N67</f>
        <v>0.99104052820921706</v>
      </c>
      <c r="O68" s="191"/>
      <c r="P68" s="191">
        <f>P66/P67</f>
        <v>0.98928575560362086</v>
      </c>
      <c r="Q68" s="191"/>
      <c r="R68" s="191">
        <f>R66/R67</f>
        <v>0.98742799910979528</v>
      </c>
      <c r="S68" s="191"/>
      <c r="T68" s="191">
        <f>T66/T67</f>
        <v>0.98545898226592754</v>
      </c>
      <c r="U68" s="191"/>
      <c r="V68" s="191">
        <f>V66/V67</f>
        <v>0.98337765858945292</v>
      </c>
      <c r="W68" s="191"/>
      <c r="X68" s="191">
        <f>X66/X67</f>
        <v>0.9811993678593941</v>
      </c>
      <c r="Y68" s="191"/>
      <c r="Z68" s="191">
        <f>Z66/Z67</f>
        <v>0.97897390766598613</v>
      </c>
      <c r="AA68" s="191"/>
      <c r="AB68" s="191">
        <f>AB66/AB67</f>
        <v>0.97682070492036988</v>
      </c>
      <c r="AC68" s="191"/>
      <c r="AD68" s="191">
        <f>AD66/AD67</f>
        <v>0.97499431590969166</v>
      </c>
      <c r="AE68" s="191"/>
      <c r="AF68" s="191">
        <f>AF66/AF67</f>
        <v>0.97398695195839557</v>
      </c>
      <c r="AG68" s="191"/>
      <c r="AH68" s="191">
        <f>AH66/AH67</f>
        <v>0.97459420253445905</v>
      </c>
      <c r="AI68" s="191"/>
      <c r="AJ68" s="191">
        <f>AJ66/AJ67</f>
        <v>0.97760504368621337</v>
      </c>
      <c r="AK68" s="191"/>
      <c r="AL68" s="191">
        <f>AL66/AL67</f>
        <v>0.98278845197969367</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1.0014953442358052</v>
      </c>
      <c r="E69" s="191"/>
      <c r="F69" s="191">
        <f>F32/F65/($B$32)</f>
        <v>1.0028782989314935</v>
      </c>
      <c r="G69" s="191"/>
      <c r="H69" s="191">
        <f>H32/H65/($B$32)</f>
        <v>1.0041309067199944</v>
      </c>
      <c r="I69" s="191"/>
      <c r="J69" s="191">
        <f>J32/J65/($B$32)</f>
        <v>1.0052311505352112</v>
      </c>
      <c r="K69" s="191"/>
      <c r="L69" s="191">
        <f>L32/L65/($B$32)</f>
        <v>1.0061514156945612</v>
      </c>
      <c r="M69" s="191"/>
      <c r="N69" s="191">
        <f>N32/N65/($B$32)</f>
        <v>1.0068572959929469</v>
      </c>
      <c r="O69" s="191"/>
      <c r="P69" s="191">
        <f>P32/P65/($B$32)</f>
        <v>1.0073048024899114</v>
      </c>
      <c r="Q69" s="191"/>
      <c r="R69" s="191">
        <f>R32/R65/($B$32)</f>
        <v>1.0074371370388346</v>
      </c>
      <c r="S69" s="191"/>
      <c r="T69" s="191">
        <f>T32/T65/($B$32)</f>
        <v>1.0071797746921707</v>
      </c>
      <c r="U69" s="191"/>
      <c r="V69" s="191">
        <f>V32/V65/($B$32)</f>
        <v>1.0064327095321515</v>
      </c>
      <c r="W69" s="191"/>
      <c r="X69" s="191">
        <f>X32/X65/($B$32)</f>
        <v>1.0050583685957155</v>
      </c>
      <c r="Y69" s="191"/>
      <c r="Z69" s="191">
        <f>Z32/Z65/($B$32)</f>
        <v>1.002860882083126</v>
      </c>
      <c r="AA69" s="191"/>
      <c r="AB69" s="191">
        <f>AB32/AB65/($B$32)</f>
        <v>0.99954717007700655</v>
      </c>
      <c r="AC69" s="191"/>
      <c r="AD69" s="191">
        <f>AD32/AD65/($B$32)</f>
        <v>0.9946450770601879</v>
      </c>
      <c r="AE69" s="191"/>
      <c r="AF69" s="191">
        <f>AF32/AF65/($B$32)</f>
        <v>0.98730135145422671</v>
      </c>
      <c r="AG69" s="191"/>
      <c r="AH69" s="191">
        <f>AH32/AH65/($B$32)</f>
        <v>0.97570124035119055</v>
      </c>
      <c r="AI69" s="191"/>
      <c r="AJ69" s="191">
        <f>AJ32/AJ65/($B$32)</f>
        <v>0.95524093549307387</v>
      </c>
      <c r="AK69" s="191"/>
      <c r="AL69" s="191">
        <f>AL32/AL65/($B$32)</f>
        <v>0.91229062521954896</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1.0004389510425535</v>
      </c>
      <c r="E70" s="138"/>
      <c r="F70" s="138">
        <f>F18/$B$18</f>
        <v>1.0007419725194506</v>
      </c>
      <c r="G70" s="138"/>
      <c r="H70" s="138">
        <f>H18/$B$18</f>
        <v>1.0008875469830991</v>
      </c>
      <c r="I70" s="138"/>
      <c r="J70" s="138">
        <f>J18/$B$18</f>
        <v>1.0008491998875715</v>
      </c>
      <c r="K70" s="138"/>
      <c r="L70" s="138">
        <f>L18/$B$18</f>
        <v>1.0005936566999936</v>
      </c>
      <c r="M70" s="138"/>
      <c r="N70" s="138">
        <f>N18/$B$18</f>
        <v>1.0000785743957283</v>
      </c>
      <c r="O70" s="138"/>
      <c r="P70" s="138">
        <f>P18/$B$18</f>
        <v>0.99924872729219716</v>
      </c>
      <c r="Q70" s="138"/>
      <c r="R70" s="138">
        <f>R18/$B$18</f>
        <v>0.99803037950139173</v>
      </c>
      <c r="S70" s="138"/>
      <c r="T70" s="138">
        <f>T18/$B$18</f>
        <v>0.99632234323745084</v>
      </c>
      <c r="U70" s="138"/>
      <c r="V70" s="138">
        <f>V18/$B$18</f>
        <v>0.99398110937658368</v>
      </c>
      <c r="W70" s="138"/>
      <c r="X70" s="138">
        <f>X18/$B$18</f>
        <v>0.99079550456512411</v>
      </c>
      <c r="Y70" s="138"/>
      <c r="Z70" s="138">
        <f>Z18/$B$18</f>
        <v>0.98644122804492984</v>
      </c>
      <c r="AA70" s="138"/>
      <c r="AB70" s="138">
        <f>AB18/$B$18</f>
        <v>0.98039541026465782</v>
      </c>
      <c r="AC70" s="138"/>
      <c r="AD70" s="138">
        <f>AD18/$B$18</f>
        <v>0.97176921107627923</v>
      </c>
      <c r="AE70" s="138"/>
      <c r="AF70" s="138">
        <f>AF18/$B$18</f>
        <v>0.95896892619518659</v>
      </c>
      <c r="AG70" s="138"/>
      <c r="AH70" s="138">
        <f>AH18/$B$18</f>
        <v>0.93899667890546545</v>
      </c>
      <c r="AI70" s="138"/>
      <c r="AJ70" s="138">
        <f>AJ18/$B$18</f>
        <v>0.90586344993283585</v>
      </c>
      <c r="AK70" s="138"/>
      <c r="AL70" s="138">
        <f>AL18/$B$18</f>
        <v>0.84534911355344811</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0.93139238807116442</v>
      </c>
      <c r="E71" s="138"/>
      <c r="F71" s="138">
        <f>G18/$C$18</f>
        <v>0.86279680572423334</v>
      </c>
      <c r="G71" s="138"/>
      <c r="H71" s="138">
        <f>I18/$C$18</f>
        <v>0.7942345657293719</v>
      </c>
      <c r="I71" s="138"/>
      <c r="J71" s="138">
        <f>K18/$C$18</f>
        <v>0.72573445341565557</v>
      </c>
      <c r="K71" s="138"/>
      <c r="L71" s="138">
        <f>M18/$C$18</f>
        <v>0.65734375601883976</v>
      </c>
      <c r="M71" s="138"/>
      <c r="N71" s="138">
        <f>O18/$C$18</f>
        <v>0.58912768273489879</v>
      </c>
      <c r="O71" s="138"/>
      <c r="P71" s="138">
        <f>Q18/$C$18</f>
        <v>0.52119021234439478</v>
      </c>
      <c r="Q71" s="138"/>
      <c r="R71" s="138">
        <f>S18/$C$18</f>
        <v>0.45369192652654733</v>
      </c>
      <c r="S71" s="138"/>
      <c r="T71" s="138">
        <f>U18/$C$18</f>
        <v>0.38688187621453318</v>
      </c>
      <c r="U71" s="138"/>
      <c r="V71" s="138">
        <f>W18/$C$18</f>
        <v>0.32115169828367129</v>
      </c>
      <c r="W71" s="138"/>
      <c r="X71" s="138">
        <f>Y18/$C$18</f>
        <v>0.25711665325046545</v>
      </c>
      <c r="Y71" s="138"/>
      <c r="Z71" s="138">
        <f>AA18/$C$18</f>
        <v>0.19574399338990048</v>
      </c>
      <c r="AA71" s="138"/>
      <c r="AB71" s="138">
        <f>AC18/$C$18</f>
        <v>0.13854576071675054</v>
      </c>
      <c r="AC71" s="138"/>
      <c r="AD71" s="138">
        <f>AE18/$C$18</f>
        <v>8.7816537989642146E-2</v>
      </c>
      <c r="AE71" s="138"/>
      <c r="AF71" s="138">
        <f>AG18/$C$18</f>
        <v>4.6742852376281029E-2</v>
      </c>
      <c r="AG71" s="138"/>
      <c r="AH71" s="138">
        <f>AI18/$C$18</f>
        <v>1.8708897145642802E-2</v>
      </c>
      <c r="AI71" s="138"/>
      <c r="AJ71" s="138">
        <f>AK18/$C$18</f>
        <v>4.6946732755022017E-3</v>
      </c>
      <c r="AK71" s="138"/>
      <c r="AL71" s="138">
        <f>AM18/$C$18</f>
        <v>5.421856268500643E-4</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1.01924834085849</v>
      </c>
      <c r="E72" s="138"/>
      <c r="F72" s="138">
        <f>G19/$C$19</f>
        <v>1.0416987630753776</v>
      </c>
      <c r="G72" s="138"/>
      <c r="H72" s="138">
        <f>I19/$C$19</f>
        <v>1.0677531735149444</v>
      </c>
      <c r="I72" s="138"/>
      <c r="J72" s="138">
        <f>K19/$C$19</f>
        <v>1.09786202499244</v>
      </c>
      <c r="K72" s="138"/>
      <c r="L72" s="138">
        <f>M19/$C$19</f>
        <v>1.1325183338971718</v>
      </c>
      <c r="M72" s="138"/>
      <c r="N72" s="138">
        <f>O19/$C$19</f>
        <v>1.172250668591005</v>
      </c>
      <c r="O72" s="138"/>
      <c r="P72" s="138">
        <f>Q19/$C$19</f>
        <v>1.2175783410306882</v>
      </c>
      <c r="Q72" s="138"/>
      <c r="R72" s="138">
        <f>S19/$C$19</f>
        <v>1.2689451295759167</v>
      </c>
      <c r="S72" s="138"/>
      <c r="T72" s="138">
        <f>U19/$C$19</f>
        <v>1.3265745650387708</v>
      </c>
      <c r="U72" s="138"/>
      <c r="V72" s="138">
        <f>W19/$C$19</f>
        <v>1.3901917315518182</v>
      </c>
      <c r="W72" s="138"/>
      <c r="X72" s="138">
        <f>Y19/$C$19</f>
        <v>1.4584892381605974</v>
      </c>
      <c r="Y72" s="138"/>
      <c r="Z72" s="138">
        <f>AA19/$C$19</f>
        <v>1.5280984145164698</v>
      </c>
      <c r="AA72" s="138"/>
      <c r="AB72" s="138">
        <f>AC19/$C$19</f>
        <v>1.5916307619544177</v>
      </c>
      <c r="AC72" s="138"/>
      <c r="AD72" s="138">
        <f>AE19/$C$19</f>
        <v>1.634115200035988</v>
      </c>
      <c r="AE72" s="138"/>
      <c r="AF72" s="138">
        <f>AG19/$C$19</f>
        <v>1.6275763310087521</v>
      </c>
      <c r="AG72" s="138"/>
      <c r="AH72" s="138">
        <f>AI19/$C$19</f>
        <v>1.5278195495411853</v>
      </c>
      <c r="AI72" s="138"/>
      <c r="AJ72" s="138">
        <f>AK19/$C$19</f>
        <v>1.2904039349616614</v>
      </c>
      <c r="AK72" s="138"/>
      <c r="AL72" s="138">
        <f>AM19/$C$19</f>
        <v>0.91698218127161912</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0.47641154631093963</v>
      </c>
      <c r="E73" s="138"/>
      <c r="F73" s="193">
        <f t="array" ref="F73">SUM(F9:G9*F22:G22)/F32</f>
        <v>0.47641154798975233</v>
      </c>
      <c r="G73" s="138"/>
      <c r="H73" s="193">
        <f t="array" ref="H73">SUM(H9:I9*H22:I22)/H32</f>
        <v>0.47641155228543236</v>
      </c>
      <c r="I73" s="138"/>
      <c r="J73" s="193">
        <f t="array" ref="J73">SUM(J9:K9*J22:K22)/J32</f>
        <v>0.47641156493076581</v>
      </c>
      <c r="K73" s="138"/>
      <c r="L73" s="193">
        <f t="array" ref="L73">SUM(L9:M9*L22:M22)/L32</f>
        <v>0.47641153433573974</v>
      </c>
      <c r="M73" s="138"/>
      <c r="N73" s="193">
        <f t="array" ref="N73">SUM(N9:O9*N22:O22)/N32</f>
        <v>0.47641153510429946</v>
      </c>
      <c r="O73" s="138"/>
      <c r="P73" s="193">
        <f t="array" ref="P73">SUM(P9:Q9*P22:Q22)/P32</f>
        <v>0.47641153592486868</v>
      </c>
      <c r="Q73" s="138"/>
      <c r="R73" s="193">
        <f t="array" ref="R73">SUM(R9:S9*R22:S22)/R32</f>
        <v>0.47641153359594918</v>
      </c>
      <c r="S73" s="138"/>
      <c r="T73" s="193">
        <f t="array" ref="T73">SUM(T9:U9*T22:U22)/T32</f>
        <v>0.47641153603628289</v>
      </c>
      <c r="U73" s="138"/>
      <c r="V73" s="193">
        <f t="array" ref="V73">SUM(V9:W9*V22:W22)/V32</f>
        <v>0.47641153555282095</v>
      </c>
      <c r="W73" s="138"/>
      <c r="X73" s="193">
        <f t="array" ref="X73">SUM(X9:Y9*X22:Y22)/X32</f>
        <v>0.47641153310934564</v>
      </c>
      <c r="Y73" s="138"/>
      <c r="Z73" s="193">
        <f t="array" ref="Z73">SUM(Z9:AA9*Z22:AA22)/Z32</f>
        <v>0.47641153527390623</v>
      </c>
      <c r="AA73" s="138"/>
      <c r="AB73" s="193">
        <f t="array" ref="AB73">SUM(AB9:AC9*AB22:AC22)/AB32</f>
        <v>0.4764115345808243</v>
      </c>
      <c r="AC73" s="138"/>
      <c r="AD73" s="193">
        <f t="array" ref="AD73">SUM(AD9:AE9*AD22:AE22)/AD32</f>
        <v>0.47641153327356461</v>
      </c>
      <c r="AE73" s="138"/>
      <c r="AF73" s="193">
        <f t="array" ref="AF73">SUM(AF9:AG9*AF22:AG22)/AF32</f>
        <v>0.47641153347820858</v>
      </c>
      <c r="AG73" s="138"/>
      <c r="AH73" s="193">
        <f t="array" ref="AH73">SUM(AH9:AI9*AH22:AI22)/AH32</f>
        <v>0.47641153370209904</v>
      </c>
      <c r="AI73" s="138"/>
      <c r="AJ73" s="193">
        <f t="array" ref="AJ73">SUM(AJ9:AK9*AJ22:AK22)/AJ32</f>
        <v>0.47641153348558263</v>
      </c>
      <c r="AK73" s="138"/>
      <c r="AL73" s="193">
        <f t="array" ref="AL73">SUM(AL9:AM9*AL22:AM22)/AL32</f>
        <v>0.47641153352791116</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0.22604620456442487</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0.22038438844775837</v>
      </c>
      <c r="E75" s="138"/>
      <c r="F75" s="193">
        <f t="array" ref="F75">SUM(F11:G11*F24:G24)/F32</f>
        <v>0.22038438846949673</v>
      </c>
      <c r="G75" s="138"/>
      <c r="H75" s="193">
        <f t="array" ref="H75">SUM(H11:I11*H24:I24)/H32</f>
        <v>0.2203843885167521</v>
      </c>
      <c r="I75" s="138"/>
      <c r="J75" s="193">
        <f t="array" ref="J75">SUM(J11:K11*J24:K24)/J32</f>
        <v>0.22038438821187156</v>
      </c>
      <c r="K75" s="138"/>
      <c r="L75" s="193">
        <f t="array" ref="L75">SUM(L11:M11*L24:M24)/L32</f>
        <v>0.22038438831526325</v>
      </c>
      <c r="M75" s="138"/>
      <c r="N75" s="193">
        <f t="array" ref="N75">SUM(N11:O11*N24:O24)/N32</f>
        <v>0.22038438829816193</v>
      </c>
      <c r="O75" s="138"/>
      <c r="P75" s="193">
        <f t="array" ref="P75">SUM(P11:Q11*P24:Q24)/P32</f>
        <v>0.22038438827965312</v>
      </c>
      <c r="Q75" s="138"/>
      <c r="R75" s="193">
        <f t="array" ref="R75">SUM(R11:S11*R24:S24)/R32</f>
        <v>0.22038438833194943</v>
      </c>
      <c r="S75" s="138"/>
      <c r="T75" s="193">
        <f t="array" ref="T75">SUM(T11:U11*T24:U24)/T32</f>
        <v>0.22038438832090027</v>
      </c>
      <c r="U75" s="138"/>
      <c r="V75" s="193">
        <f t="array" ref="V75">SUM(V11:W11*V24:W24)/V32</f>
        <v>0.22038438832418208</v>
      </c>
      <c r="W75" s="138"/>
      <c r="X75" s="193">
        <f t="array" ref="X75">SUM(X11:Y11*X24:Y24)/X32</f>
        <v>0.22038438837296609</v>
      </c>
      <c r="Y75" s="138"/>
      <c r="Z75" s="193">
        <f t="array" ref="Z75">SUM(Z11:AA11*Z24:AA24)/Z32</f>
        <v>0.22038438835425578</v>
      </c>
      <c r="AA75" s="138"/>
      <c r="AB75" s="193">
        <f t="array" ref="AB75">SUM(AB11:AC11*AB24:AC24)/AB32</f>
        <v>0.22038438832435159</v>
      </c>
      <c r="AC75" s="138"/>
      <c r="AD75" s="193">
        <f t="array" ref="AD75">SUM(AD11:AE11*AD24:AE24)/AD32</f>
        <v>0.22038438833582089</v>
      </c>
      <c r="AE75" s="138"/>
      <c r="AF75" s="193">
        <f t="array" ref="AF75">SUM(AF11:AG11*AF24:AG24)/AF32</f>
        <v>0.22038438833262536</v>
      </c>
      <c r="AG75" s="138"/>
      <c r="AH75" s="193">
        <f t="array" ref="AH75">SUM(AH11:AI11*AH24:AI24)/AH32</f>
        <v>0.22038438833422483</v>
      </c>
      <c r="AI75" s="138"/>
      <c r="AJ75" s="193">
        <f t="array" ref="AJ75">SUM(AJ11:AK11*AJ24:AK24)/AJ32</f>
        <v>0.22038438833185575</v>
      </c>
      <c r="AK75" s="138"/>
      <c r="AL75" s="193">
        <f t="array" ref="AL75">SUM(AL11:AM11*AL24:AM24)/AL32</f>
        <v>0.22038438833195151</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0.22296425468167336</v>
      </c>
      <c r="E76" s="138"/>
      <c r="F76" s="193">
        <f t="array" ref="F76">SUM(F12:G12*F25:G25)/F32</f>
        <v>0.2229587352734482</v>
      </c>
      <c r="G76" s="138"/>
      <c r="H76" s="193">
        <f t="array" ref="H76">SUM(H12:I12*H25:I25)/H32</f>
        <v>0.22300815299500659</v>
      </c>
      <c r="I76" s="138"/>
      <c r="J76" s="193">
        <f t="array" ref="J76">SUM(J12:K12*J25:K25)/J32</f>
        <v>0.22311921517606212</v>
      </c>
      <c r="K76" s="138"/>
      <c r="L76" s="193">
        <f t="array" ref="L76">SUM(L12:M12*L25:M25)/L32</f>
        <v>0.22329934917454347</v>
      </c>
      <c r="M76" s="138"/>
      <c r="N76" s="193">
        <f t="array" ref="N76">SUM(N12:O12*N25:O25)/N32</f>
        <v>0.22355636521231886</v>
      </c>
      <c r="O76" s="138"/>
      <c r="P76" s="193">
        <f t="array" ref="P76">SUM(P12:Q12*P25:Q25)/P32</f>
        <v>0.22389798706768183</v>
      </c>
      <c r="Q76" s="138"/>
      <c r="R76" s="193">
        <f t="array" ref="R76">SUM(R12:S12*R25:S25)/R32</f>
        <v>0.22433059831195051</v>
      </c>
      <c r="S76" s="138"/>
      <c r="T76" s="193">
        <f t="array" ref="T76">SUM(T12:U12*T25:U25)/T32</f>
        <v>0.22485680336365579</v>
      </c>
      <c r="U76" s="138"/>
      <c r="V76" s="193">
        <f t="array" ref="V76">SUM(V12:W12*V25:W25)/V32</f>
        <v>0.22547067215169048</v>
      </c>
      <c r="W76" s="138"/>
      <c r="X76" s="193">
        <f t="array" ref="X76">SUM(X12:Y12*X25:Y25)/X32</f>
        <v>0.22614834380735743</v>
      </c>
      <c r="Y76" s="138"/>
      <c r="Z76" s="193">
        <f t="array" ref="Z76">SUM(Z12:AA12*Z25:AA25)/Z32</f>
        <v>0.22682964212303477</v>
      </c>
      <c r="AA76" s="138"/>
      <c r="AB76" s="193">
        <f t="array" ref="AB76">SUM(AB12:AC12*AB25:AC25)/AB32</f>
        <v>0.22738238143597142</v>
      </c>
      <c r="AC76" s="138"/>
      <c r="AD76" s="193">
        <f t="array" ref="AD76">SUM(AD12:AE12*AD25:AE25)/AD32</f>
        <v>0.22753579409256072</v>
      </c>
      <c r="AE76" s="138"/>
      <c r="AF76" s="193">
        <f t="array" ref="AF76">SUM(AF12:AG12*AF25:AG25)/AF32</f>
        <v>0.22677532155721941</v>
      </c>
      <c r="AG76" s="138"/>
      <c r="AH76" s="193">
        <f t="array" ref="AH76">SUM(AH12:AI12*AH25:AI25)/AH32</f>
        <v>0.22426523230923956</v>
      </c>
      <c r="AI76" s="138"/>
      <c r="AJ76" s="193">
        <f t="array" ref="AJ76">SUM(AJ12:AK12*AJ25:AK25)/AJ32</f>
        <v>0.21908959729494665</v>
      </c>
      <c r="AK76" s="138"/>
      <c r="AL76" s="193">
        <f t="array" ref="AL76">SUM(AL12:AM12*AL25:AM25)/AL32</f>
        <v>0.21094943956388992</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0.14580639400479611</v>
      </c>
      <c r="E77" s="138"/>
      <c r="F77" s="193">
        <f t="array" ref="F77">SUM(F4:G4*F19:G19)/F32</f>
        <v>0.14580087629712199</v>
      </c>
      <c r="G77" s="138"/>
      <c r="H77" s="193">
        <f t="array" ref="H77">SUM(H4:I4*H19:I19)/H32</f>
        <v>0.14585029836161587</v>
      </c>
      <c r="I77" s="138"/>
      <c r="J77" s="193">
        <f t="array" ref="J77">SUM(J4:K4*J19:K19)/J32</f>
        <v>0.14596137288312433</v>
      </c>
      <c r="K77" s="138"/>
      <c r="L77" s="193">
        <f t="array" ref="L77">SUM(L4:M4*L19:M19)/L32</f>
        <v>0.14614147638997113</v>
      </c>
      <c r="M77" s="138"/>
      <c r="N77" s="193">
        <f t="array" ref="N77">SUM(N4:O4*N19:O19)/N32</f>
        <v>0.14639849317920495</v>
      </c>
      <c r="O77" s="138"/>
      <c r="P77" s="193">
        <f t="array" ref="P77">SUM(P4:Q4*P19:Q19)/P32</f>
        <v>0.14674011583662847</v>
      </c>
      <c r="Q77" s="138"/>
      <c r="R77" s="193">
        <f t="array" ref="R77">SUM(R4:S4*R19:S19)/R32</f>
        <v>0.14717272480427374</v>
      </c>
      <c r="S77" s="138"/>
      <c r="T77" s="193">
        <f t="array" ref="T77">SUM(T4:U4*T19:U19)/T32</f>
        <v>0.14769893228526382</v>
      </c>
      <c r="U77" s="138"/>
      <c r="V77" s="193">
        <f t="array" ref="V77">SUM(V4:W4*V19:W19)/V32</f>
        <v>0.14831280059311822</v>
      </c>
      <c r="W77" s="138"/>
      <c r="X77" s="193">
        <f t="array" ref="X77">SUM(X4:Y4*X19:Y19)/X32</f>
        <v>0.14899046985409392</v>
      </c>
      <c r="Y77" s="138"/>
      <c r="Z77" s="193">
        <f t="array" ref="Z77">SUM(Z4:AA4*Z19:AA19)/Z32</f>
        <v>0.14967177031562154</v>
      </c>
      <c r="AA77" s="138"/>
      <c r="AB77" s="193">
        <f t="array" ref="AB77">SUM(AB4:AC4*AB19:AC19)/AB32</f>
        <v>0.15022450890557212</v>
      </c>
      <c r="AC77" s="138"/>
      <c r="AD77" s="193">
        <f t="array" ref="AD77">SUM(AD4:AE4*AD19:AE19)/AD32</f>
        <v>0.15037792026637081</v>
      </c>
      <c r="AE77" s="138"/>
      <c r="AF77" s="193">
        <f t="array" ref="AF77">SUM(AF4:AG4*AF19:AG19)/AF32</f>
        <v>0.14961744793247825</v>
      </c>
      <c r="AG77" s="138"/>
      <c r="AH77" s="193">
        <f t="array" ref="AH77">SUM(AH4:AI4*AH19:AI19)/AH32</f>
        <v>0.14710735890998827</v>
      </c>
      <c r="AI77" s="138"/>
      <c r="AJ77" s="193">
        <f t="array" ref="AJ77">SUM(AJ4:AK4*AJ19:AK19)/AJ32</f>
        <v>0.14193172367680981</v>
      </c>
      <c r="AK77" s="138"/>
      <c r="AL77" s="193">
        <f t="array" ref="AL77">SUM(AL4:AM4*AL19:AM19)/AL32</f>
        <v>0.13379156598817735</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0.3490278597745442</v>
      </c>
      <c r="E78" s="138"/>
      <c r="F78" s="193">
        <f t="array" ref="F78">SUM(F13:G13*F26:G26)/F32</f>
        <v>0.35122744759559976</v>
      </c>
      <c r="G78" s="138"/>
      <c r="H78" s="193">
        <f t="array" ref="H78">SUM(H13:I13*H26:I26)/H32</f>
        <v>0.35349726799718756</v>
      </c>
      <c r="I78" s="138"/>
      <c r="J78" s="193">
        <f t="array" ref="J78">SUM(J13:K13*J26:K26)/J32</f>
        <v>0.35585063529072875</v>
      </c>
      <c r="K78" s="138"/>
      <c r="L78" s="193">
        <f t="array" ref="L78">SUM(L13:M13*L26:M26)/L32</f>
        <v>0.35830418688678622</v>
      </c>
      <c r="M78" s="138"/>
      <c r="N78" s="193">
        <f t="array" ref="N78">SUM(N13:O13*N26:O26)/N32</f>
        <v>0.36087899214975167</v>
      </c>
      <c r="O78" s="138"/>
      <c r="P78" s="193">
        <f t="array" ref="P78">SUM(P13:Q13*P26:Q26)/P32</f>
        <v>0.36360248389586453</v>
      </c>
      <c r="Q78" s="138"/>
      <c r="R78" s="193">
        <f t="array" ref="R78">SUM(R13:S13*R26:S26)/R32</f>
        <v>0.36651137981544363</v>
      </c>
      <c r="S78" s="138"/>
      <c r="T78" s="193">
        <f t="array" ref="T78">SUM(T13:U13*T26:U26)/T32</f>
        <v>0.3696563629030325</v>
      </c>
      <c r="U78" s="138"/>
      <c r="V78" s="193">
        <f t="array" ref="V78">SUM(V13:W13*V26:W26)/V32</f>
        <v>0.37311024508446727</v>
      </c>
      <c r="W78" s="138"/>
      <c r="X78" s="193">
        <f t="array" ref="X78">SUM(X13:Y13*X26:Y26)/X32</f>
        <v>0.3769820789816643</v>
      </c>
      <c r="Y78" s="138"/>
      <c r="Z78" s="193">
        <f t="array" ref="Z78">SUM(Z13:AA13*Z26:AA26)/Z32</f>
        <v>0.38144318188870541</v>
      </c>
      <c r="AA78" s="138"/>
      <c r="AB78" s="193">
        <f t="array" ref="AB78">SUM(AB13:AC13*AB26:AC26)/AB32</f>
        <v>0.38677691087089483</v>
      </c>
      <c r="AC78" s="138"/>
      <c r="AD78" s="193">
        <f t="array" ref="AD78">SUM(AD13:AE13*AD26:AE26)/AD32</f>
        <v>0.39347640531671324</v>
      </c>
      <c r="AE78" s="138"/>
      <c r="AF78" s="193">
        <f t="array" ref="AF78">SUM(AF13:AG13*AF26:AG26)/AF32</f>
        <v>0.40243656025952007</v>
      </c>
      <c r="AG78" s="138"/>
      <c r="AH78" s="193">
        <f t="array" ref="AH78">SUM(AH13:AI13*AH26:AI26)/AH32</f>
        <v>0.41531019617326165</v>
      </c>
      <c r="AI78" s="138"/>
      <c r="AJ78" s="193">
        <f t="array" ref="AJ78">SUM(AJ13:AK13*AJ26:AK26)/AJ32</f>
        <v>0.43515880952748137</v>
      </c>
      <c r="AK78" s="138"/>
      <c r="AL78" s="193">
        <f t="array" ref="AL78">SUM(AL13:AM13*AL26:AM26)/AL32</f>
        <v>0.46842286177491699</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0.45460968782440492</v>
      </c>
      <c r="D79" s="193">
        <f t="array" ref="D79">SUM(D15:E15*D27:E27)/D32</f>
        <v>0.44709769305067415</v>
      </c>
      <c r="F79" s="193">
        <f t="array" ref="F79">SUM(F15:G15*F27:G27)/F32</f>
        <v>0.43937747391231047</v>
      </c>
      <c r="H79" s="193">
        <f t="array" ref="H79">SUM(H15:I15*H27:I27)/H32</f>
        <v>0.43141075422953651</v>
      </c>
      <c r="J79" s="193">
        <f t="array" ref="J79">SUM(J15:K15*J27:K27)/J32</f>
        <v>0.42315069109654485</v>
      </c>
      <c r="L79" s="193">
        <f t="array" ref="L79">SUM(L15:M15*L27:M27)/L32</f>
        <v>0.41453913253877461</v>
      </c>
      <c r="N79" s="193">
        <f t="array" ref="N79">SUM(N15:O15*N27:O27)/N32</f>
        <v>0.40550193467293261</v>
      </c>
      <c r="P79" s="193">
        <f t="array" ref="P79">SUM(P15:Q15*P27:Q27)/P32</f>
        <v>0.39594286937725648</v>
      </c>
      <c r="R79" s="193">
        <f t="array" ref="R79">SUM(R15:S15*R27:S27)/R32</f>
        <v>0.3857331271128141</v>
      </c>
      <c r="T79" s="193">
        <f t="array" ref="T79">SUM(T15:U15*T27:U27)/T32</f>
        <v>0.3746947026544088</v>
      </c>
      <c r="V79" s="193">
        <f t="array" ref="V79">SUM(V15:W15*V27:W27)/V32</f>
        <v>0.36257209299846183</v>
      </c>
      <c r="X79" s="193">
        <f t="array" ref="X79">SUM(X15:Y15*X27:Y27)/X32</f>
        <v>0.34898255402956468</v>
      </c>
      <c r="Z79" s="193">
        <f t="array" ref="Z79">SUM(Z15:AA15*Z27:AA27)/Z32</f>
        <v>0.33332473257054113</v>
      </c>
      <c r="AB79" s="193">
        <f t="array" ref="AB79">SUM(AB15:AC15*AB27:AC27)/AB32</f>
        <v>0.31460413328968911</v>
      </c>
      <c r="AD79" s="193">
        <f t="array" ref="AD79">SUM(AD15:AE15*AD27:AE27)/AD32</f>
        <v>0.29108991619091396</v>
      </c>
      <c r="AF79" s="193">
        <f t="array" ref="AF79">SUM(AF15:AG15*AF27:AG27)/AF32</f>
        <v>0.25964110919683842</v>
      </c>
      <c r="AH79" s="193">
        <f t="array" ref="AH79">SUM(AH15:AI15*AH27:AI27)/AH32</f>
        <v>0.2144565700951454</v>
      </c>
      <c r="AJ79" s="193">
        <f t="array" ref="AJ79">SUM(AJ15:AK15*AJ27:AK27)/AJ32</f>
        <v>0.14479090061737404</v>
      </c>
      <c r="AL79" s="193">
        <f t="array" ref="AL79">SUM(AL15:AM15*AL27:AM27)/AL32</f>
        <v>2.8039044856304835E-2</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0.20387448074979778</v>
      </c>
      <c r="F80" s="236">
        <f>F55</f>
        <v>0.20939512098257471</v>
      </c>
      <c r="H80" s="236">
        <f>H55</f>
        <v>0.21509203914605421</v>
      </c>
      <c r="J80" s="236">
        <f>J55</f>
        <v>0.22099869774812478</v>
      </c>
      <c r="L80" s="236">
        <f>L55</f>
        <v>0.22715667836961337</v>
      </c>
      <c r="N80" s="236">
        <f>N55</f>
        <v>0.23361906859529341</v>
      </c>
      <c r="P80" s="236">
        <f>P55</f>
        <v>0.24045463938229153</v>
      </c>
      <c r="R80" s="236">
        <f>R55</f>
        <v>0.2477554932273808</v>
      </c>
      <c r="T80" s="236">
        <f>T55</f>
        <v>0.25564893716054538</v>
      </c>
      <c r="V80" s="236">
        <f>V55</f>
        <v>0.26431766415438362</v>
      </c>
      <c r="X80" s="236">
        <f>X55</f>
        <v>0.27403538241918335</v>
      </c>
      <c r="Z80" s="236">
        <f>Z55</f>
        <v>0.28523209839651892</v>
      </c>
      <c r="AB80" s="236">
        <f>AB55</f>
        <v>0.298618954195913</v>
      </c>
      <c r="AD80" s="236">
        <f>AD55</f>
        <v>0.31543368102031655</v>
      </c>
      <c r="AF80" s="236">
        <f>AF55</f>
        <v>0.33792233158192553</v>
      </c>
      <c r="AH80" s="236">
        <f>AH55</f>
        <v>0.3702332375153557</v>
      </c>
      <c r="AJ80" s="236">
        <f>AJ55</f>
        <v>0.42005029169648583</v>
      </c>
      <c r="AL80" s="236">
        <f>AL55</f>
        <v>0.50353809356096457</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-2.2171723814627078E-2</v>
      </c>
      <c r="F81" s="236">
        <f>F51/F$32</f>
        <v>-1.6651083581850138E-2</v>
      </c>
      <c r="H81" s="236">
        <f>H51/H$32</f>
        <v>-1.0954165418370623E-2</v>
      </c>
      <c r="J81" s="236">
        <f>J51/J$32</f>
        <v>-5.0475068163000434E-3</v>
      </c>
      <c r="L81" s="236">
        <f>L51/L$32</f>
        <v>1.1104738051885188E-3</v>
      </c>
      <c r="N81" s="236">
        <f>N51/N$32</f>
        <v>7.5728640308685658E-3</v>
      </c>
      <c r="P81" s="236">
        <f>P51/P$32</f>
        <v>1.4408434817866692E-2</v>
      </c>
      <c r="R81" s="236">
        <f>R51/R$32</f>
        <v>2.1709288662955958E-2</v>
      </c>
      <c r="T81" s="236">
        <f>T51/T$32</f>
        <v>2.9602732596120538E-2</v>
      </c>
      <c r="V81" s="236">
        <f>V51/V$32</f>
        <v>3.8271459589958819E-2</v>
      </c>
      <c r="X81" s="236">
        <f>X51/X$32</f>
        <v>4.7989177854758487E-2</v>
      </c>
      <c r="Z81" s="236">
        <f>Z51/Z$32</f>
        <v>5.9185893832094064E-2</v>
      </c>
      <c r="AB81" s="236">
        <f>AB51/AB$32</f>
        <v>7.2572749631488159E-2</v>
      </c>
      <c r="AD81" s="236">
        <f>AD51/AD$32</f>
        <v>8.9387476455891693E-2</v>
      </c>
      <c r="AF81" s="236">
        <f>AF51/AF$32</f>
        <v>0.11187612701750069</v>
      </c>
      <c r="AH81" s="236">
        <f>AH51/AH$32</f>
        <v>0.14418703295093083</v>
      </c>
      <c r="AJ81" s="236">
        <f>AJ51/AJ$32</f>
        <v>0.19400408713206099</v>
      </c>
      <c r="AL81" s="236">
        <f>AL51/AL$32</f>
        <v>0.27749188899653976</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0.13993670581720549</v>
      </c>
      <c r="F82" s="236">
        <f>F52/F$32</f>
        <v>0.14081859265005886</v>
      </c>
      <c r="H82" s="236">
        <f>H52/H$32</f>
        <v>0.14172863802580637</v>
      </c>
      <c r="J82" s="236">
        <f>J52/J$32</f>
        <v>0.14267218008817595</v>
      </c>
      <c r="L82" s="236">
        <f>L52/L$32</f>
        <v>0.14365588932023154</v>
      </c>
      <c r="N82" s="236">
        <f>N52/N$32</f>
        <v>0.14468821312055205</v>
      </c>
      <c r="P82" s="236">
        <f>P52/P$32</f>
        <v>0.14578015020407761</v>
      </c>
      <c r="R82" s="236">
        <f>R52/R$32</f>
        <v>0.14694642189601062</v>
      </c>
      <c r="T82" s="236">
        <f>T52/T$32</f>
        <v>0.14820734866962773</v>
      </c>
      <c r="V82" s="236">
        <f>V52/V$32</f>
        <v>0.14959212321187468</v>
      </c>
      <c r="X82" s="236">
        <f>X52/X$32</f>
        <v>0.15114446829227923</v>
      </c>
      <c r="Z82" s="236">
        <f>Z52/Z$32</f>
        <v>0.15293307062770925</v>
      </c>
      <c r="AB82" s="236">
        <f>AB52/AB$32</f>
        <v>0.15507153735059914</v>
      </c>
      <c r="AD82" s="236">
        <f>AD52/AD$32</f>
        <v>0.15775758420082503</v>
      </c>
      <c r="AF82" s="236">
        <f>AF52/AF$32</f>
        <v>0.16135000392089571</v>
      </c>
      <c r="AH82" s="236">
        <f>AH52/AH$32</f>
        <v>0.16651146639791045</v>
      </c>
      <c r="AJ82" s="236">
        <f>AJ52/AJ$32</f>
        <v>0.17446942588464906</v>
      </c>
      <c r="AL82" s="236">
        <f>AL52/AL$32</f>
        <v>0.1878060744165008</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0.18600714462929877</v>
      </c>
      <c r="D83" s="236">
        <f>D53/D$32</f>
        <v>0.18293355263213132</v>
      </c>
      <c r="F83" s="236">
        <f>F53/F$32</f>
        <v>0.17977476399145864</v>
      </c>
      <c r="H83" s="236">
        <f>H53/H$32</f>
        <v>0.17651511770599013</v>
      </c>
      <c r="J83" s="236">
        <f>J53/J$32</f>
        <v>0.17313544763081354</v>
      </c>
      <c r="L83" s="236">
        <f>L53/L$32</f>
        <v>0.16961196042620835</v>
      </c>
      <c r="N83" s="236">
        <f>N53/N$32</f>
        <v>0.16591431953667996</v>
      </c>
      <c r="P83" s="236">
        <f>P53/P$32</f>
        <v>0.16200315246612576</v>
      </c>
      <c r="R83" s="236">
        <f>R53/R$32</f>
        <v>0.15782575577425512</v>
      </c>
      <c r="T83" s="236">
        <f>T53/T$32</f>
        <v>0.15330929721715714</v>
      </c>
      <c r="V83" s="236">
        <f>V53/V$32</f>
        <v>0.14834923572275882</v>
      </c>
      <c r="X83" s="236">
        <f>X53/X$32</f>
        <v>0.14278896851303427</v>
      </c>
      <c r="Z83" s="236">
        <f>Z53/Z$32</f>
        <v>0.13638244718559334</v>
      </c>
      <c r="AB83" s="236">
        <f>AB53/AB$32</f>
        <v>0.12872276612018324</v>
      </c>
      <c r="AD83" s="236">
        <f>AD53/AD$32</f>
        <v>0.11910173846090026</v>
      </c>
      <c r="AF83" s="236">
        <f>AF53/AF$32</f>
        <v>0.10623421067247928</v>
      </c>
      <c r="AH83" s="236">
        <f>AH53/AH$32</f>
        <v>8.7746599596880845E-2</v>
      </c>
      <c r="AJ83" s="236">
        <f>AJ53/AJ$32</f>
        <v>5.9242340657168269E-2</v>
      </c>
      <c r="AL83" s="236">
        <f>AL53/AL$32</f>
        <v>1.1472396676835856E-2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5.8087100153133273E-2</v>
      </c>
      <c r="E2" s="227"/>
      <c r="F2" s="226">
        <v>0.11640178609996685</v>
      </c>
      <c r="G2" s="227"/>
      <c r="H2" s="226">
        <v>0.18188261358239613</v>
      </c>
      <c r="I2" s="227"/>
      <c r="J2" s="226">
        <v>0.25605312858704654</v>
      </c>
      <c r="K2" s="227"/>
      <c r="L2" s="226">
        <v>0.34095058694958552</v>
      </c>
      <c r="M2" s="227"/>
      <c r="N2" s="226">
        <v>0.43937457135782071</v>
      </c>
      <c r="O2" s="227"/>
      <c r="P2" s="226">
        <v>0.55529607571974415</v>
      </c>
      <c r="Q2" s="227"/>
      <c r="R2" s="226">
        <v>0.69455598825063281</v>
      </c>
      <c r="S2" s="227"/>
      <c r="T2" s="226">
        <v>0.86612662723881595</v>
      </c>
      <c r="U2" s="227"/>
      <c r="V2" s="226">
        <v>1.0845000655642563</v>
      </c>
      <c r="W2" s="227"/>
      <c r="X2" s="226">
        <v>1.3745023328689414</v>
      </c>
      <c r="Y2" s="227"/>
      <c r="Z2" s="226">
        <v>1.7816224752476304</v>
      </c>
      <c r="AA2" s="227"/>
      <c r="AB2" s="226">
        <v>2.3954171819211081</v>
      </c>
      <c r="AC2" s="227"/>
      <c r="AD2" s="226">
        <v>3.4041440368753406</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997.81896776120141</v>
      </c>
      <c r="E3" s="85">
        <v>1032.6535836439875</v>
      </c>
      <c r="F3" s="84">
        <v>995.64444996813199</v>
      </c>
      <c r="G3" s="85">
        <v>1068.9451071981321</v>
      </c>
      <c r="H3" s="84">
        <v>993.46395826578782</v>
      </c>
      <c r="I3" s="85">
        <v>1109.5488916274319</v>
      </c>
      <c r="J3" s="84">
        <v>991.26570997854947</v>
      </c>
      <c r="K3" s="85">
        <v>1155.3306797006826</v>
      </c>
      <c r="L3" s="84">
        <v>989.03950757419068</v>
      </c>
      <c r="M3" s="85">
        <v>1207.4255203852106</v>
      </c>
      <c r="N3" s="84">
        <v>986.77830153766024</v>
      </c>
      <c r="O3" s="85">
        <v>1267.3588714851883</v>
      </c>
      <c r="P3" s="84">
        <v>984.4808990289032</v>
      </c>
      <c r="Q3" s="85">
        <v>1337.2403750713931</v>
      </c>
      <c r="R3" s="84">
        <v>982.1566569513277</v>
      </c>
      <c r="S3" s="85">
        <v>1420.0870521170245</v>
      </c>
      <c r="T3" s="84">
        <v>979.83381196716209</v>
      </c>
      <c r="U3" s="85">
        <v>1520.3876582134301</v>
      </c>
      <c r="V3" s="84">
        <v>977.57420183827264</v>
      </c>
      <c r="W3" s="85">
        <v>1645.135899693619</v>
      </c>
      <c r="X3" s="84">
        <v>975.49933969829726</v>
      </c>
      <c r="Y3" s="85">
        <v>1805.827732860716</v>
      </c>
      <c r="Z3" s="84">
        <v>973.83441638086151</v>
      </c>
      <c r="AA3" s="85">
        <v>2022.5330943145602</v>
      </c>
      <c r="AB3" s="84">
        <v>972.96886458596794</v>
      </c>
      <c r="AC3" s="85">
        <v>2332.5501360931876</v>
      </c>
      <c r="AD3" s="84">
        <v>973.47726390431887</v>
      </c>
      <c r="AE3" s="85">
        <v>2809.084445908828</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997.71040792125859</v>
      </c>
      <c r="E5" s="42">
        <v>1028.2222869616285</v>
      </c>
      <c r="F5" s="41">
        <v>995.4255544638844</v>
      </c>
      <c r="G5" s="42">
        <v>1058.545760436137</v>
      </c>
      <c r="H5" s="41">
        <v>993.13230325626625</v>
      </c>
      <c r="I5" s="42">
        <v>1091.1905641168632</v>
      </c>
      <c r="J5" s="41">
        <v>990.81821196842429</v>
      </c>
      <c r="K5" s="42">
        <v>1126.4014904628827</v>
      </c>
      <c r="L5" s="41">
        <v>988.47246148854924</v>
      </c>
      <c r="M5" s="42">
        <v>1164.4482057684804</v>
      </c>
      <c r="N5" s="41">
        <v>986.08751111948675</v>
      </c>
      <c r="O5" s="42">
        <v>1205.62385382566</v>
      </c>
      <c r="P5" s="41">
        <v>983.66197414866099</v>
      </c>
      <c r="Q5" s="42">
        <v>1250.2373469187385</v>
      </c>
      <c r="R5" s="41">
        <v>981.20561025010056</v>
      </c>
      <c r="S5" s="42">
        <v>1298.5968260482036</v>
      </c>
      <c r="T5" s="41">
        <v>978.74820036566507</v>
      </c>
      <c r="U5" s="42">
        <v>1350.9657482917944</v>
      </c>
      <c r="V5" s="41">
        <v>976.35524968118227</v>
      </c>
      <c r="W5" s="42">
        <v>1407.4725997856442</v>
      </c>
      <c r="X5" s="41">
        <v>974.15581441290465</v>
      </c>
      <c r="Y5" s="42">
        <v>1467.9153356147413</v>
      </c>
      <c r="Z5" s="41">
        <v>972.3894421884404</v>
      </c>
      <c r="AA5" s="42">
        <v>1531.3525151024162</v>
      </c>
      <c r="AB5" s="41">
        <v>971.47062334568284</v>
      </c>
      <c r="AC5" s="42">
        <v>1595.3275544125313</v>
      </c>
      <c r="AD5" s="41">
        <v>972.01035387553429</v>
      </c>
      <c r="AE5" s="42">
        <v>1654.809956495247</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997.5357085690199</v>
      </c>
      <c r="E6" s="42">
        <v>1035.1601671586257</v>
      </c>
      <c r="F6" s="41">
        <v>995.07737749679609</v>
      </c>
      <c r="G6" s="42">
        <v>1074.0516683820722</v>
      </c>
      <c r="H6" s="41">
        <v>992.61087464110767</v>
      </c>
      <c r="I6" s="42">
        <v>1117.3647939541568</v>
      </c>
      <c r="J6" s="41">
        <v>990.12283380071585</v>
      </c>
      <c r="K6" s="42">
        <v>1165.9862001861798</v>
      </c>
      <c r="L6" s="41">
        <v>987.60165210039611</v>
      </c>
      <c r="M6" s="42">
        <v>1221.0788509220424</v>
      </c>
      <c r="N6" s="41">
        <v>985.0392654270936</v>
      </c>
      <c r="O6" s="42">
        <v>1284.2063132694786</v>
      </c>
      <c r="P6" s="41">
        <v>982.43423027532174</v>
      </c>
      <c r="Q6" s="42">
        <v>1357.531582662122</v>
      </c>
      <c r="R6" s="41">
        <v>979.79707059501243</v>
      </c>
      <c r="S6" s="42">
        <v>1444.1486252282677</v>
      </c>
      <c r="T6" s="41">
        <v>977.15977794571211</v>
      </c>
      <c r="U6" s="42">
        <v>1548.661186943295</v>
      </c>
      <c r="V6" s="41">
        <v>974.59261398416879</v>
      </c>
      <c r="W6" s="42">
        <v>1678.2422000896865</v>
      </c>
      <c r="X6" s="41">
        <v>972.23388109466271</v>
      </c>
      <c r="Y6" s="42">
        <v>1844.6812761663716</v>
      </c>
      <c r="Z6" s="41">
        <v>970.34014994942754</v>
      </c>
      <c r="AA6" s="42">
        <v>2068.5580255597661</v>
      </c>
      <c r="AB6" s="41">
        <v>969.35528433875777</v>
      </c>
      <c r="AC6" s="42">
        <v>2388.1113566212343</v>
      </c>
      <c r="AD6" s="41">
        <v>969.93379517476217</v>
      </c>
      <c r="AE6" s="42">
        <v>2878.3848203444209</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1013.5856592016967</v>
      </c>
      <c r="E7" s="34">
        <v>1013.5856592016967</v>
      </c>
      <c r="F7" s="33">
        <v>1011.264449881452</v>
      </c>
      <c r="G7" s="34">
        <v>1011.264449881452</v>
      </c>
      <c r="H7" s="33">
        <v>1008.9347091886275</v>
      </c>
      <c r="I7" s="34">
        <v>1008.9347091886275</v>
      </c>
      <c r="J7" s="33">
        <v>1006.5837968148385</v>
      </c>
      <c r="K7" s="34">
        <v>1006.5837968148385</v>
      </c>
      <c r="L7" s="33">
        <v>1004.2007214980032</v>
      </c>
      <c r="M7" s="34">
        <v>1004.2007214980032</v>
      </c>
      <c r="N7" s="33">
        <v>1001.7778225557879</v>
      </c>
      <c r="O7" s="34">
        <v>1001.7778225557879</v>
      </c>
      <c r="P7" s="33">
        <v>999.31369121068667</v>
      </c>
      <c r="Q7" s="34">
        <v>999.31369121068667</v>
      </c>
      <c r="R7" s="33">
        <v>996.81824242956293</v>
      </c>
      <c r="S7" s="34">
        <v>996.81824242956293</v>
      </c>
      <c r="T7" s="33">
        <v>994.32173101916885</v>
      </c>
      <c r="U7" s="34">
        <v>994.32173101916885</v>
      </c>
      <c r="V7" s="33">
        <v>991.89070446305413</v>
      </c>
      <c r="W7" s="34">
        <v>991.89070446305413</v>
      </c>
      <c r="X7" s="33">
        <v>989.65627247901443</v>
      </c>
      <c r="Y7" s="34">
        <v>989.65627247901443</v>
      </c>
      <c r="Z7" s="33">
        <v>987.86179430046218</v>
      </c>
      <c r="AA7" s="34">
        <v>987.86179430046218</v>
      </c>
      <c r="AB7" s="33">
        <v>986.92835550396433</v>
      </c>
      <c r="AC7" s="34">
        <v>986.92835550396433</v>
      </c>
      <c r="AD7" s="33">
        <v>987.47667405466541</v>
      </c>
      <c r="AE7" s="34">
        <v>987.47667405466541</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1087.9487379240525</v>
      </c>
      <c r="E8" s="36">
        <v>1087.9487379240525</v>
      </c>
      <c r="F8" s="35">
        <v>1181.7623776194509</v>
      </c>
      <c r="G8" s="36">
        <v>1181.7623776194509</v>
      </c>
      <c r="H8" s="35">
        <v>1289.6591558348875</v>
      </c>
      <c r="I8" s="36">
        <v>1289.6591558348875</v>
      </c>
      <c r="J8" s="35">
        <v>1414.8201161410161</v>
      </c>
      <c r="K8" s="36">
        <v>1414.8201161410161</v>
      </c>
      <c r="L8" s="35">
        <v>1561.4675049976354</v>
      </c>
      <c r="M8" s="36">
        <v>1561.4675049976354</v>
      </c>
      <c r="N8" s="35">
        <v>1735.3443178190735</v>
      </c>
      <c r="O8" s="36">
        <v>1735.3443178190735</v>
      </c>
      <c r="P8" s="35">
        <v>1944.4892393809782</v>
      </c>
      <c r="Q8" s="36">
        <v>1944.4892393809782</v>
      </c>
      <c r="R8" s="35">
        <v>2200.5450279032489</v>
      </c>
      <c r="S8" s="36">
        <v>2200.5450279032489</v>
      </c>
      <c r="T8" s="35">
        <v>2521.0731553749297</v>
      </c>
      <c r="U8" s="36">
        <v>2521.0731553749297</v>
      </c>
      <c r="V8" s="35">
        <v>2933.8767265330698</v>
      </c>
      <c r="W8" s="36">
        <v>2933.8767265330698</v>
      </c>
      <c r="X8" s="35">
        <v>3485.5683888712983</v>
      </c>
      <c r="Y8" s="36">
        <v>3485.5683888712983</v>
      </c>
      <c r="Z8" s="35">
        <v>4259.6445735358666</v>
      </c>
      <c r="AA8" s="36">
        <v>4259.6445735358666</v>
      </c>
      <c r="AB8" s="35">
        <v>5416.8025890444906</v>
      </c>
      <c r="AC8" s="36">
        <v>5416.8025890444906</v>
      </c>
      <c r="AD8" s="35">
        <v>7288.0214020604835</v>
      </c>
      <c r="AE8" s="36">
        <v>7288.0214020604835</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1013.5856592016967</v>
      </c>
      <c r="E9" s="42">
        <v>1087.9487379240525</v>
      </c>
      <c r="F9" s="41">
        <v>1011.264449881452</v>
      </c>
      <c r="G9" s="42">
        <v>1181.7623776194509</v>
      </c>
      <c r="H9" s="41">
        <v>1008.9347091886275</v>
      </c>
      <c r="I9" s="42">
        <v>1289.6591558348875</v>
      </c>
      <c r="J9" s="41">
        <v>1006.5837968148385</v>
      </c>
      <c r="K9" s="42">
        <v>1414.8201161410161</v>
      </c>
      <c r="L9" s="41">
        <v>1004.2007214980032</v>
      </c>
      <c r="M9" s="42">
        <v>1561.4675049976354</v>
      </c>
      <c r="N9" s="41">
        <v>1001.7778225557879</v>
      </c>
      <c r="O9" s="42">
        <v>1735.3443178190735</v>
      </c>
      <c r="P9" s="41">
        <v>999.31369121068667</v>
      </c>
      <c r="Q9" s="42">
        <v>1944.4892393809782</v>
      </c>
      <c r="R9" s="41">
        <v>996.81824242956293</v>
      </c>
      <c r="S9" s="42">
        <v>2200.5450279032489</v>
      </c>
      <c r="T9" s="41">
        <v>994.32173101916885</v>
      </c>
      <c r="U9" s="42">
        <v>2521.0731553749297</v>
      </c>
      <c r="V9" s="41">
        <v>991.89070446305413</v>
      </c>
      <c r="W9" s="42">
        <v>2933.8767265330698</v>
      </c>
      <c r="X9" s="41">
        <v>989.65627247901443</v>
      </c>
      <c r="Y9" s="42">
        <v>3485.5683888712983</v>
      </c>
      <c r="Z9" s="41">
        <v>987.86179430046218</v>
      </c>
      <c r="AA9" s="42">
        <v>4259.6445735358666</v>
      </c>
      <c r="AB9" s="41">
        <v>986.92835550396433</v>
      </c>
      <c r="AC9" s="42">
        <v>5416.8025890444906</v>
      </c>
      <c r="AD9" s="41">
        <v>987.47667405466541</v>
      </c>
      <c r="AE9" s="42">
        <v>7288.0214020604835</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1013.5856592016967</v>
      </c>
      <c r="E10" s="42">
        <v>1087.9487379240525</v>
      </c>
      <c r="F10" s="41">
        <v>1011.264449881452</v>
      </c>
      <c r="G10" s="42">
        <v>1181.7623776194509</v>
      </c>
      <c r="H10" s="41">
        <v>1008.9347091886275</v>
      </c>
      <c r="I10" s="42">
        <v>1289.6591558348875</v>
      </c>
      <c r="J10" s="41">
        <v>1006.5837968148385</v>
      </c>
      <c r="K10" s="42">
        <v>1414.8201161410161</v>
      </c>
      <c r="L10" s="41">
        <v>1004.2007214980032</v>
      </c>
      <c r="M10" s="42">
        <v>1561.4675049976354</v>
      </c>
      <c r="N10" s="41">
        <v>1001.7778225557879</v>
      </c>
      <c r="O10" s="42">
        <v>1735.3443178190735</v>
      </c>
      <c r="P10" s="41">
        <v>999.31369121068667</v>
      </c>
      <c r="Q10" s="42">
        <v>1944.4892393809782</v>
      </c>
      <c r="R10" s="41">
        <v>996.81824242956293</v>
      </c>
      <c r="S10" s="42">
        <v>2200.5450279032489</v>
      </c>
      <c r="T10" s="41">
        <v>994.32173101916885</v>
      </c>
      <c r="U10" s="42">
        <v>2521.0731553749297</v>
      </c>
      <c r="V10" s="41">
        <v>991.89070446305413</v>
      </c>
      <c r="W10" s="42">
        <v>2933.8767265330698</v>
      </c>
      <c r="X10" s="41">
        <v>989.65627247901443</v>
      </c>
      <c r="Y10" s="42">
        <v>3485.5683888712983</v>
      </c>
      <c r="Z10" s="41">
        <v>987.86179430046218</v>
      </c>
      <c r="AA10" s="42">
        <v>4259.6445735358666</v>
      </c>
      <c r="AB10" s="41">
        <v>986.92835550396433</v>
      </c>
      <c r="AC10" s="42">
        <v>5416.8025890444906</v>
      </c>
      <c r="AD10" s="41">
        <v>987.47667405466541</v>
      </c>
      <c r="AE10" s="42">
        <v>7288.0214020604835</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1013.5856592016967</v>
      </c>
      <c r="E11" s="42">
        <v>1087.9487379240525</v>
      </c>
      <c r="F11" s="41">
        <v>1011.264449881452</v>
      </c>
      <c r="G11" s="42">
        <v>1181.7623776194509</v>
      </c>
      <c r="H11" s="41">
        <v>1008.9347091886275</v>
      </c>
      <c r="I11" s="42">
        <v>1289.6591558348875</v>
      </c>
      <c r="J11" s="41">
        <v>1006.5837968148385</v>
      </c>
      <c r="K11" s="42">
        <v>1414.8201161410161</v>
      </c>
      <c r="L11" s="41">
        <v>1004.2007214980032</v>
      </c>
      <c r="M11" s="42">
        <v>1561.4675049976354</v>
      </c>
      <c r="N11" s="41">
        <v>1001.7778225557879</v>
      </c>
      <c r="O11" s="42">
        <v>1735.3443178190735</v>
      </c>
      <c r="P11" s="41">
        <v>999.31369121068667</v>
      </c>
      <c r="Q11" s="42">
        <v>1944.4892393809782</v>
      </c>
      <c r="R11" s="41">
        <v>996.81824242956293</v>
      </c>
      <c r="S11" s="42">
        <v>2200.5450279032489</v>
      </c>
      <c r="T11" s="41">
        <v>994.32173101916885</v>
      </c>
      <c r="U11" s="42">
        <v>2521.0731553749297</v>
      </c>
      <c r="V11" s="41">
        <v>991.89070446305413</v>
      </c>
      <c r="W11" s="42">
        <v>2933.8767265330698</v>
      </c>
      <c r="X11" s="41">
        <v>989.65627247901443</v>
      </c>
      <c r="Y11" s="42">
        <v>3485.5683888712983</v>
      </c>
      <c r="Z11" s="41">
        <v>987.86179430046218</v>
      </c>
      <c r="AA11" s="42">
        <v>4259.6445735358666</v>
      </c>
      <c r="AB11" s="41">
        <v>986.92835550396433</v>
      </c>
      <c r="AC11" s="42">
        <v>5416.8025890444906</v>
      </c>
      <c r="AD11" s="41">
        <v>987.47667405466541</v>
      </c>
      <c r="AE11" s="42">
        <v>7288.0214020604835</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957.34092408567722</v>
      </c>
      <c r="E13" s="98">
        <v>957.34092408567722</v>
      </c>
      <c r="F13" s="97">
        <v>913.60708930705414</v>
      </c>
      <c r="G13" s="98">
        <v>913.60708930705414</v>
      </c>
      <c r="H13" s="97">
        <v>868.58423973267043</v>
      </c>
      <c r="I13" s="98">
        <v>868.58423973267043</v>
      </c>
      <c r="J13" s="97">
        <v>822.01443911934211</v>
      </c>
      <c r="K13" s="98">
        <v>822.01443911934211</v>
      </c>
      <c r="L13" s="97">
        <v>773.57788640847195</v>
      </c>
      <c r="M13" s="98">
        <v>773.57788640847195</v>
      </c>
      <c r="N13" s="97">
        <v>722.86517556294746</v>
      </c>
      <c r="O13" s="98">
        <v>722.86517556294746</v>
      </c>
      <c r="P13" s="97">
        <v>669.33516577198668</v>
      </c>
      <c r="Q13" s="98">
        <v>669.33516577198668</v>
      </c>
      <c r="R13" s="97">
        <v>612.24859783602062</v>
      </c>
      <c r="S13" s="98">
        <v>612.24859783602062</v>
      </c>
      <c r="T13" s="97">
        <v>550.56459522096145</v>
      </c>
      <c r="U13" s="98">
        <v>550.56459522096145</v>
      </c>
      <c r="V13" s="97">
        <v>482.77861956516995</v>
      </c>
      <c r="W13" s="98">
        <v>482.77861956516995</v>
      </c>
      <c r="X13" s="97">
        <v>406.68970171931937</v>
      </c>
      <c r="Y13" s="98">
        <v>406.68970171931937</v>
      </c>
      <c r="Z13" s="97">
        <v>319.16681444807023</v>
      </c>
      <c r="AA13" s="98">
        <v>319.16681444807023</v>
      </c>
      <c r="AB13" s="97">
        <v>216.46319961777459</v>
      </c>
      <c r="AC13" s="98">
        <v>216.46319961777459</v>
      </c>
      <c r="AD13" s="97">
        <v>98.071632961626889</v>
      </c>
      <c r="AE13" s="98">
        <v>98.071632961626889</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1394.849005424812</v>
      </c>
      <c r="E14" s="42">
        <v>1394.8490054248123</v>
      </c>
      <c r="F14" s="41">
        <v>1331.1286583576098</v>
      </c>
      <c r="G14" s="42">
        <v>1331.12865835761</v>
      </c>
      <c r="H14" s="41">
        <v>1265.530212317921</v>
      </c>
      <c r="I14" s="42">
        <v>1265.5302123179213</v>
      </c>
      <c r="J14" s="41">
        <v>1197.6778533159577</v>
      </c>
      <c r="K14" s="42">
        <v>1197.6778533159579</v>
      </c>
      <c r="L14" s="41">
        <v>1127.1056301139781</v>
      </c>
      <c r="M14" s="42">
        <v>1127.1056301139783</v>
      </c>
      <c r="N14" s="41">
        <v>1053.2170367136346</v>
      </c>
      <c r="O14" s="42">
        <v>1053.2170367136346</v>
      </c>
      <c r="P14" s="41">
        <v>975.22362910013123</v>
      </c>
      <c r="Q14" s="42">
        <v>975.22362910013135</v>
      </c>
      <c r="R14" s="41">
        <v>892.04830408762609</v>
      </c>
      <c r="S14" s="42">
        <v>892.04830408762621</v>
      </c>
      <c r="T14" s="41">
        <v>802.17450100079941</v>
      </c>
      <c r="U14" s="42">
        <v>802.17450100079952</v>
      </c>
      <c r="V14" s="41">
        <v>703.41010229348012</v>
      </c>
      <c r="W14" s="42">
        <v>703.41010229348024</v>
      </c>
      <c r="X14" s="41">
        <v>592.54828837645948</v>
      </c>
      <c r="Y14" s="42">
        <v>592.5482883764596</v>
      </c>
      <c r="Z14" s="41">
        <v>465.02714184362401</v>
      </c>
      <c r="AA14" s="42">
        <v>465.02714184362407</v>
      </c>
      <c r="AB14" s="41">
        <v>315.38762326105672</v>
      </c>
      <c r="AC14" s="42">
        <v>315.38762326105677</v>
      </c>
      <c r="AD14" s="41">
        <v>142.89070513470497</v>
      </c>
      <c r="AE14" s="42">
        <v>142.890705134705</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1037.118631782794</v>
      </c>
      <c r="E15" s="155">
        <v>1037.118631782794</v>
      </c>
      <c r="F15" s="154">
        <v>1075.8959972301864</v>
      </c>
      <c r="G15" s="155">
        <v>1075.8959972301864</v>
      </c>
      <c r="H15" s="154">
        <v>1116.5856998827699</v>
      </c>
      <c r="I15" s="155">
        <v>1116.5856998827699</v>
      </c>
      <c r="J15" s="154">
        <v>1159.5104292657998</v>
      </c>
      <c r="K15" s="155">
        <v>1159.5104292657998</v>
      </c>
      <c r="L15" s="154">
        <v>1205.0932048694772</v>
      </c>
      <c r="M15" s="155">
        <v>1205.0932048694772</v>
      </c>
      <c r="N15" s="154">
        <v>1253.9075908001644</v>
      </c>
      <c r="O15" s="155">
        <v>1253.9075908001644</v>
      </c>
      <c r="P15" s="154">
        <v>1306.7589521247196</v>
      </c>
      <c r="Q15" s="155">
        <v>1306.7589521247196</v>
      </c>
      <c r="R15" s="154">
        <v>1364.8219404992712</v>
      </c>
      <c r="S15" s="155">
        <v>1364.8219404992712</v>
      </c>
      <c r="T15" s="154">
        <v>1429.8795049255352</v>
      </c>
      <c r="U15" s="155">
        <v>1429.8795049255352</v>
      </c>
      <c r="V15" s="154">
        <v>1504.7552642420999</v>
      </c>
      <c r="W15" s="155">
        <v>1504.7552642420999</v>
      </c>
      <c r="X15" s="154">
        <v>1594.1186099041963</v>
      </c>
      <c r="Y15" s="155">
        <v>1594.1186099041963</v>
      </c>
      <c r="Z15" s="154">
        <v>1706.0094110994339</v>
      </c>
      <c r="AA15" s="155">
        <v>1706.0094110994339</v>
      </c>
      <c r="AB15" s="154">
        <v>1854.6409662113304</v>
      </c>
      <c r="AC15" s="155">
        <v>1854.6409662113304</v>
      </c>
      <c r="AD15" s="154">
        <v>2064.8489253054336</v>
      </c>
      <c r="AE15" s="155">
        <v>2064.8489253054336</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994.34609720415528</v>
      </c>
      <c r="E16" s="42">
        <v>1014.2507336711395</v>
      </c>
      <c r="F16" s="41">
        <v>988.37972353402483</v>
      </c>
      <c r="G16" s="42">
        <v>1029.1722509471003</v>
      </c>
      <c r="H16" s="41">
        <v>982.03759055210207</v>
      </c>
      <c r="I16" s="42">
        <v>1044.8604896312945</v>
      </c>
      <c r="J16" s="41">
        <v>975.24445685146725</v>
      </c>
      <c r="K16" s="42">
        <v>1061.4408427326114</v>
      </c>
      <c r="L16" s="41">
        <v>967.90921702797471</v>
      </c>
      <c r="M16" s="42">
        <v>1079.0822594428582</v>
      </c>
      <c r="N16" s="41">
        <v>959.91916229263302</v>
      </c>
      <c r="O16" s="42">
        <v>1098.0202568822447</v>
      </c>
      <c r="P16" s="41">
        <v>951.13130811334156</v>
      </c>
      <c r="Q16" s="42">
        <v>1118.5947365377021</v>
      </c>
      <c r="R16" s="41">
        <v>941.3586064182482</v>
      </c>
      <c r="S16" s="42">
        <v>1141.3149550881371</v>
      </c>
      <c r="T16" s="41">
        <v>930.34724237668502</v>
      </c>
      <c r="U16" s="42">
        <v>1166.974555634378</v>
      </c>
      <c r="V16" s="41">
        <v>917.73695365192941</v>
      </c>
      <c r="W16" s="42">
        <v>1196.8640877447679</v>
      </c>
      <c r="X16" s="41">
        <v>902.98809955857303</v>
      </c>
      <c r="Y16" s="42">
        <v>1233.1783452864834</v>
      </c>
      <c r="Z16" s="41">
        <v>885.2402310849393</v>
      </c>
      <c r="AA16" s="42">
        <v>1279.8234604979973</v>
      </c>
      <c r="AB16" s="41">
        <v>863.02695567543833</v>
      </c>
      <c r="AC16" s="42">
        <v>1344.0377190868976</v>
      </c>
      <c r="AD16" s="41">
        <v>833.70383329927745</v>
      </c>
      <c r="AE16" s="42">
        <v>1439.6734972334236</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997.91993694908228</v>
      </c>
      <c r="E17" s="36">
        <v>1050.0109944587321</v>
      </c>
      <c r="F17" s="35">
        <v>995.8480705082668</v>
      </c>
      <c r="G17" s="36">
        <v>1106.1622737295036</v>
      </c>
      <c r="H17" s="35">
        <v>993.77251727591397</v>
      </c>
      <c r="I17" s="36">
        <v>1169.6802061639726</v>
      </c>
      <c r="J17" s="35">
        <v>991.68211078161767</v>
      </c>
      <c r="K17" s="36">
        <v>1242.1530093021513</v>
      </c>
      <c r="L17" s="35">
        <v>989.56723581171354</v>
      </c>
      <c r="M17" s="36">
        <v>1325.6815174341089</v>
      </c>
      <c r="N17" s="35">
        <v>987.42130437127673</v>
      </c>
      <c r="O17" s="36">
        <v>1423.1150353138353</v>
      </c>
      <c r="P17" s="35">
        <v>985.24331130045482</v>
      </c>
      <c r="Q17" s="36">
        <v>1538.4320874688988</v>
      </c>
      <c r="R17" s="35">
        <v>983.04223535769245</v>
      </c>
      <c r="S17" s="36">
        <v>1677.3826341334668</v>
      </c>
      <c r="T17" s="35">
        <v>980.84488027710995</v>
      </c>
      <c r="U17" s="36">
        <v>1848.621740276059</v>
      </c>
      <c r="V17" s="35">
        <v>978.7096682837215</v>
      </c>
      <c r="W17" s="36">
        <v>2065.8202109745953</v>
      </c>
      <c r="X17" s="35">
        <v>976.75106772237507</v>
      </c>
      <c r="Y17" s="36">
        <v>2351.8273965904609</v>
      </c>
      <c r="Z17" s="35">
        <v>975.1808559653947</v>
      </c>
      <c r="AA17" s="36">
        <v>2747.390309902768</v>
      </c>
      <c r="AB17" s="35">
        <v>974.36504482638418</v>
      </c>
      <c r="AC17" s="36">
        <v>3330.4059723581163</v>
      </c>
      <c r="AD17" s="35">
        <v>974.84418444962557</v>
      </c>
      <c r="AE17" s="36">
        <v>4259.8298896734086</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28267.058409997491</v>
      </c>
      <c r="E18" s="34">
        <v>1138.2134124877321</v>
      </c>
      <c r="F18" s="33">
        <v>28681.111597140967</v>
      </c>
      <c r="G18" s="34">
        <v>1040.2287696939072</v>
      </c>
      <c r="H18" s="33">
        <v>29100.359266498283</v>
      </c>
      <c r="I18" s="34">
        <v>942.827755269313</v>
      </c>
      <c r="J18" s="33">
        <v>29526.21802827526</v>
      </c>
      <c r="K18" s="34">
        <v>846.06370203232314</v>
      </c>
      <c r="L18" s="33">
        <v>29960.438097825019</v>
      </c>
      <c r="M18" s="34">
        <v>750.04697377908644</v>
      </c>
      <c r="N18" s="33">
        <v>30405.266296171438</v>
      </c>
      <c r="O18" s="34">
        <v>654.9736657362364</v>
      </c>
      <c r="P18" s="33">
        <v>30863.707200619017</v>
      </c>
      <c r="Q18" s="34">
        <v>561.16549725497998</v>
      </c>
      <c r="R18" s="33">
        <v>31339.958307053399</v>
      </c>
      <c r="S18" s="34">
        <v>469.13247509670902</v>
      </c>
      <c r="T18" s="33">
        <v>31840.117642251549</v>
      </c>
      <c r="U18" s="34">
        <v>379.66300871019342</v>
      </c>
      <c r="V18" s="33">
        <v>32373.419321726517</v>
      </c>
      <c r="W18" s="34">
        <v>293.96361774246492</v>
      </c>
      <c r="X18" s="33">
        <v>32954.337127942017</v>
      </c>
      <c r="Y18" s="34">
        <v>213.85980381558753</v>
      </c>
      <c r="Z18" s="33">
        <v>33606.024530772171</v>
      </c>
      <c r="AA18" s="34">
        <v>142.04755432469776</v>
      </c>
      <c r="AB18" s="33">
        <v>34364.951357616519</v>
      </c>
      <c r="AC18" s="34">
        <v>82.241321581969046</v>
      </c>
      <c r="AD18" s="33">
        <v>35282.682850534038</v>
      </c>
      <c r="AE18" s="34">
        <v>38.604519307587751</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1903.6572372372314</v>
      </c>
      <c r="E19" s="42">
        <v>279.04596957863015</v>
      </c>
      <c r="F19" s="41">
        <v>1920.93505146444</v>
      </c>
      <c r="G19" s="42">
        <v>296.95126074889288</v>
      </c>
      <c r="H19" s="41">
        <v>1938.2423507604603</v>
      </c>
      <c r="I19" s="42">
        <v>316.68353436530884</v>
      </c>
      <c r="J19" s="41">
        <v>1955.607998110291</v>
      </c>
      <c r="K19" s="42">
        <v>338.42850455268137</v>
      </c>
      <c r="L19" s="41">
        <v>1973.0857270580962</v>
      </c>
      <c r="M19" s="42">
        <v>362.36480709325849</v>
      </c>
      <c r="N19" s="41">
        <v>1990.7725505735837</v>
      </c>
      <c r="O19" s="42">
        <v>388.64167795532808</v>
      </c>
      <c r="P19" s="41">
        <v>2008.8397310277969</v>
      </c>
      <c r="Q19" s="42">
        <v>417.33785094536768</v>
      </c>
      <c r="R19" s="41">
        <v>2027.5859639945982</v>
      </c>
      <c r="S19" s="42">
        <v>448.3869909865254</v>
      </c>
      <c r="T19" s="41">
        <v>2047.5286756046326</v>
      </c>
      <c r="U19" s="42">
        <v>481.44214534657618</v>
      </c>
      <c r="V19" s="41">
        <v>2069.5666426176717</v>
      </c>
      <c r="W19" s="42">
        <v>515.62485096824435</v>
      </c>
      <c r="X19" s="41">
        <v>2095.267475554017</v>
      </c>
      <c r="Y19" s="42">
        <v>549.06111610264725</v>
      </c>
      <c r="Z19" s="41">
        <v>2127.3588441530496</v>
      </c>
      <c r="AA19" s="42">
        <v>578.04915412062314</v>
      </c>
      <c r="AB19" s="41">
        <v>2170.4391809360504</v>
      </c>
      <c r="AC19" s="42">
        <v>595.76032321491505</v>
      </c>
      <c r="AD19" s="41">
        <v>2231.3936155820793</v>
      </c>
      <c r="AE19" s="42">
        <v>591.17736510253098</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26914.420871869439</v>
      </c>
      <c r="E20" s="83">
        <v>1338.1147774499941</v>
      </c>
      <c r="F20" s="82">
        <v>27283.51999889459</v>
      </c>
      <c r="G20" s="83">
        <v>1267.6876838999945</v>
      </c>
      <c r="H20" s="82">
        <v>27656.623195828644</v>
      </c>
      <c r="I20" s="83">
        <v>1197.2605903499946</v>
      </c>
      <c r="J20" s="82">
        <v>28034.907923175357</v>
      </c>
      <c r="K20" s="83">
        <v>1126.8334967999949</v>
      </c>
      <c r="L20" s="82">
        <v>28419.870619980349</v>
      </c>
      <c r="M20" s="83">
        <v>1056.4064032499953</v>
      </c>
      <c r="N20" s="82">
        <v>28813.50012920261</v>
      </c>
      <c r="O20" s="83">
        <v>985.97930969999561</v>
      </c>
      <c r="P20" s="82">
        <v>29218.560361959197</v>
      </c>
      <c r="Q20" s="83">
        <v>915.55221614999607</v>
      </c>
      <c r="R20" s="82">
        <v>29639.066507746265</v>
      </c>
      <c r="S20" s="83">
        <v>845.12512259999642</v>
      </c>
      <c r="T20" s="82">
        <v>30081.073461602224</v>
      </c>
      <c r="U20" s="83">
        <v>774.69802904999653</v>
      </c>
      <c r="V20" s="82">
        <v>30554.063359603297</v>
      </c>
      <c r="W20" s="83">
        <v>704.27093549999688</v>
      </c>
      <c r="X20" s="82">
        <v>31073.337925477685</v>
      </c>
      <c r="Y20" s="83">
        <v>633.84384194999734</v>
      </c>
      <c r="Z20" s="82">
        <v>31663.985214995788</v>
      </c>
      <c r="AA20" s="83">
        <v>563.41674839999746</v>
      </c>
      <c r="AB20" s="82">
        <v>32366.338109426684</v>
      </c>
      <c r="AC20" s="83">
        <v>492.98965484999781</v>
      </c>
      <c r="AD20" s="82">
        <v>33238.368209782195</v>
      </c>
      <c r="AE20" s="83">
        <v>422.56256129999809</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25010.774426732736</v>
      </c>
      <c r="E21" s="83">
        <v>1059.5785347106457</v>
      </c>
      <c r="F21" s="82">
        <v>25362.628617314018</v>
      </c>
      <c r="G21" s="83">
        <v>972.90869091835441</v>
      </c>
      <c r="H21" s="82">
        <v>25718.480621067585</v>
      </c>
      <c r="I21" s="83">
        <v>885.79485856154918</v>
      </c>
      <c r="J21" s="82">
        <v>26079.480708391002</v>
      </c>
      <c r="K21" s="83">
        <v>798.32714913775033</v>
      </c>
      <c r="L21" s="82">
        <v>26447.073761280401</v>
      </c>
      <c r="M21" s="83">
        <v>710.65494226629107</v>
      </c>
      <c r="N21" s="82">
        <v>26823.154168354413</v>
      </c>
      <c r="O21" s="83">
        <v>623.01395663853305</v>
      </c>
      <c r="P21" s="82">
        <v>27210.317202681854</v>
      </c>
      <c r="Q21" s="83">
        <v>535.76657103472382</v>
      </c>
      <c r="R21" s="82">
        <v>27612.281346752439</v>
      </c>
      <c r="S21" s="83">
        <v>449.46206733565811</v>
      </c>
      <c r="T21" s="82">
        <v>28034.583962860317</v>
      </c>
      <c r="U21" s="83">
        <v>364.92704893616894</v>
      </c>
      <c r="V21" s="82">
        <v>28485.803318486138</v>
      </c>
      <c r="W21" s="83">
        <v>283.40199063103324</v>
      </c>
      <c r="X21" s="82">
        <v>28979.657966698785</v>
      </c>
      <c r="Y21" s="83">
        <v>206.73924967360205</v>
      </c>
      <c r="Z21" s="82">
        <v>29538.472748977372</v>
      </c>
      <c r="AA21" s="83">
        <v>137.65168885218549</v>
      </c>
      <c r="AB21" s="82">
        <v>30197.913964655574</v>
      </c>
      <c r="AC21" s="83">
        <v>79.862129536652134</v>
      </c>
      <c r="AD21" s="82">
        <v>31008.966364365941</v>
      </c>
      <c r="AE21" s="83">
        <v>37.55000338338187</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6624.7795925449245</v>
      </c>
      <c r="E22" s="42">
        <v>366.67654657011593</v>
      </c>
      <c r="F22" s="41">
        <v>6716.0957274404418</v>
      </c>
      <c r="G22" s="42">
        <v>352.94654543061512</v>
      </c>
      <c r="H22" s="41">
        <v>6807.6894430583534</v>
      </c>
      <c r="I22" s="42">
        <v>338.71501630166227</v>
      </c>
      <c r="J22" s="41">
        <v>6899.7251118714585</v>
      </c>
      <c r="K22" s="42">
        <v>323.97422886483497</v>
      </c>
      <c r="L22" s="41">
        <v>6992.4152660531117</v>
      </c>
      <c r="M22" s="42">
        <v>308.70992960938236</v>
      </c>
      <c r="N22" s="41">
        <v>7086.0531210052222</v>
      </c>
      <c r="O22" s="42">
        <v>292.89885765269059</v>
      </c>
      <c r="P22" s="41">
        <v>7181.067652606006</v>
      </c>
      <c r="Q22" s="42">
        <v>276.50546595164866</v>
      </c>
      <c r="R22" s="41">
        <v>7278.1172149890608</v>
      </c>
      <c r="S22" s="42">
        <v>259.47725631515112</v>
      </c>
      <c r="T22" s="41">
        <v>7378.2493435833248</v>
      </c>
      <c r="U22" s="42">
        <v>241.738373765267</v>
      </c>
      <c r="V22" s="41">
        <v>7483.1811241278683</v>
      </c>
      <c r="W22" s="42">
        <v>223.18120354494727</v>
      </c>
      <c r="X22" s="41">
        <v>7595.7789217897616</v>
      </c>
      <c r="Y22" s="42">
        <v>203.65676987531498</v>
      </c>
      <c r="Z22" s="41">
        <v>7720.8231977867244</v>
      </c>
      <c r="AA22" s="42">
        <v>182.96941320336279</v>
      </c>
      <c r="AB22" s="41">
        <v>7865.9031964279839</v>
      </c>
      <c r="AC22" s="42">
        <v>160.89685616506276</v>
      </c>
      <c r="AD22" s="41">
        <v>8040.9992346564632</v>
      </c>
      <c r="AE22" s="42">
        <v>137.2927108495318</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3330.0477560198065</v>
      </c>
      <c r="E23" s="8">
        <v>0</v>
      </c>
      <c r="F23" s="116">
        <v>3382.330713925337</v>
      </c>
      <c r="G23" s="8">
        <v>0</v>
      </c>
      <c r="H23" s="116">
        <v>3435.519269148092</v>
      </c>
      <c r="I23" s="8">
        <v>0</v>
      </c>
      <c r="J23" s="116">
        <v>3489.8204288877187</v>
      </c>
      <c r="K23" s="8">
        <v>0</v>
      </c>
      <c r="L23" s="116">
        <v>3545.4988669460686</v>
      </c>
      <c r="M23" s="8">
        <v>0</v>
      </c>
      <c r="N23" s="116">
        <v>3602.9068174624681</v>
      </c>
      <c r="O23" s="8">
        <v>0</v>
      </c>
      <c r="P23" s="116">
        <v>3662.5329725272395</v>
      </c>
      <c r="Q23" s="8">
        <v>0</v>
      </c>
      <c r="R23" s="116">
        <v>3725.0843805759905</v>
      </c>
      <c r="S23" s="8">
        <v>0</v>
      </c>
      <c r="T23" s="116">
        <v>3791.6244143363961</v>
      </c>
      <c r="U23" s="8">
        <v>0</v>
      </c>
      <c r="V23" s="116">
        <v>3863.8164043104794</v>
      </c>
      <c r="W23" s="8">
        <v>0</v>
      </c>
      <c r="X23" s="116">
        <v>3944.3528239124371</v>
      </c>
      <c r="Y23" s="8">
        <v>0</v>
      </c>
      <c r="Z23" s="116">
        <v>4037.695015844612</v>
      </c>
      <c r="AA23" s="8">
        <v>0</v>
      </c>
      <c r="AB23" s="116">
        <v>4151.1939874849477</v>
      </c>
      <c r="AC23" s="8">
        <v>0</v>
      </c>
      <c r="AD23" s="116">
        <v>4296.0460450091359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3246.6395019821066</v>
      </c>
      <c r="E24" s="8">
        <v>0</v>
      </c>
      <c r="F24" s="97">
        <v>3297.6129192570343</v>
      </c>
      <c r="G24" s="8">
        <v>0</v>
      </c>
      <c r="H24" s="97">
        <v>3349.4692507485161</v>
      </c>
      <c r="I24" s="8">
        <v>0</v>
      </c>
      <c r="J24" s="97">
        <v>3402.4103263956208</v>
      </c>
      <c r="K24" s="8">
        <v>0</v>
      </c>
      <c r="L24" s="97">
        <v>3456.6941772456676</v>
      </c>
      <c r="M24" s="8">
        <v>0</v>
      </c>
      <c r="N24" s="97">
        <v>3512.6642212949832</v>
      </c>
      <c r="O24" s="8">
        <v>0</v>
      </c>
      <c r="P24" s="97">
        <v>3570.7969133797401</v>
      </c>
      <c r="Q24" s="8">
        <v>0</v>
      </c>
      <c r="R24" s="97">
        <v>3631.7815846858784</v>
      </c>
      <c r="S24" s="8">
        <v>0</v>
      </c>
      <c r="T24" s="97">
        <v>3696.6549777179362</v>
      </c>
      <c r="U24" s="8">
        <v>0</v>
      </c>
      <c r="V24" s="97">
        <v>3767.0387632606653</v>
      </c>
      <c r="W24" s="8">
        <v>0</v>
      </c>
      <c r="X24" s="97">
        <v>3845.5579734358653</v>
      </c>
      <c r="Y24" s="8">
        <v>0</v>
      </c>
      <c r="Z24" s="97">
        <v>3936.562208779389</v>
      </c>
      <c r="AA24" s="8">
        <v>0</v>
      </c>
      <c r="AB24" s="97">
        <v>4047.2183531744658</v>
      </c>
      <c r="AC24" s="8">
        <v>0</v>
      </c>
      <c r="AD24" s="97">
        <v>4188.4422779974293</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3256.2664663705973</v>
      </c>
      <c r="E25" s="42">
        <v>78.546762751773798</v>
      </c>
      <c r="F25" s="41">
        <v>3318.4116239204091</v>
      </c>
      <c r="G25" s="42">
        <v>66.993390555274701</v>
      </c>
      <c r="H25" s="41">
        <v>3381.7145783404899</v>
      </c>
      <c r="I25" s="42">
        <v>56.357714908689452</v>
      </c>
      <c r="J25" s="41">
        <v>3446.4381331338059</v>
      </c>
      <c r="K25" s="42">
        <v>46.644920336211904</v>
      </c>
      <c r="L25" s="41">
        <v>3512.8832035482046</v>
      </c>
      <c r="M25" s="42">
        <v>37.8600920862769</v>
      </c>
      <c r="N25" s="41">
        <v>3581.396956354622</v>
      </c>
      <c r="O25" s="42">
        <v>30.008101843721068</v>
      </c>
      <c r="P25" s="41">
        <v>3652.3831673955656</v>
      </c>
      <c r="Q25" s="42">
        <v>23.093295047925871</v>
      </c>
      <c r="R25" s="41">
        <v>3726.3162999712276</v>
      </c>
      <c r="S25" s="42">
        <v>17.119042369046454</v>
      </c>
      <c r="T25" s="41">
        <v>3803.7560036661957</v>
      </c>
      <c r="U25" s="42">
        <v>12.086582441426767</v>
      </c>
      <c r="V25" s="41">
        <v>3885.3660368087621</v>
      </c>
      <c r="W25" s="42">
        <v>7.9928917119885989</v>
      </c>
      <c r="X25" s="41">
        <v>3971.9287725112263</v>
      </c>
      <c r="Y25" s="42">
        <v>4.8260346088290005</v>
      </c>
      <c r="Z25" s="41">
        <v>4064.3372094301735</v>
      </c>
      <c r="AA25" s="42">
        <v>2.5553853003248963</v>
      </c>
      <c r="AB25" s="41">
        <v>4163.5202263327201</v>
      </c>
      <c r="AC25" s="42">
        <v>1.1123514128163952</v>
      </c>
      <c r="AD25" s="41">
        <v>4270.2451331638576</v>
      </c>
      <c r="AE25" s="42">
        <v>0.36001654830639512</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5177.4524984568361</v>
      </c>
      <c r="E26" s="34">
        <v>69.327397717302034</v>
      </c>
      <c r="F26" s="33">
        <v>5327.6080323312126</v>
      </c>
      <c r="G26" s="34">
        <v>63.758948041046587</v>
      </c>
      <c r="H26" s="33">
        <v>5488.5863286305312</v>
      </c>
      <c r="I26" s="34">
        <v>58.197154523365384</v>
      </c>
      <c r="J26" s="33">
        <v>5662.7692190118823</v>
      </c>
      <c r="K26" s="34">
        <v>52.640726535024989</v>
      </c>
      <c r="L26" s="33">
        <v>5853.357149657274</v>
      </c>
      <c r="M26" s="34">
        <v>47.090866675481664</v>
      </c>
      <c r="N26" s="33">
        <v>6064.8009849053533</v>
      </c>
      <c r="O26" s="34">
        <v>41.552828354617688</v>
      </c>
      <c r="P26" s="33">
        <v>6303.5425188286463</v>
      </c>
      <c r="Q26" s="34">
        <v>36.038212027817764</v>
      </c>
      <c r="R26" s="33">
        <v>6579.3634010610449</v>
      </c>
      <c r="S26" s="34">
        <v>30.568666698782788</v>
      </c>
      <c r="T26" s="33">
        <v>6908.0097909113201</v>
      </c>
      <c r="U26" s="34">
        <v>25.181523225974004</v>
      </c>
      <c r="V26" s="33">
        <v>7316.752074160353</v>
      </c>
      <c r="W26" s="34">
        <v>19.938899283193187</v>
      </c>
      <c r="X26" s="33">
        <v>7857.5321660243881</v>
      </c>
      <c r="Y26" s="34">
        <v>14.941796072493393</v>
      </c>
      <c r="Z26" s="33">
        <v>8643.2841946165281</v>
      </c>
      <c r="AA26" s="34">
        <v>10.350315107281634</v>
      </c>
      <c r="AB26" s="33">
        <v>9976.1120236933566</v>
      </c>
      <c r="AC26" s="34">
        <v>6.4050714147851071</v>
      </c>
      <c r="AD26" s="33">
        <v>13082.394271752171</v>
      </c>
      <c r="AE26" s="34">
        <v>3.4282604701883792</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6425.1981589999841</v>
      </c>
      <c r="C27" s="36">
        <v>273.22915400000028</v>
      </c>
      <c r="D27" s="35">
        <v>6448.5627067747291</v>
      </c>
      <c r="E27" s="36">
        <v>249.86470617433937</v>
      </c>
      <c r="F27" s="35">
        <v>6471.4912243246481</v>
      </c>
      <c r="G27" s="36">
        <v>226.93621035892068</v>
      </c>
      <c r="H27" s="35">
        <v>6493.9930574202335</v>
      </c>
      <c r="I27" s="36">
        <v>204.43440995538612</v>
      </c>
      <c r="J27" s="35">
        <v>6516.0684084307095</v>
      </c>
      <c r="K27" s="36">
        <v>182.35887169154631</v>
      </c>
      <c r="L27" s="35">
        <v>6537.7060138282386</v>
      </c>
      <c r="M27" s="36">
        <v>160.72132787492211</v>
      </c>
      <c r="N27" s="35">
        <v>6558.8761422538873</v>
      </c>
      <c r="O27" s="36">
        <v>139.55123940797324</v>
      </c>
      <c r="P27" s="35">
        <v>6579.5231902838123</v>
      </c>
      <c r="Q27" s="36">
        <v>118.90352230436996</v>
      </c>
      <c r="R27" s="35">
        <v>6599.5560206421005</v>
      </c>
      <c r="S27" s="36">
        <v>98.870911781630923</v>
      </c>
      <c r="T27" s="35">
        <v>6618.8255491802538</v>
      </c>
      <c r="U27" s="36">
        <v>79.601753068159823</v>
      </c>
      <c r="V27" s="35">
        <v>6637.0994595437351</v>
      </c>
      <c r="W27" s="36">
        <v>61.32786192585278</v>
      </c>
      <c r="X27" s="35">
        <v>6654.0227010987337</v>
      </c>
      <c r="Y27" s="36">
        <v>44.404648703533901</v>
      </c>
      <c r="Z27" s="35">
        <v>6669.0661537974884</v>
      </c>
      <c r="AA27" s="36">
        <v>29.361167051532473</v>
      </c>
      <c r="AB27" s="35">
        <v>6681.4992731998354</v>
      </c>
      <c r="AC27" s="36">
        <v>16.928049112927027</v>
      </c>
      <c r="AD27" s="35">
        <v>6690.510369058441</v>
      </c>
      <c r="AE27" s="36">
        <v>7.9174683566508568</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13763.097675999999</v>
      </c>
      <c r="C28" s="42">
        <v>382.36647900000042</v>
      </c>
      <c r="D28" s="41">
        <v>13988.780238678421</v>
      </c>
      <c r="E28" s="42">
        <v>350.8408548917327</v>
      </c>
      <c r="F28" s="41">
        <v>14219.619195160902</v>
      </c>
      <c r="G28" s="42">
        <v>319.70462053372836</v>
      </c>
      <c r="H28" s="41">
        <v>14456.749742473103</v>
      </c>
      <c r="I28" s="42">
        <v>288.95608537092511</v>
      </c>
      <c r="J28" s="41">
        <v>14701.567847405111</v>
      </c>
      <c r="K28" s="42">
        <v>258.60475195567489</v>
      </c>
      <c r="L28" s="41">
        <v>14955.841570496779</v>
      </c>
      <c r="M28" s="42">
        <v>228.6763210096332</v>
      </c>
      <c r="N28" s="41">
        <v>15221.882122433055</v>
      </c>
      <c r="O28" s="42">
        <v>199.22082855884946</v>
      </c>
      <c r="P28" s="41">
        <v>15502.816588739663</v>
      </c>
      <c r="Q28" s="42">
        <v>170.32402410162507</v>
      </c>
      <c r="R28" s="41">
        <v>15803.041014991961</v>
      </c>
      <c r="S28" s="42">
        <v>142.12546288203364</v>
      </c>
      <c r="T28" s="41">
        <v>16128.980263040776</v>
      </c>
      <c r="U28" s="42">
        <v>114.84474143155877</v>
      </c>
      <c r="V28" s="41">
        <v>16490.441642169601</v>
      </c>
      <c r="W28" s="42">
        <v>88.82265526741368</v>
      </c>
      <c r="X28" s="41">
        <v>16903.06740067423</v>
      </c>
      <c r="Y28" s="42">
        <v>64.581098854227918</v>
      </c>
      <c r="Z28" s="41">
        <v>17392.850929674725</v>
      </c>
      <c r="AA28" s="42">
        <v>42.899357969706038</v>
      </c>
      <c r="AB28" s="41">
        <v>18004.216940345159</v>
      </c>
      <c r="AC28" s="42">
        <v>24.862050478106159</v>
      </c>
      <c r="AD28" s="41">
        <v>18812.730940400827</v>
      </c>
      <c r="AE28" s="42">
        <v>11.695875945089117</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14362.768557999996</v>
      </c>
      <c r="C29" s="36">
        <v>817.26651000000095</v>
      </c>
      <c r="D29" s="35">
        <v>14572.120534518797</v>
      </c>
      <c r="E29" s="36">
        <v>743.41603178527509</v>
      </c>
      <c r="F29" s="35">
        <v>14783.433321844277</v>
      </c>
      <c r="G29" s="36">
        <v>671.11988996423793</v>
      </c>
      <c r="H29" s="35">
        <v>14997.304119550903</v>
      </c>
      <c r="I29" s="36">
        <v>600.43158195935439</v>
      </c>
      <c r="J29" s="35">
        <v>15214.44548951254</v>
      </c>
      <c r="K29" s="36">
        <v>531.43550548148266</v>
      </c>
      <c r="L29" s="35">
        <v>15435.741083787885</v>
      </c>
      <c r="M29" s="36">
        <v>464.25749658601075</v>
      </c>
      <c r="N29" s="35">
        <v>15662.331391836768</v>
      </c>
      <c r="O29" s="36">
        <v>399.081153802313</v>
      </c>
      <c r="P29" s="35">
        <v>15895.751705072926</v>
      </c>
      <c r="Q29" s="36">
        <v>336.16957925421252</v>
      </c>
      <c r="R29" s="35">
        <v>16138.16300035643</v>
      </c>
      <c r="S29" s="36">
        <v>275.89836344431819</v>
      </c>
      <c r="T29" s="35">
        <v>16392.728772979732</v>
      </c>
      <c r="U29" s="36">
        <v>218.80051396867225</v>
      </c>
      <c r="V29" s="35">
        <v>16664.275142719875</v>
      </c>
      <c r="W29" s="36">
        <v>165.6325626202833</v>
      </c>
      <c r="X29" s="35">
        <v>16960.418313639439</v>
      </c>
      <c r="Y29" s="36">
        <v>117.4611997258172</v>
      </c>
      <c r="Z29" s="35">
        <v>17293.413778669103</v>
      </c>
      <c r="AA29" s="36">
        <v>75.751652215012655</v>
      </c>
      <c r="AB29" s="35">
        <v>17682.657709372706</v>
      </c>
      <c r="AC29" s="36">
        <v>42.354484939933855</v>
      </c>
      <c r="AD29" s="35">
        <v>18155.662924157139</v>
      </c>
      <c r="AE29" s="36">
        <v>19.060512876942681</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2961831.7061226596</v>
      </c>
      <c r="F30" s="119">
        <v>2999153.5359249637</v>
      </c>
      <c r="H30" s="119">
        <v>3036880.6910937503</v>
      </c>
      <c r="J30" s="119">
        <v>3075125.3319957461</v>
      </c>
      <c r="L30" s="119">
        <v>3114043.6817839947</v>
      </c>
      <c r="N30" s="119">
        <v>3153863.9047041638</v>
      </c>
      <c r="P30" s="119">
        <v>3194932.5665529515</v>
      </c>
      <c r="R30" s="119">
        <v>3237790.5547318365</v>
      </c>
      <c r="T30" s="119">
        <v>3283310.9040107415</v>
      </c>
      <c r="V30" s="119">
        <v>3332934.3800384644</v>
      </c>
      <c r="X30" s="119">
        <v>3389088.285581843</v>
      </c>
      <c r="Z30" s="119">
        <v>3455906.5500930017</v>
      </c>
      <c r="AB30" s="119">
        <v>3540282.7745179748</v>
      </c>
      <c r="AD30" s="119">
        <v>3652570.0971765625</v>
      </c>
      <c r="AF30" s="119"/>
      <c r="AH30" s="119"/>
      <c r="AJ30" s="119"/>
      <c r="AL30" s="119"/>
      <c r="AN30" s="119"/>
      <c r="AP30" s="119"/>
      <c r="AR30" s="119"/>
      <c r="AT30" s="119"/>
      <c r="AV30" s="119"/>
    </row>
    <row r="31" spans="1:49" x14ac:dyDescent="0.2">
      <c r="A31" t="s">
        <v>47</v>
      </c>
      <c r="B31" s="80">
        <v>1</v>
      </c>
      <c r="D31" s="80">
        <v>1.0111962379456625</v>
      </c>
      <c r="F31" s="80">
        <v>1.0221110163271248</v>
      </c>
      <c r="H31" s="80">
        <v>1.0327220786347637</v>
      </c>
      <c r="J31" s="80">
        <v>1.0430012318604618</v>
      </c>
      <c r="L31" s="80">
        <v>1.0529138029955176</v>
      </c>
      <c r="N31" s="80">
        <v>1.0624180804227186</v>
      </c>
      <c r="P31" s="80">
        <v>1.0714651667377912</v>
      </c>
      <c r="R31" s="80">
        <v>1.0799994769554477</v>
      </c>
      <c r="T31" s="80">
        <v>1.087960110162671</v>
      </c>
      <c r="V31" s="80">
        <v>1.0952836398412102</v>
      </c>
      <c r="X31" s="80">
        <v>1.1019053651137349</v>
      </c>
      <c r="Z31" s="80">
        <v>1.107743790703295</v>
      </c>
      <c r="AB31" s="80">
        <v>1.1125999301599683</v>
      </c>
      <c r="AD31" s="80">
        <v>1.1157240293968911</v>
      </c>
      <c r="AF31" s="80"/>
      <c r="AH31" s="80"/>
      <c r="AJ31" s="80"/>
      <c r="AL31" s="80"/>
      <c r="AN31" s="80"/>
      <c r="AP31" s="80"/>
      <c r="AR31" s="80"/>
      <c r="AT31" s="80"/>
      <c r="AV31" s="80"/>
    </row>
    <row r="32" spans="1:49" x14ac:dyDescent="0.2">
      <c r="A32" t="s">
        <v>64</v>
      </c>
      <c r="B32" s="86">
        <v>14734457.915000005</v>
      </c>
      <c r="D32" s="86">
        <v>14931852.788514677</v>
      </c>
      <c r="F32" s="86">
        <v>15131556.025573511</v>
      </c>
      <c r="H32" s="86">
        <v>15334097.917764239</v>
      </c>
      <c r="J32" s="86">
        <v>15540171.10917965</v>
      </c>
      <c r="L32" s="86">
        <v>15750729.047268108</v>
      </c>
      <c r="N32" s="86">
        <v>15967143.325515445</v>
      </c>
      <c r="P32" s="86">
        <v>16191465.59443298</v>
      </c>
      <c r="R32" s="86">
        <v>16426871.985321378</v>
      </c>
      <c r="T32" s="86">
        <v>16678424.47654547</v>
      </c>
      <c r="V32" s="86">
        <v>16954425.678468492</v>
      </c>
      <c r="X32" s="86">
        <v>17268830.151681293</v>
      </c>
      <c r="Z32" s="86">
        <v>17645439.572304286</v>
      </c>
      <c r="AB32" s="86">
        <v>18124308.095953047</v>
      </c>
      <c r="AD32" s="86">
        <v>18767159.874618683</v>
      </c>
      <c r="AF32" s="86"/>
      <c r="AH32" s="86"/>
      <c r="AJ32" s="86"/>
      <c r="AL32" s="86"/>
      <c r="AN32" s="86"/>
      <c r="AP32" s="86"/>
      <c r="AR32" s="86"/>
      <c r="AT32" s="86"/>
      <c r="AV32" s="86"/>
    </row>
    <row r="33" spans="1:49 16319:16321" x14ac:dyDescent="0.2">
      <c r="A33" t="s">
        <v>54</v>
      </c>
      <c r="B33" s="117">
        <v>7019665.6909999885</v>
      </c>
      <c r="D33" s="117">
        <v>7113706.8764428999</v>
      </c>
      <c r="F33" s="117">
        <v>7208847.79986188</v>
      </c>
      <c r="H33" s="117">
        <v>7305341.0904707685</v>
      </c>
      <c r="J33" s="117">
        <v>7403516.7561954977</v>
      </c>
      <c r="L33" s="117">
        <v>7503828.9787393399</v>
      </c>
      <c r="N33" s="117">
        <v>7606931.2343985485</v>
      </c>
      <c r="P33" s="117">
        <v>7713801.1259323731</v>
      </c>
      <c r="R33" s="117">
        <v>7825951.3966800217</v>
      </c>
      <c r="T33" s="117">
        <v>7945793.7839264236</v>
      </c>
      <c r="V33" s="117">
        <v>8077283.935715979</v>
      </c>
      <c r="X33" s="117">
        <v>8227069.8535701539</v>
      </c>
      <c r="Z33" s="117">
        <v>8406490.9257169701</v>
      </c>
      <c r="AB33" s="117">
        <v>8634629.4132480752</v>
      </c>
      <c r="AD33" s="117">
        <v>8940891.3953329604</v>
      </c>
      <c r="AF33" s="117"/>
      <c r="AH33" s="117"/>
      <c r="AJ33" s="117"/>
      <c r="AL33" s="117"/>
      <c r="AN33" s="117"/>
      <c r="AP33" s="117"/>
      <c r="AR33" s="117"/>
      <c r="AT33" s="117"/>
      <c r="AV33" s="117"/>
    </row>
    <row r="34" spans="1:49 16319:16321" x14ac:dyDescent="0.2">
      <c r="A34" t="s">
        <v>75</v>
      </c>
      <c r="B34" s="117">
        <v>1136879.4410000162</v>
      </c>
      <c r="D34" s="117">
        <v>1152110.0223065098</v>
      </c>
      <c r="F34" s="117">
        <v>1167518.7022623508</v>
      </c>
      <c r="H34" s="117">
        <v>1183146.4081234101</v>
      </c>
      <c r="J34" s="117">
        <v>1199046.5508070455</v>
      </c>
      <c r="L34" s="117">
        <v>1215292.761483127</v>
      </c>
      <c r="N34" s="117">
        <v>1231990.8296694316</v>
      </c>
      <c r="P34" s="117">
        <v>1249298.8804703271</v>
      </c>
      <c r="R34" s="117">
        <v>1267462.3873591502</v>
      </c>
      <c r="T34" s="117">
        <v>1286871.7651564134</v>
      </c>
      <c r="V34" s="117">
        <v>1308167.4349348347</v>
      </c>
      <c r="X34" s="117">
        <v>1332426.215463391</v>
      </c>
      <c r="Z34" s="117">
        <v>1361484.5964568257</v>
      </c>
      <c r="AB34" s="117">
        <v>1398433.0735945706</v>
      </c>
      <c r="AD34" s="117">
        <v>1448034.1690275534</v>
      </c>
      <c r="AF34" s="117"/>
      <c r="AH34" s="117"/>
      <c r="AJ34" s="117"/>
      <c r="AL34" s="117"/>
      <c r="AN34" s="117"/>
      <c r="AP34" s="117"/>
      <c r="AR34" s="117"/>
      <c r="AT34" s="117"/>
      <c r="AV34" s="117"/>
    </row>
    <row r="35" spans="1:49 16319:16321" x14ac:dyDescent="0.2">
      <c r="A35" t="s">
        <v>78</v>
      </c>
      <c r="B35" s="233">
        <v>1</v>
      </c>
      <c r="D35" s="233">
        <v>1.0021782262296413</v>
      </c>
      <c r="F35" s="233">
        <v>1.004752241188642</v>
      </c>
      <c r="H35" s="233">
        <v>1.0077873173581828</v>
      </c>
      <c r="J35" s="233">
        <v>1.011371895218782</v>
      </c>
      <c r="L35" s="233">
        <v>1.0156276623920026</v>
      </c>
      <c r="N35" s="233">
        <v>1.0207253791718509</v>
      </c>
      <c r="P35" s="233">
        <v>1.0269103619488205</v>
      </c>
      <c r="R35" s="233">
        <v>1.0345451320981749</v>
      </c>
      <c r="T35" s="233">
        <v>1.0441838011344042</v>
      </c>
      <c r="V35" s="233">
        <v>1.056707657509776</v>
      </c>
      <c r="X35" s="233">
        <v>1.0735844299401276</v>
      </c>
      <c r="Z35" s="233">
        <v>1.0973862772569694</v>
      </c>
      <c r="AB35" s="233">
        <v>1.1328509129761772</v>
      </c>
      <c r="AD35" s="233">
        <v>1.1890166100956674</v>
      </c>
      <c r="AF35" s="233"/>
      <c r="AH35" s="233"/>
      <c r="AJ35" s="233"/>
      <c r="AL35" s="233"/>
      <c r="AN35" s="233"/>
      <c r="AP35" s="233"/>
      <c r="AR35" s="233"/>
      <c r="AT35" s="233"/>
      <c r="AV35" s="233"/>
    </row>
    <row r="36" spans="1:49 16319:16321" x14ac:dyDescent="0.2">
      <c r="A36" t="s">
        <v>21</v>
      </c>
      <c r="B36" s="37">
        <v>0.47195767671988204</v>
      </c>
      <c r="C36" s="38">
        <v>0.31738834428178991</v>
      </c>
      <c r="D36" s="37">
        <v>0.4720295728417736</v>
      </c>
      <c r="E36" s="38">
        <v>0.3251292791449113</v>
      </c>
      <c r="F36" s="37">
        <v>0.47210298100786108</v>
      </c>
      <c r="G36" s="38">
        <v>0.33362117380799383</v>
      </c>
      <c r="H36" s="37">
        <v>0.47217834491604227</v>
      </c>
      <c r="I36" s="38">
        <v>0.34299556792233227</v>
      </c>
      <c r="J36" s="37">
        <v>0.47225612392466171</v>
      </c>
      <c r="K36" s="38">
        <v>0.35341876168708292</v>
      </c>
      <c r="L36" s="37">
        <v>0.47233676010196685</v>
      </c>
      <c r="M36" s="38">
        <v>0.36510519958253157</v>
      </c>
      <c r="N36" s="37">
        <v>0.47242061481577435</v>
      </c>
      <c r="O36" s="38">
        <v>0.37833792822983636</v>
      </c>
      <c r="P36" s="37">
        <v>0.47250785393086764</v>
      </c>
      <c r="Q36" s="38">
        <v>0.39350067274318928</v>
      </c>
      <c r="R36" s="37">
        <v>0.4725982336175335</v>
      </c>
      <c r="S36" s="38">
        <v>0.41113024566122081</v>
      </c>
      <c r="T36" s="37">
        <v>0.47269072227078573</v>
      </c>
      <c r="U36" s="38">
        <v>0.43200554926353857</v>
      </c>
      <c r="V36" s="37">
        <v>0.47278279902692194</v>
      </c>
      <c r="W36" s="38">
        <v>0.45730580479581417</v>
      </c>
      <c r="X36" s="37">
        <v>0.47286920097859136</v>
      </c>
      <c r="Y36" s="38">
        <v>0.48890502158312299</v>
      </c>
      <c r="Z36" s="37">
        <v>0.4729398315419297</v>
      </c>
      <c r="AA36" s="38">
        <v>0.5299437261786516</v>
      </c>
      <c r="AB36" s="37">
        <v>0.47297701198817776</v>
      </c>
      <c r="AC36" s="38">
        <v>0.58596529420971866</v>
      </c>
      <c r="AD36" s="37">
        <v>0.47295513427764163</v>
      </c>
      <c r="AE36" s="38">
        <v>0.667139578285462</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2.1403217525954421E-2</v>
      </c>
      <c r="C37" s="40">
        <v>0.34962461301992565</v>
      </c>
      <c r="D37" s="39">
        <v>2.0554687292301324E-2</v>
      </c>
      <c r="E37" s="40">
        <v>0.34300919902224786</v>
      </c>
      <c r="F37" s="39">
        <v>1.9698624105855485E-2</v>
      </c>
      <c r="G37" s="40">
        <v>0.33623630960836864</v>
      </c>
      <c r="H37" s="39">
        <v>1.8834147531774748E-2</v>
      </c>
      <c r="I37" s="40">
        <v>0.32929141456916966</v>
      </c>
      <c r="J37" s="39">
        <v>1.7960111760935388E-2</v>
      </c>
      <c r="K37" s="40">
        <v>0.32215669491150523</v>
      </c>
      <c r="L37" s="39">
        <v>1.7074995826979647E-2</v>
      </c>
      <c r="M37" s="40">
        <v>0.31480977951073524</v>
      </c>
      <c r="N37" s="39">
        <v>1.6176744162266946E-2</v>
      </c>
      <c r="O37" s="40">
        <v>0.30722189100245428</v>
      </c>
      <c r="P37" s="39">
        <v>1.5262548529809678E-2</v>
      </c>
      <c r="Q37" s="40">
        <v>0.29935522057500313</v>
      </c>
      <c r="R37" s="39">
        <v>1.4328533529841092E-2</v>
      </c>
      <c r="S37" s="40">
        <v>0.29115904622052363</v>
      </c>
      <c r="T37" s="39">
        <v>1.3369314278175242E-2</v>
      </c>
      <c r="U37" s="40">
        <v>0.28256404253751816</v>
      </c>
      <c r="V37" s="39">
        <v>1.2377386869058997E-2</v>
      </c>
      <c r="W37" s="40">
        <v>0.2734739686278172</v>
      </c>
      <c r="X37" s="39">
        <v>1.1342380820597971E-2</v>
      </c>
      <c r="Y37" s="40">
        <v>0.26375422056969372</v>
      </c>
      <c r="Z37" s="39">
        <v>1.0250489310920737E-2</v>
      </c>
      <c r="AA37" s="40">
        <v>0.2532189998734713</v>
      </c>
      <c r="AB37" s="39">
        <v>9.0854460185594427E-3</v>
      </c>
      <c r="AC37" s="40">
        <v>0.24162900007073945</v>
      </c>
      <c r="AD37" s="39">
        <v>7.834989076357898E-3</v>
      </c>
      <c r="AE37" s="40">
        <v>0.22874061160720824</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0.18316205469139565</v>
      </c>
      <c r="E38" s="38">
        <v>6.0908962200486513E-2</v>
      </c>
      <c r="F38" s="37">
        <v>0.18575319210648331</v>
      </c>
      <c r="G38" s="38">
        <v>6.1293198091231405E-2</v>
      </c>
      <c r="H38" s="37">
        <v>0.18860888549060811</v>
      </c>
      <c r="I38" s="38">
        <v>6.1726178719401108E-2</v>
      </c>
      <c r="J38" s="37">
        <v>0.19178782780744327</v>
      </c>
      <c r="K38" s="38">
        <v>6.2218396095444238E-2</v>
      </c>
      <c r="L38" s="37">
        <v>0.19536954468239898</v>
      </c>
      <c r="M38" s="38">
        <v>6.2783889971871912E-2</v>
      </c>
      <c r="N38" s="37">
        <v>0.19946547830988803</v>
      </c>
      <c r="O38" s="38">
        <v>6.3441983286319448E-2</v>
      </c>
      <c r="P38" s="37">
        <v>0.20423802227822518</v>
      </c>
      <c r="Q38" s="38">
        <v>6.422029188199159E-2</v>
      </c>
      <c r="R38" s="37">
        <v>0.20993529527383856</v>
      </c>
      <c r="S38" s="38">
        <v>6.5159988535181304E-2</v>
      </c>
      <c r="T38" s="37">
        <v>0.21695930487846105</v>
      </c>
      <c r="U38" s="38">
        <v>6.6325985540497345E-2</v>
      </c>
      <c r="V38" s="37">
        <v>0.22601109884150913</v>
      </c>
      <c r="W38" s="38">
        <v>6.7827778948690243E-2</v>
      </c>
      <c r="X38" s="37">
        <v>0.23843696614252266</v>
      </c>
      <c r="Y38" s="38">
        <v>6.9867248570833748E-2</v>
      </c>
      <c r="Z38" s="37">
        <v>0.2571944856703326</v>
      </c>
      <c r="AA38" s="38">
        <v>7.2865141230256503E-2</v>
      </c>
      <c r="AB38" s="37">
        <v>0.29029902937669338</v>
      </c>
      <c r="AC38" s="38">
        <v>7.7881426168489296E-2</v>
      </c>
      <c r="AD38" s="37">
        <v>0.37078796777366257</v>
      </c>
      <c r="AE38" s="38">
        <v>8.8804640795373188E-2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0.23064923795098566</v>
      </c>
      <c r="C39" s="40">
        <v>0.22092201281804777</v>
      </c>
      <c r="D39" s="39">
        <v>0.22812995300897676</v>
      </c>
      <c r="E39" s="40">
        <v>0.21952360026071338</v>
      </c>
      <c r="F39" s="39">
        <v>0.2256359974893633</v>
      </c>
      <c r="G39" s="40">
        <v>0.21815990575390243</v>
      </c>
      <c r="H39" s="39">
        <v>0.22315851835191694</v>
      </c>
      <c r="I39" s="40">
        <v>0.21683113252960046</v>
      </c>
      <c r="J39" s="39">
        <v>0.22068753953488768</v>
      </c>
      <c r="K39" s="40">
        <v>0.2155379922971562</v>
      </c>
      <c r="L39" s="39">
        <v>0.21821129559193075</v>
      </c>
      <c r="M39" s="40">
        <v>0.21428168300597641</v>
      </c>
      <c r="N39" s="39">
        <v>0.21571513560727359</v>
      </c>
      <c r="O39" s="40">
        <v>0.2130638935706031</v>
      </c>
      <c r="P39" s="39">
        <v>0.21317993809090602</v>
      </c>
      <c r="Q39" s="40">
        <v>0.21188673018210005</v>
      </c>
      <c r="R39" s="39">
        <v>0.21057960434991385</v>
      </c>
      <c r="S39" s="40">
        <v>0.21075264883602279</v>
      </c>
      <c r="T39" s="39">
        <v>0.20787691878365211</v>
      </c>
      <c r="U39" s="40">
        <v>0.20966423181069477</v>
      </c>
      <c r="V39" s="39">
        <v>0.20501694286860303</v>
      </c>
      <c r="W39" s="40">
        <v>0.20862398686214556</v>
      </c>
      <c r="X39" s="39">
        <v>0.20191644806160525</v>
      </c>
      <c r="Y39" s="40">
        <v>0.20763438435501547</v>
      </c>
      <c r="Z39" s="39">
        <v>0.19844852959893533</v>
      </c>
      <c r="AA39" s="40">
        <v>0.20669956051772345</v>
      </c>
      <c r="AB39" s="39">
        <v>0.1944277238652041</v>
      </c>
      <c r="AC39" s="40">
        <v>0.20583386535265027</v>
      </c>
      <c r="AD39" s="39">
        <v>0.18962589657371176</v>
      </c>
      <c r="AE39" s="40">
        <v>0.20509174828903184</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8.4338887241177496E-2</v>
      </c>
      <c r="E42" s="135"/>
      <c r="F42" s="177">
        <f>10.8%+(1-10.8%)*(1-SUM(F26:G26)/SUM($B$26:$C$26))</f>
        <v>5.9105739857971323E-2</v>
      </c>
      <c r="G42" s="135"/>
      <c r="H42" s="177">
        <f>10.8%+(1-10.8%)*(1-SUM(H26:I26)/SUM($B$26:$C$26))</f>
        <v>3.1982656615640551E-2</v>
      </c>
      <c r="I42" s="135"/>
      <c r="J42" s="177">
        <f>10.8%+(1-10.8%)*(1-SUM(J26:K26)/SUM($B$26:$C$26))</f>
        <v>2.5541886313141388E-3</v>
      </c>
      <c r="K42" s="135"/>
      <c r="L42" s="177">
        <f>10.8%+(1-10.8%)*(1-SUM(L26:M26)/SUM($B$26:$C$26))</f>
        <v>-2.9738411620901822E-2</v>
      </c>
      <c r="M42" s="135"/>
      <c r="N42" s="177">
        <f>10.8%+(1-10.8%)*(1-SUM(N26:O26)/SUM($B$26:$C$26))</f>
        <v>-6.5672819937771881E-2</v>
      </c>
      <c r="O42" s="135"/>
      <c r="P42" s="177">
        <f>10.8%+(1-10.8%)*(1-SUM(P26:Q26)/SUM($B$26:$C$26))</f>
        <v>-0.10637527422739013</v>
      </c>
      <c r="Q42" s="135"/>
      <c r="R42" s="177">
        <f>10.8%+(1-10.8%)*(1-SUM(R26:S26)/SUM($B$26:$C$26))</f>
        <v>-0.1535566332482399</v>
      </c>
      <c r="S42" s="135"/>
      <c r="T42" s="177">
        <f>10.8%+(1-10.8%)*(1-SUM(T26:U26)/SUM($B$26:$C$26))</f>
        <v>-0.20997141090327451</v>
      </c>
      <c r="U42" s="135"/>
      <c r="V42" s="177">
        <f>10.8%+(1-10.8%)*(1-SUM(V26:W26)/SUM($B$26:$C$26))</f>
        <v>-0.28038963967394936</v>
      </c>
      <c r="W42" s="135"/>
      <c r="X42" s="177">
        <f>10.8%+(1-10.8%)*(1-SUM(X26:Y26)/SUM($B$26:$C$26))</f>
        <v>-0.37389378074632296</v>
      </c>
      <c r="Y42" s="162"/>
      <c r="Z42" s="177">
        <f>10.8%+(1-10.8%)*(1-SUM(Z26:AA26)/SUM($B$26:$C$26))</f>
        <v>-0.51022089002813864</v>
      </c>
      <c r="AA42" s="135"/>
      <c r="AB42" s="177">
        <f>10.8%+(1-10.8%)*(1-SUM(AB26:AC26)/SUM($B$26:$C$26))</f>
        <v>-0.7421357274975191</v>
      </c>
      <c r="AC42" s="135"/>
      <c r="AD42" s="177">
        <f>10.8%+(1-10.8%)*(1-SUM(AD26:AE26)/SUM($B$26:$C$26))</f>
        <v>-1.2837205025422158</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0.56058995943838996</v>
      </c>
      <c r="C43" s="135"/>
      <c r="D43" s="162">
        <f t="array" ref="D43">SUM(D15:E15*D27:E27)/SUM(D15:E15*D27:E27,D13:E13*D26:E26)</f>
        <v>0.58037190416303142</v>
      </c>
      <c r="E43" s="135"/>
      <c r="F43" s="162">
        <f t="array" ref="F43">SUM(F15:G15*F27:G27)/SUM(F15:G15*F27:G27,F13:G13*F26:G26)</f>
        <v>0.59401353923485978</v>
      </c>
      <c r="G43" s="135"/>
      <c r="H43" s="162">
        <f t="array" ref="H43">SUM(H15:I15*H27:I27)/SUM(H15:I15*H27:I27,H13:I13*H26:I26)</f>
        <v>0.60821633867270652</v>
      </c>
      <c r="I43" s="135"/>
      <c r="J43" s="162">
        <f t="array" ref="J43">SUM(J15:K15*J27:K27)/SUM(J15:K15*J27:K27,J13:K13*J26:K26)</f>
        <v>0.62309408411063749</v>
      </c>
      <c r="K43" s="135"/>
      <c r="L43" s="162">
        <f t="array" ref="L43">SUM(L15:M15*L27:M27)/SUM(L15:M15*L27:M27,L13:M13*L26:M26)</f>
        <v>0.63879324611221833</v>
      </c>
      <c r="M43" s="135"/>
      <c r="N43" s="162">
        <f t="array" ref="N43">SUM(N15:O15*N27:O27)/SUM(N15:O15*N27:O27,N13:O13*N26:O26)</f>
        <v>0.65550813634296168</v>
      </c>
      <c r="O43" s="135"/>
      <c r="P43" s="162">
        <f t="array" ref="P43">SUM(P15:Q15*P27:Q27)/SUM(P15:Q15*P27:Q27,P13:Q13*P26:Q26)</f>
        <v>0.67350491152715874</v>
      </c>
      <c r="Q43" s="135"/>
      <c r="R43" s="162">
        <f t="array" ref="R43">SUM(R15:S15*R27:S27)/SUM(R15:S15*R27:S27,R13:S13*R26:S26)</f>
        <v>0.69316122705955296</v>
      </c>
      <c r="S43" s="135"/>
      <c r="T43" s="162">
        <f t="array" ref="T43">SUM(T15:U15*T27:U27)/SUM(T15:U15*T27:U27,T13:U13*T26:U26)</f>
        <v>0.71503267624645084</v>
      </c>
      <c r="U43" s="135"/>
      <c r="V43" s="162">
        <f t="array" ref="V43">SUM(V15:W15*V27:W27)/SUM(V15:W15*V27:W27,V13:W13*V26:W26)</f>
        <v>0.73996991529295053</v>
      </c>
      <c r="W43" s="135"/>
      <c r="X43" s="162">
        <f t="array" ref="X43">SUM(X15:Y15*X27:Y27)/SUM(X15:Y15*X27:Y27,X13:Y13*X26:Y26)</f>
        <v>0.76932898770534397</v>
      </c>
      <c r="Y43" s="135"/>
      <c r="Z43" s="162">
        <f t="array" ref="Z43">SUM(Z15:AA15*Z27:AA27)/SUM(Z15:AA15*Z27:AA27,Z13:AA13*Z26:AA26)</f>
        <v>0.80535279362939882</v>
      </c>
      <c r="AA43" s="135"/>
      <c r="AB43" s="162">
        <f t="array" ref="AB43">SUM(AB15:AC15*AB27:AC27)/SUM(AB15:AC15*AB27:AC27,AB13:AC13*AB26:AC26)</f>
        <v>0.85183462422419343</v>
      </c>
      <c r="AC43" s="135"/>
      <c r="AD43" s="162">
        <f t="array" ref="AD43">SUM(AD15:AE15*AD27:AE27)/SUM(AD15:AE15*AD27:AE27,AD13:AE13*AD26:AE26)</f>
        <v>0.91509210462534807</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0.29754226250681232</v>
      </c>
      <c r="F44" s="193">
        <f>(SUM(F11:G11*F24:G24)+F34)/F32</f>
        <v>0.29754226263099348</v>
      </c>
      <c r="H44" s="193">
        <f>(SUM(H11:I11*H24:I24)+H34)/H32</f>
        <v>0.2975422628075175</v>
      </c>
      <c r="J44" s="193">
        <f>(SUM(J11:K11*J24:K24)+J34)/J32</f>
        <v>0.2975422614710484</v>
      </c>
      <c r="L44" s="193">
        <f>(SUM(L11:M11*L24:M24)+L34)/L32</f>
        <v>0.29754226196177413</v>
      </c>
      <c r="N44" s="193">
        <f>(SUM(N11:O11*N24:O24)+N34)/N32</f>
        <v>0.29754226211873597</v>
      </c>
      <c r="P44" s="193">
        <f>(SUM(P11:Q11*P24:Q24)+P34)/P32</f>
        <v>0.29754225128329242</v>
      </c>
      <c r="R44" s="193">
        <f>(SUM(R11:S11*R24:S24)+R34)/R32</f>
        <v>0.2975422544146743</v>
      </c>
      <c r="T44" s="193">
        <f>(SUM(T11:U11*T24:U24)+T34)/T32</f>
        <v>0.29754226177420134</v>
      </c>
      <c r="V44" s="193">
        <f>(SUM(V11:W11*V24:W24)+V34)/V32</f>
        <v>0.29754226201667339</v>
      </c>
      <c r="X44" s="193">
        <f>(SUM(X11:Y11*X24:Y24)+X34)/X32</f>
        <v>0.29754226197862205</v>
      </c>
      <c r="Z44" s="193">
        <f>(SUM(Z11:AA11*Z24:AA24)+Z34)/Z32</f>
        <v>0.29754226194725514</v>
      </c>
      <c r="AB44" s="193">
        <f>(SUM(AB11:AC11*AB24:AC24)+AB34)/AB32</f>
        <v>0.29754226195606598</v>
      </c>
      <c r="AD44" s="193">
        <f>(SUM(AD11:AE11*AD24:AE24)+AD34)/AD32</f>
        <v>0.29754226299987013</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0.22038438808732344</v>
      </c>
      <c r="F45" s="193">
        <f>SUM(F11:G11*F24:G24)/F32</f>
        <v>0.22038438803507263</v>
      </c>
      <c r="H45" s="193">
        <f>SUM(H11:I11*H24:I24)/H32</f>
        <v>0.22038438795445822</v>
      </c>
      <c r="J45" s="193">
        <f>SUM(J11:K11*J24:K24)/J32</f>
        <v>0.22038438834449298</v>
      </c>
      <c r="L45" s="193">
        <f>SUM(L11:M11*L24:M24)/L32</f>
        <v>0.22038438832709856</v>
      </c>
      <c r="N45" s="193">
        <f>SUM(N11:O11*N24:O24)/N32</f>
        <v>0.22038438831793442</v>
      </c>
      <c r="P45" s="193">
        <f>SUM(P11:Q11*P24:Q24)/P32</f>
        <v>0.2203843885077407</v>
      </c>
      <c r="R45" s="193">
        <f>SUM(R11:S11*R24:S24)/R32</f>
        <v>0.22038438841975327</v>
      </c>
      <c r="T45" s="193">
        <f>SUM(T11:U11*T24:U24)/T32</f>
        <v>0.22038438832121929</v>
      </c>
      <c r="V45" s="193">
        <f>SUM(V11:W11*V24:W24)/V32</f>
        <v>0.22038438832967733</v>
      </c>
      <c r="X45" s="193">
        <f>SUM(X11:Y11*X24:Y24)/X32</f>
        <v>0.22038438829754547</v>
      </c>
      <c r="Z45" s="193">
        <f>SUM(Z11:AA11*Z24:AA24)/Z32</f>
        <v>0.22038438832908991</v>
      </c>
      <c r="AB45" s="193">
        <f>SUM(AB11:AC11*AB24:AC24)/AB32</f>
        <v>0.22038438833181298</v>
      </c>
      <c r="AD45" s="193">
        <f>SUM(AD11:AE11*AD24:AE24)/AD32</f>
        <v>0.22038438835598634</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7.7157874419488848E-2</v>
      </c>
      <c r="F46" s="193">
        <f>F34/F32</f>
        <v>7.7157874595920814E-2</v>
      </c>
      <c r="H46" s="193">
        <f>H34/H32</f>
        <v>7.7157874853059277E-2</v>
      </c>
      <c r="J46" s="193">
        <f>J34/J32</f>
        <v>7.7157873126555435E-2</v>
      </c>
      <c r="L46" s="193">
        <f>L34/L32</f>
        <v>7.7157873634675592E-2</v>
      </c>
      <c r="N46" s="193">
        <f>N34/N32</f>
        <v>7.7157873800801552E-2</v>
      </c>
      <c r="P46" s="193">
        <f>P34/P32</f>
        <v>7.7157862775551742E-2</v>
      </c>
      <c r="R46" s="193">
        <f>R34/R32</f>
        <v>7.7157865994921082E-2</v>
      </c>
      <c r="T46" s="193">
        <f>T34/T32</f>
        <v>7.7157873452982029E-2</v>
      </c>
      <c r="V46" s="193">
        <f>V34/V32</f>
        <v>7.7157873686996087E-2</v>
      </c>
      <c r="X46" s="193">
        <f>X34/X32</f>
        <v>7.7157873681076544E-2</v>
      </c>
      <c r="Z46" s="193">
        <f>Z34/Z32</f>
        <v>7.7157873618165229E-2</v>
      </c>
      <c r="AB46" s="193">
        <f>AB34/AB32</f>
        <v>7.7157873624252998E-2</v>
      </c>
      <c r="AD46" s="193">
        <f>AD34/AD32</f>
        <v>7.7157874643883753E-2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1.0157224083825538</v>
      </c>
      <c r="E48" s="191"/>
      <c r="F48" s="191">
        <f>F24/$B$24</f>
        <v>1.0316696184520331</v>
      </c>
      <c r="G48" s="191"/>
      <c r="H48" s="191">
        <f>H24/$B$24</f>
        <v>1.0478930512908979</v>
      </c>
      <c r="I48" s="191"/>
      <c r="J48" s="191">
        <f>J24/$B$24</f>
        <v>1.0644558500943408</v>
      </c>
      <c r="K48" s="191"/>
      <c r="L48" s="191">
        <f>L24/$B$24</f>
        <v>1.0814387407688451</v>
      </c>
      <c r="M48" s="191"/>
      <c r="N48" s="191">
        <f>N24/$B$24</f>
        <v>1.0989491628235084</v>
      </c>
      <c r="O48" s="191"/>
      <c r="P48" s="191">
        <f>P24/$B$24</f>
        <v>1.1171361768033612</v>
      </c>
      <c r="Q48" s="191"/>
      <c r="R48" s="191">
        <f>R24/$B$24</f>
        <v>1.1362154423564574</v>
      </c>
      <c r="S48" s="191"/>
      <c r="T48" s="191">
        <f>T24/$B$24</f>
        <v>1.1565113079646474</v>
      </c>
      <c r="U48" s="191"/>
      <c r="V48" s="191">
        <f>V24/$B$24</f>
        <v>1.1785311189473255</v>
      </c>
      <c r="W48" s="191"/>
      <c r="X48" s="191">
        <f>X24/$B$24</f>
        <v>1.2030961256919177</v>
      </c>
      <c r="Y48" s="191"/>
      <c r="Z48" s="191">
        <f>Z24/$B$24</f>
        <v>1.2315671157848136</v>
      </c>
      <c r="AA48" s="191"/>
      <c r="AB48" s="191">
        <f>AB24/$B$24</f>
        <v>1.266186273661343</v>
      </c>
      <c r="AC48" s="191"/>
      <c r="AD48" s="191">
        <f>AD24/$B$24</f>
        <v>1.3103686674734194</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0.95526015136783671</v>
      </c>
      <c r="E49" s="191"/>
      <c r="F49" s="191">
        <f>F13/F35/$B$13*$B$35</f>
        <v>0.90928594319554701</v>
      </c>
      <c r="G49" s="191"/>
      <c r="H49" s="191">
        <f>H13/H35/$B$13*$B$35</f>
        <v>0.861872564550207</v>
      </c>
      <c r="I49" s="191"/>
      <c r="J49" s="191">
        <f>J13/J35/$B$13*$B$35</f>
        <v>0.81277168468431915</v>
      </c>
      <c r="K49" s="191"/>
      <c r="L49" s="191">
        <f>L13/L35/$B$13*$B$35</f>
        <v>0.76167469147752842</v>
      </c>
      <c r="M49" s="191"/>
      <c r="N49" s="191">
        <f>N13/N35/$B$13*$B$35</f>
        <v>0.70818771661133029</v>
      </c>
      <c r="O49" s="191"/>
      <c r="P49" s="191">
        <f>P13/P35/$B$13*$B$35</f>
        <v>0.65179512309307597</v>
      </c>
      <c r="Q49" s="191"/>
      <c r="R49" s="191">
        <f>R13/R35/$B$13*$B$35</f>
        <v>0.59180462875922191</v>
      </c>
      <c r="S49" s="191"/>
      <c r="T49" s="191">
        <f>T13/T35/$B$13*$B$35</f>
        <v>0.5272678953866422</v>
      </c>
      <c r="U49" s="191"/>
      <c r="V49" s="191">
        <f>V13/V35/$B$13*$B$35</f>
        <v>0.45687056030508943</v>
      </c>
      <c r="W49" s="191"/>
      <c r="X49" s="191">
        <f>X13/X35/$B$13*$B$35</f>
        <v>0.37881482851050657</v>
      </c>
      <c r="Y49" s="191"/>
      <c r="Z49" s="191">
        <f>Z13/Z35/$B$13*$B$35</f>
        <v>0.29084272426465979</v>
      </c>
      <c r="AA49" s="191"/>
      <c r="AB49" s="191">
        <f>AB13/AB35/$B$13*$B$35</f>
        <v>0.19107827617765852</v>
      </c>
      <c r="AC49" s="191"/>
      <c r="AD49" s="191">
        <f>AD13/AD35/$B$13*$B$35</f>
        <v>8.2481297678201587E-2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-413456.94383580657</v>
      </c>
      <c r="F51" s="29">
        <f>F30-F10*F23</f>
        <v>-421277.27280988125</v>
      </c>
      <c r="H51" s="29">
        <f>H30-H10*H23</f>
        <v>-429333.94363610586</v>
      </c>
      <c r="J51" s="29">
        <f>J30-J10*J23</f>
        <v>-437671.36551604187</v>
      </c>
      <c r="L51" s="29">
        <f>L30-L10*L23</f>
        <v>-446348.83847360034</v>
      </c>
      <c r="N51" s="29">
        <f>N30-N10*N23</f>
        <v>-455448.24176479131</v>
      </c>
      <c r="P51" s="29">
        <f>P30-P10*P23</f>
        <v>-465086.77740409272</v>
      </c>
      <c r="R51" s="29">
        <f>R30-R10*R23</f>
        <v>-475441.51041573938</v>
      </c>
      <c r="T51" s="29">
        <f>T30-T10*T23</f>
        <v>-486783.64702676609</v>
      </c>
      <c r="V51" s="29">
        <f>V30-V10*V23</f>
        <v>-499549.19514896162</v>
      </c>
      <c r="X51" s="29">
        <f>X30-X10*X23</f>
        <v>-514465.22747341404</v>
      </c>
      <c r="Z51" s="29">
        <f>Z30-Z10*Z23</f>
        <v>-532778.09309729002</v>
      </c>
      <c r="AB51" s="29">
        <f>AB30-AB10*AB23</f>
        <v>-556648.28092848882</v>
      </c>
      <c r="AD51" s="29">
        <f>AD30-AD10*AD23</f>
        <v>-589675.16293475823</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2013868.097770558</v>
      </c>
      <c r="F52" s="29">
        <f t="array" ref="F52">Calibration!sL*SUM(F13:G13*F26:G26)</f>
        <v>1974830.8699125352</v>
      </c>
      <c r="H52" s="29">
        <f t="array" ref="H52">Calibration!sL*SUM(H13:I13*H26:I26)</f>
        <v>1931633.419444079</v>
      </c>
      <c r="J52" s="29">
        <f t="array" ref="J52">Calibration!sL*SUM(J13:K13*J26:K26)</f>
        <v>1883642.082305413</v>
      </c>
      <c r="L52" s="29">
        <f t="array" ref="L52">Calibration!sL*SUM(L13:M13*L26:M26)</f>
        <v>1830040.0192717849</v>
      </c>
      <c r="N52" s="29">
        <f t="array" ref="N52">Calibration!sL*SUM(N13:O13*N26:O26)</f>
        <v>1769745.5108328264</v>
      </c>
      <c r="P52" s="29">
        <f t="array" ref="P52">Calibration!sL*SUM(P13:Q13*P26:Q26)</f>
        <v>1701279.7448951392</v>
      </c>
      <c r="R52" s="29">
        <f t="array" ref="R52">Calibration!sL*SUM(R13:S13*R26:S26)</f>
        <v>1622543.4938247607</v>
      </c>
      <c r="T52" s="29">
        <f t="array" ref="T52">Calibration!sL*SUM(T13:U13*T26:U26)</f>
        <v>1530428.4002837925</v>
      </c>
      <c r="V52" s="29">
        <f t="array" ref="V52">Calibration!sL*SUM(V13:W13*V26:W26)</f>
        <v>1420102.8769661519</v>
      </c>
      <c r="X52" s="29">
        <f t="array" ref="X52">Calibration!sL*SUM(X13:Y13*X26:Y26)</f>
        <v>1283648.0344340168</v>
      </c>
      <c r="Z52" s="29">
        <f t="array" ref="Z52">Calibration!sL*SUM(Z13:AA13*Z26:AA26)</f>
        <v>1107357.4444041504</v>
      </c>
      <c r="AB52" s="29">
        <f t="array" ref="AB52">Calibration!sL*SUM(AB13:AC13*AB26:AC26)</f>
        <v>866354.60505475115</v>
      </c>
      <c r="AD52" s="29">
        <f t="array" ref="AD52">Calibration!sL*SUM(AD13:AE13*AD26:AE26)</f>
        <v>514536.25927582558</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2740714.4444297217</v>
      </c>
      <c r="D53" s="29">
        <f t="array" ref="D53">Calibration!sK*SUM(D15:E15*D27:E27)</f>
        <v>2842446.0571272154</v>
      </c>
      <c r="F53" s="29">
        <f t="array" ref="F53">Calibration!sK*SUM(F15:G15*F27:G27)</f>
        <v>2948723.7538793855</v>
      </c>
      <c r="H53" s="29">
        <f t="array" ref="H53">Calibration!sK*SUM(H15:I15*H27:I27)</f>
        <v>3060242.6266404083</v>
      </c>
      <c r="J53" s="29">
        <f t="array" ref="J53">Calibration!sK*SUM(J15:K15*J27:K27)</f>
        <v>3177886.9663577387</v>
      </c>
      <c r="L53" s="29">
        <f t="array" ref="L53">Calibration!sK*SUM(L15:M15*L27:M27)</f>
        <v>3302816.3676226549</v>
      </c>
      <c r="N53" s="29">
        <f t="array" ref="N53">Calibration!sK*SUM(N15:O15*N27:O27)</f>
        <v>3436602.6813127976</v>
      </c>
      <c r="P53" s="29">
        <f t="array" ref="P53">Calibration!sK*SUM(P15:Q15*P27:Q27)</f>
        <v>3581452.8144534398</v>
      </c>
      <c r="R53" s="29">
        <f t="array" ref="R53">Calibration!sK*SUM(R15:S15*R27:S27)</f>
        <v>3740586.9938766416</v>
      </c>
      <c r="T53" s="29">
        <f t="array" ref="T53">Calibration!sK*SUM(T15:U15*T27:U27)</f>
        <v>3918891.406653265</v>
      </c>
      <c r="V53" s="29">
        <f t="array" ref="V53">Calibration!sK*SUM(V15:W15*V27:W27)</f>
        <v>4124104.4932545726</v>
      </c>
      <c r="X53" s="29">
        <f t="array" ref="X53">Calibration!sK*SUM(X15:Y15*X27:Y27)</f>
        <v>4369023.9243028099</v>
      </c>
      <c r="Z53" s="29">
        <f t="array" ref="Z53">Calibration!sK*SUM(Z15:AA15*Z27:AA27)</f>
        <v>4675684.6408121027</v>
      </c>
      <c r="AB53" s="29">
        <f t="array" ref="AB53">Calibration!sK*SUM(AB15:AC15*AB27:AC27)</f>
        <v>5083041.2923934059</v>
      </c>
      <c r="AD53" s="29">
        <f t="array" ref="AD53">Calibration!sK*SUM(AD15:AE15*AD27:AE27)</f>
        <v>5659161.7182014985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0.19835661040007369</v>
      </c>
      <c r="F55" s="193">
        <f>F30/F32</f>
        <v>0.1982052295782509</v>
      </c>
      <c r="H55" s="193">
        <f>H30/H32</f>
        <v>0.19804756089209435</v>
      </c>
      <c r="J55" s="193">
        <f>J30/J32</f>
        <v>0.19788233413847392</v>
      </c>
      <c r="L55" s="193">
        <f>L30/L32</f>
        <v>0.19770790751581821</v>
      </c>
      <c r="N55" s="193">
        <f>N30/N32</f>
        <v>0.19752211403177544</v>
      </c>
      <c r="P55" s="193">
        <f>P30/P32</f>
        <v>0.1973220118907239</v>
      </c>
      <c r="R55" s="193">
        <f>R30/R32</f>
        <v>0.19710329255777004</v>
      </c>
      <c r="T55" s="193">
        <f>T30/T32</f>
        <v>0.19685977585160966</v>
      </c>
      <c r="V55" s="193">
        <f>V30/V32</f>
        <v>0.19658196881721393</v>
      </c>
      <c r="X55" s="193">
        <f>X30/X32</f>
        <v>0.19625465395244979</v>
      </c>
      <c r="Z55" s="193">
        <f>Z30/Z32</f>
        <v>0.19585267547073643</v>
      </c>
      <c r="AB55" s="193">
        <f>AB30/AB32</f>
        <v>0.19533340284082237</v>
      </c>
      <c r="AD55" s="193">
        <f>AD30/AD32</f>
        <v>0.1946256184515387</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3.3967254313944484E-2</v>
      </c>
      <c r="F56" s="193">
        <f>(Model!$C$52*F5*F20+F2*G5*G20)/F32</f>
        <v>3.888172551100328E-2</v>
      </c>
      <c r="H56" s="193">
        <f>(Model!$C$52*H5*H20+H2*I5*I20)/H32</f>
        <v>4.3997358916269817E-2</v>
      </c>
      <c r="J56" s="193">
        <f>(Model!$C$52*J5*J20+J2*K5*K20)/J32</f>
        <v>4.9355086417697827E-2</v>
      </c>
      <c r="L56" s="193">
        <f>(Model!$C$52*L5*L20+L2*M5*M20)/L32</f>
        <v>5.5007539134569385E-2</v>
      </c>
      <c r="N56" s="193">
        <f>(Model!$C$52*N5*N20+N2*O5*O20)/N32</f>
        <v>6.1024454290594159E-2</v>
      </c>
      <c r="P56" s="193">
        <f>(Model!$C$52*P5*P20+P2*Q5*Q20)/P32</f>
        <v>6.7501270473688355E-2</v>
      </c>
      <c r="R56" s="193">
        <f>(Model!$C$52*R5*R20+R2*S5*S20)/R32</f>
        <v>7.457310979803633E-2</v>
      </c>
      <c r="T56" s="193">
        <f>(Model!$C$52*T5*T20+T2*U5*U20)/T32</f>
        <v>8.2438747354238007E-2</v>
      </c>
      <c r="V56" s="193">
        <f>(Model!$C$52*V5*V20+V2*W5*W20)/V32</f>
        <v>9.1402289963089786E-2</v>
      </c>
      <c r="X56" s="193">
        <f>(Model!$C$52*X5*X20+X2*Y5*Y20)/X32</f>
        <v>0.10194830333164169</v>
      </c>
      <c r="Z56" s="193">
        <f>(Model!$C$52*Z5*Z20+Z2*AA5*AA20)/Z32</f>
        <v>0.11487850786930918</v>
      </c>
      <c r="AB56" s="193">
        <f>(Model!$C$52*AB5*AB20+AB2*AC5*AC20)/AB32</f>
        <v>0.13155028214916345</v>
      </c>
      <c r="AD56" s="193">
        <f>(Model!$C$52*AD5*AD20+AD2*AE5*AE20)/AD32</f>
        <v>0.15423002314065745</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0.15373233570515496</v>
      </c>
      <c r="F57" s="193">
        <f t="array" ref="F57">SUM(Model!tauL*F13:G13*F26:G26)/F32</f>
        <v>0.14876275758871044</v>
      </c>
      <c r="H57" s="193">
        <f t="array" ref="H57">SUM(Model!tauL*H13:I13*H26:I26)/H32</f>
        <v>0.14358675523322562</v>
      </c>
      <c r="J57" s="193">
        <f t="array" ref="J57">SUM(Model!tauL*J13:K13*J26:K26)/J32</f>
        <v>0.1381625979915472</v>
      </c>
      <c r="L57" s="193">
        <f t="array" ref="L57">SUM(Model!tauL*L13:M13*L26:M26)/L32</f>
        <v>0.13243654105189193</v>
      </c>
      <c r="N57" s="193">
        <f t="array" ref="N57">SUM(Model!tauL*N13:O13*N26:O26)/N32</f>
        <v>0.12633727310704818</v>
      </c>
      <c r="P57" s="193">
        <f t="array" ref="P57">SUM(Model!tauL*P13:Q13*P26:Q26)/P32</f>
        <v>0.11976708325731458</v>
      </c>
      <c r="R57" s="193">
        <f t="array" ref="R57">SUM(Model!tauL*R13:S13*R26:S26)/R32</f>
        <v>0.11258729309846044</v>
      </c>
      <c r="T57" s="193">
        <f t="array" ref="T57">SUM(Model!tauL*T13:U13*T26:U26)/T32</f>
        <v>0.10459378916497022</v>
      </c>
      <c r="V57" s="193">
        <f t="array" ref="V57">SUM(Model!tauL*V13:W13*V26:W26)/V32</f>
        <v>9.5473892096855639E-2</v>
      </c>
      <c r="X57" s="193">
        <f t="array" ref="X57">SUM(Model!tauL*X13:Y13*X26:Y26)/X32</f>
        <v>8.4728778454515583E-2</v>
      </c>
      <c r="Y57" s="193"/>
      <c r="Z57" s="193">
        <f t="array" ref="Z57">SUM(Model!tauL*Z13:AA13*Z26:AA26)/Z32</f>
        <v>7.1532474868516202E-2</v>
      </c>
      <c r="AB57" s="193">
        <f t="array" ref="AB57">SUM(Model!tauL*AB13:AC13*AB26:AC26)/AB32</f>
        <v>5.4485652357856615E-2</v>
      </c>
      <c r="AD57" s="193">
        <f t="array" ref="AD57">SUM(Model!tauL*AD13:AE13*AD26:AE26)/AD32</f>
        <v>3.1251101841411791E-2</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1.0657020380974243E-2</v>
      </c>
      <c r="F58" s="193">
        <f t="array" ref="F58">SUM(Model!tauY/(1+Model!tauY)*F3:G3*F18:G18)/F32</f>
        <v>1.0560746478537228E-2</v>
      </c>
      <c r="H58" s="193">
        <f t="array" ref="H58">SUM(Model!tauY/(1+Model!tauY)*H3:I3*H18:I18)/H32</f>
        <v>1.0463446742598935E-2</v>
      </c>
      <c r="J58" s="193">
        <f t="array" ref="J58">SUM(Model!tauY/(1+Model!tauY)*J3:K3*J18:K18)/J32</f>
        <v>1.0364649729228875E-2</v>
      </c>
      <c r="L58" s="193">
        <f t="array" ref="L58">SUM(Model!tauY/(1+Model!tauY)*L3:M3*L18:M18)/L32</f>
        <v>1.0263827329356908E-2</v>
      </c>
      <c r="N58" s="193">
        <f t="array" ref="N58">SUM(Model!tauY/(1+Model!tauY)*N3:O3*N18:O18)/N32</f>
        <v>1.0160386634133106E-2</v>
      </c>
      <c r="P58" s="193">
        <f t="array" ref="P58">SUM(Model!tauY/(1+Model!tauY)*P3:Q3*P18:Q18)/P32</f>
        <v>1.0053658159720966E-2</v>
      </c>
      <c r="R58" s="193">
        <f t="array" ref="R58">SUM(Model!tauY/(1+Model!tauY)*R3:S3*R18:S18)/R32</f>
        <v>9.9428896612732756E-3</v>
      </c>
      <c r="T58" s="193">
        <f t="array" ref="T58">SUM(Model!tauY/(1+Model!tauY)*T3:U3*T18:U18)/T32</f>
        <v>9.8272393324014377E-3</v>
      </c>
      <c r="V58" s="193">
        <f t="array" ref="V58">SUM(Model!tauY/(1+Model!tauY)*V3:W3*V18:W18)/V32</f>
        <v>9.705786757268511E-3</v>
      </c>
      <c r="X58" s="193">
        <f t="array" ref="X58">SUM(Model!tauY/(1+Model!tauY)*X3:Y3*X18:Y18)/X32</f>
        <v>9.5775721662925261E-3</v>
      </c>
      <c r="Y58" s="193"/>
      <c r="Z58" s="193">
        <f t="array" ref="Z58">SUM(Model!tauY/(1+Model!tauY)*Z3:AA3*Z18:AA18)/Z32</f>
        <v>9.4416927329110355E-3</v>
      </c>
      <c r="AB58" s="193">
        <f t="array" ref="AB58">SUM(Model!tauY/(1+Model!tauY)*AB3:AC3*AB18:AC18)/AB32</f>
        <v>9.2974683338023084E-3</v>
      </c>
      <c r="AD58" s="193">
        <f t="array" ref="AD58">SUM(Model!tauY/(1+Model!tauY)*AD3:AE3*AD18:AE18)/AD32</f>
        <v>9.1444934694694651E-3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5.3523730624330506E-3</v>
      </c>
      <c r="F59" s="193">
        <f>(F2*G5*G20)/F32</f>
        <v>1.0322810674005835E-2</v>
      </c>
      <c r="H59" s="193">
        <f>(H2*I5*I20)/H32</f>
        <v>1.5496094035696585E-2</v>
      </c>
      <c r="J59" s="193">
        <f>(J2*K5*K20)/J32</f>
        <v>2.0913525741242386E-2</v>
      </c>
      <c r="L59" s="193">
        <f>(L2*M5*M20)/L32</f>
        <v>2.662821058383014E-2</v>
      </c>
      <c r="N59" s="193">
        <f>(N2*O5*O20)/N32</f>
        <v>3.2710511002150507E-2</v>
      </c>
      <c r="P59" s="193">
        <f>(P2*Q5*Q20)/P32</f>
        <v>3.9256721697180731E-2</v>
      </c>
      <c r="R59" s="193">
        <f>(R2*S5*S20)/R32</f>
        <v>4.6403179214687139E-2</v>
      </c>
      <c r="T59" s="193">
        <f>(T2*U5*U20)/T32</f>
        <v>5.4350451586051854E-2</v>
      </c>
      <c r="V59" s="193">
        <f>(V2*W5*W20)/V32</f>
        <v>6.3405395303993028E-2</v>
      </c>
      <c r="X59" s="193">
        <f>(X2*Y5*Y20)/X32</f>
        <v>7.4056954163381317E-2</v>
      </c>
      <c r="Z59" s="193">
        <f>(Z2*AA5*AA20)/Z32</f>
        <v>8.7114034986172637E-2</v>
      </c>
      <c r="AB59" s="193">
        <f>(AB2*AC5*AC20)/AB32</f>
        <v>0.10394590780333055</v>
      </c>
      <c r="AD59" s="193">
        <f>(AD2*AE5*AE20)/AD32</f>
        <v>0.12683774597145198</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2.8614881251511435E-2</v>
      </c>
      <c r="F60" s="193">
        <f>Model!$C$52*F5*F20/F32</f>
        <v>2.8558914836997441E-2</v>
      </c>
      <c r="H60" s="193">
        <f>Model!$C$52*H5*H20/H32</f>
        <v>2.8501264880573238E-2</v>
      </c>
      <c r="J60" s="193">
        <f>Model!$C$52*J5*J20/J32</f>
        <v>2.8441560676455441E-2</v>
      </c>
      <c r="L60" s="193">
        <f>Model!$C$52*L5*L20/L32</f>
        <v>2.8379328550739241E-2</v>
      </c>
      <c r="N60" s="193">
        <f>Model!$C$52*N5*N20/N32</f>
        <v>2.8313943288443652E-2</v>
      </c>
      <c r="P60" s="193">
        <f>Model!$C$52*P5*P20/P32</f>
        <v>2.8244548776507627E-2</v>
      </c>
      <c r="R60" s="193">
        <f>Model!$C$52*R5*R20/R32</f>
        <v>2.8169930583349184E-2</v>
      </c>
      <c r="T60" s="193">
        <f>Model!$C$52*T5*T20/T32</f>
        <v>2.808829576818616E-2</v>
      </c>
      <c r="V60" s="193">
        <f>Model!$C$52*V5*V20/V32</f>
        <v>2.7996894659096765E-2</v>
      </c>
      <c r="X60" s="193">
        <f>Model!$C$52*X5*X20/X32</f>
        <v>2.7891349168260384E-2</v>
      </c>
      <c r="Z60" s="193">
        <f>Model!$C$52*Z5*Z20/Z32</f>
        <v>2.7764472883136545E-2</v>
      </c>
      <c r="AB60" s="193">
        <f>Model!$C$52*AB5*AB20/AB32</f>
        <v>2.7604374345832915E-2</v>
      </c>
      <c r="AD60" s="193">
        <f>Model!$C$52*AD5*AD20/AD32</f>
        <v>2.7392277169205455E-2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0.92307754845751844</v>
      </c>
      <c r="F62">
        <f>F13/F15</f>
        <v>0.84915929760782372</v>
      </c>
      <c r="H62">
        <f>H13/H15</f>
        <v>0.77789303572834845</v>
      </c>
      <c r="J62">
        <f>J13/J15</f>
        <v>0.70893233762445795</v>
      </c>
      <c r="L62">
        <f>L13/L15</f>
        <v>0.64192369792032611</v>
      </c>
      <c r="N62">
        <f>N13/N15</f>
        <v>0.57648999086261266</v>
      </c>
      <c r="P62">
        <f>P13/P15</f>
        <v>0.51221012466276494</v>
      </c>
      <c r="R62">
        <f>R13/R15</f>
        <v>0.44859228861169348</v>
      </c>
      <c r="T62">
        <f>T13/T15</f>
        <v>0.3850426510236844</v>
      </c>
      <c r="V62">
        <f>V13/V15</f>
        <v>0.32083530859639892</v>
      </c>
      <c r="X62">
        <f>X13/X15</f>
        <v>0.25511884698702608</v>
      </c>
      <c r="Z62">
        <f>Z13/Z15</f>
        <v>0.18708385333137401</v>
      </c>
      <c r="AB62">
        <f>AB13/AB15</f>
        <v>0.11671434178441915</v>
      </c>
      <c r="AD62">
        <f>AD13/AD15</f>
        <v>4.7495790980020526E-2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0.99791843633161192</v>
      </c>
      <c r="E65" s="191"/>
      <c r="F65" s="191">
        <f t="array" ref="F65">SQRT((F9:G9*$B$22:$C$22+F10:G10*$B$23:$C$23+F11:G11*$B$24:$C$24+F4:G4*($B$25:$C$25-$B$19:$C$19))/($B$9:$C$9*$B$22:$C$22+$B$10:$C$10*$B$23:$C$23+$B$11:$C$11*$B$24:$C$24+$B$4:$C$4*($B$25:$C$25-$B$19:$C$19))*(F9:G9*F22:G22+F10:G10*F23:G23+F11:G11*F24:G24+F4:G4*(F25:G25-F19:G19))/($B$9:$C$9*F22:G22+$B$10:$C$10*F23:G23+$B$11:$C$11*F24:G24+$B$4:$C$4*(F25:G25-F19:G19)))</f>
        <v>0.99584463251652333</v>
      </c>
      <c r="G65" s="191"/>
      <c r="H65" s="191">
        <f t="array" ref="H65">SQRT((H9:I9*$B$22:$C$22+H10:I10*$B$23:$C$23+H11:I11*$B$24:$C$24+H4:I4*($B$25:$C$25-$B$19:$C$19))/($B$9:$C$9*$B$22:$C$22+$B$10:$C$10*$B$23:$C$23+$B$11:$C$11*$B$24:$C$24+$B$4:$C$4*($B$25:$C$25-$B$19:$C$19))*(H9:I9*H22:I22+H10:I10*H23:I23+H11:I11*H24:I24+H4:I4*(H25:I25-H19:I19))/($B$9:$C$9*H22:I22+$B$10:$C$10*H23:I23+$B$11:$C$11*H24:I24+$B$4:$C$4*(H25:I25-H19:I19)))</f>
        <v>0.99376667522851192</v>
      </c>
      <c r="I65" s="191"/>
      <c r="J65" s="191">
        <f t="array" ref="J65">SQRT((J9:K9*$B$22:$C$22+J10:K10*$B$23:$C$23+J11:K11*$B$24:$C$24+J4:K4*($B$25:$C$25-$B$19:$C$19))/($B$9:$C$9*$B$22:$C$22+$B$10:$C$10*$B$23:$C$23+$B$11:$C$11*$B$24:$C$24+$B$4:$C$4*($B$25:$C$25-$B$19:$C$19))*(J9:K9*J22:K22+J10:K10*J23:K23+J11:K11*J24:K24+J4:K4*(J25:K25-J19:K19))/($B$9:$C$9*J22:K22+$B$10:$C$10*J23:K23+$B$11:$C$11*J24:K24+$B$4:$C$4*(J25:K25-J19:K19)))</f>
        <v>0.99167336077408874</v>
      </c>
      <c r="K65" s="191"/>
      <c r="L65" s="191">
        <f t="array" ref="L65">SQRT((L9:M9*$B$22:$C$22+L10:M10*$B$23:$C$23+L11:M11*$B$24:$C$24+L4:M4*($B$25:$C$25-$B$19:$C$19))/($B$9:$C$9*$B$22:$C$22+$B$10:$C$10*$B$23:$C$23+$B$11:$C$11*$B$24:$C$24+$B$4:$C$4*($B$25:$C$25-$B$19:$C$19))*(L9:M9*L22:M22+L10:M10*L23:M23+L11:M11*L24:M24+L4:M4*(L25:M25-L19:M19))/($B$9:$C$9*L22:M22+$B$10:$C$10*L23:M23+$B$11:$C$11*L24:M24+$B$4:$C$4*(L25:M25-L19:M19)))</f>
        <v>0.98955502898567183</v>
      </c>
      <c r="M65" s="191"/>
      <c r="N65" s="191">
        <f t="array" ref="N65">SQRT((N9:O9*$B$22:$C$22+N10:O10*$B$23:$C$23+N11:O11*$B$24:$C$24+N4:O4*($B$25:$C$25-$B$19:$C$19))/($B$9:$C$9*$B$22:$C$22+$B$10:$C$10*$B$23:$C$23+$B$11:$C$11*$B$24:$C$24+$B$4:$C$4*($B$25:$C$25-$B$19:$C$19))*(N9:O9*N22:O22+N10:O10*N23:O23+N11:O11*N24:O24+N4:O4*(N25:O25-N19:O19))/($B$9:$C$9*N22:O22+$B$10:$C$10*N23:O23+$B$11:$C$11*N24:O24+$B$4:$C$4*(N25:O25-N19:O19)))</f>
        <v>0.98740504248676919</v>
      </c>
      <c r="O65" s="191"/>
      <c r="P65" s="191">
        <f t="array" ref="P65">SQRT((P9:Q9*$B$22:$C$22+P10:Q10*$B$23:$C$23+P11:Q11*$B$24:$C$24+P4:Q4*($B$25:$C$25-$B$19:$C$19))/($B$9:$C$9*$B$22:$C$22+$B$10:$C$10*$B$23:$C$23+$B$11:$C$11*$B$24:$C$24+$B$4:$C$4*($B$25:$C$25-$B$19:$C$19))*(P9:Q9*P22:Q22+P10:Q10*P23:Q23+P11:Q11*P24:Q24+P4:Q4*(P25:Q25-P19:Q19))/($B$9:$C$9*P22:Q22+$B$10:$C$10*P23:Q23+$B$11:$C$11*P24:Q24+$B$4:$C$4*(P25:Q25-P19:Q19)))</f>
        <v>0.98522234606680881</v>
      </c>
      <c r="Q65" s="191"/>
      <c r="R65" s="191">
        <f t="array" ref="R65">SQRT((R9:S9*$B$22:$C$22+R10:S10*$B$23:$C$23+R11:S11*$B$24:$C$24+R4:S4*($B$25:$C$25-$B$19:$C$19))/($B$9:$C$9*$B$22:$C$22+$B$10:$C$10*$B$23:$C$23+$B$11:$C$11*$B$24:$C$24+$B$4:$C$4*($B$25:$C$25-$B$19:$C$19))*(R9:S9*R22:S22+R10:S10*R23:S23+R11:S11*R24:S24+R4:S4*(R25:S25-R19:S19))/($B$9:$C$9*R22:S22+$B$10:$C$10*R23:S23+$B$11:$C$11*R24:S24+$B$4:$C$4*(R25:S25-R19:S19)))</f>
        <v>0.98301589418292779</v>
      </c>
      <c r="S65" s="191"/>
      <c r="T65" s="191">
        <f t="array" ref="T65">SQRT((T9:U9*$B$22:$C$22+T10:U10*$B$23:$C$23+T11:U11*$B$24:$C$24+T4:U4*($B$25:$C$25-$B$19:$C$19))/($B$9:$C$9*$B$22:$C$22+$B$10:$C$10*$B$23:$C$23+$B$11:$C$11*$B$24:$C$24+$B$4:$C$4*($B$25:$C$25-$B$19:$C$19))*(T9:U9*T22:U22+T10:U10*T23:U23+T11:U11*T24:U24+T4:U4*(T25:U25-T19:U19))/($B$9:$C$9*T22:U22+$B$10:$C$10*T23:U23+$B$11:$C$11*T24:U24+$B$4:$C$4*(T25:U25-T19:U19)))</f>
        <v>0.98081249993493358</v>
      </c>
      <c r="U65" s="191"/>
      <c r="V65" s="191">
        <f t="array" ref="V65">SQRT((V9:W9*$B$22:$C$22+V10:W10*$B$23:$C$23+V11:W11*$B$24:$C$24+V4:W4*($B$25:$C$25-$B$19:$C$19))/($B$9:$C$9*$B$22:$C$22+$B$10:$C$10*$B$23:$C$23+$B$11:$C$11*$B$24:$C$24+$B$4:$C$4*($B$25:$C$25-$B$19:$C$19))*(V9:W9*V22:W22+V10:W10*V23:W23+V11:W11*V24:W24+V4:W4*(V25:W25-V19:W19))/($B$9:$C$9*V22:W22+$B$10:$C$10*V23:W23+$B$11:$C$11*V24:W24+$B$4:$C$4*(V25:W25-V19:W19)))</f>
        <v>0.97867069426058306</v>
      </c>
      <c r="W65" s="191"/>
      <c r="X65" s="191">
        <f t="array" ref="X65">SQRT((X9:Y9*$B$22:$C$22+X10:Y10*$B$23:$C$23+X11:Y11*$B$24:$C$24+X4:Y4*($B$25:$C$25-$B$19:$C$19))/($B$9:$C$9*$B$22:$C$22+$B$10:$C$10*$B$23:$C$23+$B$11:$C$11*$B$24:$C$24+$B$4:$C$4*($B$25:$C$25-$B$19:$C$19))*(X9:Y9*X22:Y22+X10:Y10*X23:Y23+X11:Y11*X24:Y24+X4:Y4*(X25:Y25-X19:Y19))/($B$9:$C$9*X22:Y22+$B$10:$C$10*X23:Y23+$B$11:$C$11*X24:Y24+$B$4:$C$4*(X25:Y25-X19:Y19)))</f>
        <v>0.97670526599533125</v>
      </c>
      <c r="Y65" s="191"/>
      <c r="Z65" s="191">
        <f t="array" ref="Z65">SQRT((Z9:AA9*$B$22:$C$22+Z10:AA10*$B$23:$C$23+Z11:AA11*$B$24:$C$24+Z4:AA4*($B$25:$C$25-$B$19:$C$19))/($B$9:$C$9*$B$22:$C$22+$B$10:$C$10*$B$23:$C$23+$B$11:$C$11*$B$24:$C$24+$B$4:$C$4*($B$25:$C$25-$B$19:$C$19))*(Z9:AA9*Z22:AA22+Z10:AA10*Z23:AA23+Z11:AA11*Z24:AA24+Z4:AA4*(Z25:AA25-Z19:AA19))/($B$9:$C$9*Z22:AA22+$B$10:$C$10*Z23:AA23+$B$11:$C$11*Z24:AA24+$B$4:$C$4*(Z25:AA25-Z19:AA19)))</f>
        <v>0.97512869864878315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0.97430834981191217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0.97478681522341437</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0.99771040792125854</v>
      </c>
      <c r="E66" s="191"/>
      <c r="F66" s="191">
        <f t="array" ref="F66">SQRT((F9:G9*$B$22:$C$22)/($B$9:$C$9*$B$22:$C$22)*(F9:G9*F22:G22)/($B$9:$C$9*F22:G22))</f>
        <v>0.99542555446388425</v>
      </c>
      <c r="G66" s="191"/>
      <c r="H66" s="191">
        <f t="array" ref="H66">SQRT((H9:I9*$B$22:$C$22)/($B$9:$C$9*$B$22:$C$22)*(H9:I9*H22:I22)/($B$9:$C$9*H22:I22))</f>
        <v>0.99313230325626611</v>
      </c>
      <c r="I66" s="191"/>
      <c r="J66" s="191">
        <f t="array" ref="J66">SQRT((J9:K9*$B$22:$C$22)/($B$9:$C$9*$B$22:$C$22)*(J9:K9*J22:K22)/($B$9:$C$9*J22:K22))</f>
        <v>0.99081821196842423</v>
      </c>
      <c r="K66" s="191"/>
      <c r="L66" s="191">
        <f t="array" ref="L66">SQRT((L9:M9*$B$22:$C$22)/($B$9:$C$9*$B$22:$C$22)*(L9:M9*L22:M22)/($B$9:$C$9*L22:M22))</f>
        <v>0.98847246148854917</v>
      </c>
      <c r="M66" s="191"/>
      <c r="N66" s="191">
        <f t="array" ref="N66">SQRT((N9:O9*$B$22:$C$22)/($B$9:$C$9*$B$22:$C$22)*(N9:O9*N22:O22)/($B$9:$C$9*N22:O22))</f>
        <v>0.98608751111948667</v>
      </c>
      <c r="O66" s="191"/>
      <c r="P66" s="191">
        <f t="array" ref="P66">SQRT((P9:Q9*$B$22:$C$22)/($B$9:$C$9*$B$22:$C$22)*(P9:Q9*P22:Q22)/($B$9:$C$9*P22:Q22))</f>
        <v>0.98366197414866086</v>
      </c>
      <c r="Q66" s="191"/>
      <c r="R66" s="191">
        <f t="array" ref="R66">SQRT((R9:S9*$B$22:$C$22)/($B$9:$C$9*$B$22:$C$22)*(R9:S9*R22:S22)/($B$9:$C$9*R22:S22))</f>
        <v>0.98120561025010056</v>
      </c>
      <c r="S66" s="191"/>
      <c r="T66" s="191">
        <f t="array" ref="T66">SQRT((T9:U9*$B$22:$C$22)/($B$9:$C$9*$B$22:$C$22)*(T9:U9*T22:U22)/($B$9:$C$9*T22:U22))</f>
        <v>0.9787482003656649</v>
      </c>
      <c r="U66" s="191"/>
      <c r="V66" s="191">
        <f t="array" ref="V66">SQRT((V9:W9*$B$22:$C$22)/($B$9:$C$9*$B$22:$C$22)*(V9:W9*V22:W22)/($B$9:$C$9*V22:W22))</f>
        <v>0.97635524968118215</v>
      </c>
      <c r="W66" s="191"/>
      <c r="X66" s="191">
        <f t="array" ref="X66">SQRT((X9:Y9*$B$22:$C$22)/($B$9:$C$9*$B$22:$C$22)*(X9:Y9*X22:Y22)/($B$9:$C$9*X22:Y22))</f>
        <v>0.97415581441290466</v>
      </c>
      <c r="Y66" s="191"/>
      <c r="Z66" s="191">
        <f t="array" ref="Z66">SQRT((Z9:AA9*$B$22:$C$22)/($B$9:$C$9*$B$22:$C$22)*(Z9:AA9*Z22:AA22)/($B$9:$C$9*Z22:AA22))</f>
        <v>0.97238944218844037</v>
      </c>
      <c r="AA66" s="191"/>
      <c r="AB66" s="191">
        <f t="array" ref="AB66">SQRT((AB9:AC9*$B$22:$C$22)/($B$9:$C$9*$B$22:$C$22)*(AB9:AC9*AB22:AC22)/($B$9:$C$9*AB22:AC22))</f>
        <v>0.97147062334568279</v>
      </c>
      <c r="AC66" s="191"/>
      <c r="AD66" s="191">
        <f t="array" ref="AD66">SQRT((AD9:AE9*$B$22:$C$22)/($B$9:$C$9*$B$22:$C$22)*(AD9:AE9*AD22:AE22)/($B$9:$C$9*AD22:AE22))</f>
        <v>0.97201035387553425</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0.99771040792125854</v>
      </c>
      <c r="E68" s="191"/>
      <c r="F68" s="191">
        <f>F66/F67</f>
        <v>0.99542555446388425</v>
      </c>
      <c r="G68" s="191"/>
      <c r="H68" s="191">
        <f>H66/H67</f>
        <v>0.99313230325626611</v>
      </c>
      <c r="I68" s="191"/>
      <c r="J68" s="191">
        <f>J66/J67</f>
        <v>0.99081821196842423</v>
      </c>
      <c r="K68" s="191"/>
      <c r="L68" s="191">
        <f>L66/L67</f>
        <v>0.98847246148854917</v>
      </c>
      <c r="M68" s="191"/>
      <c r="N68" s="191">
        <f>N66/N67</f>
        <v>0.98608751111948667</v>
      </c>
      <c r="O68" s="191"/>
      <c r="P68" s="191">
        <f>P66/P67</f>
        <v>0.98366197414866086</v>
      </c>
      <c r="Q68" s="191"/>
      <c r="R68" s="191">
        <f>R66/R67</f>
        <v>0.98120561025010056</v>
      </c>
      <c r="S68" s="191"/>
      <c r="T68" s="191">
        <f>T66/T67</f>
        <v>0.9787482003656649</v>
      </c>
      <c r="U68" s="191"/>
      <c r="V68" s="191">
        <f>V66/V67</f>
        <v>0.97635524968118215</v>
      </c>
      <c r="W68" s="191"/>
      <c r="X68" s="191">
        <f>X66/X67</f>
        <v>0.97415581441290466</v>
      </c>
      <c r="Y68" s="191"/>
      <c r="Z68" s="191">
        <f>Z66/Z67</f>
        <v>0.97238944218844037</v>
      </c>
      <c r="AA68" s="191"/>
      <c r="AB68" s="191">
        <f>AB66/AB67</f>
        <v>0.97147062334568279</v>
      </c>
      <c r="AC68" s="191"/>
      <c r="AD68" s="191">
        <f>AD66/AD67</f>
        <v>0.97201035387553425</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1.0155106696417351</v>
      </c>
      <c r="E69" s="191"/>
      <c r="F69" s="191">
        <f>F32/F65/($B$32)</f>
        <v>1.0312354656763894</v>
      </c>
      <c r="G69" s="191"/>
      <c r="H69" s="191">
        <f>H32/H65/($B$32)</f>
        <v>1.047224129484928</v>
      </c>
      <c r="I69" s="191"/>
      <c r="J69" s="191">
        <f>J32/J65/($B$32)</f>
        <v>1.0635379387689319</v>
      </c>
      <c r="K69" s="191"/>
      <c r="L69" s="191">
        <f>L32/L65/($B$32)</f>
        <v>1.0802556530444583</v>
      </c>
      <c r="M69" s="191"/>
      <c r="N69" s="191">
        <f>N32/N65/($B$32)</f>
        <v>1.0974827940468703</v>
      </c>
      <c r="O69" s="191"/>
      <c r="P69" s="191">
        <f>P32/P65/($B$32)</f>
        <v>1.1153668819811655</v>
      </c>
      <c r="Q69" s="191"/>
      <c r="R69" s="191">
        <f>R32/R65/($B$32)</f>
        <v>1.1341230316274777</v>
      </c>
      <c r="S69" s="191"/>
      <c r="T69" s="191">
        <f>T32/T65/($B$32)</f>
        <v>1.1540772181258898</v>
      </c>
      <c r="U69" s="191"/>
      <c r="V69" s="191">
        <f>V32/V65/($B$32)</f>
        <v>1.1757428230524887</v>
      </c>
      <c r="W69" s="191"/>
      <c r="X69" s="191">
        <f>X32/X65/($B$32)</f>
        <v>1.1999557360110895</v>
      </c>
      <c r="Y69" s="191"/>
      <c r="Z69" s="191">
        <f>Z32/Z65/($B$32)</f>
        <v>1.2281074922833801</v>
      </c>
      <c r="AA69" s="191"/>
      <c r="AB69" s="191">
        <f>AB32/AB65/($B$32)</f>
        <v>1.2624984367461349</v>
      </c>
      <c r="AC69" s="191"/>
      <c r="AD69" s="191">
        <f>AD32/AD65/($B$32)</f>
        <v>1.3066363764341236</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1.0147197518335618</v>
      </c>
      <c r="E70" s="138"/>
      <c r="F70" s="138">
        <f>F18/$B$18</f>
        <v>1.0295832703932264</v>
      </c>
      <c r="G70" s="138"/>
      <c r="H70" s="138">
        <f>H18/$B$18</f>
        <v>1.0446332584336018</v>
      </c>
      <c r="I70" s="138"/>
      <c r="J70" s="138">
        <f>J18/$B$18</f>
        <v>1.0599205688710276</v>
      </c>
      <c r="K70" s="138"/>
      <c r="L70" s="138">
        <f>L18/$B$18</f>
        <v>1.0755080302482911</v>
      </c>
      <c r="M70" s="138"/>
      <c r="N70" s="138">
        <f>N18/$B$18</f>
        <v>1.0914762980633463</v>
      </c>
      <c r="O70" s="138"/>
      <c r="P70" s="138">
        <f>P18/$B$18</f>
        <v>1.1079332294512574</v>
      </c>
      <c r="Q70" s="138"/>
      <c r="R70" s="138">
        <f>R18/$B$18</f>
        <v>1.1250295044694119</v>
      </c>
      <c r="S70" s="138"/>
      <c r="T70" s="138">
        <f>T18/$B$18</f>
        <v>1.1429840276860903</v>
      </c>
      <c r="U70" s="138"/>
      <c r="V70" s="138">
        <f>V18/$B$18</f>
        <v>1.1621282817503147</v>
      </c>
      <c r="W70" s="138"/>
      <c r="X70" s="138">
        <f>X18/$B$18</f>
        <v>1.1829818408157391</v>
      </c>
      <c r="Y70" s="138"/>
      <c r="Z70" s="138">
        <f>Z18/$B$18</f>
        <v>1.2063758590429414</v>
      </c>
      <c r="AA70" s="138"/>
      <c r="AB70" s="138">
        <f>AB18/$B$18</f>
        <v>1.2336195159606687</v>
      </c>
      <c r="AC70" s="138"/>
      <c r="AD70" s="138">
        <f>AD18/$B$18</f>
        <v>1.2665638803595392</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0.92031320385118331</v>
      </c>
      <c r="E71" s="138"/>
      <c r="F71" s="138">
        <f>G18/$C$18</f>
        <v>0.84108679556215726</v>
      </c>
      <c r="G71" s="138"/>
      <c r="H71" s="138">
        <f>I18/$C$18</f>
        <v>0.76233228550280596</v>
      </c>
      <c r="I71" s="138"/>
      <c r="J71" s="138">
        <f>K18/$C$18</f>
        <v>0.68409279642709597</v>
      </c>
      <c r="K71" s="138"/>
      <c r="L71" s="138">
        <f>M18/$C$18</f>
        <v>0.60645756402466877</v>
      </c>
      <c r="M71" s="138"/>
      <c r="N71" s="138">
        <f>O18/$C$18</f>
        <v>0.52958514294292469</v>
      </c>
      <c r="O71" s="138"/>
      <c r="P71" s="138">
        <f>Q18/$C$18</f>
        <v>0.45373566240157048</v>
      </c>
      <c r="Q71" s="138"/>
      <c r="R71" s="138">
        <f>S18/$C$18</f>
        <v>0.37932149318398695</v>
      </c>
      <c r="S71" s="138"/>
      <c r="T71" s="138">
        <f>U18/$C$18</f>
        <v>0.30698011119564439</v>
      </c>
      <c r="U71" s="138"/>
      <c r="V71" s="138">
        <f>W18/$C$18</f>
        <v>0.23768705929141243</v>
      </c>
      <c r="W71" s="138"/>
      <c r="X71" s="138">
        <f>Y18/$C$18</f>
        <v>0.17291836404768268</v>
      </c>
      <c r="Y71" s="138"/>
      <c r="Z71" s="138">
        <f>AA18/$C$18</f>
        <v>0.1148538915334532</v>
      </c>
      <c r="AA71" s="138"/>
      <c r="AB71" s="138">
        <f>AC18/$C$18</f>
        <v>6.6496997244682512E-2</v>
      </c>
      <c r="AC71" s="138"/>
      <c r="AD71" s="138">
        <f>AE18/$C$18</f>
        <v>3.1214048663728851E-2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1.0618708291781138</v>
      </c>
      <c r="E72" s="138"/>
      <c r="F72" s="138">
        <f>G19/$C$19</f>
        <v>1.1300069373983936</v>
      </c>
      <c r="G72" s="138"/>
      <c r="H72" s="138">
        <f>I19/$C$19</f>
        <v>1.205095374541109</v>
      </c>
      <c r="I72" s="138"/>
      <c r="J72" s="138">
        <f>K19/$C$19</f>
        <v>1.2878428500132899</v>
      </c>
      <c r="K72" s="138"/>
      <c r="L72" s="138">
        <f>M19/$C$19</f>
        <v>1.3789291375687125</v>
      </c>
      <c r="M72" s="138"/>
      <c r="N72" s="138">
        <f>O19/$C$19</f>
        <v>1.4789221340368073</v>
      </c>
      <c r="O72" s="138"/>
      <c r="P72" s="138">
        <f>Q19/$C$19</f>
        <v>1.5881214500247258</v>
      </c>
      <c r="Q72" s="138"/>
      <c r="R72" s="138">
        <f>S19/$C$19</f>
        <v>1.7062746565754521</v>
      </c>
      <c r="S72" s="138"/>
      <c r="T72" s="138">
        <f>U19/$C$19</f>
        <v>1.8320614730699545</v>
      </c>
      <c r="U72" s="138"/>
      <c r="V72" s="138">
        <f>W19/$C$19</f>
        <v>1.9621390298855679</v>
      </c>
      <c r="W72" s="138"/>
      <c r="X72" s="138">
        <f>Y19/$C$19</f>
        <v>2.0893761107024007</v>
      </c>
      <c r="Y72" s="138"/>
      <c r="Z72" s="138">
        <f>AA19/$C$19</f>
        <v>2.199686078672467</v>
      </c>
      <c r="AA72" s="138"/>
      <c r="AB72" s="138">
        <f>AC19/$C$19</f>
        <v>2.2670834821908503</v>
      </c>
      <c r="AC72" s="138"/>
      <c r="AD72" s="138">
        <f>AE19/$C$19</f>
        <v>2.249643669179989</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0.47641153292876304</v>
      </c>
      <c r="E73" s="138"/>
      <c r="F73" s="193">
        <f t="array" ref="F73">SUM(F9:G9*F22:G22)/F32</f>
        <v>0.47641153280458193</v>
      </c>
      <c r="G73" s="138"/>
      <c r="H73" s="193">
        <f t="array" ref="H73">SUM(H9:I9*H22:I22)/H32</f>
        <v>0.4764115326280578</v>
      </c>
      <c r="I73" s="138"/>
      <c r="J73" s="193">
        <f t="array" ref="J73">SUM(J9:K9*J22:K22)/J32</f>
        <v>0.47641153396452696</v>
      </c>
      <c r="K73" s="138"/>
      <c r="L73" s="193">
        <f t="array" ref="L73">SUM(L9:M9*L22:M22)/L32</f>
        <v>0.47641153347380133</v>
      </c>
      <c r="M73" s="138"/>
      <c r="N73" s="193">
        <f t="array" ref="N73">SUM(N9:O9*N22:O22)/N32</f>
        <v>0.47641153331683939</v>
      </c>
      <c r="O73" s="138"/>
      <c r="P73" s="193">
        <f t="array" ref="P73">SUM(P9:Q9*P22:Q22)/P32</f>
        <v>0.47641154415228265</v>
      </c>
      <c r="Q73" s="138"/>
      <c r="R73" s="193">
        <f t="array" ref="R73">SUM(R9:S9*R22:S22)/R32</f>
        <v>0.47641154102090089</v>
      </c>
      <c r="S73" s="138"/>
      <c r="T73" s="193">
        <f t="array" ref="T73">SUM(T9:U9*T22:U22)/T32</f>
        <v>0.47641153366137384</v>
      </c>
      <c r="U73" s="138"/>
      <c r="V73" s="193">
        <f t="array" ref="V73">SUM(V9:W9*V22:W22)/V32</f>
        <v>0.47641153341890191</v>
      </c>
      <c r="W73" s="138"/>
      <c r="X73" s="193">
        <f t="array" ref="X73">SUM(X9:Y9*X22:Y22)/X32</f>
        <v>0.47641153345695331</v>
      </c>
      <c r="Y73" s="138"/>
      <c r="Z73" s="193">
        <f t="array" ref="Z73">SUM(Z9:AA9*Z22:AA22)/Z32</f>
        <v>0.4764115334883201</v>
      </c>
      <c r="AA73" s="138"/>
      <c r="AB73" s="193">
        <f t="array" ref="AB73">SUM(AB9:AC9*AB22:AC22)/AB32</f>
        <v>0.47641153347950932</v>
      </c>
      <c r="AC73" s="138"/>
      <c r="AD73" s="193">
        <f t="array" ref="AD73">SUM(AD9:AE9*AD22:AE22)/AD32</f>
        <v>0.47641153243570522</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0.22038438808732344</v>
      </c>
      <c r="E75" s="138"/>
      <c r="F75" s="193">
        <f t="array" ref="F75">SUM(F11:G11*F24:G24)/F32</f>
        <v>0.22038438803507263</v>
      </c>
      <c r="G75" s="138"/>
      <c r="H75" s="193">
        <f t="array" ref="H75">SUM(H11:I11*H24:I24)/H32</f>
        <v>0.22038438795445822</v>
      </c>
      <c r="I75" s="138"/>
      <c r="J75" s="193">
        <f t="array" ref="J75">SUM(J11:K11*J24:K24)/J32</f>
        <v>0.22038438834449298</v>
      </c>
      <c r="K75" s="138"/>
      <c r="L75" s="193">
        <f t="array" ref="L75">SUM(L11:M11*L24:M24)/L32</f>
        <v>0.22038438832709856</v>
      </c>
      <c r="M75" s="138"/>
      <c r="N75" s="193">
        <f t="array" ref="N75">SUM(N11:O11*N24:O24)/N32</f>
        <v>0.22038438831793442</v>
      </c>
      <c r="O75" s="138"/>
      <c r="P75" s="193">
        <f t="array" ref="P75">SUM(P11:Q11*P24:Q24)/P32</f>
        <v>0.2203843885077407</v>
      </c>
      <c r="Q75" s="138"/>
      <c r="R75" s="193">
        <f t="array" ref="R75">SUM(R11:S11*R24:S24)/R32</f>
        <v>0.22038438841975327</v>
      </c>
      <c r="S75" s="138"/>
      <c r="T75" s="193">
        <f t="array" ref="T75">SUM(T11:U11*T24:U24)/T32</f>
        <v>0.22038438832121929</v>
      </c>
      <c r="U75" s="138"/>
      <c r="V75" s="193">
        <f t="array" ref="V75">SUM(V11:W11*V24:W24)/V32</f>
        <v>0.22038438832967733</v>
      </c>
      <c r="W75" s="138"/>
      <c r="X75" s="193">
        <f t="array" ref="X75">SUM(X11:Y11*X24:Y24)/X32</f>
        <v>0.22038438829754547</v>
      </c>
      <c r="Y75" s="138"/>
      <c r="Z75" s="193">
        <f t="array" ref="Z75">SUM(Z11:AA11*Z24:AA24)/Z32</f>
        <v>0.22038438832908991</v>
      </c>
      <c r="AA75" s="138"/>
      <c r="AB75" s="193">
        <f t="array" ref="AB75">SUM(AB11:AC11*AB24:AC24)/AB32</f>
        <v>0.22038438833181298</v>
      </c>
      <c r="AC75" s="138"/>
      <c r="AD75" s="193">
        <f t="array" ref="AD75">SUM(AD11:AE11*AD24:AE24)/AD32</f>
        <v>0.22038438835598634</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0.22333552817286359</v>
      </c>
      <c r="E76" s="138"/>
      <c r="F76" s="193">
        <f t="array" ref="F76">SUM(F12:G12*F25:G25)/F32</f>
        <v>0.22373145291562116</v>
      </c>
      <c r="G76" s="138"/>
      <c r="H76" s="193">
        <f t="array" ref="H76">SUM(H12:I12*H25:I25)/H32</f>
        <v>0.2242109259825609</v>
      </c>
      <c r="I76" s="138"/>
      <c r="J76" s="193">
        <f t="array" ref="J76">SUM(J12:K12*J25:K25)/J32</f>
        <v>0.22477764426973637</v>
      </c>
      <c r="K76" s="138"/>
      <c r="L76" s="193">
        <f t="array" ref="L76">SUM(L12:M12*L25:M25)/L32</f>
        <v>0.22543358373943598</v>
      </c>
      <c r="M76" s="138"/>
      <c r="N76" s="193">
        <f t="array" ref="N76">SUM(N12:O12*N25:O25)/N32</f>
        <v>0.22617728071791837</v>
      </c>
      <c r="O76" s="138"/>
      <c r="P76" s="193">
        <f t="array" ref="P76">SUM(P12:Q12*P25:Q25)/P32</f>
        <v>0.22700085060287623</v>
      </c>
      <c r="Q76" s="138"/>
      <c r="R76" s="193">
        <f t="array" ref="R76">SUM(R12:S12*R25:S25)/R32</f>
        <v>0.22788485511333559</v>
      </c>
      <c r="S76" s="138"/>
      <c r="T76" s="193">
        <f t="array" ref="T76">SUM(T12:U12*T25:U25)/T32</f>
        <v>0.22878915160564264</v>
      </c>
      <c r="U76" s="138"/>
      <c r="V76" s="193">
        <f t="array" ref="V76">SUM(V12:W12*V25:W25)/V32</f>
        <v>0.22963673334362342</v>
      </c>
      <c r="W76" s="138"/>
      <c r="X76" s="193">
        <f t="array" ref="X76">SUM(X12:Y12*X25:Y25)/X32</f>
        <v>0.23028513061916231</v>
      </c>
      <c r="Y76" s="138"/>
      <c r="Z76" s="193">
        <f t="array" ref="Z76">SUM(Z12:AA12*Z25:AA25)/Z32</f>
        <v>0.23047839517207391</v>
      </c>
      <c r="AA76" s="138"/>
      <c r="AB76" s="193">
        <f t="array" ref="AB76">SUM(AB12:AC12*AB25:AC25)/AB32</f>
        <v>0.22978160356231483</v>
      </c>
      <c r="AC76" s="138"/>
      <c r="AD76" s="193">
        <f t="array" ref="AD76">SUM(AD12:AE12*AD25:AE25)/AD32</f>
        <v>0.22755734902050198</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0.14617765375337474</v>
      </c>
      <c r="E77" s="138"/>
      <c r="F77" s="193">
        <f t="array" ref="F77">SUM(F4:G4*F19:G19)/F32</f>
        <v>0.14657357831970036</v>
      </c>
      <c r="G77" s="138"/>
      <c r="H77" s="193">
        <f t="array" ref="H77">SUM(H4:I4*H19:I19)/H32</f>
        <v>0.14705305112950165</v>
      </c>
      <c r="I77" s="138"/>
      <c r="J77" s="193">
        <f t="array" ref="J77">SUM(J4:K4*J19:K19)/J32</f>
        <v>0.14761977114318092</v>
      </c>
      <c r="K77" s="138"/>
      <c r="L77" s="193">
        <f t="array" ref="L77">SUM(L4:M4*L19:M19)/L32</f>
        <v>0.1482757101047604</v>
      </c>
      <c r="M77" s="138"/>
      <c r="N77" s="193">
        <f t="array" ref="N77">SUM(N4:O4*N19:O19)/N32</f>
        <v>0.14901940691711679</v>
      </c>
      <c r="O77" s="138"/>
      <c r="P77" s="193">
        <f t="array" ref="P77">SUM(P4:Q4*P19:Q19)/P32</f>
        <v>0.1498429878273245</v>
      </c>
      <c r="Q77" s="138"/>
      <c r="R77" s="193">
        <f t="array" ref="R77">SUM(R4:S4*R19:S19)/R32</f>
        <v>0.15072698911841451</v>
      </c>
      <c r="S77" s="138"/>
      <c r="T77" s="193">
        <f t="array" ref="T77">SUM(T4:U4*T19:U19)/T32</f>
        <v>0.15163127815266061</v>
      </c>
      <c r="U77" s="138"/>
      <c r="V77" s="193">
        <f t="array" ref="V77">SUM(V4:W4*V19:W19)/V32</f>
        <v>0.15247885965662736</v>
      </c>
      <c r="W77" s="138"/>
      <c r="X77" s="193">
        <f t="array" ref="X77">SUM(X4:Y4*X19:Y19)/X32</f>
        <v>0.15312725693808579</v>
      </c>
      <c r="Y77" s="138"/>
      <c r="Z77" s="193">
        <f t="array" ref="Z77">SUM(Z4:AA4*Z19:AA19)/Z32</f>
        <v>0.15332052155390868</v>
      </c>
      <c r="AA77" s="138"/>
      <c r="AB77" s="193">
        <f t="array" ref="AB77">SUM(AB4:AC4*AB19:AC19)/AB32</f>
        <v>0.15262372993806184</v>
      </c>
      <c r="AC77" s="138"/>
      <c r="AD77" s="193">
        <f t="array" ref="AD77">SUM(AD4:AE4*AD19:AE19)/AD32</f>
        <v>0.15039947437661821</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0.33639208646237628</v>
      </c>
      <c r="E78" s="138"/>
      <c r="F78" s="193">
        <f t="array" ref="F78">SUM(F13:G13*F26:G26)/F32</f>
        <v>0.32551781759915688</v>
      </c>
      <c r="G78" s="138"/>
      <c r="H78" s="193">
        <f t="array" ref="H78">SUM(H13:I13*H26:I26)/H32</f>
        <v>0.31419185794396037</v>
      </c>
      <c r="I78" s="138"/>
      <c r="J78" s="193">
        <f t="array" ref="J78">SUM(J13:K13*J26:K26)/J32</f>
        <v>0.30232289385479366</v>
      </c>
      <c r="K78" s="138"/>
      <c r="L78" s="193">
        <f t="array" ref="L78">SUM(L13:M13*L26:M26)/L32</f>
        <v>0.28979332268619262</v>
      </c>
      <c r="M78" s="138"/>
      <c r="N78" s="193">
        <f t="array" ref="N78">SUM(N13:O13*N26:O26)/N32</f>
        <v>0.27644710335993367</v>
      </c>
      <c r="O78" s="138"/>
      <c r="P78" s="193">
        <f t="array" ref="P78">SUM(P13:Q13*P26:Q26)/P32</f>
        <v>0.2620704280699368</v>
      </c>
      <c r="Q78" s="138"/>
      <c r="R78" s="193">
        <f t="array" ref="R78">SUM(R13:S13*R26:S26)/R32</f>
        <v>0.24635984525194607</v>
      </c>
      <c r="S78" s="138"/>
      <c r="T78" s="193">
        <f t="array" ref="T78">SUM(T13:U13*T26:U26)/T32</f>
        <v>0.22886872047329729</v>
      </c>
      <c r="U78" s="138"/>
      <c r="V78" s="193">
        <f t="array" ref="V78">SUM(V13:W13*V26:W26)/V32</f>
        <v>0.20891285894947931</v>
      </c>
      <c r="W78" s="138"/>
      <c r="X78" s="193">
        <f t="array" ref="X78">SUM(X13:Y13*X26:Y26)/X32</f>
        <v>0.18540075148788096</v>
      </c>
      <c r="Y78" s="138"/>
      <c r="Z78" s="193">
        <f t="array" ref="Z78">SUM(Z13:AA13*Z26:AA26)/Z32</f>
        <v>0.15652503008207905</v>
      </c>
      <c r="AA78" s="138"/>
      <c r="AB78" s="193">
        <f t="array" ref="AB78">SUM(AB13:AC13*AB26:AC26)/AB32</f>
        <v>0.11922372866353635</v>
      </c>
      <c r="AC78" s="138"/>
      <c r="AD78" s="193">
        <f t="array" ref="AD78">SUM(AD13:AE13*AD26:AE26)/AD32</f>
        <v>6.8382642496520735E-2</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0.45460968782440492</v>
      </c>
      <c r="D79" s="193">
        <f t="array" ref="D79">SUM(D15:E15*D27:E27)/D32</f>
        <v>0.46525129680876975</v>
      </c>
      <c r="F79" s="193">
        <f t="array" ref="F79">SUM(F15:G15*F27:G27)/F32</f>
        <v>0.47627694419085803</v>
      </c>
      <c r="H79" s="193">
        <f t="array" ref="H79">SUM(H15:I15*H27:I27)/H32</f>
        <v>0.48776056875891477</v>
      </c>
      <c r="J79" s="193">
        <f t="array" ref="J79">SUM(J15:K15*J27:K27)/J32</f>
        <v>0.49979477294122965</v>
      </c>
      <c r="L79" s="193">
        <f t="array" ref="L79">SUM(L15:M15*L27:M27)/L32</f>
        <v>0.51249877060125582</v>
      </c>
      <c r="N79" s="193">
        <f t="array" ref="N79">SUM(N15:O15*N27:O27)/N32</f>
        <v>0.5260307851603967</v>
      </c>
      <c r="P79" s="193">
        <f t="array" ref="P79">SUM(P15:Q15*P27:Q27)/P32</f>
        <v>0.5406075824807075</v>
      </c>
      <c r="R79" s="193">
        <f t="array" ref="R79">SUM(R15:S15*R27:S27)/R32</f>
        <v>0.55653687764611137</v>
      </c>
      <c r="T79" s="193">
        <f t="array" ref="T79">SUM(T15:U15*T27:U27)/T32</f>
        <v>0.57427150437308505</v>
      </c>
      <c r="V79" s="193">
        <f t="array" ref="V79">SUM(V15:W15*V27:W27)/V32</f>
        <v>0.59450517317876861</v>
      </c>
      <c r="X79" s="193">
        <f t="array" ref="X79">SUM(X15:Y15*X27:Y27)/X32</f>
        <v>0.61834458973883777</v>
      </c>
      <c r="Z79" s="193">
        <f t="array" ref="Z79">SUM(Z15:AA15*Z27:AA27)/Z32</f>
        <v>0.64762229368716662</v>
      </c>
      <c r="AB79" s="193">
        <f t="array" ref="AB79">SUM(AB15:AC15*AB27:AC27)/AB32</f>
        <v>0.6854428679638519</v>
      </c>
      <c r="AD79" s="193">
        <f t="array" ref="AD79">SUM(AD15:AE15*AD27:AE27)/AD32</f>
        <v>0.73699172457247364</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0.19835661040007369</v>
      </c>
      <c r="F80" s="236">
        <f>F55</f>
        <v>0.1982052295782509</v>
      </c>
      <c r="H80" s="236">
        <f>H55</f>
        <v>0.19804756089209435</v>
      </c>
      <c r="J80" s="236">
        <f>J55</f>
        <v>0.19788233413847392</v>
      </c>
      <c r="L80" s="236">
        <f>L55</f>
        <v>0.19770790751581821</v>
      </c>
      <c r="N80" s="236">
        <f>N55</f>
        <v>0.19752211403177544</v>
      </c>
      <c r="P80" s="236">
        <f>P55</f>
        <v>0.1973220118907239</v>
      </c>
      <c r="R80" s="236">
        <f>R55</f>
        <v>0.19710329255777004</v>
      </c>
      <c r="T80" s="236">
        <f>T55</f>
        <v>0.19685977585160966</v>
      </c>
      <c r="V80" s="236">
        <f>V55</f>
        <v>0.19658196881721393</v>
      </c>
      <c r="X80" s="236">
        <f>X55</f>
        <v>0.19625465395244979</v>
      </c>
      <c r="Z80" s="236">
        <f>Z55</f>
        <v>0.19585267547073643</v>
      </c>
      <c r="AB80" s="236">
        <f>AB55</f>
        <v>0.19533340284082237</v>
      </c>
      <c r="AD80" s="236">
        <f>AD55</f>
        <v>0.1946256184515387</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-2.7689594164351156E-2</v>
      </c>
      <c r="F81" s="236">
        <f>F51/F$32</f>
        <v>-2.7840974986173911E-2</v>
      </c>
      <c r="H81" s="236">
        <f>H51/H$32</f>
        <v>-2.799864367233049E-2</v>
      </c>
      <c r="J81" s="236">
        <f>J51/J$32</f>
        <v>-2.8163870425950935E-2</v>
      </c>
      <c r="L81" s="236">
        <f>L51/L$32</f>
        <v>-2.8338297048606617E-2</v>
      </c>
      <c r="N81" s="236">
        <f>N51/N$32</f>
        <v>-2.8524090532649409E-2</v>
      </c>
      <c r="P81" s="236">
        <f>P51/P$32</f>
        <v>-2.8724192673700945E-2</v>
      </c>
      <c r="R81" s="236">
        <f>R51/R$32</f>
        <v>-2.8942912006654792E-2</v>
      </c>
      <c r="T81" s="236">
        <f>T51/T$32</f>
        <v>-2.9186428712815175E-2</v>
      </c>
      <c r="V81" s="236">
        <f>V51/V$32</f>
        <v>-2.9464235747210892E-2</v>
      </c>
      <c r="X81" s="236">
        <f>X51/X$32</f>
        <v>-2.979155061197505E-2</v>
      </c>
      <c r="Z81" s="236">
        <f>Z51/Z$32</f>
        <v>-3.0193529093688398E-2</v>
      </c>
      <c r="AB81" s="236">
        <f>AB51/AB$32</f>
        <v>-3.0712801723602464E-2</v>
      </c>
      <c r="AD81" s="236">
        <f>AD51/AD$32</f>
        <v>-3.1420586112886166E-2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0.13487061025136748</v>
      </c>
      <c r="F82" s="236">
        <f>F52/F$32</f>
        <v>0.13051075953952898</v>
      </c>
      <c r="H82" s="236">
        <f>H52/H$32</f>
        <v>0.12596981118832698</v>
      </c>
      <c r="J82" s="236">
        <f>J52/J$32</f>
        <v>0.12121115456655024</v>
      </c>
      <c r="L82" s="236">
        <f>L52/L$32</f>
        <v>0.11618763892006619</v>
      </c>
      <c r="N82" s="236">
        <f>N52/N$32</f>
        <v>0.11083670226751072</v>
      </c>
      <c r="P82" s="236">
        <f>P52/P$32</f>
        <v>0.10507262205344034</v>
      </c>
      <c r="R82" s="236">
        <f>R52/R$32</f>
        <v>9.8773734602340776E-2</v>
      </c>
      <c r="T82" s="236">
        <f>T52/T$32</f>
        <v>9.1760969534982334E-2</v>
      </c>
      <c r="V82" s="236">
        <f>V52/V$32</f>
        <v>8.3760010742777988E-2</v>
      </c>
      <c r="X82" s="236">
        <f>X52/X$32</f>
        <v>7.4333236424184809E-2</v>
      </c>
      <c r="Z82" s="236">
        <f>Z52/Z$32</f>
        <v>6.2756013522169377E-2</v>
      </c>
      <c r="AB82" s="236">
        <f>AB52/AB$32</f>
        <v>4.7800699506327544E-2</v>
      </c>
      <c r="AD82" s="236">
        <f>AD52/AD$32</f>
        <v>2.7416842117474638E-2</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0.18600714462929877</v>
      </c>
      <c r="D83" s="236">
        <f>D53/D$32</f>
        <v>0.19036124300084017</v>
      </c>
      <c r="F83" s="236">
        <f>F53/F$32</f>
        <v>0.19487247371623992</v>
      </c>
      <c r="H83" s="236">
        <f>H53/H$32</f>
        <v>0.19957108941473367</v>
      </c>
      <c r="J83" s="236">
        <f>J53/J$32</f>
        <v>0.20449497911130118</v>
      </c>
      <c r="L83" s="236">
        <f>L53/L$32</f>
        <v>0.2096929200998168</v>
      </c>
      <c r="N83" s="236">
        <f>N53/N$32</f>
        <v>0.21522965074291764</v>
      </c>
      <c r="P83" s="236">
        <f>P53/P$32</f>
        <v>0.22119386250524661</v>
      </c>
      <c r="R83" s="236">
        <f>R53/R$32</f>
        <v>0.2277114594439606</v>
      </c>
      <c r="T83" s="236">
        <f>T53/T$32</f>
        <v>0.23496772205098404</v>
      </c>
      <c r="V83" s="236">
        <f>V53/V$32</f>
        <v>0.2432464874638624</v>
      </c>
      <c r="X83" s="236">
        <f>X53/X$32</f>
        <v>0.25300057305140855</v>
      </c>
      <c r="Z83" s="236">
        <f>Z53/Z$32</f>
        <v>0.26497977687962543</v>
      </c>
      <c r="AB83" s="236">
        <f>AB53/AB$32</f>
        <v>0.28045436358083053</v>
      </c>
      <c r="AD83" s="236">
        <f>AD53/AD$32</f>
        <v>0.30154598543464922</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c r="AB1" s="94"/>
      <c r="AD1" s="94"/>
      <c r="AF1" s="94"/>
      <c r="AH1" s="94"/>
      <c r="AJ1" s="94"/>
      <c r="AL1" s="94"/>
      <c r="AN1" s="94"/>
      <c r="AP1" s="94"/>
      <c r="AR1" s="94"/>
      <c r="AT1" s="94"/>
      <c r="AV1" s="94"/>
    </row>
    <row r="2" spans="1:49" x14ac:dyDescent="0.2">
      <c r="A2" s="229" t="s">
        <v>155</v>
      </c>
      <c r="B2" s="226">
        <v>5.7716594496607888E-3</v>
      </c>
      <c r="C2" s="227"/>
      <c r="D2" s="226">
        <v>3.4140157490475831E-2</v>
      </c>
      <c r="E2" s="227"/>
      <c r="F2" s="226">
        <v>6.3608078669395343E-2</v>
      </c>
      <c r="G2" s="227"/>
      <c r="H2" s="226">
        <v>9.4092517883245338E-2</v>
      </c>
      <c r="I2" s="227"/>
      <c r="J2" s="226">
        <v>0.12546110795206147</v>
      </c>
      <c r="K2" s="227"/>
      <c r="L2" s="226">
        <v>0.1575201214026303</v>
      </c>
      <c r="M2" s="227"/>
      <c r="N2" s="226">
        <v>0.18999892220323245</v>
      </c>
      <c r="O2" s="227"/>
      <c r="P2" s="226">
        <v>0.22253438120841368</v>
      </c>
      <c r="Q2" s="227"/>
      <c r="R2" s="226">
        <v>0.25464942552388531</v>
      </c>
      <c r="S2" s="227"/>
      <c r="T2" s="226">
        <v>0.28571568210677617</v>
      </c>
      <c r="U2" s="227"/>
      <c r="V2" s="226">
        <v>0.31486416664433636</v>
      </c>
      <c r="W2" s="227"/>
      <c r="X2" s="226">
        <v>0.34066940830622405</v>
      </c>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999.21981101762549</v>
      </c>
      <c r="E3" s="85">
        <v>1012.0729797622978</v>
      </c>
      <c r="F3" s="84">
        <v>998.4729103206995</v>
      </c>
      <c r="G3" s="85">
        <v>1024.2977628780559</v>
      </c>
      <c r="H3" s="84">
        <v>997.76230026664348</v>
      </c>
      <c r="I3" s="85">
        <v>1036.6009905276114</v>
      </c>
      <c r="J3" s="84">
        <v>997.09097649417401</v>
      </c>
      <c r="K3" s="85">
        <v>1048.8958667631603</v>
      </c>
      <c r="L3" s="84">
        <v>996.46138737969466</v>
      </c>
      <c r="M3" s="85">
        <v>1061.0881205793348</v>
      </c>
      <c r="N3" s="84">
        <v>995.8742904133029</v>
      </c>
      <c r="O3" s="85">
        <v>1073.0929203086835</v>
      </c>
      <c r="P3" s="84">
        <v>995.32647661915303</v>
      </c>
      <c r="Q3" s="85">
        <v>1084.8721792884915</v>
      </c>
      <c r="R3" s="84">
        <v>994.80586484397179</v>
      </c>
      <c r="S3" s="85">
        <v>1096.5194177077447</v>
      </c>
      <c r="T3" s="84">
        <v>994.28018426286405</v>
      </c>
      <c r="U3" s="85">
        <v>1108.4600233196625</v>
      </c>
      <c r="V3" s="84">
        <v>993.66707157010262</v>
      </c>
      <c r="W3" s="85">
        <v>1121.9857860899078</v>
      </c>
      <c r="X3" s="84">
        <v>992.73765301421236</v>
      </c>
      <c r="Y3" s="85">
        <v>1140.9970247292661</v>
      </c>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999.18121882070375</v>
      </c>
      <c r="E5" s="42">
        <v>1010.5390789714223</v>
      </c>
      <c r="F5" s="41">
        <v>998.39712086099803</v>
      </c>
      <c r="G5" s="42">
        <v>1021.0856195359393</v>
      </c>
      <c r="H5" s="41">
        <v>997.65089176940808</v>
      </c>
      <c r="I5" s="42">
        <v>1031.5735093072324</v>
      </c>
      <c r="J5" s="41">
        <v>996.94571239748177</v>
      </c>
      <c r="K5" s="42">
        <v>1041.9283847702284</v>
      </c>
      <c r="L5" s="41">
        <v>996.28419037464096</v>
      </c>
      <c r="M5" s="42">
        <v>1052.0731773095581</v>
      </c>
      <c r="N5" s="41">
        <v>995.66715662664308</v>
      </c>
      <c r="O5" s="42">
        <v>1061.9423059055639</v>
      </c>
      <c r="P5" s="41">
        <v>995.09127041346039</v>
      </c>
      <c r="Q5" s="42">
        <v>1071.5111302200303</v>
      </c>
      <c r="R5" s="41">
        <v>994.54385582283646</v>
      </c>
      <c r="S5" s="42">
        <v>1080.8613473482437</v>
      </c>
      <c r="T5" s="41">
        <v>993.99098829621823</v>
      </c>
      <c r="U5" s="42">
        <v>1090.3326689688899</v>
      </c>
      <c r="V5" s="41">
        <v>993.34601022990762</v>
      </c>
      <c r="W5" s="42">
        <v>1100.9221206036184</v>
      </c>
      <c r="X5" s="41">
        <v>992.36796451823739</v>
      </c>
      <c r="Y5" s="42">
        <v>1115.5576927827374</v>
      </c>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999.11864549357801</v>
      </c>
      <c r="E6" s="42">
        <v>1013.0197129008052</v>
      </c>
      <c r="F6" s="41">
        <v>998.27472818821673</v>
      </c>
      <c r="G6" s="42">
        <v>1026.1789690917963</v>
      </c>
      <c r="H6" s="41">
        <v>997.47166276115695</v>
      </c>
      <c r="I6" s="42">
        <v>1039.399370361313</v>
      </c>
      <c r="J6" s="41">
        <v>996.71285786290412</v>
      </c>
      <c r="K6" s="42">
        <v>1052.5886329610548</v>
      </c>
      <c r="L6" s="41">
        <v>996.00110463953138</v>
      </c>
      <c r="M6" s="42">
        <v>1065.6470181855755</v>
      </c>
      <c r="N6" s="41">
        <v>995.33728271179291</v>
      </c>
      <c r="O6" s="42">
        <v>1078.4853914521207</v>
      </c>
      <c r="P6" s="41">
        <v>994.71778494829857</v>
      </c>
      <c r="Q6" s="42">
        <v>1091.0648859257158</v>
      </c>
      <c r="R6" s="41">
        <v>994.12896552538939</v>
      </c>
      <c r="S6" s="42">
        <v>1103.486968401596</v>
      </c>
      <c r="T6" s="41">
        <v>993.53433074674285</v>
      </c>
      <c r="U6" s="42">
        <v>1116.2057525332086</v>
      </c>
      <c r="V6" s="41">
        <v>992.84069032073774</v>
      </c>
      <c r="W6" s="42">
        <v>1130.5941389613663</v>
      </c>
      <c r="X6" s="41">
        <v>991.78898343705248</v>
      </c>
      <c r="Y6" s="42">
        <v>1150.7858408213626</v>
      </c>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1015.0798731772543</v>
      </c>
      <c r="E7" s="34">
        <v>1015.0798731772543</v>
      </c>
      <c r="F7" s="33">
        <v>1014.2832988997313</v>
      </c>
      <c r="G7" s="34">
        <v>1014.2832988997313</v>
      </c>
      <c r="H7" s="33">
        <v>1013.5251960477318</v>
      </c>
      <c r="I7" s="34">
        <v>1013.5251960477318</v>
      </c>
      <c r="J7" s="33">
        <v>1012.8087960855037</v>
      </c>
      <c r="K7" s="34">
        <v>1012.8087960855037</v>
      </c>
      <c r="L7" s="33">
        <v>1012.1367481342404</v>
      </c>
      <c r="M7" s="34">
        <v>1012.1367481342404</v>
      </c>
      <c r="N7" s="33">
        <v>1011.5098963411263</v>
      </c>
      <c r="O7" s="34">
        <v>1011.5098963411263</v>
      </c>
      <c r="P7" s="33">
        <v>1010.9248468093386</v>
      </c>
      <c r="Q7" s="34">
        <v>1010.9248468093386</v>
      </c>
      <c r="R7" s="33">
        <v>1010.3687219315294</v>
      </c>
      <c r="S7" s="34">
        <v>1010.3687219315294</v>
      </c>
      <c r="T7" s="33">
        <v>1009.8070573523395</v>
      </c>
      <c r="U7" s="34">
        <v>1009.8070573523395</v>
      </c>
      <c r="V7" s="33">
        <v>1009.1518165997907</v>
      </c>
      <c r="W7" s="34">
        <v>1009.1518165997907</v>
      </c>
      <c r="X7" s="33">
        <v>1008.1582085352441</v>
      </c>
      <c r="Y7" s="34">
        <v>1008.1582085352441</v>
      </c>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1045.0390422777871</v>
      </c>
      <c r="E8" s="36">
        <v>1045.0390422777871</v>
      </c>
      <c r="F8" s="35">
        <v>1086.0349139515695</v>
      </c>
      <c r="G8" s="36">
        <v>1086.0349139515695</v>
      </c>
      <c r="H8" s="35">
        <v>1128.6368581796053</v>
      </c>
      <c r="I8" s="36">
        <v>1128.6368581796053</v>
      </c>
      <c r="J8" s="35">
        <v>1172.6498743302031</v>
      </c>
      <c r="K8" s="36">
        <v>1172.6498743302031</v>
      </c>
      <c r="L8" s="35">
        <v>1217.7958719238106</v>
      </c>
      <c r="M8" s="36">
        <v>1217.7958719238106</v>
      </c>
      <c r="N8" s="35">
        <v>1263.7101994696366</v>
      </c>
      <c r="O8" s="36">
        <v>1263.7101994696366</v>
      </c>
      <c r="P8" s="35">
        <v>1309.9591965414727</v>
      </c>
      <c r="Q8" s="36">
        <v>1309.9591965414727</v>
      </c>
      <c r="R8" s="35">
        <v>1356.1020685214467</v>
      </c>
      <c r="S8" s="36">
        <v>1356.1020685214467</v>
      </c>
      <c r="T8" s="35">
        <v>1401.857811206638</v>
      </c>
      <c r="U8" s="36">
        <v>1401.857811206638</v>
      </c>
      <c r="V8" s="35">
        <v>1447.5630466477924</v>
      </c>
      <c r="W8" s="36">
        <v>1447.5630466477924</v>
      </c>
      <c r="X8" s="35">
        <v>1495.5940719144889</v>
      </c>
      <c r="Y8" s="36">
        <v>1495.5940719144889</v>
      </c>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1015.0798731772543</v>
      </c>
      <c r="E9" s="42">
        <v>1045.0390422777871</v>
      </c>
      <c r="F9" s="41">
        <v>1014.2832988997313</v>
      </c>
      <c r="G9" s="42">
        <v>1086.0349139515695</v>
      </c>
      <c r="H9" s="41">
        <v>1013.5251960477318</v>
      </c>
      <c r="I9" s="42">
        <v>1128.6368581796053</v>
      </c>
      <c r="J9" s="41">
        <v>1012.8087960855037</v>
      </c>
      <c r="K9" s="42">
        <v>1172.6498743302031</v>
      </c>
      <c r="L9" s="41">
        <v>1012.1367481342404</v>
      </c>
      <c r="M9" s="42">
        <v>1217.7958719238106</v>
      </c>
      <c r="N9" s="41">
        <v>1011.5098963411263</v>
      </c>
      <c r="O9" s="42">
        <v>1263.7101994696366</v>
      </c>
      <c r="P9" s="41">
        <v>1010.9248468093386</v>
      </c>
      <c r="Q9" s="42">
        <v>1309.9591965414727</v>
      </c>
      <c r="R9" s="41">
        <v>1010.3687219315294</v>
      </c>
      <c r="S9" s="42">
        <v>1356.1020685214467</v>
      </c>
      <c r="T9" s="41">
        <v>1009.8070573523395</v>
      </c>
      <c r="U9" s="42">
        <v>1401.857811206638</v>
      </c>
      <c r="V9" s="41">
        <v>1009.1518165997907</v>
      </c>
      <c r="W9" s="42">
        <v>1447.5630466477924</v>
      </c>
      <c r="X9" s="41">
        <v>1008.1582085352441</v>
      </c>
      <c r="Y9" s="42">
        <v>1495.5940719144889</v>
      </c>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1015.0798731772543</v>
      </c>
      <c r="E10" s="42">
        <v>1045.0390422777871</v>
      </c>
      <c r="F10" s="41">
        <v>1014.2832988997313</v>
      </c>
      <c r="G10" s="42">
        <v>1086.0349139515695</v>
      </c>
      <c r="H10" s="41">
        <v>1013.5251960477318</v>
      </c>
      <c r="I10" s="42">
        <v>1128.6368581796053</v>
      </c>
      <c r="J10" s="41">
        <v>1012.8087960855037</v>
      </c>
      <c r="K10" s="42">
        <v>1172.6498743302031</v>
      </c>
      <c r="L10" s="41">
        <v>1012.1367481342404</v>
      </c>
      <c r="M10" s="42">
        <v>1217.7958719238106</v>
      </c>
      <c r="N10" s="41">
        <v>1011.5098963411263</v>
      </c>
      <c r="O10" s="42">
        <v>1263.7101994696366</v>
      </c>
      <c r="P10" s="41">
        <v>1010.9248468093386</v>
      </c>
      <c r="Q10" s="42">
        <v>1309.9591965414727</v>
      </c>
      <c r="R10" s="41">
        <v>1010.3687219315294</v>
      </c>
      <c r="S10" s="42">
        <v>1356.1020685214467</v>
      </c>
      <c r="T10" s="41">
        <v>1009.8070573523395</v>
      </c>
      <c r="U10" s="42">
        <v>1401.857811206638</v>
      </c>
      <c r="V10" s="41">
        <v>1009.1518165997907</v>
      </c>
      <c r="W10" s="42">
        <v>1447.5630466477924</v>
      </c>
      <c r="X10" s="41">
        <v>1008.1582085352441</v>
      </c>
      <c r="Y10" s="42">
        <v>1495.5940719144889</v>
      </c>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1015.0798731772543</v>
      </c>
      <c r="E11" s="42">
        <v>1045.0390422777871</v>
      </c>
      <c r="F11" s="41">
        <v>1014.2832988997313</v>
      </c>
      <c r="G11" s="42">
        <v>1086.0349139515695</v>
      </c>
      <c r="H11" s="41">
        <v>1013.5251960477318</v>
      </c>
      <c r="I11" s="42">
        <v>1128.6368581796053</v>
      </c>
      <c r="J11" s="41">
        <v>1012.8087960855037</v>
      </c>
      <c r="K11" s="42">
        <v>1172.6498743302031</v>
      </c>
      <c r="L11" s="41">
        <v>1012.1367481342404</v>
      </c>
      <c r="M11" s="42">
        <v>1217.7958719238106</v>
      </c>
      <c r="N11" s="41">
        <v>1011.5098963411263</v>
      </c>
      <c r="O11" s="42">
        <v>1263.7101994696366</v>
      </c>
      <c r="P11" s="41">
        <v>1010.9248468093386</v>
      </c>
      <c r="Q11" s="42">
        <v>1309.9591965414727</v>
      </c>
      <c r="R11" s="41">
        <v>1010.3687219315294</v>
      </c>
      <c r="S11" s="42">
        <v>1356.1020685214467</v>
      </c>
      <c r="T11" s="41">
        <v>1009.8070573523395</v>
      </c>
      <c r="U11" s="42">
        <v>1401.857811206638</v>
      </c>
      <c r="V11" s="41">
        <v>1009.1518165997907</v>
      </c>
      <c r="W11" s="42">
        <v>1447.5630466477924</v>
      </c>
      <c r="X11" s="41">
        <v>1008.1582085352441</v>
      </c>
      <c r="Y11" s="42">
        <v>1495.5940719144889</v>
      </c>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1001.326736720967</v>
      </c>
      <c r="E13" s="98">
        <v>1001.326736720967</v>
      </c>
      <c r="F13" s="97">
        <v>1002.7301927716558</v>
      </c>
      <c r="G13" s="98">
        <v>1002.7301927716558</v>
      </c>
      <c r="H13" s="97">
        <v>1004.2056022149339</v>
      </c>
      <c r="I13" s="98">
        <v>1004.2056022149339</v>
      </c>
      <c r="J13" s="97">
        <v>1005.7453433391804</v>
      </c>
      <c r="K13" s="98">
        <v>1005.7453433391804</v>
      </c>
      <c r="L13" s="97">
        <v>1007.3381453140164</v>
      </c>
      <c r="M13" s="98">
        <v>1007.3381453140164</v>
      </c>
      <c r="N13" s="97">
        <v>1008.9680049471687</v>
      </c>
      <c r="O13" s="98">
        <v>1008.9680049471687</v>
      </c>
      <c r="P13" s="97">
        <v>1010.6129104976288</v>
      </c>
      <c r="Q13" s="98">
        <v>1010.6129104976288</v>
      </c>
      <c r="R13" s="97">
        <v>1012.2428034035809</v>
      </c>
      <c r="S13" s="98">
        <v>1012.2428034035809</v>
      </c>
      <c r="T13" s="97">
        <v>1013.8155461583807</v>
      </c>
      <c r="U13" s="98">
        <v>1013.8155461583807</v>
      </c>
      <c r="V13" s="97">
        <v>1015.2665630264509</v>
      </c>
      <c r="W13" s="98">
        <v>1015.2665630264509</v>
      </c>
      <c r="X13" s="97">
        <v>1016.4723787901371</v>
      </c>
      <c r="Y13" s="98">
        <v>1016.4723787901371</v>
      </c>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1458.9364850922386</v>
      </c>
      <c r="E14" s="42">
        <v>1458.9364850922389</v>
      </c>
      <c r="F14" s="41">
        <v>1460.9813253651332</v>
      </c>
      <c r="G14" s="42">
        <v>1460.9813253651334</v>
      </c>
      <c r="H14" s="41">
        <v>1463.1310019774817</v>
      </c>
      <c r="I14" s="42">
        <v>1463.1310019774819</v>
      </c>
      <c r="J14" s="41">
        <v>1465.3744100693461</v>
      </c>
      <c r="K14" s="42">
        <v>1465.3744100693464</v>
      </c>
      <c r="L14" s="41">
        <v>1467.6951280022608</v>
      </c>
      <c r="M14" s="42">
        <v>1467.6951280022611</v>
      </c>
      <c r="N14" s="41">
        <v>1470.0698390702701</v>
      </c>
      <c r="O14" s="42">
        <v>1470.0698390702703</v>
      </c>
      <c r="P14" s="41">
        <v>1472.4664720913313</v>
      </c>
      <c r="Q14" s="42">
        <v>1472.4664720913315</v>
      </c>
      <c r="R14" s="41">
        <v>1474.8412316379238</v>
      </c>
      <c r="S14" s="42">
        <v>1474.841231637924</v>
      </c>
      <c r="T14" s="41">
        <v>1477.1327232185399</v>
      </c>
      <c r="U14" s="42">
        <v>1477.1327232185401</v>
      </c>
      <c r="V14" s="41">
        <v>1479.2468597652621</v>
      </c>
      <c r="W14" s="42">
        <v>1479.2468597652623</v>
      </c>
      <c r="X14" s="41">
        <v>1481.0037374630474</v>
      </c>
      <c r="Y14" s="42">
        <v>1481.0037374630476</v>
      </c>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991.9488099333189</v>
      </c>
      <c r="E15" s="155">
        <v>991.9488099333189</v>
      </c>
      <c r="F15" s="154">
        <v>981.01286357962738</v>
      </c>
      <c r="G15" s="155">
        <v>981.01286357962738</v>
      </c>
      <c r="H15" s="154">
        <v>966.80310348531157</v>
      </c>
      <c r="I15" s="155">
        <v>966.80310348531157</v>
      </c>
      <c r="J15" s="154">
        <v>948.89907433086375</v>
      </c>
      <c r="K15" s="155">
        <v>948.89907433086375</v>
      </c>
      <c r="L15" s="154">
        <v>926.86374023804308</v>
      </c>
      <c r="M15" s="155">
        <v>926.86374023804308</v>
      </c>
      <c r="N15" s="154">
        <v>900.26119369457922</v>
      </c>
      <c r="O15" s="155">
        <v>900.26119369457922</v>
      </c>
      <c r="P15" s="154">
        <v>868.69482853412546</v>
      </c>
      <c r="Q15" s="155">
        <v>868.69482853412546</v>
      </c>
      <c r="R15" s="154">
        <v>831.86462134032047</v>
      </c>
      <c r="S15" s="155">
        <v>831.86462134032047</v>
      </c>
      <c r="T15" s="154">
        <v>789.66504283164272</v>
      </c>
      <c r="U15" s="155">
        <v>789.66504283164272</v>
      </c>
      <c r="V15" s="154">
        <v>742.38717752014077</v>
      </c>
      <c r="W15" s="155">
        <v>742.38717752014077</v>
      </c>
      <c r="X15" s="154">
        <v>691.23611216320296</v>
      </c>
      <c r="Y15" s="155">
        <v>691.23611216320296</v>
      </c>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997.53983217383222</v>
      </c>
      <c r="E16" s="42">
        <v>995.06023447173243</v>
      </c>
      <c r="F16" s="41">
        <v>995.07511433668515</v>
      </c>
      <c r="G16" s="42">
        <v>989.07040835192151</v>
      </c>
      <c r="H16" s="41">
        <v>992.61612000233538</v>
      </c>
      <c r="I16" s="42">
        <v>981.96632393116727</v>
      </c>
      <c r="J16" s="41">
        <v>990.17546312951481</v>
      </c>
      <c r="K16" s="42">
        <v>973.71509659334311</v>
      </c>
      <c r="L16" s="41">
        <v>987.76770843332463</v>
      </c>
      <c r="M16" s="42">
        <v>964.34221892392623</v>
      </c>
      <c r="N16" s="41">
        <v>985.40811554596644</v>
      </c>
      <c r="O16" s="42">
        <v>953.98540549000404</v>
      </c>
      <c r="P16" s="41">
        <v>983.10950133043548</v>
      </c>
      <c r="Q16" s="42">
        <v>942.99056489066425</v>
      </c>
      <c r="R16" s="41">
        <v>980.87501654286439</v>
      </c>
      <c r="S16" s="42">
        <v>932.11282802993605</v>
      </c>
      <c r="T16" s="41">
        <v>978.68110774990396</v>
      </c>
      <c r="U16" s="42">
        <v>922.97684076136341</v>
      </c>
      <c r="V16" s="41">
        <v>976.43248483771094</v>
      </c>
      <c r="W16" s="42">
        <v>919.30871048132224</v>
      </c>
      <c r="X16" s="41">
        <v>973.81966819957825</v>
      </c>
      <c r="Y16" s="42">
        <v>931.08509096316641</v>
      </c>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999.25570234851523</v>
      </c>
      <c r="E17" s="36">
        <v>1018.4055229374563</v>
      </c>
      <c r="F17" s="35">
        <v>998.54339802867435</v>
      </c>
      <c r="G17" s="36">
        <v>1037.1049935094463</v>
      </c>
      <c r="H17" s="35">
        <v>997.86591899805137</v>
      </c>
      <c r="I17" s="36">
        <v>1055.9874872309274</v>
      </c>
      <c r="J17" s="35">
        <v>997.22608985494855</v>
      </c>
      <c r="K17" s="36">
        <v>1074.919747306637</v>
      </c>
      <c r="L17" s="35">
        <v>996.62620905786821</v>
      </c>
      <c r="M17" s="36">
        <v>1093.7551927129709</v>
      </c>
      <c r="N17" s="35">
        <v>996.06696647407932</v>
      </c>
      <c r="O17" s="36">
        <v>1112.3602735305267</v>
      </c>
      <c r="P17" s="35">
        <v>995.54527453945286</v>
      </c>
      <c r="Q17" s="36">
        <v>1130.6733469224228</v>
      </c>
      <c r="R17" s="35">
        <v>995.04960433508347</v>
      </c>
      <c r="S17" s="36">
        <v>1148.8395299820647</v>
      </c>
      <c r="T17" s="35">
        <v>994.54922522974528</v>
      </c>
      <c r="U17" s="36">
        <v>1167.5301696601043</v>
      </c>
      <c r="V17" s="35">
        <v>993.96577005474762</v>
      </c>
      <c r="W17" s="36">
        <v>1188.798665496096</v>
      </c>
      <c r="X17" s="35">
        <v>993.08161450715579</v>
      </c>
      <c r="Y17" s="36">
        <v>1218.8863217231988</v>
      </c>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27283.424520342887</v>
      </c>
      <c r="E18" s="34">
        <v>1161.2894862119858</v>
      </c>
      <c r="F18" s="33">
        <v>26645.087688843145</v>
      </c>
      <c r="G18" s="34">
        <v>1087.1590253892859</v>
      </c>
      <c r="H18" s="33">
        <v>25935.179505239907</v>
      </c>
      <c r="I18" s="34">
        <v>1014.4630536443987</v>
      </c>
      <c r="J18" s="33">
        <v>25146.589111557718</v>
      </c>
      <c r="K18" s="34">
        <v>943.28341949832327</v>
      </c>
      <c r="L18" s="33">
        <v>24272.254743374007</v>
      </c>
      <c r="M18" s="34">
        <v>873.68674772177633</v>
      </c>
      <c r="N18" s="33">
        <v>23305.646089214675</v>
      </c>
      <c r="O18" s="34">
        <v>805.71013880046848</v>
      </c>
      <c r="P18" s="33">
        <v>22241.632420061429</v>
      </c>
      <c r="Q18" s="34">
        <v>739.33594427012781</v>
      </c>
      <c r="R18" s="33">
        <v>21077.879300114961</v>
      </c>
      <c r="S18" s="34">
        <v>674.44826402763488</v>
      </c>
      <c r="T18" s="33">
        <v>19817.364356671271</v>
      </c>
      <c r="U18" s="34">
        <v>610.74703199701298</v>
      </c>
      <c r="V18" s="33">
        <v>18473.887977570212</v>
      </c>
      <c r="W18" s="34">
        <v>547.54368559207296</v>
      </c>
      <c r="X18" s="33">
        <v>17087.557017057974</v>
      </c>
      <c r="Y18" s="34">
        <v>483.13741151155205</v>
      </c>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1843.9235365844077</v>
      </c>
      <c r="E19" s="42">
        <v>260.3395173459956</v>
      </c>
      <c r="F19" s="41">
        <v>1797.3917027974037</v>
      </c>
      <c r="G19" s="42">
        <v>257.09592757310816</v>
      </c>
      <c r="H19" s="41">
        <v>1746.36568196965</v>
      </c>
      <c r="I19" s="42">
        <v>252.94361586343851</v>
      </c>
      <c r="J19" s="41">
        <v>1690.3926720823483</v>
      </c>
      <c r="K19" s="42">
        <v>247.76818352599878</v>
      </c>
      <c r="L19" s="41">
        <v>1629.019553734229</v>
      </c>
      <c r="M19" s="42">
        <v>241.46219020614927</v>
      </c>
      <c r="N19" s="41">
        <v>1561.8202079138466</v>
      </c>
      <c r="O19" s="42">
        <v>233.94070722524188</v>
      </c>
      <c r="P19" s="41">
        <v>1488.4454447773876</v>
      </c>
      <c r="Q19" s="42">
        <v>225.16670153404783</v>
      </c>
      <c r="R19" s="41">
        <v>1408.7015585359075</v>
      </c>
      <c r="S19" s="42">
        <v>215.19652750854576</v>
      </c>
      <c r="T19" s="41">
        <v>1322.6888235689296</v>
      </c>
      <c r="U19" s="42">
        <v>204.26918314666148</v>
      </c>
      <c r="V19" s="41">
        <v>1231.0979979707352</v>
      </c>
      <c r="W19" s="42">
        <v>193.01917765301866</v>
      </c>
      <c r="X19" s="41">
        <v>1136.019934276032</v>
      </c>
      <c r="Y19" s="42">
        <v>183.14063751690017</v>
      </c>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25993.195545247847</v>
      </c>
      <c r="E20" s="83">
        <v>1338.1147774499941</v>
      </c>
      <c r="F20" s="82">
        <v>25377.064480987534</v>
      </c>
      <c r="G20" s="83">
        <v>1267.6876838999945</v>
      </c>
      <c r="H20" s="82">
        <v>24693.536308912397</v>
      </c>
      <c r="I20" s="83">
        <v>1197.2605903499946</v>
      </c>
      <c r="J20" s="82">
        <v>23935.906078744374</v>
      </c>
      <c r="K20" s="83">
        <v>1126.8334967999949</v>
      </c>
      <c r="L20" s="82">
        <v>23097.507160785779</v>
      </c>
      <c r="M20" s="83">
        <v>1056.4064032499953</v>
      </c>
      <c r="N20" s="82">
        <v>22172.15801778009</v>
      </c>
      <c r="O20" s="83">
        <v>985.9793096999955</v>
      </c>
      <c r="P20" s="82">
        <v>21154.96831334892</v>
      </c>
      <c r="Q20" s="83">
        <v>915.55221614999596</v>
      </c>
      <c r="R20" s="82">
        <v>20043.63143181851</v>
      </c>
      <c r="S20" s="83">
        <v>845.12512259999642</v>
      </c>
      <c r="T20" s="82">
        <v>18840.745378332205</v>
      </c>
      <c r="U20" s="83">
        <v>774.69802904999653</v>
      </c>
      <c r="V20" s="82">
        <v>17558.880050033113</v>
      </c>
      <c r="W20" s="83">
        <v>704.27093549999688</v>
      </c>
      <c r="X20" s="82">
        <v>16234.75618624448</v>
      </c>
      <c r="Y20" s="83">
        <v>633.84384194999711</v>
      </c>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24149.273341570984</v>
      </c>
      <c r="E21" s="83">
        <v>1077.8445114783565</v>
      </c>
      <c r="F21" s="82">
        <v>23579.677765284971</v>
      </c>
      <c r="G21" s="83">
        <v>1010.8584920189908</v>
      </c>
      <c r="H21" s="82">
        <v>22947.18104997433</v>
      </c>
      <c r="I21" s="83">
        <v>944.89060454728281</v>
      </c>
      <c r="J21" s="82">
        <v>22245.530486134114</v>
      </c>
      <c r="K21" s="83">
        <v>880.03195006155954</v>
      </c>
      <c r="L21" s="82">
        <v>21468.51200069848</v>
      </c>
      <c r="M21" s="83">
        <v>816.36287227455102</v>
      </c>
      <c r="N21" s="82">
        <v>20610.369648810469</v>
      </c>
      <c r="O21" s="83">
        <v>753.93922196669439</v>
      </c>
      <c r="P21" s="82">
        <v>19666.561858757679</v>
      </c>
      <c r="Q21" s="83">
        <v>692.77061119581185</v>
      </c>
      <c r="R21" s="82">
        <v>18634.975514035174</v>
      </c>
      <c r="S21" s="83">
        <v>632.78187328799538</v>
      </c>
      <c r="T21" s="82">
        <v>17518.108591360939</v>
      </c>
      <c r="U21" s="83">
        <v>573.73775845807836</v>
      </c>
      <c r="V21" s="82">
        <v>16327.841517659279</v>
      </c>
      <c r="W21" s="83">
        <v>515.06394247107255</v>
      </c>
      <c r="X21" s="82">
        <v>15098.808584096936</v>
      </c>
      <c r="Y21" s="83">
        <v>455.29647552377605</v>
      </c>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6398.0849297894183</v>
      </c>
      <c r="E22" s="42">
        <v>363.25555295718647</v>
      </c>
      <c r="F22" s="41">
        <v>6247.3828263600981</v>
      </c>
      <c r="G22" s="42">
        <v>346.30481523483502</v>
      </c>
      <c r="H22" s="41">
        <v>6079.9176642339335</v>
      </c>
      <c r="I22" s="42">
        <v>329.053608078526</v>
      </c>
      <c r="J22" s="41">
        <v>5894.042827417079</v>
      </c>
      <c r="K22" s="42">
        <v>311.50161580636387</v>
      </c>
      <c r="L22" s="41">
        <v>5688.1233013054207</v>
      </c>
      <c r="M22" s="42">
        <v>293.6516395953899</v>
      </c>
      <c r="N22" s="41">
        <v>5460.6446673762684</v>
      </c>
      <c r="O22" s="42">
        <v>275.51084235816654</v>
      </c>
      <c r="P22" s="41">
        <v>5210.4096057676015</v>
      </c>
      <c r="Q22" s="42">
        <v>257.09350322470306</v>
      </c>
      <c r="R22" s="41">
        <v>4936.8514054919024</v>
      </c>
      <c r="S22" s="42">
        <v>238.42533596582243</v>
      </c>
      <c r="T22" s="41">
        <v>4640.5952322957028</v>
      </c>
      <c r="U22" s="42">
        <v>219.55213208372018</v>
      </c>
      <c r="V22" s="41">
        <v>4324.6809315825267</v>
      </c>
      <c r="W22" s="42">
        <v>200.56106923201861</v>
      </c>
      <c r="X22" s="41">
        <v>3997.9756508637442</v>
      </c>
      <c r="Y22" s="42">
        <v>181.64532765299089</v>
      </c>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3213.1858853873114</v>
      </c>
      <c r="E23" s="8">
        <v>0</v>
      </c>
      <c r="F23" s="116">
        <v>3140.1753085101436</v>
      </c>
      <c r="G23" s="8">
        <v>0</v>
      </c>
      <c r="H23" s="116">
        <v>3058.64032741347</v>
      </c>
      <c r="I23" s="8">
        <v>0</v>
      </c>
      <c r="J23" s="116">
        <v>2967.7124510959229</v>
      </c>
      <c r="K23" s="8">
        <v>0</v>
      </c>
      <c r="L23" s="116">
        <v>2866.5243069484927</v>
      </c>
      <c r="M23" s="8">
        <v>0</v>
      </c>
      <c r="N23" s="116">
        <v>2754.2658870702771</v>
      </c>
      <c r="O23" s="8">
        <v>0</v>
      </c>
      <c r="P23" s="116">
        <v>2630.2866691230188</v>
      </c>
      <c r="Q23" s="8">
        <v>0</v>
      </c>
      <c r="R23" s="116">
        <v>2494.2590778041686</v>
      </c>
      <c r="S23" s="8">
        <v>0</v>
      </c>
      <c r="T23" s="116">
        <v>2346.4712356597079</v>
      </c>
      <c r="U23" s="8">
        <v>0</v>
      </c>
      <c r="V23" s="116">
        <v>2188.4637470981415</v>
      </c>
      <c r="W23" s="8">
        <v>0</v>
      </c>
      <c r="X23" s="116">
        <v>2024.8034816450795</v>
      </c>
      <c r="Y23" s="8">
        <v>0</v>
      </c>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3132.7046995838436</v>
      </c>
      <c r="E24" s="8">
        <v>0</v>
      </c>
      <c r="F24" s="97">
        <v>3061.5228277190754</v>
      </c>
      <c r="G24" s="8">
        <v>0</v>
      </c>
      <c r="H24" s="97">
        <v>2982.0300612742108</v>
      </c>
      <c r="I24" s="8">
        <v>0</v>
      </c>
      <c r="J24" s="97">
        <v>2893.3796702121358</v>
      </c>
      <c r="K24" s="8">
        <v>0</v>
      </c>
      <c r="L24" s="97">
        <v>2794.7259999114049</v>
      </c>
      <c r="M24" s="8">
        <v>0</v>
      </c>
      <c r="N24" s="97">
        <v>2685.279337874354</v>
      </c>
      <c r="O24" s="8">
        <v>0</v>
      </c>
      <c r="P24" s="97">
        <v>2564.4054504676951</v>
      </c>
      <c r="Q24" s="8">
        <v>0</v>
      </c>
      <c r="R24" s="97">
        <v>2431.7849621360406</v>
      </c>
      <c r="S24" s="8">
        <v>0</v>
      </c>
      <c r="T24" s="97">
        <v>2287.6987879216558</v>
      </c>
      <c r="U24" s="8">
        <v>0</v>
      </c>
      <c r="V24" s="97">
        <v>2133.6489381824322</v>
      </c>
      <c r="W24" s="8">
        <v>0</v>
      </c>
      <c r="X24" s="97">
        <v>1974.0878978397784</v>
      </c>
      <c r="Y24" s="8">
        <v>0</v>
      </c>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3134.1490019951207</v>
      </c>
      <c r="E25" s="42">
        <v>83.431631899623625</v>
      </c>
      <c r="F25" s="41">
        <v>3065.4018272149697</v>
      </c>
      <c r="G25" s="42">
        <v>76.25257813341355</v>
      </c>
      <c r="H25" s="41">
        <v>2987.9815290825477</v>
      </c>
      <c r="I25" s="42">
        <v>69.474735260499955</v>
      </c>
      <c r="J25" s="41">
        <v>2901.0308333016278</v>
      </c>
      <c r="K25" s="42">
        <v>63.094478824610285</v>
      </c>
      <c r="L25" s="41">
        <v>2803.702981140671</v>
      </c>
      <c r="M25" s="42">
        <v>57.104028605265874</v>
      </c>
      <c r="N25" s="41">
        <v>2695.2244437415075</v>
      </c>
      <c r="O25" s="42">
        <v>51.48942881737058</v>
      </c>
      <c r="P25" s="41">
        <v>2575.0067768995154</v>
      </c>
      <c r="Q25" s="42">
        <v>46.227305618970377</v>
      </c>
      <c r="R25" s="41">
        <v>2442.8290184281664</v>
      </c>
      <c r="S25" s="42">
        <v>41.279068864510279</v>
      </c>
      <c r="T25" s="41">
        <v>2299.1703864258157</v>
      </c>
      <c r="U25" s="42">
        <v>36.579283976463522</v>
      </c>
      <c r="V25" s="41">
        <v>2145.9487225941466</v>
      </c>
      <c r="W25" s="42">
        <v>32.007958072026788</v>
      </c>
      <c r="X25" s="41">
        <v>1988.6292322962131</v>
      </c>
      <c r="Y25" s="42">
        <v>27.309613195525824</v>
      </c>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4845.8797312047336</v>
      </c>
      <c r="E26" s="34">
        <v>69.140560415605208</v>
      </c>
      <c r="F26" s="33">
        <v>4647.7684584314011</v>
      </c>
      <c r="G26" s="34">
        <v>63.624944548712428</v>
      </c>
      <c r="H26" s="33">
        <v>4441.7432883549463</v>
      </c>
      <c r="I26" s="34">
        <v>58.361120363189848</v>
      </c>
      <c r="J26" s="33">
        <v>4227.6651965782357</v>
      </c>
      <c r="K26" s="34">
        <v>53.350533206924112</v>
      </c>
      <c r="L26" s="33">
        <v>4005.5173005910124</v>
      </c>
      <c r="M26" s="34">
        <v>48.592372635586486</v>
      </c>
      <c r="N26" s="33">
        <v>3775.4662094641903</v>
      </c>
      <c r="O26" s="34">
        <v>44.08266983523211</v>
      </c>
      <c r="P26" s="33">
        <v>3537.9545269849364</v>
      </c>
      <c r="Q26" s="34">
        <v>39.81217931921114</v>
      </c>
      <c r="R26" s="33">
        <v>3293.8594533801493</v>
      </c>
      <c r="S26" s="34">
        <v>35.76315266853031</v>
      </c>
      <c r="T26" s="33">
        <v>3044.8050384906851</v>
      </c>
      <c r="U26" s="34">
        <v>31.902931923451387</v>
      </c>
      <c r="V26" s="33">
        <v>2793.9171072840686</v>
      </c>
      <c r="W26" s="34">
        <v>28.168725058952599</v>
      </c>
      <c r="X26" s="33">
        <v>2548.1750903475022</v>
      </c>
      <c r="Y26" s="34">
        <v>24.422704576060621</v>
      </c>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6425.1981589999841</v>
      </c>
      <c r="C27" s="36">
        <v>273.22915400000028</v>
      </c>
      <c r="D27" s="35">
        <v>6439.4426650017322</v>
      </c>
      <c r="E27" s="36">
        <v>258.98258766140356</v>
      </c>
      <c r="F27" s="35">
        <v>6453.2340535497842</v>
      </c>
      <c r="G27" s="36">
        <v>245.19080255543008</v>
      </c>
      <c r="H27" s="35">
        <v>6466.533220803959</v>
      </c>
      <c r="I27" s="36">
        <v>231.89487564975911</v>
      </c>
      <c r="J27" s="35">
        <v>6479.2865090518289</v>
      </c>
      <c r="K27" s="36">
        <v>219.1419878538257</v>
      </c>
      <c r="L27" s="35">
        <v>6491.4437137080904</v>
      </c>
      <c r="M27" s="36">
        <v>206.98759280995466</v>
      </c>
      <c r="N27" s="35">
        <v>6502.9318058218087</v>
      </c>
      <c r="O27" s="36">
        <v>195.49755163549546</v>
      </c>
      <c r="P27" s="35">
        <v>6513.6705172999054</v>
      </c>
      <c r="Q27" s="36">
        <v>184.75474397987503</v>
      </c>
      <c r="R27" s="35">
        <v>6523.5570414240674</v>
      </c>
      <c r="S27" s="36">
        <v>174.87228956823662</v>
      </c>
      <c r="T27" s="35">
        <v>6532.4000374591324</v>
      </c>
      <c r="U27" s="36">
        <v>166.02557926121327</v>
      </c>
      <c r="V27" s="35">
        <v>6539.8853181410177</v>
      </c>
      <c r="W27" s="36">
        <v>158.54083799209039</v>
      </c>
      <c r="X27" s="35">
        <v>6545.2627769528526</v>
      </c>
      <c r="Y27" s="36">
        <v>153.16480802786552</v>
      </c>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13763.097675999999</v>
      </c>
      <c r="C28" s="42">
        <v>382.36647900000042</v>
      </c>
      <c r="D28" s="41">
        <v>13490.620523088641</v>
      </c>
      <c r="E28" s="42">
        <v>359.54550422006537</v>
      </c>
      <c r="F28" s="41">
        <v>13185.951143193359</v>
      </c>
      <c r="G28" s="42">
        <v>337.17562354466736</v>
      </c>
      <c r="H28" s="41">
        <v>12845.565905099927</v>
      </c>
      <c r="I28" s="42">
        <v>315.27209875034583</v>
      </c>
      <c r="J28" s="41">
        <v>12465.770489248589</v>
      </c>
      <c r="K28" s="42">
        <v>293.84576335543136</v>
      </c>
      <c r="L28" s="41">
        <v>12042.869765374764</v>
      </c>
      <c r="M28" s="42">
        <v>272.8988322076811</v>
      </c>
      <c r="N28" s="41">
        <v>11573.412030763187</v>
      </c>
      <c r="O28" s="42">
        <v>252.41829610123412</v>
      </c>
      <c r="P28" s="41">
        <v>11054.631447600463</v>
      </c>
      <c r="Q28" s="42">
        <v>232.36463505015394</v>
      </c>
      <c r="R28" s="41">
        <v>10485.162851602494</v>
      </c>
      <c r="S28" s="42">
        <v>212.65127832043572</v>
      </c>
      <c r="T28" s="41">
        <v>9866.3297091685126</v>
      </c>
      <c r="U28" s="42">
        <v>193.10290365470399</v>
      </c>
      <c r="V28" s="41">
        <v>9204.9589876703303</v>
      </c>
      <c r="W28" s="42">
        <v>173.35549265629126</v>
      </c>
      <c r="X28" s="41">
        <v>8521.2683121153186</v>
      </c>
      <c r="Y28" s="42">
        <v>152.55653209461511</v>
      </c>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14362.768557999996</v>
      </c>
      <c r="C29" s="36">
        <v>817.26651000000095</v>
      </c>
      <c r="D29" s="35">
        <v>14066.326763863524</v>
      </c>
      <c r="E29" s="36">
        <v>764.04670963975445</v>
      </c>
      <c r="F29" s="35">
        <v>13736.557005475017</v>
      </c>
      <c r="G29" s="36">
        <v>712.18230837419094</v>
      </c>
      <c r="H29" s="35">
        <v>13369.949866869718</v>
      </c>
      <c r="I29" s="36">
        <v>661.72704412467272</v>
      </c>
      <c r="J29" s="35">
        <v>12962.845980903834</v>
      </c>
      <c r="K29" s="36">
        <v>612.72738341326738</v>
      </c>
      <c r="L29" s="35">
        <v>12511.610625991514</v>
      </c>
      <c r="M29" s="36">
        <v>565.21454757827962</v>
      </c>
      <c r="N29" s="35">
        <v>12012.88124488462</v>
      </c>
      <c r="O29" s="36">
        <v>519.1929501374816</v>
      </c>
      <c r="P29" s="35">
        <v>11464.013199659918</v>
      </c>
      <c r="Q29" s="36">
        <v>474.6204752974607</v>
      </c>
      <c r="R29" s="35">
        <v>10863.796484015662</v>
      </c>
      <c r="S29" s="36">
        <v>431.37420028291058</v>
      </c>
      <c r="T29" s="35">
        <v>10213.746047248735</v>
      </c>
      <c r="U29" s="36">
        <v>389.18255787041659</v>
      </c>
      <c r="V29" s="35">
        <v>9520.9267433576078</v>
      </c>
      <c r="W29" s="36">
        <v>347.46395920295379</v>
      </c>
      <c r="X29" s="35">
        <v>8805.8850220651857</v>
      </c>
      <c r="Y29" s="36">
        <v>304.83950020704401</v>
      </c>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2863047.6181713426</v>
      </c>
      <c r="F30" s="119">
        <v>2794660.13630172</v>
      </c>
      <c r="H30" s="119">
        <v>2718960.1715209475</v>
      </c>
      <c r="J30" s="119">
        <v>2635207.9476899086</v>
      </c>
      <c r="L30" s="119">
        <v>2542662.9389230404</v>
      </c>
      <c r="N30" s="119">
        <v>2440632.1974626672</v>
      </c>
      <c r="P30" s="119">
        <v>2328553.2679831195</v>
      </c>
      <c r="R30" s="119">
        <v>2206129.0450309278</v>
      </c>
      <c r="T30" s="119">
        <v>2073567.6186579748</v>
      </c>
      <c r="V30" s="119">
        <v>1932095.8224425858</v>
      </c>
      <c r="X30" s="119">
        <v>1785383.6418575058</v>
      </c>
      <c r="Z30" s="119"/>
      <c r="AB30" s="119"/>
      <c r="AD30" s="119"/>
      <c r="AF30" s="119"/>
      <c r="AH30" s="119"/>
      <c r="AJ30" s="119"/>
      <c r="AL30" s="119"/>
      <c r="AN30" s="119"/>
      <c r="AP30" s="119"/>
      <c r="AR30" s="119"/>
      <c r="AT30" s="119"/>
      <c r="AV30" s="119"/>
    </row>
    <row r="31" spans="1:49" x14ac:dyDescent="0.2">
      <c r="A31" t="s">
        <v>47</v>
      </c>
      <c r="B31" s="80">
        <v>1</v>
      </c>
      <c r="D31" s="80">
        <v>0.97797775130279707</v>
      </c>
      <c r="F31" s="80">
        <v>0.95367081705717394</v>
      </c>
      <c r="H31" s="80">
        <v>0.92685466044935627</v>
      </c>
      <c r="J31" s="80">
        <v>0.89729713131859823</v>
      </c>
      <c r="L31" s="80">
        <v>0.86477000112553792</v>
      </c>
      <c r="N31" s="80">
        <v>0.82906483067568892</v>
      </c>
      <c r="P31" s="80">
        <v>0.79002140947418187</v>
      </c>
      <c r="R31" s="80">
        <v>0.74757285602083501</v>
      </c>
      <c r="T31" s="80">
        <v>0.70182633430735131</v>
      </c>
      <c r="V31" s="80">
        <v>0.65323943888860414</v>
      </c>
      <c r="X31" s="80">
        <v>0.6031139642985327</v>
      </c>
      <c r="Z31" s="80"/>
      <c r="AB31" s="80"/>
      <c r="AD31" s="80"/>
      <c r="AF31" s="80"/>
      <c r="AH31" s="80"/>
      <c r="AJ31" s="80"/>
      <c r="AL31" s="80"/>
      <c r="AN31" s="80"/>
      <c r="AP31" s="80"/>
      <c r="AR31" s="80"/>
      <c r="AT31" s="80"/>
      <c r="AV31" s="80"/>
    </row>
    <row r="32" spans="1:49" x14ac:dyDescent="0.2">
      <c r="A32" t="s">
        <v>64</v>
      </c>
      <c r="B32" s="86">
        <v>14734457.915000005</v>
      </c>
      <c r="D32" s="86">
        <v>14429086.864426002</v>
      </c>
      <c r="F32" s="86">
        <v>14090160.802197384</v>
      </c>
      <c r="H32" s="86">
        <v>13714050.379455544</v>
      </c>
      <c r="J32" s="86">
        <v>13296950.862387814</v>
      </c>
      <c r="L32" s="86">
        <v>12835051.117417496</v>
      </c>
      <c r="N32" s="86">
        <v>12324768.767052379</v>
      </c>
      <c r="P32" s="86">
        <v>11763179.802870754</v>
      </c>
      <c r="R32" s="86">
        <v>11148700.15828494</v>
      </c>
      <c r="T32" s="86">
        <v>10482295.94568626</v>
      </c>
      <c r="V32" s="86">
        <v>9770091.7836797293</v>
      </c>
      <c r="X32" s="86">
        <v>9030553.0881383866</v>
      </c>
      <c r="Z32" s="86"/>
      <c r="AB32" s="86"/>
      <c r="AD32" s="86"/>
      <c r="AF32" s="86"/>
      <c r="AH32" s="86"/>
      <c r="AJ32" s="86"/>
      <c r="AL32" s="86"/>
      <c r="AN32" s="86"/>
      <c r="AP32" s="86"/>
      <c r="AR32" s="86"/>
      <c r="AT32" s="86"/>
      <c r="AV32" s="86"/>
    </row>
    <row r="33" spans="1:49 16319:16321" x14ac:dyDescent="0.2">
      <c r="A33" t="s">
        <v>54</v>
      </c>
      <c r="B33" s="117">
        <v>7019665.6909999885</v>
      </c>
      <c r="D33" s="117">
        <v>6874183.4742724095</v>
      </c>
      <c r="F33" s="117">
        <v>6712715.1828246247</v>
      </c>
      <c r="H33" s="117">
        <v>6533531.7729911748</v>
      </c>
      <c r="J33" s="117">
        <v>6334820.7507416764</v>
      </c>
      <c r="L33" s="117">
        <v>6114766.3756527901</v>
      </c>
      <c r="N33" s="117">
        <v>5871661.9830059772</v>
      </c>
      <c r="P33" s="117">
        <v>5604114.5314447824</v>
      </c>
      <c r="R33" s="117">
        <v>5311369.3362238985</v>
      </c>
      <c r="T33" s="117">
        <v>4993886.6872164533</v>
      </c>
      <c r="V33" s="117">
        <v>4654584.4107374195</v>
      </c>
      <c r="X33" s="117">
        <v>4302259.6451710947</v>
      </c>
      <c r="Z33" s="117"/>
      <c r="AB33" s="117"/>
      <c r="AD33" s="117"/>
      <c r="AF33" s="117"/>
      <c r="AH33" s="117"/>
      <c r="AJ33" s="117"/>
      <c r="AL33" s="117"/>
      <c r="AN33" s="117"/>
      <c r="AP33" s="117"/>
      <c r="AR33" s="117"/>
      <c r="AT33" s="117"/>
      <c r="AV33" s="117"/>
    </row>
    <row r="34" spans="1:49 16319:16321" x14ac:dyDescent="0.2">
      <c r="A34" t="s">
        <v>75</v>
      </c>
      <c r="B34" s="117">
        <v>1136879.4410000162</v>
      </c>
      <c r="D34" s="117">
        <v>1113317.5799643411</v>
      </c>
      <c r="F34" s="117">
        <v>1087166.7749778714</v>
      </c>
      <c r="H34" s="117">
        <v>1058146.9665099592</v>
      </c>
      <c r="J34" s="117">
        <v>1025964.4565178913</v>
      </c>
      <c r="L34" s="117">
        <v>990325.26580555853</v>
      </c>
      <c r="N34" s="117">
        <v>950952.9574197894</v>
      </c>
      <c r="P34" s="117">
        <v>907621.93620705046</v>
      </c>
      <c r="R34" s="117">
        <v>860210.00124822347</v>
      </c>
      <c r="T34" s="117">
        <v>808791.66368668783</v>
      </c>
      <c r="V34" s="117">
        <v>753839.50504241954</v>
      </c>
      <c r="X34" s="117">
        <v>696778.27369880665</v>
      </c>
      <c r="Z34" s="117"/>
      <c r="AB34" s="117"/>
      <c r="AD34" s="117"/>
      <c r="AF34" s="117"/>
      <c r="AH34" s="117"/>
      <c r="AJ34" s="117"/>
      <c r="AL34" s="117"/>
      <c r="AN34" s="117"/>
      <c r="AP34" s="117"/>
      <c r="AR34" s="117"/>
      <c r="AT34" s="117"/>
      <c r="AV34" s="117"/>
    </row>
    <row r="35" spans="1:49 16319:16321" x14ac:dyDescent="0.2">
      <c r="A35" t="s">
        <v>78</v>
      </c>
      <c r="B35" s="233">
        <v>1</v>
      </c>
      <c r="D35" s="233">
        <v>1.001326738347009</v>
      </c>
      <c r="F35" s="233">
        <v>1.0027301939602544</v>
      </c>
      <c r="H35" s="233">
        <v>1.0042056019369245</v>
      </c>
      <c r="J35" s="233">
        <v>1.0057453430164391</v>
      </c>
      <c r="L35" s="233">
        <v>1.0073381445176455</v>
      </c>
      <c r="N35" s="233">
        <v>1.0089680046528033</v>
      </c>
      <c r="P35" s="233">
        <v>1.0106129107107804</v>
      </c>
      <c r="R35" s="233">
        <v>1.0122428032694832</v>
      </c>
      <c r="T35" s="233">
        <v>1.0138155462460456</v>
      </c>
      <c r="V35" s="233">
        <v>1.0152665630418296</v>
      </c>
      <c r="X35" s="233">
        <v>1.016472378787115</v>
      </c>
      <c r="Z35" s="233"/>
      <c r="AB35" s="233"/>
      <c r="AD35" s="233"/>
      <c r="AF35" s="233"/>
      <c r="AH35" s="233"/>
      <c r="AJ35" s="233"/>
      <c r="AL35" s="233"/>
      <c r="AN35" s="233"/>
      <c r="AP35" s="233"/>
      <c r="AR35" s="233"/>
      <c r="AT35" s="233"/>
      <c r="AV35" s="233"/>
    </row>
    <row r="36" spans="1:49 16319:16321" x14ac:dyDescent="0.2">
      <c r="A36" t="s">
        <v>21</v>
      </c>
      <c r="B36" s="37">
        <v>0.47195767671988204</v>
      </c>
      <c r="C36" s="38">
        <v>0.31738834428178991</v>
      </c>
      <c r="D36" s="37">
        <v>0.47198319759084784</v>
      </c>
      <c r="E36" s="38">
        <v>0.32024936052650471</v>
      </c>
      <c r="F36" s="37">
        <v>0.47200783532327673</v>
      </c>
      <c r="G36" s="38">
        <v>0.32312979577304252</v>
      </c>
      <c r="H36" s="37">
        <v>0.47203146375699256</v>
      </c>
      <c r="I36" s="38">
        <v>0.32601237850770909</v>
      </c>
      <c r="J36" s="37">
        <v>0.47205395539953626</v>
      </c>
      <c r="K36" s="38">
        <v>0.32887705751672491</v>
      </c>
      <c r="L36" s="37">
        <v>0.47207519862900366</v>
      </c>
      <c r="M36" s="38">
        <v>0.33170248292322346</v>
      </c>
      <c r="N36" s="37">
        <v>0.47209513966377092</v>
      </c>
      <c r="O36" s="38">
        <v>0.33447000533539556</v>
      </c>
      <c r="P36" s="37">
        <v>0.4721138611256625</v>
      </c>
      <c r="Q36" s="38">
        <v>0.33717233460303858</v>
      </c>
      <c r="R36" s="37">
        <v>0.4721317556293515</v>
      </c>
      <c r="S36" s="38">
        <v>0.33983307507525295</v>
      </c>
      <c r="T36" s="37">
        <v>0.47214992666108729</v>
      </c>
      <c r="U36" s="38">
        <v>0.34255261351014443</v>
      </c>
      <c r="V36" s="37">
        <v>0.4721712498655653</v>
      </c>
      <c r="W36" s="38">
        <v>0.34563024245808482</v>
      </c>
      <c r="X36" s="37">
        <v>0.47220384191167142</v>
      </c>
      <c r="Y36" s="38">
        <v>0.34996065199396986</v>
      </c>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2.1403217525954421E-2</v>
      </c>
      <c r="C37" s="40">
        <v>0.34962461301992565</v>
      </c>
      <c r="D37" s="39">
        <v>2.0988383128201036E-2</v>
      </c>
      <c r="E37" s="40">
        <v>0.34635994624431021</v>
      </c>
      <c r="F37" s="39">
        <v>2.0580097116349168E-2</v>
      </c>
      <c r="G37" s="40">
        <v>0.34311841755838907</v>
      </c>
      <c r="H37" s="39">
        <v>2.0180159908053715E-2</v>
      </c>
      <c r="I37" s="40">
        <v>0.33991472271350603</v>
      </c>
      <c r="J37" s="39">
        <v>1.9790602364063801E-2</v>
      </c>
      <c r="K37" s="40">
        <v>0.33676596976075313</v>
      </c>
      <c r="L37" s="39">
        <v>1.9413645909560021E-2</v>
      </c>
      <c r="M37" s="40">
        <v>0.33369152828578602</v>
      </c>
      <c r="N37" s="39">
        <v>1.9051609105565189E-2</v>
      </c>
      <c r="O37" s="40">
        <v>0.33071252515570665</v>
      </c>
      <c r="P37" s="39">
        <v>1.8706681161551962E-2</v>
      </c>
      <c r="Q37" s="40">
        <v>0.32785037608461104</v>
      </c>
      <c r="R37" s="39">
        <v>1.8380443516331457E-2</v>
      </c>
      <c r="S37" s="40">
        <v>0.32512357706879397</v>
      </c>
      <c r="T37" s="39">
        <v>1.8072799149276959E-2</v>
      </c>
      <c r="U37" s="40">
        <v>0.32254048144770525</v>
      </c>
      <c r="V37" s="39">
        <v>1.7779231722916379E-2</v>
      </c>
      <c r="W37" s="40">
        <v>0.32008099224706976</v>
      </c>
      <c r="X37" s="39">
        <v>1.7482508149599084E-2</v>
      </c>
      <c r="Y37" s="40">
        <v>0.31764288383623845</v>
      </c>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0.17761259139561386</v>
      </c>
      <c r="E38" s="38">
        <v>5.9537747681790383E-2</v>
      </c>
      <c r="F38" s="37">
        <v>0.17443246998123105</v>
      </c>
      <c r="G38" s="38">
        <v>5.8524045758558497E-2</v>
      </c>
      <c r="H38" s="37">
        <v>0.17126325605178644</v>
      </c>
      <c r="I38" s="38">
        <v>5.752907427582598E-2</v>
      </c>
      <c r="J38" s="37">
        <v>0.16812082059411956</v>
      </c>
      <c r="K38" s="38">
        <v>5.6558328180196474E-2</v>
      </c>
      <c r="L38" s="37">
        <v>0.1650245246245392</v>
      </c>
      <c r="M38" s="38">
        <v>5.561761439359799E-2</v>
      </c>
      <c r="N38" s="37">
        <v>0.16199792080475256</v>
      </c>
      <c r="O38" s="38">
        <v>5.4712815083674954E-2</v>
      </c>
      <c r="P38" s="37">
        <v>0.15906901346835425</v>
      </c>
      <c r="Q38" s="38">
        <v>5.3848564550062164E-2</v>
      </c>
      <c r="R38" s="37">
        <v>0.15627091352412215</v>
      </c>
      <c r="S38" s="38">
        <v>5.3025790970180252E-2</v>
      </c>
      <c r="T38" s="37">
        <v>0.15364328897075</v>
      </c>
      <c r="U38" s="38">
        <v>5.2235918067641822E-2</v>
      </c>
      <c r="V38" s="37">
        <v>0.15123601001999473</v>
      </c>
      <c r="W38" s="38">
        <v>5.1445621235670057E-2</v>
      </c>
      <c r="X38" s="37">
        <v>0.14912459913396273</v>
      </c>
      <c r="Y38" s="38">
        <v>5.0550224416799613E-2</v>
      </c>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0.23064923795098566</v>
      </c>
      <c r="C39" s="40">
        <v>0.22092201281804777</v>
      </c>
      <c r="D39" s="39">
        <v>0.2360203228960645</v>
      </c>
      <c r="E39" s="40">
        <v>0.22301294443487968</v>
      </c>
      <c r="F39" s="39">
        <v>0.24219226181236733</v>
      </c>
      <c r="G39" s="40">
        <v>0.22553352069871568</v>
      </c>
      <c r="H39" s="39">
        <v>0.24933443084507936</v>
      </c>
      <c r="I39" s="40">
        <v>0.22858878380704992</v>
      </c>
      <c r="J39" s="39">
        <v>0.25766065052830006</v>
      </c>
      <c r="K39" s="40">
        <v>0.2323182866612607</v>
      </c>
      <c r="L39" s="39">
        <v>0.26744296244172228</v>
      </c>
      <c r="M39" s="40">
        <v>0.23691282184340676</v>
      </c>
      <c r="N39" s="39">
        <v>0.27902817115339351</v>
      </c>
      <c r="O39" s="40">
        <v>0.2426400540603223</v>
      </c>
      <c r="P39" s="39">
        <v>0.29285937265219469</v>
      </c>
      <c r="Q39" s="40">
        <v>0.24989281991729057</v>
      </c>
      <c r="R39" s="39">
        <v>0.30949778905833697</v>
      </c>
      <c r="S39" s="40">
        <v>0.25928199225236853</v>
      </c>
      <c r="T39" s="39">
        <v>0.3296301122535541</v>
      </c>
      <c r="U39" s="40">
        <v>0.27184017369408231</v>
      </c>
      <c r="V39" s="39">
        <v>0.35400698142596293</v>
      </c>
      <c r="W39" s="40">
        <v>0.28954920340402818</v>
      </c>
      <c r="X39" s="39">
        <v>0.3830426298164753</v>
      </c>
      <c r="Y39" s="40">
        <v>0.31702121255456384</v>
      </c>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0.14223713620253942</v>
      </c>
      <c r="E42" s="135"/>
      <c r="F42" s="177">
        <f>10.8%+(1-10.8%)*(1-SUM(F26:G26)/SUM($B$26:$C$26))</f>
        <v>0.17777383244853284</v>
      </c>
      <c r="G42" s="135"/>
      <c r="H42" s="177">
        <f>10.8%+(1-10.8%)*(1-SUM(H26:I26)/SUM($B$26:$C$26))</f>
        <v>0.21464770926975968</v>
      </c>
      <c r="I42" s="135"/>
      <c r="J42" s="177">
        <f>10.8%+(1-10.8%)*(1-SUM(J26:K26)/SUM($B$26:$C$26))</f>
        <v>0.25288277678057935</v>
      </c>
      <c r="K42" s="135"/>
      <c r="L42" s="177">
        <f>10.8%+(1-10.8%)*(1-SUM(L26:M26)/SUM($B$26:$C$26))</f>
        <v>0.29248212273210861</v>
      </c>
      <c r="M42" s="135"/>
      <c r="N42" s="177">
        <f>10.8%+(1-10.8%)*(1-SUM(N26:O26)/SUM($B$26:$C$26))</f>
        <v>0.33341736336104438</v>
      </c>
      <c r="O42" s="135"/>
      <c r="P42" s="177">
        <f>10.8%+(1-10.8%)*(1-SUM(P26:Q26)/SUM($B$26:$C$26))</f>
        <v>0.37561286954790274</v>
      </c>
      <c r="Q42" s="135"/>
      <c r="R42" s="177">
        <f>10.8%+(1-10.8%)*(1-SUM(R26:S26)/SUM($B$26:$C$26))</f>
        <v>0.4189186508958378</v>
      </c>
      <c r="S42" s="135"/>
      <c r="T42" s="177">
        <f>10.8%+(1-10.8%)*(1-SUM(T26:U26)/SUM($B$26:$C$26))</f>
        <v>0.46305697979104932</v>
      </c>
      <c r="U42" s="135"/>
      <c r="V42" s="177">
        <f>10.8%+(1-10.8%)*(1-SUM(V26:W26)/SUM($B$26:$C$26))</f>
        <v>0.50749329976117707</v>
      </c>
      <c r="W42" s="135"/>
      <c r="X42" s="177">
        <f>10.8%+(1-10.8%)*(1-SUM(X26:Y26)/SUM($B$26:$C$26))</f>
        <v>0.5510336232517995</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0.56058995943838996</v>
      </c>
      <c r="C43" s="135"/>
      <c r="D43" s="162">
        <f t="array" ref="D43">SUM(D15:E15*D27:E27)/SUM(D15:E15*D27:E27,D13:E13*D26:E26)</f>
        <v>0.57448332775268618</v>
      </c>
      <c r="E43" s="135"/>
      <c r="F43" s="162">
        <f t="array" ref="F43">SUM(F15:G15*F27:G27)/SUM(F15:G15*F27:G27,F13:G13*F26:G26)</f>
        <v>0.58175755678234298</v>
      </c>
      <c r="G43" s="135"/>
      <c r="H43" s="162">
        <f t="array" ref="H43">SUM(H15:I15*H27:I27)/SUM(H15:I15*H27:I27,H13:I13*H26:I26)</f>
        <v>0.58899567048670443</v>
      </c>
      <c r="I43" s="135"/>
      <c r="J43" s="162">
        <f t="array" ref="J43">SUM(J15:K15*J27:K27)/SUM(J15:K15*J27:K27,J13:K13*J26:K26)</f>
        <v>0.59616254713869177</v>
      </c>
      <c r="K43" s="135"/>
      <c r="L43" s="162">
        <f t="array" ref="L43">SUM(L15:M15*L27:M27)/SUM(L15:M15*L27:M27,L13:M13*L26:M26)</f>
        <v>0.60321573886692947</v>
      </c>
      <c r="M43" s="135"/>
      <c r="N43" s="162">
        <f t="array" ref="N43">SUM(N15:O15*N27:O27)/SUM(N15:O15*N27:O27,N13:O13*N26:O26)</f>
        <v>0.61010233061103181</v>
      </c>
      <c r="O43" s="135"/>
      <c r="P43" s="162">
        <f t="array" ref="P43">SUM(P15:Q15*P27:Q27)/SUM(P15:Q15*P27:Q27,P13:Q13*P26:Q26)</f>
        <v>0.61675876101119231</v>
      </c>
      <c r="Q43" s="135"/>
      <c r="R43" s="162">
        <f t="array" ref="R43">SUM(R15:S15*R27:S27)/SUM(R15:S15*R27:S27,R13:S13*R26:S26)</f>
        <v>0.62310773882382209</v>
      </c>
      <c r="S43" s="135"/>
      <c r="T43" s="162">
        <f t="array" ref="T43">SUM(T15:U15*T27:U27)/SUM(T15:U15*T27:U27,T13:U13*T26:U26)</f>
        <v>0.62905034258035197</v>
      </c>
      <c r="U43" s="135"/>
      <c r="V43" s="162">
        <f t="array" ref="V43">SUM(V15:W15*V27:W27)/SUM(V15:W15*V27:W27,V13:W13*V26:W26)</f>
        <v>0.63445123944949267</v>
      </c>
      <c r="W43" s="135"/>
      <c r="X43" s="162">
        <f t="array" ref="X43">SUM(X15:Y15*X27:Y27)/SUM(X15:Y15*X27:Y27,X13:Y13*X26:Y26)</f>
        <v>0.63907337859743996</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0.29754225679411944</v>
      </c>
      <c r="F44" s="193">
        <f>(SUM(F11:G11*F24:G24)+F34)/F32</f>
        <v>0.29754225712454568</v>
      </c>
      <c r="H44" s="193">
        <f>(SUM(H11:I11*H24:I24)+H34)/H32</f>
        <v>0.29754226184672455</v>
      </c>
      <c r="J44" s="193">
        <f>(SUM(J11:K11*J24:K24)+J34)/J32</f>
        <v>0.29754226197187295</v>
      </c>
      <c r="L44" s="193">
        <f>(SUM(L11:M11*L24:M24)+L34)/L32</f>
        <v>0.29754226269497752</v>
      </c>
      <c r="N44" s="193">
        <f>(SUM(N11:O11*N24:O24)+N34)/N32</f>
        <v>0.29754226236871523</v>
      </c>
      <c r="P44" s="193">
        <f>(SUM(P11:Q11*P24:Q24)+P34)/P32</f>
        <v>0.2975422617040987</v>
      </c>
      <c r="R44" s="193">
        <f>(SUM(R11:S11*R24:S24)+R34)/R32</f>
        <v>0.29754226217921986</v>
      </c>
      <c r="T44" s="193">
        <f>(SUM(T11:U11*T24:U24)+T34)/T32</f>
        <v>0.29754226182765703</v>
      </c>
      <c r="V44" s="193">
        <f>(SUM(V11:W11*V24:W24)+V34)/V32</f>
        <v>0.29754226176783777</v>
      </c>
      <c r="X44" s="193">
        <f>(SUM(X11:Y11*X24:Y24)+X34)/X32</f>
        <v>0.29754226192473138</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0.22038438877205113</v>
      </c>
      <c r="F45" s="193">
        <f>SUM(F11:G11*F24:G24)/F32</f>
        <v>0.22038438857784137</v>
      </c>
      <c r="H45" s="193">
        <f>SUM(H11:I11*H24:I24)/H32</f>
        <v>0.22038438818927278</v>
      </c>
      <c r="J45" s="193">
        <f>SUM(J11:K11*J24:K24)/J32</f>
        <v>0.22038438817540973</v>
      </c>
      <c r="L45" s="193">
        <f>SUM(L11:M11*L24:M24)/L32</f>
        <v>0.22038438800122881</v>
      </c>
      <c r="N45" s="193">
        <f>SUM(N11:O11*N24:O24)/N32</f>
        <v>0.22038438822165959</v>
      </c>
      <c r="P45" s="193">
        <f>SUM(P11:Q11*P24:Q24)/P32</f>
        <v>0.22038438845748309</v>
      </c>
      <c r="R45" s="193">
        <f>SUM(R11:S11*R24:S24)/R32</f>
        <v>0.22038438825353401</v>
      </c>
      <c r="T45" s="193">
        <f>SUM(T11:U11*T24:U24)/T32</f>
        <v>0.22038438841162103</v>
      </c>
      <c r="V45" s="193">
        <f>SUM(V11:W11*V24:W24)/V32</f>
        <v>0.22038438835853605</v>
      </c>
      <c r="X45" s="193">
        <f>SUM(X11:Y11*X24:Y24)/X32</f>
        <v>0.22038438832626667</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7.7157868022068324E-2</v>
      </c>
      <c r="F46" s="193">
        <f>F34/F32</f>
        <v>7.7157868546704311E-2</v>
      </c>
      <c r="H46" s="193">
        <f>H34/H32</f>
        <v>7.7157873657451762E-2</v>
      </c>
      <c r="J46" s="193">
        <f>J34/J32</f>
        <v>7.7157873796463189E-2</v>
      </c>
      <c r="L46" s="193">
        <f>L34/L32</f>
        <v>7.7157874693748713E-2</v>
      </c>
      <c r="N46" s="193">
        <f>N34/N32</f>
        <v>7.7157874147055633E-2</v>
      </c>
      <c r="P46" s="193">
        <f>P34/P32</f>
        <v>7.7157873246615605E-2</v>
      </c>
      <c r="R46" s="193">
        <f>R34/R32</f>
        <v>7.7157873925685863E-2</v>
      </c>
      <c r="T46" s="193">
        <f>T34/T32</f>
        <v>7.7157873416035999E-2</v>
      </c>
      <c r="V46" s="193">
        <f>V34/V32</f>
        <v>7.7157873409301733E-2</v>
      </c>
      <c r="X46" s="193">
        <f>X34/X32</f>
        <v>7.7157873598464696E-2</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0.98007751099868901</v>
      </c>
      <c r="E48" s="191"/>
      <c r="F48" s="191">
        <f>F24/$B$24</f>
        <v>0.95780801594710718</v>
      </c>
      <c r="G48" s="191"/>
      <c r="H48" s="191">
        <f>H24/$B$24</f>
        <v>0.93293842875300215</v>
      </c>
      <c r="I48" s="191"/>
      <c r="J48" s="191">
        <f>J24/$B$24</f>
        <v>0.90520384699279954</v>
      </c>
      <c r="K48" s="191"/>
      <c r="L48" s="191">
        <f>L24/$B$24</f>
        <v>0.8743397046904402</v>
      </c>
      <c r="M48" s="191"/>
      <c r="N48" s="191">
        <f>N24/$B$24</f>
        <v>0.84009893755696707</v>
      </c>
      <c r="O48" s="191"/>
      <c r="P48" s="191">
        <f>P24/$B$24</f>
        <v>0.8022831234044262</v>
      </c>
      <c r="Q48" s="191"/>
      <c r="R48" s="191">
        <f>R24/$B$24</f>
        <v>0.76079234448460475</v>
      </c>
      <c r="S48" s="191"/>
      <c r="T48" s="191">
        <f>T24/$B$24</f>
        <v>0.71571448604103138</v>
      </c>
      <c r="U48" s="191"/>
      <c r="V48" s="191">
        <f>V24/$B$24</f>
        <v>0.66751945721428074</v>
      </c>
      <c r="W48" s="191"/>
      <c r="X48" s="191">
        <f>X24/$B$24</f>
        <v>0.61760023332695946</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0.99999999837611242</v>
      </c>
      <c r="E49" s="191"/>
      <c r="F49" s="191">
        <f>F13/F35/$B$13*$B$35</f>
        <v>0.99999999881463764</v>
      </c>
      <c r="G49" s="191"/>
      <c r="H49" s="191">
        <f>H13/H35/$B$13*$B$35</f>
        <v>1.000000000276845</v>
      </c>
      <c r="I49" s="191"/>
      <c r="J49" s="191">
        <f>J13/J35/$B$13*$B$35</f>
        <v>1.0000000003208975</v>
      </c>
      <c r="K49" s="191"/>
      <c r="L49" s="191">
        <f>L13/L35/$B$13*$B$35</f>
        <v>1.0000000007905696</v>
      </c>
      <c r="M49" s="191"/>
      <c r="N49" s="191">
        <f>N13/N35/$B$13*$B$35</f>
        <v>1.0000000002917491</v>
      </c>
      <c r="O49" s="191"/>
      <c r="P49" s="191">
        <f>P13/P35/$B$13*$B$35</f>
        <v>0.99999999978908682</v>
      </c>
      <c r="Q49" s="191"/>
      <c r="R49" s="191">
        <f>R13/R35/$B$13*$B$35</f>
        <v>1.0000000001324758</v>
      </c>
      <c r="S49" s="191"/>
      <c r="T49" s="191">
        <f>T13/T35/$B$13*$B$35</f>
        <v>0.99999999991352972</v>
      </c>
      <c r="U49" s="191"/>
      <c r="V49" s="191">
        <f>V13/V35/$B$13*$B$35</f>
        <v>0.99999999998485245</v>
      </c>
      <c r="W49" s="191"/>
      <c r="X49" s="191">
        <f>X13/X35/$B$13*$B$35</f>
        <v>1.000000000002973</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-398592.70286255283</v>
      </c>
      <c r="F51" s="29">
        <f>F30-F10*F23</f>
        <v>-390367.23473743023</v>
      </c>
      <c r="H51" s="29">
        <f>H30-H10*H23</f>
        <v>-381048.86596028833</v>
      </c>
      <c r="J51" s="29">
        <f>J30-J10*J23</f>
        <v>-370517.32703251252</v>
      </c>
      <c r="L51" s="29">
        <f>L30-L10*L23</f>
        <v>-358651.65155956428</v>
      </c>
      <c r="N51" s="29">
        <f>N30-N10*N23</f>
        <v>-345335.00446368894</v>
      </c>
      <c r="P51" s="29">
        <f>P30-P10*P23</f>
        <v>-330468.88006471377</v>
      </c>
      <c r="R51" s="29">
        <f>R30-R10*R23</f>
        <v>-313992.31157618528</v>
      </c>
      <c r="T51" s="29">
        <f>T30-T10*T23</f>
        <v>-295915.59498546296</v>
      </c>
      <c r="V51" s="29">
        <f>V30-V10*V23</f>
        <v>-276396.34350428847</v>
      </c>
      <c r="X51" s="29">
        <f>X30-X10*X23</f>
        <v>-255938.60883372254</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1973207.1464101255</v>
      </c>
      <c r="F52" s="29">
        <f t="array" ref="F52">Calibration!sL*SUM(F13:G13*F26:G26)</f>
        <v>1894109.199778483</v>
      </c>
      <c r="H52" s="29">
        <f t="array" ref="H52">Calibration!sL*SUM(H13:I13*H26:I26)</f>
        <v>1811827.2283023999</v>
      </c>
      <c r="J52" s="29">
        <f t="array" ref="J52">Calibration!sL*SUM(J13:K13*J26:K26)</f>
        <v>1726260.7893776076</v>
      </c>
      <c r="L52" s="29">
        <f t="array" ref="L52">Calibration!sL*SUM(L13:M13*L26:M26)</f>
        <v>1637353.0196379628</v>
      </c>
      <c r="N52" s="29">
        <f t="array" ref="N52">Calibration!sL*SUM(N13:O13*N26:O26)</f>
        <v>1545115.7475441454</v>
      </c>
      <c r="P52" s="29">
        <f t="array" ref="P52">Calibration!sL*SUM(P13:Q13*P26:Q26)</f>
        <v>1449667.5324817088</v>
      </c>
      <c r="R52" s="29">
        <f t="array" ref="R52">Calibration!sL*SUM(R13:S13*R26:S26)</f>
        <v>1351298.3960285564</v>
      </c>
      <c r="T52" s="29">
        <f t="array" ref="T52">Calibration!sL*SUM(T13:U13*T26:U26)</f>
        <v>1250595.2509140407</v>
      </c>
      <c r="V52" s="29">
        <f t="array" ref="V52">Calibration!sL*SUM(V13:W13*V26:W26)</f>
        <v>1148740.2908291759</v>
      </c>
      <c r="X52" s="29">
        <f t="array" ref="X52">Calibration!sL*SUM(X13:Y13*X26:Y26)</f>
        <v>1048429.0039044206</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2740714.4444297217</v>
      </c>
      <c r="D53" s="29">
        <f t="array" ref="D53">Calibration!sK*SUM(D15:E15*D27:E27)</f>
        <v>2718647.595303202</v>
      </c>
      <c r="F53" s="29">
        <f t="array" ref="F53">Calibration!sK*SUM(F15:G15*F27:G27)</f>
        <v>2688675.1392131159</v>
      </c>
      <c r="H53" s="29">
        <f t="array" ref="H53">Calibration!sK*SUM(H15:I15*H27:I27)</f>
        <v>2649731.5405564862</v>
      </c>
      <c r="J53" s="29">
        <f t="array" ref="J53">Calibration!sK*SUM(J15:K15*J27:K27)</f>
        <v>2600661.8589754361</v>
      </c>
      <c r="L53" s="29">
        <f t="array" ref="L53">Calibration!sK*SUM(L15:M15*L27:M27)</f>
        <v>2540270.3553648745</v>
      </c>
      <c r="N53" s="29">
        <f t="array" ref="N53">Calibration!sK*SUM(N15:O15*N27:O27)</f>
        <v>2467359.610392042</v>
      </c>
      <c r="P53" s="29">
        <f t="array" ref="P53">Calibration!sK*SUM(P15:Q15*P27:Q27)</f>
        <v>2380843.7351150909</v>
      </c>
      <c r="R53" s="29">
        <f t="array" ref="R53">Calibration!sK*SUM(R15:S15*R27:S27)</f>
        <v>2279904.0703693759</v>
      </c>
      <c r="T53" s="29">
        <f t="array" ref="T53">Calibration!sK*SUM(T15:U15*T27:U27)</f>
        <v>2164245.8410858656</v>
      </c>
      <c r="V53" s="29">
        <f t="array" ref="V53">Calibration!sK*SUM(V15:W15*V27:W27)</f>
        <v>2034670.9093864092</v>
      </c>
      <c r="X53" s="29">
        <f t="array" ref="X53">Calibration!sK*SUM(X15:Y15*X27:Y27)</f>
        <v>1894480.8740400071</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0.1984219545611029</v>
      </c>
      <c r="F55" s="193">
        <f>F30/F32</f>
        <v>0.19834125213573775</v>
      </c>
      <c r="H55" s="193">
        <f>H30/H32</f>
        <v>0.19826091463059739</v>
      </c>
      <c r="J55" s="193">
        <f>J30/J32</f>
        <v>0.19818137067377931</v>
      </c>
      <c r="L55" s="193">
        <f>L30/L32</f>
        <v>0.19810306290658874</v>
      </c>
      <c r="N55" s="193">
        <f>N30/N32</f>
        <v>0.19802661158132015</v>
      </c>
      <c r="P55" s="193">
        <f>P30/P32</f>
        <v>0.19795270556136921</v>
      </c>
      <c r="R55" s="193">
        <f>R30/R32</f>
        <v>0.19788217583298137</v>
      </c>
      <c r="T55" s="193">
        <f>T30/T32</f>
        <v>0.19781616827096951</v>
      </c>
      <c r="V55" s="193">
        <f>V30/V32</f>
        <v>0.19775615881828459</v>
      </c>
      <c r="X55" s="193">
        <f>X30/X32</f>
        <v>0.19770479442755323</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3.1839973425520765E-2</v>
      </c>
      <c r="F56" s="193">
        <f>(Model!$C$52*F5*F20+F2*G5*G20)/F32</f>
        <v>3.4455248018061026E-2</v>
      </c>
      <c r="H56" s="193">
        <f>(Model!$C$52*H5*H20+H2*I5*I20)/H32</f>
        <v>3.7057092353190844E-2</v>
      </c>
      <c r="J56" s="193">
        <f>(Model!$C$52*J5*J20+J2*K5*K20)/J32</f>
        <v>3.9633043689302622E-2</v>
      </c>
      <c r="L56" s="193">
        <f>(Model!$C$52*L5*L20+L2*M5*M20)/L32</f>
        <v>4.2167738731402733E-2</v>
      </c>
      <c r="N56" s="193">
        <f>(Model!$C$52*N5*N20+N2*O5*O20)/N32</f>
        <v>4.4642354530079906E-2</v>
      </c>
      <c r="P56" s="193">
        <f>(Model!$C$52*P5*P20+P2*Q5*Q20)/P32</f>
        <v>4.7034090422051464E-2</v>
      </c>
      <c r="R56" s="193">
        <f>(Model!$C$52*R5*R20+R2*S5*S20)/R32</f>
        <v>4.9315222775810304E-2</v>
      </c>
      <c r="T56" s="193">
        <f>(Model!$C$52*T5*T20+T2*U5*U20)/T32</f>
        <v>5.1450984255557997E-2</v>
      </c>
      <c r="V56" s="193">
        <f>(Model!$C$52*V5*V20+V2*W5*W20)/V32</f>
        <v>5.339370386283801E-2</v>
      </c>
      <c r="X56" s="193">
        <f>(Model!$C$52*X5*X20+X2*Y5*Y20)/X32</f>
        <v>5.5061353996153493E-2</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0.15587689089551751</v>
      </c>
      <c r="F57" s="193">
        <f t="array" ref="F57">SUM(Model!tauL*F13:G13*F26:G26)/F32</f>
        <v>0.15322758862144253</v>
      </c>
      <c r="H57" s="193">
        <f t="array" ref="H57">SUM(Model!tauL*H13:I13*H26:I26)/H32</f>
        <v>0.15059097477416181</v>
      </c>
      <c r="J57" s="193">
        <f t="array" ref="J57">SUM(Model!tauL*J13:K13*J26:K26)/J32</f>
        <v>0.14797973497098149</v>
      </c>
      <c r="L57" s="193">
        <f t="array" ref="L57">SUM(Model!tauL*L13:M13*L26:M26)/L32</f>
        <v>0.14540944789235416</v>
      </c>
      <c r="N57" s="193">
        <f t="array" ref="N57">SUM(Model!tauL*N13:O13*N26:O26)/N32</f>
        <v>0.14289931333040443</v>
      </c>
      <c r="P57" s="193">
        <f t="array" ref="P57">SUM(Model!tauL*P13:Q13*P26:Q26)/P32</f>
        <v>0.14047258679618913</v>
      </c>
      <c r="R57" s="193">
        <f t="array" ref="R57">SUM(Model!tauL*R13:S13*R26:S26)/R32</f>
        <v>0.13815764728653399</v>
      </c>
      <c r="T57" s="193">
        <f t="array" ref="T57">SUM(Model!tauL*T13:U13*T26:U26)/T32</f>
        <v>0.1359904031403919</v>
      </c>
      <c r="V57" s="193">
        <f t="array" ref="V57">SUM(Model!tauL*V13:W13*V26:W26)/V32</f>
        <v>0.13402046274531021</v>
      </c>
      <c r="X57" s="193">
        <f t="array" ref="X57">SUM(Model!tauL*X13:Y13*X26:Y26)/X32</f>
        <v>0.13233434733521196</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1.0705090240064566E-2</v>
      </c>
      <c r="F58" s="193">
        <f t="array" ref="F58">SUM(Model!tauY/(1+Model!tauY)*F3:G3*F18:G18)/F32</f>
        <v>1.0658415496234169E-2</v>
      </c>
      <c r="H58" s="193">
        <f t="array" ref="H58">SUM(Model!tauY/(1+Model!tauY)*H3:I3*H18:I18)/H32</f>
        <v>1.0612847503244717E-2</v>
      </c>
      <c r="J58" s="193">
        <f t="array" ref="J58">SUM(Model!tauY/(1+Model!tauY)*J3:K3*J18:K18)/J32</f>
        <v>1.0568592013495186E-2</v>
      </c>
      <c r="L58" s="193">
        <f t="array" ref="L58">SUM(Model!tauY/(1+Model!tauY)*L3:M3*L18:M18)/L32</f>
        <v>1.0525876282831886E-2</v>
      </c>
      <c r="N58" s="193">
        <f t="array" ref="N58">SUM(Model!tauY/(1+Model!tauY)*N3:O3*N18:O18)/N32</f>
        <v>1.0484943720835818E-2</v>
      </c>
      <c r="P58" s="193">
        <f t="array" ref="P58">SUM(Model!tauY/(1+Model!tauY)*P3:Q3*P18:Q18)/P32</f>
        <v>1.0446028343128645E-2</v>
      </c>
      <c r="R58" s="193">
        <f t="array" ref="R58">SUM(Model!tauY/(1+Model!tauY)*R3:S3*R18:S18)/R32</f>
        <v>1.0409305770637091E-2</v>
      </c>
      <c r="T58" s="193">
        <f t="array" ref="T58">SUM(Model!tauY/(1+Model!tauY)*T3:U3*T18:U18)/T32</f>
        <v>1.0374780875019595E-2</v>
      </c>
      <c r="V58" s="193">
        <f t="array" ref="V58">SUM(Model!tauY/(1+Model!tauY)*V3:W3*V18:W18)/V32</f>
        <v>1.0341992210136357E-2</v>
      </c>
      <c r="X58" s="193">
        <f t="array" ref="X58">SUM(Model!tauY/(1+Model!tauY)*X3:Y3*X18:Y18)/X32</f>
        <v>1.0309093096187801E-2</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3.1994339735763795E-3</v>
      </c>
      <c r="F59" s="193">
        <f>(F2*G5*G20)/F32</f>
        <v>5.8434691955998744E-3</v>
      </c>
      <c r="H59" s="193">
        <f>(H2*I5*I20)/H32</f>
        <v>8.4738001652942957E-3</v>
      </c>
      <c r="J59" s="193">
        <f>(J2*K5*K20)/J32</f>
        <v>1.1077829399552919E-2</v>
      </c>
      <c r="L59" s="193">
        <f>(L2*M5*M20)/L32</f>
        <v>1.364003260701975E-2</v>
      </c>
      <c r="N59" s="193">
        <f>(N2*O5*O20)/N32</f>
        <v>1.6141395605550585E-2</v>
      </c>
      <c r="P59" s="193">
        <f>(P2*Q5*Q20)/P32</f>
        <v>1.8558898122427728E-2</v>
      </c>
      <c r="R59" s="193">
        <f>(R2*S5*S20)/R32</f>
        <v>2.0864571198746684E-2</v>
      </c>
      <c r="T59" s="193">
        <f>(T2*U5*U20)/T32</f>
        <v>2.3023382944117335E-2</v>
      </c>
      <c r="V59" s="193">
        <f>(V2*W5*W20)/V32</f>
        <v>2.4987393636927403E-2</v>
      </c>
      <c r="X59" s="193">
        <f>(X2*Y5*Y20)/X32</f>
        <v>2.667430402973163E-2</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2.8640539451944388E-2</v>
      </c>
      <c r="F60" s="193">
        <f>Model!$C$52*F5*F20/F32</f>
        <v>2.8611778822461152E-2</v>
      </c>
      <c r="H60" s="193">
        <f>Model!$C$52*H5*H20/H32</f>
        <v>2.8583292187896556E-2</v>
      </c>
      <c r="J60" s="193">
        <f>Model!$C$52*J5*J20/J32</f>
        <v>2.8555214289749702E-2</v>
      </c>
      <c r="L60" s="193">
        <f>Model!$C$52*L5*L20/L32</f>
        <v>2.8527706124382983E-2</v>
      </c>
      <c r="N60" s="193">
        <f>Model!$C$52*N5*N20/N32</f>
        <v>2.8500958924529321E-2</v>
      </c>
      <c r="P60" s="193">
        <f>Model!$C$52*P5*P20/P32</f>
        <v>2.8475192299623732E-2</v>
      </c>
      <c r="R60" s="193">
        <f>Model!$C$52*R5*R20/R32</f>
        <v>2.845065157706362E-2</v>
      </c>
      <c r="T60" s="193">
        <f>Model!$C$52*T5*T20/T32</f>
        <v>2.8427601311440662E-2</v>
      </c>
      <c r="V60" s="193">
        <f>Model!$C$52*V5*V20/V32</f>
        <v>2.840631022591061E-2</v>
      </c>
      <c r="X60" s="193">
        <f>Model!$C$52*X5*X20/X32</f>
        <v>2.838704996642186E-2</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1.0094540430854275</v>
      </c>
      <c r="F62">
        <f>F13/F15</f>
        <v>1.02213765996175</v>
      </c>
      <c r="H62">
        <f>H13/H15</f>
        <v>1.0386867797535888</v>
      </c>
      <c r="J62">
        <f>J13/J15</f>
        <v>1.0599076029749559</v>
      </c>
      <c r="L62">
        <f>L13/L15</f>
        <v>1.0868244182853732</v>
      </c>
      <c r="N62">
        <f>N13/N15</f>
        <v>1.1207503022611336</v>
      </c>
      <c r="P62">
        <f>P13/P15</f>
        <v>1.1633693183174376</v>
      </c>
      <c r="R62">
        <f>R13/R15</f>
        <v>1.2168359820046568</v>
      </c>
      <c r="T62">
        <f>T13/T15</f>
        <v>1.283855167911399</v>
      </c>
      <c r="V62">
        <f>V13/V15</f>
        <v>1.3675701760068546</v>
      </c>
      <c r="X62">
        <f>X13/X15</f>
        <v>1.4705139979002499</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0.99925520674718205</v>
      </c>
      <c r="E65" s="191"/>
      <c r="F65" s="191">
        <f t="array" ref="F65">SQRT((F9:G9*$B$22:$C$22+F10:G10*$B$23:$C$23+F11:G11*$B$24:$C$24+F4:G4*($B$25:$C$25-$B$19:$C$19))/($B$9:$C$9*$B$22:$C$22+$B$10:$C$10*$B$23:$C$23+$B$11:$C$11*$B$24:$C$24+$B$4:$C$4*($B$25:$C$25-$B$19:$C$19))*(F9:G9*F22:G22+F10:G10*F23:G23+F11:G11*F24:G24+F4:G4*(F25:G25-F19:G19))/($B$9:$C$9*F22:G22+$B$10:$C$10*F23:G23+$B$11:$C$11*F24:G24+$B$4:$C$4*(F25:G25-F19:G19)))</f>
        <v>0.99854236278222075</v>
      </c>
      <c r="G65" s="191"/>
      <c r="H65" s="191">
        <f t="array" ref="H65">SQRT((H9:I9*$B$22:$C$22+H10:I10*$B$23:$C$23+H11:I11*$B$24:$C$24+H4:I4*($B$25:$C$25-$B$19:$C$19))/($B$9:$C$9*$B$22:$C$22+$B$10:$C$10*$B$23:$C$23+$B$11:$C$11*$B$24:$C$24+$B$4:$C$4*($B$25:$C$25-$B$19:$C$19))*(H9:I9*H22:I22+H10:I10*H23:I23+H11:I11*H24:I24+H4:I4*(H25:I25-H19:I19))/($B$9:$C$9*H22:I22+$B$10:$C$10*H23:I23+$B$11:$C$11*H24:I24+$B$4:$C$4*(H25:I25-H19:I19)))</f>
        <v>0.99786430822534555</v>
      </c>
      <c r="I65" s="191"/>
      <c r="J65" s="191">
        <f t="array" ref="J65">SQRT((J9:K9*$B$22:$C$22+J10:K10*$B$23:$C$23+J11:K11*$B$24:$C$24+J4:K4*($B$25:$C$25-$B$19:$C$19))/($B$9:$C$9*$B$22:$C$22+$B$10:$C$10*$B$23:$C$23+$B$11:$C$11*$B$24:$C$24+$B$4:$C$4*($B$25:$C$25-$B$19:$C$19))*(J9:K9*J22:K22+J10:K10*J23:K23+J11:K11*J24:K24+J4:K4*(J25:K25-J19:K19))/($B$9:$C$9*J22:K22+$B$10:$C$10*J23:K23+$B$11:$C$11*J24:K24+$B$4:$C$4*(J25:K25-J19:K19)))</f>
        <v>0.99722387561596493</v>
      </c>
      <c r="K65" s="191"/>
      <c r="L65" s="191">
        <f t="array" ref="L65">SQRT((L9:M9*$B$22:$C$22+L10:M10*$B$23:$C$23+L11:M11*$B$24:$C$24+L4:M4*($B$25:$C$25-$B$19:$C$19))/($B$9:$C$9*$B$22:$C$22+$B$10:$C$10*$B$23:$C$23+$B$11:$C$11*$B$24:$C$24+$B$4:$C$4*($B$25:$C$25-$B$19:$C$19))*(L9:M9*L22:M22+L10:M10*L23:M23+L11:M11*L24:M24+L4:M4*(L25:M25-L19:M19))/($B$9:$C$9*L22:M22+$B$10:$C$10*L23:M23+$B$11:$C$11*L24:M24+$B$4:$C$4*(L25:M25-L19:M19)))</f>
        <v>0.99662337500524456</v>
      </c>
      <c r="M65" s="191"/>
      <c r="N65" s="191">
        <f t="array" ref="N65">SQRT((N9:O9*$B$22:$C$22+N10:O10*$B$23:$C$23+N11:O11*$B$24:$C$24+N4:O4*($B$25:$C$25-$B$19:$C$19))/($B$9:$C$9*$B$22:$C$22+$B$10:$C$10*$B$23:$C$23+$B$11:$C$11*$B$24:$C$24+$B$4:$C$4*($B$25:$C$25-$B$19:$C$19))*(N9:O9*N22:O22+N10:O10*N23:O23+N11:O11*N24:O24+N4:O4*(N25:O25-N19:O19))/($B$9:$C$9*N22:O22+$B$10:$C$10*N23:O23+$B$11:$C$11*N24:O24+$B$4:$C$4*(N25:O25-N19:O19)))</f>
        <v>0.99606350451334047</v>
      </c>
      <c r="O65" s="191"/>
      <c r="P65" s="191">
        <f t="array" ref="P65">SQRT((P9:Q9*$B$22:$C$22+P10:Q10*$B$23:$C$23+P11:Q11*$B$24:$C$24+P4:Q4*($B$25:$C$25-$B$19:$C$19))/($B$9:$C$9*$B$22:$C$22+$B$10:$C$10*$B$23:$C$23+$B$11:$C$11*$B$24:$C$24+$B$4:$C$4*($B$25:$C$25-$B$19:$C$19))*(P9:Q9*P22:Q22+P10:Q10*P23:Q23+P11:Q11*P24:Q24+P4:Q4*(P25:Q25-P19:Q19))/($B$9:$C$9*P22:Q22+$B$10:$C$10*P23:Q23+$B$11:$C$11*P24:Q24+$B$4:$C$4*(P25:Q25-P19:Q19)))</f>
        <v>0.99554118316805085</v>
      </c>
      <c r="Q65" s="191"/>
      <c r="R65" s="191">
        <f t="array" ref="R65">SQRT((R9:S9*$B$22:$C$22+R10:S10*$B$23:$C$23+R11:S11*$B$24:$C$24+R4:S4*($B$25:$C$25-$B$19:$C$19))/($B$9:$C$9*$B$22:$C$22+$B$10:$C$10*$B$23:$C$23+$B$11:$C$11*$B$24:$C$24+$B$4:$C$4*($B$25:$C$25-$B$19:$C$19))*(R9:S9*R22:S22+R10:S10*R23:S23+R11:S11*R24:S24+R4:S4*(R25:S25-R19:S19))/($B$9:$C$9*R22:S22+$B$10:$C$10*R23:S23+$B$11:$C$11*R24:S24+$B$4:$C$4*(R25:S25-R19:S19)))</f>
        <v>0.99504487909907391</v>
      </c>
      <c r="S65" s="191"/>
      <c r="T65" s="191">
        <f t="array" ref="T65">SQRT((T9:U9*$B$22:$C$22+T10:U10*$B$23:$C$23+T11:U11*$B$24:$C$24+T4:U4*($B$25:$C$25-$B$19:$C$19))/($B$9:$C$9*$B$22:$C$22+$B$10:$C$10*$B$23:$C$23+$B$11:$C$11*$B$24:$C$24+$B$4:$C$4*($B$25:$C$25-$B$19:$C$19))*(T9:U9*T22:U22+T10:U10*T23:U23+T11:U11*T24:U24+T4:U4*(T25:U25-T19:U19))/($B$9:$C$9*T22:U22+$B$10:$C$10*T23:U23+$B$11:$C$11*T24:U24+$B$4:$C$4*(T25:U25-T19:U19)))</f>
        <v>0.99454383267327628</v>
      </c>
      <c r="U65" s="191"/>
      <c r="V65" s="191">
        <f t="array" ref="V65">SQRT((V9:W9*$B$22:$C$22+V10:W10*$B$23:$C$23+V11:W11*$B$24:$C$24+V4:W4*($B$25:$C$25-$B$19:$C$19))/($B$9:$C$9*$B$22:$C$22+$B$10:$C$10*$B$23:$C$23+$B$11:$C$11*$B$24:$C$24+$B$4:$C$4*($B$25:$C$25-$B$19:$C$19))*(V9:W9*V22:W22+V10:W10*V23:W23+V11:W11*V24:W24+V4:W4*(V25:W25-V19:W19))/($B$9:$C$9*V22:W22+$B$10:$C$10*V23:W23+$B$11:$C$11*V24:W24+$B$4:$C$4*(V25:W25-V19:W19)))</f>
        <v>0.99395958796406214</v>
      </c>
      <c r="W65" s="191"/>
      <c r="X65" s="191">
        <f t="array" ref="X65">SQRT((X9:Y9*$B$22:$C$22+X10:Y10*$B$23:$C$23+X11:Y11*$B$24:$C$24+X4:Y4*($B$25:$C$25-$B$19:$C$19))/($B$9:$C$9*$B$22:$C$22+$B$10:$C$10*$B$23:$C$23+$B$11:$C$11*$B$24:$C$24+$B$4:$C$4*($B$25:$C$25-$B$19:$C$19))*(X9:Y9*X22:Y22+X10:Y10*X23:Y23+X11:Y11*X24:Y24+X4:Y4*(X25:Y25-X19:Y19))/($B$9:$C$9*X22:Y22+$B$10:$C$10*X23:Y23+$B$11:$C$11*X24:Y24+$B$4:$C$4*(X25:Y25-X19:Y19)))</f>
        <v>0.99307424086869112</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0.99918121882070376</v>
      </c>
      <c r="E66" s="191"/>
      <c r="F66" s="191">
        <f t="array" ref="F66">SQRT((F9:G9*$B$22:$C$22)/($B$9:$C$9*$B$22:$C$22)*(F9:G9*F22:G22)/($B$9:$C$9*F22:G22))</f>
        <v>0.99839712086099808</v>
      </c>
      <c r="G66" s="191"/>
      <c r="H66" s="191">
        <f t="array" ref="H66">SQRT((H9:I9*$B$22:$C$22)/($B$9:$C$9*$B$22:$C$22)*(H9:I9*H22:I22)/($B$9:$C$9*H22:I22))</f>
        <v>0.99765089176940813</v>
      </c>
      <c r="I66" s="191"/>
      <c r="J66" s="191">
        <f t="array" ref="J66">SQRT((J9:K9*$B$22:$C$22)/($B$9:$C$9*$B$22:$C$22)*(J9:K9*J22:K22)/($B$9:$C$9*J22:K22))</f>
        <v>0.99694571239748175</v>
      </c>
      <c r="K66" s="191"/>
      <c r="L66" s="191">
        <f t="array" ref="L66">SQRT((L9:M9*$B$22:$C$22)/($B$9:$C$9*$B$22:$C$22)*(L9:M9*L22:M22)/($B$9:$C$9*L22:M22))</f>
        <v>0.996284190374641</v>
      </c>
      <c r="M66" s="191"/>
      <c r="N66" s="191">
        <f t="array" ref="N66">SQRT((N9:O9*$B$22:$C$22)/($B$9:$C$9*$B$22:$C$22)*(N9:O9*N22:O22)/($B$9:$C$9*N22:O22))</f>
        <v>0.99566715662664296</v>
      </c>
      <c r="O66" s="191"/>
      <c r="P66" s="191">
        <f t="array" ref="P66">SQRT((P9:Q9*$B$22:$C$22)/($B$9:$C$9*$B$22:$C$22)*(P9:Q9*P22:Q22)/($B$9:$C$9*P22:Q22))</f>
        <v>0.99509127041346046</v>
      </c>
      <c r="Q66" s="191"/>
      <c r="R66" s="191">
        <f t="array" ref="R66">SQRT((R9:S9*$B$22:$C$22)/($B$9:$C$9*$B$22:$C$22)*(R9:S9*R22:S22)/($B$9:$C$9*R22:S22))</f>
        <v>0.99454385582283633</v>
      </c>
      <c r="S66" s="191"/>
      <c r="T66" s="191">
        <f t="array" ref="T66">SQRT((T9:U9*$B$22:$C$22)/($B$9:$C$9*$B$22:$C$22)*(T9:U9*T22:U22)/($B$9:$C$9*T22:U22))</f>
        <v>0.99399098829621824</v>
      </c>
      <c r="U66" s="191"/>
      <c r="V66" s="191">
        <f t="array" ref="V66">SQRT((V9:W9*$B$22:$C$22)/($B$9:$C$9*$B$22:$C$22)*(V9:W9*V22:W22)/($B$9:$C$9*V22:W22))</f>
        <v>0.99334601022990765</v>
      </c>
      <c r="W66" s="191"/>
      <c r="X66" s="191">
        <f t="array" ref="X66">SQRT((X9:Y9*$B$22:$C$22)/($B$9:$C$9*$B$22:$C$22)*(X9:Y9*X22:Y22)/($B$9:$C$9*X22:Y22))</f>
        <v>0.99236796451823739</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0.99918121882070376</v>
      </c>
      <c r="E68" s="191"/>
      <c r="F68" s="191">
        <f>F66/F67</f>
        <v>0.99839712086099808</v>
      </c>
      <c r="G68" s="191"/>
      <c r="H68" s="191">
        <f>H66/H67</f>
        <v>0.99765089176940813</v>
      </c>
      <c r="I68" s="191"/>
      <c r="J68" s="191">
        <f>J66/J67</f>
        <v>0.99694571239748175</v>
      </c>
      <c r="K68" s="191"/>
      <c r="L68" s="191">
        <f>L66/L67</f>
        <v>0.996284190374641</v>
      </c>
      <c r="M68" s="191"/>
      <c r="N68" s="191">
        <f>N66/N67</f>
        <v>0.99566715662664296</v>
      </c>
      <c r="O68" s="191"/>
      <c r="P68" s="191">
        <f>P66/P67</f>
        <v>0.99509127041346046</v>
      </c>
      <c r="Q68" s="191"/>
      <c r="R68" s="191">
        <f>R66/R67</f>
        <v>0.99454385582283633</v>
      </c>
      <c r="S68" s="191"/>
      <c r="T68" s="191">
        <f>T66/T67</f>
        <v>0.99399098829621824</v>
      </c>
      <c r="U68" s="191"/>
      <c r="V68" s="191">
        <f>V66/V67</f>
        <v>0.99334601022990765</v>
      </c>
      <c r="W68" s="191"/>
      <c r="X68" s="191">
        <f>X66/X67</f>
        <v>0.99236796451823739</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0.98000494109066005</v>
      </c>
      <c r="E69" s="191"/>
      <c r="F69" s="191">
        <f>F32/F65/($B$32)</f>
        <v>0.95766869792858911</v>
      </c>
      <c r="G69" s="191"/>
      <c r="H69" s="191">
        <f>H32/H65/($B$32)</f>
        <v>0.93273889880799576</v>
      </c>
      <c r="I69" s="191"/>
      <c r="J69" s="191">
        <f>J32/J65/($B$32)</f>
        <v>0.90495135226152634</v>
      </c>
      <c r="K69" s="191"/>
      <c r="L69" s="191">
        <f>L32/L65/($B$32)</f>
        <v>0.87404213863888702</v>
      </c>
      <c r="M69" s="191"/>
      <c r="N69" s="191">
        <f>N32/N65/($B$32)</f>
        <v>0.83976465061799055</v>
      </c>
      <c r="O69" s="191"/>
      <c r="P69" s="191">
        <f>P32/P65/($B$32)</f>
        <v>0.80192054888627118</v>
      </c>
      <c r="Q69" s="191"/>
      <c r="R69" s="191">
        <f>R32/R65/($B$32)</f>
        <v>0.76040927190990582</v>
      </c>
      <c r="S69" s="191"/>
      <c r="T69" s="191">
        <f>T32/T65/($B$32)</f>
        <v>0.71531663631998321</v>
      </c>
      <c r="U69" s="191"/>
      <c r="V69" s="191">
        <f>V32/V65/($B$32)</f>
        <v>0.66710739302068656</v>
      </c>
      <c r="W69" s="191"/>
      <c r="X69" s="191">
        <f>X32/X65/($B$32)</f>
        <v>0.61716099484397124</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0.97940964910096229</v>
      </c>
      <c r="E70" s="138"/>
      <c r="F70" s="138">
        <f>F18/$B$18</f>
        <v>0.95649488443565311</v>
      </c>
      <c r="G70" s="138"/>
      <c r="H70" s="138">
        <f>H18/$B$18</f>
        <v>0.93101087950517492</v>
      </c>
      <c r="I70" s="138"/>
      <c r="J70" s="138">
        <f>J18/$B$18</f>
        <v>0.90270237152499866</v>
      </c>
      <c r="K70" s="138"/>
      <c r="L70" s="138">
        <f>L18/$B$18</f>
        <v>0.87131586005165973</v>
      </c>
      <c r="M70" s="138"/>
      <c r="N70" s="138">
        <f>N18/$B$18</f>
        <v>0.8366169225307386</v>
      </c>
      <c r="O70" s="138"/>
      <c r="P70" s="138">
        <f>P18/$B$18</f>
        <v>0.79842137806867886</v>
      </c>
      <c r="Q70" s="138"/>
      <c r="R70" s="138">
        <f>R18/$B$18</f>
        <v>0.75664542600675655</v>
      </c>
      <c r="S70" s="138"/>
      <c r="T70" s="138">
        <f>T18/$B$18</f>
        <v>0.71139595603922368</v>
      </c>
      <c r="U70" s="138"/>
      <c r="V70" s="138">
        <f>V18/$B$18</f>
        <v>0.6631683690642195</v>
      </c>
      <c r="W70" s="138"/>
      <c r="X70" s="138">
        <f>X18/$B$18</f>
        <v>0.6134024051706215</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0.93897158118927593</v>
      </c>
      <c r="E71" s="138"/>
      <c r="F71" s="138">
        <f>G18/$C$18</f>
        <v>0.87903269700973374</v>
      </c>
      <c r="G71" s="138"/>
      <c r="H71" s="138">
        <f>I18/$C$18</f>
        <v>0.82025368252124176</v>
      </c>
      <c r="I71" s="138"/>
      <c r="J71" s="138">
        <f>K18/$C$18</f>
        <v>0.76270071711842391</v>
      </c>
      <c r="K71" s="138"/>
      <c r="L71" s="138">
        <f>M18/$C$18</f>
        <v>0.70642767088884129</v>
      </c>
      <c r="M71" s="138"/>
      <c r="N71" s="138">
        <f>O18/$C$18</f>
        <v>0.65146454178058888</v>
      </c>
      <c r="O71" s="138"/>
      <c r="P71" s="138">
        <f>Q18/$C$18</f>
        <v>0.59779705996120913</v>
      </c>
      <c r="Q71" s="138"/>
      <c r="R71" s="138">
        <f>S18/$C$18</f>
        <v>0.54533151330777485</v>
      </c>
      <c r="S71" s="138"/>
      <c r="T71" s="138">
        <f>U18/$C$18</f>
        <v>0.49382528056075814</v>
      </c>
      <c r="U71" s="138"/>
      <c r="V71" s="138">
        <f>W18/$C$18</f>
        <v>0.44272161793837317</v>
      </c>
      <c r="W71" s="138"/>
      <c r="X71" s="138">
        <f>Y18/$C$18</f>
        <v>0.39064531678355746</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0.9906860133814781</v>
      </c>
      <c r="E72" s="138"/>
      <c r="F72" s="138">
        <f>G19/$C$19</f>
        <v>0.97834298127515296</v>
      </c>
      <c r="G72" s="138"/>
      <c r="H72" s="138">
        <f>I19/$C$19</f>
        <v>0.9625419335667379</v>
      </c>
      <c r="I72" s="138"/>
      <c r="J72" s="138">
        <f>K19/$C$19</f>
        <v>0.94284754186557485</v>
      </c>
      <c r="K72" s="138"/>
      <c r="L72" s="138">
        <f>M19/$C$19</f>
        <v>0.9188509567672426</v>
      </c>
      <c r="M72" s="138"/>
      <c r="N72" s="138">
        <f>O19/$C$19</f>
        <v>0.89022899393565025</v>
      </c>
      <c r="O72" s="138"/>
      <c r="P72" s="138">
        <f>Q19/$C$19</f>
        <v>0.85684072922575127</v>
      </c>
      <c r="Q72" s="138"/>
      <c r="R72" s="138">
        <f>S19/$C$19</f>
        <v>0.81890061141829174</v>
      </c>
      <c r="S72" s="138"/>
      <c r="T72" s="138">
        <f>U19/$C$19</f>
        <v>0.77731811432725528</v>
      </c>
      <c r="U72" s="138"/>
      <c r="V72" s="138">
        <f>W19/$C$19</f>
        <v>0.73450777494184205</v>
      </c>
      <c r="W72" s="138"/>
      <c r="X72" s="138">
        <f>Y19/$C$19</f>
        <v>0.69691635722221223</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0.47641153864145586</v>
      </c>
      <c r="E73" s="138"/>
      <c r="F73" s="193">
        <f t="array" ref="F73">SUM(F9:G9*F22:G22)/F32</f>
        <v>0.47641153831102961</v>
      </c>
      <c r="G73" s="138"/>
      <c r="H73" s="193">
        <f t="array" ref="H73">SUM(H9:I9*H22:I22)/H32</f>
        <v>0.47641153358885069</v>
      </c>
      <c r="I73" s="138"/>
      <c r="J73" s="193">
        <f t="array" ref="J73">SUM(J9:K9*J22:K22)/J32</f>
        <v>0.47641153346370235</v>
      </c>
      <c r="K73" s="138"/>
      <c r="L73" s="193">
        <f t="array" ref="L73">SUM(L9:M9*L22:M22)/L32</f>
        <v>0.47641153274059789</v>
      </c>
      <c r="M73" s="138"/>
      <c r="N73" s="193">
        <f t="array" ref="N73">SUM(N9:O9*N22:O22)/N32</f>
        <v>0.47641153306686013</v>
      </c>
      <c r="O73" s="138"/>
      <c r="P73" s="193">
        <f t="array" ref="P73">SUM(P9:Q9*P22:Q22)/P32</f>
        <v>0.4764115337314766</v>
      </c>
      <c r="Q73" s="138"/>
      <c r="R73" s="193">
        <f t="array" ref="R73">SUM(R9:S9*R22:S22)/R32</f>
        <v>0.47641153325635538</v>
      </c>
      <c r="S73" s="138"/>
      <c r="T73" s="193">
        <f t="array" ref="T73">SUM(T9:U9*T22:U22)/T32</f>
        <v>0.47641153360791827</v>
      </c>
      <c r="U73" s="138"/>
      <c r="V73" s="193">
        <f t="array" ref="V73">SUM(V9:W9*V22:W22)/V32</f>
        <v>0.47641153366773753</v>
      </c>
      <c r="W73" s="138"/>
      <c r="X73" s="193">
        <f t="array" ref="X73">SUM(X9:Y9*X22:Y22)/X32</f>
        <v>0.47641153351084398</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0.22604620456442481</v>
      </c>
      <c r="W74" s="138"/>
      <c r="X74" s="193">
        <f t="array" ref="X74">SUM(X10:Y10*X23:Y23)/X32</f>
        <v>0.22604620456442484</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0.22038438877205113</v>
      </c>
      <c r="E75" s="138"/>
      <c r="F75" s="193">
        <f t="array" ref="F75">SUM(F11:G11*F24:G24)/F32</f>
        <v>0.22038438857784137</v>
      </c>
      <c r="G75" s="138"/>
      <c r="H75" s="193">
        <f t="array" ref="H75">SUM(H11:I11*H24:I24)/H32</f>
        <v>0.22038438818927278</v>
      </c>
      <c r="I75" s="138"/>
      <c r="J75" s="193">
        <f t="array" ref="J75">SUM(J11:K11*J24:K24)/J32</f>
        <v>0.22038438817540973</v>
      </c>
      <c r="K75" s="138"/>
      <c r="L75" s="193">
        <f t="array" ref="L75">SUM(L11:M11*L24:M24)/L32</f>
        <v>0.22038438800122881</v>
      </c>
      <c r="M75" s="138"/>
      <c r="N75" s="193">
        <f t="array" ref="N75">SUM(N11:O11*N24:O24)/N32</f>
        <v>0.22038438822165959</v>
      </c>
      <c r="O75" s="138"/>
      <c r="P75" s="193">
        <f t="array" ref="P75">SUM(P11:Q11*P24:Q24)/P32</f>
        <v>0.22038438845748309</v>
      </c>
      <c r="Q75" s="138"/>
      <c r="R75" s="193">
        <f t="array" ref="R75">SUM(R11:S11*R24:S24)/R32</f>
        <v>0.22038438825353401</v>
      </c>
      <c r="S75" s="138"/>
      <c r="T75" s="193">
        <f t="array" ref="T75">SUM(T11:U11*T24:U24)/T32</f>
        <v>0.22038438841162103</v>
      </c>
      <c r="U75" s="138"/>
      <c r="V75" s="193">
        <f t="array" ref="V75">SUM(V11:W11*V24:W24)/V32</f>
        <v>0.22038438835853605</v>
      </c>
      <c r="W75" s="138"/>
      <c r="X75" s="193">
        <f t="array" ref="X75">SUM(X11:Y11*X24:Y24)/X32</f>
        <v>0.22038438832626667</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0.22299267196370445</v>
      </c>
      <c r="E76" s="138"/>
      <c r="F76" s="193">
        <f t="array" ref="F76">SUM(F12:G12*F25:G25)/F32</f>
        <v>0.22296795966007976</v>
      </c>
      <c r="G76" s="138"/>
      <c r="H76" s="193">
        <f t="array" ref="H76">SUM(H12:I12*H25:I25)/H32</f>
        <v>0.22294334494521748</v>
      </c>
      <c r="I76" s="138"/>
      <c r="J76" s="193">
        <f t="array" ref="J76">SUM(J12:K12*J25:K25)/J32</f>
        <v>0.22291767058496542</v>
      </c>
      <c r="K76" s="138"/>
      <c r="L76" s="193">
        <f t="array" ref="L76">SUM(L12:M12*L25:M25)/L32</f>
        <v>0.22289019214452119</v>
      </c>
      <c r="M76" s="138"/>
      <c r="N76" s="193">
        <f t="array" ref="N76">SUM(N12:O12*N25:O25)/N32</f>
        <v>0.22286129050158143</v>
      </c>
      <c r="O76" s="138"/>
      <c r="P76" s="193">
        <f t="array" ref="P76">SUM(P12:Q12*P25:Q25)/P32</f>
        <v>0.22283380229202862</v>
      </c>
      <c r="Q76" s="138"/>
      <c r="R76" s="193">
        <f t="array" ref="R76">SUM(R12:S12*R25:S25)/R32</f>
        <v>0.22281593836270322</v>
      </c>
      <c r="S76" s="138"/>
      <c r="T76" s="193">
        <f t="array" ref="T76">SUM(T12:U12*T25:U25)/T32</f>
        <v>0.22282806004570987</v>
      </c>
      <c r="U76" s="138"/>
      <c r="V76" s="193">
        <f t="array" ref="V76">SUM(V12:W12*V25:W25)/V32</f>
        <v>0.22292080042731033</v>
      </c>
      <c r="W76" s="138"/>
      <c r="X76" s="193">
        <f t="array" ref="X76">SUM(X12:Y12*X25:Y25)/X32</f>
        <v>0.2232353684005989</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0.14583480394163614</v>
      </c>
      <c r="E77" s="138"/>
      <c r="F77" s="193">
        <f t="array" ref="F77">SUM(F4:G4*F19:G19)/F32</f>
        <v>0.14581009111337545</v>
      </c>
      <c r="G77" s="138"/>
      <c r="H77" s="193">
        <f t="array" ref="H77">SUM(H4:I4*H19:I19)/H32</f>
        <v>0.1457854712877657</v>
      </c>
      <c r="I77" s="138"/>
      <c r="J77" s="193">
        <f t="array" ref="J77">SUM(J4:K4*J19:K19)/J32</f>
        <v>0.14575979678850223</v>
      </c>
      <c r="K77" s="138"/>
      <c r="L77" s="193">
        <f t="array" ref="L77">SUM(L4:M4*L19:M19)/L32</f>
        <v>0.14573231745077248</v>
      </c>
      <c r="M77" s="138"/>
      <c r="N77" s="193">
        <f t="array" ref="N77">SUM(N4:O4*N19:O19)/N32</f>
        <v>0.14570341635452583</v>
      </c>
      <c r="O77" s="138"/>
      <c r="P77" s="193">
        <f t="array" ref="P77">SUM(P4:Q4*P19:Q19)/P32</f>
        <v>0.14567592904541302</v>
      </c>
      <c r="Q77" s="138"/>
      <c r="R77" s="193">
        <f t="array" ref="R77">SUM(R4:S4*R19:S19)/R32</f>
        <v>0.14565806443701734</v>
      </c>
      <c r="S77" s="138"/>
      <c r="T77" s="193">
        <f t="array" ref="T77">SUM(T4:U4*T19:U19)/T32</f>
        <v>0.14567018662967385</v>
      </c>
      <c r="U77" s="138"/>
      <c r="V77" s="193">
        <f t="array" ref="V77">SUM(V4:W4*V19:W19)/V32</f>
        <v>0.14576292701800861</v>
      </c>
      <c r="W77" s="138"/>
      <c r="X77" s="193">
        <f t="array" ref="X77">SUM(X4:Y4*X19:Y19)/X32</f>
        <v>0.14607749480213422</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0.34108473223342201</v>
      </c>
      <c r="E78" s="138"/>
      <c r="F78" s="193">
        <f t="array" ref="F78">SUM(F13:G13*F26:G26)/F32</f>
        <v>0.33528761534478735</v>
      </c>
      <c r="G78" s="138"/>
      <c r="H78" s="193">
        <f t="array" ref="H78">SUM(H13:I13*H26:I26)/H32</f>
        <v>0.32951826285811586</v>
      </c>
      <c r="I78" s="138"/>
      <c r="J78" s="193">
        <f t="array" ref="J78">SUM(J13:K13*J26:K26)/J32</f>
        <v>0.32380443302774026</v>
      </c>
      <c r="K78" s="138"/>
      <c r="L78" s="193">
        <f t="array" ref="L78">SUM(L13:M13*L26:M26)/L32</f>
        <v>0.3181802146144781</v>
      </c>
      <c r="M78" s="138"/>
      <c r="N78" s="193">
        <f t="array" ref="N78">SUM(N13:O13*N26:O26)/N32</f>
        <v>0.31268761997768635</v>
      </c>
      <c r="O78" s="138"/>
      <c r="P78" s="193">
        <f t="array" ref="P78">SUM(P13:Q13*P26:Q26)/P32</f>
        <v>0.30737753606870349</v>
      </c>
      <c r="Q78" s="138"/>
      <c r="R78" s="193">
        <f t="array" ref="R78">SUM(R13:S13*R26:S26)/R32</f>
        <v>0.30231206088343981</v>
      </c>
      <c r="S78" s="138"/>
      <c r="T78" s="193">
        <f t="array" ref="T78">SUM(T13:U13*T26:U26)/T32</f>
        <v>0.29756976787884809</v>
      </c>
      <c r="U78" s="138"/>
      <c r="V78" s="193">
        <f t="array" ref="V78">SUM(V13:W13*V26:W26)/V32</f>
        <v>0.29325920851169579</v>
      </c>
      <c r="W78" s="138"/>
      <c r="X78" s="193">
        <f t="array" ref="X78">SUM(X13:Y13*X26:Y26)/X32</f>
        <v>0.28956970572610652</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0.45460968782440492</v>
      </c>
      <c r="D79" s="193">
        <f t="array" ref="D79">SUM(D15:E15*D27:E27)/D32</f>
        <v>0.46049310120850884</v>
      </c>
      <c r="F79" s="193">
        <f t="array" ref="F79">SUM(F15:G15*F27:G27)/F32</f>
        <v>0.46637089823246969</v>
      </c>
      <c r="H79" s="193">
        <f t="array" ref="H79">SUM(H15:I15*H27:I27)/H32</f>
        <v>0.47222088973992571</v>
      </c>
      <c r="J79" s="193">
        <f t="array" ref="J79">SUM(J15:K15*J27:K27)/J32</f>
        <v>0.47801429560549991</v>
      </c>
      <c r="L79" s="193">
        <f t="array" ref="L79">SUM(L15:M15*L27:M27)/L32</f>
        <v>0.48371705244412916</v>
      </c>
      <c r="N79" s="193">
        <f t="array" ref="N79">SUM(N15:O15*N27:O27)/N32</f>
        <v>0.4892859349494762</v>
      </c>
      <c r="P79" s="193">
        <f t="array" ref="P79">SUM(P15:Q15*P27:Q27)/P32</f>
        <v>0.49466959455775877</v>
      </c>
      <c r="R79" s="193">
        <f t="array" ref="R79">SUM(R15:S15*R27:S27)/R32</f>
        <v>0.49980592355064346</v>
      </c>
      <c r="T79" s="193">
        <f t="array" ref="T79">SUM(T15:U15*T27:U27)/T32</f>
        <v>0.50461392990042575</v>
      </c>
      <c r="V79" s="193">
        <f t="array" ref="V79">SUM(V15:W15*V27:W27)/V32</f>
        <v>0.50898454159719453</v>
      </c>
      <c r="X79" s="193">
        <f t="array" ref="X79">SUM(X15:Y15*X27:Y27)/X32</f>
        <v>0.51272552148888595</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0.1984219545611029</v>
      </c>
      <c r="F80" s="236">
        <f>F55</f>
        <v>0.19834125213573775</v>
      </c>
      <c r="H80" s="236">
        <f>H55</f>
        <v>0.19826091463059739</v>
      </c>
      <c r="J80" s="236">
        <f>J55</f>
        <v>0.19818137067377931</v>
      </c>
      <c r="L80" s="236">
        <f>L55</f>
        <v>0.19810306290658874</v>
      </c>
      <c r="N80" s="236">
        <f>N55</f>
        <v>0.19802661158132015</v>
      </c>
      <c r="P80" s="236">
        <f>P55</f>
        <v>0.19795270556136921</v>
      </c>
      <c r="R80" s="236">
        <f>R55</f>
        <v>0.19788217583298137</v>
      </c>
      <c r="T80" s="236">
        <f>T55</f>
        <v>0.19781616827096951</v>
      </c>
      <c r="V80" s="236">
        <f>V55</f>
        <v>0.19775615881828459</v>
      </c>
      <c r="X80" s="236">
        <f>X55</f>
        <v>0.19770479442755323</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-2.762425000332196E-2</v>
      </c>
      <c r="F81" s="236">
        <f>F51/F$32</f>
        <v>-2.7704952428687105E-2</v>
      </c>
      <c r="H81" s="236">
        <f>H51/H$32</f>
        <v>-2.7785289933827426E-2</v>
      </c>
      <c r="J81" s="236">
        <f>J51/J$32</f>
        <v>-2.7864833890645549E-2</v>
      </c>
      <c r="L81" s="236">
        <f>L51/L$32</f>
        <v>-2.7943141657836075E-2</v>
      </c>
      <c r="N81" s="236">
        <f>N51/N$32</f>
        <v>-2.8019592983104712E-2</v>
      </c>
      <c r="P81" s="236">
        <f>P51/P$32</f>
        <v>-2.809349900305564E-2</v>
      </c>
      <c r="R81" s="236">
        <f>R51/R$32</f>
        <v>-2.8164028731443459E-2</v>
      </c>
      <c r="T81" s="236">
        <f>T51/T$32</f>
        <v>-2.8230036293455347E-2</v>
      </c>
      <c r="V81" s="236">
        <f>V51/V$32</f>
        <v>-2.8290045746140243E-2</v>
      </c>
      <c r="X81" s="236">
        <f>X51/X$32</f>
        <v>-2.8341410136871616E-2</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0.13675204570809971</v>
      </c>
      <c r="F82" s="236">
        <f>F52/F$32</f>
        <v>0.13442779158936877</v>
      </c>
      <c r="H82" s="236">
        <f>H52/H$32</f>
        <v>0.13211466912915995</v>
      </c>
      <c r="J82" s="236">
        <f>J52/J$32</f>
        <v>0.12982380752120887</v>
      </c>
      <c r="L82" s="236">
        <f>L52/L$32</f>
        <v>0.12756887406673686</v>
      </c>
      <c r="N82" s="236">
        <f>N52/N$32</f>
        <v>0.12536671289725779</v>
      </c>
      <c r="P82" s="236">
        <f>P52/P$32</f>
        <v>0.12323772625901064</v>
      </c>
      <c r="R82" s="236">
        <f>R52/R$32</f>
        <v>0.12120681127336314</v>
      </c>
      <c r="T82" s="236">
        <f>T52/T$32</f>
        <v>0.11930547061387763</v>
      </c>
      <c r="V82" s="236">
        <f>V52/V$32</f>
        <v>0.11757722611655175</v>
      </c>
      <c r="X82" s="236">
        <f>X52/X$32</f>
        <v>0.11609798355335843</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0.18600714462929877</v>
      </c>
      <c r="D83" s="236">
        <f>D53/D$32</f>
        <v>0.18841438968711563</v>
      </c>
      <c r="F83" s="236">
        <f>F53/F$32</f>
        <v>0.19081933676681764</v>
      </c>
      <c r="H83" s="236">
        <f>H53/H$32</f>
        <v>0.19321290699981242</v>
      </c>
      <c r="J83" s="236">
        <f>J53/J$32</f>
        <v>0.19558332477047444</v>
      </c>
      <c r="L83" s="236">
        <f>L53/L$32</f>
        <v>0.19791665277574641</v>
      </c>
      <c r="N83" s="236">
        <f>N53/N$32</f>
        <v>0.20019520504011384</v>
      </c>
      <c r="P83" s="236">
        <f>P53/P$32</f>
        <v>0.20239797189311481</v>
      </c>
      <c r="R83" s="236">
        <f>R53/R$32</f>
        <v>0.2044995414712189</v>
      </c>
      <c r="T83" s="236">
        <f>T53/T$32</f>
        <v>0.20646677524655366</v>
      </c>
      <c r="V83" s="236">
        <f>V53/V$32</f>
        <v>0.20825504554472948</v>
      </c>
      <c r="X83" s="236">
        <f>X53/X$32</f>
        <v>0.20978569701654309</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5.8757963530019587E-2</v>
      </c>
      <c r="E2" s="227"/>
      <c r="F2" s="226">
        <v>0.11672278126552738</v>
      </c>
      <c r="G2" s="227"/>
      <c r="H2" s="226">
        <v>0.18049208695300062</v>
      </c>
      <c r="I2" s="227"/>
      <c r="J2" s="226">
        <v>0.25109973433701982</v>
      </c>
      <c r="K2" s="227"/>
      <c r="L2" s="226">
        <v>0.32984998179273489</v>
      </c>
      <c r="M2" s="227"/>
      <c r="N2" s="226">
        <v>0.41844593672395602</v>
      </c>
      <c r="O2" s="227"/>
      <c r="P2" s="226">
        <v>0.51913777178950771</v>
      </c>
      <c r="Q2" s="227"/>
      <c r="R2" s="226">
        <v>0.6349911083533486</v>
      </c>
      <c r="S2" s="227"/>
      <c r="T2" s="226">
        <v>0.77030556685381923</v>
      </c>
      <c r="U2" s="227"/>
      <c r="V2" s="226">
        <v>0.93131914925811754</v>
      </c>
      <c r="W2" s="227"/>
      <c r="X2" s="226">
        <v>1.1274365515245586</v>
      </c>
      <c r="Y2" s="227"/>
      <c r="Z2" s="226">
        <v>1.373461812094577</v>
      </c>
      <c r="AA2" s="227"/>
      <c r="AB2" s="226">
        <v>1.6938125147437746</v>
      </c>
      <c r="AC2" s="227"/>
      <c r="AD2" s="226">
        <v>2.1307147403800246</v>
      </c>
      <c r="AE2" s="227"/>
      <c r="AF2" s="226">
        <v>2.7600171021191859</v>
      </c>
      <c r="AG2" s="227"/>
      <c r="AH2" s="226">
        <v>3.7185927045014746</v>
      </c>
      <c r="AI2" s="227"/>
      <c r="AJ2" s="226">
        <v>5.2321021066055877</v>
      </c>
      <c r="AK2" s="227"/>
      <c r="AL2" s="226">
        <v>7.5356975255842213</v>
      </c>
      <c r="AM2" s="227"/>
      <c r="AN2" s="226"/>
      <c r="AO2" s="227"/>
      <c r="AP2" s="226"/>
      <c r="AQ2" s="227"/>
      <c r="AR2" s="226"/>
      <c r="AS2" s="227"/>
      <c r="AT2" s="226"/>
      <c r="AU2" s="227"/>
      <c r="AV2" s="226"/>
      <c r="AW2" s="227"/>
    </row>
    <row r="3" spans="1:49" x14ac:dyDescent="0.2">
      <c r="A3" t="s">
        <v>12</v>
      </c>
      <c r="B3" s="84">
        <v>1000</v>
      </c>
      <c r="C3" s="85">
        <v>1000</v>
      </c>
      <c r="D3" s="84">
        <v>998.54233678751132</v>
      </c>
      <c r="E3" s="85">
        <v>1022.9677379152296</v>
      </c>
      <c r="F3" s="84">
        <v>997.06866713839202</v>
      </c>
      <c r="G3" s="85">
        <v>1048.407206259029</v>
      </c>
      <c r="H3" s="84">
        <v>995.57070570832718</v>
      </c>
      <c r="I3" s="85">
        <v>1076.7466187568232</v>
      </c>
      <c r="J3" s="84">
        <v>994.03970596966531</v>
      </c>
      <c r="K3" s="85">
        <v>1108.5177194853459</v>
      </c>
      <c r="L3" s="84">
        <v>992.46657511412116</v>
      </c>
      <c r="M3" s="85">
        <v>1144.3847427688092</v>
      </c>
      <c r="N3" s="84">
        <v>990.84208696467658</v>
      </c>
      <c r="O3" s="85">
        <v>1185.2017983493142</v>
      </c>
      <c r="P3" s="84">
        <v>989.15758083696642</v>
      </c>
      <c r="Q3" s="85">
        <v>1232.0778629263327</v>
      </c>
      <c r="R3" s="84">
        <v>987.40612379836227</v>
      </c>
      <c r="S3" s="85">
        <v>1286.490674841813</v>
      </c>
      <c r="T3" s="84">
        <v>985.58475511448421</v>
      </c>
      <c r="U3" s="85">
        <v>1350.4584513907394</v>
      </c>
      <c r="V3" s="84">
        <v>983.69850509602395</v>
      </c>
      <c r="W3" s="85">
        <v>1426.8208140325271</v>
      </c>
      <c r="X3" s="84">
        <v>981.76757670417101</v>
      </c>
      <c r="Y3" s="85">
        <v>1519.7101952777598</v>
      </c>
      <c r="Z3" s="84">
        <v>979.83996466179701</v>
      </c>
      <c r="AA3" s="85">
        <v>1635.3751072563462</v>
      </c>
      <c r="AB3" s="84">
        <v>978.01285896018237</v>
      </c>
      <c r="AC3" s="85">
        <v>1783.664442626007</v>
      </c>
      <c r="AD3" s="84">
        <v>976.46576880891064</v>
      </c>
      <c r="AE3" s="85">
        <v>1980.7512602111949</v>
      </c>
      <c r="AF3" s="84">
        <v>975.49782455769252</v>
      </c>
      <c r="AG3" s="85">
        <v>2254.0035601519353</v>
      </c>
      <c r="AH3" s="84">
        <v>975.5178524509887</v>
      </c>
      <c r="AI3" s="85">
        <v>2649.4509325034996</v>
      </c>
      <c r="AJ3" s="84">
        <v>976.84603803095945</v>
      </c>
      <c r="AK3" s="85">
        <v>3236.5368613569985</v>
      </c>
      <c r="AL3" s="84">
        <v>979.2348710081485</v>
      </c>
      <c r="AM3" s="85">
        <v>4075.6177235079349</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998.47001530911257</v>
      </c>
      <c r="E5" s="42">
        <v>1019.9441497318551</v>
      </c>
      <c r="F5" s="41">
        <v>996.92227447055257</v>
      </c>
      <c r="G5" s="42">
        <v>1041.5190995510807</v>
      </c>
      <c r="H5" s="41">
        <v>995.34803145236162</v>
      </c>
      <c r="I5" s="42">
        <v>1064.9224913615183</v>
      </c>
      <c r="J5" s="41">
        <v>993.73803159255897</v>
      </c>
      <c r="K5" s="42">
        <v>1090.3771520157354</v>
      </c>
      <c r="L5" s="41">
        <v>992.0826305069894</v>
      </c>
      <c r="M5" s="42">
        <v>1118.1352927517935</v>
      </c>
      <c r="N5" s="41">
        <v>990.37201375155144</v>
      </c>
      <c r="O5" s="42">
        <v>1148.4773391923347</v>
      </c>
      <c r="P5" s="41">
        <v>988.59693201567177</v>
      </c>
      <c r="Q5" s="42">
        <v>1181.7167382621781</v>
      </c>
      <c r="R5" s="41">
        <v>986.7499260291969</v>
      </c>
      <c r="S5" s="42">
        <v>1218.1958554768983</v>
      </c>
      <c r="T5" s="41">
        <v>984.8277005559039</v>
      </c>
      <c r="U5" s="42">
        <v>1258.2766728499555</v>
      </c>
      <c r="V5" s="41">
        <v>982.83538560044474</v>
      </c>
      <c r="W5" s="42">
        <v>1302.3196205526426</v>
      </c>
      <c r="X5" s="41">
        <v>980.7941665420492</v>
      </c>
      <c r="Y5" s="42">
        <v>1350.6337460745497</v>
      </c>
      <c r="Z5" s="41">
        <v>978.75471284854643</v>
      </c>
      <c r="AA5" s="42">
        <v>1403.3723748568639</v>
      </c>
      <c r="AB5" s="41">
        <v>976.81998118701108</v>
      </c>
      <c r="AC5" s="42">
        <v>1460.3255004029863</v>
      </c>
      <c r="AD5" s="41">
        <v>975.18052243402519</v>
      </c>
      <c r="AE5" s="42">
        <v>1520.5165611483649</v>
      </c>
      <c r="AF5" s="41">
        <v>974.1542075551838</v>
      </c>
      <c r="AG5" s="42">
        <v>1581.5232929150561</v>
      </c>
      <c r="AH5" s="41">
        <v>974.1754477377375</v>
      </c>
      <c r="AI5" s="42">
        <v>1638.7052470923334</v>
      </c>
      <c r="AJ5" s="41">
        <v>975.58360103687494</v>
      </c>
      <c r="AK5" s="42">
        <v>1685.4938844374528</v>
      </c>
      <c r="AL5" s="41">
        <v>978.11415070983912</v>
      </c>
      <c r="AM5" s="42">
        <v>1716.552107507971</v>
      </c>
      <c r="AN5" s="41"/>
      <c r="AO5" s="42"/>
      <c r="AP5" s="41"/>
      <c r="AQ5" s="42"/>
      <c r="AR5" s="41"/>
      <c r="AS5" s="42"/>
      <c r="AT5" s="41"/>
      <c r="AU5" s="42"/>
      <c r="AV5" s="41"/>
      <c r="AW5" s="42"/>
    </row>
    <row r="6" spans="1:49" x14ac:dyDescent="0.2">
      <c r="A6" t="s">
        <v>77</v>
      </c>
      <c r="B6" s="41">
        <v>999.99999999999943</v>
      </c>
      <c r="C6" s="42">
        <v>999.99999999999909</v>
      </c>
      <c r="D6" s="41">
        <v>998.35317953792674</v>
      </c>
      <c r="E6" s="42">
        <v>1024.7484161745804</v>
      </c>
      <c r="F6" s="41">
        <v>996.68763905114952</v>
      </c>
      <c r="G6" s="42">
        <v>1052.0648337952459</v>
      </c>
      <c r="H6" s="41">
        <v>994.993983619186</v>
      </c>
      <c r="I6" s="42">
        <v>1082.3891415909347</v>
      </c>
      <c r="J6" s="41">
        <v>993.26228092759038</v>
      </c>
      <c r="K6" s="42">
        <v>1116.2671702396992</v>
      </c>
      <c r="L6" s="41">
        <v>991.48218922298599</v>
      </c>
      <c r="M6" s="42">
        <v>1154.3801605352635</v>
      </c>
      <c r="N6" s="41">
        <v>989.64319620644494</v>
      </c>
      <c r="O6" s="42">
        <v>1197.603920269323</v>
      </c>
      <c r="P6" s="41">
        <v>987.73540867111524</v>
      </c>
      <c r="Q6" s="42">
        <v>1247.0751564734451</v>
      </c>
      <c r="R6" s="41">
        <v>985.75086922660853</v>
      </c>
      <c r="S6" s="42">
        <v>1304.3083943973422</v>
      </c>
      <c r="T6" s="41">
        <v>983.68610399146155</v>
      </c>
      <c r="U6" s="42">
        <v>1371.3720013815164</v>
      </c>
      <c r="V6" s="41">
        <v>981.54669183469412</v>
      </c>
      <c r="W6" s="42">
        <v>1451.1762137224114</v>
      </c>
      <c r="X6" s="41">
        <v>979.35544013675337</v>
      </c>
      <c r="Y6" s="42">
        <v>1547.9563609688803</v>
      </c>
      <c r="Z6" s="41">
        <v>977.16676582719595</v>
      </c>
      <c r="AA6" s="42">
        <v>1668.1166321669718</v>
      </c>
      <c r="AB6" s="41">
        <v>975.0911057981275</v>
      </c>
      <c r="AC6" s="42">
        <v>1821.7510070115986</v>
      </c>
      <c r="AD6" s="41">
        <v>973.33270668045554</v>
      </c>
      <c r="AE6" s="42">
        <v>2025.4336771947042</v>
      </c>
      <c r="AF6" s="41">
        <v>972.23215814592072</v>
      </c>
      <c r="AG6" s="42">
        <v>2307.2081423843974</v>
      </c>
      <c r="AH6" s="41">
        <v>972.25493289113217</v>
      </c>
      <c r="AI6" s="42">
        <v>2714.2346795124186</v>
      </c>
      <c r="AJ6" s="41">
        <v>973.76498724374983</v>
      </c>
      <c r="AK6" s="42">
        <v>3317.6567705150046</v>
      </c>
      <c r="AL6" s="41">
        <v>976.4794764015578</v>
      </c>
      <c r="AM6" s="42">
        <v>4179.2798651619878</v>
      </c>
      <c r="AN6" s="41"/>
      <c r="AO6" s="42"/>
      <c r="AP6" s="41"/>
      <c r="AQ6" s="42"/>
      <c r="AR6" s="41"/>
      <c r="AS6" s="42"/>
      <c r="AT6" s="41"/>
      <c r="AU6" s="42"/>
      <c r="AV6" s="41"/>
      <c r="AW6" s="42"/>
    </row>
    <row r="7" spans="1:49" x14ac:dyDescent="0.2">
      <c r="A7" t="s">
        <v>13</v>
      </c>
      <c r="B7" s="33">
        <v>1015.9116825427475</v>
      </c>
      <c r="C7" s="34">
        <v>1015.9116825427475</v>
      </c>
      <c r="D7" s="33">
        <v>1014.3573532211633</v>
      </c>
      <c r="E7" s="34">
        <v>1014.3573532211633</v>
      </c>
      <c r="F7" s="33">
        <v>1012.7849852217217</v>
      </c>
      <c r="G7" s="34">
        <v>1012.7849852217217</v>
      </c>
      <c r="H7" s="33">
        <v>1011.1856933483801</v>
      </c>
      <c r="I7" s="34">
        <v>1011.1856933483801</v>
      </c>
      <c r="J7" s="33">
        <v>1009.5500756819144</v>
      </c>
      <c r="K7" s="34">
        <v>1009.5500756819144</v>
      </c>
      <c r="L7" s="33">
        <v>1007.8683343797904</v>
      </c>
      <c r="M7" s="34">
        <v>1007.8683343797904</v>
      </c>
      <c r="N7" s="33">
        <v>1006.1304988335876</v>
      </c>
      <c r="O7" s="34">
        <v>1006.1304988335876</v>
      </c>
      <c r="P7" s="33">
        <v>1004.3271725606392</v>
      </c>
      <c r="Q7" s="34">
        <v>1004.3271725606392</v>
      </c>
      <c r="R7" s="33">
        <v>1002.450777601253</v>
      </c>
      <c r="S7" s="34">
        <v>1002.450777601253</v>
      </c>
      <c r="T7" s="33">
        <v>1000.4979662864533</v>
      </c>
      <c r="U7" s="34">
        <v>1000.4979662864533</v>
      </c>
      <c r="V7" s="33">
        <v>998.47395024789773</v>
      </c>
      <c r="W7" s="34">
        <v>998.47395024789773</v>
      </c>
      <c r="X7" s="33">
        <v>996.40025195984481</v>
      </c>
      <c r="Y7" s="34">
        <v>996.40025195984481</v>
      </c>
      <c r="Z7" s="33">
        <v>994.32834712661042</v>
      </c>
      <c r="AA7" s="34">
        <v>994.32834712661042</v>
      </c>
      <c r="AB7" s="33">
        <v>992.36283062907137</v>
      </c>
      <c r="AC7" s="34">
        <v>992.36283062907137</v>
      </c>
      <c r="AD7" s="33">
        <v>990.69728532886597</v>
      </c>
      <c r="AE7" s="34">
        <v>990.69728532886597</v>
      </c>
      <c r="AF7" s="33">
        <v>989.6546400534836</v>
      </c>
      <c r="AG7" s="34">
        <v>989.6546400534836</v>
      </c>
      <c r="AH7" s="33">
        <v>989.6762182030792</v>
      </c>
      <c r="AI7" s="34">
        <v>989.6762182030792</v>
      </c>
      <c r="AJ7" s="33">
        <v>991.10677759048406</v>
      </c>
      <c r="AK7" s="34">
        <v>991.10677759048406</v>
      </c>
      <c r="AL7" s="33">
        <v>993.67759256650311</v>
      </c>
      <c r="AM7" s="34">
        <v>993.67759256650311</v>
      </c>
      <c r="AN7" s="33"/>
      <c r="AO7" s="34"/>
      <c r="AP7" s="33"/>
      <c r="AQ7" s="34"/>
      <c r="AR7" s="33"/>
      <c r="AS7" s="34"/>
      <c r="AT7" s="33"/>
      <c r="AU7" s="34"/>
      <c r="AV7" s="33"/>
      <c r="AW7" s="34"/>
    </row>
    <row r="8" spans="1:49" x14ac:dyDescent="0.2">
      <c r="B8" s="35">
        <v>1005.7716594496609</v>
      </c>
      <c r="C8" s="36">
        <v>1005.7716594496609</v>
      </c>
      <c r="D8" s="35">
        <v>1079.8739908844561</v>
      </c>
      <c r="E8" s="36">
        <v>1079.8739908844561</v>
      </c>
      <c r="F8" s="35">
        <v>1163.0881055918505</v>
      </c>
      <c r="G8" s="36">
        <v>1163.0881055918505</v>
      </c>
      <c r="H8" s="35">
        <v>1257.1325742705476</v>
      </c>
      <c r="I8" s="36">
        <v>1257.1325742705476</v>
      </c>
      <c r="J8" s="35">
        <v>1364.1705652140429</v>
      </c>
      <c r="K8" s="36">
        <v>1364.1705652140429</v>
      </c>
      <c r="L8" s="35">
        <v>1486.9521987077869</v>
      </c>
      <c r="M8" s="36">
        <v>1486.9521987077869</v>
      </c>
      <c r="N8" s="35">
        <v>1629.0530151969076</v>
      </c>
      <c r="O8" s="36">
        <v>1629.0530151969076</v>
      </c>
      <c r="P8" s="35">
        <v>1795.19053264997</v>
      </c>
      <c r="Q8" s="36">
        <v>1795.19053264997</v>
      </c>
      <c r="R8" s="35">
        <v>1991.7393919376295</v>
      </c>
      <c r="S8" s="36">
        <v>1991.7393919376295</v>
      </c>
      <c r="T8" s="35">
        <v>2227.534198588578</v>
      </c>
      <c r="U8" s="36">
        <v>2227.534198588578</v>
      </c>
      <c r="V8" s="35">
        <v>2515.1948216278843</v>
      </c>
      <c r="W8" s="36">
        <v>2515.1948216278843</v>
      </c>
      <c r="X8" s="35">
        <v>2873.3875991215364</v>
      </c>
      <c r="Y8" s="36">
        <v>2873.3875991215364</v>
      </c>
      <c r="Z8" s="35">
        <v>3330.8507398712422</v>
      </c>
      <c r="AA8" s="36">
        <v>3330.8507398712422</v>
      </c>
      <c r="AB8" s="35">
        <v>3933.8431085850298</v>
      </c>
      <c r="AC8" s="36">
        <v>3933.8431085850298</v>
      </c>
      <c r="AD8" s="35">
        <v>4760.303610979131</v>
      </c>
      <c r="AE8" s="36">
        <v>4760.303610979131</v>
      </c>
      <c r="AF8" s="35">
        <v>5946.554628760462</v>
      </c>
      <c r="AG8" s="36">
        <v>5946.554628760462</v>
      </c>
      <c r="AH8" s="35">
        <v>7732.3826237581716</v>
      </c>
      <c r="AI8" s="36">
        <v>7732.3826237581716</v>
      </c>
      <c r="AJ8" s="35">
        <v>10504.169987873485</v>
      </c>
      <c r="AK8" s="36">
        <v>10504.169987873485</v>
      </c>
      <c r="AL8" s="35">
        <v>14651.96957659217</v>
      </c>
      <c r="AM8" s="36">
        <v>14651.96957659217</v>
      </c>
      <c r="AN8" s="35"/>
      <c r="AO8" s="36"/>
      <c r="AP8" s="35"/>
      <c r="AQ8" s="36"/>
      <c r="AR8" s="35"/>
      <c r="AS8" s="36"/>
      <c r="AT8" s="35"/>
      <c r="AU8" s="36"/>
      <c r="AV8" s="35"/>
      <c r="AW8" s="36"/>
    </row>
    <row r="9" spans="1:49" x14ac:dyDescent="0.2">
      <c r="A9" t="s">
        <v>14</v>
      </c>
      <c r="B9" s="41">
        <v>1015.9116825427475</v>
      </c>
      <c r="C9" s="42">
        <v>1005.7716594496609</v>
      </c>
      <c r="D9" s="41">
        <v>1014.3573532211633</v>
      </c>
      <c r="E9" s="42">
        <v>1079.8739908844561</v>
      </c>
      <c r="F9" s="41">
        <v>1012.7849852217217</v>
      </c>
      <c r="G9" s="42">
        <v>1163.0881055918505</v>
      </c>
      <c r="H9" s="41">
        <v>1011.1856933483801</v>
      </c>
      <c r="I9" s="42">
        <v>1257.1325742705476</v>
      </c>
      <c r="J9" s="41">
        <v>1009.5500756819144</v>
      </c>
      <c r="K9" s="42">
        <v>1364.1705652140429</v>
      </c>
      <c r="L9" s="41">
        <v>1007.8683343797904</v>
      </c>
      <c r="M9" s="42">
        <v>1486.9521987077869</v>
      </c>
      <c r="N9" s="41">
        <v>1006.1304988335876</v>
      </c>
      <c r="O9" s="42">
        <v>1629.0530151969076</v>
      </c>
      <c r="P9" s="41">
        <v>1004.3271725606392</v>
      </c>
      <c r="Q9" s="42">
        <v>1795.19053264997</v>
      </c>
      <c r="R9" s="41">
        <v>1002.450777601253</v>
      </c>
      <c r="S9" s="42">
        <v>1991.7393919376295</v>
      </c>
      <c r="T9" s="41">
        <v>1000.4979662864533</v>
      </c>
      <c r="U9" s="42">
        <v>2227.534198588578</v>
      </c>
      <c r="V9" s="41">
        <v>998.47395024789773</v>
      </c>
      <c r="W9" s="42">
        <v>2515.1948216278843</v>
      </c>
      <c r="X9" s="41">
        <v>996.40025195984481</v>
      </c>
      <c r="Y9" s="42">
        <v>2873.3875991215364</v>
      </c>
      <c r="Z9" s="41">
        <v>994.32834712661042</v>
      </c>
      <c r="AA9" s="42">
        <v>3330.8507398712422</v>
      </c>
      <c r="AB9" s="41">
        <v>992.36283062907137</v>
      </c>
      <c r="AC9" s="42">
        <v>3933.8431085850298</v>
      </c>
      <c r="AD9" s="41">
        <v>990.69728532886597</v>
      </c>
      <c r="AE9" s="42">
        <v>4760.303610979131</v>
      </c>
      <c r="AF9" s="41">
        <v>989.6546400534836</v>
      </c>
      <c r="AG9" s="42">
        <v>5946.554628760462</v>
      </c>
      <c r="AH9" s="41">
        <v>989.6762182030792</v>
      </c>
      <c r="AI9" s="42">
        <v>7732.3826237581716</v>
      </c>
      <c r="AJ9" s="41">
        <v>991.10677759048406</v>
      </c>
      <c r="AK9" s="42">
        <v>10504.169987873485</v>
      </c>
      <c r="AL9" s="41">
        <v>993.67759256650311</v>
      </c>
      <c r="AM9" s="42">
        <v>14651.96957659217</v>
      </c>
      <c r="AN9" s="41"/>
      <c r="AO9" s="42"/>
      <c r="AP9" s="41"/>
      <c r="AQ9" s="42"/>
      <c r="AR9" s="41"/>
      <c r="AS9" s="42"/>
      <c r="AT9" s="41"/>
      <c r="AU9" s="42"/>
      <c r="AV9" s="41"/>
      <c r="AW9" s="42"/>
    </row>
    <row r="10" spans="1:49" x14ac:dyDescent="0.2">
      <c r="A10" t="s">
        <v>15</v>
      </c>
      <c r="B10" s="41">
        <v>1015.9116825427475</v>
      </c>
      <c r="C10" s="42">
        <v>1005.7716594496609</v>
      </c>
      <c r="D10" s="41">
        <v>1014.3573532211633</v>
      </c>
      <c r="E10" s="42">
        <v>1079.8739908844561</v>
      </c>
      <c r="F10" s="41">
        <v>1012.7849852217217</v>
      </c>
      <c r="G10" s="42">
        <v>1163.0881055918505</v>
      </c>
      <c r="H10" s="41">
        <v>1011.1856933483801</v>
      </c>
      <c r="I10" s="42">
        <v>1257.1325742705476</v>
      </c>
      <c r="J10" s="41">
        <v>1009.5500756819144</v>
      </c>
      <c r="K10" s="42">
        <v>1364.1705652140429</v>
      </c>
      <c r="L10" s="41">
        <v>1007.8683343797904</v>
      </c>
      <c r="M10" s="42">
        <v>1486.9521987077869</v>
      </c>
      <c r="N10" s="41">
        <v>1006.1304988335876</v>
      </c>
      <c r="O10" s="42">
        <v>1629.0530151969076</v>
      </c>
      <c r="P10" s="41">
        <v>1004.3271725606392</v>
      </c>
      <c r="Q10" s="42">
        <v>1795.19053264997</v>
      </c>
      <c r="R10" s="41">
        <v>1002.450777601253</v>
      </c>
      <c r="S10" s="42">
        <v>1991.7393919376295</v>
      </c>
      <c r="T10" s="41">
        <v>1000.4979662864533</v>
      </c>
      <c r="U10" s="42">
        <v>2227.534198588578</v>
      </c>
      <c r="V10" s="41">
        <v>998.47395024789773</v>
      </c>
      <c r="W10" s="42">
        <v>2515.1948216278843</v>
      </c>
      <c r="X10" s="41">
        <v>996.40025195984481</v>
      </c>
      <c r="Y10" s="42">
        <v>2873.3875991215364</v>
      </c>
      <c r="Z10" s="41">
        <v>994.32834712661042</v>
      </c>
      <c r="AA10" s="42">
        <v>3330.8507398712422</v>
      </c>
      <c r="AB10" s="41">
        <v>992.36283062907137</v>
      </c>
      <c r="AC10" s="42">
        <v>3933.8431085850298</v>
      </c>
      <c r="AD10" s="41">
        <v>990.69728532886597</v>
      </c>
      <c r="AE10" s="42">
        <v>4760.303610979131</v>
      </c>
      <c r="AF10" s="41">
        <v>989.6546400534836</v>
      </c>
      <c r="AG10" s="42">
        <v>5946.554628760462</v>
      </c>
      <c r="AH10" s="41">
        <v>989.6762182030792</v>
      </c>
      <c r="AI10" s="42">
        <v>7732.3826237581716</v>
      </c>
      <c r="AJ10" s="41">
        <v>991.10677759048406</v>
      </c>
      <c r="AK10" s="42">
        <v>10504.169987873485</v>
      </c>
      <c r="AL10" s="41">
        <v>993.67759256650311</v>
      </c>
      <c r="AM10" s="42">
        <v>14651.96957659217</v>
      </c>
      <c r="AN10" s="41"/>
      <c r="AO10" s="42"/>
      <c r="AP10" s="41"/>
      <c r="AQ10" s="42"/>
      <c r="AR10" s="41"/>
      <c r="AS10" s="42"/>
      <c r="AT10" s="41"/>
      <c r="AU10" s="42"/>
      <c r="AV10" s="41"/>
      <c r="AW10" s="42"/>
    </row>
    <row r="11" spans="1:49" x14ac:dyDescent="0.2">
      <c r="A11" t="s">
        <v>29</v>
      </c>
      <c r="B11" s="41">
        <v>1015.9116825427475</v>
      </c>
      <c r="C11" s="42">
        <v>1005.7716594496609</v>
      </c>
      <c r="D11" s="41">
        <v>1014.3573532211633</v>
      </c>
      <c r="E11" s="42">
        <v>1079.8739908844561</v>
      </c>
      <c r="F11" s="41">
        <v>1012.7849852217217</v>
      </c>
      <c r="G11" s="42">
        <v>1163.0881055918505</v>
      </c>
      <c r="H11" s="41">
        <v>1011.1856933483801</v>
      </c>
      <c r="I11" s="42">
        <v>1257.1325742705476</v>
      </c>
      <c r="J11" s="41">
        <v>1009.5500756819144</v>
      </c>
      <c r="K11" s="42">
        <v>1364.1705652140429</v>
      </c>
      <c r="L11" s="41">
        <v>1007.8683343797904</v>
      </c>
      <c r="M11" s="42">
        <v>1486.9521987077869</v>
      </c>
      <c r="N11" s="41">
        <v>1006.1304988335876</v>
      </c>
      <c r="O11" s="42">
        <v>1629.0530151969076</v>
      </c>
      <c r="P11" s="41">
        <v>1004.3271725606392</v>
      </c>
      <c r="Q11" s="42">
        <v>1795.19053264997</v>
      </c>
      <c r="R11" s="41">
        <v>1002.450777601253</v>
      </c>
      <c r="S11" s="42">
        <v>1991.7393919376295</v>
      </c>
      <c r="T11" s="41">
        <v>1000.4979662864533</v>
      </c>
      <c r="U11" s="42">
        <v>2227.534198588578</v>
      </c>
      <c r="V11" s="41">
        <v>998.47395024789773</v>
      </c>
      <c r="W11" s="42">
        <v>2515.1948216278843</v>
      </c>
      <c r="X11" s="41">
        <v>996.40025195984481</v>
      </c>
      <c r="Y11" s="42">
        <v>2873.3875991215364</v>
      </c>
      <c r="Z11" s="41">
        <v>994.32834712661042</v>
      </c>
      <c r="AA11" s="42">
        <v>3330.8507398712422</v>
      </c>
      <c r="AB11" s="41">
        <v>992.36283062907137</v>
      </c>
      <c r="AC11" s="42">
        <v>3933.8431085850298</v>
      </c>
      <c r="AD11" s="41">
        <v>990.69728532886597</v>
      </c>
      <c r="AE11" s="42">
        <v>4760.303610979131</v>
      </c>
      <c r="AF11" s="41">
        <v>989.6546400534836</v>
      </c>
      <c r="AG11" s="42">
        <v>5946.554628760462</v>
      </c>
      <c r="AH11" s="41">
        <v>989.6762182030792</v>
      </c>
      <c r="AI11" s="42">
        <v>7732.3826237581716</v>
      </c>
      <c r="AJ11" s="41">
        <v>991.10677759048406</v>
      </c>
      <c r="AK11" s="42">
        <v>10504.169987873485</v>
      </c>
      <c r="AL11" s="41">
        <v>993.67759256650311</v>
      </c>
      <c r="AM11" s="42">
        <v>14651.96957659217</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1002.4796730404231</v>
      </c>
      <c r="E13" s="98">
        <v>1002.4796730404231</v>
      </c>
      <c r="F13" s="97">
        <v>1005.2468429578156</v>
      </c>
      <c r="G13" s="98">
        <v>1005.2468429578156</v>
      </c>
      <c r="H13" s="97">
        <v>1008.3488875549372</v>
      </c>
      <c r="I13" s="98">
        <v>1008.3488875549372</v>
      </c>
      <c r="J13" s="97">
        <v>1011.8461177925527</v>
      </c>
      <c r="K13" s="98">
        <v>1011.8461177925527</v>
      </c>
      <c r="L13" s="97">
        <v>1015.8160952648958</v>
      </c>
      <c r="M13" s="98">
        <v>1015.8160952648958</v>
      </c>
      <c r="N13" s="97">
        <v>1020.3609038781323</v>
      </c>
      <c r="O13" s="98">
        <v>1020.3609038781323</v>
      </c>
      <c r="P13" s="97">
        <v>1025.6170087286885</v>
      </c>
      <c r="Q13" s="98">
        <v>1025.6170087286885</v>
      </c>
      <c r="R13" s="97">
        <v>1031.7712848963492</v>
      </c>
      <c r="S13" s="98">
        <v>1031.7712848963492</v>
      </c>
      <c r="T13" s="97">
        <v>1039.0860793467082</v>
      </c>
      <c r="U13" s="98">
        <v>1039.0860793467082</v>
      </c>
      <c r="V13" s="97">
        <v>1047.940397523746</v>
      </c>
      <c r="W13" s="98">
        <v>1047.940397523746</v>
      </c>
      <c r="X13" s="97">
        <v>1058.8992916535835</v>
      </c>
      <c r="Y13" s="98">
        <v>1058.8992916535835</v>
      </c>
      <c r="Z13" s="97">
        <v>1072.834675725408</v>
      </c>
      <c r="AA13" s="98">
        <v>1072.834675725408</v>
      </c>
      <c r="AB13" s="97">
        <v>1091.1405754883983</v>
      </c>
      <c r="AC13" s="98">
        <v>1091.1405754883983</v>
      </c>
      <c r="AD13" s="97">
        <v>1116.1179455800225</v>
      </c>
      <c r="AE13" s="98">
        <v>1116.1179455800225</v>
      </c>
      <c r="AF13" s="97">
        <v>1151.6264156295806</v>
      </c>
      <c r="AG13" s="98">
        <v>1151.6264156295806</v>
      </c>
      <c r="AH13" s="97">
        <v>1203.9581334403078</v>
      </c>
      <c r="AI13" s="98">
        <v>1203.9581334403078</v>
      </c>
      <c r="AJ13" s="97">
        <v>1281.9396940513561</v>
      </c>
      <c r="AK13" s="98">
        <v>1281.9396940513561</v>
      </c>
      <c r="AL13" s="97">
        <v>1391.4498796096418</v>
      </c>
      <c r="AM13" s="98">
        <v>1391.4498796096418</v>
      </c>
      <c r="AN13" s="97"/>
      <c r="AO13" s="98"/>
      <c r="AP13" s="97"/>
      <c r="AQ13" s="98"/>
      <c r="AR13" s="97"/>
      <c r="AS13" s="98"/>
      <c r="AT13" s="97"/>
      <c r="AU13" s="98"/>
      <c r="AV13" s="97"/>
      <c r="AW13" s="98"/>
    </row>
    <row r="14" spans="1:49" x14ac:dyDescent="0.2">
      <c r="A14" t="s">
        <v>36</v>
      </c>
      <c r="B14" s="41">
        <v>1457.0034251455234</v>
      </c>
      <c r="C14" s="42">
        <v>1457.0034251455236</v>
      </c>
      <c r="D14" s="41">
        <v>1460.6163172586607</v>
      </c>
      <c r="E14" s="42">
        <v>1460.616317258661</v>
      </c>
      <c r="F14" s="41">
        <v>1464.6480933062612</v>
      </c>
      <c r="G14" s="42">
        <v>1464.6480933062614</v>
      </c>
      <c r="H14" s="41">
        <v>1469.1677829092216</v>
      </c>
      <c r="I14" s="42">
        <v>1469.1677829092218</v>
      </c>
      <c r="J14" s="41">
        <v>1474.2632593439498</v>
      </c>
      <c r="K14" s="42">
        <v>1474.26325934395</v>
      </c>
      <c r="L14" s="41">
        <v>1480.0475301189044</v>
      </c>
      <c r="M14" s="42">
        <v>1480.0475301189047</v>
      </c>
      <c r="N14" s="41">
        <v>1486.6693318350208</v>
      </c>
      <c r="O14" s="42">
        <v>1486.669331835021</v>
      </c>
      <c r="P14" s="41">
        <v>1494.3274946052052</v>
      </c>
      <c r="Q14" s="42">
        <v>1494.3274946052054</v>
      </c>
      <c r="R14" s="41">
        <v>1503.2942960607784</v>
      </c>
      <c r="S14" s="42">
        <v>1503.2942960607786</v>
      </c>
      <c r="T14" s="41">
        <v>1513.9519766291867</v>
      </c>
      <c r="U14" s="42">
        <v>1513.9519766291871</v>
      </c>
      <c r="V14" s="41">
        <v>1526.8527485404593</v>
      </c>
      <c r="W14" s="42">
        <v>1526.8527485404595</v>
      </c>
      <c r="X14" s="41">
        <v>1542.8198948234397</v>
      </c>
      <c r="Y14" s="42">
        <v>1542.8198948234399</v>
      </c>
      <c r="Z14" s="41">
        <v>1563.1237971468063</v>
      </c>
      <c r="AA14" s="42">
        <v>1563.1237971468065</v>
      </c>
      <c r="AB14" s="41">
        <v>1589.7955558018537</v>
      </c>
      <c r="AC14" s="42">
        <v>1589.7955558018541</v>
      </c>
      <c r="AD14" s="41">
        <v>1626.1876695764774</v>
      </c>
      <c r="AE14" s="42">
        <v>1626.1876695764777</v>
      </c>
      <c r="AF14" s="41">
        <v>1677.9236320603609</v>
      </c>
      <c r="AG14" s="42">
        <v>1677.9236320603611</v>
      </c>
      <c r="AH14" s="41">
        <v>1754.1711241543394</v>
      </c>
      <c r="AI14" s="42">
        <v>1754.1711241543399</v>
      </c>
      <c r="AJ14" s="41">
        <v>1867.7905250628301</v>
      </c>
      <c r="AK14" s="42">
        <v>1867.7905250628303</v>
      </c>
      <c r="AL14" s="41">
        <v>2027.347240509574</v>
      </c>
      <c r="AM14" s="42">
        <v>2027.3472405095745</v>
      </c>
      <c r="AN14" s="41"/>
      <c r="AO14" s="42"/>
      <c r="AP14" s="41"/>
      <c r="AQ14" s="42"/>
      <c r="AR14" s="41"/>
      <c r="AS14" s="42"/>
      <c r="AT14" s="41"/>
      <c r="AU14" s="42"/>
      <c r="AV14" s="41"/>
      <c r="AW14" s="42"/>
    </row>
    <row r="15" spans="1:49" x14ac:dyDescent="0.2">
      <c r="A15" t="s">
        <v>18</v>
      </c>
      <c r="B15" s="154">
        <v>1000</v>
      </c>
      <c r="C15" s="155">
        <v>1000</v>
      </c>
      <c r="D15" s="154">
        <v>987.2092564063397</v>
      </c>
      <c r="E15" s="155">
        <v>987.2092564063397</v>
      </c>
      <c r="F15" s="154">
        <v>973.33321579849496</v>
      </c>
      <c r="G15" s="155">
        <v>973.33321579849496</v>
      </c>
      <c r="H15" s="154">
        <v>958.26084529893956</v>
      </c>
      <c r="I15" s="155">
        <v>958.26084529893956</v>
      </c>
      <c r="J15" s="154">
        <v>941.85263052709035</v>
      </c>
      <c r="K15" s="155">
        <v>941.85263052709035</v>
      </c>
      <c r="L15" s="154">
        <v>923.93379067279727</v>
      </c>
      <c r="M15" s="155">
        <v>923.93379067279727</v>
      </c>
      <c r="N15" s="154">
        <v>904.28286385270383</v>
      </c>
      <c r="O15" s="155">
        <v>904.28286385270383</v>
      </c>
      <c r="P15" s="154">
        <v>882.61698670617216</v>
      </c>
      <c r="Q15" s="155">
        <v>882.61698670617216</v>
      </c>
      <c r="R15" s="154">
        <v>858.56871207939616</v>
      </c>
      <c r="S15" s="155">
        <v>858.56871207939616</v>
      </c>
      <c r="T15" s="154">
        <v>831.65148226447127</v>
      </c>
      <c r="U15" s="155">
        <v>831.65148226447127</v>
      </c>
      <c r="V15" s="154">
        <v>801.20519949301683</v>
      </c>
      <c r="W15" s="155">
        <v>801.20519949301683</v>
      </c>
      <c r="X15" s="154">
        <v>766.30985896265565</v>
      </c>
      <c r="Y15" s="155">
        <v>766.30985896265565</v>
      </c>
      <c r="Z15" s="154">
        <v>725.64531516159605</v>
      </c>
      <c r="AA15" s="155">
        <v>725.64531516159605</v>
      </c>
      <c r="AB15" s="154">
        <v>677.26464635054674</v>
      </c>
      <c r="AC15" s="155">
        <v>677.26464635054674</v>
      </c>
      <c r="AD15" s="154">
        <v>618.24891974375487</v>
      </c>
      <c r="AE15" s="155">
        <v>618.24891974375487</v>
      </c>
      <c r="AF15" s="154">
        <v>544.29464212463938</v>
      </c>
      <c r="AG15" s="155">
        <v>544.29464212463938</v>
      </c>
      <c r="AH15" s="154">
        <v>449.73245899917401</v>
      </c>
      <c r="AI15" s="155">
        <v>449.73245899917401</v>
      </c>
      <c r="AJ15" s="154">
        <v>329.98680971051937</v>
      </c>
      <c r="AK15" s="155">
        <v>329.98680971051937</v>
      </c>
      <c r="AL15" s="154">
        <v>191.45486712365926</v>
      </c>
      <c r="AM15" s="155">
        <v>191.45486712365926</v>
      </c>
      <c r="AN15" s="154"/>
      <c r="AO15" s="155"/>
      <c r="AP15" s="154"/>
      <c r="AQ15" s="155"/>
      <c r="AR15" s="154"/>
      <c r="AS15" s="155"/>
      <c r="AT15" s="154"/>
      <c r="AU15" s="155"/>
      <c r="AV15" s="154"/>
      <c r="AW15" s="155"/>
    </row>
    <row r="16" spans="1:49" s="29" customFormat="1" x14ac:dyDescent="0.2">
      <c r="A16" t="s">
        <v>61</v>
      </c>
      <c r="B16" s="41">
        <v>1000</v>
      </c>
      <c r="C16" s="42">
        <v>1000</v>
      </c>
      <c r="D16" s="41">
        <v>995.40068753850881</v>
      </c>
      <c r="E16" s="42">
        <v>991.59817203059674</v>
      </c>
      <c r="F16" s="41">
        <v>990.53591039758101</v>
      </c>
      <c r="G16" s="42">
        <v>982.55515787083243</v>
      </c>
      <c r="H16" s="41">
        <v>985.36066933009738</v>
      </c>
      <c r="I16" s="42">
        <v>972.79269682543679</v>
      </c>
      <c r="J16" s="41">
        <v>979.82192171681447</v>
      </c>
      <c r="K16" s="42">
        <v>962.21535555263631</v>
      </c>
      <c r="L16" s="41">
        <v>973.85663438372035</v>
      </c>
      <c r="M16" s="42">
        <v>950.70616410013088</v>
      </c>
      <c r="N16" s="41">
        <v>967.38842104809055</v>
      </c>
      <c r="O16" s="42">
        <v>938.1193288740883</v>
      </c>
      <c r="P16" s="41">
        <v>960.32386869651816</v>
      </c>
      <c r="Q16" s="42">
        <v>924.27193503264243</v>
      </c>
      <c r="R16" s="41">
        <v>952.54662685233984</v>
      </c>
      <c r="S16" s="42">
        <v>908.92993395617384</v>
      </c>
      <c r="T16" s="41">
        <v>943.90914752425306</v>
      </c>
      <c r="U16" s="42">
        <v>891.78802264183696</v>
      </c>
      <c r="V16" s="41">
        <v>934.22007259510019</v>
      </c>
      <c r="W16" s="42">
        <v>872.43840013761246</v>
      </c>
      <c r="X16" s="41">
        <v>923.22468281544445</v>
      </c>
      <c r="Y16" s="42">
        <v>850.32149707573024</v>
      </c>
      <c r="Z16" s="41">
        <v>910.57333044956351</v>
      </c>
      <c r="AA16" s="42">
        <v>824.64677106305624</v>
      </c>
      <c r="AB16" s="41">
        <v>895.76907383222874</v>
      </c>
      <c r="AC16" s="42">
        <v>794.26562250634197</v>
      </c>
      <c r="AD16" s="41">
        <v>878.0807368293971</v>
      </c>
      <c r="AE16" s="42">
        <v>757.4788310303295</v>
      </c>
      <c r="AF16" s="41">
        <v>856.40781236021962</v>
      </c>
      <c r="AG16" s="42">
        <v>711.80889184067155</v>
      </c>
      <c r="AH16" s="41">
        <v>829.13337869853922</v>
      </c>
      <c r="AI16" s="42">
        <v>654.03066753769292</v>
      </c>
      <c r="AJ16" s="41">
        <v>794.29315158279633</v>
      </c>
      <c r="AK16" s="42">
        <v>581.73935128391372</v>
      </c>
      <c r="AL16" s="41">
        <v>751.56468855265098</v>
      </c>
      <c r="AM16" s="42">
        <v>501.31479287397843</v>
      </c>
      <c r="AN16" s="41"/>
      <c r="AO16" s="42"/>
      <c r="AP16" s="41"/>
      <c r="AQ16" s="42"/>
      <c r="AR16" s="41"/>
      <c r="AS16" s="42"/>
      <c r="AT16" s="41"/>
      <c r="AU16" s="42"/>
      <c r="AV16" s="41"/>
      <c r="AW16" s="42"/>
    </row>
    <row r="17" spans="1:49" x14ac:dyDescent="0.2">
      <c r="A17" t="s">
        <v>62</v>
      </c>
      <c r="B17" s="35">
        <v>1000.0000000000002</v>
      </c>
      <c r="C17" s="36">
        <v>999.99999999999977</v>
      </c>
      <c r="D17" s="35">
        <v>998.60960507767436</v>
      </c>
      <c r="E17" s="36">
        <v>1035.072614632264</v>
      </c>
      <c r="F17" s="35">
        <v>997.20483965075846</v>
      </c>
      <c r="G17" s="36">
        <v>1074.1921195465654</v>
      </c>
      <c r="H17" s="35">
        <v>995.77784256644884</v>
      </c>
      <c r="I17" s="36">
        <v>1118.1073026528666</v>
      </c>
      <c r="J17" s="35">
        <v>994.32038258221723</v>
      </c>
      <c r="K17" s="36">
        <v>1167.7568952065617</v>
      </c>
      <c r="L17" s="35">
        <v>992.82380819606885</v>
      </c>
      <c r="M17" s="36">
        <v>1224.3293308079137</v>
      </c>
      <c r="N17" s="35">
        <v>991.27950868569667</v>
      </c>
      <c r="O17" s="36">
        <v>1289.3650666505901</v>
      </c>
      <c r="P17" s="35">
        <v>989.67935200216937</v>
      </c>
      <c r="Q17" s="36">
        <v>1364.8901558129144</v>
      </c>
      <c r="R17" s="35">
        <v>988.01689909849051</v>
      </c>
      <c r="S17" s="36">
        <v>1453.6349954503232</v>
      </c>
      <c r="T17" s="35">
        <v>986.28950402844816</v>
      </c>
      <c r="U17" s="36">
        <v>1559.3741248877222</v>
      </c>
      <c r="V17" s="35">
        <v>984.5021090136006</v>
      </c>
      <c r="W17" s="36">
        <v>1687.4866133233859</v>
      </c>
      <c r="X17" s="35">
        <v>982.6740071283873</v>
      </c>
      <c r="Y17" s="36">
        <v>1845.9102102792403</v>
      </c>
      <c r="Z17" s="35">
        <v>980.85070063187027</v>
      </c>
      <c r="AA17" s="36">
        <v>2046.8362236890864</v>
      </c>
      <c r="AB17" s="35">
        <v>979.1239954723917</v>
      </c>
      <c r="AC17" s="36">
        <v>2309.8375740322813</v>
      </c>
      <c r="AD17" s="35">
        <v>977.66309948454943</v>
      </c>
      <c r="AE17" s="36">
        <v>2667.7966639420856</v>
      </c>
      <c r="AF17" s="35">
        <v>976.74964379605638</v>
      </c>
      <c r="AG17" s="36">
        <v>3178.0481816142824</v>
      </c>
      <c r="AH17" s="35">
        <v>976.76853552896921</v>
      </c>
      <c r="AI17" s="36">
        <v>3941.1429397811062</v>
      </c>
      <c r="AJ17" s="35">
        <v>978.02208263946341</v>
      </c>
      <c r="AK17" s="36">
        <v>5118.9177040472414</v>
      </c>
      <c r="AL17" s="35">
        <v>980.27868822888684</v>
      </c>
      <c r="AM17" s="36">
        <v>6877.1650557090543</v>
      </c>
      <c r="AN17" s="35"/>
      <c r="AO17" s="36"/>
      <c r="AP17" s="35"/>
      <c r="AQ17" s="36"/>
      <c r="AR17" s="35"/>
      <c r="AS17" s="36"/>
      <c r="AT17" s="35"/>
      <c r="AU17" s="36"/>
      <c r="AV17" s="35"/>
      <c r="AW17" s="36"/>
    </row>
    <row r="18" spans="1:49" x14ac:dyDescent="0.2">
      <c r="A18" t="s">
        <v>19</v>
      </c>
      <c r="B18" s="33">
        <v>27857.010133999996</v>
      </c>
      <c r="C18" s="34">
        <v>1236.7674480000003</v>
      </c>
      <c r="D18" s="33">
        <v>28006.052084035826</v>
      </c>
      <c r="E18" s="34">
        <v>1149.047517618144</v>
      </c>
      <c r="F18" s="33">
        <v>28137.97656052715</v>
      </c>
      <c r="G18" s="34">
        <v>1061.7078833710689</v>
      </c>
      <c r="H18" s="33">
        <v>28251.46959168568</v>
      </c>
      <c r="I18" s="34">
        <v>974.77739992751083</v>
      </c>
      <c r="J18" s="33">
        <v>28344.700813702726</v>
      </c>
      <c r="K18" s="34">
        <v>888.30597269674638</v>
      </c>
      <c r="L18" s="33">
        <v>28415.177431287797</v>
      </c>
      <c r="M18" s="34">
        <v>802.37564547596037</v>
      </c>
      <c r="N18" s="33">
        <v>28459.556090760496</v>
      </c>
      <c r="O18" s="34">
        <v>717.10240576863418</v>
      </c>
      <c r="P18" s="33">
        <v>28473.31689641039</v>
      </c>
      <c r="Q18" s="34">
        <v>632.66749058112111</v>
      </c>
      <c r="R18" s="33">
        <v>28450.311409296704</v>
      </c>
      <c r="S18" s="34">
        <v>549.33775157630782</v>
      </c>
      <c r="T18" s="33">
        <v>28382.040747687537</v>
      </c>
      <c r="U18" s="34">
        <v>467.50495533109398</v>
      </c>
      <c r="V18" s="33">
        <v>28256.504619163261</v>
      </c>
      <c r="W18" s="34">
        <v>387.74521007105199</v>
      </c>
      <c r="X18" s="33">
        <v>28056.2757846481</v>
      </c>
      <c r="Y18" s="34">
        <v>310.8996989091479</v>
      </c>
      <c r="Z18" s="33">
        <v>27755.14783578378</v>
      </c>
      <c r="AA18" s="34">
        <v>238.18594679870662</v>
      </c>
      <c r="AB18" s="33">
        <v>27311.986948428621</v>
      </c>
      <c r="AC18" s="34">
        <v>171.33533750471923</v>
      </c>
      <c r="AD18" s="33">
        <v>26658.872396047522</v>
      </c>
      <c r="AE18" s="34">
        <v>112.70042670118241</v>
      </c>
      <c r="AF18" s="33">
        <v>25677.107299673218</v>
      </c>
      <c r="AG18" s="34">
        <v>65.15071389014517</v>
      </c>
      <c r="AH18" s="33">
        <v>24147.312402828436</v>
      </c>
      <c r="AI18" s="34">
        <v>31.314746860942471</v>
      </c>
      <c r="AJ18" s="33">
        <v>21647.419152610826</v>
      </c>
      <c r="AK18" s="34">
        <v>11.761433852268494</v>
      </c>
      <c r="AL18" s="33">
        <v>17375.603706040834</v>
      </c>
      <c r="AM18" s="34">
        <v>3.3472948762740371</v>
      </c>
      <c r="AN18" s="33"/>
      <c r="AO18" s="34"/>
      <c r="AP18" s="33"/>
      <c r="AQ18" s="34"/>
      <c r="AR18" s="33"/>
      <c r="AS18" s="34"/>
      <c r="AT18" s="33"/>
      <c r="AU18" s="34"/>
      <c r="AV18" s="33"/>
      <c r="AW18" s="34"/>
    </row>
    <row r="19" spans="1:49" x14ac:dyDescent="0.2">
      <c r="A19" t="s">
        <v>3</v>
      </c>
      <c r="B19" s="41">
        <v>1886.3937399999918</v>
      </c>
      <c r="C19" s="42">
        <v>262.78711299999759</v>
      </c>
      <c r="D19" s="41">
        <v>1889.5291305977382</v>
      </c>
      <c r="E19" s="42">
        <v>270.16768848758454</v>
      </c>
      <c r="F19" s="41">
        <v>1891.3715788785548</v>
      </c>
      <c r="G19" s="42">
        <v>278.30162487517237</v>
      </c>
      <c r="H19" s="41">
        <v>1891.8055225234239</v>
      </c>
      <c r="I19" s="42">
        <v>287.27314886381828</v>
      </c>
      <c r="J19" s="41">
        <v>1890.6800076388331</v>
      </c>
      <c r="K19" s="42">
        <v>297.16839353786588</v>
      </c>
      <c r="L19" s="41">
        <v>1887.8005412357197</v>
      </c>
      <c r="M19" s="42">
        <v>308.06534286008775</v>
      </c>
      <c r="N19" s="41">
        <v>1882.919045586126</v>
      </c>
      <c r="O19" s="42">
        <v>320.03097944124289</v>
      </c>
      <c r="P19" s="41">
        <v>1875.7174975907633</v>
      </c>
      <c r="Q19" s="42">
        <v>333.09742538455401</v>
      </c>
      <c r="R19" s="41">
        <v>1865.7863478343565</v>
      </c>
      <c r="S19" s="42">
        <v>347.23537063541784</v>
      </c>
      <c r="T19" s="41">
        <v>1852.591446879251</v>
      </c>
      <c r="U19" s="42">
        <v>362.30263826977711</v>
      </c>
      <c r="V19" s="41">
        <v>1835.4227652513032</v>
      </c>
      <c r="W19" s="42">
        <v>377.95885992577047</v>
      </c>
      <c r="X19" s="41">
        <v>1813.3091629208052</v>
      </c>
      <c r="Y19" s="42">
        <v>393.51996398817357</v>
      </c>
      <c r="Z19" s="41">
        <v>1784.8669287106204</v>
      </c>
      <c r="AA19" s="42">
        <v>407.71407990938178</v>
      </c>
      <c r="AB19" s="41">
        <v>1748.0054848993395</v>
      </c>
      <c r="AC19" s="42">
        <v>418.28366247539179</v>
      </c>
      <c r="AD19" s="41">
        <v>1699.3030715380485</v>
      </c>
      <c r="AE19" s="42">
        <v>421.39567653111447</v>
      </c>
      <c r="AF19" s="41">
        <v>1632.5679174763291</v>
      </c>
      <c r="AG19" s="42">
        <v>411.00425490294691</v>
      </c>
      <c r="AH19" s="41">
        <v>1535.3833371370406</v>
      </c>
      <c r="AI19" s="42">
        <v>378.99840473898831</v>
      </c>
      <c r="AJ19" s="41">
        <v>1381.2374715422366</v>
      </c>
      <c r="AK19" s="42">
        <v>318.12960968497231</v>
      </c>
      <c r="AL19" s="41">
        <v>1115.6204978292301</v>
      </c>
      <c r="AM19" s="42">
        <v>228.15608307190257</v>
      </c>
      <c r="AN19" s="41"/>
      <c r="AO19" s="42"/>
      <c r="AP19" s="41"/>
      <c r="AQ19" s="42"/>
      <c r="AR19" s="41"/>
      <c r="AS19" s="42"/>
      <c r="AT19" s="41"/>
      <c r="AU19" s="42"/>
      <c r="AV19" s="41"/>
      <c r="AW19" s="42"/>
    </row>
    <row r="20" spans="1:49" x14ac:dyDescent="0.2">
      <c r="A20" t="s">
        <v>127</v>
      </c>
      <c r="B20" s="82">
        <v>26548.356269999993</v>
      </c>
      <c r="C20" s="83">
        <v>1408.5418709999938</v>
      </c>
      <c r="D20" s="82">
        <v>26674.041820903567</v>
      </c>
      <c r="E20" s="83">
        <v>1338.1147774499941</v>
      </c>
      <c r="F20" s="82">
        <v>26783.020265738633</v>
      </c>
      <c r="G20" s="83">
        <v>1267.6876838999945</v>
      </c>
      <c r="H20" s="82">
        <v>26873.971715740379</v>
      </c>
      <c r="I20" s="83">
        <v>1197.2605903499946</v>
      </c>
      <c r="J20" s="82">
        <v>26945.081411401472</v>
      </c>
      <c r="K20" s="83">
        <v>1126.8334967999949</v>
      </c>
      <c r="L20" s="82">
        <v>26993.904355778584</v>
      </c>
      <c r="M20" s="83">
        <v>1056.4064032499953</v>
      </c>
      <c r="N20" s="82">
        <v>27017.19267719279</v>
      </c>
      <c r="O20" s="83">
        <v>985.97930969999561</v>
      </c>
      <c r="P20" s="82">
        <v>27010.598264335731</v>
      </c>
      <c r="Q20" s="83">
        <v>915.55221614999596</v>
      </c>
      <c r="R20" s="82">
        <v>26968.264343065002</v>
      </c>
      <c r="S20" s="83">
        <v>845.12512259999642</v>
      </c>
      <c r="T20" s="82">
        <v>26882.176854312234</v>
      </c>
      <c r="U20" s="83">
        <v>774.69802904999653</v>
      </c>
      <c r="V20" s="82">
        <v>26741.134976802819</v>
      </c>
      <c r="W20" s="83">
        <v>704.27093549999688</v>
      </c>
      <c r="X20" s="82">
        <v>26529.031682755605</v>
      </c>
      <c r="Y20" s="83">
        <v>633.84384194999734</v>
      </c>
      <c r="Z20" s="82">
        <v>26221.854348202451</v>
      </c>
      <c r="AA20" s="83">
        <v>563.41674839999746</v>
      </c>
      <c r="AB20" s="82">
        <v>25782.142962124351</v>
      </c>
      <c r="AC20" s="83">
        <v>492.98965484999781</v>
      </c>
      <c r="AD20" s="82">
        <v>25148.15312945925</v>
      </c>
      <c r="AE20" s="83">
        <v>422.56256129999809</v>
      </c>
      <c r="AF20" s="82">
        <v>24211.468241284496</v>
      </c>
      <c r="AG20" s="83">
        <v>352.13546774999827</v>
      </c>
      <c r="AH20" s="82">
        <v>22769.199065191639</v>
      </c>
      <c r="AI20" s="83">
        <v>281.70837419999856</v>
      </c>
      <c r="AJ20" s="82">
        <v>20424.181415608466</v>
      </c>
      <c r="AK20" s="83">
        <v>211.28128064999879</v>
      </c>
      <c r="AL20" s="82">
        <v>16411.28893354566</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24784.517466342848</v>
      </c>
      <c r="E21" s="83">
        <v>1068.1985637731605</v>
      </c>
      <c r="F21" s="82">
        <v>24891.66809232366</v>
      </c>
      <c r="G21" s="83">
        <v>990.45176675044365</v>
      </c>
      <c r="H21" s="82">
        <v>24982.210677859843</v>
      </c>
      <c r="I21" s="83">
        <v>912.5337446479316</v>
      </c>
      <c r="J21" s="82">
        <v>25054.482221360879</v>
      </c>
      <c r="K21" s="83">
        <v>834.48323004184829</v>
      </c>
      <c r="L21" s="82">
        <v>25106.233243736242</v>
      </c>
      <c r="M21" s="83">
        <v>756.37128331055033</v>
      </c>
      <c r="N21" s="82">
        <v>25134.465196470741</v>
      </c>
      <c r="O21" s="83">
        <v>678.30776772429635</v>
      </c>
      <c r="P21" s="82">
        <v>25135.149413960611</v>
      </c>
      <c r="Q21" s="83">
        <v>600.46593073558745</v>
      </c>
      <c r="R21" s="82">
        <v>25102.84015008809</v>
      </c>
      <c r="S21" s="83">
        <v>523.10684842628655</v>
      </c>
      <c r="T21" s="82">
        <v>25030.058746071816</v>
      </c>
      <c r="U21" s="83">
        <v>446.61981615890562</v>
      </c>
      <c r="V21" s="82">
        <v>24906.314844193792</v>
      </c>
      <c r="W21" s="83">
        <v>371.57931608002104</v>
      </c>
      <c r="X21" s="82">
        <v>24716.471020910667</v>
      </c>
      <c r="Y21" s="83">
        <v>298.82678533117758</v>
      </c>
      <c r="Z21" s="82">
        <v>24437.892721168824</v>
      </c>
      <c r="AA21" s="83">
        <v>229.58191014895812</v>
      </c>
      <c r="AB21" s="82">
        <v>24035.197100022364</v>
      </c>
      <c r="AC21" s="83">
        <v>165.5779245773067</v>
      </c>
      <c r="AD21" s="82">
        <v>23450.034997157647</v>
      </c>
      <c r="AE21" s="83">
        <v>109.1705690419579</v>
      </c>
      <c r="AF21" s="82">
        <v>22580.13742590979</v>
      </c>
      <c r="AG21" s="83">
        <v>63.239266026783056</v>
      </c>
      <c r="AH21" s="82">
        <v>21234.977224989863</v>
      </c>
      <c r="AI21" s="83">
        <v>30.446362026657834</v>
      </c>
      <c r="AJ21" s="82">
        <v>19043.875293377481</v>
      </c>
      <c r="AK21" s="83">
        <v>11.448955904524846</v>
      </c>
      <c r="AL21" s="82">
        <v>15296.26971219251</v>
      </c>
      <c r="AM21" s="83">
        <v>3.2607224950984768</v>
      </c>
      <c r="AN21" s="82"/>
      <c r="AO21" s="83"/>
      <c r="AP21" s="82"/>
      <c r="AQ21" s="83"/>
      <c r="AR21" s="82"/>
      <c r="AS21" s="83"/>
      <c r="AT21" s="82"/>
      <c r="AU21" s="83"/>
      <c r="AV21" s="82"/>
      <c r="AW21" s="83"/>
    </row>
    <row r="22" spans="1:49" x14ac:dyDescent="0.2">
      <c r="A22" t="s">
        <v>28</v>
      </c>
      <c r="B22" s="41">
        <v>6533.6044688320644</v>
      </c>
      <c r="C22" s="42">
        <v>379.90788307663382</v>
      </c>
      <c r="D22" s="41">
        <v>6566.4667213277753</v>
      </c>
      <c r="E22" s="42">
        <v>365.2738908082419</v>
      </c>
      <c r="F22" s="41">
        <v>6594.6815258215083</v>
      </c>
      <c r="G22" s="42">
        <v>350.27054742863567</v>
      </c>
      <c r="H22" s="41">
        <v>6617.8652772303012</v>
      </c>
      <c r="I22" s="42">
        <v>334.89625094559761</v>
      </c>
      <c r="J22" s="41">
        <v>6635.502927786787</v>
      </c>
      <c r="K22" s="42">
        <v>319.14637463807128</v>
      </c>
      <c r="L22" s="41">
        <v>6646.9074871077482</v>
      </c>
      <c r="M22" s="42">
        <v>303.01403296763345</v>
      </c>
      <c r="N22" s="41">
        <v>6651.1840208626227</v>
      </c>
      <c r="O22" s="42">
        <v>286.48743294358184</v>
      </c>
      <c r="P22" s="41">
        <v>6647.1439269181492</v>
      </c>
      <c r="Q22" s="42">
        <v>269.55009603756764</v>
      </c>
      <c r="R22" s="41">
        <v>6633.2045060439013</v>
      </c>
      <c r="S22" s="42">
        <v>252.17845680314164</v>
      </c>
      <c r="T22" s="41">
        <v>6607.2234494328195</v>
      </c>
      <c r="U22" s="42">
        <v>234.33975648971798</v>
      </c>
      <c r="V22" s="41">
        <v>6566.2393332502661</v>
      </c>
      <c r="W22" s="42">
        <v>215.9888778795117</v>
      </c>
      <c r="X22" s="41">
        <v>6506.0432064659653</v>
      </c>
      <c r="Y22" s="42">
        <v>197.06480696087465</v>
      </c>
      <c r="Z22" s="41">
        <v>6420.4393912516516</v>
      </c>
      <c r="AA22" s="42">
        <v>177.48728665511121</v>
      </c>
      <c r="AB22" s="41">
        <v>6299.8934685340282</v>
      </c>
      <c r="AC22" s="42">
        <v>157.15629301975295</v>
      </c>
      <c r="AD22" s="41">
        <v>6128.9211085086899</v>
      </c>
      <c r="AE22" s="42">
        <v>135.96240875757991</v>
      </c>
      <c r="AF22" s="41">
        <v>5880.7614989635376</v>
      </c>
      <c r="AG22" s="42">
        <v>113.82683596874972</v>
      </c>
      <c r="AH22" s="41">
        <v>5506.1923976902444</v>
      </c>
      <c r="AI22" s="42">
        <v>90.80275448739981</v>
      </c>
      <c r="AJ22" s="41">
        <v>4910.8078327615603</v>
      </c>
      <c r="AK22" s="42">
        <v>67.239382038720208</v>
      </c>
      <c r="AL22" s="41">
        <v>3917.6425244377633</v>
      </c>
      <c r="AM22" s="42">
        <v>43.854681039435597</v>
      </c>
      <c r="AN22" s="41"/>
      <c r="AO22" s="42"/>
      <c r="AP22" s="41"/>
      <c r="AQ22" s="42"/>
      <c r="AR22" s="41"/>
      <c r="AS22" s="42"/>
      <c r="AT22" s="41"/>
      <c r="AU22" s="42"/>
      <c r="AV22" s="41"/>
      <c r="AW22" s="42"/>
    </row>
    <row r="23" spans="1:49" x14ac:dyDescent="0.2">
      <c r="A23" t="s">
        <v>7</v>
      </c>
      <c r="B23" s="116">
        <v>3278.5018080150408</v>
      </c>
      <c r="C23" s="8">
        <v>0</v>
      </c>
      <c r="D23" s="116">
        <v>3300.1440058484473</v>
      </c>
      <c r="E23" s="8">
        <v>0</v>
      </c>
      <c r="F23" s="116">
        <v>3319.8826211457285</v>
      </c>
      <c r="G23" s="8">
        <v>0</v>
      </c>
      <c r="H23" s="116">
        <v>3337.5725790964034</v>
      </c>
      <c r="I23" s="8">
        <v>0</v>
      </c>
      <c r="J23" s="116">
        <v>3353.0105005545743</v>
      </c>
      <c r="K23" s="8">
        <v>0</v>
      </c>
      <c r="L23" s="116">
        <v>3365.9179392913129</v>
      </c>
      <c r="M23" s="8">
        <v>0</v>
      </c>
      <c r="N23" s="116">
        <v>3375.9228535510106</v>
      </c>
      <c r="O23" s="8">
        <v>0</v>
      </c>
      <c r="P23" s="116">
        <v>3382.5224845358402</v>
      </c>
      <c r="Q23" s="8">
        <v>0</v>
      </c>
      <c r="R23" s="116">
        <v>3385.0360062302084</v>
      </c>
      <c r="S23" s="8">
        <v>0</v>
      </c>
      <c r="T23" s="116">
        <v>3382.527517990296</v>
      </c>
      <c r="U23" s="8">
        <v>0</v>
      </c>
      <c r="V23" s="116">
        <v>3373.6834086044942</v>
      </c>
      <c r="W23" s="8">
        <v>0</v>
      </c>
      <c r="X23" s="116">
        <v>3356.6064116239054</v>
      </c>
      <c r="Y23" s="8">
        <v>0</v>
      </c>
      <c r="Z23" s="116">
        <v>3328.4522231846595</v>
      </c>
      <c r="AA23" s="8">
        <v>0</v>
      </c>
      <c r="AB23" s="116">
        <v>3284.7454941356245</v>
      </c>
      <c r="AC23" s="8">
        <v>0</v>
      </c>
      <c r="AD23" s="116">
        <v>3218.0062560583151</v>
      </c>
      <c r="AE23" s="8">
        <v>0</v>
      </c>
      <c r="AF23" s="116">
        <v>3114.8046262774346</v>
      </c>
      <c r="AG23" s="8">
        <v>0</v>
      </c>
      <c r="AH23" s="116">
        <v>2949.1759242861403</v>
      </c>
      <c r="AI23" s="8">
        <v>0</v>
      </c>
      <c r="AJ23" s="116">
        <v>2668.1913130191701</v>
      </c>
      <c r="AK23" s="8">
        <v>0</v>
      </c>
      <c r="AL23" s="116">
        <v>2165.6487765978827</v>
      </c>
      <c r="AM23" s="8">
        <v>0</v>
      </c>
      <c r="AN23" s="116"/>
      <c r="AO23" s="8"/>
      <c r="AP23" s="116"/>
      <c r="AQ23" s="8"/>
      <c r="AR23" s="116"/>
      <c r="AS23" s="8"/>
      <c r="AT23" s="116"/>
      <c r="AU23" s="8"/>
      <c r="AV23" s="116"/>
      <c r="AW23" s="8"/>
    </row>
    <row r="24" spans="1:49" x14ac:dyDescent="0.2">
      <c r="A24" t="s">
        <v>8</v>
      </c>
      <c r="B24" s="97">
        <v>3196.3846373657216</v>
      </c>
      <c r="C24" s="8">
        <v>0</v>
      </c>
      <c r="D24" s="97">
        <v>3217.4847652864396</v>
      </c>
      <c r="E24" s="8">
        <v>0</v>
      </c>
      <c r="F24" s="97">
        <v>3236.7289848241057</v>
      </c>
      <c r="G24" s="8">
        <v>0</v>
      </c>
      <c r="H24" s="97">
        <v>3253.9758528827806</v>
      </c>
      <c r="I24" s="8">
        <v>0</v>
      </c>
      <c r="J24" s="97">
        <v>3269.0270820938877</v>
      </c>
      <c r="K24" s="8">
        <v>0</v>
      </c>
      <c r="L24" s="97">
        <v>3281.6112419584756</v>
      </c>
      <c r="M24" s="8">
        <v>0</v>
      </c>
      <c r="N24" s="97">
        <v>3291.3655609325283</v>
      </c>
      <c r="O24" s="8">
        <v>0</v>
      </c>
      <c r="P24" s="97">
        <v>3297.7998893215467</v>
      </c>
      <c r="Q24" s="8">
        <v>0</v>
      </c>
      <c r="R24" s="97">
        <v>3300.2504549831592</v>
      </c>
      <c r="S24" s="8">
        <v>0</v>
      </c>
      <c r="T24" s="97">
        <v>3297.8047974622223</v>
      </c>
      <c r="U24" s="8">
        <v>0</v>
      </c>
      <c r="V24" s="97">
        <v>3289.1822082361759</v>
      </c>
      <c r="W24" s="8">
        <v>0</v>
      </c>
      <c r="X24" s="97">
        <v>3272.5329428804735</v>
      </c>
      <c r="Y24" s="8">
        <v>0</v>
      </c>
      <c r="Z24" s="97">
        <v>3245.0839370488434</v>
      </c>
      <c r="AA24" s="8">
        <v>0</v>
      </c>
      <c r="AB24" s="97">
        <v>3202.4719366097693</v>
      </c>
      <c r="AC24" s="8">
        <v>0</v>
      </c>
      <c r="AD24" s="97">
        <v>3137.4043270779612</v>
      </c>
      <c r="AE24" s="8">
        <v>0</v>
      </c>
      <c r="AF24" s="97">
        <v>3036.7876064421212</v>
      </c>
      <c r="AG24" s="8">
        <v>0</v>
      </c>
      <c r="AH24" s="97">
        <v>2875.3074329267183</v>
      </c>
      <c r="AI24" s="8">
        <v>0</v>
      </c>
      <c r="AJ24" s="97">
        <v>2601.3606890889064</v>
      </c>
      <c r="AK24" s="8">
        <v>0</v>
      </c>
      <c r="AL24" s="97">
        <v>2111.4054177083599</v>
      </c>
      <c r="AM24" s="8">
        <v>0</v>
      </c>
      <c r="AN24" s="97"/>
      <c r="AO24" s="8"/>
      <c r="AP24" s="97"/>
      <c r="AQ24" s="8"/>
      <c r="AR24" s="97"/>
      <c r="AS24" s="8"/>
      <c r="AT24" s="97"/>
      <c r="AU24" s="8"/>
      <c r="AV24" s="97"/>
      <c r="AW24" s="8"/>
    </row>
    <row r="25" spans="1:49" x14ac:dyDescent="0.2">
      <c r="A25" t="s">
        <v>0</v>
      </c>
      <c r="B25" s="41">
        <v>3195.0476040000012</v>
      </c>
      <c r="C25" s="42">
        <v>91.012690000004397</v>
      </c>
      <c r="D25" s="41">
        <v>3221.5268626781885</v>
      </c>
      <c r="E25" s="42">
        <v>80.803099306864539</v>
      </c>
      <c r="F25" s="41">
        <v>3246.276867304864</v>
      </c>
      <c r="G25" s="42">
        <v>71.081887574964824</v>
      </c>
      <c r="H25" s="41">
        <v>3269.1861976374539</v>
      </c>
      <c r="I25" s="42">
        <v>61.871739040432516</v>
      </c>
      <c r="J25" s="41">
        <v>3290.085952061127</v>
      </c>
      <c r="K25" s="42">
        <v>53.197498086173468</v>
      </c>
      <c r="L25" s="41">
        <v>3308.7307283573064</v>
      </c>
      <c r="M25" s="42">
        <v>45.086603993955208</v>
      </c>
      <c r="N25" s="41">
        <v>3324.7734820114415</v>
      </c>
      <c r="O25" s="42">
        <v>37.567343047288929</v>
      </c>
      <c r="P25" s="41">
        <v>3337.7201855057583</v>
      </c>
      <c r="Q25" s="42">
        <v>30.669953288757238</v>
      </c>
      <c r="R25" s="41">
        <v>3346.8652149020027</v>
      </c>
      <c r="S25" s="42">
        <v>24.425308921177592</v>
      </c>
      <c r="T25" s="41">
        <v>3351.1857122034276</v>
      </c>
      <c r="U25" s="42">
        <v>18.864168589439537</v>
      </c>
      <c r="V25" s="41">
        <v>3349.1704139580693</v>
      </c>
      <c r="W25" s="42">
        <v>14.015915615870254</v>
      </c>
      <c r="X25" s="41">
        <v>3338.531532024183</v>
      </c>
      <c r="Y25" s="42">
        <v>9.9063268289313342</v>
      </c>
      <c r="Z25" s="41">
        <v>3315.7064790783429</v>
      </c>
      <c r="AA25" s="42">
        <v>6.5538315246546688</v>
      </c>
      <c r="AB25" s="41">
        <v>3274.9675216360806</v>
      </c>
      <c r="AC25" s="42">
        <v>3.9630955168409949</v>
      </c>
      <c r="AD25" s="41">
        <v>3206.7902951020055</v>
      </c>
      <c r="AE25" s="42">
        <v>2.1138763662531574</v>
      </c>
      <c r="AF25" s="41">
        <v>3094.8265685508959</v>
      </c>
      <c r="AG25" s="42">
        <v>0.94367812557006392</v>
      </c>
      <c r="AH25" s="41">
        <v>2910.3229806576282</v>
      </c>
      <c r="AI25" s="42">
        <v>0.32828500677562261</v>
      </c>
      <c r="AJ25" s="41">
        <v>2601.9366507180453</v>
      </c>
      <c r="AK25" s="42">
        <v>8.2625301998689296E-2</v>
      </c>
      <c r="AL25" s="41">
        <v>2078.3036143750346</v>
      </c>
      <c r="AM25" s="42">
        <v>1.4829311676289177E-2</v>
      </c>
      <c r="AN25" s="41"/>
      <c r="AO25" s="42"/>
      <c r="AP25" s="41"/>
      <c r="AQ25" s="42"/>
      <c r="AR25" s="41"/>
      <c r="AS25" s="42"/>
      <c r="AT25" s="41"/>
      <c r="AU25" s="42"/>
      <c r="AV25" s="41"/>
      <c r="AW25" s="42"/>
    </row>
    <row r="26" spans="1:49" x14ac:dyDescent="0.2">
      <c r="A26" t="s">
        <v>27</v>
      </c>
      <c r="B26" s="33">
        <v>5036.2953101960647</v>
      </c>
      <c r="C26" s="34">
        <v>74.905331803938267</v>
      </c>
      <c r="D26" s="33">
        <v>5088.3421544519479</v>
      </c>
      <c r="E26" s="34">
        <v>70.005931133106301</v>
      </c>
      <c r="F26" s="33">
        <v>5136.4612043546849</v>
      </c>
      <c r="G26" s="34">
        <v>65.064606893985697</v>
      </c>
      <c r="H26" s="33">
        <v>5180.2566308714859</v>
      </c>
      <c r="I26" s="34">
        <v>60.084630913067457</v>
      </c>
      <c r="J26" s="33">
        <v>5219.1986154067017</v>
      </c>
      <c r="K26" s="34">
        <v>55.070363265278573</v>
      </c>
      <c r="L26" s="33">
        <v>5252.5848595940188</v>
      </c>
      <c r="M26" s="34">
        <v>50.02802610451338</v>
      </c>
      <c r="N26" s="33">
        <v>5279.4930150879954</v>
      </c>
      <c r="O26" s="34">
        <v>44.966079588848785</v>
      </c>
      <c r="P26" s="33">
        <v>5298.7012319015248</v>
      </c>
      <c r="Q26" s="34">
        <v>39.896981831725483</v>
      </c>
      <c r="R26" s="33">
        <v>5308.58026889146</v>
      </c>
      <c r="S26" s="34">
        <v>34.838774141094312</v>
      </c>
      <c r="T26" s="33">
        <v>5306.9254785669955</v>
      </c>
      <c r="U26" s="34">
        <v>29.817752159559546</v>
      </c>
      <c r="V26" s="33">
        <v>5290.6978710594713</v>
      </c>
      <c r="W26" s="34">
        <v>24.872446080352727</v>
      </c>
      <c r="X26" s="33">
        <v>5255.5994440379227</v>
      </c>
      <c r="Y26" s="34">
        <v>20.059150388177887</v>
      </c>
      <c r="Z26" s="33">
        <v>5195.3524795987114</v>
      </c>
      <c r="AA26" s="34">
        <v>15.459528510474982</v>
      </c>
      <c r="AB26" s="33">
        <v>5100.4083131564703</v>
      </c>
      <c r="AC26" s="34">
        <v>11.190057014240168</v>
      </c>
      <c r="AD26" s="33">
        <v>4955.5256634686721</v>
      </c>
      <c r="AE26" s="34">
        <v>7.4098403651650981</v>
      </c>
      <c r="AF26" s="33">
        <v>4735.0978737609166</v>
      </c>
      <c r="AG26" s="34">
        <v>4.3150277633045668</v>
      </c>
      <c r="AH26" s="33">
        <v>4394.3832561429272</v>
      </c>
      <c r="AI26" s="34">
        <v>2.0907447443847653</v>
      </c>
      <c r="AJ26" s="33">
        <v>3855.5993091402006</v>
      </c>
      <c r="AK26" s="34">
        <v>0.79156356766146918</v>
      </c>
      <c r="AL26" s="33">
        <v>2996.6808797395565</v>
      </c>
      <c r="AM26" s="34">
        <v>0.22629359823362111</v>
      </c>
      <c r="AN26" s="33"/>
      <c r="AO26" s="34"/>
      <c r="AP26" s="33"/>
      <c r="AQ26" s="34"/>
      <c r="AR26" s="33"/>
      <c r="AS26" s="34"/>
      <c r="AT26" s="33"/>
      <c r="AU26" s="34"/>
      <c r="AV26" s="33"/>
      <c r="AW26" s="34"/>
    </row>
    <row r="27" spans="1:49" x14ac:dyDescent="0.2">
      <c r="A27" t="s">
        <v>2</v>
      </c>
      <c r="B27" s="35">
        <v>6425.1981589999841</v>
      </c>
      <c r="C27" s="36">
        <v>273.22915400000028</v>
      </c>
      <c r="D27" s="35">
        <v>6444.2875713705016</v>
      </c>
      <c r="E27" s="36">
        <v>254.13970660023816</v>
      </c>
      <c r="F27" s="35">
        <v>6463.2253945254688</v>
      </c>
      <c r="G27" s="36">
        <v>235.20188080914667</v>
      </c>
      <c r="H27" s="35">
        <v>6482.0215323905331</v>
      </c>
      <c r="I27" s="36">
        <v>216.40577871377778</v>
      </c>
      <c r="J27" s="35">
        <v>6500.6813581015576</v>
      </c>
      <c r="K27" s="36">
        <v>197.74614609271629</v>
      </c>
      <c r="L27" s="35">
        <v>6519.2031444100567</v>
      </c>
      <c r="M27" s="36">
        <v>179.22416758395252</v>
      </c>
      <c r="N27" s="35">
        <v>6537.5802113704558</v>
      </c>
      <c r="O27" s="36">
        <v>160.84710058514875</v>
      </c>
      <c r="P27" s="35">
        <v>6555.7924763822339</v>
      </c>
      <c r="Q27" s="36">
        <v>142.63483493425406</v>
      </c>
      <c r="R27" s="35">
        <v>6573.803772133534</v>
      </c>
      <c r="S27" s="36">
        <v>124.62353429361124</v>
      </c>
      <c r="T27" s="35">
        <v>6591.5536691032748</v>
      </c>
      <c r="U27" s="36">
        <v>106.87363430846159</v>
      </c>
      <c r="V27" s="35">
        <v>6608.9447133995418</v>
      </c>
      <c r="W27" s="36">
        <v>89.482589677663</v>
      </c>
      <c r="X27" s="35">
        <v>6625.824487420321</v>
      </c>
      <c r="Y27" s="36">
        <v>72.602822539508807</v>
      </c>
      <c r="Z27" s="35">
        <v>6641.9593328796618</v>
      </c>
      <c r="AA27" s="36">
        <v>56.467983204007183</v>
      </c>
      <c r="AB27" s="35">
        <v>6656.9987155852477</v>
      </c>
      <c r="AC27" s="36">
        <v>41.428588454197353</v>
      </c>
      <c r="AD27" s="35">
        <v>6670.4393201506236</v>
      </c>
      <c r="AE27" s="36">
        <v>27.987987292780645</v>
      </c>
      <c r="AF27" s="35">
        <v>6681.6240102220863</v>
      </c>
      <c r="AG27" s="36">
        <v>16.803326344470072</v>
      </c>
      <c r="AH27" s="35">
        <v>6689.8765393035374</v>
      </c>
      <c r="AI27" s="36">
        <v>8.5507780751897577</v>
      </c>
      <c r="AJ27" s="35">
        <v>6694.8977841408705</v>
      </c>
      <c r="AK27" s="36">
        <v>3.5295107287461613</v>
      </c>
      <c r="AL27" s="35">
        <v>6697.2077465267075</v>
      </c>
      <c r="AM27" s="36">
        <v>1.219531075231024</v>
      </c>
      <c r="AN27" s="35"/>
      <c r="AO27" s="36"/>
      <c r="AP27" s="35"/>
      <c r="AQ27" s="36"/>
      <c r="AR27" s="35"/>
      <c r="AS27" s="36"/>
      <c r="AT27" s="35"/>
      <c r="AU27" s="36"/>
      <c r="AV27" s="35"/>
      <c r="AW27" s="36"/>
    </row>
    <row r="28" spans="1:49" x14ac:dyDescent="0.2">
      <c r="A28" t="s">
        <v>35</v>
      </c>
      <c r="B28" s="41">
        <v>13763.097675999999</v>
      </c>
      <c r="C28" s="42">
        <v>382.36647900000042</v>
      </c>
      <c r="D28" s="41">
        <v>13857.711871111153</v>
      </c>
      <c r="E28" s="42">
        <v>356.13306998668139</v>
      </c>
      <c r="F28" s="41">
        <v>13945.965942663934</v>
      </c>
      <c r="G28" s="42">
        <v>329.98308434362673</v>
      </c>
      <c r="H28" s="41">
        <v>14027.486601115294</v>
      </c>
      <c r="I28" s="42">
        <v>303.9163290795716</v>
      </c>
      <c r="J28" s="41">
        <v>14101.701436392215</v>
      </c>
      <c r="K28" s="42">
        <v>277.93768953299173</v>
      </c>
      <c r="L28" s="41">
        <v>14167.780795628511</v>
      </c>
      <c r="M28" s="42">
        <v>252.06012775844621</v>
      </c>
      <c r="N28" s="41">
        <v>14224.567719023096</v>
      </c>
      <c r="O28" s="42">
        <v>226.30485860764975</v>
      </c>
      <c r="P28" s="41">
        <v>14270.444766767623</v>
      </c>
      <c r="Q28" s="42">
        <v>200.71049507400033</v>
      </c>
      <c r="R28" s="41">
        <v>14303.153532827149</v>
      </c>
      <c r="S28" s="42">
        <v>175.33892430753178</v>
      </c>
      <c r="T28" s="41">
        <v>14319.498557024051</v>
      </c>
      <c r="U28" s="42">
        <v>150.2871278707093</v>
      </c>
      <c r="V28" s="41">
        <v>14314.868444921831</v>
      </c>
      <c r="W28" s="42">
        <v>125.70569846240181</v>
      </c>
      <c r="X28" s="41">
        <v>14282.414950430802</v>
      </c>
      <c r="Y28" s="42">
        <v>101.82491844938538</v>
      </c>
      <c r="Z28" s="41">
        <v>14211.580043290272</v>
      </c>
      <c r="AA28" s="42">
        <v>78.99246940788349</v>
      </c>
      <c r="AB28" s="41">
        <v>14085.277905804995</v>
      </c>
      <c r="AC28" s="42">
        <v>57.723788612388823</v>
      </c>
      <c r="AD28" s="41">
        <v>13874.130383523838</v>
      </c>
      <c r="AE28" s="42">
        <v>38.751358324033383</v>
      </c>
      <c r="AF28" s="41">
        <v>13523.819613333517</v>
      </c>
      <c r="AG28" s="42">
        <v>23.020571742557845</v>
      </c>
      <c r="AH28" s="41">
        <v>12925.730791847156</v>
      </c>
      <c r="AI28" s="42">
        <v>11.487361212732308</v>
      </c>
      <c r="AJ28" s="41">
        <v>11847.867250258207</v>
      </c>
      <c r="AK28" s="42">
        <v>4.5435587589209678</v>
      </c>
      <c r="AL28" s="41">
        <v>9789.6107276838156</v>
      </c>
      <c r="AM28" s="42">
        <v>1.3808905775923832</v>
      </c>
      <c r="AN28" s="41"/>
      <c r="AO28" s="42"/>
      <c r="AP28" s="41"/>
      <c r="AQ28" s="42"/>
      <c r="AR28" s="41"/>
      <c r="AS28" s="42"/>
      <c r="AT28" s="41"/>
      <c r="AU28" s="42"/>
      <c r="AV28" s="41"/>
      <c r="AW28" s="42"/>
    </row>
    <row r="29" spans="1:49" x14ac:dyDescent="0.2">
      <c r="A29" t="s">
        <v>53</v>
      </c>
      <c r="B29" s="35">
        <v>14362.768557999996</v>
      </c>
      <c r="C29" s="36">
        <v>817.26651000000095</v>
      </c>
      <c r="D29" s="35">
        <v>14438.251290143944</v>
      </c>
      <c r="E29" s="36">
        <v>753.07359307204956</v>
      </c>
      <c r="F29" s="35">
        <v>14504.858423640497</v>
      </c>
      <c r="G29" s="36">
        <v>689.75413524035423</v>
      </c>
      <c r="H29" s="35">
        <v>14561.905732968122</v>
      </c>
      <c r="I29" s="36">
        <v>627.36766356989995</v>
      </c>
      <c r="J29" s="35">
        <v>14608.441661884111</v>
      </c>
      <c r="K29" s="36">
        <v>565.99330564260026</v>
      </c>
      <c r="L29" s="35">
        <v>14643.173937023465</v>
      </c>
      <c r="M29" s="36">
        <v>505.73738294549895</v>
      </c>
      <c r="N29" s="35">
        <v>14664.370527681507</v>
      </c>
      <c r="O29" s="36">
        <v>446.73328827341015</v>
      </c>
      <c r="P29" s="35">
        <v>14669.695056228129</v>
      </c>
      <c r="Q29" s="36">
        <v>389.16115994169047</v>
      </c>
      <c r="R29" s="35">
        <v>14655.974679435059</v>
      </c>
      <c r="S29" s="36">
        <v>333.25831016825555</v>
      </c>
      <c r="T29" s="35">
        <v>14618.831892388447</v>
      </c>
      <c r="U29" s="36">
        <v>279.34024099754896</v>
      </c>
      <c r="V29" s="35">
        <v>14552.097743656977</v>
      </c>
      <c r="W29" s="36">
        <v>227.8308158849446</v>
      </c>
      <c r="X29" s="35">
        <v>14446.830787945722</v>
      </c>
      <c r="Y29" s="36">
        <v>179.30033807739537</v>
      </c>
      <c r="Z29" s="35">
        <v>14289.60899834777</v>
      </c>
      <c r="AA29" s="36">
        <v>134.51347695362466</v>
      </c>
      <c r="AB29" s="35">
        <v>14059.393154177904</v>
      </c>
      <c r="AC29" s="36">
        <v>94.478893744076032</v>
      </c>
      <c r="AD29" s="35">
        <v>13721.460976155195</v>
      </c>
      <c r="AE29" s="36">
        <v>60.460991481000903</v>
      </c>
      <c r="AF29" s="35">
        <v>13215.086768593408</v>
      </c>
      <c r="AG29" s="36">
        <v>33.849380860475158</v>
      </c>
      <c r="AH29" s="35">
        <v>12427.776822349369</v>
      </c>
      <c r="AI29" s="36">
        <v>15.671051933727027</v>
      </c>
      <c r="AJ29" s="35">
        <v>11142.386742508881</v>
      </c>
      <c r="AK29" s="36">
        <v>5.6385523046095622</v>
      </c>
      <c r="AL29" s="35">
        <v>8945.3182509838807</v>
      </c>
      <c r="AM29" s="36">
        <v>1.5336223362986119</v>
      </c>
      <c r="AN29" s="35"/>
      <c r="AO29" s="36"/>
      <c r="AP29" s="35"/>
      <c r="AQ29" s="36"/>
      <c r="AR29" s="35"/>
      <c r="AS29" s="36"/>
      <c r="AT29" s="35"/>
      <c r="AU29" s="36"/>
      <c r="AV29" s="35"/>
      <c r="AW29" s="36"/>
    </row>
    <row r="30" spans="1:49" x14ac:dyDescent="0.2">
      <c r="A30" t="s">
        <v>48</v>
      </c>
      <c r="B30" s="119">
        <v>2924829.9599999995</v>
      </c>
      <c r="D30" s="119">
        <v>3025143.4804205573</v>
      </c>
      <c r="F30" s="119">
        <v>3125894.9028801918</v>
      </c>
      <c r="H30" s="119">
        <v>3227225.4820139664</v>
      </c>
      <c r="J30" s="119">
        <v>3329276.8739291979</v>
      </c>
      <c r="L30" s="119">
        <v>3432177.6701492616</v>
      </c>
      <c r="N30" s="119">
        <v>3536072.3131506559</v>
      </c>
      <c r="P30" s="119">
        <v>3641102.5508024604</v>
      </c>
      <c r="R30" s="119">
        <v>3747427.8393877563</v>
      </c>
      <c r="T30" s="119">
        <v>3855235.6090340503</v>
      </c>
      <c r="V30" s="119">
        <v>3964759.8868101574</v>
      </c>
      <c r="X30" s="119">
        <v>4076289.658366634</v>
      </c>
      <c r="Z30" s="119">
        <v>4190119.1390037946</v>
      </c>
      <c r="AB30" s="119">
        <v>4306242.8275181465</v>
      </c>
      <c r="AD30" s="119">
        <v>4423104.3972114762</v>
      </c>
      <c r="AF30" s="119">
        <v>4532999.2337595951</v>
      </c>
      <c r="AH30" s="119">
        <v>4606420.6979622208</v>
      </c>
      <c r="AJ30" s="119">
        <v>4544716.5275154682</v>
      </c>
      <c r="AL30" s="119">
        <v>4067493.1774550136</v>
      </c>
      <c r="AN30" s="119"/>
      <c r="AP30" s="119"/>
      <c r="AR30" s="119"/>
      <c r="AT30" s="119"/>
      <c r="AV30" s="119"/>
    </row>
    <row r="31" spans="1:49" x14ac:dyDescent="0.2">
      <c r="A31" t="s">
        <v>47</v>
      </c>
      <c r="B31" s="80">
        <v>1</v>
      </c>
      <c r="D31" s="80">
        <v>1.0025765807484963</v>
      </c>
      <c r="F31" s="80">
        <v>1.0042488516071926</v>
      </c>
      <c r="H31" s="80">
        <v>1.0049382337913457</v>
      </c>
      <c r="J31" s="80">
        <v>1.0045427872579873</v>
      </c>
      <c r="L31" s="80">
        <v>1.0029306674296194</v>
      </c>
      <c r="N31" s="80">
        <v>0.99993329083427851</v>
      </c>
      <c r="P31" s="80">
        <v>0.99533154788388523</v>
      </c>
      <c r="R31" s="80">
        <v>0.98883881825832665</v>
      </c>
      <c r="T31" s="80">
        <v>0.98007393507123974</v>
      </c>
      <c r="V31" s="80">
        <v>0.96851936077842193</v>
      </c>
      <c r="X31" s="80">
        <v>0.95345376283623329</v>
      </c>
      <c r="Z31" s="80">
        <v>0.93383910145419968</v>
      </c>
      <c r="AB31" s="80">
        <v>0.90812246661162488</v>
      </c>
      <c r="AD31" s="80">
        <v>0.87387484480273492</v>
      </c>
      <c r="AF31" s="80">
        <v>0.827111301457783</v>
      </c>
      <c r="AH31" s="80">
        <v>0.76101403077933727</v>
      </c>
      <c r="AJ31" s="80">
        <v>0.66370295038476146</v>
      </c>
      <c r="AL31" s="80">
        <v>0.5153664064184037</v>
      </c>
      <c r="AN31" s="80"/>
      <c r="AP31" s="80"/>
      <c r="AR31" s="80"/>
      <c r="AT31" s="80"/>
      <c r="AV31" s="80"/>
    </row>
    <row r="32" spans="1:49" x14ac:dyDescent="0.2">
      <c r="A32" t="s">
        <v>64</v>
      </c>
      <c r="B32" s="86">
        <v>14734457.915000005</v>
      </c>
      <c r="D32" s="86">
        <v>14809031.390160099</v>
      </c>
      <c r="F32" s="86">
        <v>14874513.278707316</v>
      </c>
      <c r="H32" s="86">
        <v>14930158.41162803</v>
      </c>
      <c r="J32" s="86">
        <v>14974956.164912581</v>
      </c>
      <c r="L32" s="86">
        <v>15007560.57227111</v>
      </c>
      <c r="N32" s="86">
        <v>15026215.331560345</v>
      </c>
      <c r="P32" s="86">
        <v>15028605.543555822</v>
      </c>
      <c r="R32" s="86">
        <v>15011674.198168578</v>
      </c>
      <c r="T32" s="86">
        <v>14971328.136999223</v>
      </c>
      <c r="V32" s="86">
        <v>14901975.489329945</v>
      </c>
      <c r="X32" s="86">
        <v>14795751.517778199</v>
      </c>
      <c r="Z32" s="86">
        <v>14641141.194767732</v>
      </c>
      <c r="AB32" s="86">
        <v>14420323.23762149</v>
      </c>
      <c r="AD32" s="86">
        <v>14103621.284823017</v>
      </c>
      <c r="AF32" s="86">
        <v>13636950.273929337</v>
      </c>
      <c r="AH32" s="86">
        <v>12912091.495573943</v>
      </c>
      <c r="AJ32" s="86">
        <v>11698769.724256355</v>
      </c>
      <c r="AL32" s="86">
        <v>9519985.8224607054</v>
      </c>
      <c r="AN32" s="86"/>
      <c r="AP32" s="86"/>
      <c r="AR32" s="86"/>
      <c r="AT32" s="86"/>
      <c r="AV32" s="86"/>
    </row>
    <row r="33" spans="1:49 16319:16321" x14ac:dyDescent="0.2">
      <c r="A33" t="s">
        <v>54</v>
      </c>
      <c r="B33" s="117">
        <v>7019665.6909999885</v>
      </c>
      <c r="D33" s="117">
        <v>7055193.5776938815</v>
      </c>
      <c r="F33" s="117">
        <v>7086389.9391244873</v>
      </c>
      <c r="H33" s="117">
        <v>7112899.6749070864</v>
      </c>
      <c r="J33" s="117">
        <v>7134242.5732107433</v>
      </c>
      <c r="L33" s="117">
        <v>7149774.96036838</v>
      </c>
      <c r="N33" s="117">
        <v>7158662.3131972607</v>
      </c>
      <c r="P33" s="117">
        <v>7159801.0462068571</v>
      </c>
      <c r="R33" s="117">
        <v>7151734.781284702</v>
      </c>
      <c r="T33" s="117">
        <v>7132513.4456274658</v>
      </c>
      <c r="V33" s="117">
        <v>7099473.0325152799</v>
      </c>
      <c r="X33" s="117">
        <v>7048866.6627289774</v>
      </c>
      <c r="Z33" s="117">
        <v>6975208.5478027519</v>
      </c>
      <c r="AB33" s="117">
        <v>6870008.3153625485</v>
      </c>
      <c r="AD33" s="117">
        <v>6719127.8495604685</v>
      </c>
      <c r="AF33" s="117">
        <v>6496800.4028042695</v>
      </c>
      <c r="AH33" s="117">
        <v>6151469.3098323727</v>
      </c>
      <c r="AJ33" s="117">
        <v>5573428.825308701</v>
      </c>
      <c r="AL33" s="117">
        <v>4535431.0446004365</v>
      </c>
      <c r="AN33" s="117"/>
      <c r="AP33" s="117"/>
      <c r="AR33" s="117"/>
      <c r="AT33" s="117"/>
      <c r="AV33" s="117"/>
    </row>
    <row r="34" spans="1:49 16319:16321" x14ac:dyDescent="0.2">
      <c r="A34" t="s">
        <v>75</v>
      </c>
      <c r="B34" s="117">
        <v>1136879.4410000162</v>
      </c>
      <c r="D34" s="117">
        <v>1142633.14289973</v>
      </c>
      <c r="F34" s="117">
        <v>1147685.5511261015</v>
      </c>
      <c r="H34" s="117">
        <v>1151979.2652906445</v>
      </c>
      <c r="J34" s="117">
        <v>1155435.0489706015</v>
      </c>
      <c r="L34" s="117">
        <v>1157951.4482554537</v>
      </c>
      <c r="N34" s="117">
        <v>1159390.8000313616</v>
      </c>
      <c r="P34" s="117">
        <v>1159575.2158191984</v>
      </c>
      <c r="R34" s="117">
        <v>1158268.8053534059</v>
      </c>
      <c r="T34" s="117">
        <v>1155155.7956438391</v>
      </c>
      <c r="V34" s="117">
        <v>1149804.704396866</v>
      </c>
      <c r="X34" s="117">
        <v>1141608.7319441354</v>
      </c>
      <c r="Z34" s="117">
        <v>1129679.3019829956</v>
      </c>
      <c r="AB34" s="117">
        <v>1112641.4697781901</v>
      </c>
      <c r="AD34" s="117">
        <v>1088205.4233990954</v>
      </c>
      <c r="AF34" s="117">
        <v>1052198.0742971899</v>
      </c>
      <c r="AH34" s="117">
        <v>996269.52378837485</v>
      </c>
      <c r="AJ34" s="117">
        <v>902652.19479283516</v>
      </c>
      <c r="AL34" s="117">
        <v>734541.86278557824</v>
      </c>
      <c r="AN34" s="117"/>
      <c r="AP34" s="117"/>
      <c r="AR34" s="117"/>
      <c r="AT34" s="117"/>
      <c r="AV34" s="117"/>
    </row>
    <row r="35" spans="1:49 16319:16321" x14ac:dyDescent="0.2">
      <c r="A35" t="s">
        <v>78</v>
      </c>
      <c r="B35" s="233">
        <v>1</v>
      </c>
      <c r="D35" s="233">
        <v>1.0024796846248345</v>
      </c>
      <c r="F35" s="233">
        <v>1.0052468562596391</v>
      </c>
      <c r="H35" s="233">
        <v>1.0083488880675544</v>
      </c>
      <c r="J35" s="233">
        <v>1.0118461361512519</v>
      </c>
      <c r="L35" s="233">
        <v>1.0158160957594682</v>
      </c>
      <c r="N35" s="233">
        <v>1.0203609044515414</v>
      </c>
      <c r="P35" s="233">
        <v>1.0256170089283336</v>
      </c>
      <c r="R35" s="233">
        <v>1.0317712843824947</v>
      </c>
      <c r="T35" s="233">
        <v>1.0390860786705816</v>
      </c>
      <c r="V35" s="233">
        <v>1.0479403969404493</v>
      </c>
      <c r="X35" s="233">
        <v>1.058899296083565</v>
      </c>
      <c r="Z35" s="233">
        <v>1.0728346803645707</v>
      </c>
      <c r="AB35" s="233">
        <v>1.0911405741881361</v>
      </c>
      <c r="AD35" s="233">
        <v>1.1161179422067644</v>
      </c>
      <c r="AF35" s="233">
        <v>1.1516264244583811</v>
      </c>
      <c r="AH35" s="233">
        <v>1.2039581353797788</v>
      </c>
      <c r="AJ35" s="233">
        <v>1.2819396927266629</v>
      </c>
      <c r="AL35" s="233">
        <v>1.3914498788457161</v>
      </c>
      <c r="AN35" s="233"/>
      <c r="AP35" s="233"/>
      <c r="AR35" s="233"/>
      <c r="AT35" s="233"/>
      <c r="AV35" s="233"/>
    </row>
    <row r="36" spans="1:49 16319:16321" x14ac:dyDescent="0.2">
      <c r="A36" t="s">
        <v>21</v>
      </c>
      <c r="B36" s="37">
        <v>0.47195767671988204</v>
      </c>
      <c r="C36" s="38">
        <v>0.31738834428178991</v>
      </c>
      <c r="D36" s="37">
        <v>0.47200553878723162</v>
      </c>
      <c r="E36" s="38">
        <v>0.32281953015112935</v>
      </c>
      <c r="F36" s="37">
        <v>0.47205470887189349</v>
      </c>
      <c r="G36" s="38">
        <v>0.3287752006035547</v>
      </c>
      <c r="H36" s="37">
        <v>0.47210550105817184</v>
      </c>
      <c r="I36" s="38">
        <v>0.33534200836506584</v>
      </c>
      <c r="J36" s="37">
        <v>0.47215828115320652</v>
      </c>
      <c r="K36" s="38">
        <v>0.3426260660473831</v>
      </c>
      <c r="L36" s="37">
        <v>0.47221340912990423</v>
      </c>
      <c r="M36" s="38">
        <v>0.35075827153481842</v>
      </c>
      <c r="N36" s="37">
        <v>0.47227132287202089</v>
      </c>
      <c r="O36" s="38">
        <v>0.3599040473901981</v>
      </c>
      <c r="P36" s="37">
        <v>0.47233243612792081</v>
      </c>
      <c r="Q36" s="38">
        <v>0.37027483529221822</v>
      </c>
      <c r="R36" s="37">
        <v>0.47239713444616038</v>
      </c>
      <c r="S36" s="38">
        <v>0.3821471687600736</v>
      </c>
      <c r="T36" s="37">
        <v>0.47246567850735877</v>
      </c>
      <c r="U36" s="38">
        <v>0.39589101887064776</v>
      </c>
      <c r="V36" s="37">
        <v>0.47253803717387938</v>
      </c>
      <c r="W36" s="38">
        <v>0.41201499987436391</v>
      </c>
      <c r="X36" s="37">
        <v>0.47261357398305459</v>
      </c>
      <c r="Y36" s="38">
        <v>0.43123997533274072</v>
      </c>
      <c r="Z36" s="37">
        <v>0.47269047553496141</v>
      </c>
      <c r="AA36" s="38">
        <v>0.45462303939893056</v>
      </c>
      <c r="AB36" s="37">
        <v>0.47276476026493625</v>
      </c>
      <c r="AC36" s="38">
        <v>0.48377119638200877</v>
      </c>
      <c r="AD36" s="37">
        <v>0.47282873380330065</v>
      </c>
      <c r="AE36" s="38">
        <v>0.52120961185087422</v>
      </c>
      <c r="AF36" s="37">
        <v>0.47286926669189916</v>
      </c>
      <c r="AG36" s="38">
        <v>0.57097856409433634</v>
      </c>
      <c r="AH36" s="37">
        <v>0.47286842251761263</v>
      </c>
      <c r="AI36" s="38">
        <v>0.63937266669078785</v>
      </c>
      <c r="AJ36" s="37">
        <v>0.47281291784942048</v>
      </c>
      <c r="AK36" s="38">
        <v>0.73478827771032384</v>
      </c>
      <c r="AL36" s="37">
        <v>0.47271492484559641</v>
      </c>
      <c r="AM36" s="38">
        <v>0.86189369442010488</v>
      </c>
      <c r="AN36" s="37"/>
      <c r="AO36" s="38"/>
      <c r="AP36" s="37"/>
      <c r="AQ36" s="38"/>
      <c r="AR36" s="37"/>
      <c r="AS36" s="38"/>
      <c r="AT36" s="37"/>
      <c r="AU36" s="38"/>
      <c r="AV36" s="37"/>
      <c r="AW36" s="38"/>
    </row>
    <row r="37" spans="1:49 16319:16321" x14ac:dyDescent="0.2">
      <c r="B37" s="39">
        <v>2.1403217525954421E-2</v>
      </c>
      <c r="C37" s="40">
        <v>0.34962461301992565</v>
      </c>
      <c r="D37" s="39">
        <v>2.0639498243055467E-2</v>
      </c>
      <c r="E37" s="40">
        <v>0.34359754726216107</v>
      </c>
      <c r="F37" s="39">
        <v>1.9871544079755561E-2</v>
      </c>
      <c r="G37" s="40">
        <v>0.33744873007953502</v>
      </c>
      <c r="H37" s="39">
        <v>1.909822312164542E-2</v>
      </c>
      <c r="I37" s="40">
        <v>0.33116426716212727</v>
      </c>
      <c r="J37" s="39">
        <v>1.8318332988750876E-2</v>
      </c>
      <c r="K37" s="40">
        <v>0.3247288273679147</v>
      </c>
      <c r="L37" s="39">
        <v>1.7530630616902753E-2</v>
      </c>
      <c r="M37" s="40">
        <v>0.31812574801338106</v>
      </c>
      <c r="N37" s="39">
        <v>1.6733656945401555E-2</v>
      </c>
      <c r="O37" s="40">
        <v>0.31133539424855611</v>
      </c>
      <c r="P37" s="39">
        <v>1.5925757805209058E-2</v>
      </c>
      <c r="Q37" s="40">
        <v>0.30433503330388062</v>
      </c>
      <c r="R37" s="39">
        <v>1.5104929889914956E-2</v>
      </c>
      <c r="S37" s="40">
        <v>0.29709712345192402</v>
      </c>
      <c r="T37" s="39">
        <v>1.4268692231141375E-2</v>
      </c>
      <c r="U37" s="40">
        <v>0.28958759969211062</v>
      </c>
      <c r="V37" s="39">
        <v>1.3413891149416084E-2</v>
      </c>
      <c r="W37" s="40">
        <v>0.28176327775744442</v>
      </c>
      <c r="X37" s="39">
        <v>1.2536470818991119E-2</v>
      </c>
      <c r="Y37" s="40">
        <v>0.27356849873173855</v>
      </c>
      <c r="Z37" s="39">
        <v>1.1631233388425819E-2</v>
      </c>
      <c r="AA37" s="40">
        <v>0.26493103465899892</v>
      </c>
      <c r="AB37" s="39">
        <v>1.0691747924339358E-2</v>
      </c>
      <c r="AC37" s="40">
        <v>0.25575854178377933</v>
      </c>
      <c r="AD37" s="39">
        <v>9.7109331971135786E-3</v>
      </c>
      <c r="AE37" s="40">
        <v>0.24594070459887529</v>
      </c>
      <c r="AF37" s="39">
        <v>8.6837627503453686E-3</v>
      </c>
      <c r="AG37" s="40">
        <v>0.23537292642851534</v>
      </c>
      <c r="AH37" s="39">
        <v>7.615333190231363E-3</v>
      </c>
      <c r="AI37" s="40">
        <v>0.22404107481981653</v>
      </c>
      <c r="AJ37" s="39">
        <v>6.5386887363701402E-3</v>
      </c>
      <c r="AK37" s="40">
        <v>0.21223286412963752</v>
      </c>
      <c r="AL37" s="39">
        <v>5.5438027804455489E-3</v>
      </c>
      <c r="AM37" s="40">
        <v>0.20093426505738207</v>
      </c>
      <c r="AN37" s="39"/>
      <c r="AO37" s="40"/>
      <c r="AP37" s="39"/>
      <c r="AQ37" s="40"/>
      <c r="AR37" s="39"/>
      <c r="AS37" s="40"/>
      <c r="AT37" s="39"/>
      <c r="AU37" s="40"/>
      <c r="AV37" s="39"/>
      <c r="AW37" s="40"/>
    </row>
    <row r="38" spans="1:49 16319:16321" x14ac:dyDescent="0.2">
      <c r="A38" t="s">
        <v>22</v>
      </c>
      <c r="B38" s="37">
        <v>0.18079094942242827</v>
      </c>
      <c r="C38" s="38">
        <v>6.0565413429233668E-2</v>
      </c>
      <c r="D38" s="37">
        <v>0.18168723457285987</v>
      </c>
      <c r="E38" s="38">
        <v>6.0925183736719013E-2</v>
      </c>
      <c r="F38" s="37">
        <v>0.18254550725442981</v>
      </c>
      <c r="G38" s="38">
        <v>6.1282964846598481E-2</v>
      </c>
      <c r="H38" s="37">
        <v>0.1833623774529598</v>
      </c>
      <c r="I38" s="38">
        <v>6.1639335213901802E-2</v>
      </c>
      <c r="J38" s="37">
        <v>0.18413313478629401</v>
      </c>
      <c r="K38" s="38">
        <v>6.1994813676749562E-2</v>
      </c>
      <c r="L38" s="37">
        <v>0.18485138346559912</v>
      </c>
      <c r="M38" s="38">
        <v>6.234988111439662E-2</v>
      </c>
      <c r="N38" s="37">
        <v>0.18550862136609372</v>
      </c>
      <c r="O38" s="38">
        <v>6.2705241576551954E-2</v>
      </c>
      <c r="P38" s="37">
        <v>0.18609357143668528</v>
      </c>
      <c r="Q38" s="38">
        <v>6.3061532994336561E-2</v>
      </c>
      <c r="R38" s="37">
        <v>0.18659128866887467</v>
      </c>
      <c r="S38" s="38">
        <v>6.3419588479265293E-2</v>
      </c>
      <c r="T38" s="37">
        <v>0.18698181451238258</v>
      </c>
      <c r="U38" s="38">
        <v>6.3780611990395197E-2</v>
      </c>
      <c r="V38" s="37">
        <v>0.18723822859078529</v>
      </c>
      <c r="W38" s="38">
        <v>6.4146365794679971E-2</v>
      </c>
      <c r="X38" s="37">
        <v>0.18732348813429095</v>
      </c>
      <c r="Y38" s="38">
        <v>6.4519684189336041E-2</v>
      </c>
      <c r="Z38" s="37">
        <v>0.18718518490110572</v>
      </c>
      <c r="AA38" s="38">
        <v>6.4905292349342461E-2</v>
      </c>
      <c r="AB38" s="37">
        <v>0.1867461464003782</v>
      </c>
      <c r="AC38" s="38">
        <v>6.5310852841037242E-2</v>
      </c>
      <c r="AD38" s="37">
        <v>0.18588654425621484</v>
      </c>
      <c r="AE38" s="38">
        <v>6.5748112780546888E-2</v>
      </c>
      <c r="AF38" s="37">
        <v>0.18440931910664166</v>
      </c>
      <c r="AG38" s="38">
        <v>6.6231473235740967E-2</v>
      </c>
      <c r="AH38" s="37">
        <v>0.18198229197665086</v>
      </c>
      <c r="AI38" s="38">
        <v>6.6765500410046766E-2</v>
      </c>
      <c r="AJ38" s="37">
        <v>0.17810895986994316</v>
      </c>
      <c r="AK38" s="38">
        <v>6.7301621350257038E-2</v>
      </c>
      <c r="AL38" s="37">
        <v>0.17246484959240438</v>
      </c>
      <c r="AM38" s="38">
        <v>6.7604918777133413E-2</v>
      </c>
      <c r="AN38" s="37"/>
      <c r="AO38" s="38"/>
      <c r="AP38" s="37"/>
      <c r="AQ38" s="38"/>
      <c r="AR38" s="37"/>
      <c r="AS38" s="38"/>
      <c r="AT38" s="37"/>
      <c r="AU38" s="38"/>
      <c r="AV38" s="37"/>
      <c r="AW38" s="38"/>
    </row>
    <row r="39" spans="1:49 16319:16321" x14ac:dyDescent="0.2">
      <c r="A39" t="s">
        <v>23</v>
      </c>
      <c r="B39" s="39">
        <v>0.23064923795098566</v>
      </c>
      <c r="C39" s="40">
        <v>0.22092201281804777</v>
      </c>
      <c r="D39" s="39">
        <v>0.23010339165383156</v>
      </c>
      <c r="E39" s="40">
        <v>0.2211742357940456</v>
      </c>
      <c r="F39" s="39">
        <v>0.22969758968355555</v>
      </c>
      <c r="G39" s="40">
        <v>0.22153163265807943</v>
      </c>
      <c r="H39" s="39">
        <v>0.22944015394859926</v>
      </c>
      <c r="I39" s="40">
        <v>0.22200533037580761</v>
      </c>
      <c r="J39" s="39">
        <v>0.22934379871665192</v>
      </c>
      <c r="K39" s="40">
        <v>0.22261039796050511</v>
      </c>
      <c r="L39" s="39">
        <v>0.2294267970057367</v>
      </c>
      <c r="M39" s="40">
        <v>0.22336690874713516</v>
      </c>
      <c r="N39" s="39">
        <v>0.22971476401534269</v>
      </c>
      <c r="O39" s="40">
        <v>0.22430143769039931</v>
      </c>
      <c r="P39" s="39">
        <v>0.23024337137232923</v>
      </c>
      <c r="Q39" s="40">
        <v>0.22544991967777631</v>
      </c>
      <c r="R39" s="39">
        <v>0.23106262977442887</v>
      </c>
      <c r="S39" s="40">
        <v>0.22686140527573034</v>
      </c>
      <c r="T39" s="39">
        <v>0.2322438237511279</v>
      </c>
      <c r="U39" s="40">
        <v>0.22860428128033872</v>
      </c>
      <c r="V39" s="39">
        <v>0.23389109171406239</v>
      </c>
      <c r="W39" s="40">
        <v>0.23077677648491352</v>
      </c>
      <c r="X39" s="39">
        <v>0.23616193889303924</v>
      </c>
      <c r="Y39" s="40">
        <v>0.23352490463725098</v>
      </c>
      <c r="Z39" s="39">
        <v>0.23930549288288808</v>
      </c>
      <c r="AA39" s="40">
        <v>0.23707520936039461</v>
      </c>
      <c r="AB39" s="39">
        <v>0.24373908526520638</v>
      </c>
      <c r="AC39" s="40">
        <v>0.24179827149233735</v>
      </c>
      <c r="AD39" s="39">
        <v>0.25021460851958582</v>
      </c>
      <c r="AE39" s="40">
        <v>0.24833967458693754</v>
      </c>
      <c r="AF39" s="39">
        <v>0.26021716279181967</v>
      </c>
      <c r="AG39" s="40">
        <v>0.25791469258193006</v>
      </c>
      <c r="AH39" s="39">
        <v>0.27704435291605928</v>
      </c>
      <c r="AI39" s="40">
        <v>0.27305914728165259</v>
      </c>
      <c r="AJ39" s="39">
        <v>0.30927002137958881</v>
      </c>
      <c r="AK39" s="40">
        <v>0.30009187426288203</v>
      </c>
      <c r="AL39" s="39">
        <v>0.38543741327378134</v>
      </c>
      <c r="AM39" s="40">
        <v>0.36433332595678469</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9.9771890281065451E-2</v>
      </c>
      <c r="E42" s="135"/>
      <c r="F42" s="177">
        <f>10.8%+(1-10.8%)*(1-SUM(F26:G26)/SUM($B$26:$C$26))</f>
        <v>9.2236570502095563E-2</v>
      </c>
      <c r="G42" s="135"/>
      <c r="H42" s="177">
        <f>10.8%+(1-10.8%)*(1-SUM(H26:I26)/SUM($B$26:$C$26))</f>
        <v>8.5462549229383539E-2</v>
      </c>
      <c r="I42" s="135"/>
      <c r="J42" s="177">
        <f>10.8%+(1-10.8%)*(1-SUM(J26:K26)/SUM($B$26:$C$26))</f>
        <v>7.9541528791464866E-2</v>
      </c>
      <c r="K42" s="135"/>
      <c r="L42" s="177">
        <f>10.8%+(1-10.8%)*(1-SUM(L26:M26)/SUM($B$26:$C$26))</f>
        <v>7.4594987491573395E-2</v>
      </c>
      <c r="M42" s="135"/>
      <c r="N42" s="177">
        <f>10.8%+(1-10.8%)*(1-SUM(N26:O26)/SUM($B$26:$C$26))</f>
        <v>7.0782415891756809E-2</v>
      </c>
      <c r="O42" s="135"/>
      <c r="P42" s="177">
        <f>10.8%+(1-10.8%)*(1-SUM(P26:Q26)/SUM($B$26:$C$26))</f>
        <v>6.831487546795148E-2</v>
      </c>
      <c r="Q42" s="135"/>
      <c r="R42" s="177">
        <f>10.8%+(1-10.8%)*(1-SUM(R26:S26)/SUM($B$26:$C$26))</f>
        <v>6.7473550691999035E-2</v>
      </c>
      <c r="S42" s="135"/>
      <c r="T42" s="177">
        <f>10.8%+(1-10.8%)*(1-SUM(T26:U26)/SUM($B$26:$C$26))</f>
        <v>6.8638604657601215E-2</v>
      </c>
      <c r="U42" s="135"/>
      <c r="V42" s="177">
        <f>10.8%+(1-10.8%)*(1-SUM(V26:W26)/SUM($B$26:$C$26))</f>
        <v>7.2333673633014267E-2</v>
      </c>
      <c r="W42" s="135"/>
      <c r="X42" s="177">
        <f>10.8%+(1-10.8%)*(1-SUM(X26:Y26)/SUM($B$26:$C$26))</f>
        <v>7.9299014881427848E-2</v>
      </c>
      <c r="Y42" s="162"/>
      <c r="Z42" s="177">
        <f>10.8%+(1-10.8%)*(1-SUM(Z26:AA26)/SUM($B$26:$C$26))</f>
        <v>9.0615955664259853E-2</v>
      </c>
      <c r="AA42" s="135"/>
      <c r="AB42" s="177">
        <f>10.8%+(1-10.8%)*(1-SUM(AB26:AC26)/SUM($B$26:$C$26))</f>
        <v>0.10793058900381342</v>
      </c>
      <c r="AC42" s="135"/>
      <c r="AD42" s="177">
        <f>10.8%+(1-10.8%)*(1-SUM(AD26:AE26)/SUM($B$26:$C$26))</f>
        <v>0.13387503651440896</v>
      </c>
      <c r="AE42" s="135"/>
      <c r="AF42" s="177">
        <f>10.8%+(1-10.8%)*(1-SUM(AF26:AG26)/SUM($B$26:$C$26))</f>
        <v>0.17288390648946023</v>
      </c>
      <c r="AG42" s="135"/>
      <c r="AH42" s="177">
        <f>10.8%+(1-10.8%)*(1-SUM(AH26:AI26)/SUM($B$26:$C$26))</f>
        <v>0.23273315147007295</v>
      </c>
      <c r="AI42" s="135"/>
      <c r="AJ42" s="177">
        <f>10.8%+(1-10.8%)*(1-SUM(AJ26:AK26)/SUM($B$26:$C$26))</f>
        <v>0.32698774722539836</v>
      </c>
      <c r="AK42" s="135"/>
      <c r="AL42" s="177">
        <f>10.8%+(1-10.8%)*(1-SUM(AL26:AM26)/SUM($B$26:$C$26))</f>
        <v>0.47698370972749093</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0.56058995943838996</v>
      </c>
      <c r="C43" s="135"/>
      <c r="D43" s="162">
        <f t="array" ref="D43">SUM(D15:E15*D27:E27)/SUM(D15:E15*D27:E27,D13:E13*D26:E26)</f>
        <v>0.56116870115261475</v>
      </c>
      <c r="E43" s="135"/>
      <c r="F43" s="162">
        <f t="array" ref="F43">SUM(F15:G15*F27:G27)/SUM(F15:G15*F27:G27,F13:G13*F26:G26)</f>
        <v>0.55494196137773744</v>
      </c>
      <c r="G43" s="135"/>
      <c r="H43" s="162">
        <f t="array" ref="H43">SUM(H15:I15*H27:I27)/SUM(H15:I15*H27:I27,H13:I13*H26:I26)</f>
        <v>0.54848136554199223</v>
      </c>
      <c r="I43" s="135"/>
      <c r="J43" s="162">
        <f t="array" ref="J43">SUM(J15:K15*J27:K27)/SUM(J15:K15*J27:K27,J13:K13*J26:K26)</f>
        <v>0.54174006850513168</v>
      </c>
      <c r="K43" s="135"/>
      <c r="L43" s="162">
        <f t="array" ref="L43">SUM(L15:M15*L27:M27)/SUM(L15:M15*L27:M27,L13:M13*L26:M26)</f>
        <v>0.53466078970235764</v>
      </c>
      <c r="M43" s="135"/>
      <c r="N43" s="162">
        <f t="array" ref="N43">SUM(N15:O15*N27:O27)/SUM(N15:O15*N27:O27,N13:O13*N26:O26)</f>
        <v>0.52717125202006554</v>
      </c>
      <c r="O43" s="135"/>
      <c r="P43" s="162">
        <f t="array" ref="P43">SUM(P15:Q15*P27:Q27)/SUM(P15:Q15*P27:Q27,P13:Q13*P26:Q26)</f>
        <v>0.51917841882380367</v>
      </c>
      <c r="Q43" s="135"/>
      <c r="R43" s="162">
        <f t="array" ref="R43">SUM(R15:S15*R27:S27)/SUM(R15:S15*R27:S27,R13:S13*R26:S26)</f>
        <v>0.51055879658676473</v>
      </c>
      <c r="S43" s="135"/>
      <c r="T43" s="162">
        <f t="array" ref="T43">SUM(T15:U15*T27:U27)/SUM(T15:U15*T27:U27,T13:U13*T26:U26)</f>
        <v>0.50114345015608253</v>
      </c>
      <c r="U43" s="135"/>
      <c r="V43" s="162">
        <f t="array" ref="V43">SUM(V15:W15*V27:W27)/SUM(V15:W15*V27:W27,V13:W13*V26:W26)</f>
        <v>0.49069296546845459</v>
      </c>
      <c r="W43" s="135"/>
      <c r="X43" s="162">
        <f t="array" ref="X43">SUM(X15:Y15*X27:Y27)/SUM(X15:Y15*X27:Y27,X13:Y13*X26:Y26)</f>
        <v>0.47885526997704736</v>
      </c>
      <c r="Y43" s="135"/>
      <c r="Z43" s="162">
        <f t="array" ref="Z43">SUM(Z15:AA15*Z27:AA27)/SUM(Z15:AA15*Z27:AA27,Z13:AA13*Z26:AA26)</f>
        <v>0.46509157691331843</v>
      </c>
      <c r="AA43" s="135"/>
      <c r="AB43" s="162">
        <f t="array" ref="AB43">SUM(AB15:AC15*AB27:AC27)/SUM(AB15:AC15*AB27:AC27,AB13:AC13*AB26:AC26)</f>
        <v>0.448543794969682</v>
      </c>
      <c r="AC43" s="135"/>
      <c r="AD43" s="162">
        <f t="array" ref="AD43">SUM(AD15:AE15*AD27:AE27)/SUM(AD15:AE15*AD27:AE27,AD13:AE13*AD26:AE26)</f>
        <v>0.42779693703392185</v>
      </c>
      <c r="AE43" s="135"/>
      <c r="AF43" s="162">
        <f t="array" ref="AF43">SUM(AF15:AG15*AF27:AG27)/SUM(AF15:AG15*AF27:AG27,AF13:AG13*AF26:AG26)</f>
        <v>0.40047645567161522</v>
      </c>
      <c r="AG43" s="135"/>
      <c r="AH43" s="162">
        <f t="array" ref="AH43">SUM(AH15:AI15*AH27:AI27)/SUM(AH15:AI15*AH27:AI27,AH13:AI13*AH26:AI26)</f>
        <v>0.36270401920629058</v>
      </c>
      <c r="AI43" s="135"/>
      <c r="AJ43" s="162">
        <f t="array" ref="AJ43">SUM(AJ15:AK15*AJ27:AK27)/SUM(AJ15:AK15*AJ27:AK27,AJ13:AK13*AJ26:AK26)</f>
        <v>0.30897067645932519</v>
      </c>
      <c r="AK43" s="135"/>
      <c r="AL43" s="162">
        <f t="array" ref="AL43">SUM(AL15:AM15*AL27:AM27)/SUM(AL15:AM15*AL27:AM27,AL13:AM13*AL26:AM26)</f>
        <v>0.23520371166301909</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0.29754224684626474</v>
      </c>
      <c r="F44" s="193">
        <f>(SUM(F11:G11*F24:G24)+F34)/F32</f>
        <v>0.29754224459387013</v>
      </c>
      <c r="H44" s="193">
        <f>(SUM(H11:I11*H24:I24)+H34)/H32</f>
        <v>0.29754226122389799</v>
      </c>
      <c r="J44" s="193">
        <f>(SUM(J11:K11*J24:K24)+J34)/J32</f>
        <v>0.29754221234681821</v>
      </c>
      <c r="L44" s="193">
        <f>(SUM(L11:M11*L24:M24)+L34)/L32</f>
        <v>0.29754226100014242</v>
      </c>
      <c r="N44" s="193">
        <f>(SUM(N11:O11*N24:O24)+N34)/N32</f>
        <v>0.2975422603125859</v>
      </c>
      <c r="P44" s="193">
        <f>(SUM(P11:Q11*P24:Q24)+P34)/P32</f>
        <v>0.29754225975075321</v>
      </c>
      <c r="R44" s="193">
        <f>(SUM(R11:S11*R24:S24)+R34)/R32</f>
        <v>0.29754225819629687</v>
      </c>
      <c r="T44" s="193">
        <f>(SUM(T11:U11*T24:U24)+T34)/T32</f>
        <v>0.2975422586394102</v>
      </c>
      <c r="V44" s="193">
        <f>(SUM(V11:W11*V24:W24)+V34)/V32</f>
        <v>0.29754225942153345</v>
      </c>
      <c r="X44" s="193">
        <f>(SUM(X11:Y11*X24:Y24)+X34)/X32</f>
        <v>0.29754226241819254</v>
      </c>
      <c r="Z44" s="193">
        <f>(SUM(Z11:AA11*Z24:AA24)+Z34)/Z32</f>
        <v>0.2975422606369445</v>
      </c>
      <c r="AB44" s="193">
        <f>(SUM(AB11:AC11*AB24:AC24)+AB34)/AB32</f>
        <v>0.2975422613695955</v>
      </c>
      <c r="AD44" s="193">
        <f>(SUM(AD11:AE11*AD24:AE24)+AD34)/AD32</f>
        <v>0.29754226155590713</v>
      </c>
      <c r="AF44" s="193">
        <f>(SUM(AF11:AG11*AF24:AG24)+AF34)/AF32</f>
        <v>0.29754226116279614</v>
      </c>
      <c r="AH44" s="193">
        <f>(SUM(AH11:AI11*AH24:AI24)+AH34)/AH32</f>
        <v>0.29754226195620065</v>
      </c>
      <c r="AJ44" s="193">
        <f>(SUM(AJ11:AK11*AJ24:AK24)+AJ34)/AJ32</f>
        <v>0.29754226185758759</v>
      </c>
      <c r="AL44" s="193">
        <f>(SUM(AL11:AM11*AL24:AM24)+AL34)/AL32</f>
        <v>0.29754226193308858</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0.22038438872605329</v>
      </c>
      <c r="F45" s="193">
        <f>SUM(F11:G11*F24:G24)/F32</f>
        <v>0.22038438876210997</v>
      </c>
      <c r="H45" s="193">
        <f>SUM(H11:I11*H24:I24)/H32</f>
        <v>0.2203843883112134</v>
      </c>
      <c r="J45" s="193">
        <f>SUM(J11:K11*J24:K24)/J32</f>
        <v>0.22038438722557541</v>
      </c>
      <c r="L45" s="193">
        <f>SUM(L11:M11*L24:M24)/L32</f>
        <v>0.22038438829463719</v>
      </c>
      <c r="N45" s="193">
        <f>SUM(N11:O11*N24:O24)/N32</f>
        <v>0.22038438825705686</v>
      </c>
      <c r="P45" s="193">
        <f>SUM(P11:Q11*P24:Q24)/P32</f>
        <v>0.22038438821979023</v>
      </c>
      <c r="R45" s="193">
        <f>SUM(R11:S11*R24:S24)/R32</f>
        <v>0.22038438825699894</v>
      </c>
      <c r="T45" s="193">
        <f>SUM(T11:U11*T24:U24)/T32</f>
        <v>0.22038438827057777</v>
      </c>
      <c r="V45" s="193">
        <f>SUM(V11:W11*V24:W24)/V32</f>
        <v>0.22038438829094781</v>
      </c>
      <c r="X45" s="193">
        <f>SUM(X11:Y11*X24:Y24)/X32</f>
        <v>0.22038438837763386</v>
      </c>
      <c r="Z45" s="193">
        <f>SUM(Z11:AA11*Z24:AA24)/Z32</f>
        <v>0.22038438838128274</v>
      </c>
      <c r="AB45" s="193">
        <f>SUM(AB11:AC11*AB24:AC24)/AB32</f>
        <v>0.22038438831475329</v>
      </c>
      <c r="AD45" s="193">
        <f>SUM(AD11:AE11*AD24:AE24)/AD32</f>
        <v>0.22038438831025217</v>
      </c>
      <c r="AF45" s="193">
        <f>SUM(AF11:AG11*AF24:AG24)/AF32</f>
        <v>0.22038438838615734</v>
      </c>
      <c r="AH45" s="193">
        <f>SUM(AH11:AI11*AH24:AI24)/AH32</f>
        <v>0.22038438833596805</v>
      </c>
      <c r="AJ45" s="193">
        <f>SUM(AJ11:AK11*AJ24:AK24)/AJ32</f>
        <v>0.22038438833168458</v>
      </c>
      <c r="AL45" s="193">
        <f>SUM(AL11:AM11*AL24:AM24)/AL32</f>
        <v>0.22038438833073953</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7.7157858120211406E-2</v>
      </c>
      <c r="F46" s="193">
        <f>F34/F32</f>
        <v>7.7157855831760186E-2</v>
      </c>
      <c r="H46" s="193">
        <f>H34/H32</f>
        <v>7.7157872912684597E-2</v>
      </c>
      <c r="J46" s="193">
        <f>J34/J32</f>
        <v>7.7157825121242793E-2</v>
      </c>
      <c r="L46" s="193">
        <f>L34/L32</f>
        <v>7.715787270550524E-2</v>
      </c>
      <c r="N46" s="193">
        <f>N34/N32</f>
        <v>7.7157872055529014E-2</v>
      </c>
      <c r="P46" s="193">
        <f>P34/P32</f>
        <v>7.7157871530962999E-2</v>
      </c>
      <c r="R46" s="193">
        <f>R34/R32</f>
        <v>7.7157869939297949E-2</v>
      </c>
      <c r="T46" s="193">
        <f>T34/T32</f>
        <v>7.7157870368832399E-2</v>
      </c>
      <c r="V46" s="193">
        <f>V34/V32</f>
        <v>7.7157871130585656E-2</v>
      </c>
      <c r="X46" s="193">
        <f>X34/X32</f>
        <v>7.7157874040558697E-2</v>
      </c>
      <c r="Z46" s="193">
        <f>Z34/Z32</f>
        <v>7.7157872255661758E-2</v>
      </c>
      <c r="AB46" s="193">
        <f>AB34/AB32</f>
        <v>7.7157873054842216E-2</v>
      </c>
      <c r="AD46" s="193">
        <f>AD34/AD32</f>
        <v>7.7157873245654943E-2</v>
      </c>
      <c r="AF46" s="193">
        <f>AF34/AF32</f>
        <v>7.7157872776638839E-2</v>
      </c>
      <c r="AH46" s="193">
        <f>AH34/AH32</f>
        <v>7.7157873620232631E-2</v>
      </c>
      <c r="AJ46" s="193">
        <f>AJ34/AJ32</f>
        <v>7.7157873525903017E-2</v>
      </c>
      <c r="AL46" s="193">
        <f>AL34/AL32</f>
        <v>7.7157873602349061E-2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1.0066012480707289</v>
      </c>
      <c r="E48" s="191"/>
      <c r="F48" s="191">
        <f>F24/$B$24</f>
        <v>1.0126218687784814</v>
      </c>
      <c r="G48" s="191"/>
      <c r="H48" s="191">
        <f>H24/$B$24</f>
        <v>1.0180176111610029</v>
      </c>
      <c r="I48" s="191"/>
      <c r="J48" s="191">
        <f>J24/$B$24</f>
        <v>1.0227264403285439</v>
      </c>
      <c r="K48" s="191"/>
      <c r="L48" s="191">
        <f>L24/$B$24</f>
        <v>1.0266634383097877</v>
      </c>
      <c r="M48" s="191"/>
      <c r="N48" s="191">
        <f>N24/$B$24</f>
        <v>1.0297151107712383</v>
      </c>
      <c r="O48" s="191"/>
      <c r="P48" s="191">
        <f>P24/$B$24</f>
        <v>1.0317281126840248</v>
      </c>
      <c r="Q48" s="191"/>
      <c r="R48" s="191">
        <f>R24/$B$24</f>
        <v>1.0324947806353613</v>
      </c>
      <c r="S48" s="191"/>
      <c r="T48" s="191">
        <f>T24/$B$24</f>
        <v>1.0317296482128275</v>
      </c>
      <c r="U48" s="191"/>
      <c r="V48" s="191">
        <f>V24/$B$24</f>
        <v>1.0290320413212013</v>
      </c>
      <c r="W48" s="191"/>
      <c r="X48" s="191">
        <f>X24/$B$24</f>
        <v>1.0238232610132643</v>
      </c>
      <c r="Y48" s="191"/>
      <c r="Z48" s="191">
        <f>Z24/$B$24</f>
        <v>1.0152357445076625</v>
      </c>
      <c r="AA48" s="191"/>
      <c r="AB48" s="191">
        <f>AB24/$B$24</f>
        <v>1.0019044326433331</v>
      </c>
      <c r="AC48" s="191"/>
      <c r="AD48" s="191">
        <f>AD24/$B$24</f>
        <v>0.98154780573079947</v>
      </c>
      <c r="AE48" s="191"/>
      <c r="AF48" s="191">
        <f>AF24/$B$24</f>
        <v>0.95006951633482661</v>
      </c>
      <c r="AG48" s="191"/>
      <c r="AH48" s="191">
        <f>AH24/$B$24</f>
        <v>0.89954988499018163</v>
      </c>
      <c r="AI48" s="191"/>
      <c r="AJ48" s="191">
        <f>AJ24/$B$24</f>
        <v>0.81384469774976764</v>
      </c>
      <c r="AK48" s="191"/>
      <c r="AL48" s="191">
        <f>AL24/$B$24</f>
        <v>0.6605604948246967</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0.99999998844424332</v>
      </c>
      <c r="E49" s="191"/>
      <c r="F49" s="191">
        <f>F13/F35/$B$13*$B$35</f>
        <v>0.99999998676760504</v>
      </c>
      <c r="G49" s="191"/>
      <c r="H49" s="191">
        <f>H13/H35/$B$13*$B$35</f>
        <v>0.9999999994916271</v>
      </c>
      <c r="I49" s="191"/>
      <c r="J49" s="191">
        <f>J13/J35/$B$13*$B$35</f>
        <v>0.9999999818562344</v>
      </c>
      <c r="K49" s="191"/>
      <c r="L49" s="191">
        <f>L13/L35/$B$13*$B$35</f>
        <v>0.99999999951312801</v>
      </c>
      <c r="M49" s="191"/>
      <c r="N49" s="191">
        <f>N13/N35/$B$13*$B$35</f>
        <v>0.99999999943803297</v>
      </c>
      <c r="O49" s="191"/>
      <c r="P49" s="191">
        <f>P13/P35/$B$13*$B$35</f>
        <v>0.99999999980534138</v>
      </c>
      <c r="Q49" s="191"/>
      <c r="R49" s="191">
        <f>R13/R35/$B$13*$B$35</f>
        <v>1.0000000004980314</v>
      </c>
      <c r="S49" s="191"/>
      <c r="T49" s="191">
        <f>T13/T35/$B$13*$B$35</f>
        <v>1.0000000006506935</v>
      </c>
      <c r="U49" s="191"/>
      <c r="V49" s="191">
        <f>V13/V35/$B$13*$B$35</f>
        <v>1.0000000005566125</v>
      </c>
      <c r="W49" s="191"/>
      <c r="X49" s="191">
        <f>X13/X35/$B$13*$B$35</f>
        <v>0.99999999581642796</v>
      </c>
      <c r="Y49" s="191"/>
      <c r="Z49" s="191">
        <f>Z13/Z35/$B$13*$B$35</f>
        <v>0.99999999567578968</v>
      </c>
      <c r="AA49" s="191"/>
      <c r="AB49" s="191">
        <f>AB13/AB35/$B$13*$B$35</f>
        <v>1.0000000011916541</v>
      </c>
      <c r="AC49" s="191"/>
      <c r="AD49" s="191">
        <f>AD13/AD35/$B$13*$B$35</f>
        <v>1.0000000030223133</v>
      </c>
      <c r="AE49" s="191"/>
      <c r="AF49" s="191">
        <f>AF13/AF35/$B$13*$B$35</f>
        <v>0.99999999233362447</v>
      </c>
      <c r="AG49" s="191"/>
      <c r="AH49" s="191">
        <f>AH13/AH35/$B$13*$B$35</f>
        <v>0.99999999838908771</v>
      </c>
      <c r="AI49" s="191"/>
      <c r="AJ49" s="191">
        <f>AJ13/AJ35/$B$13*$B$35</f>
        <v>1.0000000010333507</v>
      </c>
      <c r="AK49" s="191"/>
      <c r="AL49" s="191">
        <f>AL13/AL35/$B$13*$B$35</f>
        <v>1.0000000005490142</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-322381.85860056104</v>
      </c>
      <c r="F51" s="29">
        <f>F30-F10*F23</f>
        <v>-236432.36851473572</v>
      </c>
      <c r="H51" s="29">
        <f>H30-H10*H23</f>
        <v>-147680.16048017144</v>
      </c>
      <c r="J51" s="29">
        <f>J30-J10*J23</f>
        <v>-55755.130667926278</v>
      </c>
      <c r="L51" s="29">
        <f>L30-L10*L23</f>
        <v>39775.563016669359</v>
      </c>
      <c r="N51" s="29">
        <f>N30-N10*N23</f>
        <v>139453.36848366912</v>
      </c>
      <c r="P51" s="29">
        <f>P30-P10*P23</f>
        <v>243943.30778579181</v>
      </c>
      <c r="R51" s="29">
        <f>R30-R10*R23</f>
        <v>354095.86273404397</v>
      </c>
      <c r="T51" s="29">
        <f>T30-T10*T23</f>
        <v>471023.70637679426</v>
      </c>
      <c r="V51" s="29">
        <f>V30-V10*V23</f>
        <v>596224.8869350357</v>
      </c>
      <c r="X51" s="29">
        <f>X30-X10*X23</f>
        <v>731766.18409454403</v>
      </c>
      <c r="Z51" s="29">
        <f>Z30-Z10*Z23</f>
        <v>880544.74143470032</v>
      </c>
      <c r="AB51" s="29">
        <f>AB30-AB10*AB23</f>
        <v>1046583.4910616302</v>
      </c>
      <c r="AD51" s="29">
        <f>AD30-AD10*AD23</f>
        <v>1235034.3351631961</v>
      </c>
      <c r="AF51" s="29">
        <f>AF30-AF10*AF23</f>
        <v>1450418.3825040748</v>
      </c>
      <c r="AH51" s="29">
        <f>AH30-AH10*AH23</f>
        <v>1687691.4223991428</v>
      </c>
      <c r="AJ51" s="29">
        <f>AJ30-AJ10*AJ23</f>
        <v>1900254.033274116</v>
      </c>
      <c r="AL51" s="29">
        <f>AL30-AL10*AL23</f>
        <v>1915536.5147806369</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2073279.1123352668</v>
      </c>
      <c r="F52" s="29">
        <f t="array" ref="F52">Calibration!sL*SUM(F13:G13*F26:G26)</f>
        <v>2096404.2320097187</v>
      </c>
      <c r="H52" s="29">
        <f t="array" ref="H52">Calibration!sL*SUM(H13:I13*H26:I26)</f>
        <v>2118565.7431956194</v>
      </c>
      <c r="J52" s="29">
        <f t="array" ref="J52">Calibration!sL*SUM(J13:K13*J26:K26)</f>
        <v>2139677.3827121225</v>
      </c>
      <c r="L52" s="29">
        <f t="array" ref="L52">Calibration!sL*SUM(L13:M13*L26:M26)</f>
        <v>2159616.1405081013</v>
      </c>
      <c r="N52" s="29">
        <f t="array" ref="N52">Calibration!sL*SUM(N13:O13*N26:O26)</f>
        <v>2178215.5632556514</v>
      </c>
      <c r="P52" s="29">
        <f t="array" ref="P52">Calibration!sL*SUM(P13:Q13*P26:Q26)</f>
        <v>2195250.0884832218</v>
      </c>
      <c r="R52" s="29">
        <f t="array" ref="R52">Calibration!sL*SUM(R13:S13*R26:S26)</f>
        <v>2210417.0547376727</v>
      </c>
      <c r="T52" s="29">
        <f t="array" ref="T52">Calibration!sL*SUM(T13:U13*T26:U26)</f>
        <v>2223306.7498667063</v>
      </c>
      <c r="V52" s="29">
        <f t="array" ref="V52">Calibration!sL*SUM(V13:W13*V26:W26)</f>
        <v>2233356.238386794</v>
      </c>
      <c r="X52" s="29">
        <f t="array" ref="X52">Calibration!sL*SUM(X13:Y13*X26:Y26)</f>
        <v>2239767.2645747992</v>
      </c>
      <c r="Z52" s="29">
        <f t="array" ref="Z52">Calibration!sL*SUM(Z13:AA13*Z26:AA26)</f>
        <v>2241350.4126961925</v>
      </c>
      <c r="AB52" s="29">
        <f t="array" ref="AB52">Calibration!sL*SUM(AB13:AC13*AB26:AC26)</f>
        <v>2236191.4409023323</v>
      </c>
      <c r="AD52" s="29">
        <f t="array" ref="AD52">Calibration!sL*SUM(AD13:AE13*AD26:AE26)</f>
        <v>2220855.3581142602</v>
      </c>
      <c r="AF52" s="29">
        <f t="array" ref="AF52">Calibration!sL*SUM(AF13:AG13*AF26:AG26)</f>
        <v>2188304.3136587269</v>
      </c>
      <c r="AH52" s="29">
        <f t="array" ref="AH52">Calibration!sL*SUM(AH13:AI13*AH26:AI26)</f>
        <v>2122205.5512265647</v>
      </c>
      <c r="AJ52" s="29">
        <f t="array" ref="AJ52">Calibration!sL*SUM(AJ13:AK13*AJ26:AK26)</f>
        <v>1982075.5009742789</v>
      </c>
      <c r="AL52" s="29">
        <f t="array" ref="AL52">Calibration!sL*SUM(AL13:AM13*AL26:AM26)</f>
        <v>1671908.134471298</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2740714.4444297217</v>
      </c>
      <c r="D53" s="29">
        <f t="array" ref="D53">Calibration!sK*SUM(D15:E15*D27:E27)</f>
        <v>2705658.6545584113</v>
      </c>
      <c r="F53" s="29">
        <f t="array" ref="F53">Calibration!sK*SUM(F15:G15*F27:G27)</f>
        <v>2667628.3887820477</v>
      </c>
      <c r="H53" s="29">
        <f t="array" ref="H53">Calibration!sK*SUM(H15:I15*H27:I27)</f>
        <v>2626319.3394989832</v>
      </c>
      <c r="J53" s="29">
        <f t="array" ref="J53">Calibration!sK*SUM(J15:K15*J27:K27)</f>
        <v>2581349.1826895899</v>
      </c>
      <c r="L53" s="29">
        <f t="array" ref="L53">Calibration!sK*SUM(L15:M15*L27:M27)</f>
        <v>2532238.6854133485</v>
      </c>
      <c r="N53" s="29">
        <f t="array" ref="N53">Calibration!sK*SUM(N15:O15*N27:O27)</f>
        <v>2478381.1064249664</v>
      </c>
      <c r="P53" s="29">
        <f t="array" ref="P53">Calibration!sK*SUM(P15:Q15*P27:Q27)</f>
        <v>2419001.1237566816</v>
      </c>
      <c r="R53" s="29">
        <f t="array" ref="R53">Calibration!sK*SUM(R15:S15*R27:S27)</f>
        <v>2353091.6684224503</v>
      </c>
      <c r="T53" s="29">
        <f t="array" ref="T53">Calibration!sK*SUM(T15:U15*T27:U27)</f>
        <v>2279319.2269109669</v>
      </c>
      <c r="V53" s="29">
        <f t="array" ref="V53">Calibration!sK*SUM(V15:W15*V27:W27)</f>
        <v>2195874.6599498284</v>
      </c>
      <c r="X53" s="29">
        <f t="array" ref="X53">Calibration!sK*SUM(X15:Y15*X27:Y27)</f>
        <v>2100236.498414638</v>
      </c>
      <c r="Z53" s="29">
        <f t="array" ref="Z53">Calibration!sK*SUM(Z15:AA15*Z27:AA27)</f>
        <v>1988786.5977117009</v>
      </c>
      <c r="AB53" s="29">
        <f t="array" ref="AB53">Calibration!sK*SUM(AB15:AC15*AB27:AC27)</f>
        <v>1856188.9964714919</v>
      </c>
      <c r="AD53" s="29">
        <f t="array" ref="AD53">Calibration!sK*SUM(AD15:AE15*AD27:AE27)</f>
        <v>1694443.7431891803</v>
      </c>
      <c r="AF53" s="29">
        <f t="array" ref="AF53">Calibration!sK*SUM(AF15:AG15*AF27:AG27)</f>
        <v>1491756.1929450387</v>
      </c>
      <c r="AH53" s="29">
        <f t="array" ref="AH53">Calibration!sK*SUM(AH15:AI15*AH27:AI27)</f>
        <v>1232588.2473136731</v>
      </c>
      <c r="AJ53" s="29">
        <f t="array" ref="AJ53">Calibration!sK*SUM(AJ15:AK15*AJ27:AK27)</f>
        <v>904399.61339699966</v>
      </c>
      <c r="AL53" s="29">
        <f t="array" ref="AL53">Calibration!sK*SUM(AL15:AM15*AL27:AM27)</f>
        <v>524723.11700927035</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0.204276930794449</v>
      </c>
      <c r="F55" s="193">
        <f>F30/F32</f>
        <v>0.21015107145420833</v>
      </c>
      <c r="H55" s="193">
        <f>H30/H32</f>
        <v>0.21615480512922836</v>
      </c>
      <c r="J55" s="193">
        <f>J30/J32</f>
        <v>0.22232297959775918</v>
      </c>
      <c r="L55" s="193">
        <f>L30/L32</f>
        <v>0.22869657287879042</v>
      </c>
      <c r="N55" s="193">
        <f>N30/N32</f>
        <v>0.23532687607129243</v>
      </c>
      <c r="P55" s="193">
        <f>P30/P32</f>
        <v>0.24227813686704577</v>
      </c>
      <c r="R55" s="193">
        <f>R30/R32</f>
        <v>0.24963423732210643</v>
      </c>
      <c r="T55" s="193">
        <f>T30/T32</f>
        <v>0.25750792272774098</v>
      </c>
      <c r="V55" s="193">
        <f>V30/V32</f>
        <v>0.26605599302246802</v>
      </c>
      <c r="X55" s="193">
        <f>X30/X32</f>
        <v>0.27550406300542885</v>
      </c>
      <c r="Z55" s="193">
        <f>Z30/Z32</f>
        <v>0.28618801521436094</v>
      </c>
      <c r="AB55" s="193">
        <f>AB30/AB32</f>
        <v>0.2986231831671774</v>
      </c>
      <c r="AD55" s="193">
        <f>AD30/AD32</f>
        <v>0.31361480203465208</v>
      </c>
      <c r="AF55" s="193">
        <f>AF30/AF32</f>
        <v>0.33240564368894343</v>
      </c>
      <c r="AH55" s="193">
        <f>AH30/AH32</f>
        <v>0.35675248270516263</v>
      </c>
      <c r="AJ55" s="193">
        <f>AJ30/AJ32</f>
        <v>0.38847815921125484</v>
      </c>
      <c r="AL55" s="193">
        <f>AL30/AL32</f>
        <v>0.42725832299649968</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3.4031430460756747E-2</v>
      </c>
      <c r="F56" s="193">
        <f>(Model!$C$52*F5*F20+F2*G5*G20)/F32</f>
        <v>3.8923144870141174E-2</v>
      </c>
      <c r="H56" s="193">
        <f>(Model!$C$52*H5*H20+H2*I5*I20)/H32</f>
        <v>4.3920929510113955E-2</v>
      </c>
      <c r="J56" s="193">
        <f>(Model!$C$52*J5*J20+J2*K5*K20)/J32</f>
        <v>4.905365974857253E-2</v>
      </c>
      <c r="L56" s="193">
        <f>(Model!$C$52*L5*L20+L2*M5*M20)/L32</f>
        <v>5.435515770077963E-2</v>
      </c>
      <c r="N56" s="193">
        <f>(Model!$C$52*N5*N20+N2*O5*O20)/N32</f>
        <v>5.9867882976373188E-2</v>
      </c>
      <c r="P56" s="193">
        <f>(Model!$C$52*P5*P20+P2*Q5*Q20)/P32</f>
        <v>6.5644846230341031E-2</v>
      </c>
      <c r="R56" s="193">
        <f>(Model!$C$52*R5*R20+R2*S5*S20)/R32</f>
        <v>7.1755207145760114E-2</v>
      </c>
      <c r="T56" s="193">
        <f>(Model!$C$52*T5*T20+T2*U5*U20)/T32</f>
        <v>7.8291834821090533E-2</v>
      </c>
      <c r="V56" s="193">
        <f>(Model!$C$52*V5*V20+V2*W5*W20)/V32</f>
        <v>8.5383694363076634E-2</v>
      </c>
      <c r="X56" s="193">
        <f>(Model!$C$52*X5*X20+X2*Y5*Y20)/X32</f>
        <v>9.3216115815052819E-2</v>
      </c>
      <c r="Z56" s="193">
        <f>(Model!$C$52*Z5*Z20+Z2*AA5*AA20)/Z32</f>
        <v>0.1020646644179173</v>
      </c>
      <c r="AB56" s="193">
        <f>(Model!$C$52*AB5*AB20+AB2*AC5*AC20)/AB32</f>
        <v>0.11235161178982425</v>
      </c>
      <c r="AD56" s="193">
        <f>(Model!$C$52*AD5*AD20+AD2*AE5*AE20)/AD32</f>
        <v>0.124736094912669</v>
      </c>
      <c r="AF56" s="193">
        <f>(Model!$C$52*AF5*AF20+AF2*AG5*AG20)/AF32</f>
        <v>0.14023447632613931</v>
      </c>
      <c r="AH56" s="193">
        <f>(Model!$C$52*AH5*AH20+AH2*AI5*AI20)/AH32</f>
        <v>0.16028232728822239</v>
      </c>
      <c r="AJ56" s="193">
        <f>(Model!$C$52*AJ5*AJ20+AJ2*AK5*AK20)/AJ32</f>
        <v>0.18636740496980173</v>
      </c>
      <c r="AL56" s="193">
        <f>(Model!$C$52*AL5*AL20+AL2*AM5*AM20)/AL32</f>
        <v>0.21821711631290699</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0.15958020611731305</v>
      </c>
      <c r="F57" s="193">
        <f t="array" ref="F57">SUM(Model!tauL*F13:G13*F26:G26)/F32</f>
        <v>0.160649791803811</v>
      </c>
      <c r="H57" s="193">
        <f t="array" ref="H57">SUM(Model!tauL*H13:I13*H26:I26)/H32</f>
        <v>0.16174297719803712</v>
      </c>
      <c r="J57" s="193">
        <f t="array" ref="J57">SUM(Model!tauL*J13:K13*J26:K26)/J32</f>
        <v>0.16286607840664369</v>
      </c>
      <c r="L57" s="193">
        <f t="array" ref="L57">SUM(Model!tauL*L13:M13*L26:M26)/L32</f>
        <v>0.16402663021407099</v>
      </c>
      <c r="N57" s="193">
        <f t="array" ref="N57">SUM(Model!tauL*N13:O13*N26:O26)/N32</f>
        <v>0.16523389924704981</v>
      </c>
      <c r="P57" s="193">
        <f t="array" ref="P57">SUM(Model!tauL*P13:Q13*P26:Q26)/P32</f>
        <v>0.1664996100540658</v>
      </c>
      <c r="R57" s="193">
        <f t="array" ref="R57">SUM(Model!tauL*R13:S13*R26:S26)/R32</f>
        <v>0.1678390433887412</v>
      </c>
      <c r="T57" s="193">
        <f t="array" ref="T57">SUM(Model!tauL*T13:U13*T26:U26)/T32</f>
        <v>0.16927271512820569</v>
      </c>
      <c r="V57" s="193">
        <f t="array" ref="V57">SUM(Model!tauL*V13:W13*V26:W26)/V32</f>
        <v>0.17082918163426355</v>
      </c>
      <c r="X57" s="193">
        <f t="array" ref="X57">SUM(Model!tauL*X13:Y13*X26:Y26)/X32</f>
        <v>0.17254952450811939</v>
      </c>
      <c r="Y57" s="193"/>
      <c r="Z57" s="193">
        <f t="array" ref="Z57">SUM(Model!tauL*Z13:AA13*Z26:AA26)/Z32</f>
        <v>0.17449489813409688</v>
      </c>
      <c r="AB57" s="193">
        <f t="array" ref="AB57">SUM(Model!tauL*AB13:AC13*AB26:AC26)/AB32</f>
        <v>0.17675914351197236</v>
      </c>
      <c r="AD57" s="193">
        <f t="array" ref="AD57">SUM(Model!tauL*AD13:AE13*AD26:AE26)/AD32</f>
        <v>0.17948887675939179</v>
      </c>
      <c r="AF57" s="193">
        <f t="array" ref="AF57">SUM(Model!tauL*AF13:AG13*AF26:AG26)/AF32</f>
        <v>0.18291038446894692</v>
      </c>
      <c r="AH57" s="193">
        <f t="array" ref="AH57">SUM(Model!tauL*AH13:AI13*AH26:AI26)/AH32</f>
        <v>0.18734355386607085</v>
      </c>
      <c r="AJ57" s="193">
        <f t="array" ref="AJ57">SUM(Model!tauL*AJ13:AK13*AJ26:AK26)/AJ32</f>
        <v>0.19312028963153025</v>
      </c>
      <c r="AL57" s="193">
        <f t="array" ref="AL57">SUM(Model!tauL*AL13:AM13*AL26:AM26)/AL32</f>
        <v>0.20018153366272443</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1.0665294216379229E-2</v>
      </c>
      <c r="F58" s="193">
        <f t="array" ref="F58">SUM(Model!tauY/(1+Model!tauY)*F3:G3*F18:G18)/F32</f>
        <v>1.0578134780256147E-2</v>
      </c>
      <c r="H58" s="193">
        <f t="array" ref="H58">SUM(Model!tauY/(1+Model!tauY)*H3:I3*H18:I18)/H32</f>
        <v>1.0490898421077229E-2</v>
      </c>
      <c r="J58" s="193">
        <f t="array" ref="J58">SUM(Model!tauY/(1+Model!tauY)*J3:K3*J18:K18)/J32</f>
        <v>1.0403241442542939E-2</v>
      </c>
      <c r="L58" s="193">
        <f t="array" ref="L58">SUM(Model!tauY/(1+Model!tauY)*L3:M3*L18:M18)/L32</f>
        <v>1.031478496393981E-2</v>
      </c>
      <c r="N58" s="193">
        <f t="array" ref="N58">SUM(Model!tauY/(1+Model!tauY)*N3:O3*N18:O18)/N32</f>
        <v>1.0225093847869458E-2</v>
      </c>
      <c r="P58" s="193">
        <f t="array" ref="P58">SUM(Model!tauY/(1+Model!tauY)*P3:Q3*P18:Q18)/P32</f>
        <v>1.0133680582638945E-2</v>
      </c>
      <c r="R58" s="193">
        <f t="array" ref="R58">SUM(Model!tauY/(1+Model!tauY)*R3:S3*R18:S18)/R32</f>
        <v>1.0039986787605114E-2</v>
      </c>
      <c r="T58" s="193">
        <f t="array" ref="T58">SUM(Model!tauY/(1+Model!tauY)*T3:U3*T18:U18)/T32</f>
        <v>9.9433727784447798E-3</v>
      </c>
      <c r="V58" s="193">
        <f t="array" ref="V58">SUM(Model!tauY/(1+Model!tauY)*V3:W3*V18:W18)/V32</f>
        <v>9.8431170251277889E-3</v>
      </c>
      <c r="X58" s="193">
        <f t="array" ref="X58">SUM(Model!tauY/(1+Model!tauY)*X3:Y3*X18:Y18)/X32</f>
        <v>9.7384226822566436E-3</v>
      </c>
      <c r="Y58" s="193"/>
      <c r="Z58" s="193">
        <f t="array" ref="Z58">SUM(Model!tauY/(1+Model!tauY)*Z3:AA3*Z18:AA18)/Z32</f>
        <v>9.628452662346753E-3</v>
      </c>
      <c r="AB58" s="193">
        <f t="array" ref="AB58">SUM(Model!tauY/(1+Model!tauY)*AB3:AC3*AB18:AC18)/AB32</f>
        <v>9.5124278653807796E-3</v>
      </c>
      <c r="AD58" s="193">
        <f t="array" ref="AD58">SUM(Model!tauY/(1+Model!tauY)*AD3:AE3*AD18:AE18)/AD32</f>
        <v>9.3898303625913372E-3</v>
      </c>
      <c r="AF58" s="193">
        <f t="array" ref="AF58">SUM(Model!tauY/(1+Model!tauY)*AF3:AG3*AF18:AG18)/AF32</f>
        <v>9.2607828938572022E-3</v>
      </c>
      <c r="AH58" s="193">
        <f t="array" ref="AH58">SUM(Model!tauY/(1+Model!tauY)*AH3:AI3*AH18:AI18)/AH32</f>
        <v>9.126601550869376E-3</v>
      </c>
      <c r="AJ58" s="193">
        <f t="array" ref="AJ58">SUM(Model!tauY/(1+Model!tauY)*AJ3:AK3*AJ18:AK18)/AJ32</f>
        <v>8.9904646099228658E-3</v>
      </c>
      <c r="AL58" s="193">
        <f t="array" ref="AL58">SUM(Model!tauY/(1+Model!tauY)*AL3:AM3*AL18:AM18)/AL32</f>
        <v>8.8596730208682414E-3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5.4151418782062205E-3</v>
      </c>
      <c r="F59" s="193">
        <f>(F2*G5*G20)/F32</f>
        <v>1.0360778118532235E-2</v>
      </c>
      <c r="H59" s="193">
        <f>(H2*I5*I20)/H32</f>
        <v>1.5413470573470769E-2</v>
      </c>
      <c r="J59" s="193">
        <f>(J2*K5*K20)/J32</f>
        <v>2.060237010362265E-2</v>
      </c>
      <c r="L59" s="193">
        <f>(L2*M5*M20)/L32</f>
        <v>2.5961617093097033E-2</v>
      </c>
      <c r="N59" s="193">
        <f>(N2*O5*O20)/N32</f>
        <v>3.1534066485149566E-2</v>
      </c>
      <c r="P59" s="193">
        <f>(P2*Q5*Q20)/P32</f>
        <v>3.7373214059938493E-2</v>
      </c>
      <c r="R59" s="193">
        <f>(R2*S5*S20)/R32</f>
        <v>4.3548845215916468E-2</v>
      </c>
      <c r="T59" s="193">
        <f>(T2*U5*U20)/T32</f>
        <v>5.0154661494320178E-2</v>
      </c>
      <c r="V59" s="193">
        <f>(V2*W5*W20)/V32</f>
        <v>5.7320772881261479E-2</v>
      </c>
      <c r="X59" s="193">
        <f>(X2*Y5*Y20)/X32</f>
        <v>6.5234141800753945E-2</v>
      </c>
      <c r="Z59" s="193">
        <f>(Z2*AA5*AA20)/Z32</f>
        <v>7.4172742314365228E-2</v>
      </c>
      <c r="AB59" s="193">
        <f>(AB2*AC5*AC20)/AB32</f>
        <v>8.4562500564598325E-2</v>
      </c>
      <c r="AD59" s="193">
        <f>(AD2*AE5*AE20)/AD32</f>
        <v>9.7068170379493612E-2</v>
      </c>
      <c r="AF59" s="193">
        <f>(AF2*AG5*AG20)/AF32</f>
        <v>0.11271452343196295</v>
      </c>
      <c r="AH59" s="193">
        <f>(AH2*AI5*AI20)/AH32</f>
        <v>0.13294824833515792</v>
      </c>
      <c r="AJ59" s="193">
        <f>(AJ2*AK5*AK20)/AJ32</f>
        <v>0.1592664207167257</v>
      </c>
      <c r="AL59" s="193">
        <f>(AL2*AM5*AM20)/AL32</f>
        <v>0.19138764977026326</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2.8616288582550529E-2</v>
      </c>
      <c r="F60" s="193">
        <f>Model!$C$52*F5*F20/F32</f>
        <v>2.8562366751608937E-2</v>
      </c>
      <c r="H60" s="193">
        <f>Model!$C$52*H5*H20/H32</f>
        <v>2.850745893664319E-2</v>
      </c>
      <c r="J60" s="193">
        <f>Model!$C$52*J5*J20/J32</f>
        <v>2.8451289644949886E-2</v>
      </c>
      <c r="L60" s="193">
        <f>Model!$C$52*L5*L20/L32</f>
        <v>2.8393540607682601E-2</v>
      </c>
      <c r="N60" s="193">
        <f>Model!$C$52*N5*N20/N32</f>
        <v>2.8333816491223615E-2</v>
      </c>
      <c r="P60" s="193">
        <f>Model!$C$52*P5*P20/P32</f>
        <v>2.8271632170402544E-2</v>
      </c>
      <c r="R60" s="193">
        <f>Model!$C$52*R5*R20/R32</f>
        <v>2.8206361929843646E-2</v>
      </c>
      <c r="T60" s="193">
        <f>Model!$C$52*T5*T20/T32</f>
        <v>2.8137173326770355E-2</v>
      </c>
      <c r="V60" s="193">
        <f>Model!$C$52*V5*V20/V32</f>
        <v>2.8062921481815162E-2</v>
      </c>
      <c r="X60" s="193">
        <f>Model!$C$52*X5*X20/X32</f>
        <v>2.7981974014298871E-2</v>
      </c>
      <c r="Z60" s="193">
        <f>Model!$C$52*Z5*Z20/Z32</f>
        <v>2.7891922103552066E-2</v>
      </c>
      <c r="AB60" s="193">
        <f>Model!$C$52*AB5*AB20/AB32</f>
        <v>2.7789111225225926E-2</v>
      </c>
      <c r="AD60" s="193">
        <f>Model!$C$52*AD5*AD20/AD32</f>
        <v>2.76679245331754E-2</v>
      </c>
      <c r="AF60" s="193">
        <f>Model!$C$52*AF5*AF20/AF32</f>
        <v>2.7519952894176362E-2</v>
      </c>
      <c r="AH60" s="193">
        <f>Model!$C$52*AH5*AH20/AH32</f>
        <v>2.7334078953064469E-2</v>
      </c>
      <c r="AJ60" s="193">
        <f>Model!$C$52*AJ5*AJ20/AJ32</f>
        <v>2.7100984253076006E-2</v>
      </c>
      <c r="AL60" s="193">
        <f>Model!$C$52*AL5*AL20/AL32</f>
        <v>2.6829466542643714E-2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1.0154682672746314</v>
      </c>
      <c r="F62">
        <f>F13/F15</f>
        <v>1.0327879770682022</v>
      </c>
      <c r="H62">
        <f>H13/H15</f>
        <v>1.0522697368902432</v>
      </c>
      <c r="J62">
        <f>J13/J15</f>
        <v>1.0743146910640275</v>
      </c>
      <c r="L62">
        <f>L13/L15</f>
        <v>1.0994468494600582</v>
      </c>
      <c r="N62">
        <f>N13/N15</f>
        <v>1.1283647458836907</v>
      </c>
      <c r="P62">
        <f>P13/P15</f>
        <v>1.1620182074176664</v>
      </c>
      <c r="R62">
        <f>R13/R15</f>
        <v>1.2017340841567217</v>
      </c>
      <c r="T62">
        <f>T13/T15</f>
        <v>1.2494249111628122</v>
      </c>
      <c r="V62">
        <f>V13/V15</f>
        <v>1.3079550634305135</v>
      </c>
      <c r="X62">
        <f>X13/X15</f>
        <v>1.3818160881904908</v>
      </c>
      <c r="Z62">
        <f>Z13/Z15</f>
        <v>1.4784560077901081</v>
      </c>
      <c r="AB62">
        <f>AB13/AB15</f>
        <v>1.6110992672776141</v>
      </c>
      <c r="AD62">
        <f>AD13/AD15</f>
        <v>1.8052889539097279</v>
      </c>
      <c r="AF62">
        <f>AF13/AF15</f>
        <v>2.1158143521939481</v>
      </c>
      <c r="AH62">
        <f>AH13/AH15</f>
        <v>2.6770541226211981</v>
      </c>
      <c r="AJ62">
        <f>AJ13/AJ15</f>
        <v>3.8848210180762575</v>
      </c>
      <c r="AL62">
        <f>AL13/AL15</f>
        <v>7.2677696864761074</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0.99860861912318</v>
      </c>
      <c r="E65" s="191"/>
      <c r="F65" s="191">
        <f t="array" ref="F65">SQRT((F9:G9*$B$22:$C$22+F10:G10*$B$23:$C$23+F11:G11*$B$24:$C$24+F4:G4*($B$25:$C$25-$B$19:$C$19))/($B$9:$C$9*$B$22:$C$22+$B$10:$C$10*$B$23:$C$23+$B$11:$C$11*$B$24:$C$24+$B$4:$C$4*($B$25:$C$25-$B$19:$C$19))*(F9:G9*F22:G22+F10:G10*F23:G23+F11:G11*F24:G24+F4:G4*(F25:G25-F19:G19))/($B$9:$C$9*F22:G22+$B$10:$C$10*F23:G23+$B$11:$C$11*F24:G24+$B$4:$C$4*(F25:G25-F19:G19)))</f>
        <v>0.99720261778466035</v>
      </c>
      <c r="G65" s="191"/>
      <c r="H65" s="191">
        <f t="array" ref="H65">SQRT((H9:I9*$B$22:$C$22+H10:I10*$B$23:$C$23+H11:I11*$B$24:$C$24+H4:I4*($B$25:$C$25-$B$19:$C$19))/($B$9:$C$9*$B$22:$C$22+$B$10:$C$10*$B$23:$C$23+$B$11:$C$11*$B$24:$C$24+$B$4:$C$4*($B$25:$C$25-$B$19:$C$19))*(H9:I9*H22:I22+H10:I10*H23:I23+H11:I11*H24:I24+H4:I4*(H25:I25-H19:I19))/($B$9:$C$9*H22:I22+$B$10:$C$10*H23:I23+$B$11:$C$11*H24:I24+$B$4:$C$4*(H25:I25-H19:I19)))</f>
        <v>0.99577412221628081</v>
      </c>
      <c r="I65" s="191"/>
      <c r="J65" s="191">
        <f t="array" ref="J65">SQRT((J9:K9*$B$22:$C$22+J10:K10*$B$23:$C$23+J11:K11*$B$24:$C$24+J4:K4*($B$25:$C$25-$B$19:$C$19))/($B$9:$C$9*$B$22:$C$22+$B$10:$C$10*$B$23:$C$23+$B$11:$C$11*$B$24:$C$24+$B$4:$C$4*($B$25:$C$25-$B$19:$C$19))*(J9:K9*J22:K22+J10:K10*J23:K23+J11:K11*J24:K24+J4:K4*(J25:K25-J19:K19))/($B$9:$C$9*J22:K22+$B$10:$C$10*J23:K23+$B$11:$C$11*J24:K24+$B$4:$C$4*(J25:K25-J19:K19)))</f>
        <v>0.99431483613119265</v>
      </c>
      <c r="K65" s="191"/>
      <c r="L65" s="191">
        <f t="array" ref="L65">SQRT((L9:M9*$B$22:$C$22+L10:M10*$B$23:$C$23+L11:M11*$B$24:$C$24+L4:M4*($B$25:$C$25-$B$19:$C$19))/($B$9:$C$9*$B$22:$C$22+$B$10:$C$10*$B$23:$C$23+$B$11:$C$11*$B$24:$C$24+$B$4:$C$4*($B$25:$C$25-$B$19:$C$19))*(L9:M9*L22:M22+L10:M10*L23:M23+L11:M11*L24:M24+L4:M4*(L25:M25-L19:M19))/($B$9:$C$9*L22:M22+$B$10:$C$10*L23:M23+$B$11:$C$11*L24:M24+$B$4:$C$4*(L25:M25-L19:M19)))</f>
        <v>0.99281615320181282</v>
      </c>
      <c r="M65" s="191"/>
      <c r="N65" s="191">
        <f t="array" ref="N65">SQRT((N9:O9*$B$22:$C$22+N10:O10*$B$23:$C$23+N11:O11*$B$24:$C$24+N4:O4*($B$25:$C$25-$B$19:$C$19))/($B$9:$C$9*$B$22:$C$22+$B$10:$C$10*$B$23:$C$23+$B$11:$C$11*$B$24:$C$24+$B$4:$C$4*($B$25:$C$25-$B$19:$C$19))*(N9:O9*N22:O22+N10:O10*N23:O23+N11:O11*N24:O24+N4:O4*(N25:O25-N19:O19))/($B$9:$C$9*N22:O22+$B$10:$C$10*N23:O23+$B$11:$C$11*N24:O24+$B$4:$C$4*(N25:O25-N19:O19)))</f>
        <v>0.99126936015197864</v>
      </c>
      <c r="O65" s="191"/>
      <c r="P65" s="191">
        <f t="array" ref="P65">SQRT((P9:Q9*$B$22:$C$22+P10:Q10*$B$23:$C$23+P11:Q11*$B$24:$C$24+P4:Q4*($B$25:$C$25-$B$19:$C$19))/($B$9:$C$9*$B$22:$C$22+$B$10:$C$10*$B$23:$C$23+$B$11:$C$11*$B$24:$C$24+$B$4:$C$4*($B$25:$C$25-$B$19:$C$19))*(P9:Q9*P22:Q22+P10:Q10*P23:Q23+P11:Q11*P24:Q24+P4:Q4*(P25:Q25-P19:Q19))/($B$9:$C$9*P22:Q22+$B$10:$C$10*P23:Q23+$B$11:$C$11*P24:Q24+$B$4:$C$4*(P25:Q25-P19:Q19)))</f>
        <v>0.98966630476295692</v>
      </c>
      <c r="Q65" s="191"/>
      <c r="R65" s="191">
        <f t="array" ref="R65">SQRT((R9:S9*$B$22:$C$22+R10:S10*$B$23:$C$23+R11:S11*$B$24:$C$24+R4:S4*($B$25:$C$25-$B$19:$C$19))/($B$9:$C$9*$B$22:$C$22+$B$10:$C$10*$B$23:$C$23+$B$11:$C$11*$B$24:$C$24+$B$4:$C$4*($B$25:$C$25-$B$19:$C$19))*(R9:S9*R22:S22+R10:S10*R23:S23+R11:S11*R24:S24+R4:S4*(R25:S25-R19:S19))/($B$9:$C$9*R22:S22+$B$10:$C$10*R23:S23+$B$11:$C$11*R24:S24+$B$4:$C$4*(R25:S25-R19:S19)))</f>
        <v>0.98800049988196448</v>
      </c>
      <c r="S65" s="191"/>
      <c r="T65" s="191">
        <f t="array" ref="T65">SQRT((T9:U9*$B$22:$C$22+T10:U10*$B$23:$C$23+T11:U11*$B$24:$C$24+T4:U4*($B$25:$C$25-$B$19:$C$19))/($B$9:$C$9*$B$22:$C$22+$B$10:$C$10*$B$23:$C$23+$B$11:$C$11*$B$24:$C$24+$B$4:$C$4*($B$25:$C$25-$B$19:$C$19))*(T9:U9*T22:U22+T10:U10*T23:U23+T11:U11*T24:U24+T4:U4*(T25:U25-T19:U19))/($B$9:$C$9*T22:U22+$B$10:$C$10*T23:U23+$B$11:$C$11*T24:U24+$B$4:$C$4*(T25:U25-T19:U19)))</f>
        <v>0.98626925174654401</v>
      </c>
      <c r="U65" s="191"/>
      <c r="V65" s="191">
        <f t="array" ref="V65">SQRT((V9:W9*$B$22:$C$22+V10:W10*$B$23:$C$23+V11:W11*$B$24:$C$24+V4:W4*($B$25:$C$25-$B$19:$C$19))/($B$9:$C$9*$B$22:$C$22+$B$10:$C$10*$B$23:$C$23+$B$11:$C$11*$B$24:$C$24+$B$4:$C$4*($B$25:$C$25-$B$19:$C$19))*(V9:W9*V22:W22+V10:W10*V23:W23+V11:W11*V24:W24+V4:W4*(V25:W25-V19:W19))/($B$9:$C$9*V22:W22+$B$10:$C$10*V23:W23+$B$11:$C$11*V24:W24+$B$4:$C$4*(V25:W25-V19:W19)))</f>
        <v>0.98447746278964132</v>
      </c>
      <c r="W65" s="191"/>
      <c r="X65" s="191">
        <f t="array" ref="X65">SQRT((X9:Y9*$B$22:$C$22+X10:Y10*$B$23:$C$23+X11:Y11*$B$24:$C$24+X4:Y4*($B$25:$C$25-$B$19:$C$19))/($B$9:$C$9*$B$22:$C$22+$B$10:$C$10*$B$23:$C$23+$B$11:$C$11*$B$24:$C$24+$B$4:$C$4*($B$25:$C$25-$B$19:$C$19))*(X9:Y9*X22:Y22+X10:Y10*X23:Y23+X11:Y11*X24:Y24+X4:Y4*(X25:Y25-X19:Y19))/($B$9:$C$9*X22:Y22+$B$10:$C$10*X23:Y23+$B$11:$C$11*X24:Y24+$B$4:$C$4*(X25:Y25-X19:Y19)))</f>
        <v>0.98264441618172926</v>
      </c>
      <c r="Y65" s="191"/>
      <c r="Z65" s="191">
        <f t="array" ref="Z65">SQRT((Z9:AA9*$B$22:$C$22+Z10:AA10*$B$23:$C$23+Z11:AA11*$B$24:$C$24+Z4:AA4*($B$25:$C$25-$B$19:$C$19))/($B$9:$C$9*$B$22:$C$22+$B$10:$C$10*$B$23:$C$23+$B$11:$C$11*$B$24:$C$24+$B$4:$C$4*($B$25:$C$25-$B$19:$C$19))*(Z9:AA9*Z22:AA22+Z10:AA10*Z23:AA23+Z11:AA11*Z24:AA24+Z4:AA4*(Z25:AA25-Z19:AA19))/($B$9:$C$9*Z22:AA22+$B$10:$C$10*Z23:AA23+$B$11:$C$11*Z24:AA24+$B$4:$C$4*(Z25:AA25-Z19:AA19)))</f>
        <v>0.98081568172137368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0.97908329219305212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0.97761696102547291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0.97669928213379997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0.97671660002540273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0.97797237387825908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0.98023436007306641</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0.9984700153091125</v>
      </c>
      <c r="E66" s="191"/>
      <c r="F66" s="191">
        <f t="array" ref="F66">SQRT((F9:G9*$B$22:$C$22)/($B$9:$C$9*$B$22:$C$22)*(F9:G9*F22:G22)/($B$9:$C$9*F22:G22))</f>
        <v>0.99692227447055248</v>
      </c>
      <c r="G66" s="191"/>
      <c r="H66" s="191">
        <f t="array" ref="H66">SQRT((H9:I9*$B$22:$C$22)/($B$9:$C$9*$B$22:$C$22)*(H9:I9*H22:I22)/($B$9:$C$9*H22:I22))</f>
        <v>0.99534803145236161</v>
      </c>
      <c r="I66" s="191"/>
      <c r="J66" s="191">
        <f t="array" ref="J66">SQRT((J9:K9*$B$22:$C$22)/($B$9:$C$9*$B$22:$C$22)*(J9:K9*J22:K22)/($B$9:$C$9*J22:K22))</f>
        <v>0.99373803159255902</v>
      </c>
      <c r="K66" s="191"/>
      <c r="L66" s="191">
        <f t="array" ref="L66">SQRT((L9:M9*$B$22:$C$22)/($B$9:$C$9*$B$22:$C$22)*(L9:M9*L22:M22)/($B$9:$C$9*L22:M22))</f>
        <v>0.99208263050698942</v>
      </c>
      <c r="M66" s="191"/>
      <c r="N66" s="191">
        <f t="array" ref="N66">SQRT((N9:O9*$B$22:$C$22)/($B$9:$C$9*$B$22:$C$22)*(N9:O9*N22:O22)/($B$9:$C$9*N22:O22))</f>
        <v>0.99037201375155137</v>
      </c>
      <c r="O66" s="191"/>
      <c r="P66" s="191">
        <f t="array" ref="P66">SQRT((P9:Q9*$B$22:$C$22)/($B$9:$C$9*$B$22:$C$22)*(P9:Q9*P22:Q22)/($B$9:$C$9*P22:Q22))</f>
        <v>0.98859693201567167</v>
      </c>
      <c r="Q66" s="191"/>
      <c r="R66" s="191">
        <f t="array" ref="R66">SQRT((R9:S9*$B$22:$C$22)/($B$9:$C$9*$B$22:$C$22)*(R9:S9*R22:S22)/($B$9:$C$9*R22:S22))</f>
        <v>0.98674992602919687</v>
      </c>
      <c r="S66" s="191"/>
      <c r="T66" s="191">
        <f t="array" ref="T66">SQRT((T9:U9*$B$22:$C$22)/($B$9:$C$9*$B$22:$C$22)*(T9:U9*T22:U22)/($B$9:$C$9*T22:U22))</f>
        <v>0.98482770055590385</v>
      </c>
      <c r="U66" s="191"/>
      <c r="V66" s="191">
        <f t="array" ref="V66">SQRT((V9:W9*$B$22:$C$22)/($B$9:$C$9*$B$22:$C$22)*(V9:W9*V22:W22)/($B$9:$C$9*V22:W22))</f>
        <v>0.98283538560044459</v>
      </c>
      <c r="W66" s="191"/>
      <c r="X66" s="191">
        <f t="array" ref="X66">SQRT((X9:Y9*$B$22:$C$22)/($B$9:$C$9*$B$22:$C$22)*(X9:Y9*X22:Y22)/($B$9:$C$9*X22:Y22))</f>
        <v>0.9807941665420491</v>
      </c>
      <c r="Y66" s="191"/>
      <c r="Z66" s="191">
        <f t="array" ref="Z66">SQRT((Z9:AA9*$B$22:$C$22)/($B$9:$C$9*$B$22:$C$22)*(Z9:AA9*Z22:AA22)/($B$9:$C$9*Z22:AA22))</f>
        <v>0.97875471284854643</v>
      </c>
      <c r="AA66" s="191"/>
      <c r="AB66" s="191">
        <f t="array" ref="AB66">SQRT((AB9:AC9*$B$22:$C$22)/($B$9:$C$9*$B$22:$C$22)*(AB9:AC9*AB22:AC22)/($B$9:$C$9*AB22:AC22))</f>
        <v>0.97681998118701108</v>
      </c>
      <c r="AC66" s="191"/>
      <c r="AD66" s="191">
        <f t="array" ref="AD66">SQRT((AD9:AE9*$B$22:$C$22)/($B$9:$C$9*$B$22:$C$22)*(AD9:AE9*AD22:AE22)/($B$9:$C$9*AD22:AE22))</f>
        <v>0.9751805224340252</v>
      </c>
      <c r="AE66" s="191"/>
      <c r="AF66" s="191">
        <f t="array" ref="AF66">SQRT((AF9:AG9*$B$22:$C$22)/($B$9:$C$9*$B$22:$C$22)*(AF9:AG9*AF22:AG22)/($B$9:$C$9*AF22:AG22))</f>
        <v>0.97415420755518378</v>
      </c>
      <c r="AG66" s="191"/>
      <c r="AH66" s="191">
        <f t="array" ref="AH66">SQRT((AH9:AI9*$B$22:$C$22)/($B$9:$C$9*$B$22:$C$22)*(AH9:AI9*AH22:AI22)/($B$9:$C$9*AH22:AI22))</f>
        <v>0.97417544773773745</v>
      </c>
      <c r="AI66" s="191"/>
      <c r="AJ66" s="191">
        <f t="array" ref="AJ66">SQRT((AJ9:AK9*$B$22:$C$22)/($B$9:$C$9*$B$22:$C$22)*(AJ9:AK9*AJ22:AK22)/($B$9:$C$9*AJ22:AK22))</f>
        <v>0.9755836010368748</v>
      </c>
      <c r="AK66" s="191"/>
      <c r="AL66" s="191">
        <f t="array" ref="AL66">SQRT((AL9:AM9*$B$22:$C$22)/($B$9:$C$9*$B$22:$C$22)*(AL9:AM9*AL22:AM22)/($B$9:$C$9*AL22:AM22))</f>
        <v>0.97811415070983909</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0.9984700153091125</v>
      </c>
      <c r="E68" s="191"/>
      <c r="F68" s="191">
        <f>F66/F67</f>
        <v>0.99692227447055248</v>
      </c>
      <c r="G68" s="191"/>
      <c r="H68" s="191">
        <f>H66/H67</f>
        <v>0.99534803145236161</v>
      </c>
      <c r="I68" s="191"/>
      <c r="J68" s="191">
        <f>J66/J67</f>
        <v>0.99373803159255902</v>
      </c>
      <c r="K68" s="191"/>
      <c r="L68" s="191">
        <f>L66/L67</f>
        <v>0.99208263050698942</v>
      </c>
      <c r="M68" s="191"/>
      <c r="N68" s="191">
        <f>N66/N67</f>
        <v>0.99037201375155137</v>
      </c>
      <c r="O68" s="191"/>
      <c r="P68" s="191">
        <f>P66/P67</f>
        <v>0.98859693201567167</v>
      </c>
      <c r="Q68" s="191"/>
      <c r="R68" s="191">
        <f>R66/R67</f>
        <v>0.98674992602919687</v>
      </c>
      <c r="S68" s="191"/>
      <c r="T68" s="191">
        <f>T66/T67</f>
        <v>0.98482770055590385</v>
      </c>
      <c r="U68" s="191"/>
      <c r="V68" s="191">
        <f>V66/V67</f>
        <v>0.98283538560044459</v>
      </c>
      <c r="W68" s="191"/>
      <c r="X68" s="191">
        <f>X66/X67</f>
        <v>0.9807941665420491</v>
      </c>
      <c r="Y68" s="191"/>
      <c r="Z68" s="191">
        <f>Z66/Z67</f>
        <v>0.97875471284854643</v>
      </c>
      <c r="AA68" s="191"/>
      <c r="AB68" s="191">
        <f>AB66/AB67</f>
        <v>0.97681998118701108</v>
      </c>
      <c r="AC68" s="191"/>
      <c r="AD68" s="191">
        <f>AD66/AD67</f>
        <v>0.9751805224340252</v>
      </c>
      <c r="AE68" s="191"/>
      <c r="AF68" s="191">
        <f>AF66/AF67</f>
        <v>0.97415420755518378</v>
      </c>
      <c r="AG68" s="191"/>
      <c r="AH68" s="191">
        <f>AH66/AH67</f>
        <v>0.97417544773773745</v>
      </c>
      <c r="AI68" s="191"/>
      <c r="AJ68" s="191">
        <f>AJ66/AJ67</f>
        <v>0.9755836010368748</v>
      </c>
      <c r="AK68" s="191"/>
      <c r="AL68" s="191">
        <f>AL66/AL67</f>
        <v>0.97811415070983909</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1.0064615331044222</v>
      </c>
      <c r="E69" s="191"/>
      <c r="F69" s="191">
        <f>F32/F65/($B$32)</f>
        <v>1.0123371886783434</v>
      </c>
      <c r="G69" s="191"/>
      <c r="H69" s="191">
        <f>H32/H65/($B$32)</f>
        <v>1.0175820025258266</v>
      </c>
      <c r="I69" s="191"/>
      <c r="J69" s="191">
        <f>J32/J65/($B$32)</f>
        <v>1.0221331592780916</v>
      </c>
      <c r="K69" s="191"/>
      <c r="L69" s="191">
        <f>L32/L65/($B$32)</f>
        <v>1.0259049083874918</v>
      </c>
      <c r="M69" s="191"/>
      <c r="N69" s="191">
        <f>N32/N65/($B$32)</f>
        <v>1.0287829617119166</v>
      </c>
      <c r="O69" s="191"/>
      <c r="P69" s="191">
        <f>P32/P65/($B$32)</f>
        <v>1.0306132910497454</v>
      </c>
      <c r="Q69" s="191"/>
      <c r="R69" s="191">
        <f>R32/R65/($B$32)</f>
        <v>1.0311878879470606</v>
      </c>
      <c r="S69" s="191"/>
      <c r="T69" s="191">
        <f>T32/T65/($B$32)</f>
        <v>1.0302216514692875</v>
      </c>
      <c r="U69" s="191"/>
      <c r="V69" s="191">
        <f>V32/V65/($B$32)</f>
        <v>1.0273156486989705</v>
      </c>
      <c r="W69" s="191"/>
      <c r="X69" s="191">
        <f>X32/X65/($B$32)</f>
        <v>1.0218954743217745</v>
      </c>
      <c r="Y69" s="191"/>
      <c r="Z69" s="191">
        <f>Z32/Z65/($B$32)</f>
        <v>1.0131024492010337</v>
      </c>
      <c r="AA69" s="191"/>
      <c r="AB69" s="191">
        <f>AB32/AB65/($B$32)</f>
        <v>0.9995883669202652</v>
      </c>
      <c r="AC69" s="191"/>
      <c r="AD69" s="191">
        <f>AD32/AD65/($B$32)</f>
        <v>0.97910157069767811</v>
      </c>
      <c r="AE69" s="191"/>
      <c r="AF69" s="191">
        <f>AF32/AF65/($B$32)</f>
        <v>0.94759383313749279</v>
      </c>
      <c r="AG69" s="191"/>
      <c r="AH69" s="191">
        <f>AH32/AH65/($B$32)</f>
        <v>0.89720949959684848</v>
      </c>
      <c r="AI69" s="191"/>
      <c r="AJ69" s="191">
        <f>AJ32/AJ65/($B$32)</f>
        <v>0.81185681939850451</v>
      </c>
      <c r="AK69" s="191"/>
      <c r="AL69" s="191">
        <f>AL32/AL65/($B$32)</f>
        <v>0.65913172778731277</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1.0053502493382778</v>
      </c>
      <c r="E70" s="138"/>
      <c r="F70" s="138">
        <f>F18/$B$18</f>
        <v>1.0100860223396417</v>
      </c>
      <c r="G70" s="138"/>
      <c r="H70" s="138">
        <f>H18/$B$18</f>
        <v>1.0141601505613209</v>
      </c>
      <c r="I70" s="138"/>
      <c r="J70" s="138">
        <f>J18/$B$18</f>
        <v>1.017506928322774</v>
      </c>
      <c r="K70" s="138"/>
      <c r="L70" s="138">
        <f>L18/$B$18</f>
        <v>1.0200368702385094</v>
      </c>
      <c r="M70" s="138"/>
      <c r="N70" s="138">
        <f>N18/$B$18</f>
        <v>1.0216299579122843</v>
      </c>
      <c r="O70" s="138"/>
      <c r="P70" s="138">
        <f>P18/$B$18</f>
        <v>1.0221239379045268</v>
      </c>
      <c r="Q70" s="138"/>
      <c r="R70" s="138">
        <f>R18/$B$18</f>
        <v>1.0212980959709159</v>
      </c>
      <c r="S70" s="138"/>
      <c r="T70" s="138">
        <f>T18/$B$18</f>
        <v>1.0188473425957056</v>
      </c>
      <c r="U70" s="138"/>
      <c r="V70" s="138">
        <f>V18/$B$18</f>
        <v>1.0143408959985865</v>
      </c>
      <c r="W70" s="138"/>
      <c r="X70" s="138">
        <f>X18/$B$18</f>
        <v>1.0071531600013635</v>
      </c>
      <c r="Y70" s="138"/>
      <c r="Z70" s="138">
        <f>Z18/$B$18</f>
        <v>0.99634338725777716</v>
      </c>
      <c r="AA70" s="138"/>
      <c r="AB70" s="138">
        <f>AB18/$B$18</f>
        <v>0.9804349719173141</v>
      </c>
      <c r="AC70" s="138"/>
      <c r="AD70" s="138">
        <f>AD18/$B$18</f>
        <v>0.95698972243650349</v>
      </c>
      <c r="AE70" s="138"/>
      <c r="AF70" s="138">
        <f>AF18/$B$18</f>
        <v>0.92174670491051136</v>
      </c>
      <c r="AG70" s="138"/>
      <c r="AH70" s="138">
        <f>AH18/$B$18</f>
        <v>0.8668307290219992</v>
      </c>
      <c r="AI70" s="138"/>
      <c r="AJ70" s="138">
        <f>AJ18/$B$18</f>
        <v>0.77709054376190034</v>
      </c>
      <c r="AK70" s="138"/>
      <c r="AL70" s="138">
        <f>AL18/$B$18</f>
        <v>0.62374259198885051</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0.92907322187068409</v>
      </c>
      <c r="E71" s="138"/>
      <c r="F71" s="138">
        <f>G18/$C$18</f>
        <v>0.85845393577262763</v>
      </c>
      <c r="G71" s="138"/>
      <c r="H71" s="138">
        <f>I18/$C$18</f>
        <v>0.78816547242073809</v>
      </c>
      <c r="I71" s="138"/>
      <c r="J71" s="138">
        <f>K18/$C$18</f>
        <v>0.71824818330498796</v>
      </c>
      <c r="K71" s="138"/>
      <c r="L71" s="138">
        <f>M18/$C$18</f>
        <v>0.64876840571240535</v>
      </c>
      <c r="M71" s="138"/>
      <c r="N71" s="138">
        <f>O18/$C$18</f>
        <v>0.57981992243430558</v>
      </c>
      <c r="O71" s="138"/>
      <c r="P71" s="138">
        <f>Q18/$C$18</f>
        <v>0.51154927436376141</v>
      </c>
      <c r="Q71" s="138"/>
      <c r="R71" s="138">
        <f>S18/$C$18</f>
        <v>0.44417222693292274</v>
      </c>
      <c r="S71" s="138"/>
      <c r="T71" s="138">
        <f>U18/$C$18</f>
        <v>0.37800554670734987</v>
      </c>
      <c r="U71" s="138"/>
      <c r="V71" s="138">
        <f>W18/$C$18</f>
        <v>0.31351505143354313</v>
      </c>
      <c r="W71" s="138"/>
      <c r="X71" s="138">
        <f>Y18/$C$18</f>
        <v>0.25138088766154831</v>
      </c>
      <c r="Y71" s="138"/>
      <c r="Z71" s="138">
        <f>AA18/$C$18</f>
        <v>0.19258749669057151</v>
      </c>
      <c r="AA71" s="138"/>
      <c r="AB71" s="138">
        <f>AC18/$C$18</f>
        <v>0.13853480521482742</v>
      </c>
      <c r="AC71" s="138"/>
      <c r="AD71" s="138">
        <f>AE18/$C$18</f>
        <v>9.1124994341848481E-2</v>
      </c>
      <c r="AE71" s="138"/>
      <c r="AF71" s="138">
        <f>AG18/$C$18</f>
        <v>5.2678224993309458E-2</v>
      </c>
      <c r="AG71" s="138"/>
      <c r="AH71" s="138">
        <f>AI18/$C$18</f>
        <v>2.5319834308044031E-2</v>
      </c>
      <c r="AI71" s="138"/>
      <c r="AJ71" s="138">
        <f>AK18/$C$18</f>
        <v>9.5098184151661894E-3</v>
      </c>
      <c r="AK71" s="138"/>
      <c r="AL71" s="138">
        <f>AM18/$C$18</f>
        <v>2.7064868837605727E-3</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1.028085758861345</v>
      </c>
      <c r="E72" s="138"/>
      <c r="F72" s="138">
        <f>G19/$C$19</f>
        <v>1.0590383283946458</v>
      </c>
      <c r="G72" s="138"/>
      <c r="H72" s="138">
        <f>I19/$C$19</f>
        <v>1.0931782216573951</v>
      </c>
      <c r="I72" s="138"/>
      <c r="J72" s="138">
        <f>K19/$C$19</f>
        <v>1.1308332061849189</v>
      </c>
      <c r="K72" s="138"/>
      <c r="L72" s="138">
        <f>M19/$C$19</f>
        <v>1.1723000391578966</v>
      </c>
      <c r="M72" s="138"/>
      <c r="N72" s="138">
        <f>O19/$C$19</f>
        <v>1.2178336136340362</v>
      </c>
      <c r="O72" s="138"/>
      <c r="P72" s="138">
        <f>Q19/$C$19</f>
        <v>1.267556165832824</v>
      </c>
      <c r="Q72" s="138"/>
      <c r="R72" s="138">
        <f>S19/$C$19</f>
        <v>1.3213561603967277</v>
      </c>
      <c r="S72" s="138"/>
      <c r="T72" s="138">
        <f>U19/$C$19</f>
        <v>1.3786925627124662</v>
      </c>
      <c r="U72" s="138"/>
      <c r="V72" s="138">
        <f>W19/$C$19</f>
        <v>1.4382701480714313</v>
      </c>
      <c r="W72" s="138"/>
      <c r="X72" s="138">
        <f>Y19/$C$19</f>
        <v>1.4974857765882041</v>
      </c>
      <c r="Y72" s="138"/>
      <c r="Z72" s="138">
        <f>AA19/$C$19</f>
        <v>1.5514995208664799</v>
      </c>
      <c r="AA72" s="138"/>
      <c r="AB72" s="138">
        <f>AC19/$C$19</f>
        <v>1.5917206049422812</v>
      </c>
      <c r="AC72" s="138"/>
      <c r="AD72" s="138">
        <f>AE19/$C$19</f>
        <v>1.6035629438613999</v>
      </c>
      <c r="AE72" s="138"/>
      <c r="AF72" s="138">
        <f>AG19/$C$19</f>
        <v>1.5640198265846874</v>
      </c>
      <c r="AG72" s="138"/>
      <c r="AH72" s="138">
        <f>AI19/$C$19</f>
        <v>1.4422259920294942</v>
      </c>
      <c r="AI72" s="138"/>
      <c r="AJ72" s="138">
        <f>AK19/$C$19</f>
        <v>1.2105982140949783</v>
      </c>
      <c r="AK72" s="138"/>
      <c r="AL72" s="138">
        <f>AM19/$C$19</f>
        <v>0.86821640706523029</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0.47641154858931045</v>
      </c>
      <c r="E73" s="138"/>
      <c r="F73" s="193">
        <f t="array" ref="F73">SUM(F9:G9*F22:G22)/F32</f>
        <v>0.47641155084170522</v>
      </c>
      <c r="G73" s="138"/>
      <c r="H73" s="193">
        <f t="array" ref="H73">SUM(H9:I9*H22:I22)/H32</f>
        <v>0.47641153421167715</v>
      </c>
      <c r="I73" s="138"/>
      <c r="J73" s="193">
        <f t="array" ref="J73">SUM(J9:K9*J22:K22)/J32</f>
        <v>0.47641158308875714</v>
      </c>
      <c r="K73" s="138"/>
      <c r="L73" s="193">
        <f t="array" ref="L73">SUM(L9:M9*L22:M22)/L32</f>
        <v>0.47641153443543277</v>
      </c>
      <c r="M73" s="138"/>
      <c r="N73" s="193">
        <f t="array" ref="N73">SUM(N9:O9*N22:O22)/N32</f>
        <v>0.47641153512298923</v>
      </c>
      <c r="O73" s="138"/>
      <c r="P73" s="193">
        <f t="array" ref="P73">SUM(P9:Q9*P22:Q22)/P32</f>
        <v>0.47641153568482209</v>
      </c>
      <c r="Q73" s="138"/>
      <c r="R73" s="193">
        <f t="array" ref="R73">SUM(R9:S9*R22:S22)/R32</f>
        <v>0.47641153723927832</v>
      </c>
      <c r="S73" s="138"/>
      <c r="T73" s="193">
        <f t="array" ref="T73">SUM(T9:U9*T22:U22)/T32</f>
        <v>0.4764115367961651</v>
      </c>
      <c r="U73" s="138"/>
      <c r="V73" s="193">
        <f t="array" ref="V73">SUM(V9:W9*V22:W22)/V32</f>
        <v>0.47641153601404179</v>
      </c>
      <c r="W73" s="138"/>
      <c r="X73" s="193">
        <f t="array" ref="X73">SUM(X9:Y9*X22:Y22)/X32</f>
        <v>0.47641153301738287</v>
      </c>
      <c r="Y73" s="138"/>
      <c r="Z73" s="193">
        <f t="array" ref="Z73">SUM(Z9:AA9*Z22:AA22)/Z32</f>
        <v>0.47641153479863063</v>
      </c>
      <c r="AA73" s="138"/>
      <c r="AB73" s="193">
        <f t="array" ref="AB73">SUM(AB9:AC9*AB22:AC22)/AB32</f>
        <v>0.47641153406597991</v>
      </c>
      <c r="AC73" s="138"/>
      <c r="AD73" s="193">
        <f t="array" ref="AD73">SUM(AD9:AE9*AD22:AE22)/AD32</f>
        <v>0.47641153387966828</v>
      </c>
      <c r="AE73" s="138"/>
      <c r="AF73" s="193">
        <f t="array" ref="AF73">SUM(AF9:AG9*AF22:AG22)/AF32</f>
        <v>0.47641153427277916</v>
      </c>
      <c r="AG73" s="138"/>
      <c r="AH73" s="193">
        <f t="array" ref="AH73">SUM(AH9:AI9*AH22:AI22)/AH32</f>
        <v>0.4764115334793747</v>
      </c>
      <c r="AI73" s="138"/>
      <c r="AJ73" s="193">
        <f t="array" ref="AJ73">SUM(AJ9:AK9*AJ22:AK22)/AJ32</f>
        <v>0.47641153357798771</v>
      </c>
      <c r="AK73" s="138"/>
      <c r="AL73" s="193">
        <f t="array" ref="AL73">SUM(AL9:AM9*AL22:AM22)/AL32</f>
        <v>0.47641153350248688</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0.22604620456442481</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0.22038438872605329</v>
      </c>
      <c r="E75" s="138"/>
      <c r="F75" s="193">
        <f t="array" ref="F75">SUM(F11:G11*F24:G24)/F32</f>
        <v>0.22038438876210997</v>
      </c>
      <c r="G75" s="138"/>
      <c r="H75" s="193">
        <f t="array" ref="H75">SUM(H11:I11*H24:I24)/H32</f>
        <v>0.2203843883112134</v>
      </c>
      <c r="I75" s="138"/>
      <c r="J75" s="193">
        <f t="array" ref="J75">SUM(J11:K11*J24:K24)/J32</f>
        <v>0.22038438722557541</v>
      </c>
      <c r="K75" s="138"/>
      <c r="L75" s="193">
        <f t="array" ref="L75">SUM(L11:M11*L24:M24)/L32</f>
        <v>0.22038438829463719</v>
      </c>
      <c r="M75" s="138"/>
      <c r="N75" s="193">
        <f t="array" ref="N75">SUM(N11:O11*N24:O24)/N32</f>
        <v>0.22038438825705686</v>
      </c>
      <c r="O75" s="138"/>
      <c r="P75" s="193">
        <f t="array" ref="P75">SUM(P11:Q11*P24:Q24)/P32</f>
        <v>0.22038438821979023</v>
      </c>
      <c r="Q75" s="138"/>
      <c r="R75" s="193">
        <f t="array" ref="R75">SUM(R11:S11*R24:S24)/R32</f>
        <v>0.22038438825699894</v>
      </c>
      <c r="S75" s="138"/>
      <c r="T75" s="193">
        <f t="array" ref="T75">SUM(T11:U11*T24:U24)/T32</f>
        <v>0.22038438827057777</v>
      </c>
      <c r="U75" s="138"/>
      <c r="V75" s="193">
        <f t="array" ref="V75">SUM(V11:W11*V24:W24)/V32</f>
        <v>0.22038438829094781</v>
      </c>
      <c r="W75" s="138"/>
      <c r="X75" s="193">
        <f t="array" ref="X75">SUM(X11:Y11*X24:Y24)/X32</f>
        <v>0.22038438837763386</v>
      </c>
      <c r="Y75" s="138"/>
      <c r="Z75" s="193">
        <f t="array" ref="Z75">SUM(Z11:AA11*Z24:AA24)/Z32</f>
        <v>0.22038438838128274</v>
      </c>
      <c r="AA75" s="138"/>
      <c r="AB75" s="193">
        <f t="array" ref="AB75">SUM(AB11:AC11*AB24:AC24)/AB32</f>
        <v>0.22038438831475329</v>
      </c>
      <c r="AC75" s="138"/>
      <c r="AD75" s="193">
        <f t="array" ref="AD75">SUM(AD11:AE11*AD24:AE24)/AD32</f>
        <v>0.22038438831025217</v>
      </c>
      <c r="AE75" s="138"/>
      <c r="AF75" s="193">
        <f t="array" ref="AF75">SUM(AF11:AG11*AF24:AG24)/AF32</f>
        <v>0.22038438838615734</v>
      </c>
      <c r="AG75" s="138"/>
      <c r="AH75" s="193">
        <f t="array" ref="AH75">SUM(AH11:AI11*AH24:AI24)/AH32</f>
        <v>0.22038438833596805</v>
      </c>
      <c r="AI75" s="138"/>
      <c r="AJ75" s="193">
        <f t="array" ref="AJ75">SUM(AJ11:AK11*AJ24:AK24)/AJ32</f>
        <v>0.22038438833168458</v>
      </c>
      <c r="AK75" s="138"/>
      <c r="AL75" s="193">
        <f t="array" ref="AL75">SUM(AL11:AM11*AL24:AM24)/AL32</f>
        <v>0.22038438833073953</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0.22299432521827831</v>
      </c>
      <c r="E76" s="138"/>
      <c r="F76" s="193">
        <f t="array" ref="F76">SUM(F12:G12*F25:G25)/F32</f>
        <v>0.22302301209603859</v>
      </c>
      <c r="G76" s="138"/>
      <c r="H76" s="193">
        <f t="array" ref="H76">SUM(H12:I12*H25:I25)/H32</f>
        <v>0.22310934987023073</v>
      </c>
      <c r="I76" s="138"/>
      <c r="J76" s="193">
        <f t="array" ref="J76">SUM(J12:K12*J25:K25)/J32</f>
        <v>0.22325831296794432</v>
      </c>
      <c r="K76" s="138"/>
      <c r="L76" s="193">
        <f t="array" ref="L76">SUM(L12:M12*L25:M25)/L32</f>
        <v>0.22347518213905995</v>
      </c>
      <c r="M76" s="138"/>
      <c r="N76" s="193">
        <f t="array" ref="N76">SUM(N12:O12*N25:O25)/N32</f>
        <v>0.22376498345505738</v>
      </c>
      <c r="O76" s="138"/>
      <c r="P76" s="193">
        <f t="array" ref="P76">SUM(P12:Q12*P25:Q25)/P32</f>
        <v>0.22413191490270112</v>
      </c>
      <c r="Q76" s="138"/>
      <c r="R76" s="193">
        <f t="array" ref="R76">SUM(R12:S12*R25:S25)/R32</f>
        <v>0.22457791711430011</v>
      </c>
      <c r="S76" s="138"/>
      <c r="T76" s="193">
        <f t="array" ref="T76">SUM(T12:U12*T25:U25)/T32</f>
        <v>0.22510026164374372</v>
      </c>
      <c r="U76" s="138"/>
      <c r="V76" s="193">
        <f t="array" ref="V76">SUM(V12:W12*V25:W25)/V32</f>
        <v>0.22568728099049923</v>
      </c>
      <c r="W76" s="138"/>
      <c r="X76" s="193">
        <f t="array" ref="X76">SUM(X12:Y12*X25:Y25)/X32</f>
        <v>0.22631076595397784</v>
      </c>
      <c r="Y76" s="138"/>
      <c r="Z76" s="193">
        <f t="array" ref="Z76">SUM(Z12:AA12*Z25:AA25)/Z32</f>
        <v>0.22691266113807207</v>
      </c>
      <c r="AA76" s="138"/>
      <c r="AB76" s="193">
        <f t="array" ref="AB76">SUM(AB12:AC12*AB25:AC25)/AB32</f>
        <v>0.22738260184060571</v>
      </c>
      <c r="AC76" s="138"/>
      <c r="AD76" s="193">
        <f t="array" ref="AD76">SUM(AD12:AE12*AD25:AE25)/AD32</f>
        <v>0.22752342158544611</v>
      </c>
      <c r="AE76" s="138"/>
      <c r="AF76" s="193">
        <f t="array" ref="AF76">SUM(AF12:AG12*AF25:AG25)/AF32</f>
        <v>0.22701338528709425</v>
      </c>
      <c r="AG76" s="138"/>
      <c r="AH76" s="193">
        <f t="array" ref="AH76">SUM(AH12:AI12*AH25:AI25)/AH32</f>
        <v>0.22542058865228209</v>
      </c>
      <c r="AI76" s="138"/>
      <c r="AJ76" s="193">
        <f t="array" ref="AJ76">SUM(AJ12:AK12*AJ25:AK25)/AJ32</f>
        <v>0.22241819758405784</v>
      </c>
      <c r="AK76" s="138"/>
      <c r="AL76" s="193">
        <f t="array" ref="AL76">SUM(AL12:AM12*AL25:AM25)/AL32</f>
        <v>0.21831108600847807</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0.14583646709806689</v>
      </c>
      <c r="E77" s="138"/>
      <c r="F77" s="193">
        <f t="array" ref="F77">SUM(F4:G4*F19:G19)/F32</f>
        <v>0.14586515626427843</v>
      </c>
      <c r="G77" s="138"/>
      <c r="H77" s="193">
        <f t="array" ref="H77">SUM(H4:I4*H19:I19)/H32</f>
        <v>0.14595147695754615</v>
      </c>
      <c r="I77" s="138"/>
      <c r="J77" s="193">
        <f t="array" ref="J77">SUM(J4:K4*J19:K19)/J32</f>
        <v>0.14610048784670154</v>
      </c>
      <c r="K77" s="138"/>
      <c r="L77" s="193">
        <f t="array" ref="L77">SUM(L4:M4*L19:M19)/L32</f>
        <v>0.14631730943355473</v>
      </c>
      <c r="M77" s="138"/>
      <c r="N77" s="193">
        <f t="array" ref="N77">SUM(N4:O4*N19:O19)/N32</f>
        <v>0.14660711139952837</v>
      </c>
      <c r="O77" s="138"/>
      <c r="P77" s="193">
        <f t="array" ref="P77">SUM(P4:Q4*P19:Q19)/P32</f>
        <v>0.14697404337173811</v>
      </c>
      <c r="Q77" s="138"/>
      <c r="R77" s="193">
        <f t="array" ref="R77">SUM(R4:S4*R19:S19)/R32</f>
        <v>0.14742004717500215</v>
      </c>
      <c r="S77" s="138"/>
      <c r="T77" s="193">
        <f t="array" ref="T77">SUM(T4:U4*T19:U19)/T32</f>
        <v>0.14794239127491129</v>
      </c>
      <c r="U77" s="138"/>
      <c r="V77" s="193">
        <f t="array" ref="V77">SUM(V4:W4*V19:W19)/V32</f>
        <v>0.14852940985991359</v>
      </c>
      <c r="W77" s="138"/>
      <c r="X77" s="193">
        <f t="array" ref="X77">SUM(X4:Y4*X19:Y19)/X32</f>
        <v>0.14915289191341913</v>
      </c>
      <c r="Y77" s="138"/>
      <c r="Z77" s="193">
        <f t="array" ref="Z77">SUM(Z4:AA4*Z19:AA19)/Z32</f>
        <v>0.14975478888241031</v>
      </c>
      <c r="AA77" s="138"/>
      <c r="AB77" s="193">
        <f t="array" ref="AB77">SUM(AB4:AC4*AB19:AC19)/AB32</f>
        <v>0.15022472878576351</v>
      </c>
      <c r="AC77" s="138"/>
      <c r="AD77" s="193">
        <f t="array" ref="AD77">SUM(AD4:AE4*AD19:AE19)/AD32</f>
        <v>0.15036554833979116</v>
      </c>
      <c r="AE77" s="138"/>
      <c r="AF77" s="193">
        <f t="array" ref="AF77">SUM(AF4:AG4*AF19:AG19)/AF32</f>
        <v>0.1498555125104554</v>
      </c>
      <c r="AG77" s="138"/>
      <c r="AH77" s="193">
        <f t="array" ref="AH77">SUM(AH4:AI4*AH19:AI19)/AH32</f>
        <v>0.14826271503204946</v>
      </c>
      <c r="AI77" s="138"/>
      <c r="AJ77" s="193">
        <f t="array" ref="AJ77">SUM(AJ4:AK4*AJ19:AK19)/AJ32</f>
        <v>0.14526032405815484</v>
      </c>
      <c r="AK77" s="138"/>
      <c r="AL77" s="193">
        <f t="array" ref="AL77">SUM(AL4:AM4*AL19:AM19)/AL32</f>
        <v>0.14115321240612899</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0.34918820590129718</v>
      </c>
      <c r="E78" s="138"/>
      <c r="F78" s="193">
        <f t="array" ref="F78">SUM(F13:G13*F26:G26)/F32</f>
        <v>0.35152863843997534</v>
      </c>
      <c r="G78" s="138"/>
      <c r="H78" s="193">
        <f t="array" ref="H78">SUM(H13:I13*H26:I26)/H32</f>
        <v>0.35392071108992984</v>
      </c>
      <c r="I78" s="138"/>
      <c r="J78" s="193">
        <f t="array" ref="J78">SUM(J13:K13*J26:K26)/J32</f>
        <v>0.3563782445498791</v>
      </c>
      <c r="K78" s="138"/>
      <c r="L78" s="193">
        <f t="array" ref="L78">SUM(L13:M13*L26:M26)/L32</f>
        <v>0.3589177261895577</v>
      </c>
      <c r="M78" s="138"/>
      <c r="N78" s="193">
        <f t="array" ref="N78">SUM(N13:O13*N26:O26)/N32</f>
        <v>0.36155943293955511</v>
      </c>
      <c r="O78" s="138"/>
      <c r="P78" s="193">
        <f t="array" ref="P78">SUM(P13:Q13*P26:Q26)/P32</f>
        <v>0.36432902007473456</v>
      </c>
      <c r="Q78" s="138"/>
      <c r="R78" s="193">
        <f t="array" ref="R78">SUM(R13:S13*R26:S26)/R32</f>
        <v>0.36725992444213368</v>
      </c>
      <c r="S78" s="138"/>
      <c r="T78" s="193">
        <f t="array" ref="T78">SUM(T13:U13*T26:U26)/T32</f>
        <v>0.37039703821542319</v>
      </c>
      <c r="U78" s="138"/>
      <c r="V78" s="193">
        <f t="array" ref="V78">SUM(V13:W13*V26:W26)/V32</f>
        <v>0.37380284749477871</v>
      </c>
      <c r="W78" s="138"/>
      <c r="X78" s="193">
        <f t="array" ref="X78">SUM(X13:Y13*X26:Y26)/X32</f>
        <v>0.37756724570100231</v>
      </c>
      <c r="Y78" s="138"/>
      <c r="Z78" s="193">
        <f t="array" ref="Z78">SUM(Z13:AA13*Z26:AA26)/Z32</f>
        <v>0.38182404886469418</v>
      </c>
      <c r="AA78" s="138"/>
      <c r="AB78" s="193">
        <f t="array" ref="AB78">SUM(AB13:AC13*AB26:AC26)/AB32</f>
        <v>0.3867785968030481</v>
      </c>
      <c r="AC78" s="138"/>
      <c r="AD78" s="193">
        <f t="array" ref="AD78">SUM(AD13:AE13*AD26:AE26)/AD32</f>
        <v>0.39275171012610516</v>
      </c>
      <c r="AE78" s="138"/>
      <c r="AF78" s="193">
        <f t="array" ref="AF78">SUM(AF13:AG13*AF26:AG26)/AF32</f>
        <v>0.40023854178051915</v>
      </c>
      <c r="AG78" s="138"/>
      <c r="AH78" s="193">
        <f t="array" ref="AH78">SUM(AH13:AI13*AH26:AI26)/AH32</f>
        <v>0.40993905856704493</v>
      </c>
      <c r="AI78" s="138"/>
      <c r="AJ78" s="193">
        <f t="array" ref="AJ78">SUM(AJ13:AK13*AJ26:AK26)/AJ32</f>
        <v>0.42257952349051875</v>
      </c>
      <c r="AK78" s="138"/>
      <c r="AL78" s="193">
        <f t="array" ref="AL78">SUM(AL13:AM13*AL26:AM26)/AL32</f>
        <v>0.43803070753568368</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0.45460968782440492</v>
      </c>
      <c r="D79" s="193">
        <f t="array" ref="D79">SUM(D15:E15*D27:E27)/D32</f>
        <v>0.44653490413770724</v>
      </c>
      <c r="F79" s="193">
        <f t="array" ref="F79">SUM(F15:G15*F27:G27)/F32</f>
        <v>0.43832034289329042</v>
      </c>
      <c r="H79" s="193">
        <f t="array" ref="H79">SUM(H15:I15*H27:I27)/H32</f>
        <v>0.42992448173310377</v>
      </c>
      <c r="J79" s="193">
        <f t="array" ref="J79">SUM(J15:K15*J27:K27)/J32</f>
        <v>0.42129883358207604</v>
      </c>
      <c r="L79" s="193">
        <f t="array" ref="L79">SUM(L15:M15*L27:M27)/L32</f>
        <v>0.41238569773636746</v>
      </c>
      <c r="N79" s="193">
        <f t="array" ref="N79">SUM(N15:O15*N27:O27)/N32</f>
        <v>0.40311368493714955</v>
      </c>
      <c r="P79" s="193">
        <f t="array" ref="P79">SUM(P15:Q15*P27:Q27)/P32</f>
        <v>0.39339283422203991</v>
      </c>
      <c r="R79" s="193">
        <f t="array" ref="R79">SUM(R15:S15*R27:S27)/R32</f>
        <v>0.38310584346003468</v>
      </c>
      <c r="T79" s="193">
        <f t="array" ref="T79">SUM(T15:U15*T27:U27)/T32</f>
        <v>0.37209504358908202</v>
      </c>
      <c r="V79" s="193">
        <f t="array" ref="V79">SUM(V15:W15*V27:W27)/V32</f>
        <v>0.3601411629950787</v>
      </c>
      <c r="X79" s="193">
        <f t="array" ref="X79">SUM(X15:Y15*X27:Y27)/X32</f>
        <v>0.34692870321586239</v>
      </c>
      <c r="Z79" s="193">
        <f t="array" ref="Z79">SUM(Z15:AA15*Z27:AA27)/Z32</f>
        <v>0.33198794658189817</v>
      </c>
      <c r="AB79" s="193">
        <f t="array" ref="AB79">SUM(AB15:AC15*AB27:AC27)/AB32</f>
        <v>0.31459821839079638</v>
      </c>
      <c r="AD79" s="193">
        <f t="array" ref="AD79">SUM(AD15:AE15*AD27:AE27)/AD32</f>
        <v>0.29363348342779338</v>
      </c>
      <c r="AF79" s="193">
        <f t="array" ref="AF79">SUM(AF15:AG15*AF27:AG27)/AF32</f>
        <v>0.26735582639210315</v>
      </c>
      <c r="AH79" s="193">
        <f t="array" ref="AH79">SUM(AH15:AI15*AH27:AI27)/AH32</f>
        <v>0.23330846051583604</v>
      </c>
      <c r="AJ79" s="193">
        <f t="array" ref="AJ79">SUM(AJ15:AK15*AJ27:AK27)/AJ32</f>
        <v>0.18894231660350036</v>
      </c>
      <c r="AL79" s="193">
        <f t="array" ref="AL79">SUM(AL15:AM15*AL27:AM27)/AL32</f>
        <v>0.13471096788243847</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0.204276930794449</v>
      </c>
      <c r="F80" s="236">
        <f>F55</f>
        <v>0.21015107145420833</v>
      </c>
      <c r="H80" s="236">
        <f>H55</f>
        <v>0.21615480512922836</v>
      </c>
      <c r="J80" s="236">
        <f>J55</f>
        <v>0.22232297959775918</v>
      </c>
      <c r="L80" s="236">
        <f>L55</f>
        <v>0.22869657287879042</v>
      </c>
      <c r="N80" s="236">
        <f>N55</f>
        <v>0.23532687607129243</v>
      </c>
      <c r="P80" s="236">
        <f>P55</f>
        <v>0.24227813686704577</v>
      </c>
      <c r="R80" s="236">
        <f>R55</f>
        <v>0.24963423732210643</v>
      </c>
      <c r="T80" s="236">
        <f>T55</f>
        <v>0.25750792272774098</v>
      </c>
      <c r="V80" s="236">
        <f>V55</f>
        <v>0.26605599302246802</v>
      </c>
      <c r="X80" s="236">
        <f>X55</f>
        <v>0.27550406300542885</v>
      </c>
      <c r="Z80" s="236">
        <f>Z55</f>
        <v>0.28618801521436094</v>
      </c>
      <c r="AB80" s="236">
        <f>AB55</f>
        <v>0.2986231831671774</v>
      </c>
      <c r="AD80" s="236">
        <f>AD55</f>
        <v>0.31361480203465208</v>
      </c>
      <c r="AF80" s="236">
        <f>AF55</f>
        <v>0.33240564368894343</v>
      </c>
      <c r="AH80" s="236">
        <f>AH55</f>
        <v>0.35675248270516263</v>
      </c>
      <c r="AJ80" s="236">
        <f>AJ55</f>
        <v>0.38847815921125484</v>
      </c>
      <c r="AL80" s="236">
        <f>AL55</f>
        <v>0.42725832299649968</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-2.1769273769975835E-2</v>
      </c>
      <c r="F81" s="236">
        <f>F51/F$32</f>
        <v>-1.5895133110216505E-2</v>
      </c>
      <c r="H81" s="236">
        <f>H51/H$32</f>
        <v>-9.8913994351964782E-3</v>
      </c>
      <c r="J81" s="236">
        <f>J51/J$32</f>
        <v>-3.723224966665654E-3</v>
      </c>
      <c r="L81" s="236">
        <f>L51/L$32</f>
        <v>2.6503683143655693E-3</v>
      </c>
      <c r="N81" s="236">
        <f>N51/N$32</f>
        <v>9.2806715068675955E-3</v>
      </c>
      <c r="P81" s="236">
        <f>P51/P$32</f>
        <v>1.6231932302620936E-2</v>
      </c>
      <c r="R81" s="236">
        <f>R51/R$32</f>
        <v>2.3588032757681593E-2</v>
      </c>
      <c r="T81" s="236">
        <f>T51/T$32</f>
        <v>3.1461718163316124E-2</v>
      </c>
      <c r="V81" s="236">
        <f>V51/V$32</f>
        <v>4.0009788458043184E-2</v>
      </c>
      <c r="X81" s="236">
        <f>X51/X$32</f>
        <v>4.9457858441003984E-2</v>
      </c>
      <c r="Z81" s="236">
        <f>Z51/Z$32</f>
        <v>6.0141810649936109E-2</v>
      </c>
      <c r="AB81" s="236">
        <f>AB51/AB$32</f>
        <v>7.2576978602752543E-2</v>
      </c>
      <c r="AD81" s="236">
        <f>AD51/AD$32</f>
        <v>8.7568597470227258E-2</v>
      </c>
      <c r="AF81" s="236">
        <f>AF51/AF$32</f>
        <v>0.10635943912451862</v>
      </c>
      <c r="AH81" s="236">
        <f>AH51/AH$32</f>
        <v>0.13070627814073779</v>
      </c>
      <c r="AJ81" s="236">
        <f>AJ51/AJ$32</f>
        <v>0.16243195464682997</v>
      </c>
      <c r="AL81" s="236">
        <f>AL51/AL$32</f>
        <v>0.20121211843207484</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0.14000099383359149</v>
      </c>
      <c r="F82" s="236">
        <f>F52/F$32</f>
        <v>0.14093934992889454</v>
      </c>
      <c r="H82" s="236">
        <f>H52/H$32</f>
        <v>0.14189841023693495</v>
      </c>
      <c r="J82" s="236">
        <f>J52/J$32</f>
        <v>0.14288371592870122</v>
      </c>
      <c r="L82" s="236">
        <f>L52/L$32</f>
        <v>0.14390187733097279</v>
      </c>
      <c r="N82" s="236">
        <f>N52/N$32</f>
        <v>0.14496102412965103</v>
      </c>
      <c r="P82" s="236">
        <f>P52/P$32</f>
        <v>0.14607144236509237</v>
      </c>
      <c r="R82" s="236">
        <f>R52/R$32</f>
        <v>0.14724653796492221</v>
      </c>
      <c r="T82" s="236">
        <f>T52/T$32</f>
        <v>0.14850430967257755</v>
      </c>
      <c r="V82" s="236">
        <f>V52/V$32</f>
        <v>0.14986981021314341</v>
      </c>
      <c r="X82" s="236">
        <f>X52/X$32</f>
        <v>0.15137908080461826</v>
      </c>
      <c r="Z82" s="236">
        <f>Z52/Z$32</f>
        <v>0.15308577267851076</v>
      </c>
      <c r="AB82" s="236">
        <f>AB52/AB$32</f>
        <v>0.15507221329604351</v>
      </c>
      <c r="AD82" s="236">
        <f>AD52/AD$32</f>
        <v>0.15746703015232935</v>
      </c>
      <c r="AF82" s="236">
        <f>AF52/AF$32</f>
        <v>0.16046874628869576</v>
      </c>
      <c r="AH82" s="236">
        <f>AH52/AH$32</f>
        <v>0.16435800133185413</v>
      </c>
      <c r="AJ82" s="236">
        <f>AJ52/AJ$32</f>
        <v>0.16942597791839789</v>
      </c>
      <c r="AL82" s="236">
        <f>AL52/AL$32</f>
        <v>0.1756208639015753</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0.18600714462929877</v>
      </c>
      <c r="D83" s="236">
        <f>D53/D$32</f>
        <v>0.18270328310305248</v>
      </c>
      <c r="F83" s="236">
        <f>F53/F$32</f>
        <v>0.17934223048499509</v>
      </c>
      <c r="H83" s="236">
        <f>H53/H$32</f>
        <v>0.17590699757435468</v>
      </c>
      <c r="J83" s="236">
        <f>J53/J$32</f>
        <v>0.17237774550137783</v>
      </c>
      <c r="L83" s="236">
        <f>L53/L$32</f>
        <v>0.16873086556732397</v>
      </c>
      <c r="N83" s="236">
        <f>N53/N$32</f>
        <v>0.16493714829305639</v>
      </c>
      <c r="P83" s="236">
        <f>P53/P$32</f>
        <v>0.16095978544023568</v>
      </c>
      <c r="R83" s="236">
        <f>R53/R$32</f>
        <v>0.15675078191541936</v>
      </c>
      <c r="T83" s="236">
        <f>T53/T$32</f>
        <v>0.15224562617647774</v>
      </c>
      <c r="V83" s="236">
        <f>V53/V$32</f>
        <v>0.14735460151052523</v>
      </c>
      <c r="X83" s="236">
        <f>X53/X$32</f>
        <v>0.14194861922971924</v>
      </c>
      <c r="Z83" s="236">
        <f>Z53/Z$32</f>
        <v>0.13583549063937916</v>
      </c>
      <c r="AB83" s="236">
        <f>AB53/AB$32</f>
        <v>0.12872034599258086</v>
      </c>
      <c r="AD83" s="236">
        <f>AD53/AD$32</f>
        <v>0.12014245908691411</v>
      </c>
      <c r="AF83" s="236">
        <f>AF53/AF$32</f>
        <v>0.10939074814967449</v>
      </c>
      <c r="AH83" s="236">
        <f>AH53/AH$32</f>
        <v>9.5459999469194007E-2</v>
      </c>
      <c r="AJ83" s="236">
        <f>AJ53/AJ$32</f>
        <v>7.7307241249633951E-2</v>
      </c>
      <c r="AL83" s="236">
        <f>AL53/AL$32</f>
        <v>5.5118056559630577E-2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4.5233428757489778E-2</v>
      </c>
      <c r="E2" s="227"/>
      <c r="F2" s="226">
        <v>8.8001364769437748E-2</v>
      </c>
      <c r="G2" s="227"/>
      <c r="H2" s="226">
        <v>0.13450163599875339</v>
      </c>
      <c r="I2" s="227"/>
      <c r="J2" s="226">
        <v>0.18523451261581603</v>
      </c>
      <c r="K2" s="227"/>
      <c r="L2" s="226">
        <v>0.24078973823687194</v>
      </c>
      <c r="M2" s="227"/>
      <c r="N2" s="226">
        <v>0.30186580897457821</v>
      </c>
      <c r="O2" s="227"/>
      <c r="P2" s="226">
        <v>0.36929127551639573</v>
      </c>
      <c r="Q2" s="227"/>
      <c r="R2" s="226">
        <v>0.44405052464600753</v>
      </c>
      <c r="S2" s="227"/>
      <c r="T2" s="226">
        <v>0.52730893936766154</v>
      </c>
      <c r="U2" s="227"/>
      <c r="V2" s="226">
        <v>0.6204342094911387</v>
      </c>
      <c r="W2" s="227"/>
      <c r="X2" s="226">
        <v>0.72500160885222209</v>
      </c>
      <c r="Y2" s="227"/>
      <c r="Z2" s="226">
        <v>0.8427631804483996</v>
      </c>
      <c r="AA2" s="227"/>
      <c r="AB2" s="226">
        <v>0.97554710037004788</v>
      </c>
      <c r="AC2" s="227"/>
      <c r="AD2" s="226">
        <v>1.1250423981506921</v>
      </c>
      <c r="AE2" s="227"/>
      <c r="AF2" s="226">
        <v>1.2924362457534571</v>
      </c>
      <c r="AG2" s="227"/>
      <c r="AH2" s="226">
        <v>1.4779280997849813</v>
      </c>
      <c r="AI2" s="227"/>
      <c r="AJ2" s="226">
        <v>1.6802679298675745</v>
      </c>
      <c r="AK2" s="227"/>
      <c r="AL2" s="226">
        <v>1.896579870923865</v>
      </c>
      <c r="AM2" s="227"/>
      <c r="AN2" s="226">
        <v>2.1226786001045883</v>
      </c>
      <c r="AO2" s="227"/>
      <c r="AP2" s="226">
        <v>2.1686545962616313</v>
      </c>
      <c r="AQ2" s="227"/>
      <c r="AR2" s="226">
        <v>2.2147928377225492</v>
      </c>
      <c r="AS2" s="227"/>
      <c r="AT2" s="226">
        <v>2.2610558568043264</v>
      </c>
      <c r="AU2" s="227"/>
      <c r="AV2" s="226">
        <v>2.3074071391938218</v>
      </c>
      <c r="AW2" s="227"/>
    </row>
    <row r="3" spans="1:49" x14ac:dyDescent="0.2">
      <c r="A3" t="s">
        <v>12</v>
      </c>
      <c r="B3" s="84">
        <v>1000</v>
      </c>
      <c r="C3" s="85">
        <v>1000</v>
      </c>
      <c r="D3" s="84">
        <v>998.84638531738779</v>
      </c>
      <c r="E3" s="85">
        <v>1018.1881706065341</v>
      </c>
      <c r="F3" s="84">
        <v>997.67326950763754</v>
      </c>
      <c r="G3" s="85">
        <v>1038.106335367371</v>
      </c>
      <c r="H3" s="84">
        <v>996.47799392109278</v>
      </c>
      <c r="I3" s="85">
        <v>1059.9847277253746</v>
      </c>
      <c r="J3" s="84">
        <v>995.25779431102774</v>
      </c>
      <c r="K3" s="85">
        <v>1084.0923339391993</v>
      </c>
      <c r="L3" s="84">
        <v>994.00996128386635</v>
      </c>
      <c r="M3" s="85">
        <v>1110.7439299143009</v>
      </c>
      <c r="N3" s="84">
        <v>992.73202969313286</v>
      </c>
      <c r="O3" s="85">
        <v>1140.3086541315652</v>
      </c>
      <c r="P3" s="84">
        <v>991.42221630215499</v>
      </c>
      <c r="Q3" s="85">
        <v>1173.218375256524</v>
      </c>
      <c r="R3" s="84">
        <v>990.07993566443224</v>
      </c>
      <c r="S3" s="85">
        <v>1209.9770806388099</v>
      </c>
      <c r="T3" s="84">
        <v>988.70666642300853</v>
      </c>
      <c r="U3" s="85">
        <v>1251.1674915265939</v>
      </c>
      <c r="V3" s="84">
        <v>987.30711998323443</v>
      </c>
      <c r="W3" s="85">
        <v>1297.4528843947278</v>
      </c>
      <c r="X3" s="84">
        <v>985.89077900827908</v>
      </c>
      <c r="Y3" s="85">
        <v>1349.5667294097937</v>
      </c>
      <c r="Z3" s="84">
        <v>984.47371779165439</v>
      </c>
      <c r="AA3" s="85">
        <v>1408.2790149251043</v>
      </c>
      <c r="AB3" s="84">
        <v>983.08032166196085</v>
      </c>
      <c r="AC3" s="85">
        <v>1474.3254658110254</v>
      </c>
      <c r="AD3" s="84">
        <v>981.74410679546691</v>
      </c>
      <c r="AE3" s="85">
        <v>1548.2807957945931</v>
      </c>
      <c r="AF3" s="84">
        <v>980.5063276256227</v>
      </c>
      <c r="AG3" s="85">
        <v>1630.3715692605133</v>
      </c>
      <c r="AH3" s="84">
        <v>979.41100231266728</v>
      </c>
      <c r="AI3" s="85">
        <v>1720.2587564052992</v>
      </c>
      <c r="AJ3" s="84">
        <v>978.49635141824751</v>
      </c>
      <c r="AK3" s="85">
        <v>1816.8741434218402</v>
      </c>
      <c r="AL3" s="84">
        <v>977.78523870265303</v>
      </c>
      <c r="AM3" s="85">
        <v>1918.4336839195234</v>
      </c>
      <c r="AN3" s="84">
        <v>977.27944077456357</v>
      </c>
      <c r="AO3" s="85">
        <v>2022.6865085681072</v>
      </c>
      <c r="AP3" s="84">
        <v>977.20161417912675</v>
      </c>
      <c r="AQ3" s="85">
        <v>2043.6531784549902</v>
      </c>
      <c r="AR3" s="84">
        <v>977.13109991510373</v>
      </c>
      <c r="AS3" s="85">
        <v>2064.6164146697593</v>
      </c>
      <c r="AT3" s="84">
        <v>977.0676586467149</v>
      </c>
      <c r="AU3" s="85">
        <v>2085.5592993113132</v>
      </c>
      <c r="AV3" s="84">
        <v>977.01102374980974</v>
      </c>
      <c r="AW3" s="85">
        <v>2106.4656397117142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998.78922658429474</v>
      </c>
      <c r="E5" s="42">
        <v>1015.8304250236303</v>
      </c>
      <c r="F5" s="41">
        <v>997.5573826056966</v>
      </c>
      <c r="G5" s="42">
        <v>1032.8480625730283</v>
      </c>
      <c r="H5" s="41">
        <v>996.30164148132633</v>
      </c>
      <c r="I5" s="42">
        <v>1051.1601215713461</v>
      </c>
      <c r="J5" s="41">
        <v>995.01905905981539</v>
      </c>
      <c r="K5" s="42">
        <v>1070.8811314412078</v>
      </c>
      <c r="L5" s="41">
        <v>993.70674181824791</v>
      </c>
      <c r="M5" s="42">
        <v>1092.131140512412</v>
      </c>
      <c r="N5" s="41">
        <v>992.36204580571234</v>
      </c>
      <c r="O5" s="42">
        <v>1115.0327819510123</v>
      </c>
      <c r="P5" s="41">
        <v>990.98303806229399</v>
      </c>
      <c r="Q5" s="42">
        <v>1139.7056083137759</v>
      </c>
      <c r="R5" s="41">
        <v>989.56904165400135</v>
      </c>
      <c r="S5" s="42">
        <v>1166.2572735688116</v>
      </c>
      <c r="T5" s="41">
        <v>988.12155258303005</v>
      </c>
      <c r="U5" s="42">
        <v>1194.7693812270441</v>
      </c>
      <c r="V5" s="41">
        <v>986.6454791943263</v>
      </c>
      <c r="W5" s="42">
        <v>1225.2768958439353</v>
      </c>
      <c r="X5" s="41">
        <v>985.15077712647906</v>
      </c>
      <c r="Y5" s="42">
        <v>1257.7384496433901</v>
      </c>
      <c r="Z5" s="41">
        <v>983.65438856991477</v>
      </c>
      <c r="AA5" s="42">
        <v>1291.9952570256492</v>
      </c>
      <c r="AB5" s="41">
        <v>982.1820819864605</v>
      </c>
      <c r="AC5" s="42">
        <v>1327.7249764324756</v>
      </c>
      <c r="AD5" s="41">
        <v>980.76934536355441</v>
      </c>
      <c r="AE5" s="42">
        <v>1364.3967020999876</v>
      </c>
      <c r="AF5" s="41">
        <v>979.4599361174279</v>
      </c>
      <c r="AG5" s="42">
        <v>1401.2500444261289</v>
      </c>
      <c r="AH5" s="41">
        <v>978.30062403281261</v>
      </c>
      <c r="AI5" s="42">
        <v>1437.3323555280269</v>
      </c>
      <c r="AJ5" s="41">
        <v>977.33210742423432</v>
      </c>
      <c r="AK5" s="42">
        <v>1471.6150218014948</v>
      </c>
      <c r="AL5" s="41">
        <v>976.57884226294391</v>
      </c>
      <c r="AM5" s="42">
        <v>1503.178743453776</v>
      </c>
      <c r="AN5" s="41">
        <v>976.04291629805437</v>
      </c>
      <c r="AO5" s="42">
        <v>1531.3911498147536</v>
      </c>
      <c r="AP5" s="41">
        <v>975.9604431444634</v>
      </c>
      <c r="AQ5" s="42">
        <v>1536.6023364879456</v>
      </c>
      <c r="AR5" s="41">
        <v>975.88571641106762</v>
      </c>
      <c r="AS5" s="42">
        <v>1541.6677836769018</v>
      </c>
      <c r="AT5" s="41">
        <v>975.81848318821289</v>
      </c>
      <c r="AU5" s="42">
        <v>1546.58779248531</v>
      </c>
      <c r="AV5" s="41">
        <v>975.75846154382396</v>
      </c>
      <c r="AW5" s="42">
        <v>1551.3631692196548</v>
      </c>
    </row>
    <row r="6" spans="1:49" x14ac:dyDescent="0.2">
      <c r="A6" t="s">
        <v>77</v>
      </c>
      <c r="B6" s="41">
        <v>999.99999999999943</v>
      </c>
      <c r="C6" s="42">
        <v>999.99999999999909</v>
      </c>
      <c r="D6" s="41">
        <v>998.69673520958634</v>
      </c>
      <c r="E6" s="42">
        <v>1019.605314538671</v>
      </c>
      <c r="F6" s="41">
        <v>997.37103795623136</v>
      </c>
      <c r="G6" s="42">
        <v>1041.0153883560124</v>
      </c>
      <c r="H6" s="41">
        <v>996.01987991946908</v>
      </c>
      <c r="I6" s="42">
        <v>1064.4660658008263</v>
      </c>
      <c r="J6" s="41">
        <v>994.64010891430371</v>
      </c>
      <c r="K6" s="42">
        <v>1090.2325857970216</v>
      </c>
      <c r="L6" s="41">
        <v>993.22862996049048</v>
      </c>
      <c r="M6" s="42">
        <v>1118.6366985090892</v>
      </c>
      <c r="N6" s="41">
        <v>991.78261943214898</v>
      </c>
      <c r="O6" s="42">
        <v>1150.0553540401779</v>
      </c>
      <c r="P6" s="41">
        <v>990.30002070602188</v>
      </c>
      <c r="Q6" s="42">
        <v>1184.9291116280433</v>
      </c>
      <c r="R6" s="41">
        <v>988.78012948665344</v>
      </c>
      <c r="S6" s="42">
        <v>1223.7715980021856</v>
      </c>
      <c r="T6" s="41">
        <v>987.22457755586959</v>
      </c>
      <c r="U6" s="42">
        <v>1267.176037406565</v>
      </c>
      <c r="V6" s="41">
        <v>985.63866170113215</v>
      </c>
      <c r="W6" s="42">
        <v>1315.8168286103482</v>
      </c>
      <c r="X6" s="41">
        <v>984.03309541595149</v>
      </c>
      <c r="Y6" s="42">
        <v>1370.4385609969659</v>
      </c>
      <c r="Z6" s="41">
        <v>982.42608484199388</v>
      </c>
      <c r="AA6" s="42">
        <v>1431.8210808526935</v>
      </c>
      <c r="AB6" s="41">
        <v>980.84529508009609</v>
      </c>
      <c r="AC6" s="42">
        <v>1500.7065875326193</v>
      </c>
      <c r="AD6" s="41">
        <v>979.32879877675487</v>
      </c>
      <c r="AE6" s="42">
        <v>1577.669557686487</v>
      </c>
      <c r="AF6" s="41">
        <v>977.92351102611167</v>
      </c>
      <c r="AG6" s="42">
        <v>1662.9253055591937</v>
      </c>
      <c r="AH6" s="41">
        <v>976.6795455186799</v>
      </c>
      <c r="AI6" s="42">
        <v>1756.1083917265187</v>
      </c>
      <c r="AJ6" s="41">
        <v>975.6404762954827</v>
      </c>
      <c r="AK6" s="42">
        <v>1856.107274897219</v>
      </c>
      <c r="AL6" s="41">
        <v>974.83244497941666</v>
      </c>
      <c r="AM6" s="42">
        <v>1961.0809233374496</v>
      </c>
      <c r="AN6" s="41">
        <v>974.25761109594828</v>
      </c>
      <c r="AO6" s="42">
        <v>2068.7163389501625</v>
      </c>
      <c r="AP6" s="41">
        <v>974.16915461509439</v>
      </c>
      <c r="AQ6" s="42">
        <v>2090.3505600514727</v>
      </c>
      <c r="AR6" s="41">
        <v>974.08900750988141</v>
      </c>
      <c r="AS6" s="42">
        <v>2111.9773782254847</v>
      </c>
      <c r="AT6" s="41">
        <v>974.01689824534139</v>
      </c>
      <c r="AU6" s="42">
        <v>2133.57950235931</v>
      </c>
      <c r="AV6" s="41">
        <v>973.95252419936344</v>
      </c>
      <c r="AW6" s="42">
        <v>2155.1403924665515</v>
      </c>
    </row>
    <row r="7" spans="1:49" x14ac:dyDescent="0.2">
      <c r="A7" t="s">
        <v>13</v>
      </c>
      <c r="B7" s="33">
        <v>1015.9116825427475</v>
      </c>
      <c r="C7" s="34">
        <v>1015.9116825427475</v>
      </c>
      <c r="D7" s="33">
        <v>1014.6816436848203</v>
      </c>
      <c r="E7" s="34">
        <v>1014.6816436848203</v>
      </c>
      <c r="F7" s="33">
        <v>1013.4301989958925</v>
      </c>
      <c r="G7" s="34">
        <v>1013.4301989958925</v>
      </c>
      <c r="H7" s="33">
        <v>1012.1544769173954</v>
      </c>
      <c r="I7" s="34">
        <v>1012.1544769173954</v>
      </c>
      <c r="J7" s="33">
        <v>1010.8514864515585</v>
      </c>
      <c r="K7" s="34">
        <v>1010.8514864515585</v>
      </c>
      <c r="L7" s="33">
        <v>1009.5182880346478</v>
      </c>
      <c r="M7" s="34">
        <v>1009.5182880346478</v>
      </c>
      <c r="N7" s="33">
        <v>1008.1521956460442</v>
      </c>
      <c r="O7" s="34">
        <v>1008.1521956460442</v>
      </c>
      <c r="P7" s="33">
        <v>1006.7512455691887</v>
      </c>
      <c r="Q7" s="34">
        <v>1006.7512455691887</v>
      </c>
      <c r="R7" s="33">
        <v>1005.3147500989306</v>
      </c>
      <c r="S7" s="34">
        <v>1005.3147500989306</v>
      </c>
      <c r="T7" s="33">
        <v>1003.844229041378</v>
      </c>
      <c r="U7" s="34">
        <v>1003.844229041378</v>
      </c>
      <c r="V7" s="33">
        <v>1002.3446688415033</v>
      </c>
      <c r="W7" s="34">
        <v>1002.3446688415033</v>
      </c>
      <c r="X7" s="33">
        <v>1000.8261835488565</v>
      </c>
      <c r="Y7" s="34">
        <v>1000.8261835488565</v>
      </c>
      <c r="Z7" s="33">
        <v>999.30598493261959</v>
      </c>
      <c r="AA7" s="34">
        <v>999.30598493261959</v>
      </c>
      <c r="AB7" s="33">
        <v>997.81025147420382</v>
      </c>
      <c r="AC7" s="34">
        <v>997.81025147420382</v>
      </c>
      <c r="AD7" s="33">
        <v>996.37503583463752</v>
      </c>
      <c r="AE7" s="34">
        <v>996.37503583463752</v>
      </c>
      <c r="AF7" s="33">
        <v>995.04479168426815</v>
      </c>
      <c r="AG7" s="34">
        <v>995.04479168426815</v>
      </c>
      <c r="AH7" s="33">
        <v>993.8670329937944</v>
      </c>
      <c r="AI7" s="34">
        <v>993.8670329937944</v>
      </c>
      <c r="AJ7" s="33">
        <v>992.88310565640313</v>
      </c>
      <c r="AK7" s="34">
        <v>992.88310565640313</v>
      </c>
      <c r="AL7" s="33">
        <v>992.11785477899571</v>
      </c>
      <c r="AM7" s="34">
        <v>992.11785477899571</v>
      </c>
      <c r="AN7" s="33">
        <v>991.5734013302864</v>
      </c>
      <c r="AO7" s="34">
        <v>991.5734013302864</v>
      </c>
      <c r="AP7" s="33">
        <v>991.48961589005717</v>
      </c>
      <c r="AQ7" s="34">
        <v>991.48961589005717</v>
      </c>
      <c r="AR7" s="33">
        <v>991.41370012860216</v>
      </c>
      <c r="AS7" s="34">
        <v>991.41370012860216</v>
      </c>
      <c r="AT7" s="33">
        <v>991.34539711204911</v>
      </c>
      <c r="AU7" s="34">
        <v>991.34539711204911</v>
      </c>
      <c r="AV7" s="33">
        <v>991.28442042230893</v>
      </c>
      <c r="AW7" s="34">
        <v>991.28442042230893</v>
      </c>
    </row>
    <row r="8" spans="1:49" x14ac:dyDescent="0.2">
      <c r="B8" s="35">
        <v>1005.7716594496609</v>
      </c>
      <c r="C8" s="36">
        <v>1005.7716594496609</v>
      </c>
      <c r="D8" s="35">
        <v>1061.7799181836272</v>
      </c>
      <c r="E8" s="36">
        <v>1061.7799181836272</v>
      </c>
      <c r="F8" s="35">
        <v>1123.7401016789245</v>
      </c>
      <c r="G8" s="36">
        <v>1123.7401016789245</v>
      </c>
      <c r="H8" s="35">
        <v>1192.5428776193407</v>
      </c>
      <c r="I8" s="36">
        <v>1192.5428776193407</v>
      </c>
      <c r="J8" s="35">
        <v>1269.2452758931934</v>
      </c>
      <c r="K8" s="36">
        <v>1269.2452758931934</v>
      </c>
      <c r="L8" s="35">
        <v>1355.1051119567321</v>
      </c>
      <c r="M8" s="36">
        <v>1355.1051119567321</v>
      </c>
      <c r="N8" s="35">
        <v>1451.6230547078292</v>
      </c>
      <c r="O8" s="36">
        <v>1451.6230547078292</v>
      </c>
      <c r="P8" s="35">
        <v>1560.58894612116</v>
      </c>
      <c r="Q8" s="36">
        <v>1560.58894612116</v>
      </c>
      <c r="R8" s="35">
        <v>1684.1344277692647</v>
      </c>
      <c r="S8" s="36">
        <v>1684.1344277692647</v>
      </c>
      <c r="T8" s="35">
        <v>1824.7819564308338</v>
      </c>
      <c r="U8" s="36">
        <v>1824.7819564308338</v>
      </c>
      <c r="V8" s="35">
        <v>1985.4805981246236</v>
      </c>
      <c r="W8" s="36">
        <v>1985.4805981246236</v>
      </c>
      <c r="X8" s="35">
        <v>2169.6008491501475</v>
      </c>
      <c r="Y8" s="36">
        <v>2169.6008491501475</v>
      </c>
      <c r="Z8" s="35">
        <v>2380.8412889608326</v>
      </c>
      <c r="AA8" s="36">
        <v>2380.8412889608326</v>
      </c>
      <c r="AB8" s="35">
        <v>2622.9832272800677</v>
      </c>
      <c r="AC8" s="36">
        <v>2622.9832272800677</v>
      </c>
      <c r="AD8" s="35">
        <v>2899.4008398594528</v>
      </c>
      <c r="AE8" s="36">
        <v>2899.4008398594528</v>
      </c>
      <c r="AF8" s="35">
        <v>3212.2763912060996</v>
      </c>
      <c r="AG8" s="36">
        <v>3212.2763912060996</v>
      </c>
      <c r="AH8" s="35">
        <v>3561.6062324930353</v>
      </c>
      <c r="AI8" s="36">
        <v>3561.6062324930353</v>
      </c>
      <c r="AJ8" s="35">
        <v>3944.3225480459182</v>
      </c>
      <c r="AK8" s="36">
        <v>3944.3225480459182</v>
      </c>
      <c r="AL8" s="35">
        <v>4354.077290688836</v>
      </c>
      <c r="AM8" s="36">
        <v>4354.077290688836</v>
      </c>
      <c r="AN8" s="35">
        <v>4782.0423719160908</v>
      </c>
      <c r="AO8" s="36">
        <v>4782.0423719160908</v>
      </c>
      <c r="AP8" s="35">
        <v>4868.9620561388911</v>
      </c>
      <c r="AQ8" s="36">
        <v>4868.9620561388911</v>
      </c>
      <c r="AR8" s="35">
        <v>4956.1425491120999</v>
      </c>
      <c r="AS8" s="36">
        <v>4956.1425491120999</v>
      </c>
      <c r="AT8" s="35">
        <v>5043.5091787462943</v>
      </c>
      <c r="AU8" s="36">
        <v>5043.5091787462943</v>
      </c>
      <c r="AV8" s="35">
        <v>5130.9896213594393</v>
      </c>
      <c r="AW8" s="36">
        <v>5130.9896213594393</v>
      </c>
    </row>
    <row r="9" spans="1:49" x14ac:dyDescent="0.2">
      <c r="A9" t="s">
        <v>14</v>
      </c>
      <c r="B9" s="41">
        <v>1015.9116825427475</v>
      </c>
      <c r="C9" s="42">
        <v>1005.7716594496609</v>
      </c>
      <c r="D9" s="41">
        <v>1014.6816436848203</v>
      </c>
      <c r="E9" s="42">
        <v>1061.7799181836272</v>
      </c>
      <c r="F9" s="41">
        <v>1013.4301989958925</v>
      </c>
      <c r="G9" s="42">
        <v>1123.7401016789245</v>
      </c>
      <c r="H9" s="41">
        <v>1012.1544769173954</v>
      </c>
      <c r="I9" s="42">
        <v>1192.5428776193407</v>
      </c>
      <c r="J9" s="41">
        <v>1010.8514864515585</v>
      </c>
      <c r="K9" s="42">
        <v>1269.2452758931934</v>
      </c>
      <c r="L9" s="41">
        <v>1009.5182880346478</v>
      </c>
      <c r="M9" s="42">
        <v>1355.1051119567321</v>
      </c>
      <c r="N9" s="41">
        <v>1008.1521956460442</v>
      </c>
      <c r="O9" s="42">
        <v>1451.6230547078292</v>
      </c>
      <c r="P9" s="41">
        <v>1006.7512455691887</v>
      </c>
      <c r="Q9" s="42">
        <v>1560.58894612116</v>
      </c>
      <c r="R9" s="41">
        <v>1005.3147500989306</v>
      </c>
      <c r="S9" s="42">
        <v>1684.1344277692647</v>
      </c>
      <c r="T9" s="41">
        <v>1003.844229041378</v>
      </c>
      <c r="U9" s="42">
        <v>1824.7819564308338</v>
      </c>
      <c r="V9" s="41">
        <v>1002.3446688415033</v>
      </c>
      <c r="W9" s="42">
        <v>1985.4805981246236</v>
      </c>
      <c r="X9" s="41">
        <v>1000.8261835488565</v>
      </c>
      <c r="Y9" s="42">
        <v>2169.6008491501475</v>
      </c>
      <c r="Z9" s="41">
        <v>999.30598493261959</v>
      </c>
      <c r="AA9" s="42">
        <v>2380.8412889608326</v>
      </c>
      <c r="AB9" s="41">
        <v>997.81025147420382</v>
      </c>
      <c r="AC9" s="42">
        <v>2622.9832272800677</v>
      </c>
      <c r="AD9" s="41">
        <v>996.37503583463752</v>
      </c>
      <c r="AE9" s="42">
        <v>2899.4008398594528</v>
      </c>
      <c r="AF9" s="41">
        <v>995.04479168426815</v>
      </c>
      <c r="AG9" s="42">
        <v>3212.2763912060996</v>
      </c>
      <c r="AH9" s="41">
        <v>993.8670329937944</v>
      </c>
      <c r="AI9" s="42">
        <v>3561.6062324930353</v>
      </c>
      <c r="AJ9" s="41">
        <v>992.88310565640313</v>
      </c>
      <c r="AK9" s="42">
        <v>3944.3225480459182</v>
      </c>
      <c r="AL9" s="41">
        <v>992.11785477899571</v>
      </c>
      <c r="AM9" s="42">
        <v>4354.077290688836</v>
      </c>
      <c r="AN9" s="41">
        <v>991.5734013302864</v>
      </c>
      <c r="AO9" s="42">
        <v>4782.0423719160908</v>
      </c>
      <c r="AP9" s="41">
        <v>991.48961589005717</v>
      </c>
      <c r="AQ9" s="42">
        <v>4868.9620561388911</v>
      </c>
      <c r="AR9" s="41">
        <v>991.41370012860216</v>
      </c>
      <c r="AS9" s="42">
        <v>4956.1425491120999</v>
      </c>
      <c r="AT9" s="41">
        <v>991.34539711204911</v>
      </c>
      <c r="AU9" s="42">
        <v>5043.5091787462943</v>
      </c>
      <c r="AV9" s="41">
        <v>991.28442042230893</v>
      </c>
      <c r="AW9" s="42">
        <v>5130.9896213594393</v>
      </c>
    </row>
    <row r="10" spans="1:49" x14ac:dyDescent="0.2">
      <c r="A10" t="s">
        <v>15</v>
      </c>
      <c r="B10" s="41">
        <v>1015.9116825427475</v>
      </c>
      <c r="C10" s="42">
        <v>1005.7716594496609</v>
      </c>
      <c r="D10" s="41">
        <v>1014.6816436848203</v>
      </c>
      <c r="E10" s="42">
        <v>1061.7799181836272</v>
      </c>
      <c r="F10" s="41">
        <v>1013.4301989958925</v>
      </c>
      <c r="G10" s="42">
        <v>1123.7401016789245</v>
      </c>
      <c r="H10" s="41">
        <v>1012.1544769173954</v>
      </c>
      <c r="I10" s="42">
        <v>1192.5428776193407</v>
      </c>
      <c r="J10" s="41">
        <v>1010.8514864515585</v>
      </c>
      <c r="K10" s="42">
        <v>1269.2452758931934</v>
      </c>
      <c r="L10" s="41">
        <v>1009.5182880346478</v>
      </c>
      <c r="M10" s="42">
        <v>1355.1051119567321</v>
      </c>
      <c r="N10" s="41">
        <v>1008.1521956460442</v>
      </c>
      <c r="O10" s="42">
        <v>1451.6230547078292</v>
      </c>
      <c r="P10" s="41">
        <v>1006.7512455691887</v>
      </c>
      <c r="Q10" s="42">
        <v>1560.58894612116</v>
      </c>
      <c r="R10" s="41">
        <v>1005.3147500989306</v>
      </c>
      <c r="S10" s="42">
        <v>1684.1344277692647</v>
      </c>
      <c r="T10" s="41">
        <v>1003.844229041378</v>
      </c>
      <c r="U10" s="42">
        <v>1824.7819564308338</v>
      </c>
      <c r="V10" s="41">
        <v>1002.3446688415033</v>
      </c>
      <c r="W10" s="42">
        <v>1985.4805981246236</v>
      </c>
      <c r="X10" s="41">
        <v>1000.8261835488565</v>
      </c>
      <c r="Y10" s="42">
        <v>2169.6008491501475</v>
      </c>
      <c r="Z10" s="41">
        <v>999.30598493261959</v>
      </c>
      <c r="AA10" s="42">
        <v>2380.8412889608326</v>
      </c>
      <c r="AB10" s="41">
        <v>997.81025147420382</v>
      </c>
      <c r="AC10" s="42">
        <v>2622.9832272800677</v>
      </c>
      <c r="AD10" s="41">
        <v>996.37503583463752</v>
      </c>
      <c r="AE10" s="42">
        <v>2899.4008398594528</v>
      </c>
      <c r="AF10" s="41">
        <v>995.04479168426815</v>
      </c>
      <c r="AG10" s="42">
        <v>3212.2763912060996</v>
      </c>
      <c r="AH10" s="41">
        <v>993.8670329937944</v>
      </c>
      <c r="AI10" s="42">
        <v>3561.6062324930353</v>
      </c>
      <c r="AJ10" s="41">
        <v>992.88310565640313</v>
      </c>
      <c r="AK10" s="42">
        <v>3944.3225480459182</v>
      </c>
      <c r="AL10" s="41">
        <v>992.11785477899571</v>
      </c>
      <c r="AM10" s="42">
        <v>4354.077290688836</v>
      </c>
      <c r="AN10" s="41">
        <v>991.5734013302864</v>
      </c>
      <c r="AO10" s="42">
        <v>4782.0423719160908</v>
      </c>
      <c r="AP10" s="41">
        <v>991.48961589005717</v>
      </c>
      <c r="AQ10" s="42">
        <v>4868.9620561388911</v>
      </c>
      <c r="AR10" s="41">
        <v>991.41370012860216</v>
      </c>
      <c r="AS10" s="42">
        <v>4956.1425491120999</v>
      </c>
      <c r="AT10" s="41">
        <v>991.34539711204911</v>
      </c>
      <c r="AU10" s="42">
        <v>5043.5091787462943</v>
      </c>
      <c r="AV10" s="41">
        <v>991.28442042230893</v>
      </c>
      <c r="AW10" s="42">
        <v>5130.9896213594393</v>
      </c>
    </row>
    <row r="11" spans="1:49" x14ac:dyDescent="0.2">
      <c r="A11" t="s">
        <v>29</v>
      </c>
      <c r="B11" s="41">
        <v>1015.9116825427475</v>
      </c>
      <c r="C11" s="42">
        <v>1005.7716594496609</v>
      </c>
      <c r="D11" s="41">
        <v>1014.6816436848203</v>
      </c>
      <c r="E11" s="42">
        <v>1061.7799181836272</v>
      </c>
      <c r="F11" s="41">
        <v>1013.4301989958925</v>
      </c>
      <c r="G11" s="42">
        <v>1123.7401016789245</v>
      </c>
      <c r="H11" s="41">
        <v>1012.1544769173954</v>
      </c>
      <c r="I11" s="42">
        <v>1192.5428776193407</v>
      </c>
      <c r="J11" s="41">
        <v>1010.8514864515585</v>
      </c>
      <c r="K11" s="42">
        <v>1269.2452758931934</v>
      </c>
      <c r="L11" s="41">
        <v>1009.5182880346478</v>
      </c>
      <c r="M11" s="42">
        <v>1355.1051119567321</v>
      </c>
      <c r="N11" s="41">
        <v>1008.1521956460442</v>
      </c>
      <c r="O11" s="42">
        <v>1451.6230547078292</v>
      </c>
      <c r="P11" s="41">
        <v>1006.7512455691887</v>
      </c>
      <c r="Q11" s="42">
        <v>1560.58894612116</v>
      </c>
      <c r="R11" s="41">
        <v>1005.3147500989306</v>
      </c>
      <c r="S11" s="42">
        <v>1684.1344277692647</v>
      </c>
      <c r="T11" s="41">
        <v>1003.844229041378</v>
      </c>
      <c r="U11" s="42">
        <v>1824.7819564308338</v>
      </c>
      <c r="V11" s="41">
        <v>1002.3446688415033</v>
      </c>
      <c r="W11" s="42">
        <v>1985.4805981246236</v>
      </c>
      <c r="X11" s="41">
        <v>1000.8261835488565</v>
      </c>
      <c r="Y11" s="42">
        <v>2169.6008491501475</v>
      </c>
      <c r="Z11" s="41">
        <v>999.30598493261959</v>
      </c>
      <c r="AA11" s="42">
        <v>2380.8412889608326</v>
      </c>
      <c r="AB11" s="41">
        <v>997.81025147420382</v>
      </c>
      <c r="AC11" s="42">
        <v>2622.9832272800677</v>
      </c>
      <c r="AD11" s="41">
        <v>996.37503583463752</v>
      </c>
      <c r="AE11" s="42">
        <v>2899.4008398594528</v>
      </c>
      <c r="AF11" s="41">
        <v>995.04479168426815</v>
      </c>
      <c r="AG11" s="42">
        <v>3212.2763912060996</v>
      </c>
      <c r="AH11" s="41">
        <v>993.8670329937944</v>
      </c>
      <c r="AI11" s="42">
        <v>3561.6062324930353</v>
      </c>
      <c r="AJ11" s="41">
        <v>992.88310565640313</v>
      </c>
      <c r="AK11" s="42">
        <v>3944.3225480459182</v>
      </c>
      <c r="AL11" s="41">
        <v>992.11785477899571</v>
      </c>
      <c r="AM11" s="42">
        <v>4354.077290688836</v>
      </c>
      <c r="AN11" s="41">
        <v>991.5734013302864</v>
      </c>
      <c r="AO11" s="42">
        <v>4782.0423719160908</v>
      </c>
      <c r="AP11" s="41">
        <v>991.48961589005717</v>
      </c>
      <c r="AQ11" s="42">
        <v>4868.9620561388911</v>
      </c>
      <c r="AR11" s="41">
        <v>991.41370012860216</v>
      </c>
      <c r="AS11" s="42">
        <v>4956.1425491120999</v>
      </c>
      <c r="AT11" s="41">
        <v>991.34539711204911</v>
      </c>
      <c r="AU11" s="42">
        <v>5043.5091787462943</v>
      </c>
      <c r="AV11" s="41">
        <v>991.28442042230893</v>
      </c>
      <c r="AW11" s="42">
        <v>5130.9896213594393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996.94935370338362</v>
      </c>
      <c r="E13" s="98">
        <v>996.94935370338362</v>
      </c>
      <c r="F13" s="97">
        <v>993.72073432054322</v>
      </c>
      <c r="G13" s="98">
        <v>993.72073432054322</v>
      </c>
      <c r="H13" s="97">
        <v>990.29992487548441</v>
      </c>
      <c r="I13" s="98">
        <v>990.29992487548441</v>
      </c>
      <c r="J13" s="97">
        <v>986.67200427841146</v>
      </c>
      <c r="K13" s="98">
        <v>986.67200427841146</v>
      </c>
      <c r="L13" s="97">
        <v>982.82176096553644</v>
      </c>
      <c r="M13" s="98">
        <v>982.82176096553644</v>
      </c>
      <c r="N13" s="97">
        <v>978.73398941390121</v>
      </c>
      <c r="O13" s="98">
        <v>978.73398941390121</v>
      </c>
      <c r="P13" s="97">
        <v>974.39466687283141</v>
      </c>
      <c r="Q13" s="98">
        <v>974.39466687283141</v>
      </c>
      <c r="R13" s="97">
        <v>969.79197835872912</v>
      </c>
      <c r="S13" s="98">
        <v>969.79197835872912</v>
      </c>
      <c r="T13" s="97">
        <v>964.91842622739364</v>
      </c>
      <c r="U13" s="98">
        <v>964.91842622739364</v>
      </c>
      <c r="V13" s="97">
        <v>959.77358911964791</v>
      </c>
      <c r="W13" s="98">
        <v>959.77358911964791</v>
      </c>
      <c r="X13" s="97">
        <v>954.36799453455671</v>
      </c>
      <c r="Y13" s="98">
        <v>954.36799453455671</v>
      </c>
      <c r="Z13" s="97">
        <v>948.72814164596002</v>
      </c>
      <c r="AA13" s="98">
        <v>948.72814164596002</v>
      </c>
      <c r="AB13" s="97">
        <v>942.90204277922135</v>
      </c>
      <c r="AC13" s="98">
        <v>942.90204277922135</v>
      </c>
      <c r="AD13" s="97">
        <v>936.96415918616253</v>
      </c>
      <c r="AE13" s="98">
        <v>936.96415918616253</v>
      </c>
      <c r="AF13" s="97">
        <v>931.01689309500034</v>
      </c>
      <c r="AG13" s="98">
        <v>931.01689309500034</v>
      </c>
      <c r="AH13" s="97">
        <v>925.18482983590297</v>
      </c>
      <c r="AI13" s="98">
        <v>925.18482983590297</v>
      </c>
      <c r="AJ13" s="97">
        <v>919.59946768472059</v>
      </c>
      <c r="AK13" s="98">
        <v>919.59946768472059</v>
      </c>
      <c r="AL13" s="97">
        <v>914.37652674755077</v>
      </c>
      <c r="AM13" s="98">
        <v>914.37652674755077</v>
      </c>
      <c r="AN13" s="97">
        <v>909.59499721910856</v>
      </c>
      <c r="AO13" s="98">
        <v>909.59499721910856</v>
      </c>
      <c r="AP13" s="97">
        <v>908.69533574388652</v>
      </c>
      <c r="AQ13" s="98">
        <v>908.69533574388652</v>
      </c>
      <c r="AR13" s="97">
        <v>907.81481450086574</v>
      </c>
      <c r="AS13" s="98">
        <v>907.81481450086574</v>
      </c>
      <c r="AT13" s="97">
        <v>906.95340844073871</v>
      </c>
      <c r="AU13" s="98">
        <v>906.95340844073871</v>
      </c>
      <c r="AV13" s="97">
        <v>906.11102023110675</v>
      </c>
      <c r="AW13" s="98">
        <v>906.11102023110675</v>
      </c>
    </row>
    <row r="14" spans="1:49" x14ac:dyDescent="0.2">
      <c r="A14" t="s">
        <v>36</v>
      </c>
      <c r="B14" s="41">
        <v>1457.0034251455234</v>
      </c>
      <c r="C14" s="42">
        <v>1457.0034251455236</v>
      </c>
      <c r="D14" s="41">
        <v>1452.5586230424458</v>
      </c>
      <c r="E14" s="42">
        <v>1452.558623042446</v>
      </c>
      <c r="F14" s="41">
        <v>1447.8545135431559</v>
      </c>
      <c r="G14" s="42">
        <v>1447.8545135431561</v>
      </c>
      <c r="H14" s="41">
        <v>1442.8703824649351</v>
      </c>
      <c r="I14" s="42">
        <v>1442.8703824649353</v>
      </c>
      <c r="J14" s="41">
        <v>1437.5844897288439</v>
      </c>
      <c r="K14" s="42">
        <v>1437.5844897288441</v>
      </c>
      <c r="L14" s="41">
        <v>1431.9746720343414</v>
      </c>
      <c r="M14" s="42">
        <v>1431.9746720343417</v>
      </c>
      <c r="N14" s="41">
        <v>1426.0187748823964</v>
      </c>
      <c r="O14" s="42">
        <v>1426.0187748823967</v>
      </c>
      <c r="P14" s="41">
        <v>1419.6963670772466</v>
      </c>
      <c r="Q14" s="42">
        <v>1419.6963670772468</v>
      </c>
      <c r="R14" s="41">
        <v>1412.9902341473214</v>
      </c>
      <c r="S14" s="42">
        <v>1412.9902341473216</v>
      </c>
      <c r="T14" s="41">
        <v>1405.8894519993405</v>
      </c>
      <c r="U14" s="42">
        <v>1405.8894519993407</v>
      </c>
      <c r="V14" s="41">
        <v>1398.3934067115392</v>
      </c>
      <c r="W14" s="42">
        <v>1398.3934067115395</v>
      </c>
      <c r="X14" s="41">
        <v>1390.5174368861133</v>
      </c>
      <c r="Y14" s="42">
        <v>1390.5174368861133</v>
      </c>
      <c r="Z14" s="41">
        <v>1382.300151910111</v>
      </c>
      <c r="AA14" s="42">
        <v>1382.300151910111</v>
      </c>
      <c r="AB14" s="41">
        <v>1373.8115059060362</v>
      </c>
      <c r="AC14" s="42">
        <v>1373.8115059060365</v>
      </c>
      <c r="AD14" s="41">
        <v>1365.1599891728342</v>
      </c>
      <c r="AE14" s="42">
        <v>1365.1599891728342</v>
      </c>
      <c r="AF14" s="41">
        <v>1356.4948021077589</v>
      </c>
      <c r="AG14" s="42">
        <v>1356.4948021077591</v>
      </c>
      <c r="AH14" s="41">
        <v>1347.9974659635886</v>
      </c>
      <c r="AI14" s="42">
        <v>1347.9974659635889</v>
      </c>
      <c r="AJ14" s="41">
        <v>1339.8595741786378</v>
      </c>
      <c r="AK14" s="42">
        <v>1339.859574178638</v>
      </c>
      <c r="AL14" s="41">
        <v>1332.2497313438487</v>
      </c>
      <c r="AM14" s="42">
        <v>1332.2497313438489</v>
      </c>
      <c r="AN14" s="41">
        <v>1325.283026443474</v>
      </c>
      <c r="AO14" s="42">
        <v>1325.283026443474</v>
      </c>
      <c r="AP14" s="41">
        <v>1323.9722165926039</v>
      </c>
      <c r="AQ14" s="42">
        <v>1323.9722165926041</v>
      </c>
      <c r="AR14" s="41">
        <v>1322.6892941256092</v>
      </c>
      <c r="AS14" s="42">
        <v>1322.6892941256094</v>
      </c>
      <c r="AT14" s="41">
        <v>1321.434222545563</v>
      </c>
      <c r="AU14" s="42">
        <v>1321.4342225455632</v>
      </c>
      <c r="AV14" s="41">
        <v>1320.206860038827</v>
      </c>
      <c r="AW14" s="42">
        <v>1320.2068600388272</v>
      </c>
    </row>
    <row r="15" spans="1:49" x14ac:dyDescent="0.2">
      <c r="A15" t="s">
        <v>18</v>
      </c>
      <c r="B15" s="154">
        <v>1000</v>
      </c>
      <c r="C15" s="155">
        <v>1000</v>
      </c>
      <c r="D15" s="154">
        <v>995.9032761756223</v>
      </c>
      <c r="E15" s="155">
        <v>995.9032761756223</v>
      </c>
      <c r="F15" s="154">
        <v>991.59359109728678</v>
      </c>
      <c r="G15" s="155">
        <v>991.59359109728678</v>
      </c>
      <c r="H15" s="154">
        <v>987.04006242470416</v>
      </c>
      <c r="I15" s="155">
        <v>987.04006242470416</v>
      </c>
      <c r="J15" s="154">
        <v>982.20678643950373</v>
      </c>
      <c r="K15" s="155">
        <v>982.20678643950373</v>
      </c>
      <c r="L15" s="154">
        <v>977.05206093140828</v>
      </c>
      <c r="M15" s="155">
        <v>977.05206093140828</v>
      </c>
      <c r="N15" s="154">
        <v>971.52762516623511</v>
      </c>
      <c r="O15" s="155">
        <v>971.52762516623511</v>
      </c>
      <c r="P15" s="154">
        <v>965.57794009091742</v>
      </c>
      <c r="Q15" s="155">
        <v>965.57794009091742</v>
      </c>
      <c r="R15" s="154">
        <v>959.13979983026911</v>
      </c>
      <c r="S15" s="155">
        <v>959.13979983026911</v>
      </c>
      <c r="T15" s="154">
        <v>952.14255570925661</v>
      </c>
      <c r="U15" s="155">
        <v>952.14255570925661</v>
      </c>
      <c r="V15" s="154">
        <v>944.50958301290939</v>
      </c>
      <c r="W15" s="155">
        <v>944.50958301290939</v>
      </c>
      <c r="X15" s="154">
        <v>936.16195446106565</v>
      </c>
      <c r="Y15" s="155">
        <v>936.16195446106565</v>
      </c>
      <c r="Z15" s="154">
        <v>927.02577265928198</v>
      </c>
      <c r="AA15" s="155">
        <v>927.02577265928198</v>
      </c>
      <c r="AB15" s="154">
        <v>917.04466070965702</v>
      </c>
      <c r="AC15" s="155">
        <v>917.04466070965702</v>
      </c>
      <c r="AD15" s="154">
        <v>906.19862576621495</v>
      </c>
      <c r="AE15" s="155">
        <v>906.19862576621495</v>
      </c>
      <c r="AF15" s="154">
        <v>894.52784087578311</v>
      </c>
      <c r="AG15" s="155">
        <v>894.52784087578311</v>
      </c>
      <c r="AH15" s="154">
        <v>882.15463088063939</v>
      </c>
      <c r="AI15" s="155">
        <v>882.15463088063939</v>
      </c>
      <c r="AJ15" s="154">
        <v>869.29133600139528</v>
      </c>
      <c r="AK15" s="155">
        <v>869.29133600139528</v>
      </c>
      <c r="AL15" s="154">
        <v>856.22095991669562</v>
      </c>
      <c r="AM15" s="155">
        <v>856.22095991669562</v>
      </c>
      <c r="AN15" s="154">
        <v>843.25079379196086</v>
      </c>
      <c r="AO15" s="155">
        <v>843.25079379196086</v>
      </c>
      <c r="AP15" s="154">
        <v>840.69416827055932</v>
      </c>
      <c r="AQ15" s="155">
        <v>840.69416827055932</v>
      </c>
      <c r="AR15" s="154">
        <v>838.1547540396532</v>
      </c>
      <c r="AS15" s="155">
        <v>838.1547540396532</v>
      </c>
      <c r="AT15" s="154">
        <v>835.634338525928</v>
      </c>
      <c r="AU15" s="155">
        <v>835.634338525928</v>
      </c>
      <c r="AV15" s="154">
        <v>833.13456213497591</v>
      </c>
      <c r="AW15" s="155">
        <v>833.13456213497591</v>
      </c>
    </row>
    <row r="16" spans="1:49" s="29" customFormat="1" x14ac:dyDescent="0.2">
      <c r="A16" t="s">
        <v>61</v>
      </c>
      <c r="B16" s="41">
        <v>1000</v>
      </c>
      <c r="C16" s="42">
        <v>1000</v>
      </c>
      <c r="D16" s="41">
        <v>996.46095929773298</v>
      </c>
      <c r="E16" s="42">
        <v>996.20183706783632</v>
      </c>
      <c r="F16" s="41">
        <v>992.72752336368433</v>
      </c>
      <c r="G16" s="42">
        <v>992.20066327683969</v>
      </c>
      <c r="H16" s="41">
        <v>988.77768137606074</v>
      </c>
      <c r="I16" s="42">
        <v>987.97034737458216</v>
      </c>
      <c r="J16" s="41">
        <v>984.58669490677448</v>
      </c>
      <c r="K16" s="42">
        <v>983.48096570441714</v>
      </c>
      <c r="L16" s="41">
        <v>980.12695173074974</v>
      </c>
      <c r="M16" s="42">
        <v>978.69836334819388</v>
      </c>
      <c r="N16" s="41">
        <v>975.36776444715031</v>
      </c>
      <c r="O16" s="42">
        <v>973.58369374991491</v>
      </c>
      <c r="P16" s="41">
        <v>970.27565266136457</v>
      </c>
      <c r="Q16" s="42">
        <v>968.09323647315773</v>
      </c>
      <c r="R16" s="41">
        <v>964.81469702856168</v>
      </c>
      <c r="S16" s="42">
        <v>962.17840759727301</v>
      </c>
      <c r="T16" s="41">
        <v>958.94775032950417</v>
      </c>
      <c r="U16" s="42">
        <v>955.78651442523312</v>
      </c>
      <c r="V16" s="41">
        <v>952.63856777897422</v>
      </c>
      <c r="W16" s="42">
        <v>948.86258062363549</v>
      </c>
      <c r="X16" s="41">
        <v>945.85555146962315</v>
      </c>
      <c r="Y16" s="42">
        <v>941.35306203094603</v>
      </c>
      <c r="Z16" s="41">
        <v>938.57780668911425</v>
      </c>
      <c r="AA16" s="42">
        <v>933.21250142853683</v>
      </c>
      <c r="AB16" s="41">
        <v>930.80387940170328</v>
      </c>
      <c r="AC16" s="42">
        <v>924.41401575333941</v>
      </c>
      <c r="AD16" s="41">
        <v>922.56316028421725</v>
      </c>
      <c r="AE16" s="42">
        <v>914.96417016073997</v>
      </c>
      <c r="AF16" s="41">
        <v>913.92779916869279</v>
      </c>
      <c r="AG16" s="42">
        <v>904.92040422227933</v>
      </c>
      <c r="AH16" s="41">
        <v>905.02001413490041</v>
      </c>
      <c r="AI16" s="42">
        <v>894.40514587998803</v>
      </c>
      <c r="AJ16" s="41">
        <v>896.00786109342766</v>
      </c>
      <c r="AK16" s="42">
        <v>883.60717045001627</v>
      </c>
      <c r="AL16" s="41">
        <v>887.08441662937037</v>
      </c>
      <c r="AM16" s="42">
        <v>872.76142537591068</v>
      </c>
      <c r="AN16" s="41">
        <v>878.43520543654154</v>
      </c>
      <c r="AO16" s="42">
        <v>862.1100139558099</v>
      </c>
      <c r="AP16" s="41">
        <v>876.75212914016743</v>
      </c>
      <c r="AQ16" s="42">
        <v>860.02225799374094</v>
      </c>
      <c r="AR16" s="41">
        <v>875.08701118062675</v>
      </c>
      <c r="AS16" s="42">
        <v>857.952147169922</v>
      </c>
      <c r="AT16" s="41">
        <v>873.44068208371857</v>
      </c>
      <c r="AU16" s="42">
        <v>855.90095543218035</v>
      </c>
      <c r="AV16" s="41">
        <v>871.81386588861801</v>
      </c>
      <c r="AW16" s="42">
        <v>853.86983132627449</v>
      </c>
    </row>
    <row r="17" spans="1:49" x14ac:dyDescent="0.2">
      <c r="A17" t="s">
        <v>62</v>
      </c>
      <c r="B17" s="35">
        <v>1000.0000000000002</v>
      </c>
      <c r="C17" s="36">
        <v>999.99999999999977</v>
      </c>
      <c r="D17" s="35">
        <v>998.89954453025905</v>
      </c>
      <c r="E17" s="36">
        <v>1027.748859324005</v>
      </c>
      <c r="F17" s="35">
        <v>997.78105646266386</v>
      </c>
      <c r="G17" s="36">
        <v>1058.3047054017422</v>
      </c>
      <c r="H17" s="35">
        <v>996.64203360619774</v>
      </c>
      <c r="I17" s="36">
        <v>1092.0694025926953</v>
      </c>
      <c r="J17" s="35">
        <v>995.47987687925456</v>
      </c>
      <c r="K17" s="36">
        <v>1129.5175487764805</v>
      </c>
      <c r="L17" s="35">
        <v>994.29205855768919</v>
      </c>
      <c r="M17" s="36">
        <v>1171.2110789216349</v>
      </c>
      <c r="N17" s="35">
        <v>993.07626599527259</v>
      </c>
      <c r="O17" s="36">
        <v>1217.8170455047227</v>
      </c>
      <c r="P17" s="35">
        <v>991.83087043398928</v>
      </c>
      <c r="Q17" s="36">
        <v>1270.1268538744007</v>
      </c>
      <c r="R17" s="35">
        <v>990.55536837770467</v>
      </c>
      <c r="S17" s="36">
        <v>1329.0778951074867</v>
      </c>
      <c r="T17" s="35">
        <v>989.25122274090245</v>
      </c>
      <c r="U17" s="36">
        <v>1395.7728808582488</v>
      </c>
      <c r="V17" s="35">
        <v>987.92296307944719</v>
      </c>
      <c r="W17" s="36">
        <v>1471.4926034728126</v>
      </c>
      <c r="X17" s="35">
        <v>986.57963590667384</v>
      </c>
      <c r="Y17" s="36">
        <v>1557.6896407515692</v>
      </c>
      <c r="Z17" s="35">
        <v>985.23650415375948</v>
      </c>
      <c r="AA17" s="36">
        <v>1655.9422096494716</v>
      </c>
      <c r="AB17" s="35">
        <v>983.91666445825831</v>
      </c>
      <c r="AC17" s="36">
        <v>1767.8408073268063</v>
      </c>
      <c r="AD17" s="35">
        <v>982.65179501989746</v>
      </c>
      <c r="AE17" s="36">
        <v>1894.7681682409905</v>
      </c>
      <c r="AF17" s="35">
        <v>981.48081544751165</v>
      </c>
      <c r="AG17" s="36">
        <v>2037.5535442741875</v>
      </c>
      <c r="AH17" s="35">
        <v>980.44517208140314</v>
      </c>
      <c r="AI17" s="36">
        <v>2196.04328745558</v>
      </c>
      <c r="AJ17" s="35">
        <v>979.58077234636335</v>
      </c>
      <c r="AK17" s="36">
        <v>2368.7335849271853</v>
      </c>
      <c r="AL17" s="35">
        <v>978.90898919929214</v>
      </c>
      <c r="AM17" s="36">
        <v>2552.7031888577603</v>
      </c>
      <c r="AN17" s="35">
        <v>978.43130428897439</v>
      </c>
      <c r="AO17" s="36">
        <v>2743.9911086220295</v>
      </c>
      <c r="AP17" s="35">
        <v>978.35781382119433</v>
      </c>
      <c r="AQ17" s="36">
        <v>2782.7468103748579</v>
      </c>
      <c r="AR17" s="35">
        <v>978.29123057023901</v>
      </c>
      <c r="AS17" s="36">
        <v>2821.5889370792497</v>
      </c>
      <c r="AT17" s="35">
        <v>978.2313279120242</v>
      </c>
      <c r="AU17" s="36">
        <v>2860.4849013288349</v>
      </c>
      <c r="AV17" s="35">
        <v>978.17785351461873</v>
      </c>
      <c r="AW17" s="36">
        <v>2899.4032200454426</v>
      </c>
    </row>
    <row r="18" spans="1:49" x14ac:dyDescent="0.2">
      <c r="A18" t="s">
        <v>19</v>
      </c>
      <c r="B18" s="33">
        <v>27857.010133999996</v>
      </c>
      <c r="C18" s="34">
        <v>1236.7674480000003</v>
      </c>
      <c r="D18" s="33">
        <v>27684.854940064954</v>
      </c>
      <c r="E18" s="34">
        <v>1154.4101816183663</v>
      </c>
      <c r="F18" s="33">
        <v>27487.663359360289</v>
      </c>
      <c r="G18" s="34">
        <v>1072.5493710127078</v>
      </c>
      <c r="H18" s="33">
        <v>27260.96389499951</v>
      </c>
      <c r="I18" s="34">
        <v>991.26792152964288</v>
      </c>
      <c r="J18" s="33">
        <v>26999.21782396729</v>
      </c>
      <c r="K18" s="34">
        <v>910.66946925015827</v>
      </c>
      <c r="L18" s="33">
        <v>26695.486757790441</v>
      </c>
      <c r="M18" s="34">
        <v>830.88783576959531</v>
      </c>
      <c r="N18" s="33">
        <v>26341.054256548934</v>
      </c>
      <c r="O18" s="34">
        <v>752.08852295061422</v>
      </c>
      <c r="P18" s="33">
        <v>25924.803117448897</v>
      </c>
      <c r="Q18" s="34">
        <v>674.49011681862794</v>
      </c>
      <c r="R18" s="33">
        <v>25432.518182060991</v>
      </c>
      <c r="S18" s="34">
        <v>598.36864880922474</v>
      </c>
      <c r="T18" s="33">
        <v>24845.870793485323</v>
      </c>
      <c r="U18" s="34">
        <v>524.07833872856804</v>
      </c>
      <c r="V18" s="33">
        <v>24141.14946205241</v>
      </c>
      <c r="W18" s="34">
        <v>452.06971383820411</v>
      </c>
      <c r="X18" s="33">
        <v>23287.691588491532</v>
      </c>
      <c r="Y18" s="34">
        <v>382.90696228863618</v>
      </c>
      <c r="Z18" s="33">
        <v>22246.130079921633</v>
      </c>
      <c r="AA18" s="34">
        <v>317.27565224262327</v>
      </c>
      <c r="AB18" s="33">
        <v>20966.788711110388</v>
      </c>
      <c r="AC18" s="34">
        <v>255.97684261990753</v>
      </c>
      <c r="AD18" s="33">
        <v>19389.002443650072</v>
      </c>
      <c r="AE18" s="34">
        <v>199.88266521360123</v>
      </c>
      <c r="AF18" s="33">
        <v>17442.658388209744</v>
      </c>
      <c r="AG18" s="34">
        <v>149.83983556202583</v>
      </c>
      <c r="AH18" s="33">
        <v>15053.462206705064</v>
      </c>
      <c r="AI18" s="34">
        <v>106.51883906367827</v>
      </c>
      <c r="AJ18" s="33">
        <v>12152.520106832299</v>
      </c>
      <c r="AK18" s="34">
        <v>70.240451511892672</v>
      </c>
      <c r="AL18" s="33">
        <v>8688.240539008937</v>
      </c>
      <c r="AM18" s="34">
        <v>40.85554808714997</v>
      </c>
      <c r="AN18" s="33">
        <v>4635.8579569472067</v>
      </c>
      <c r="AO18" s="34">
        <v>17.752261761738552</v>
      </c>
      <c r="AP18" s="33">
        <v>3754.7339814381608</v>
      </c>
      <c r="AQ18" s="34">
        <v>13.806820017861133</v>
      </c>
      <c r="AR18" s="33">
        <v>2850.3620822422426</v>
      </c>
      <c r="AS18" s="34">
        <v>10.067368772586534</v>
      </c>
      <c r="AT18" s="33">
        <v>1922.9500883981145</v>
      </c>
      <c r="AU18" s="34">
        <v>6.5254251154944427</v>
      </c>
      <c r="AV18" s="33">
        <v>972.73934685829147</v>
      </c>
      <c r="AW18" s="34">
        <v>3.1724713868357206</v>
      </c>
    </row>
    <row r="19" spans="1:49" x14ac:dyDescent="0.2">
      <c r="A19" t="s">
        <v>3</v>
      </c>
      <c r="B19" s="41">
        <v>1886.3937399999918</v>
      </c>
      <c r="C19" s="42">
        <v>262.78711299999759</v>
      </c>
      <c r="D19" s="41">
        <v>1869.2922816247501</v>
      </c>
      <c r="E19" s="42">
        <v>265.83523899685724</v>
      </c>
      <c r="F19" s="41">
        <v>1850.4868645941419</v>
      </c>
      <c r="G19" s="42">
        <v>269.14874580087923</v>
      </c>
      <c r="H19" s="41">
        <v>1829.6821653830134</v>
      </c>
      <c r="I19" s="42">
        <v>272.70840481028165</v>
      </c>
      <c r="J19" s="41">
        <v>1806.5156369046758</v>
      </c>
      <c r="K19" s="42">
        <v>276.47707051773102</v>
      </c>
      <c r="L19" s="41">
        <v>1780.5375391917673</v>
      </c>
      <c r="M19" s="42">
        <v>280.39124930117026</v>
      </c>
      <c r="N19" s="41">
        <v>1751.1885200818149</v>
      </c>
      <c r="O19" s="42">
        <v>284.34964092707952</v>
      </c>
      <c r="P19" s="41">
        <v>1717.7627101111411</v>
      </c>
      <c r="Q19" s="42">
        <v>288.19616782894855</v>
      </c>
      <c r="R19" s="41">
        <v>1679.3669814025982</v>
      </c>
      <c r="S19" s="42">
        <v>291.69754946430521</v>
      </c>
      <c r="T19" s="41">
        <v>1634.8615406217257</v>
      </c>
      <c r="U19" s="42">
        <v>294.51209418395393</v>
      </c>
      <c r="V19" s="41">
        <v>1582.7859005492221</v>
      </c>
      <c r="W19" s="42">
        <v>296.14962723156088</v>
      </c>
      <c r="X19" s="41">
        <v>1521.267180562216</v>
      </c>
      <c r="Y19" s="42">
        <v>295.92239599947783</v>
      </c>
      <c r="Z19" s="41">
        <v>1447.9167899511406</v>
      </c>
      <c r="AA19" s="42">
        <v>292.89200304903102</v>
      </c>
      <c r="AB19" s="41">
        <v>1359.7335390647795</v>
      </c>
      <c r="AC19" s="42">
        <v>285.82781371581325</v>
      </c>
      <c r="AD19" s="41">
        <v>1253.0569427375692</v>
      </c>
      <c r="AE19" s="42">
        <v>273.20454999940392</v>
      </c>
      <c r="AF19" s="41">
        <v>1123.6453735861967</v>
      </c>
      <c r="AG19" s="42">
        <v>253.28343645197549</v>
      </c>
      <c r="AH19" s="41">
        <v>966.96922865620297</v>
      </c>
      <c r="AI19" s="42">
        <v>224.31737847479934</v>
      </c>
      <c r="AJ19" s="41">
        <v>778.76246251867144</v>
      </c>
      <c r="AK19" s="42">
        <v>184.87246285365336</v>
      </c>
      <c r="AL19" s="41">
        <v>555.7284468113487</v>
      </c>
      <c r="AM19" s="42">
        <v>134.16726499062543</v>
      </c>
      <c r="AN19" s="41">
        <v>296.13222446696881</v>
      </c>
      <c r="AO19" s="42">
        <v>72.263443896840172</v>
      </c>
      <c r="AP19" s="41">
        <v>239.79833496533621</v>
      </c>
      <c r="AQ19" s="42">
        <v>58.601672156101628</v>
      </c>
      <c r="AR19" s="41">
        <v>182.00644795185241</v>
      </c>
      <c r="AS19" s="42">
        <v>44.533669392614151</v>
      </c>
      <c r="AT19" s="41">
        <v>122.76725523362813</v>
      </c>
      <c r="AU19" s="42">
        <v>30.0699255041736</v>
      </c>
      <c r="AV19" s="41">
        <v>62.093558539672209</v>
      </c>
      <c r="AW19" s="42">
        <v>15.221532277146647</v>
      </c>
    </row>
    <row r="20" spans="1:49" x14ac:dyDescent="0.2">
      <c r="A20" t="s">
        <v>127</v>
      </c>
      <c r="B20" s="82">
        <v>26548.356269999993</v>
      </c>
      <c r="C20" s="83">
        <v>1408.5418709999938</v>
      </c>
      <c r="D20" s="82">
        <v>26371.498295486563</v>
      </c>
      <c r="E20" s="83">
        <v>1338.1147774499941</v>
      </c>
      <c r="F20" s="82">
        <v>26170.711091017303</v>
      </c>
      <c r="G20" s="83">
        <v>1267.6876838999945</v>
      </c>
      <c r="H20" s="82">
        <v>25941.749043364489</v>
      </c>
      <c r="I20" s="83">
        <v>1197.2605903499943</v>
      </c>
      <c r="J20" s="82">
        <v>25679.361237039964</v>
      </c>
      <c r="K20" s="83">
        <v>1126.8334967999951</v>
      </c>
      <c r="L20" s="82">
        <v>25376.980871528605</v>
      </c>
      <c r="M20" s="83">
        <v>1056.4064032499953</v>
      </c>
      <c r="N20" s="82">
        <v>25026.372278183742</v>
      </c>
      <c r="O20" s="83">
        <v>985.97930969999561</v>
      </c>
      <c r="P20" s="82">
        <v>24617.050644607152</v>
      </c>
      <c r="Q20" s="83">
        <v>915.55221614999596</v>
      </c>
      <c r="R20" s="82">
        <v>24135.633393332311</v>
      </c>
      <c r="S20" s="83">
        <v>845.12512259999642</v>
      </c>
      <c r="T20" s="82">
        <v>23564.89580121293</v>
      </c>
      <c r="U20" s="83">
        <v>774.69802904999653</v>
      </c>
      <c r="V20" s="82">
        <v>22882.591249491546</v>
      </c>
      <c r="W20" s="83">
        <v>704.27093549999688</v>
      </c>
      <c r="X20" s="82">
        <v>22059.993392554978</v>
      </c>
      <c r="Y20" s="83">
        <v>633.84384194999723</v>
      </c>
      <c r="Z20" s="82">
        <v>21060.264775352476</v>
      </c>
      <c r="AA20" s="83">
        <v>563.41674839999746</v>
      </c>
      <c r="AB20" s="82">
        <v>19836.958579158272</v>
      </c>
      <c r="AC20" s="83">
        <v>492.98965484999781</v>
      </c>
      <c r="AD20" s="82">
        <v>18333.371177139841</v>
      </c>
      <c r="AE20" s="83">
        <v>422.56256129999809</v>
      </c>
      <c r="AF20" s="82">
        <v>16483.946866429727</v>
      </c>
      <c r="AG20" s="83">
        <v>352.13546774999821</v>
      </c>
      <c r="AH20" s="82">
        <v>14219.1384669608</v>
      </c>
      <c r="AI20" s="83">
        <v>281.70837419999856</v>
      </c>
      <c r="AJ20" s="82">
        <v>11474.293838534786</v>
      </c>
      <c r="AK20" s="83">
        <v>211.28128064999879</v>
      </c>
      <c r="AL20" s="82">
        <v>8200.7447903429329</v>
      </c>
      <c r="AM20" s="83">
        <v>140.85418709999905</v>
      </c>
      <c r="AN20" s="82">
        <v>4374.7489112528147</v>
      </c>
      <c r="AO20" s="83">
        <v>70.42709354999927</v>
      </c>
      <c r="AP20" s="82">
        <v>3543.129473916867</v>
      </c>
      <c r="AQ20" s="83">
        <v>56.341674839999328</v>
      </c>
      <c r="AR20" s="82">
        <v>2689.6399176337486</v>
      </c>
      <c r="AS20" s="83">
        <v>42.256256129999379</v>
      </c>
      <c r="AT20" s="82">
        <v>1814.4698531547933</v>
      </c>
      <c r="AU20" s="83">
        <v>28.170837419999433</v>
      </c>
      <c r="AV20" s="82">
        <v>917.84043856895187</v>
      </c>
      <c r="AW20" s="83">
        <v>14.085431763239166</v>
      </c>
    </row>
    <row r="21" spans="1:49" x14ac:dyDescent="0.2">
      <c r="A21" t="s">
        <v>76</v>
      </c>
      <c r="B21" s="82">
        <v>24661.962529999968</v>
      </c>
      <c r="C21" s="83">
        <v>1145.7547579999991</v>
      </c>
      <c r="D21" s="82">
        <v>24502.208970956777</v>
      </c>
      <c r="E21" s="83">
        <v>1072.4370120751958</v>
      </c>
      <c r="F21" s="82">
        <v>24320.236169909811</v>
      </c>
      <c r="G21" s="83">
        <v>999.19756905976999</v>
      </c>
      <c r="H21" s="82">
        <v>24112.094018740409</v>
      </c>
      <c r="I21" s="83">
        <v>926.1020474286014</v>
      </c>
      <c r="J21" s="82">
        <v>23872.894331852429</v>
      </c>
      <c r="K21" s="83">
        <v>853.2378074525335</v>
      </c>
      <c r="L21" s="82">
        <v>23596.5202092199</v>
      </c>
      <c r="M21" s="83">
        <v>780.72090744578031</v>
      </c>
      <c r="N21" s="82">
        <v>23275.295433295269</v>
      </c>
      <c r="O21" s="83">
        <v>708.70470046369689</v>
      </c>
      <c r="P21" s="82">
        <v>22899.44102956586</v>
      </c>
      <c r="Q21" s="83">
        <v>637.39159085813606</v>
      </c>
      <c r="R21" s="82">
        <v>22456.46728042938</v>
      </c>
      <c r="S21" s="83">
        <v>567.04680510703281</v>
      </c>
      <c r="T21" s="82">
        <v>21930.28858590898</v>
      </c>
      <c r="U21" s="83">
        <v>498.01558364313877</v>
      </c>
      <c r="V21" s="82">
        <v>21300.117501238536</v>
      </c>
      <c r="W21" s="83">
        <v>430.74183119778507</v>
      </c>
      <c r="X21" s="82">
        <v>20539.098275899905</v>
      </c>
      <c r="Y21" s="83">
        <v>365.78606760172767</v>
      </c>
      <c r="Z21" s="82">
        <v>19612.778384032357</v>
      </c>
      <c r="AA21" s="83">
        <v>303.83661613979712</v>
      </c>
      <c r="AB21" s="82">
        <v>18477.706759022425</v>
      </c>
      <c r="AC21" s="83">
        <v>245.70213903529145</v>
      </c>
      <c r="AD21" s="82">
        <v>17080.832837589071</v>
      </c>
      <c r="AE21" s="83">
        <v>192.26992250736876</v>
      </c>
      <c r="AF21" s="82">
        <v>15360.833441233768</v>
      </c>
      <c r="AG21" s="83">
        <v>144.41204786501817</v>
      </c>
      <c r="AH21" s="82">
        <v>13252.681359187376</v>
      </c>
      <c r="AI21" s="83">
        <v>102.83601848504765</v>
      </c>
      <c r="AJ21" s="82">
        <v>10695.982351540162</v>
      </c>
      <c r="AK21" s="83">
        <v>67.912159542552487</v>
      </c>
      <c r="AL21" s="82">
        <v>7645.3604356520946</v>
      </c>
      <c r="AM21" s="83">
        <v>39.550512200483162</v>
      </c>
      <c r="AN21" s="82">
        <v>4078.8087418420041</v>
      </c>
      <c r="AO21" s="83">
        <v>17.202932391176194</v>
      </c>
      <c r="AP21" s="82">
        <v>3303.4877580251873</v>
      </c>
      <c r="AQ21" s="83">
        <v>13.382002715618384</v>
      </c>
      <c r="AR21" s="82">
        <v>2507.7531017422984</v>
      </c>
      <c r="AS21" s="83">
        <v>9.7593083074203157</v>
      </c>
      <c r="AT21" s="82">
        <v>1691.783754092032</v>
      </c>
      <c r="AU21" s="83">
        <v>6.3268077275132981</v>
      </c>
      <c r="AV21" s="82">
        <v>855.78813651748453</v>
      </c>
      <c r="AW21" s="83">
        <v>3.0764064401629807</v>
      </c>
    </row>
    <row r="22" spans="1:49" x14ac:dyDescent="0.2">
      <c r="A22" t="s">
        <v>28</v>
      </c>
      <c r="B22" s="41">
        <v>6533.6044688320644</v>
      </c>
      <c r="C22" s="42">
        <v>379.90788307663382</v>
      </c>
      <c r="D22" s="41">
        <v>6465.7987987941679</v>
      </c>
      <c r="E22" s="42">
        <v>363.47143098899124</v>
      </c>
      <c r="F22" s="41">
        <v>6391.5666577695929</v>
      </c>
      <c r="G22" s="42">
        <v>346.81936854173296</v>
      </c>
      <c r="H22" s="41">
        <v>6309.8636392837225</v>
      </c>
      <c r="I22" s="42">
        <v>329.94332297249377</v>
      </c>
      <c r="J22" s="41">
        <v>6219.4149042045701</v>
      </c>
      <c r="K22" s="42">
        <v>312.83403096666171</v>
      </c>
      <c r="L22" s="41">
        <v>6118.6479470801378</v>
      </c>
      <c r="M22" s="42">
        <v>295.48100377155254</v>
      </c>
      <c r="N22" s="41">
        <v>6005.618313394325</v>
      </c>
      <c r="O22" s="42">
        <v>277.87262208401768</v>
      </c>
      <c r="P22" s="41">
        <v>5877.8869892820339</v>
      </c>
      <c r="Q22" s="42">
        <v>259.99543430486659</v>
      </c>
      <c r="R22" s="41">
        <v>5732.3894342368294</v>
      </c>
      <c r="S22" s="42">
        <v>241.83440349772593</v>
      </c>
      <c r="T22" s="41">
        <v>5565.2464564662987</v>
      </c>
      <c r="U22" s="42">
        <v>223.37271768960591</v>
      </c>
      <c r="V22" s="41">
        <v>5371.5365218546467</v>
      </c>
      <c r="W22" s="42">
        <v>204.5921062177845</v>
      </c>
      <c r="X22" s="41">
        <v>5145.027326446283</v>
      </c>
      <c r="Y22" s="42">
        <v>185.47386732201107</v>
      </c>
      <c r="Z22" s="41">
        <v>4877.8996187479152</v>
      </c>
      <c r="AA22" s="42">
        <v>166.00123865476945</v>
      </c>
      <c r="AB22" s="41">
        <v>4560.5365786293005</v>
      </c>
      <c r="AC22" s="42">
        <v>146.16315213435402</v>
      </c>
      <c r="AD22" s="41">
        <v>4181.5395516161652</v>
      </c>
      <c r="AE22" s="42">
        <v>125.96040977649091</v>
      </c>
      <c r="AF22" s="41">
        <v>3728.208501489788</v>
      </c>
      <c r="AG22" s="42">
        <v>105.41351336647541</v>
      </c>
      <c r="AH22" s="41">
        <v>3187.7268450149395</v>
      </c>
      <c r="AI22" s="42">
        <v>84.569802577000758</v>
      </c>
      <c r="AJ22" s="41">
        <v>2549.0680689618152</v>
      </c>
      <c r="AK22" s="42">
        <v>63.505899635261748</v>
      </c>
      <c r="AL22" s="41">
        <v>1805.134882620586</v>
      </c>
      <c r="AM22" s="42">
        <v>42.320868584237083</v>
      </c>
      <c r="AN22" s="41">
        <v>954.21411726020028</v>
      </c>
      <c r="AO22" s="42">
        <v>21.120674559877362</v>
      </c>
      <c r="AP22" s="41">
        <v>771.43291258009708</v>
      </c>
      <c r="AQ22" s="42">
        <v>16.887513655326163</v>
      </c>
      <c r="AR22" s="41">
        <v>584.55952565728091</v>
      </c>
      <c r="AS22" s="42">
        <v>12.658274024848383</v>
      </c>
      <c r="AT22" s="41">
        <v>393.65277636457171</v>
      </c>
      <c r="AU22" s="42">
        <v>8.4335711183190192</v>
      </c>
      <c r="AV22" s="41">
        <v>198.77676241849537</v>
      </c>
      <c r="AW22" s="42">
        <v>4.2139738329249168</v>
      </c>
    </row>
    <row r="23" spans="1:49" x14ac:dyDescent="0.2">
      <c r="A23" t="s">
        <v>7</v>
      </c>
      <c r="B23" s="116">
        <v>3278.5018080150408</v>
      </c>
      <c r="C23" s="8">
        <v>0</v>
      </c>
      <c r="D23" s="116">
        <v>3261.0479631801909</v>
      </c>
      <c r="E23" s="8">
        <v>0</v>
      </c>
      <c r="F23" s="116">
        <v>3240.6596178299615</v>
      </c>
      <c r="G23" s="8">
        <v>0</v>
      </c>
      <c r="H23" s="116">
        <v>3216.8040367815338</v>
      </c>
      <c r="I23" s="8">
        <v>0</v>
      </c>
      <c r="J23" s="116">
        <v>3188.8205416511905</v>
      </c>
      <c r="K23" s="8">
        <v>0</v>
      </c>
      <c r="L23" s="116">
        <v>3155.8804836727468</v>
      </c>
      <c r="M23" s="8">
        <v>0</v>
      </c>
      <c r="N23" s="116">
        <v>3116.9420999871027</v>
      </c>
      <c r="O23" s="8">
        <v>0</v>
      </c>
      <c r="P23" s="116">
        <v>3070.6751807773076</v>
      </c>
      <c r="Q23" s="8">
        <v>0</v>
      </c>
      <c r="R23" s="116">
        <v>3015.3775659032867</v>
      </c>
      <c r="S23" s="8">
        <v>0</v>
      </c>
      <c r="T23" s="116">
        <v>2948.8524110759181</v>
      </c>
      <c r="U23" s="8">
        <v>0</v>
      </c>
      <c r="V23" s="116">
        <v>2868.2544364451005</v>
      </c>
      <c r="W23" s="8">
        <v>0</v>
      </c>
      <c r="X23" s="116">
        <v>2769.8988630651115</v>
      </c>
      <c r="Y23" s="8">
        <v>0</v>
      </c>
      <c r="Z23" s="116">
        <v>2649.0458430722206</v>
      </c>
      <c r="AA23" s="8">
        <v>0</v>
      </c>
      <c r="AB23" s="116">
        <v>2499.6982855503084</v>
      </c>
      <c r="AC23" s="8">
        <v>0</v>
      </c>
      <c r="AD23" s="116">
        <v>2314.5055134202371</v>
      </c>
      <c r="AE23" s="8">
        <v>0</v>
      </c>
      <c r="AF23" s="116">
        <v>2084.9283245646102</v>
      </c>
      <c r="AG23" s="8">
        <v>0</v>
      </c>
      <c r="AH23" s="116">
        <v>1801.8509668298445</v>
      </c>
      <c r="AI23" s="8">
        <v>0</v>
      </c>
      <c r="AJ23" s="116">
        <v>1456.7226541949731</v>
      </c>
      <c r="AK23" s="8">
        <v>0</v>
      </c>
      <c r="AL23" s="116">
        <v>1043.0031785208164</v>
      </c>
      <c r="AM23" s="8">
        <v>0</v>
      </c>
      <c r="AN23" s="116">
        <v>557.35270384877253</v>
      </c>
      <c r="AO23" s="8">
        <v>0</v>
      </c>
      <c r="AP23" s="116">
        <v>451.55178932944517</v>
      </c>
      <c r="AQ23" s="8">
        <v>0</v>
      </c>
      <c r="AR23" s="116">
        <v>342.8911739711246</v>
      </c>
      <c r="AS23" s="8">
        <v>0</v>
      </c>
      <c r="AT23" s="116">
        <v>231.39370801168027</v>
      </c>
      <c r="AU23" s="8">
        <v>0</v>
      </c>
      <c r="AV23" s="116">
        <v>117.08642680198112</v>
      </c>
      <c r="AW23" s="8">
        <v>0</v>
      </c>
    </row>
    <row r="24" spans="1:49" x14ac:dyDescent="0.2">
      <c r="A24" t="s">
        <v>8</v>
      </c>
      <c r="B24" s="97">
        <v>3196.3846373657216</v>
      </c>
      <c r="C24" s="8">
        <v>0</v>
      </c>
      <c r="D24" s="97">
        <v>3206.1615215271049</v>
      </c>
      <c r="E24" s="8">
        <v>0</v>
      </c>
      <c r="F24" s="97">
        <v>3213.3184613349249</v>
      </c>
      <c r="G24" s="8">
        <v>0</v>
      </c>
      <c r="H24" s="97">
        <v>3217.309183157754</v>
      </c>
      <c r="I24" s="8">
        <v>0</v>
      </c>
      <c r="J24" s="97">
        <v>3217.4436285949582</v>
      </c>
      <c r="K24" s="8">
        <v>0</v>
      </c>
      <c r="L24" s="97">
        <v>3212.8396909468233</v>
      </c>
      <c r="M24" s="8">
        <v>0</v>
      </c>
      <c r="N24" s="97">
        <v>3202.3682796849153</v>
      </c>
      <c r="O24" s="8">
        <v>0</v>
      </c>
      <c r="P24" s="97">
        <v>3184.5595803234942</v>
      </c>
      <c r="Q24" s="8">
        <v>0</v>
      </c>
      <c r="R24" s="97">
        <v>3157.4967629276412</v>
      </c>
      <c r="S24" s="8">
        <v>0</v>
      </c>
      <c r="T24" s="97">
        <v>3118.6563558864823</v>
      </c>
      <c r="U24" s="8">
        <v>0</v>
      </c>
      <c r="V24" s="97">
        <v>3064.7021125481483</v>
      </c>
      <c r="W24" s="8">
        <v>0</v>
      </c>
      <c r="X24" s="97">
        <v>2991.2179501074402</v>
      </c>
      <c r="Y24" s="8">
        <v>0</v>
      </c>
      <c r="Z24" s="97">
        <v>2892.3866679087446</v>
      </c>
      <c r="AA24" s="8">
        <v>0</v>
      </c>
      <c r="AB24" s="97">
        <v>2760.6524854520544</v>
      </c>
      <c r="AC24" s="8">
        <v>0</v>
      </c>
      <c r="AD24" s="97">
        <v>2586.4722766341051</v>
      </c>
      <c r="AE24" s="8">
        <v>0</v>
      </c>
      <c r="AF24" s="97">
        <v>2358.3577859833781</v>
      </c>
      <c r="AG24" s="8">
        <v>0</v>
      </c>
      <c r="AH24" s="97">
        <v>2063.4834746563829</v>
      </c>
      <c r="AI24" s="8">
        <v>0</v>
      </c>
      <c r="AJ24" s="97">
        <v>1689.0510407128772</v>
      </c>
      <c r="AK24" s="8">
        <v>0</v>
      </c>
      <c r="AL24" s="97">
        <v>1224.2293162328319</v>
      </c>
      <c r="AM24" s="8">
        <v>0</v>
      </c>
      <c r="AN24" s="97">
        <v>661.98824680033556</v>
      </c>
      <c r="AO24" s="8">
        <v>0</v>
      </c>
      <c r="AP24" s="97">
        <v>537.56201855701022</v>
      </c>
      <c r="AQ24" s="8">
        <v>0</v>
      </c>
      <c r="AR24" s="97">
        <v>409.13586922378454</v>
      </c>
      <c r="AS24" s="8">
        <v>0</v>
      </c>
      <c r="AT24" s="97">
        <v>276.7209040452185</v>
      </c>
      <c r="AU24" s="8">
        <v>0</v>
      </c>
      <c r="AV24" s="97">
        <v>140.33458919682366</v>
      </c>
      <c r="AW24" s="8">
        <v>0</v>
      </c>
    </row>
    <row r="25" spans="1:49" x14ac:dyDescent="0.2">
      <c r="A25" t="s">
        <v>0</v>
      </c>
      <c r="B25" s="41">
        <v>3195.0476040000012</v>
      </c>
      <c r="C25" s="42">
        <v>91.012690000004397</v>
      </c>
      <c r="D25" s="41">
        <v>3182.6411869233866</v>
      </c>
      <c r="E25" s="42">
        <v>81.944150823825126</v>
      </c>
      <c r="F25" s="41">
        <v>3167.40779838142</v>
      </c>
      <c r="G25" s="42">
        <v>73.239861489492597</v>
      </c>
      <c r="H25" s="41">
        <v>3148.8256475377921</v>
      </c>
      <c r="I25" s="42">
        <v>64.924070535659837</v>
      </c>
      <c r="J25" s="41">
        <v>3126.2437672269584</v>
      </c>
      <c r="K25" s="42">
        <v>57.021959174203197</v>
      </c>
      <c r="L25" s="41">
        <v>3098.8403471130632</v>
      </c>
      <c r="M25" s="42">
        <v>49.559670300128076</v>
      </c>
      <c r="N25" s="41">
        <v>3065.5747860754559</v>
      </c>
      <c r="O25" s="42">
        <v>42.563567872295792</v>
      </c>
      <c r="P25" s="41">
        <v>3025.1088406048111</v>
      </c>
      <c r="Q25" s="42">
        <v>36.060503168025427</v>
      </c>
      <c r="R25" s="41">
        <v>2975.7173405547983</v>
      </c>
      <c r="S25" s="42">
        <v>30.07657974607676</v>
      </c>
      <c r="T25" s="41">
        <v>2915.1582037565372</v>
      </c>
      <c r="U25" s="42">
        <v>24.63651141993056</v>
      </c>
      <c r="V25" s="41">
        <v>2840.5094470176764</v>
      </c>
      <c r="W25" s="42">
        <v>19.762238017464934</v>
      </c>
      <c r="X25" s="41">
        <v>2747.9679459375511</v>
      </c>
      <c r="Y25" s="42">
        <v>15.471001972550011</v>
      </c>
      <c r="Z25" s="41">
        <v>2632.6252998472573</v>
      </c>
      <c r="AA25" s="42">
        <v>11.772622946602619</v>
      </c>
      <c r="AB25" s="41">
        <v>2488.2656481219856</v>
      </c>
      <c r="AC25" s="42">
        <v>8.6661828561645997</v>
      </c>
      <c r="AD25" s="41">
        <v>2307.2873791007955</v>
      </c>
      <c r="AE25" s="42">
        <v>6.13605978384249</v>
      </c>
      <c r="AF25" s="41">
        <v>2080.9167448897979</v>
      </c>
      <c r="AG25" s="42">
        <v>4.1482794554096447</v>
      </c>
      <c r="AH25" s="41">
        <v>1799.9037044924203</v>
      </c>
      <c r="AI25" s="42">
        <v>2.6488220002327512</v>
      </c>
      <c r="AJ25" s="41">
        <v>1455.7632717285512</v>
      </c>
      <c r="AK25" s="42">
        <v>1.565854881607514</v>
      </c>
      <c r="AL25" s="41">
        <v>1042.2879431053125</v>
      </c>
      <c r="AM25" s="42">
        <v>0.81690464102023563</v>
      </c>
      <c r="AN25" s="41">
        <v>556.7182094372472</v>
      </c>
      <c r="AO25" s="42">
        <v>0.31930847259950018</v>
      </c>
      <c r="AP25" s="41">
        <v>450.97623114552573</v>
      </c>
      <c r="AQ25" s="42">
        <v>0.24327258958802406</v>
      </c>
      <c r="AR25" s="41">
        <v>342.4027080476414</v>
      </c>
      <c r="AS25" s="42">
        <v>0.17380054353311444</v>
      </c>
      <c r="AT25" s="41">
        <v>231.02637654211168</v>
      </c>
      <c r="AU25" s="42">
        <v>0.11040217498089679</v>
      </c>
      <c r="AV25" s="41">
        <v>116.88004937466503</v>
      </c>
      <c r="AW25" s="42">
        <v>5.261418647971975E-2</v>
      </c>
    </row>
    <row r="26" spans="1:49" x14ac:dyDescent="0.2">
      <c r="A26" t="s">
        <v>27</v>
      </c>
      <c r="B26" s="33">
        <v>5036.2953101960647</v>
      </c>
      <c r="C26" s="34">
        <v>74.905331803938267</v>
      </c>
      <c r="D26" s="33">
        <v>5010.1819849121721</v>
      </c>
      <c r="E26" s="34">
        <v>69.997029691335882</v>
      </c>
      <c r="F26" s="33">
        <v>4979.9058621500026</v>
      </c>
      <c r="G26" s="34">
        <v>65.115865947630382</v>
      </c>
      <c r="H26" s="33">
        <v>4944.6739092849693</v>
      </c>
      <c r="I26" s="34">
        <v>60.26614728827208</v>
      </c>
      <c r="J26" s="33">
        <v>4903.4959346074602</v>
      </c>
      <c r="K26" s="34">
        <v>55.453311751747243</v>
      </c>
      <c r="L26" s="33">
        <v>4855.1213886505948</v>
      </c>
      <c r="M26" s="34">
        <v>50.684466873112186</v>
      </c>
      <c r="N26" s="33">
        <v>4797.9670695064906</v>
      </c>
      <c r="O26" s="34">
        <v>45.968507172296817</v>
      </c>
      <c r="P26" s="33">
        <v>4729.997397528733</v>
      </c>
      <c r="Q26" s="34">
        <v>41.317338668690503</v>
      </c>
      <c r="R26" s="33">
        <v>4648.5892503899759</v>
      </c>
      <c r="S26" s="34">
        <v>36.746203288127901</v>
      </c>
      <c r="T26" s="33">
        <v>4550.333731916905</v>
      </c>
      <c r="U26" s="34">
        <v>32.274937167329014</v>
      </c>
      <c r="V26" s="33">
        <v>4430.7858825678477</v>
      </c>
      <c r="W26" s="34">
        <v>27.929134130141684</v>
      </c>
      <c r="X26" s="33">
        <v>4284.1512761993681</v>
      </c>
      <c r="Y26" s="34">
        <v>23.741323710151519</v>
      </c>
      <c r="Z26" s="33">
        <v>4102.9280341697959</v>
      </c>
      <c r="AA26" s="34">
        <v>19.751670115375703</v>
      </c>
      <c r="AB26" s="33">
        <v>3877.5652464198579</v>
      </c>
      <c r="AC26" s="34">
        <v>16.007909903454991</v>
      </c>
      <c r="AD26" s="33">
        <v>3596.2839390689928</v>
      </c>
      <c r="AE26" s="34">
        <v>12.563062820091165</v>
      </c>
      <c r="AF26" s="33">
        <v>3245.3133952820158</v>
      </c>
      <c r="AG26" s="34">
        <v>9.4699758458818817</v>
      </c>
      <c r="AH26" s="33">
        <v>2809.8483576586809</v>
      </c>
      <c r="AI26" s="34">
        <v>6.7723697426687686</v>
      </c>
      <c r="AJ26" s="33">
        <v>2275.8714299378285</v>
      </c>
      <c r="AK26" s="34">
        <v>4.4940858716950638</v>
      </c>
      <c r="AL26" s="33">
        <v>1632.490990875838</v>
      </c>
      <c r="AM26" s="34">
        <v>2.6310555771418112</v>
      </c>
      <c r="AN26" s="33">
        <v>873.89530419154846</v>
      </c>
      <c r="AO26" s="34">
        <v>1.1507281032941321</v>
      </c>
      <c r="AP26" s="33">
        <v>708.24725917916453</v>
      </c>
      <c r="AQ26" s="34">
        <v>0.89614133156112474</v>
      </c>
      <c r="AR26" s="33">
        <v>537.99707135655649</v>
      </c>
      <c r="AS26" s="34">
        <v>0.65427470006078026</v>
      </c>
      <c r="AT26" s="33">
        <v>363.17805603892731</v>
      </c>
      <c r="AU26" s="34">
        <v>0.4246306220181707</v>
      </c>
      <c r="AV26" s="33">
        <v>183.83034268282759</v>
      </c>
      <c r="AW26" s="34">
        <v>0.20670701195176908</v>
      </c>
    </row>
    <row r="27" spans="1:49" x14ac:dyDescent="0.2">
      <c r="A27" t="s">
        <v>2</v>
      </c>
      <c r="B27" s="35">
        <v>6425.1981589999841</v>
      </c>
      <c r="C27" s="36">
        <v>273.22915400000028</v>
      </c>
      <c r="D27" s="35">
        <v>6393.8967738978808</v>
      </c>
      <c r="E27" s="36">
        <v>255.36555386562972</v>
      </c>
      <c r="F27" s="35">
        <v>6357.3433076301872</v>
      </c>
      <c r="G27" s="36">
        <v>237.59688551981554</v>
      </c>
      <c r="H27" s="35">
        <v>6314.552604798535</v>
      </c>
      <c r="I27" s="36">
        <v>219.93916118355688</v>
      </c>
      <c r="J27" s="35">
        <v>6264.2938402207737</v>
      </c>
      <c r="K27" s="36">
        <v>202.41247993523115</v>
      </c>
      <c r="L27" s="35">
        <v>6205.0109189788591</v>
      </c>
      <c r="M27" s="36">
        <v>185.04306468538846</v>
      </c>
      <c r="N27" s="35">
        <v>6134.7300477214294</v>
      </c>
      <c r="O27" s="36">
        <v>167.86344019529244</v>
      </c>
      <c r="P27" s="35">
        <v>6050.9074406034397</v>
      </c>
      <c r="Q27" s="36">
        <v>150.91720872831417</v>
      </c>
      <c r="R27" s="35">
        <v>5950.2541341337947</v>
      </c>
      <c r="S27" s="36">
        <v>134.25988766989474</v>
      </c>
      <c r="T27" s="35">
        <v>5828.4781938956112</v>
      </c>
      <c r="U27" s="36">
        <v>117.96359131228489</v>
      </c>
      <c r="V27" s="35">
        <v>5679.9541606061302</v>
      </c>
      <c r="W27" s="36">
        <v>102.12123971569957</v>
      </c>
      <c r="X27" s="35">
        <v>5497.3020436303204</v>
      </c>
      <c r="Y27" s="36">
        <v>86.850835066792897</v>
      </c>
      <c r="Z27" s="35">
        <v>5270.8933540810212</v>
      </c>
      <c r="AA27" s="36">
        <v>72.297903575001655</v>
      </c>
      <c r="AB27" s="35">
        <v>4988.3541534847391</v>
      </c>
      <c r="AC27" s="36">
        <v>58.635468233928037</v>
      </c>
      <c r="AD27" s="35">
        <v>4634.2470827755842</v>
      </c>
      <c r="AE27" s="36">
        <v>46.055847720200106</v>
      </c>
      <c r="AF27" s="35">
        <v>4190.261156205479</v>
      </c>
      <c r="AG27" s="36">
        <v>34.751031896724122</v>
      </c>
      <c r="AH27" s="35">
        <v>3636.3305749386727</v>
      </c>
      <c r="AI27" s="36">
        <v>24.88040884975117</v>
      </c>
      <c r="AJ27" s="35">
        <v>2952.9294524390816</v>
      </c>
      <c r="AK27" s="36">
        <v>16.531819040458149</v>
      </c>
      <c r="AL27" s="35">
        <v>2124.1632747995468</v>
      </c>
      <c r="AM27" s="36">
        <v>9.692263426708962</v>
      </c>
      <c r="AN27" s="35">
        <v>1140.5179618958796</v>
      </c>
      <c r="AO27" s="36">
        <v>4.2454201624373118</v>
      </c>
      <c r="AP27" s="35">
        <v>924.89902428684957</v>
      </c>
      <c r="AQ27" s="36">
        <v>3.3071801747511538</v>
      </c>
      <c r="AR27" s="35">
        <v>703.00299749063174</v>
      </c>
      <c r="AS27" s="36">
        <v>2.4153241106012588</v>
      </c>
      <c r="AT27" s="35">
        <v>474.85996697762585</v>
      </c>
      <c r="AU27" s="36">
        <v>1.5680537709141946</v>
      </c>
      <c r="AV27" s="35">
        <v>240.50959871281231</v>
      </c>
      <c r="AW27" s="36">
        <v>0.76355346715114636</v>
      </c>
    </row>
    <row r="28" spans="1:49" x14ac:dyDescent="0.2">
      <c r="A28" t="s">
        <v>35</v>
      </c>
      <c r="B28" s="41">
        <v>13763.097675999999</v>
      </c>
      <c r="C28" s="42">
        <v>382.36647900000042</v>
      </c>
      <c r="D28" s="41">
        <v>13693.748523041571</v>
      </c>
      <c r="E28" s="42">
        <v>357.35145984912236</v>
      </c>
      <c r="F28" s="41">
        <v>13613.080871887169</v>
      </c>
      <c r="G28" s="42">
        <v>332.47090187110928</v>
      </c>
      <c r="H28" s="41">
        <v>13518.953939707071</v>
      </c>
      <c r="I28" s="42">
        <v>307.74709298994105</v>
      </c>
      <c r="J28" s="41">
        <v>13408.693913120231</v>
      </c>
      <c r="K28" s="42">
        <v>283.20805591742879</v>
      </c>
      <c r="L28" s="41">
        <v>13278.922225870327</v>
      </c>
      <c r="M28" s="42">
        <v>258.89036910571883</v>
      </c>
      <c r="N28" s="41">
        <v>13125.357740197291</v>
      </c>
      <c r="O28" s="42">
        <v>234.83951626709401</v>
      </c>
      <c r="P28" s="41">
        <v>12942.48992977984</v>
      </c>
      <c r="Q28" s="42">
        <v>211.11644564073157</v>
      </c>
      <c r="R28" s="41">
        <v>12723.20665337711</v>
      </c>
      <c r="S28" s="42">
        <v>187.79888090017684</v>
      </c>
      <c r="T28" s="41">
        <v>12458.247403018215</v>
      </c>
      <c r="U28" s="42">
        <v>164.98783636306595</v>
      </c>
      <c r="V28" s="41">
        <v>12135.507937039873</v>
      </c>
      <c r="W28" s="42">
        <v>142.81352150482823</v>
      </c>
      <c r="X28" s="41">
        <v>11739.162560262868</v>
      </c>
      <c r="Y28" s="42">
        <v>121.44133450815677</v>
      </c>
      <c r="Z28" s="41">
        <v>11248.648704279676</v>
      </c>
      <c r="AA28" s="42">
        <v>101.07532462313905</v>
      </c>
      <c r="AB28" s="41">
        <v>10637.672996151045</v>
      </c>
      <c r="AC28" s="42">
        <v>81.958075701946569</v>
      </c>
      <c r="AD28" s="41">
        <v>9873.6343194041547</v>
      </c>
      <c r="AE28" s="42">
        <v>64.359172234748996</v>
      </c>
      <c r="AF28" s="41">
        <v>8918.1618328668301</v>
      </c>
      <c r="AG28" s="42">
        <v>48.547627323411312</v>
      </c>
      <c r="AH28" s="41">
        <v>7729.6349392182574</v>
      </c>
      <c r="AI28" s="42">
        <v>34.746563433624104</v>
      </c>
      <c r="AJ28" s="41">
        <v>6268.1415618048322</v>
      </c>
      <c r="AK28" s="42">
        <v>23.07859388713495</v>
      </c>
      <c r="AL28" s="41">
        <v>4501.9828184545977</v>
      </c>
      <c r="AM28" s="42">
        <v>13.52482114536171</v>
      </c>
      <c r="AN28" s="41">
        <v>2413.269956750486</v>
      </c>
      <c r="AO28" s="42">
        <v>5.9215114807389453</v>
      </c>
      <c r="AP28" s="41">
        <v>1956.3760983055979</v>
      </c>
      <c r="AQ28" s="42">
        <v>4.6124309860476824</v>
      </c>
      <c r="AR28" s="41">
        <v>1486.5130602854458</v>
      </c>
      <c r="AS28" s="42">
        <v>3.3682735529815546</v>
      </c>
      <c r="AT28" s="41">
        <v>1003.7604436216127</v>
      </c>
      <c r="AU28" s="42">
        <v>2.1865158575059511</v>
      </c>
      <c r="AV28" s="41">
        <v>508.21735698640765</v>
      </c>
      <c r="AW28" s="42">
        <v>1.064610512478819</v>
      </c>
    </row>
    <row r="29" spans="1:49" x14ac:dyDescent="0.2">
      <c r="A29" t="s">
        <v>53</v>
      </c>
      <c r="B29" s="35">
        <v>14362.768557999996</v>
      </c>
      <c r="C29" s="36">
        <v>817.26651000000095</v>
      </c>
      <c r="D29" s="35">
        <v>14272.943767181825</v>
      </c>
      <c r="E29" s="36">
        <v>757.86968440292935</v>
      </c>
      <c r="F29" s="35">
        <v>14170.194097643325</v>
      </c>
      <c r="G29" s="36">
        <v>699.25362877797693</v>
      </c>
      <c r="H29" s="35">
        <v>14052.21501140711</v>
      </c>
      <c r="I29" s="36">
        <v>641.50680514498958</v>
      </c>
      <c r="J29" s="35">
        <v>13916.152711800807</v>
      </c>
      <c r="K29" s="36">
        <v>584.73317951770412</v>
      </c>
      <c r="L29" s="35">
        <v>13758.433149656172</v>
      </c>
      <c r="M29" s="36">
        <v>529.05790528144666</v>
      </c>
      <c r="N29" s="35">
        <v>13574.567996063595</v>
      </c>
      <c r="O29" s="36">
        <v>474.62747923533897</v>
      </c>
      <c r="P29" s="35">
        <v>13358.834272513161</v>
      </c>
      <c r="Q29" s="36">
        <v>421.62220796570506</v>
      </c>
      <c r="R29" s="35">
        <v>13103.916849542393</v>
      </c>
      <c r="S29" s="36">
        <v>370.25691965805578</v>
      </c>
      <c r="T29" s="35">
        <v>12800.386873902957</v>
      </c>
      <c r="U29" s="36">
        <v>320.79113178230978</v>
      </c>
      <c r="V29" s="35">
        <v>12436.050266745418</v>
      </c>
      <c r="W29" s="36">
        <v>273.53602289562059</v>
      </c>
      <c r="X29" s="35">
        <v>11995.142785872033</v>
      </c>
      <c r="Y29" s="36">
        <v>228.85917277879832</v>
      </c>
      <c r="Z29" s="35">
        <v>11457.430125248984</v>
      </c>
      <c r="AA29" s="36">
        <v>187.18148076311161</v>
      </c>
      <c r="AB29" s="35">
        <v>10797.383836109995</v>
      </c>
      <c r="AC29" s="36">
        <v>148.96405491120933</v>
      </c>
      <c r="AD29" s="35">
        <v>9983.8313730014452</v>
      </c>
      <c r="AE29" s="36">
        <v>114.6717241562361</v>
      </c>
      <c r="AF29" s="35">
        <v>8980.7447996423016</v>
      </c>
      <c r="AG29" s="36">
        <v>84.70854807694225</v>
      </c>
      <c r="AH29" s="35">
        <v>7749.9408723621727</v>
      </c>
      <c r="AI29" s="36">
        <v>59.329282567788852</v>
      </c>
      <c r="AJ29" s="35">
        <v>6255.9972677149544</v>
      </c>
      <c r="AK29" s="36">
        <v>38.550408929749523</v>
      </c>
      <c r="AL29" s="35">
        <v>4472.3637652821544</v>
      </c>
      <c r="AM29" s="36">
        <v>22.104934225464874</v>
      </c>
      <c r="AN29" s="35">
        <v>2386.2589669979889</v>
      </c>
      <c r="AO29" s="36">
        <v>9.4757035221906616</v>
      </c>
      <c r="AP29" s="35">
        <v>1932.6974522584519</v>
      </c>
      <c r="AQ29" s="36">
        <v>7.3505996791484485</v>
      </c>
      <c r="AR29" s="35">
        <v>1467.1760805143394</v>
      </c>
      <c r="AS29" s="36">
        <v>5.3460568970401505</v>
      </c>
      <c r="AT29" s="35">
        <v>989.80119025069223</v>
      </c>
      <c r="AU29" s="36">
        <v>3.456467558607319</v>
      </c>
      <c r="AV29" s="35">
        <v>500.69636281936772</v>
      </c>
      <c r="AW29" s="36">
        <v>1.6762755260676672</v>
      </c>
    </row>
    <row r="30" spans="1:49" x14ac:dyDescent="0.2">
      <c r="A30" t="s">
        <v>48</v>
      </c>
      <c r="B30" s="119">
        <v>2924829.9599999995</v>
      </c>
      <c r="D30" s="119">
        <v>2951567.3780182544</v>
      </c>
      <c r="F30" s="119">
        <v>2975966.9838297712</v>
      </c>
      <c r="H30" s="119">
        <v>2997507.4131313181</v>
      </c>
      <c r="J30" s="119">
        <v>3015523.4831223544</v>
      </c>
      <c r="L30" s="119">
        <v>3029157.9525584802</v>
      </c>
      <c r="N30" s="119">
        <v>3037302.2560778544</v>
      </c>
      <c r="P30" s="119">
        <v>3038503.1064792764</v>
      </c>
      <c r="R30" s="119">
        <v>3030847.9982058164</v>
      </c>
      <c r="T30" s="119">
        <v>3011797.873513327</v>
      </c>
      <c r="V30" s="119">
        <v>2977965.3756087655</v>
      </c>
      <c r="X30" s="119">
        <v>2924822.0382088372</v>
      </c>
      <c r="Z30" s="119">
        <v>2846334.615600598</v>
      </c>
      <c r="AB30" s="119">
        <v>2734563.1796171297</v>
      </c>
      <c r="AD30" s="119">
        <v>2579320.8410800095</v>
      </c>
      <c r="AF30" s="119">
        <v>2368107.2754144077</v>
      </c>
      <c r="AH30" s="119">
        <v>2086626.3219762805</v>
      </c>
      <c r="AJ30" s="119">
        <v>1720144.2275263788</v>
      </c>
      <c r="AL30" s="119">
        <v>1255576.8001738526</v>
      </c>
      <c r="AN30" s="119">
        <v>683621.00672533805</v>
      </c>
      <c r="AP30" s="119">
        <v>555875.11373444996</v>
      </c>
      <c r="AR30" s="119">
        <v>423637.4927676692</v>
      </c>
      <c r="AT30" s="119">
        <v>286907.06357815256</v>
      </c>
      <c r="AV30" s="119">
        <v>145690.2118560971</v>
      </c>
    </row>
    <row r="31" spans="1:49" x14ac:dyDescent="0.2">
      <c r="A31" t="s">
        <v>47</v>
      </c>
      <c r="B31" s="80">
        <v>1</v>
      </c>
      <c r="D31" s="80">
        <v>0.9877844861370183</v>
      </c>
      <c r="F31" s="80">
        <v>0.97450770538624287</v>
      </c>
      <c r="H31" s="80">
        <v>0.9600089138938882</v>
      </c>
      <c r="J31" s="80">
        <v>0.94409381019902416</v>
      </c>
      <c r="L31" s="80">
        <v>0.92652515412369785</v>
      </c>
      <c r="N31" s="80">
        <v>0.9070126679499696</v>
      </c>
      <c r="P31" s="80">
        <v>0.88519623050701213</v>
      </c>
      <c r="R31" s="80">
        <v>0.86062856575712154</v>
      </c>
      <c r="T31" s="80">
        <v>0.83275035393317698</v>
      </c>
      <c r="V31" s="80">
        <v>0.80086111940731142</v>
      </c>
      <c r="X31" s="80">
        <v>0.76408614824755194</v>
      </c>
      <c r="Z31" s="80">
        <v>0.72134482293081048</v>
      </c>
      <c r="AB31" s="80">
        <v>0.6713310809570161</v>
      </c>
      <c r="AD31" s="80">
        <v>0.61252843737040452</v>
      </c>
      <c r="AF31" s="80">
        <v>0.54329048346463926</v>
      </c>
      <c r="AH31" s="80">
        <v>0.46201450926682025</v>
      </c>
      <c r="AJ31" s="80">
        <v>0.36740215574185953</v>
      </c>
      <c r="AL31" s="80">
        <v>0.25873254408013985</v>
      </c>
      <c r="AN31" s="80">
        <v>0.13602454174767661</v>
      </c>
      <c r="AP31" s="80">
        <v>0.10985142635284577</v>
      </c>
      <c r="AR31" s="80">
        <v>8.315272900305834E-2</v>
      </c>
      <c r="AT31" s="80">
        <v>5.5937843083955469E-2</v>
      </c>
      <c r="AV31" s="80">
        <v>2.8216770068123811E-2</v>
      </c>
    </row>
    <row r="32" spans="1:49" x14ac:dyDescent="0.2">
      <c r="A32" t="s">
        <v>64</v>
      </c>
      <c r="B32" s="86">
        <v>14734457.915000005</v>
      </c>
      <c r="D32" s="86">
        <v>14638270.58627584</v>
      </c>
      <c r="F32" s="86">
        <v>14528809.840907346</v>
      </c>
      <c r="H32" s="86">
        <v>14403703.93950332</v>
      </c>
      <c r="J32" s="86">
        <v>14260022.59479066</v>
      </c>
      <c r="L32" s="86">
        <v>14094105.535893911</v>
      </c>
      <c r="N32" s="86">
        <v>13901370.420523897</v>
      </c>
      <c r="P32" s="86">
        <v>13675991.901491424</v>
      </c>
      <c r="R32" s="86">
        <v>13410548.299013849</v>
      </c>
      <c r="T32" s="86">
        <v>13095501.784059541</v>
      </c>
      <c r="V32" s="86">
        <v>12718548.178199323</v>
      </c>
      <c r="X32" s="86">
        <v>12263808.247873848</v>
      </c>
      <c r="Z32" s="86">
        <v>11710912.689040411</v>
      </c>
      <c r="AB32" s="86">
        <v>11034136.050728148</v>
      </c>
      <c r="AD32" s="86">
        <v>10201965.205818329</v>
      </c>
      <c r="AF32" s="86">
        <v>9177756.7085925005</v>
      </c>
      <c r="AH32" s="86">
        <v>7922275.34963891</v>
      </c>
      <c r="AJ32" s="86">
        <v>6398494.1298358394</v>
      </c>
      <c r="AL32" s="86">
        <v>4577745.8550817017</v>
      </c>
      <c r="AN32" s="86">
        <v>2444881.2018803358</v>
      </c>
      <c r="AP32" s="86">
        <v>1980607.9514558683</v>
      </c>
      <c r="AR32" s="86">
        <v>1503882.8375075215</v>
      </c>
      <c r="AT32" s="86">
        <v>1014797.3411015206</v>
      </c>
      <c r="AV32" s="86">
        <v>513461.17912208207</v>
      </c>
    </row>
    <row r="33" spans="1:49 16319:16321" x14ac:dyDescent="0.2">
      <c r="A33" t="s">
        <v>54</v>
      </c>
      <c r="B33" s="117">
        <v>7019665.6909999885</v>
      </c>
      <c r="D33" s="117">
        <v>6946654.019153377</v>
      </c>
      <c r="F33" s="117">
        <v>6867141.5023482554</v>
      </c>
      <c r="H33" s="117">
        <v>6780028.2910682131</v>
      </c>
      <c r="J33" s="117">
        <v>6683967.9167172257</v>
      </c>
      <c r="L33" s="117">
        <v>6577294.8193199877</v>
      </c>
      <c r="N33" s="117">
        <v>6457943.5933498563</v>
      </c>
      <c r="P33" s="117">
        <v>6323316.0485927593</v>
      </c>
      <c r="R33" s="117">
        <v>6170137.2962991092</v>
      </c>
      <c r="T33" s="117">
        <v>5994247.0433155801</v>
      </c>
      <c r="V33" s="117">
        <v>5790344.653593298</v>
      </c>
      <c r="X33" s="117">
        <v>5551682.3234188054</v>
      </c>
      <c r="Z33" s="117">
        <v>5269736.8859232496</v>
      </c>
      <c r="AB33" s="117">
        <v>4933933.6468742006</v>
      </c>
      <c r="AD33" s="117">
        <v>4531591.338480507</v>
      </c>
      <c r="AF33" s="117">
        <v>4048351.7920216396</v>
      </c>
      <c r="AH33" s="117">
        <v>3469380.9573886171</v>
      </c>
      <c r="AJ33" s="117">
        <v>2781414.3727056803</v>
      </c>
      <c r="AL33" s="117">
        <v>1975174.8801571229</v>
      </c>
      <c r="AN33" s="117">
        <v>1047173.298517857</v>
      </c>
      <c r="AP33" s="117">
        <v>847092.3853892989</v>
      </c>
      <c r="AR33" s="117">
        <v>642276.53277017665</v>
      </c>
      <c r="AT33" s="117">
        <v>432780.66125424858</v>
      </c>
      <c r="AV33" s="117">
        <v>218666.1637288591</v>
      </c>
    </row>
    <row r="34" spans="1:49 16319:16321" x14ac:dyDescent="0.2">
      <c r="A34" t="s">
        <v>75</v>
      </c>
      <c r="B34" s="117">
        <v>1136879.4410000162</v>
      </c>
      <c r="D34" s="117">
        <v>1129457.8171256045</v>
      </c>
      <c r="F34" s="117">
        <v>1121012.0494758913</v>
      </c>
      <c r="H34" s="117">
        <v>1111359.147880157</v>
      </c>
      <c r="J34" s="117">
        <v>1100273.018978755</v>
      </c>
      <c r="L34" s="117">
        <v>1087471.2289202535</v>
      </c>
      <c r="N34" s="117">
        <v>1072600.1929388575</v>
      </c>
      <c r="P34" s="117">
        <v>1055210.4658327466</v>
      </c>
      <c r="R34" s="117">
        <v>1034729.389433972</v>
      </c>
      <c r="T34" s="117">
        <v>1010421.0803707882</v>
      </c>
      <c r="V34" s="117">
        <v>981336.15725435829</v>
      </c>
      <c r="X34" s="117">
        <v>946249.37134840712</v>
      </c>
      <c r="Z34" s="117">
        <v>903589.12979368842</v>
      </c>
      <c r="AB34" s="117">
        <v>851370.4781975575</v>
      </c>
      <c r="AD34" s="117">
        <v>787161.9461476648</v>
      </c>
      <c r="AF34" s="117">
        <v>708136.21430703532</v>
      </c>
      <c r="AH34" s="117">
        <v>611265.91936165059</v>
      </c>
      <c r="AJ34" s="117">
        <v>493694.201237834</v>
      </c>
      <c r="AL34" s="117">
        <v>353209.13594435866</v>
      </c>
      <c r="AN34" s="117">
        <v>188641.84954603779</v>
      </c>
      <c r="AP34" s="117">
        <v>152819.49661367593</v>
      </c>
      <c r="AR34" s="117">
        <v>116036.39124670794</v>
      </c>
      <c r="AT34" s="117">
        <v>78299.597979290847</v>
      </c>
      <c r="AV34" s="117">
        <v>39617.572744325895</v>
      </c>
    </row>
    <row r="35" spans="1:49 16319:16321" x14ac:dyDescent="0.2">
      <c r="A35" t="s">
        <v>78</v>
      </c>
      <c r="B35" s="233">
        <v>1</v>
      </c>
      <c r="D35" s="233">
        <v>1.0018375795301064</v>
      </c>
      <c r="F35" s="233">
        <v>1.003868218815182</v>
      </c>
      <c r="H35" s="233">
        <v>1.006117345325382</v>
      </c>
      <c r="J35" s="233">
        <v>1.0086151146884434</v>
      </c>
      <c r="L35" s="233">
        <v>1.0113974767149394</v>
      </c>
      <c r="N35" s="233">
        <v>1.0145074612669318</v>
      </c>
      <c r="P35" s="233">
        <v>1.0179967219038664</v>
      </c>
      <c r="R35" s="233">
        <v>1.0219272585529635</v>
      </c>
      <c r="T35" s="233">
        <v>1.0263731787797044</v>
      </c>
      <c r="V35" s="233">
        <v>1.0314221464882465</v>
      </c>
      <c r="X35" s="233">
        <v>1.037175657806626</v>
      </c>
      <c r="Z35" s="233">
        <v>1.0437466065107415</v>
      </c>
      <c r="AB35" s="233">
        <v>1.0512520016607914</v>
      </c>
      <c r="AD35" s="233">
        <v>1.0597975913936784</v>
      </c>
      <c r="AF35" s="233">
        <v>1.0694524761794209</v>
      </c>
      <c r="AH35" s="233">
        <v>1.0802162374935704</v>
      </c>
      <c r="AJ35" s="233">
        <v>1.0919893665856346</v>
      </c>
      <c r="AL35" s="233">
        <v>1.1045654762192607</v>
      </c>
      <c r="AN35" s="233">
        <v>1.1176576594283731</v>
      </c>
      <c r="AP35" s="233">
        <v>1.1203102041479334</v>
      </c>
      <c r="AR35" s="233">
        <v>1.1229682658545863</v>
      </c>
      <c r="AT35" s="233">
        <v>1.1256294455237545</v>
      </c>
      <c r="AV35" s="233">
        <v>1.1282914119220904</v>
      </c>
    </row>
    <row r="36" spans="1:49 16319:16321" x14ac:dyDescent="0.2">
      <c r="A36" t="s">
        <v>21</v>
      </c>
      <c r="B36" s="37">
        <v>0.47195767671988204</v>
      </c>
      <c r="C36" s="38">
        <v>0.31738834428178991</v>
      </c>
      <c r="D36" s="37">
        <v>0.47199549033416416</v>
      </c>
      <c r="E36" s="38">
        <v>0.32169100068766954</v>
      </c>
      <c r="F36" s="37">
        <v>0.47203443790431604</v>
      </c>
      <c r="G36" s="38">
        <v>0.32636512272485108</v>
      </c>
      <c r="H36" s="37">
        <v>0.47207463771921582</v>
      </c>
      <c r="I36" s="38">
        <v>0.33145693339721477</v>
      </c>
      <c r="J36" s="37">
        <v>0.47211621639107076</v>
      </c>
      <c r="K36" s="38">
        <v>0.33701977642213515</v>
      </c>
      <c r="L36" s="37">
        <v>0.47215930898250225</v>
      </c>
      <c r="M36" s="38">
        <v>0.34311521686437763</v>
      </c>
      <c r="N36" s="37">
        <v>0.47220404003174909</v>
      </c>
      <c r="O36" s="38">
        <v>0.34981430594449009</v>
      </c>
      <c r="P36" s="37">
        <v>0.47225052592653244</v>
      </c>
      <c r="Q36" s="38">
        <v>0.35719865827630415</v>
      </c>
      <c r="R36" s="37">
        <v>0.47229883872501516</v>
      </c>
      <c r="S36" s="38">
        <v>0.36536143498521495</v>
      </c>
      <c r="T36" s="37">
        <v>0.47234897900198902</v>
      </c>
      <c r="U36" s="38">
        <v>0.37440749133600892</v>
      </c>
      <c r="V36" s="37">
        <v>0.47240082598066679</v>
      </c>
      <c r="W36" s="38">
        <v>0.38445215505068286</v>
      </c>
      <c r="X36" s="37">
        <v>0.47245407075128226</v>
      </c>
      <c r="Y36" s="38">
        <v>0.39561717456339596</v>
      </c>
      <c r="Z36" s="37">
        <v>0.47250812890370519</v>
      </c>
      <c r="AA36" s="38">
        <v>0.40802173641640094</v>
      </c>
      <c r="AB36" s="37">
        <v>0.47256205783640554</v>
      </c>
      <c r="AC36" s="38">
        <v>0.42176635074425284</v>
      </c>
      <c r="AD36" s="37">
        <v>0.47261450052362369</v>
      </c>
      <c r="AE36" s="38">
        <v>0.43690696245124028</v>
      </c>
      <c r="AF36" s="37">
        <v>0.47266372030804166</v>
      </c>
      <c r="AG36" s="38">
        <v>0.45342025300130739</v>
      </c>
      <c r="AH36" s="37">
        <v>0.47270779231659321</v>
      </c>
      <c r="AI36" s="38">
        <v>0.47116821515719087</v>
      </c>
      <c r="AJ36" s="37">
        <v>0.47274496956511219</v>
      </c>
      <c r="AK36" s="38">
        <v>0.48987902807783562</v>
      </c>
      <c r="AL36" s="37">
        <v>0.47277411072610498</v>
      </c>
      <c r="AM36" s="38">
        <v>0.50916507887398155</v>
      </c>
      <c r="AN36" s="37">
        <v>0.47279496473093757</v>
      </c>
      <c r="AO36" s="38">
        <v>0.52858244814117838</v>
      </c>
      <c r="AP36" s="37">
        <v>0.47279818293140025</v>
      </c>
      <c r="AQ36" s="38">
        <v>0.53244341397209149</v>
      </c>
      <c r="AR36" s="37">
        <v>0.47280110089505173</v>
      </c>
      <c r="AS36" s="38">
        <v>0.53628946285559764</v>
      </c>
      <c r="AT36" s="37">
        <v>0.47280372791773989</v>
      </c>
      <c r="AU36" s="38">
        <v>0.54011772013363624</v>
      </c>
      <c r="AV36" s="37">
        <v>0.47280607450066753</v>
      </c>
      <c r="AW36" s="38">
        <v>0.54392548928041307</v>
      </c>
    </row>
    <row r="37" spans="1:49 16319:16321" x14ac:dyDescent="0.2">
      <c r="B37" s="39">
        <v>2.1403217525954421E-2</v>
      </c>
      <c r="C37" s="40">
        <v>0.34962461301992565</v>
      </c>
      <c r="D37" s="39">
        <v>2.0818050545745554E-2</v>
      </c>
      <c r="E37" s="40">
        <v>0.34502351967086919</v>
      </c>
      <c r="F37" s="39">
        <v>2.0223101676271622E-2</v>
      </c>
      <c r="G37" s="40">
        <v>0.34029442852433744</v>
      </c>
      <c r="H37" s="39">
        <v>1.961829583659272E-2</v>
      </c>
      <c r="I37" s="40">
        <v>0.33543275183662286</v>
      </c>
      <c r="J37" s="39">
        <v>1.9003630183061355E-2</v>
      </c>
      <c r="K37" s="40">
        <v>0.33043421335054074</v>
      </c>
      <c r="L37" s="39">
        <v>1.8379205330543793E-2</v>
      </c>
      <c r="M37" s="40">
        <v>0.32529511738181005</v>
      </c>
      <c r="N37" s="39">
        <v>1.774525887377882E-2</v>
      </c>
      <c r="O37" s="40">
        <v>0.32001265701243903</v>
      </c>
      <c r="P37" s="39">
        <v>1.710223008542466E-2</v>
      </c>
      <c r="Q37" s="40">
        <v>0.31458551459951795</v>
      </c>
      <c r="R37" s="39">
        <v>1.6450832035012589E-2</v>
      </c>
      <c r="S37" s="40">
        <v>0.3090145747798953</v>
      </c>
      <c r="T37" s="39">
        <v>1.5792169054808108E-2</v>
      </c>
      <c r="U37" s="40">
        <v>0.3033040985316513</v>
      </c>
      <c r="V37" s="39">
        <v>1.5127889461244978E-2</v>
      </c>
      <c r="W37" s="40">
        <v>0.29746331593667291</v>
      </c>
      <c r="X37" s="39">
        <v>1.4460397644142964E-2</v>
      </c>
      <c r="Y37" s="40">
        <v>0.29150870192918027</v>
      </c>
      <c r="Z37" s="39">
        <v>1.3793131341750331E-2</v>
      </c>
      <c r="AA37" s="40">
        <v>0.28546706252193149</v>
      </c>
      <c r="AB37" s="39">
        <v>1.3130858618103314E-2</v>
      </c>
      <c r="AC37" s="40">
        <v>0.27937909642359682</v>
      </c>
      <c r="AD37" s="39">
        <v>1.2479942078215209E-2</v>
      </c>
      <c r="AE37" s="40">
        <v>0.2733029730889287</v>
      </c>
      <c r="AF37" s="39">
        <v>1.1848387164835316E-2</v>
      </c>
      <c r="AG37" s="40">
        <v>0.26731613403790117</v>
      </c>
      <c r="AH37" s="39">
        <v>1.124542308735425E-2</v>
      </c>
      <c r="AI37" s="40">
        <v>0.26151259553679601</v>
      </c>
      <c r="AJ37" s="39">
        <v>1.0680441832961504E-2</v>
      </c>
      <c r="AK37" s="40">
        <v>0.25599343857649182</v>
      </c>
      <c r="AL37" s="39">
        <v>1.0161398362082375E-2</v>
      </c>
      <c r="AM37" s="40">
        <v>0.25085076111182081</v>
      </c>
      <c r="AN37" s="39">
        <v>9.6932857274495878E-3</v>
      </c>
      <c r="AO37" s="40">
        <v>0.24615081684442064</v>
      </c>
      <c r="AP37" s="39">
        <v>9.6059532146746378E-3</v>
      </c>
      <c r="AQ37" s="40">
        <v>0.24526728522946098</v>
      </c>
      <c r="AR37" s="39">
        <v>9.5207134441817609E-3</v>
      </c>
      <c r="AS37" s="40">
        <v>0.24440285698748662</v>
      </c>
      <c r="AT37" s="39">
        <v>9.437553741569819E-3</v>
      </c>
      <c r="AU37" s="40">
        <v>0.24355753859365672</v>
      </c>
      <c r="AV37" s="39">
        <v>9.3564564483707442E-3</v>
      </c>
      <c r="AW37" s="40">
        <v>0.24273128280422057</v>
      </c>
    </row>
    <row r="38" spans="1:49 16319:16321" x14ac:dyDescent="0.2">
      <c r="A38" t="s">
        <v>22</v>
      </c>
      <c r="B38" s="37">
        <v>0.18079094942242827</v>
      </c>
      <c r="C38" s="38">
        <v>6.0565413429233668E-2</v>
      </c>
      <c r="D38" s="37">
        <v>0.18097194280984075</v>
      </c>
      <c r="E38" s="38">
        <v>6.0634452819193892E-2</v>
      </c>
      <c r="F38" s="37">
        <v>0.18116875912823674</v>
      </c>
      <c r="G38" s="38">
        <v>6.0711299365312742E-2</v>
      </c>
      <c r="H38" s="37">
        <v>0.18138294479719308</v>
      </c>
      <c r="I38" s="38">
        <v>6.0797031740192228E-2</v>
      </c>
      <c r="J38" s="37">
        <v>0.18161622186901324</v>
      </c>
      <c r="K38" s="38">
        <v>6.0892907497390118E-2</v>
      </c>
      <c r="L38" s="37">
        <v>0.18187049491554011</v>
      </c>
      <c r="M38" s="38">
        <v>6.1000371760367135E-2</v>
      </c>
      <c r="N38" s="37">
        <v>0.18214787543340699</v>
      </c>
      <c r="O38" s="38">
        <v>6.1121139027560098E-2</v>
      </c>
      <c r="P38" s="37">
        <v>0.1824506583945924</v>
      </c>
      <c r="Q38" s="38">
        <v>6.1257144676296033E-2</v>
      </c>
      <c r="R38" s="37">
        <v>0.18278132024177188</v>
      </c>
      <c r="S38" s="38">
        <v>6.1410642688673904E-2</v>
      </c>
      <c r="T38" s="37">
        <v>0.18314245331703241</v>
      </c>
      <c r="U38" s="38">
        <v>6.1584184619477143E-2</v>
      </c>
      <c r="V38" s="37">
        <v>0.18353665758677404</v>
      </c>
      <c r="W38" s="38">
        <v>6.1780591079670356E-2</v>
      </c>
      <c r="X38" s="37">
        <v>0.18396633517409422</v>
      </c>
      <c r="Y38" s="38">
        <v>6.2002851993731192E-2</v>
      </c>
      <c r="Z38" s="37">
        <v>0.18443333826735628</v>
      </c>
      <c r="AA38" s="38">
        <v>6.2253973715800416E-2</v>
      </c>
      <c r="AB38" s="37">
        <v>0.18493844240272808</v>
      </c>
      <c r="AC38" s="38">
        <v>6.2536555024333446E-2</v>
      </c>
      <c r="AD38" s="37">
        <v>0.18548060682960929</v>
      </c>
      <c r="AE38" s="38">
        <v>6.2852187840630708E-2</v>
      </c>
      <c r="AF38" s="37">
        <v>0.18605612304347285</v>
      </c>
      <c r="AG38" s="38">
        <v>6.3200655622461688E-2</v>
      </c>
      <c r="AH38" s="37">
        <v>0.1866579474592315</v>
      </c>
      <c r="AI38" s="38">
        <v>6.3579079552492701E-2</v>
      </c>
      <c r="AJ38" s="37">
        <v>0.18727567697323166</v>
      </c>
      <c r="AK38" s="38">
        <v>6.3981449079013306E-2</v>
      </c>
      <c r="AL38" s="37">
        <v>0.18789661537870536</v>
      </c>
      <c r="AM38" s="38">
        <v>6.4398978849321567E-2</v>
      </c>
      <c r="AN38" s="37">
        <v>0.18850778266015375</v>
      </c>
      <c r="AO38" s="38">
        <v>6.4821492536477593E-2</v>
      </c>
      <c r="AP38" s="37">
        <v>0.1886278129636996</v>
      </c>
      <c r="AQ38" s="38">
        <v>6.4905700979793715E-2</v>
      </c>
      <c r="AR38" s="37">
        <v>0.18874692261319309</v>
      </c>
      <c r="AS38" s="38">
        <v>6.4989642759722049E-2</v>
      </c>
      <c r="AT38" s="37">
        <v>0.18886504555168537</v>
      </c>
      <c r="AU38" s="38">
        <v>6.5073250325085638E-2</v>
      </c>
      <c r="AV38" s="37">
        <v>0.18898211866987219</v>
      </c>
      <c r="AW38" s="38">
        <v>6.5156462185760586E-2</v>
      </c>
    </row>
    <row r="39" spans="1:49 16319:16321" x14ac:dyDescent="0.2">
      <c r="A39" t="s">
        <v>23</v>
      </c>
      <c r="B39" s="39">
        <v>0.23064923795098566</v>
      </c>
      <c r="C39" s="40">
        <v>0.22092201281804777</v>
      </c>
      <c r="D39" s="39">
        <v>0.23095287252687624</v>
      </c>
      <c r="E39" s="40">
        <v>0.22120868122250364</v>
      </c>
      <c r="F39" s="39">
        <v>0.2312798736115684</v>
      </c>
      <c r="G39" s="40">
        <v>0.22152535998923303</v>
      </c>
      <c r="H39" s="39">
        <v>0.23163350456426143</v>
      </c>
      <c r="I39" s="40">
        <v>0.22187660511011484</v>
      </c>
      <c r="J39" s="39">
        <v>0.23201760440111494</v>
      </c>
      <c r="K39" s="40">
        <v>0.22226777856283775</v>
      </c>
      <c r="L39" s="39">
        <v>0.23243670270099401</v>
      </c>
      <c r="M39" s="40">
        <v>0.22270522773268855</v>
      </c>
      <c r="N39" s="39">
        <v>0.23289614713109699</v>
      </c>
      <c r="O39" s="40">
        <v>0.22319638589447691</v>
      </c>
      <c r="P39" s="39">
        <v>0.23340225239862392</v>
      </c>
      <c r="Q39" s="40">
        <v>0.22375006685071439</v>
      </c>
      <c r="R39" s="39">
        <v>0.23396244491160334</v>
      </c>
      <c r="S39" s="40">
        <v>0.22437654101209475</v>
      </c>
      <c r="T39" s="39">
        <v>0.23458538613280799</v>
      </c>
      <c r="U39" s="40">
        <v>0.22508770654110336</v>
      </c>
      <c r="V39" s="39">
        <v>0.2352810154932547</v>
      </c>
      <c r="W39" s="40">
        <v>0.22589710522445836</v>
      </c>
      <c r="X39" s="39">
        <v>0.23606041082865484</v>
      </c>
      <c r="Y39" s="40">
        <v>0.22681968107261663</v>
      </c>
      <c r="Z39" s="39">
        <v>0.23693529324627544</v>
      </c>
      <c r="AA39" s="40">
        <v>0.22787094775149927</v>
      </c>
      <c r="AB39" s="39">
        <v>0.23791693721992771</v>
      </c>
      <c r="AC39" s="40">
        <v>0.22906551871566802</v>
      </c>
      <c r="AD39" s="39">
        <v>0.23901420902101683</v>
      </c>
      <c r="AE39" s="40">
        <v>0.23041441673285326</v>
      </c>
      <c r="AF39" s="39">
        <v>0.24023064964901564</v>
      </c>
      <c r="AG39" s="40">
        <v>0.23192118281749594</v>
      </c>
      <c r="AH39" s="39">
        <v>0.24156107910637264</v>
      </c>
      <c r="AI39" s="40">
        <v>0.23357754429596586</v>
      </c>
      <c r="AJ39" s="39">
        <v>0.24298906123832767</v>
      </c>
      <c r="AK39" s="40">
        <v>0.23536037546198127</v>
      </c>
      <c r="AL39" s="39">
        <v>0.24448716230430803</v>
      </c>
      <c r="AM39" s="40">
        <v>0.23723249057959417</v>
      </c>
      <c r="AN39" s="39">
        <v>0.24602090324763326</v>
      </c>
      <c r="AO39" s="40">
        <v>0.23914812768181828</v>
      </c>
      <c r="AP39" s="39">
        <v>0.24632877558281485</v>
      </c>
      <c r="AQ39" s="40">
        <v>0.23953235940447071</v>
      </c>
      <c r="AR39" s="39">
        <v>0.2466363841528558</v>
      </c>
      <c r="AS39" s="40">
        <v>0.23991612556979053</v>
      </c>
      <c r="AT39" s="39">
        <v>0.24694346974611339</v>
      </c>
      <c r="AU39" s="40">
        <v>0.24029909824432649</v>
      </c>
      <c r="AV39" s="39">
        <v>0.24724978946271586</v>
      </c>
      <c r="AW39" s="40">
        <v>0.24068096258315766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0.11341385352989118</v>
      </c>
      <c r="E42" s="135"/>
      <c r="F42" s="177">
        <f>10.8%+(1-10.8%)*(1-SUM(F26:G26)/SUM($B$26:$C$26))</f>
        <v>0.11954945683717391</v>
      </c>
      <c r="G42" s="135"/>
      <c r="H42" s="177">
        <f>10.8%+(1-10.8%)*(1-SUM(H26:I26)/SUM($B$26:$C$26))</f>
        <v>0.12654445732805025</v>
      </c>
      <c r="I42" s="135"/>
      <c r="J42" s="177">
        <f>10.8%+(1-10.8%)*(1-SUM(J26:K26)/SUM($B$26:$C$26))</f>
        <v>0.1345707129153999</v>
      </c>
      <c r="K42" s="135"/>
      <c r="L42" s="177">
        <f>10.8%+(1-10.8%)*(1-SUM(L26:M26)/SUM($B$26:$C$26))</f>
        <v>0.14384522744643535</v>
      </c>
      <c r="M42" s="135"/>
      <c r="N42" s="177">
        <f>10.8%+(1-10.8%)*(1-SUM(N26:O26)/SUM($B$26:$C$26))</f>
        <v>0.154642746971725</v>
      </c>
      <c r="O42" s="135"/>
      <c r="P42" s="177">
        <f>10.8%+(1-10.8%)*(1-SUM(P26:Q26)/SUM($B$26:$C$26))</f>
        <v>0.16731644034566182</v>
      </c>
      <c r="Q42" s="135"/>
      <c r="R42" s="177">
        <f>10.8%+(1-10.8%)*(1-SUM(R26:S26)/SUM($B$26:$C$26))</f>
        <v>0.18232143141899659</v>
      </c>
      <c r="S42" s="135"/>
      <c r="T42" s="177">
        <f>10.8%+(1-10.8%)*(1-SUM(T26:U26)/SUM($B$26:$C$26))</f>
        <v>0.20024917448287993</v>
      </c>
      <c r="U42" s="135"/>
      <c r="V42" s="177">
        <f>10.8%+(1-10.8%)*(1-SUM(V26:W26)/SUM($B$26:$C$26))</f>
        <v>0.22187093141811293</v>
      </c>
      <c r="W42" s="135"/>
      <c r="X42" s="177">
        <f>10.8%+(1-10.8%)*(1-SUM(X26:Y26)/SUM($B$26:$C$26))</f>
        <v>0.24819226082745327</v>
      </c>
      <c r="Y42" s="162"/>
      <c r="Z42" s="177">
        <f>10.8%+(1-10.8%)*(1-SUM(Z26:AA26)/SUM($B$26:$C$26))</f>
        <v>0.28051537128008319</v>
      </c>
      <c r="AA42" s="135"/>
      <c r="AB42" s="177">
        <f>10.8%+(1-10.8%)*(1-SUM(AB26:AC26)/SUM($B$26:$C$26))</f>
        <v>0.32049874409129231</v>
      </c>
      <c r="AC42" s="135"/>
      <c r="AD42" s="177">
        <f>10.8%+(1-10.8%)*(1-SUM(AD26:AE26)/SUM($B$26:$C$26))</f>
        <v>0.37018877732308353</v>
      </c>
      <c r="AE42" s="135"/>
      <c r="AF42" s="177">
        <f>10.8%+(1-10.8%)*(1-SUM(AF26:AG26)/SUM($B$26:$C$26))</f>
        <v>0.43197949554372372</v>
      </c>
      <c r="AG42" s="135"/>
      <c r="AH42" s="177">
        <f>10.8%+(1-10.8%)*(1-SUM(AH26:AI26)/SUM($B$26:$C$26))</f>
        <v>0.50844706267314599</v>
      </c>
      <c r="AI42" s="135"/>
      <c r="AJ42" s="177">
        <f>10.8%+(1-10.8%)*(1-SUM(AJ26:AK26)/SUM($B$26:$C$26))</f>
        <v>0.60203361547040324</v>
      </c>
      <c r="AK42" s="135"/>
      <c r="AL42" s="177">
        <f>10.8%+(1-10.8%)*(1-SUM(AL26:AM26)/SUM($B$26:$C$26))</f>
        <v>0.71464065537733645</v>
      </c>
      <c r="AM42" s="135"/>
      <c r="AN42" s="177">
        <f>10.8%+(1-10.8%)*(1-SUM(AN26:AO26)/SUM($B$26:$C$26))</f>
        <v>0.84728811966544604</v>
      </c>
      <c r="AO42" s="135"/>
      <c r="AP42" s="177">
        <f>10.8%+(1-10.8%)*(1-SUM(AP26:AQ26)/SUM($B$26:$C$26))</f>
        <v>0.87624122832163964</v>
      </c>
      <c r="AQ42" s="135"/>
      <c r="AR42" s="177">
        <f>10.8%+(1-10.8%)*(1-SUM(AR26:AS26)/SUM($B$26:$C$26))</f>
        <v>0.90599527697380844</v>
      </c>
      <c r="AS42" s="135"/>
      <c r="AT42" s="177">
        <f>10.8%+(1-10.8%)*(1-SUM(AT26:AU26)/SUM($B$26:$C$26))</f>
        <v>0.93654453831523776</v>
      </c>
      <c r="AU42" s="135"/>
      <c r="AV42" s="177">
        <f>10.8%+(1-10.8%)*(1-SUM(AV26:AW26)/SUM($B$26:$C$26))</f>
        <v>0.96788209662935332</v>
      </c>
    </row>
    <row r="43" spans="1:49 16319:16321" x14ac:dyDescent="0.2">
      <c r="A43" t="s">
        <v>108</v>
      </c>
      <c r="B43" s="162">
        <f>SUM(B15:C15*B27:C27)/SUM(B15:C15*B27:C27,B13:C13*B26:C26)</f>
        <v>0.56058995943838996</v>
      </c>
      <c r="C43" s="135"/>
      <c r="D43" s="162">
        <f t="array" ref="D43">SUM(D15:E15*D27:E27)/SUM(D15:E15*D27:E27,D13:E13*D26:E26)</f>
        <v>0.56662875355857212</v>
      </c>
      <c r="E43" s="135"/>
      <c r="F43" s="162">
        <f t="array" ref="F43">SUM(F15:G15*F27:G27)/SUM(F15:G15*F27:G27,F13:G13*F26:G26)</f>
        <v>0.56605117529553417</v>
      </c>
      <c r="G43" s="135"/>
      <c r="H43" s="162">
        <f t="array" ref="H43">SUM(H15:I15*H27:I27)/SUM(H15:I15*H27:I27,H13:I13*H26:I26)</f>
        <v>0.56546500155602741</v>
      </c>
      <c r="I43" s="135"/>
      <c r="J43" s="162">
        <f t="array" ref="J43">SUM(J15:K15*J27:K27)/SUM(J15:K15*J27:K27,J13:K13*J26:K26)</f>
        <v>0.56486667001713176</v>
      </c>
      <c r="K43" s="135"/>
      <c r="L43" s="162">
        <f t="array" ref="L43">SUM(L15:M15*L27:M27)/SUM(L15:M15*L27:M27,L13:M13*L26:M26)</f>
        <v>0.56425166404921434</v>
      </c>
      <c r="M43" s="135"/>
      <c r="N43" s="162">
        <f t="array" ref="N43">SUM(N15:O15*N27:O27)/SUM(N15:O15*N27:O27,N13:O13*N26:O26)</f>
        <v>0.56361425953512045</v>
      </c>
      <c r="O43" s="135"/>
      <c r="P43" s="162">
        <f t="array" ref="P43">SUM(P15:Q15*P27:Q27)/SUM(P15:Q15*P27:Q27,P13:Q13*P26:Q26)</f>
        <v>0.56294725542003587</v>
      </c>
      <c r="Q43" s="135"/>
      <c r="R43" s="162">
        <f t="array" ref="R43">SUM(R15:S15*R27:S27)/SUM(R15:S15*R27:S27,R13:S13*R26:S26)</f>
        <v>0.56224162474426809</v>
      </c>
      <c r="S43" s="135"/>
      <c r="T43" s="162">
        <f t="array" ref="T43">SUM(T15:U15*T27:U27)/SUM(T15:U15*T27:U27,T13:U13*T26:U26)</f>
        <v>0.56148617390154298</v>
      </c>
      <c r="U43" s="135"/>
      <c r="V43" s="162">
        <f t="array" ref="V43">SUM(V15:W15*V27:W27)/SUM(V15:W15*V27:W27,V13:W13*V26:W26)</f>
        <v>0.56066724993329842</v>
      </c>
      <c r="W43" s="135"/>
      <c r="X43" s="162">
        <f t="array" ref="X43">SUM(X15:Y15*X27:Y27)/SUM(X15:Y15*X27:Y27,X13:Y13*X26:Y26)</f>
        <v>0.55976862030414953</v>
      </c>
      <c r="Y43" s="135"/>
      <c r="Z43" s="162">
        <f t="array" ref="Z43">SUM(Z15:AA15*Z27:AA27)/SUM(Z15:AA15*Z27:AA27,Z13:AA13*Z26:AA26)</f>
        <v>0.55877176100525416</v>
      </c>
      <c r="AA43" s="135"/>
      <c r="AB43" s="162">
        <f t="array" ref="AB43">SUM(AB15:AC15*AB27:AC27)/SUM(AB15:AC15*AB27:AC27,AB13:AC13*AB26:AC26)</f>
        <v>0.55765699067467023</v>
      </c>
      <c r="AC43" s="135"/>
      <c r="AD43" s="162">
        <f t="array" ref="AD43">SUM(AD15:AE15*AD27:AE27)/SUM(AD15:AE15*AD27:AE27,AD13:AE13*AD26:AE26)</f>
        <v>0.55640587072535608</v>
      </c>
      <c r="AE43" s="135"/>
      <c r="AF43" s="162">
        <f t="array" ref="AF43">SUM(AF15:AG15*AF27:AG27)/SUM(AF15:AG15*AF27:AG27,AF13:AG13*AF26:AG26)</f>
        <v>0.55500523535564761</v>
      </c>
      <c r="AG43" s="135"/>
      <c r="AH43" s="162">
        <f t="array" ref="AH43">SUM(AH15:AI15*AH27:AI27)/SUM(AH15:AI15*AH27:AI27,AH13:AI13*AH26:AI26)</f>
        <v>0.55345244859674347</v>
      </c>
      <c r="AI43" s="135"/>
      <c r="AJ43" s="162">
        <f t="array" ref="AJ43">SUM(AJ15:AK15*AJ27:AK27)/SUM(AJ15:AK15*AJ27:AK27,AJ13:AK13*AJ26:AK26)</f>
        <v>0.55176013496690302</v>
      </c>
      <c r="AK43" s="135"/>
      <c r="AL43" s="162">
        <f t="array" ref="AL43">SUM(AL15:AM15*AL27:AM27)/SUM(AL15:AM15*AL27:AM27,AL13:AM13*AL26:AM26)</f>
        <v>0.54995751482442923</v>
      </c>
      <c r="AM43" s="135"/>
      <c r="AN43" s="162">
        <f t="array" ref="AN43">SUM(AN15:AO15*AN27:AO27)/SUM(AN15:AO15*AN27:AO27,AN13:AO13*AN26:AO26)</f>
        <v>0.54808634880526497</v>
      </c>
      <c r="AO43" s="135"/>
      <c r="AP43" s="162">
        <f t="array" ref="AP43">SUM(AP15:AQ15*AP27:AQ27)/SUM(AP15:AQ15*AP27:AQ27,AP13:AQ13*AP26:AQ26)</f>
        <v>0.54770797670934623</v>
      </c>
      <c r="AQ43" s="135"/>
      <c r="AR43" s="162">
        <f t="array" ref="AR43">SUM(AR15:AS15*AR27:AS27)/SUM(AR15:AS15*AR27:AS27,AR13:AS13*AR26:AS26)</f>
        <v>0.54732908320057172</v>
      </c>
      <c r="AS43" s="135"/>
      <c r="AT43" s="162">
        <f t="array" ref="AT43">SUM(AT15:AU15*AT27:AU27)/SUM(AT15:AU15*AT27:AU27,AT13:AU13*AT26:AU26)</f>
        <v>0.54695001228408968</v>
      </c>
      <c r="AU43" s="135"/>
      <c r="AV43" s="162">
        <f t="array" ref="AV43">SUM(AV15:AW15*AV27:AW27)/SUM(AV15:AW15*AV27:AW27,AV13:AW13*AV26:AW26)</f>
        <v>0.54657110410747956</v>
      </c>
    </row>
    <row r="44" spans="1:49 16319:16321" x14ac:dyDescent="0.2">
      <c r="A44" t="s">
        <v>142</v>
      </c>
      <c r="B44" s="193">
        <f>(SUM(B11:C11*B24:C24)+B34)/B32</f>
        <v>0.29754226190682465</v>
      </c>
      <c r="D44" s="193">
        <f>(SUM(D11:E11*D24:E24)+D34)/D32</f>
        <v>0.2993995112931413</v>
      </c>
      <c r="F44" s="193">
        <f>(SUM(F11:G11*F24:G24)+F34)/F32</f>
        <v>0.301296944837041</v>
      </c>
      <c r="H44" s="193">
        <f>(SUM(H11:I11*H24:I24)+H34)/H32</f>
        <v>0.30323957362534759</v>
      </c>
      <c r="J44" s="193">
        <f>(SUM(J11:K11*J24:K24)+J34)/J32</f>
        <v>0.30523308533242632</v>
      </c>
      <c r="L44" s="193">
        <f>(SUM(L11:M11*L24:M24)+L34)/L32</f>
        <v>0.30728389555655283</v>
      </c>
      <c r="N44" s="193">
        <f>(SUM(N11:O11*N24:O24)+N34)/N32</f>
        <v>0.3093993379976675</v>
      </c>
      <c r="P44" s="193">
        <f>(SUM(P11:Q11*P24:Q24)+P34)/P32</f>
        <v>0.31158762162238546</v>
      </c>
      <c r="R44" s="193">
        <f>(SUM(R11:S11*R24:S24)+R34)/R32</f>
        <v>0.31385796946902367</v>
      </c>
      <c r="T44" s="193">
        <f>(SUM(T11:U11*T24:U24)+T34)/T32</f>
        <v>0.31622051097204595</v>
      </c>
      <c r="V44" s="193">
        <f>(SUM(V11:W11*V24:W24)+V34)/V32</f>
        <v>0.31868605791829757</v>
      </c>
      <c r="X44" s="193">
        <f>(SUM(X11:Y11*X24:Y24)+X34)/X32</f>
        <v>0.32126551042579532</v>
      </c>
      <c r="Z44" s="193">
        <f>(SUM(Z11:AA11*Z24:AA24)+Z34)/Z32</f>
        <v>0.323968638355982</v>
      </c>
      <c r="AB44" s="193">
        <f>(SUM(AB11:AC11*AB24:AC24)+AB34)/AB32</f>
        <v>0.3268020089983753</v>
      </c>
      <c r="AD44" s="193">
        <f>(SUM(AD11:AE11*AD24:AE24)+AD34)/AD32</f>
        <v>0.32976571529038173</v>
      </c>
      <c r="AF44" s="193">
        <f>(SUM(AF11:AG11*AF24:AG24)+AF34)/AF32</f>
        <v>0.33284907665048824</v>
      </c>
      <c r="AH44" s="193">
        <f>(SUM(AH11:AI11*AH24:AI24)+AH34)/AH32</f>
        <v>0.3360264571050855</v>
      </c>
      <c r="AJ44" s="193">
        <f>(SUM(AJ11:AK11*AJ24:AK24)+AJ34)/AJ32</f>
        <v>0.33925551858069891</v>
      </c>
      <c r="AL44" s="193">
        <f>(SUM(AL11:AM11*AL24:AM24)+AL34)/AL32</f>
        <v>0.34248054578705994</v>
      </c>
      <c r="AN44" s="193">
        <f>(SUM(AN11:AO11*AN24:AO24)+AN34)/AN32</f>
        <v>0.34564124686982661</v>
      </c>
      <c r="AP44" s="193">
        <f>(SUM(AP11:AQ11*AP24:AQ24)+AP34)/AP32</f>
        <v>0.34626067991181186</v>
      </c>
      <c r="AR44" s="193">
        <f>(SUM(AR11:AS11*AR24:AS24)+AR34)/AR32</f>
        <v>0.34687495873931939</v>
      </c>
      <c r="AT44" s="193">
        <f>(SUM(AT11:AU11*AT24:AU24)+AT34)/AT32</f>
        <v>0.34748375681241211</v>
      </c>
      <c r="AV44" s="193">
        <f>(SUM(AV11:AW11*AV24:AW24)+AV34)/AV32</f>
        <v>0.34808681148415871</v>
      </c>
    </row>
    <row r="45" spans="1:49 16319:16321" x14ac:dyDescent="0.2">
      <c r="A45" t="s">
        <v>82</v>
      </c>
      <c r="B45" s="193">
        <f>SUM(B11:C11*B24:C24)/B32</f>
        <v>0.22038438833194082</v>
      </c>
      <c r="D45" s="193">
        <f>SUM(D11:E11*D24:E24)/D32</f>
        <v>0.22224163868320804</v>
      </c>
      <c r="F45" s="193">
        <f>SUM(F11:G11*F24:G24)/F32</f>
        <v>0.22413907287428964</v>
      </c>
      <c r="H45" s="193">
        <f>SUM(H11:I11*H24:I24)/H32</f>
        <v>0.22608170141775766</v>
      </c>
      <c r="J45" s="193">
        <f>SUM(J11:K11*J24:K24)/J32</f>
        <v>0.22807521186729612</v>
      </c>
      <c r="L45" s="193">
        <f>SUM(L11:M11*L24:M24)/L32</f>
        <v>0.2301260208584561</v>
      </c>
      <c r="N45" s="193">
        <f>SUM(N11:O11*N24:O24)/N32</f>
        <v>0.232241463594488</v>
      </c>
      <c r="P45" s="193">
        <f>SUM(P11:Q11*P24:Q24)/P32</f>
        <v>0.23442974719298687</v>
      </c>
      <c r="R45" s="193">
        <f>SUM(R11:S11*R24:S24)/R32</f>
        <v>0.23670009595313907</v>
      </c>
      <c r="T45" s="193">
        <f>SUM(T11:U11*T24:U24)/T32</f>
        <v>0.23906263668572267</v>
      </c>
      <c r="V45" s="193">
        <f>SUM(V11:W11*V24:W24)/V32</f>
        <v>0.24152818238841187</v>
      </c>
      <c r="X45" s="193">
        <f>SUM(X11:Y11*X24:Y24)/X32</f>
        <v>0.24410763644220165</v>
      </c>
      <c r="Z45" s="193">
        <f>SUM(Z11:AA11*Z24:AA24)/Z32</f>
        <v>0.24681076400522312</v>
      </c>
      <c r="AB45" s="193">
        <f>SUM(AB11:AC11*AB24:AC24)/AB32</f>
        <v>0.24964413508024696</v>
      </c>
      <c r="AD45" s="193">
        <f>SUM(AD11:AE11*AD24:AE24)/AD32</f>
        <v>0.25260784126639124</v>
      </c>
      <c r="AF45" s="193">
        <f>SUM(AF11:AG11*AF24:AG24)/AF32</f>
        <v>0.25569120062572326</v>
      </c>
      <c r="AH45" s="193">
        <f>SUM(AH11:AI11*AH24:AI24)/AH32</f>
        <v>0.25886858359220494</v>
      </c>
      <c r="AJ45" s="193">
        <f>SUM(AJ11:AK11*AJ24:AK24)/AJ32</f>
        <v>0.26209764499044835</v>
      </c>
      <c r="AL45" s="193">
        <f>SUM(AL11:AM11*AL24:AM24)/AL32</f>
        <v>0.26532267221217254</v>
      </c>
      <c r="AN45" s="193">
        <f>SUM(AN11:AO11*AN24:AO24)/AN32</f>
        <v>0.2684833672145881</v>
      </c>
      <c r="AP45" s="193">
        <f>SUM(AP11:AQ11*AP24:AQ24)/AP32</f>
        <v>0.2691028069964051</v>
      </c>
      <c r="AR45" s="193">
        <f>SUM(AR11:AS11*AR24:AS24)/AR32</f>
        <v>0.26971709221361168</v>
      </c>
      <c r="AT45" s="193">
        <f>SUM(AT11:AU11*AT24:AU24)/AT32</f>
        <v>0.27032589010544988</v>
      </c>
      <c r="AV45" s="193">
        <f>SUM(AV11:AW11*AV24:AW24)/AV32</f>
        <v>0.2709289379092486</v>
      </c>
      <c r="XCQ45" s="193"/>
    </row>
    <row r="46" spans="1:49 16319:16321" x14ac:dyDescent="0.2">
      <c r="A46" t="s">
        <v>139</v>
      </c>
      <c r="B46" s="193">
        <f>B34/B32</f>
        <v>7.7157873574883795E-2</v>
      </c>
      <c r="D46" s="193">
        <f>D34/D32</f>
        <v>7.7157872609933273E-2</v>
      </c>
      <c r="F46" s="193">
        <f>F34/F32</f>
        <v>7.7157871962751381E-2</v>
      </c>
      <c r="H46" s="193">
        <f>H34/H32</f>
        <v>7.7157872207589948E-2</v>
      </c>
      <c r="J46" s="193">
        <f>J34/J32</f>
        <v>7.7157873465130172E-2</v>
      </c>
      <c r="L46" s="193">
        <f>L34/L32</f>
        <v>7.7157874698096693E-2</v>
      </c>
      <c r="N46" s="193">
        <f>N34/N32</f>
        <v>7.7157874403179505E-2</v>
      </c>
      <c r="P46" s="193">
        <f>P34/P32</f>
        <v>7.7157874429398532E-2</v>
      </c>
      <c r="R46" s="193">
        <f>R34/R32</f>
        <v>7.7157873515884601E-2</v>
      </c>
      <c r="T46" s="193">
        <f>T34/T32</f>
        <v>7.7157874286323272E-2</v>
      </c>
      <c r="V46" s="193">
        <f>V34/V32</f>
        <v>7.7157875529885733E-2</v>
      </c>
      <c r="X46" s="193">
        <f>X34/X32</f>
        <v>7.7157873983593681E-2</v>
      </c>
      <c r="Z46" s="193">
        <f>Z34/Z32</f>
        <v>7.7157874350758923E-2</v>
      </c>
      <c r="AB46" s="193">
        <f>AB34/AB32</f>
        <v>7.7157873918128381E-2</v>
      </c>
      <c r="AD46" s="193">
        <f>AD34/AD32</f>
        <v>7.7157874023990491E-2</v>
      </c>
      <c r="AF46" s="193">
        <f>AF34/AF32</f>
        <v>7.7157876024764982E-2</v>
      </c>
      <c r="AH46" s="193">
        <f>AH34/AH32</f>
        <v>7.7157873512880559E-2</v>
      </c>
      <c r="AJ46" s="193">
        <f>AJ34/AJ32</f>
        <v>7.7157873590250572E-2</v>
      </c>
      <c r="AL46" s="193">
        <f>AL34/AL32</f>
        <v>7.7157873574887376E-2</v>
      </c>
      <c r="AN46" s="193">
        <f>AN34/AN32</f>
        <v>7.7157879655238487E-2</v>
      </c>
      <c r="AP46" s="193">
        <f>AP34/AP32</f>
        <v>7.7157872915406725E-2</v>
      </c>
      <c r="AR46" s="193">
        <f>AR34/AR32</f>
        <v>7.7157866525707719E-2</v>
      </c>
      <c r="AT46" s="193">
        <f>AT34/AT32</f>
        <v>7.7157866706962272E-2</v>
      </c>
      <c r="AV46" s="193">
        <f>AV34/AV32</f>
        <v>7.7157873574910135E-2</v>
      </c>
      <c r="XCS46" s="193"/>
    </row>
    <row r="48" spans="1:49 16319:16321" x14ac:dyDescent="0.2">
      <c r="A48" t="s">
        <v>159</v>
      </c>
      <c r="B48" s="191">
        <f>B24/$B$24</f>
        <v>1</v>
      </c>
      <c r="C48" s="191"/>
      <c r="D48" s="191">
        <f>D24/$B$24</f>
        <v>1.0030587320584299</v>
      </c>
      <c r="E48" s="191"/>
      <c r="F48" s="191">
        <f>F24/$B$24</f>
        <v>1.0052978054553408</v>
      </c>
      <c r="G48" s="191"/>
      <c r="H48" s="191">
        <f>H24/$B$24</f>
        <v>1.0065463165938868</v>
      </c>
      <c r="I48" s="191"/>
      <c r="J48" s="191">
        <f>J24/$B$24</f>
        <v>1.0065883783143796</v>
      </c>
      <c r="K48" s="191"/>
      <c r="L48" s="191">
        <f>L24/$B$24</f>
        <v>1.0051480204818726</v>
      </c>
      <c r="M48" s="191"/>
      <c r="N48" s="191">
        <f>N24/$B$24</f>
        <v>1.0018720032155219</v>
      </c>
      <c r="O48" s="191"/>
      <c r="P48" s="191">
        <f>P24/$B$24</f>
        <v>0.99630048996482068</v>
      </c>
      <c r="Q48" s="191"/>
      <c r="R48" s="191">
        <f>R24/$B$24</f>
        <v>0.98783379384837444</v>
      </c>
      <c r="S48" s="191"/>
      <c r="T48" s="191">
        <f>T24/$B$24</f>
        <v>0.97568243803621257</v>
      </c>
      <c r="U48" s="191"/>
      <c r="V48" s="191">
        <f>V24/$B$24</f>
        <v>0.95880266621288157</v>
      </c>
      <c r="W48" s="191"/>
      <c r="X48" s="191">
        <f>X24/$B$24</f>
        <v>0.93581289158385894</v>
      </c>
      <c r="Y48" s="191"/>
      <c r="Z48" s="191">
        <f>Z24/$B$24</f>
        <v>0.9048931827843113</v>
      </c>
      <c r="AA48" s="191"/>
      <c r="AB48" s="191">
        <f>AB24/$B$24</f>
        <v>0.86367968772595127</v>
      </c>
      <c r="AC48" s="191"/>
      <c r="AD48" s="191">
        <f>AD24/$B$24</f>
        <v>0.8091868063681249</v>
      </c>
      <c r="AE48" s="191"/>
      <c r="AF48" s="191">
        <f>AF24/$B$24</f>
        <v>0.73782039821308942</v>
      </c>
      <c r="AG48" s="191"/>
      <c r="AH48" s="191">
        <f>AH24/$B$24</f>
        <v>0.64556794903037351</v>
      </c>
      <c r="AI48" s="191"/>
      <c r="AJ48" s="191">
        <f>AJ24/$B$24</f>
        <v>0.52842546574898352</v>
      </c>
      <c r="AK48" s="191"/>
      <c r="AL48" s="191">
        <f>AL24/$B$24</f>
        <v>0.38300437998656262</v>
      </c>
      <c r="AM48" s="191"/>
      <c r="AN48" s="191">
        <f>AN24/$B$24</f>
        <v>0.20710531488034825</v>
      </c>
      <c r="AO48" s="191"/>
      <c r="AP48" s="191">
        <f>AP24/$B$24</f>
        <v>0.16817813859850053</v>
      </c>
      <c r="AQ48" s="191"/>
      <c r="AR48" s="191">
        <f>AR24/$B$24</f>
        <v>0.1279995731555546</v>
      </c>
      <c r="AS48" s="191"/>
      <c r="AT48" s="191">
        <f>AT24/$B$24</f>
        <v>8.6573092865718487E-2</v>
      </c>
      <c r="AU48" s="191"/>
      <c r="AV48" s="191">
        <f>AV24/$B$24</f>
        <v>4.3904162082470603E-2</v>
      </c>
    </row>
    <row r="49" spans="1:48 16321:16384" x14ac:dyDescent="0.2">
      <c r="A49" t="s">
        <v>160</v>
      </c>
      <c r="B49" s="191">
        <f>B13/B35/$B$13*$B$35</f>
        <v>1</v>
      </c>
      <c r="C49" s="191"/>
      <c r="D49" s="191">
        <f>D13/D35/$B$13*$B$35</f>
        <v>0.99512074020120556</v>
      </c>
      <c r="E49" s="191"/>
      <c r="F49" s="191">
        <f>F13/F35/$B$13*$B$35</f>
        <v>0.98989161694289385</v>
      </c>
      <c r="G49" s="191"/>
      <c r="H49" s="191">
        <f>H13/H35/$B$13*$B$35</f>
        <v>0.98427875185395786</v>
      </c>
      <c r="I49" s="191"/>
      <c r="J49" s="191">
        <f>J13/J35/$B$13*$B$35</f>
        <v>0.97824431729162609</v>
      </c>
      <c r="K49" s="191"/>
      <c r="L49" s="191">
        <f>L13/L35/$B$13*$B$35</f>
        <v>0.97174630508055249</v>
      </c>
      <c r="M49" s="191"/>
      <c r="N49" s="191">
        <f>N13/N35/$B$13*$B$35</f>
        <v>0.96473808895564339</v>
      </c>
      <c r="O49" s="191"/>
      <c r="P49" s="191">
        <f>P13/P35/$B$13*$B$35</f>
        <v>0.95716876676234275</v>
      </c>
      <c r="Q49" s="191"/>
      <c r="R49" s="191">
        <f>R13/R35/$B$13*$B$35</f>
        <v>0.94898337454266823</v>
      </c>
      <c r="S49" s="191"/>
      <c r="T49" s="191">
        <f>T13/T35/$B$13*$B$35</f>
        <v>0.94012435844691822</v>
      </c>
      <c r="U49" s="191"/>
      <c r="V49" s="191">
        <f>V13/V35/$B$13*$B$35</f>
        <v>0.93053420695634148</v>
      </c>
      <c r="W49" s="191"/>
      <c r="X49" s="191">
        <f>X13/X35/$B$13*$B$35</f>
        <v>0.92016042543151522</v>
      </c>
      <c r="Y49" s="191"/>
      <c r="Z49" s="191">
        <f>Z13/Z35/$B$13*$B$35</f>
        <v>0.90896404905935035</v>
      </c>
      <c r="AA49" s="191"/>
      <c r="AB49" s="191">
        <f>AB13/AB35/$B$13*$B$35</f>
        <v>0.89693245890576545</v>
      </c>
      <c r="AC49" s="191"/>
      <c r="AD49" s="191">
        <f>AD13/AD35/$B$13*$B$35</f>
        <v>0.88409727177622222</v>
      </c>
      <c r="AE49" s="191"/>
      <c r="AF49" s="191">
        <f>AF13/AF35/$B$13*$B$35</f>
        <v>0.87055471265167716</v>
      </c>
      <c r="AG49" s="191"/>
      <c r="AH49" s="191">
        <f>AH13/AH35/$B$13*$B$35</f>
        <v>0.85648113564985162</v>
      </c>
      <c r="AI49" s="191"/>
      <c r="AJ49" s="191">
        <f>AJ13/AJ35/$B$13*$B$35</f>
        <v>0.84213225496880784</v>
      </c>
      <c r="AK49" s="191"/>
      <c r="AL49" s="191">
        <f>AL13/AL35/$B$13*$B$35</f>
        <v>0.82781559485029865</v>
      </c>
      <c r="AM49" s="191"/>
      <c r="AN49" s="191">
        <f>AN13/AN35/$B$13*$B$35</f>
        <v>0.8138404363321069</v>
      </c>
      <c r="AO49" s="191"/>
      <c r="AP49" s="191">
        <f>AP13/AP35/$B$13*$B$35</f>
        <v>0.81111046956410315</v>
      </c>
      <c r="AQ49" s="191"/>
      <c r="AR49" s="191">
        <f>AR13/AR35/$B$13*$B$35</f>
        <v>0.80840647247499264</v>
      </c>
      <c r="AS49" s="191"/>
      <c r="AT49" s="191">
        <f>AT13/AT35/$B$13*$B$35</f>
        <v>0.80572999582356697</v>
      </c>
      <c r="AU49" s="191"/>
      <c r="AV49" s="191">
        <f>AV13/AV35/$B$13*$B$35</f>
        <v>0.80308244010074459</v>
      </c>
    </row>
    <row r="51" spans="1:48 16321:16384" x14ac:dyDescent="0.2">
      <c r="A51" t="s">
        <v>166</v>
      </c>
      <c r="B51" s="29">
        <f>B30-B10*B23</f>
        <v>-405838.32800000021</v>
      </c>
      <c r="D51" s="29">
        <f>D30-D10*D23</f>
        <v>-357358.12939645723</v>
      </c>
      <c r="F51" s="29">
        <f>F30-F10*F23</f>
        <v>-308215.33754559979</v>
      </c>
      <c r="H51" s="29">
        <f>H30-H10*H23</f>
        <v>-258395.19406306138</v>
      </c>
      <c r="J51" s="29">
        <f>J30-J10*J23</f>
        <v>-207900.50143301534</v>
      </c>
      <c r="L51" s="29">
        <f>L30-L10*L23</f>
        <v>-156761.11056078738</v>
      </c>
      <c r="N51" s="29">
        <f>N30-N10*N23</f>
        <v>-105049.76572573511</v>
      </c>
      <c r="P51" s="29">
        <f>P30-P10*P23</f>
        <v>-52902.956506671384</v>
      </c>
      <c r="R51" s="29">
        <f>R30-R10*R23</f>
        <v>-555.54591416800395</v>
      </c>
      <c r="T51" s="29">
        <f>T30-T10*T23</f>
        <v>51609.398360013496</v>
      </c>
      <c r="V51" s="29">
        <f>V30-V10*V23</f>
        <v>102985.8323570285</v>
      </c>
      <c r="X51" s="29">
        <f>X30-X10*X23</f>
        <v>152634.73027106468</v>
      </c>
      <c r="Z51" s="29">
        <f>Z30-Z10*Z23</f>
        <v>199127.25025765086</v>
      </c>
      <c r="AB51" s="29">
        <f>AB30-AB10*AB23</f>
        <v>240338.60470254021</v>
      </c>
      <c r="AD51" s="29">
        <f>AD30-AD10*AD23</f>
        <v>273205.32720645471</v>
      </c>
      <c r="AF51" s="29">
        <f>AF30-AF10*AF23</f>
        <v>293510.20502138487</v>
      </c>
      <c r="AH51" s="29">
        <f>AH30-AH10*AH23</f>
        <v>295826.04767610319</v>
      </c>
      <c r="AJ51" s="29">
        <f>AJ30-AJ10*AJ23</f>
        <v>273788.91454923525</v>
      </c>
      <c r="AL51" s="29">
        <f>AL30-AL10*AL23</f>
        <v>220794.72417210636</v>
      </c>
      <c r="AN51" s="29">
        <f>AN30-AN10*AN23</f>
        <v>130964.89042937884</v>
      </c>
      <c r="AP51" s="29">
        <f>AP30-AP10*AP23</f>
        <v>108166.20357773034</v>
      </c>
      <c r="AQ51" s="29"/>
      <c r="AR51" s="29">
        <f>AR30-AR10*AR23</f>
        <v>83690.485239516303</v>
      </c>
      <c r="AT51" s="29">
        <f>AT30-AT10*AT23</f>
        <v>57515.97622008383</v>
      </c>
      <c r="AV51" s="29">
        <f>AV30-AV10*AV23</f>
        <v>29624.261124376149</v>
      </c>
      <c r="XFD51" s="29"/>
    </row>
    <row r="52" spans="1:48 16321:16384" x14ac:dyDescent="0.2">
      <c r="A52" t="s">
        <v>167</v>
      </c>
      <c r="B52" s="29">
        <f t="array" ref="B52">Calibration!sL*SUM(B13:C13*B26:C26)</f>
        <v>2049247.8195702801</v>
      </c>
      <c r="D52" s="29">
        <f t="array" ref="D52">Calibration!sL*SUM(D13:E13*D26:E26)</f>
        <v>2030596.6450471187</v>
      </c>
      <c r="F52" s="29">
        <f t="array" ref="F52">Calibration!sL*SUM(F13:G13*F26:G26)</f>
        <v>2010013.362564513</v>
      </c>
      <c r="H52" s="29">
        <f t="array" ref="H52">Calibration!sL*SUM(H13:I13*H26:I26)</f>
        <v>1987179.866862616</v>
      </c>
      <c r="J52" s="29">
        <f t="array" ref="J52">Calibration!sL*SUM(J13:K13*J26:K26)</f>
        <v>1961706.4551186152</v>
      </c>
      <c r="L52" s="29">
        <f t="array" ref="L52">Calibration!sL*SUM(L13:M13*L26:M26)</f>
        <v>1933110.4698746088</v>
      </c>
      <c r="N52" s="29">
        <f t="array" ref="N52">Calibration!sL*SUM(N13:O13*N26:O26)</f>
        <v>1900791.9376213816</v>
      </c>
      <c r="P52" s="29">
        <f t="array" ref="P52">Calibration!sL*SUM(P13:Q13*P26:Q26)</f>
        <v>1863994.0240944114</v>
      </c>
      <c r="R52" s="29">
        <f t="array" ref="R52">Calibration!sL*SUM(R13:S13*R26:S26)</f>
        <v>1821758.6060371394</v>
      </c>
      <c r="T52" s="29">
        <f t="array" ref="T52">Calibration!sL*SUM(T13:U13*T26:U26)</f>
        <v>1772861.970744984</v>
      </c>
      <c r="V52" s="29">
        <f t="array" ref="V52">Calibration!sL*SUM(V13:W13*V26:W26)</f>
        <v>1715734.4116006754</v>
      </c>
      <c r="X52" s="29">
        <f t="array" ref="X52">Calibration!sL*SUM(X13:Y13*X26:Y26)</f>
        <v>1648360.8300902899</v>
      </c>
      <c r="Z52" s="29">
        <f t="array" ref="Z52">Calibration!sL*SUM(Z13:AA13*Z26:AA26)</f>
        <v>1568169.2381130073</v>
      </c>
      <c r="AB52" s="29">
        <f t="array" ref="AB52">Calibration!sL*SUM(AB13:AC13*AB26:AC26)</f>
        <v>1471927.6640115161</v>
      </c>
      <c r="AD52" s="29">
        <f t="array" ref="AD52">Calibration!sL*SUM(AD13:AE13*AD26:AE26)</f>
        <v>1355698.1423054431</v>
      </c>
      <c r="AF52" s="29">
        <f t="array" ref="AF52">Calibration!sL*SUM(AF13:AG13*AF26:AG26)</f>
        <v>1214929.8477631735</v>
      </c>
      <c r="AH52" s="29">
        <f t="array" ref="AH52">Calibration!sL*SUM(AH13:AI13*AH26:AI26)</f>
        <v>1044788.6017774427</v>
      </c>
      <c r="AJ52" s="29">
        <f t="array" ref="AJ52">Calibration!sL*SUM(AJ13:AK13*AJ26:AK26)</f>
        <v>840765.20098707103</v>
      </c>
      <c r="AL52" s="29">
        <f t="array" ref="AL52">Calibration!sL*SUM(AL13:AM13*AL26:AM26)</f>
        <v>599441.48407762637</v>
      </c>
      <c r="AN52" s="29">
        <f t="array" ref="AN52">Calibration!sL*SUM(AN13:AO13*AN26:AO26)</f>
        <v>319117.42209463415</v>
      </c>
      <c r="AP52" s="29">
        <f t="array" ref="AP52">Calibration!sL*SUM(AP13:AQ13*AP26:AQ26)</f>
        <v>258359.19127711965</v>
      </c>
      <c r="AQ52" s="29"/>
      <c r="AR52" s="29">
        <f t="array" ref="AR52">Calibration!sL*SUM(AR13:AS13*AR26:AS26)</f>
        <v>196054.38807924688</v>
      </c>
      <c r="AT52" s="29">
        <f t="array" ref="AT52">Calibration!sL*SUM(AT13:AU13*AT26:AU26)</f>
        <v>132215.87784151812</v>
      </c>
      <c r="AV52" s="29">
        <f t="array" ref="AV52">Calibration!sL*SUM(AV13:AW13*AV26:AW26)</f>
        <v>66858.746015598197</v>
      </c>
    </row>
    <row r="53" spans="1:48 16321:16384" x14ac:dyDescent="0.2">
      <c r="A53" t="s">
        <v>168</v>
      </c>
      <c r="B53" s="29">
        <f t="array" ref="B53">Calibration!sK*SUM(B15:C15*B27:C27)</f>
        <v>2740714.4444297217</v>
      </c>
      <c r="D53" s="29">
        <f t="array" ref="D53">Calibration!sK*SUM(D15:E15*D27:E27)</f>
        <v>2709452.6629052227</v>
      </c>
      <c r="F53" s="29">
        <f t="array" ref="F53">Calibration!sK*SUM(F15:G15*F27:G27)</f>
        <v>2675688.2545955069</v>
      </c>
      <c r="H53" s="29">
        <f t="array" ref="H53">Calibration!sK*SUM(H15:I15*H27:I27)</f>
        <v>2638988.7269703974</v>
      </c>
      <c r="J53" s="29">
        <f t="array" ref="J53">Calibration!sK*SUM(J15:K15*J27:K27)</f>
        <v>2598824.8355005537</v>
      </c>
      <c r="L53" s="29">
        <f t="array" ref="L53">Calibration!sK*SUM(L15:M15*L27:M27)</f>
        <v>2554542.7320036567</v>
      </c>
      <c r="N53" s="29">
        <f t="array" ref="N53">Calibration!sK*SUM(N15:O15*N27:O27)</f>
        <v>2505332.6034719585</v>
      </c>
      <c r="P53" s="29">
        <f t="array" ref="P53">Calibration!sK*SUM(P15:Q15*P27:Q27)</f>
        <v>2450178.6858122256</v>
      </c>
      <c r="R53" s="29">
        <f t="array" ref="R53">Calibration!sK*SUM(R15:S15*R27:S27)</f>
        <v>2387804.4017676194</v>
      </c>
      <c r="T53" s="29">
        <f t="array" ref="T53">Calibration!sK*SUM(T15:U15*T27:U27)</f>
        <v>2316594.854762597</v>
      </c>
      <c r="V53" s="29">
        <f t="array" ref="V53">Calibration!sK*SUM(V15:W15*V27:W27)</f>
        <v>2234503.6015424985</v>
      </c>
      <c r="X53" s="29">
        <f t="array" ref="X53">Calibration!sK*SUM(X15:Y15*X27:Y27)</f>
        <v>2138943.0753077706</v>
      </c>
      <c r="Z53" s="29">
        <f t="array" ref="Z53">Calibration!sK*SUM(Z15:AA15*Z27:AA27)</f>
        <v>2026672.0018478527</v>
      </c>
      <c r="AB53" s="29">
        <f t="array" ref="AB53">Calibration!sK*SUM(AB15:AC15*AB27:AC27)</f>
        <v>1893711.5932820425</v>
      </c>
      <c r="AD53" s="29">
        <f t="array" ref="AD53">Calibration!sK*SUM(AD15:AE15*AD27:AE27)</f>
        <v>1735354.8837948095</v>
      </c>
      <c r="AF53" s="29">
        <f t="array" ref="AF53">Calibration!sK*SUM(AF15:AG15*AF27:AG27)</f>
        <v>1546367.6925746696</v>
      </c>
      <c r="AH53" s="29">
        <f t="array" ref="AH53">Calibration!sK*SUM(AH15:AI15*AH27:AI27)</f>
        <v>1321479.4518171055</v>
      </c>
      <c r="AJ53" s="29">
        <f t="array" ref="AJ53">Calibration!sK*SUM(AJ15:AK15*AJ27:AK27)</f>
        <v>1056170.3133017775</v>
      </c>
      <c r="AL53" s="29">
        <f t="array" ref="AL53">Calibration!sK*SUM(AL15:AM15*AL27:AM27)</f>
        <v>747552.69067295117</v>
      </c>
      <c r="AN53" s="29">
        <f t="array" ref="AN53">Calibration!sK*SUM(AN15:AO15*AN27:AO27)</f>
        <v>394969.3791784927</v>
      </c>
      <c r="AP53" s="29">
        <f t="array" ref="AP53">Calibration!sK*SUM(AP15:AQ15*AP27:AQ27)</f>
        <v>319281.26944055123</v>
      </c>
      <c r="AQ53" s="29"/>
      <c r="AR53" s="29">
        <f t="array" ref="AR53">Calibration!sK*SUM(AR15:AS15*AR27:AS27)</f>
        <v>241914.49301490703</v>
      </c>
      <c r="AT53" s="29">
        <f t="array" ref="AT53">Calibration!sK*SUM(AT15:AU15*AT27:AU27)</f>
        <v>162893.78471124551</v>
      </c>
      <c r="AV53" s="29">
        <f t="array" ref="AV53">Calibration!sK*SUM(AV15:AW15*AV27:AW27)</f>
        <v>82246.057521660288</v>
      </c>
      <c r="XFD53" s="29"/>
    </row>
    <row r="55" spans="1:48 16321:16384" x14ac:dyDescent="0.2">
      <c r="A55" t="s">
        <v>169</v>
      </c>
      <c r="B55" s="193">
        <f>B30/B32</f>
        <v>0.19850271905982084</v>
      </c>
      <c r="D55" s="193">
        <f>D30/D32</f>
        <v>0.2016336124286093</v>
      </c>
      <c r="F55" s="193">
        <f>F30/F32</f>
        <v>0.20483212433895531</v>
      </c>
      <c r="H55" s="193">
        <f>H30/H32</f>
        <v>0.20810670822734784</v>
      </c>
      <c r="J55" s="193">
        <f>J30/J32</f>
        <v>0.21146694986471884</v>
      </c>
      <c r="L55" s="193">
        <f>L30/L32</f>
        <v>0.21492374559307978</v>
      </c>
      <c r="N55" s="193">
        <f>N30/N32</f>
        <v>0.2184894124965982</v>
      </c>
      <c r="P55" s="193">
        <f>P30/P32</f>
        <v>0.22217789600679091</v>
      </c>
      <c r="R55" s="193">
        <f>R30/R32</f>
        <v>0.2260047785241332</v>
      </c>
      <c r="T55" s="193">
        <f>T30/T32</f>
        <v>0.22998720653678414</v>
      </c>
      <c r="V55" s="193">
        <f>V30/V32</f>
        <v>0.23414349923313199</v>
      </c>
      <c r="X55" s="193">
        <f>X30/X32</f>
        <v>0.2384921534235426</v>
      </c>
      <c r="Z55" s="193">
        <f>Z30/Z32</f>
        <v>0.24304976829554228</v>
      </c>
      <c r="AB55" s="193">
        <f>AB30/AB32</f>
        <v>0.24782757499502417</v>
      </c>
      <c r="AD55" s="193">
        <f>AD30/AD32</f>
        <v>0.25282588099878889</v>
      </c>
      <c r="AF55" s="193">
        <f>AF30/AF32</f>
        <v>0.25802680879493267</v>
      </c>
      <c r="AH55" s="193">
        <f>AH30/AH32</f>
        <v>0.26338725049128558</v>
      </c>
      <c r="AJ55" s="193">
        <f>AJ30/AJ32</f>
        <v>0.26883579051912188</v>
      </c>
      <c r="AL55" s="193">
        <f>AL30/AL32</f>
        <v>0.27427839812908172</v>
      </c>
      <c r="AN55" s="193">
        <f>AN30/AN32</f>
        <v>0.27961317965043514</v>
      </c>
      <c r="AP55" s="193">
        <f>AP30/AP32</f>
        <v>0.280658831711671</v>
      </c>
      <c r="AR55" s="193">
        <f>AR30/AR32</f>
        <v>0.28169580914281189</v>
      </c>
      <c r="AT55" s="193">
        <f>AT30/AT32</f>
        <v>0.28272350740171115</v>
      </c>
      <c r="AV55" s="193">
        <f>AV30/AV32</f>
        <v>0.28374143514646771</v>
      </c>
      <c r="XCS55" s="193"/>
      <c r="XFD55" s="193"/>
    </row>
    <row r="56" spans="1:48 16321:16384" x14ac:dyDescent="0.2">
      <c r="A56" t="s">
        <v>170</v>
      </c>
      <c r="B56" s="193">
        <f>(Model!$C$52*B5*B20+B2*C5*C20)/B32</f>
        <v>2.9221206744340551E-2</v>
      </c>
      <c r="D56" s="193">
        <f>(Model!$C$52*D5*D20+D2*E5*E20)/D32</f>
        <v>3.2831238052258911E-2</v>
      </c>
      <c r="F56" s="193">
        <f>(Model!$C$52*F5*F20+F2*G5*G20)/F32</f>
        <v>3.6522304049548031E-2</v>
      </c>
      <c r="H56" s="193">
        <f>(Model!$C$52*H5*H20+H2*I5*I20)/H32</f>
        <v>4.0303680422607291E-2</v>
      </c>
      <c r="J56" s="193">
        <f>(Model!$C$52*J5*J20+J2*K5*K20)/J32</f>
        <v>4.4185763423301085E-2</v>
      </c>
      <c r="L56" s="193">
        <f>(Model!$C$52*L5*L20+L2*M5*M20)/L32</f>
        <v>4.8180190752464346E-2</v>
      </c>
      <c r="N56" s="193">
        <f>(Model!$C$52*N5*N20+N2*O5*O20)/N32</f>
        <v>5.2299966911431364E-2</v>
      </c>
      <c r="P56" s="193">
        <f>(Model!$C$52*P5*P20+P2*Q5*Q20)/P32</f>
        <v>5.6559512539467421E-2</v>
      </c>
      <c r="R56" s="193">
        <f>(Model!$C$52*R5*R20+R2*S5*S20)/R32</f>
        <v>6.0974661270235819E-2</v>
      </c>
      <c r="T56" s="193">
        <f>(Model!$C$52*T5*T20+T2*U5*U20)/T32</f>
        <v>6.5562415774654534E-2</v>
      </c>
      <c r="V56" s="193">
        <f>(Model!$C$52*V5*V20+V2*W5*W20)/V32</f>
        <v>7.0340380024966412E-2</v>
      </c>
      <c r="X56" s="193">
        <f>(Model!$C$52*X5*X20+X2*Y5*Y20)/X32</f>
        <v>7.5325519615533951E-2</v>
      </c>
      <c r="Z56" s="193">
        <f>(Model!$C$52*Z5*Z20+Z2*AA5*AA20)/Z32</f>
        <v>8.0531797940844085E-2</v>
      </c>
      <c r="AB56" s="193">
        <f>(Model!$C$52*AB5*AB20+AB2*AC5*AC20)/AB32</f>
        <v>8.5966337959082914E-2</v>
      </c>
      <c r="AD56" s="193">
        <f>(Model!$C$52*AD5*AD20+AD2*AE5*AE20)/AD32</f>
        <v>9.1623542825509829E-2</v>
      </c>
      <c r="AF56" s="193">
        <f>(Model!$C$52*AF5*AF20+AF2*AG5*AG20)/AF32</f>
        <v>9.7477691904617039E-2</v>
      </c>
      <c r="AH56" s="193">
        <f>(Model!$C$52*AH5*AH20+AH2*AI5*AI20)/AH32</f>
        <v>0.10347616417071963</v>
      </c>
      <c r="AJ56" s="193">
        <f>(Model!$C$52*AJ5*AJ20+AJ2*AK5*AK20)/AJ32</f>
        <v>0.10953726326763606</v>
      </c>
      <c r="AL56" s="193">
        <f>(Model!$C$52*AL5*AL20+AL2*AM5*AM20)/AL32</f>
        <v>0.11555741407667273</v>
      </c>
      <c r="AN56" s="193">
        <f>(Model!$C$52*AN5*AN20+AN2*AO5*AO20)/AN32</f>
        <v>0.1214275319287544</v>
      </c>
      <c r="AP56" s="193">
        <f>(Model!$C$52*AP5*AP20+AP2*AQ5*AQ20)/AP32</f>
        <v>0.1225747868256776</v>
      </c>
      <c r="AR56" s="193">
        <f>(Model!$C$52*AR5*AR20+AR2*AS5*AS20)/AR32</f>
        <v>0.12371150228234905</v>
      </c>
      <c r="AT56" s="193">
        <f>(Model!$C$52*AT5*AT20+AT2*AU5*AU20)/AT32</f>
        <v>0.12483706444549499</v>
      </c>
      <c r="AV56" s="193">
        <f>(Model!$C$52*AV5*AV20+AV2*AW5*AW20)/AV32</f>
        <v>0.12595097675409009</v>
      </c>
      <c r="XFD56" s="193"/>
    </row>
    <row r="57" spans="1:48 16321:16384" x14ac:dyDescent="0.2">
      <c r="A57" t="s">
        <v>171</v>
      </c>
      <c r="B57" s="193">
        <f t="array" ref="B57">SUM(Model!tauL*B13:C13*B26:C26)/B32</f>
        <v>0.15852881819439493</v>
      </c>
      <c r="D57" s="193">
        <f t="array" ref="D57">SUM(Model!tauL*D13:E13*D26:E26)/D32</f>
        <v>0.15811817627727009</v>
      </c>
      <c r="F57" s="193">
        <f t="array" ref="F57">SUM(Model!tauL*F13:G13*F26:G26)/F32</f>
        <v>0.15769459499637115</v>
      </c>
      <c r="H57" s="193">
        <f t="array" ref="H57">SUM(Model!tauL*H13:I13*H26:I26)/H32</f>
        <v>0.15725732916510016</v>
      </c>
      <c r="J57" s="193">
        <f t="array" ref="J57">SUM(Model!tauL*J13:K13*J26:K26)/J32</f>
        <v>0.15680565125578647</v>
      </c>
      <c r="L57" s="193">
        <f t="array" ref="L57">SUM(Model!tauL*L13:M13*L26:M26)/L32</f>
        <v>0.15633890178665455</v>
      </c>
      <c r="N57" s="193">
        <f t="array" ref="N57">SUM(Model!tauL*N13:O13*N26:O26)/N32</f>
        <v>0.15585648174939651</v>
      </c>
      <c r="P57" s="193">
        <f t="array" ref="P57">SUM(Model!tauL*P13:Q13*P26:Q26)/P32</f>
        <v>0.15535798642929793</v>
      </c>
      <c r="R57" s="193">
        <f t="array" ref="R57">SUM(Model!tauL*R13:S13*R26:S26)/R32</f>
        <v>0.154843221511479</v>
      </c>
      <c r="T57" s="193">
        <f t="array" ref="T57">SUM(Model!tauL*T13:U13*T26:U26)/T32</f>
        <v>0.15431234929671045</v>
      </c>
      <c r="V57" s="193">
        <f t="array" ref="V57">SUM(Model!tauL*V13:W13*V26:W26)/V32</f>
        <v>0.15376603838089808</v>
      </c>
      <c r="X57" s="193">
        <f t="array" ref="X57">SUM(Model!tauL*X13:Y13*X26:Y26)/X32</f>
        <v>0.15320566965703108</v>
      </c>
      <c r="Y57" s="193"/>
      <c r="Z57" s="193">
        <f t="array" ref="Z57">SUM(Model!tauL*Z13:AA13*Z26:AA26)/Z32</f>
        <v>0.15263357985197332</v>
      </c>
      <c r="AB57" s="193">
        <f t="array" ref="AB57">SUM(Model!tauL*AB13:AC13*AB26:AC26)/AB32</f>
        <v>0.15205336518626117</v>
      </c>
      <c r="AD57" s="193">
        <f t="array" ref="AD57">SUM(Model!tauL*AD13:AE13*AD26:AE26)/AD32</f>
        <v>0.15147015365113231</v>
      </c>
      <c r="AF57" s="193">
        <f t="array" ref="AF57">SUM(Model!tauL*AF13:AG13*AF26:AG26)/AF32</f>
        <v>0.15089073147259036</v>
      </c>
      <c r="AH57" s="193">
        <f t="array" ref="AH57">SUM(Model!tauL*AH13:AI13*AH26:AI26)/AH32</f>
        <v>0.15032333290192001</v>
      </c>
      <c r="AJ57" s="193">
        <f t="array" ref="AJ57">SUM(Model!tauL*AJ13:AK13*AJ26:AK26)/AJ32</f>
        <v>0.14977690610833685</v>
      </c>
      <c r="AL57" s="193">
        <f t="array" ref="AL57">SUM(Model!tauL*AL13:AM13*AL26:AM26)/AL32</f>
        <v>0.14925985650751433</v>
      </c>
      <c r="AN57" s="193">
        <f t="array" ref="AN57">SUM(Model!tauL*AN13:AO13*AN26:AO26)/AN32</f>
        <v>0.14877866473245804</v>
      </c>
      <c r="AP57" s="193">
        <f t="array" ref="AP57">SUM(Model!tauL*AP13:AQ13*AP26:AQ26)/AP32</f>
        <v>0.14868710348359357</v>
      </c>
      <c r="AR57" s="193">
        <f t="array" ref="AR57">SUM(Model!tauL*AR13:AS13*AR26:AS26)/AR32</f>
        <v>0.14859714554943784</v>
      </c>
      <c r="AT57" s="193">
        <f t="array" ref="AT57">SUM(Model!tauL*AT13:AU13*AT26:AU26)/AT32</f>
        <v>0.14850880217556003</v>
      </c>
      <c r="AV57" s="193">
        <f t="array" ref="AV57">SUM(Model!tauL*AV13:AW13*AV26:AW26)/AV32</f>
        <v>0.14842208086577691</v>
      </c>
      <c r="XFD57" s="193"/>
    </row>
    <row r="58" spans="1:48 16321:16384" x14ac:dyDescent="0.2">
      <c r="A58" t="s">
        <v>172</v>
      </c>
      <c r="B58" s="193">
        <f t="array" ref="B58">SUM(Model!tauY/(1+Model!tauY)*B3:C3*B18:C18)/B32</f>
        <v>1.075269412108535E-2</v>
      </c>
      <c r="D58" s="193">
        <f t="array" ref="D58">SUM(Model!tauY/(1+Model!tauY)*D3:E3*D18:E18)/D32</f>
        <v>1.0684198099080321E-2</v>
      </c>
      <c r="F58" s="193">
        <f t="array" ref="F58">SUM(Model!tauY/(1+Model!tauY)*F3:G3*F18:G18)/F32</f>
        <v>1.0615225293036129E-2</v>
      </c>
      <c r="H58" s="193">
        <f t="array" ref="H58">SUM(Model!tauY/(1+Model!tauY)*H3:I3*H18:I18)/H32</f>
        <v>1.0545698639640362E-2</v>
      </c>
      <c r="J58" s="193">
        <f t="array" ref="J58">SUM(Model!tauY/(1+Model!tauY)*J3:K3*J18:K18)/J32</f>
        <v>1.0475535185631284E-2</v>
      </c>
      <c r="L58" s="193">
        <f t="array" ref="L58">SUM(Model!tauY/(1+Model!tauY)*L3:M3*L18:M18)/L32</f>
        <v>1.0404653053960903E-2</v>
      </c>
      <c r="N58" s="193">
        <f t="array" ref="N58">SUM(Model!tauY/(1+Model!tauY)*N3:O3*N18:O18)/N32</f>
        <v>1.0332963835770325E-2</v>
      </c>
      <c r="P58" s="193">
        <f t="array" ref="P58">SUM(Model!tauY/(1+Model!tauY)*P3:Q3*P18:Q18)/P32</f>
        <v>1.0260397038025551E-2</v>
      </c>
      <c r="R58" s="193">
        <f t="array" ref="R58">SUM(Model!tauY/(1+Model!tauY)*R3:S3*R18:S18)/R32</f>
        <v>1.0186895742418352E-2</v>
      </c>
      <c r="T58" s="193">
        <f t="array" ref="T58">SUM(Model!tauY/(1+Model!tauY)*T3:U3*T18:U18)/T32</f>
        <v>1.0112441465419175E-2</v>
      </c>
      <c r="V58" s="193">
        <f t="array" ref="V58">SUM(Model!tauY/(1+Model!tauY)*V3:W3*V18:W18)/V32</f>
        <v>1.0037080827267494E-2</v>
      </c>
      <c r="X58" s="193">
        <f t="array" ref="X58">SUM(Model!tauY/(1+Model!tauY)*X3:Y3*X18:Y18)/X32</f>
        <v>9.9609641509775769E-3</v>
      </c>
      <c r="Y58" s="193"/>
      <c r="Z58" s="193">
        <f t="array" ref="Z58">SUM(Model!tauY/(1+Model!tauY)*Z3:AA3*Z18:AA18)/Z32</f>
        <v>9.8843905027248859E-3</v>
      </c>
      <c r="AB58" s="193">
        <f t="array" ref="AB58">SUM(Model!tauY/(1+Model!tauY)*AB3:AC3*AB18:AC18)/AB32</f>
        <v>9.8078718496800634E-3</v>
      </c>
      <c r="AD58" s="193">
        <f t="array" ref="AD58">SUM(Model!tauY/(1+Model!tauY)*AD3:AE3*AD18:AE18)/AD32</f>
        <v>9.7321845221467456E-3</v>
      </c>
      <c r="AF58" s="193">
        <f t="array" ref="AF58">SUM(Model!tauY/(1+Model!tauY)*AF3:AG3*AF18:AG18)/AF32</f>
        <v>9.65838541772524E-3</v>
      </c>
      <c r="AH58" s="193">
        <f t="array" ref="AH58">SUM(Model!tauY/(1+Model!tauY)*AH3:AI3*AH18:AI18)/AH32</f>
        <v>9.5877534186459001E-3</v>
      </c>
      <c r="AJ58" s="193">
        <f t="array" ref="AJ58">SUM(Model!tauY/(1+Model!tauY)*AJ3:AK3*AJ18:AK18)/AJ32</f>
        <v>9.5216211431489988E-3</v>
      </c>
      <c r="AL58" s="193">
        <f t="array" ref="AL58">SUM(Model!tauY/(1+Model!tauY)*AL3:AM3*AL18:AM18)/AL32</f>
        <v>9.4611275448946743E-3</v>
      </c>
      <c r="AN58" s="193">
        <f t="array" ref="AN58">SUM(Model!tauY/(1+Model!tauY)*AN3:AO3*AN18:AO18)/AN32</f>
        <v>9.4069829892226651E-3</v>
      </c>
      <c r="AP58" s="193">
        <f t="array" ref="AP58">SUM(Model!tauY/(1+Model!tauY)*AP3:AQ3*AP18:AQ18)/AP32</f>
        <v>9.3969414023998173E-3</v>
      </c>
      <c r="AR58" s="193">
        <f t="array" ref="AR58">SUM(Model!tauY/(1+Model!tauY)*AR3:AS3*AR18:AS18)/AR32</f>
        <v>9.3871613110250302E-3</v>
      </c>
      <c r="AT58" s="193">
        <f t="array" ref="AT58">SUM(Model!tauY/(1+Model!tauY)*AT3:AU3*AT18:AU18)/AT32</f>
        <v>9.3776407806560984E-3</v>
      </c>
      <c r="AV58" s="193">
        <f t="array" ref="AV58">SUM(Model!tauY/(1+Model!tauY)*AV3:AW3*AV18:AW18)/AV32</f>
        <v>9.3683775266006873E-3</v>
      </c>
      <c r="XFD58" s="193"/>
    </row>
    <row r="59" spans="1:48 16321:16384" x14ac:dyDescent="0.2">
      <c r="A59" t="s">
        <v>173</v>
      </c>
      <c r="B59" s="193">
        <f>(B2*C5*C20)/B32</f>
        <v>5.5174232040962052E-4</v>
      </c>
      <c r="D59" s="193">
        <f>(D2*E5*E20)/D32</f>
        <v>4.2003387935303955E-3</v>
      </c>
      <c r="F59" s="193">
        <f>(F2*G5*G20)/F32</f>
        <v>7.9306371134874286E-3</v>
      </c>
      <c r="H59" s="193">
        <f>(H2*I5*I20)/H32</f>
        <v>1.1751977316549049E-2</v>
      </c>
      <c r="J59" s="193">
        <f>(J2*K5*K20)/J32</f>
        <v>1.5674825270909874E-2</v>
      </c>
      <c r="L59" s="193">
        <f>(L2*M5*M20)/L32</f>
        <v>1.9710891664203888E-2</v>
      </c>
      <c r="N59" s="193">
        <f>(N2*O5*O20)/N32</f>
        <v>2.3873261034360119E-2</v>
      </c>
      <c r="P59" s="193">
        <f>(P2*Q5*Q20)/P32</f>
        <v>2.8176433230275223E-2</v>
      </c>
      <c r="R59" s="193">
        <f>(R2*S5*S20)/R32</f>
        <v>3.2636323562369146E-2</v>
      </c>
      <c r="T59" s="193">
        <f>(T2*U5*U20)/T32</f>
        <v>3.7270011362312963E-2</v>
      </c>
      <c r="V59" s="193">
        <f>(V2*W5*W20)/V32</f>
        <v>4.2095164092194465E-2</v>
      </c>
      <c r="X59" s="193">
        <f>(X2*Y5*Y20)/X32</f>
        <v>4.7128783731049395E-2</v>
      </c>
      <c r="Z59" s="193">
        <f>(Z2*AA5*AA20)/Z32</f>
        <v>5.2384823208124251E-2</v>
      </c>
      <c r="AB59" s="193">
        <f>(AB2*AC5*AC20)/AB32</f>
        <v>5.7870314004767776E-2</v>
      </c>
      <c r="AD59" s="193">
        <f>(AD2*AE5*AE20)/AD32</f>
        <v>6.3579444447409872E-2</v>
      </c>
      <c r="AF59" s="193">
        <f>(AF2*AG5*AG20)/AF32</f>
        <v>6.9486109730265144E-2</v>
      </c>
      <c r="AH59" s="193">
        <f>(AH2*AI5*AI20)/AH32</f>
        <v>7.5537104408093553E-2</v>
      </c>
      <c r="AJ59" s="193">
        <f>(AJ2*AK5*AK20)/AJ32</f>
        <v>8.164996360342304E-2</v>
      </c>
      <c r="AL59" s="193">
        <f>(AL2*AM5*AM20)/AL32</f>
        <v>8.7720247057751027E-2</v>
      </c>
      <c r="AN59" s="193">
        <f>(AN2*AO5*AO20)/AN32</f>
        <v>9.3638053882241529E-2</v>
      </c>
      <c r="AP59" s="193">
        <f>(AP2*AQ5*AQ20)/AP32</f>
        <v>9.4794493598027094E-2</v>
      </c>
      <c r="AR59" s="193">
        <f>(AR2*AS5*AS20)/AR32</f>
        <v>9.5940266514895761E-2</v>
      </c>
      <c r="AT59" s="193">
        <f>(AT2*AU5*AU20)/AT32</f>
        <v>9.7074755572326782E-2</v>
      </c>
      <c r="AV59" s="193">
        <f>(AV2*AW5*AW20)/AV32</f>
        <v>9.8197461034367106E-2</v>
      </c>
      <c r="XFD59" s="193"/>
    </row>
    <row r="60" spans="1:48 16321:16384" x14ac:dyDescent="0.2">
      <c r="A60" t="s">
        <v>174</v>
      </c>
      <c r="B60" s="193">
        <f>Model!$C$52*B5*B20/B32</f>
        <v>2.8669464423930927E-2</v>
      </c>
      <c r="D60" s="193">
        <f>Model!$C$52*D5*D20/D32</f>
        <v>2.8630899258728519E-2</v>
      </c>
      <c r="F60" s="193">
        <f>Model!$C$52*F5*F20/F32</f>
        <v>2.8591666936060602E-2</v>
      </c>
      <c r="H60" s="193">
        <f>Model!$C$52*H5*H20/H32</f>
        <v>2.8551703106058243E-2</v>
      </c>
      <c r="J60" s="193">
        <f>Model!$C$52*J5*J20/J32</f>
        <v>2.8510938152391214E-2</v>
      </c>
      <c r="L60" s="193">
        <f>Model!$C$52*L5*L20/L32</f>
        <v>2.8469299088260454E-2</v>
      </c>
      <c r="N60" s="193">
        <f>Model!$C$52*N5*N20/N32</f>
        <v>2.8426705877071242E-2</v>
      </c>
      <c r="P60" s="193">
        <f>Model!$C$52*P5*P20/P32</f>
        <v>2.8383079309192191E-2</v>
      </c>
      <c r="R60" s="193">
        <f>Model!$C$52*R5*R20/R32</f>
        <v>2.8338337707866673E-2</v>
      </c>
      <c r="T60" s="193">
        <f>Model!$C$52*T5*T20/T32</f>
        <v>2.8292404412341581E-2</v>
      </c>
      <c r="V60" s="193">
        <f>Model!$C$52*V5*V20/V32</f>
        <v>2.8245215932771947E-2</v>
      </c>
      <c r="X60" s="193">
        <f>Model!$C$52*X5*X20/X32</f>
        <v>2.8196735884484556E-2</v>
      </c>
      <c r="Z60" s="193">
        <f>Model!$C$52*Z5*Z20/Z32</f>
        <v>2.8146974732719838E-2</v>
      </c>
      <c r="AB60" s="193">
        <f>Model!$C$52*AB5*AB20/AB32</f>
        <v>2.8096023954315132E-2</v>
      </c>
      <c r="AD60" s="193">
        <f>Model!$C$52*AD5*AD20/AD32</f>
        <v>2.8044098378099958E-2</v>
      </c>
      <c r="AF60" s="193">
        <f>Model!$C$52*AF5*AF20/AF32</f>
        <v>2.7991582174351905E-2</v>
      </c>
      <c r="AH60" s="193">
        <f>Model!$C$52*AH5*AH20/AH32</f>
        <v>2.7939059762626076E-2</v>
      </c>
      <c r="AJ60" s="193">
        <f>Model!$C$52*AJ5*AJ20/AJ32</f>
        <v>2.7887299664213026E-2</v>
      </c>
      <c r="AL60" s="193">
        <f>Model!$C$52*AL5*AL20/AL32</f>
        <v>2.7837167018921697E-2</v>
      </c>
      <c r="AN60" s="193">
        <f>Model!$C$52*AN5*AN20/AN32</f>
        <v>2.7789478046512866E-2</v>
      </c>
      <c r="AP60" s="193">
        <f>Model!$C$52*AP5*AP20/AP32</f>
        <v>2.7780293227650497E-2</v>
      </c>
      <c r="AR60" s="193">
        <f>Model!$C$52*AR5*AR20/AR32</f>
        <v>2.7771235767453287E-2</v>
      </c>
      <c r="AT60" s="193">
        <f>Model!$C$52*AT5*AT20/AT32</f>
        <v>2.7762308873168207E-2</v>
      </c>
      <c r="AV60" s="193">
        <f>Model!$C$52*AV5*AV20/AV32</f>
        <v>2.7753515719722989E-2</v>
      </c>
      <c r="XFD60" s="193"/>
    </row>
    <row r="62" spans="1:48 16321:16384" x14ac:dyDescent="0.2">
      <c r="A62" t="s">
        <v>175</v>
      </c>
      <c r="B62">
        <f>B13/B15</f>
        <v>1</v>
      </c>
      <c r="D62">
        <f>D13/D15</f>
        <v>1.0010503806471833</v>
      </c>
      <c r="F62">
        <f>F13/F15</f>
        <v>1.0021451764536946</v>
      </c>
      <c r="H62">
        <f>H13/H15</f>
        <v>1.0033026647801633</v>
      </c>
      <c r="J62">
        <f>J13/J15</f>
        <v>1.0045461077041569</v>
      </c>
      <c r="L62">
        <f>L13/L15</f>
        <v>1.0059052124905483</v>
      </c>
      <c r="N62">
        <f>N13/N15</f>
        <v>1.0074175597903694</v>
      </c>
      <c r="P62">
        <f>P13/P15</f>
        <v>1.0091310358447956</v>
      </c>
      <c r="R62">
        <f>R13/R15</f>
        <v>1.0111059707149521</v>
      </c>
      <c r="T62">
        <f>T13/T15</f>
        <v>1.0134180227966181</v>
      </c>
      <c r="V62">
        <f>V13/V15</f>
        <v>1.0161607742062793</v>
      </c>
      <c r="X62">
        <f>X13/X15</f>
        <v>1.0194475325414949</v>
      </c>
      <c r="Z62">
        <f>Z13/Z15</f>
        <v>1.0234107504092602</v>
      </c>
      <c r="AB62">
        <f>AB13/AB15</f>
        <v>1.0281964261692058</v>
      </c>
      <c r="AD62">
        <f>AD13/AD15</f>
        <v>1.0339500993989419</v>
      </c>
      <c r="AF62">
        <f>AF13/AF15</f>
        <v>1.0407914103416758</v>
      </c>
      <c r="AH62">
        <f>AH13/AH15</f>
        <v>1.048778521870148</v>
      </c>
      <c r="AJ62">
        <f>AJ13/AJ15</f>
        <v>1.0578725791916148</v>
      </c>
      <c r="AL62">
        <f>AL13/AL15</f>
        <v>1.0679212137443042</v>
      </c>
      <c r="AN62">
        <f>AN13/AN15</f>
        <v>1.0786767162457194</v>
      </c>
      <c r="AP62">
        <f>AP13/AP15</f>
        <v>1.0808869265897447</v>
      </c>
      <c r="AR62">
        <f>AR13/AR15</f>
        <v>1.0831112155905243</v>
      </c>
      <c r="AT62">
        <f>AT13/AT15</f>
        <v>1.0853472226148804</v>
      </c>
      <c r="AV62">
        <f>AV13/AV15</f>
        <v>1.0875926427888463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0.99889878811275845</v>
      </c>
      <c r="E65" s="191"/>
      <c r="F65" s="191">
        <f t="array" ref="F65">SQRT((F9:G9*$B$22:$C$22+F10:G10*$B$23:$C$23+F11:G11*$B$24:$C$24+F4:G4*($B$25:$C$25-$B$19:$C$19))/($B$9:$C$9*$B$22:$C$22+$B$10:$C$10*$B$23:$C$23+$B$11:$C$11*$B$24:$C$24+$B$4:$C$4*($B$25:$C$25-$B$19:$C$19))*(F9:G9*F22:G22+F10:G10*F23:G23+F11:G11*F24:G24+F4:G4*(F25:G25-F19:G19))/($B$9:$C$9*F22:G22+$B$10:$C$10*F23:G23+$B$11:$C$11*F24:G24+$B$4:$C$4*(F25:G25-F19:G19)))</f>
        <v>0.99777937479874979</v>
      </c>
      <c r="G65" s="191"/>
      <c r="H65" s="191">
        <f t="array" ref="H65">SQRT((H9:I9*$B$22:$C$22+H10:I10*$B$23:$C$23+H11:I11*$B$24:$C$24+H4:I4*($B$25:$C$25-$B$19:$C$19))/($B$9:$C$9*$B$22:$C$22+$B$10:$C$10*$B$23:$C$23+$B$11:$C$11*$B$24:$C$24+$B$4:$C$4*($B$25:$C$25-$B$19:$C$19))*(H9:I9*H22:I22+H10:I10*H23:I23+H11:I11*H24:I24+H4:I4*(H25:I25-H19:I19))/($B$9:$C$9*H22:I22+$B$10:$C$10*H23:I23+$B$11:$C$11*H24:I24+$B$4:$C$4*(H25:I25-H19:I19)))</f>
        <v>0.99663924676665994</v>
      </c>
      <c r="I65" s="191"/>
      <c r="J65" s="191">
        <f t="array" ref="J65">SQRT((J9:K9*$B$22:$C$22+J10:K10*$B$23:$C$23+J11:K11*$B$24:$C$24+J4:K4*($B$25:$C$25-$B$19:$C$19))/($B$9:$C$9*$B$22:$C$22+$B$10:$C$10*$B$23:$C$23+$B$11:$C$11*$B$24:$C$24+$B$4:$C$4*($B$25:$C$25-$B$19:$C$19))*(J9:K9*J22:K22+J10:K10*J23:K23+J11:K11*J24:K24+J4:K4*(J25:K25-J19:K19))/($B$9:$C$9*J22:K22+$B$10:$C$10*J23:K23+$B$11:$C$11*J24:K24+$B$4:$C$4*(J25:K25-J19:K19)))</f>
        <v>0.99547579491903593</v>
      </c>
      <c r="K65" s="191"/>
      <c r="L65" s="191">
        <f t="array" ref="L65">SQRT((L9:M9*$B$22:$C$22+L10:M10*$B$23:$C$23+L11:M11*$B$24:$C$24+L4:M4*($B$25:$C$25-$B$19:$C$19))/($B$9:$C$9*$B$22:$C$22+$B$10:$C$10*$B$23:$C$23+$B$11:$C$11*$B$24:$C$24+$B$4:$C$4*($B$25:$C$25-$B$19:$C$19))*(L9:M9*L22:M22+L10:M10*L23:M23+L11:M11*L24:M24+L4:M4*(L25:M25-L19:M19))/($B$9:$C$9*L22:M22+$B$10:$C$10*L23:M23+$B$11:$C$11*L24:M24+$B$4:$C$4*(L25:M25-L19:M19)))</f>
        <v>0.99428646776744378</v>
      </c>
      <c r="M65" s="191"/>
      <c r="N65" s="191">
        <f t="array" ref="N65">SQRT((N9:O9*$B$22:$C$22+N10:O10*$B$23:$C$23+N11:O11*$B$24:$C$24+N4:O4*($B$25:$C$25-$B$19:$C$19))/($B$9:$C$9*$B$22:$C$22+$B$10:$C$10*$B$23:$C$23+$B$11:$C$11*$B$24:$C$24+$B$4:$C$4*($B$25:$C$25-$B$19:$C$19))*(N9:O9*N22:O22+N10:O10*N23:O23+N11:O11*N24:O24+N4:O4*(N25:O25-N19:O19))/($B$9:$C$9*N22:O22+$B$10:$C$10*N23:O23+$B$11:$C$11*N24:O24+$B$4:$C$4*(N25:O25-N19:O19)))</f>
        <v>0.9930689518295942</v>
      </c>
      <c r="O65" s="191"/>
      <c r="P65" s="191">
        <f t="array" ref="P65">SQRT((P9:Q9*$B$22:$C$22+P10:Q10*$B$23:$C$23+P11:Q11*$B$24:$C$24+P4:Q4*($B$25:$C$25-$B$19:$C$19))/($B$9:$C$9*$B$22:$C$22+$B$10:$C$10*$B$23:$C$23+$B$11:$C$11*$B$24:$C$24+$B$4:$C$4*($B$25:$C$25-$B$19:$C$19))*(P9:Q9*P22:Q22+P10:Q10*P23:Q23+P11:Q11*P24:Q24+P4:Q4*(P25:Q25-P19:Q19))/($B$9:$C$9*P22:Q22+$B$10:$C$10*P23:Q23+$B$11:$C$11*P24:Q24+$B$4:$C$4*(P25:Q25-P19:Q19)))</f>
        <v>0.99182158830709</v>
      </c>
      <c r="Q65" s="191"/>
      <c r="R65" s="191">
        <f t="array" ref="R65">SQRT((R9:S9*$B$22:$C$22+R10:S10*$B$23:$C$23+R11:S11*$B$24:$C$24+R4:S4*($B$25:$C$25-$B$19:$C$19))/($B$9:$C$9*$B$22:$C$22+$B$10:$C$10*$B$23:$C$23+$B$11:$C$11*$B$24:$C$24+$B$4:$C$4*($B$25:$C$25-$B$19:$C$19))*(R9:S9*R22:S22+R10:S10*R23:S23+R11:S11*R24:S24+R4:S4*(R25:S25-R19:S19))/($B$9:$C$9*R22:S22+$B$10:$C$10*R23:S23+$B$11:$C$11*R24:S24+$B$4:$C$4*(R25:S25-R19:S19)))</f>
        <v>0.99054386250718862</v>
      </c>
      <c r="S65" s="191"/>
      <c r="T65" s="191">
        <f t="array" ref="T65">SQRT((T9:U9*$B$22:$C$22+T10:U10*$B$23:$C$23+T11:U11*$B$24:$C$24+T4:U4*($B$25:$C$25-$B$19:$C$19))/($B$9:$C$9*$B$22:$C$22+$B$10:$C$10*$B$23:$C$23+$B$11:$C$11*$B$24:$C$24+$B$4:$C$4*($B$25:$C$25-$B$19:$C$19))*(T9:U9*T22:U22+T10:U10*T23:U23+T11:U11*T24:U24+T4:U4*(T25:U25-T19:U19))/($B$9:$C$9*T22:U22+$B$10:$C$10*T23:U23+$B$11:$C$11*T24:U24+$B$4:$C$4*(T25:U25-T19:U19)))</f>
        <v>0.98923722534009717</v>
      </c>
      <c r="U65" s="191"/>
      <c r="V65" s="191">
        <f t="array" ref="V65">SQRT((V9:W9*$B$22:$C$22+V10:W10*$B$23:$C$23+V11:W11*$B$24:$C$24+V4:W4*($B$25:$C$25-$B$19:$C$19))/($B$9:$C$9*$B$22:$C$22+$B$10:$C$10*$B$23:$C$23+$B$11:$C$11*$B$24:$C$24+$B$4:$C$4*($B$25:$C$25-$B$19:$C$19))*(V9:W9*V22:W22+V10:W10*V23:W23+V11:W11*V24:W24+V4:W4*(V25:W25-V19:W19))/($B$9:$C$9*V22:W22+$B$10:$C$10*V23:W23+$B$11:$C$11*V24:W24+$B$4:$C$4*(V25:W25-V19:W19)))</f>
        <v>0.98790619942289626</v>
      </c>
      <c r="W65" s="191"/>
      <c r="X65" s="191">
        <f t="array" ref="X65">SQRT((X9:Y9*$B$22:$C$22+X10:Y10*$B$23:$C$23+X11:Y11*$B$24:$C$24+X4:Y4*($B$25:$C$25-$B$19:$C$19))/($B$9:$C$9*$B$22:$C$22+$B$10:$C$10*$B$23:$C$23+$B$11:$C$11*$B$24:$C$24+$B$4:$C$4*($B$25:$C$25-$B$19:$C$19))*(X9:Y9*X22:Y22+X10:Y10*X23:Y23+X11:Y11*X24:Y24+X4:Y4*(X25:Y25-X19:Y19))/($B$9:$C$9*X22:Y22+$B$10:$C$10*X23:Y23+$B$11:$C$11*X24:Y24+$B$4:$C$4*(X25:Y25-X19:Y19)))</f>
        <v>0.98655983293589844</v>
      </c>
      <c r="Y65" s="191"/>
      <c r="Z65" s="191">
        <f t="array" ref="Z65">SQRT((Z9:AA9*$B$22:$C$22+Z10:AA10*$B$23:$C$23+Z11:AA11*$B$24:$C$24+Z4:AA4*($B$25:$C$25-$B$19:$C$19))/($B$9:$C$9*$B$22:$C$22+$B$10:$C$10*$B$23:$C$23+$B$11:$C$11*$B$24:$C$24+$B$4:$C$4*($B$25:$C$25-$B$19:$C$19))*(Z9:AA9*Z22:AA22+Z10:AA10*Z23:AA23+Z11:AA11*Z24:AA24+Z4:AA4*(Z25:AA25-Z19:AA19))/($B$9:$C$9*Z22:AA22+$B$10:$C$10*Z23:AA23+$B$11:$C$11*Z24:AA24+$B$4:$C$4*(Z25:AA25-Z19:AA19)))</f>
        <v>0.98521341631635728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0.98389009816336348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0.98262164444704159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0.98144710186668271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0.98040807723302237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0.97954063833895932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0.97886628988314839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0.97838658293260716</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0.9783127540490989</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0.97824585397106512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0.97818565561208914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0.97813190610891754</v>
      </c>
    </row>
    <row r="66" spans="1:48 16384:16384" x14ac:dyDescent="0.2">
      <c r="A66" t="s">
        <v>182</v>
      </c>
      <c r="B66" s="191">
        <f t="array" ref="B66">SQRT((B9:C9*$B$22:$C$22)/($B$9:$C$9*$B$22:$C$22)*(B9:C9*B22:C22)/($B$9:$C$9*B22:C22))</f>
        <v>1</v>
      </c>
      <c r="C66" s="191"/>
      <c r="D66" s="191">
        <f t="array" ref="D66">SQRT((D9:E9*$B$22:$C$22)/($B$9:$C$9*$B$22:$C$22)*(D9:E9*D22:E22)/($B$9:$C$9*D22:E22))</f>
        <v>0.9987892265842947</v>
      </c>
      <c r="E66" s="191"/>
      <c r="F66" s="191">
        <f t="array" ref="F66">SQRT((F9:G9*$B$22:$C$22)/($B$9:$C$9*$B$22:$C$22)*(F9:G9*F22:G22)/($B$9:$C$9*F22:G22))</f>
        <v>0.9975573826056966</v>
      </c>
      <c r="G66" s="191"/>
      <c r="H66" s="191">
        <f t="array" ref="H66">SQRT((H9:I9*$B$22:$C$22)/($B$9:$C$9*$B$22:$C$22)*(H9:I9*H22:I22)/($B$9:$C$9*H22:I22))</f>
        <v>0.99630164148132638</v>
      </c>
      <c r="I66" s="191"/>
      <c r="J66" s="191">
        <f t="array" ref="J66">SQRT((J9:K9*$B$22:$C$22)/($B$9:$C$9*$B$22:$C$22)*(J9:K9*J22:K22)/($B$9:$C$9*J22:K22))</f>
        <v>0.99501905905981536</v>
      </c>
      <c r="K66" s="191"/>
      <c r="L66" s="191">
        <f t="array" ref="L66">SQRT((L9:M9*$B$22:$C$22)/($B$9:$C$9*$B$22:$C$22)*(L9:M9*L22:M22)/($B$9:$C$9*L22:M22))</f>
        <v>0.99370674181824792</v>
      </c>
      <c r="M66" s="191"/>
      <c r="N66" s="191">
        <f t="array" ref="N66">SQRT((N9:O9*$B$22:$C$22)/($B$9:$C$9*$B$22:$C$22)*(N9:O9*N22:O22)/($B$9:$C$9*N22:O22))</f>
        <v>0.9923620458057123</v>
      </c>
      <c r="O66" s="191"/>
      <c r="P66" s="191">
        <f t="array" ref="P66">SQRT((P9:Q9*$B$22:$C$22)/($B$9:$C$9*$B$22:$C$22)*(P9:Q9*P22:Q22)/($B$9:$C$9*P22:Q22))</f>
        <v>0.99098303806229393</v>
      </c>
      <c r="Q66" s="191"/>
      <c r="R66" s="191">
        <f t="array" ref="R66">SQRT((R9:S9*$B$22:$C$22)/($B$9:$C$9*$B$22:$C$22)*(R9:S9*R22:S22)/($B$9:$C$9*R22:S22))</f>
        <v>0.98956904165400139</v>
      </c>
      <c r="S66" s="191"/>
      <c r="T66" s="191">
        <f t="array" ref="T66">SQRT((T9:U9*$B$22:$C$22)/($B$9:$C$9*$B$22:$C$22)*(T9:U9*T22:U22)/($B$9:$C$9*T22:U22))</f>
        <v>0.98812155258303014</v>
      </c>
      <c r="U66" s="191"/>
      <c r="V66" s="191">
        <f t="array" ref="V66">SQRT((V9:W9*$B$22:$C$22)/($B$9:$C$9*$B$22:$C$22)*(V9:W9*V22:W22)/($B$9:$C$9*V22:W22))</f>
        <v>0.98664547919432621</v>
      </c>
      <c r="W66" s="191"/>
      <c r="X66" s="191">
        <f t="array" ref="X66">SQRT((X9:Y9*$B$22:$C$22)/($B$9:$C$9*$B$22:$C$22)*(X9:Y9*X22:Y22)/($B$9:$C$9*X22:Y22))</f>
        <v>0.98515077712647903</v>
      </c>
      <c r="Y66" s="191"/>
      <c r="Z66" s="191">
        <f t="array" ref="Z66">SQRT((Z9:AA9*$B$22:$C$22)/($B$9:$C$9*$B$22:$C$22)*(Z9:AA9*Z22:AA22)/($B$9:$C$9*Z22:AA22))</f>
        <v>0.98365438856991483</v>
      </c>
      <c r="AA66" s="191"/>
      <c r="AB66" s="191">
        <f t="array" ref="AB66">SQRT((AB9:AC9*$B$22:$C$22)/($B$9:$C$9*$B$22:$C$22)*(AB9:AC9*AB22:AC22)/($B$9:$C$9*AB22:AC22))</f>
        <v>0.9821820819864604</v>
      </c>
      <c r="AC66" s="191"/>
      <c r="AD66" s="191">
        <f t="array" ref="AD66">SQRT((AD9:AE9*$B$22:$C$22)/($B$9:$C$9*$B$22:$C$22)*(AD9:AE9*AD22:AE22)/($B$9:$C$9*AD22:AE22))</f>
        <v>0.98076934536355442</v>
      </c>
      <c r="AE66" s="191"/>
      <c r="AF66" s="191">
        <f t="array" ref="AF66">SQRT((AF9:AG9*$B$22:$C$22)/($B$9:$C$9*$B$22:$C$22)*(AF9:AG9*AF22:AG22)/($B$9:$C$9*AF22:AG22))</f>
        <v>0.97945993611742799</v>
      </c>
      <c r="AG66" s="191"/>
      <c r="AH66" s="191">
        <f t="array" ref="AH66">SQRT((AH9:AI9*$B$22:$C$22)/($B$9:$C$9*$B$22:$C$22)*(AH9:AI9*AH22:AI22)/($B$9:$C$9*AH22:AI22))</f>
        <v>0.97830062403281248</v>
      </c>
      <c r="AI66" s="191"/>
      <c r="AJ66" s="191">
        <f t="array" ref="AJ66">SQRT((AJ9:AK9*$B$22:$C$22)/($B$9:$C$9*$B$22:$C$22)*(AJ9:AK9*AJ22:AK22)/($B$9:$C$9*AJ22:AK22))</f>
        <v>0.97733210742423438</v>
      </c>
      <c r="AK66" s="191"/>
      <c r="AL66" s="191">
        <f t="array" ref="AL66">SQRT((AL9:AM9*$B$22:$C$22)/($B$9:$C$9*$B$22:$C$22)*(AL9:AM9*AL22:AM22)/($B$9:$C$9*AL22:AM22))</f>
        <v>0.97657884226294389</v>
      </c>
      <c r="AM66" s="191"/>
      <c r="AN66" s="191">
        <f t="array" ref="AN66">SQRT((AN9:AO9*$B$22:$C$22)/($B$9:$C$9*$B$22:$C$22)*(AN9:AO9*AN22:AO22)/($B$9:$C$9*AN22:AO22))</f>
        <v>0.97604291629805429</v>
      </c>
      <c r="AO66" s="191"/>
      <c r="AP66" s="191">
        <f t="array" ref="AP66">SQRT((AP9:AQ9*$B$22:$C$22)/($B$9:$C$9*$B$22:$C$22)*(AP9:AQ9*AP22:AQ22)/($B$9:$C$9*AP22:AQ22))</f>
        <v>0.9759604431444634</v>
      </c>
      <c r="AQ66" s="191"/>
      <c r="AR66" s="191">
        <f t="array" ref="AR66">SQRT((AR9:AS9*$B$22:$C$22)/($B$9:$C$9*$B$22:$C$22)*(AR9:AS9*AR22:AS22)/($B$9:$C$9*AR22:AS22))</f>
        <v>0.97588571641106758</v>
      </c>
      <c r="AS66" s="191"/>
      <c r="AT66" s="191">
        <f t="array" ref="AT66">SQRT((AT9:AU9*$B$22:$C$22)/($B$9:$C$9*$B$22:$C$22)*(AT9:AU9*AT22:AU22)/($B$9:$C$9*AT22:AU22))</f>
        <v>0.97581848318821285</v>
      </c>
      <c r="AU66" s="191"/>
      <c r="AV66" s="191">
        <f t="array" ref="AV66">SQRT((AV9:AW9*$B$22:$C$22)/($B$9:$C$9*$B$22:$C$22)*(AV9:AW9*AV22:AW22)/($B$9:$C$9*AV22:AW22))</f>
        <v>0.97575846154382406</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0.9987892265842947</v>
      </c>
      <c r="E68" s="191"/>
      <c r="F68" s="191">
        <f>F66/F67</f>
        <v>0.9975573826056966</v>
      </c>
      <c r="G68" s="191"/>
      <c r="H68" s="191">
        <f>H66/H67</f>
        <v>0.99630164148132638</v>
      </c>
      <c r="I68" s="191"/>
      <c r="J68" s="191">
        <f>J66/J67</f>
        <v>0.99501905905981536</v>
      </c>
      <c r="K68" s="191"/>
      <c r="L68" s="191">
        <f>L66/L67</f>
        <v>0.99370674181824792</v>
      </c>
      <c r="M68" s="191"/>
      <c r="N68" s="191">
        <f>N66/N67</f>
        <v>0.9923620458057123</v>
      </c>
      <c r="O68" s="191"/>
      <c r="P68" s="191">
        <f>P66/P67</f>
        <v>0.99098303806229393</v>
      </c>
      <c r="Q68" s="191"/>
      <c r="R68" s="191">
        <f>R66/R67</f>
        <v>0.98956904165400139</v>
      </c>
      <c r="S68" s="191"/>
      <c r="T68" s="191">
        <f>T66/T67</f>
        <v>0.98812155258303014</v>
      </c>
      <c r="U68" s="191"/>
      <c r="V68" s="191">
        <f>V66/V67</f>
        <v>0.98664547919432621</v>
      </c>
      <c r="W68" s="191"/>
      <c r="X68" s="191">
        <f>X66/X67</f>
        <v>0.98515077712647903</v>
      </c>
      <c r="Y68" s="191"/>
      <c r="Z68" s="191">
        <f>Z66/Z67</f>
        <v>0.98365438856991483</v>
      </c>
      <c r="AA68" s="191"/>
      <c r="AB68" s="191">
        <f>AB66/AB67</f>
        <v>0.9821820819864604</v>
      </c>
      <c r="AC68" s="191"/>
      <c r="AD68" s="191">
        <f>AD66/AD67</f>
        <v>0.98076934536355442</v>
      </c>
      <c r="AE68" s="191"/>
      <c r="AF68" s="191">
        <f>AF66/AF67</f>
        <v>0.97945993611742799</v>
      </c>
      <c r="AG68" s="191"/>
      <c r="AH68" s="191">
        <f>AH66/AH67</f>
        <v>0.97830062403281248</v>
      </c>
      <c r="AI68" s="191"/>
      <c r="AJ68" s="191">
        <f>AJ66/AJ67</f>
        <v>0.97733210742423438</v>
      </c>
      <c r="AK68" s="191"/>
      <c r="AL68" s="191">
        <f>AL66/AL67</f>
        <v>0.97657884226294389</v>
      </c>
      <c r="AM68" s="191"/>
      <c r="AN68" s="191">
        <f>AN66/AN67</f>
        <v>0.97604291629805429</v>
      </c>
      <c r="AO68" s="191"/>
      <c r="AP68" s="191">
        <f>AP66/AP67</f>
        <v>0.9759604431444634</v>
      </c>
      <c r="AQ68" s="191"/>
      <c r="AR68" s="191">
        <f>AR66/AR67</f>
        <v>0.97588571641106758</v>
      </c>
      <c r="AS68" s="191"/>
      <c r="AT68" s="191">
        <f>AT66/AT67</f>
        <v>0.97581848318821285</v>
      </c>
      <c r="AU68" s="191"/>
      <c r="AV68" s="191">
        <f>AV66/AV67</f>
        <v>0.97575846154382406</v>
      </c>
      <c r="XFD68" s="191"/>
    </row>
    <row r="69" spans="1:48 16384:16384" x14ac:dyDescent="0.2">
      <c r="A69" t="s">
        <v>177</v>
      </c>
      <c r="B69" s="191">
        <f>B32/B65/($B$32)</f>
        <v>1</v>
      </c>
      <c r="C69" s="191"/>
      <c r="D69" s="191">
        <f>D32/D65/($B$32)</f>
        <v>0.99456717575350428</v>
      </c>
      <c r="E69" s="191"/>
      <c r="F69" s="191">
        <f>F32/F65/($B$32)</f>
        <v>0.98823755646497302</v>
      </c>
      <c r="G69" s="191"/>
      <c r="H69" s="191">
        <f>H32/H65/($B$32)</f>
        <v>0.98084873912713511</v>
      </c>
      <c r="I69" s="191"/>
      <c r="J69" s="191">
        <f>J32/J65/($B$32)</f>
        <v>0.97219939484239803</v>
      </c>
      <c r="K69" s="191"/>
      <c r="L69" s="191">
        <f>L32/L65/($B$32)</f>
        <v>0.96203711613529308</v>
      </c>
      <c r="M69" s="191"/>
      <c r="N69" s="191">
        <f>N32/N65/($B$32)</f>
        <v>0.95004472130201778</v>
      </c>
      <c r="O69" s="191"/>
      <c r="P69" s="191">
        <f>P32/P65/($B$32)</f>
        <v>0.93581739851011247</v>
      </c>
      <c r="Q69" s="191"/>
      <c r="R69" s="191">
        <f>R32/R65/($B$32)</f>
        <v>0.91883739224588679</v>
      </c>
      <c r="S69" s="191"/>
      <c r="T69" s="191">
        <f>T32/T65/($B$32)</f>
        <v>0.89843679673828314</v>
      </c>
      <c r="U69" s="191"/>
      <c r="V69" s="191">
        <f>V32/V65/($B$32)</f>
        <v>0.87375096018156917</v>
      </c>
      <c r="W69" s="191"/>
      <c r="X69" s="191">
        <f>X32/X65/($B$32)</f>
        <v>0.84366058405101163</v>
      </c>
      <c r="Y69" s="191"/>
      <c r="Z69" s="191">
        <f>Z32/Z65/($B$32)</f>
        <v>0.80672638839400646</v>
      </c>
      <c r="AA69" s="191"/>
      <c r="AB69" s="191">
        <f>AB32/AB65/($B$32)</f>
        <v>0.76112779517214979</v>
      </c>
      <c r="AC69" s="191"/>
      <c r="AD69" s="191">
        <f>AD32/AD65/($B$32)</f>
        <v>0.70463360122342811</v>
      </c>
      <c r="AE69" s="191"/>
      <c r="AF69" s="191">
        <f>AF32/AF65/($B$32)</f>
        <v>0.63465174909749034</v>
      </c>
      <c r="AG69" s="191"/>
      <c r="AH69" s="191">
        <f>AH32/AH65/($B$32)</f>
        <v>0.54841445028709168</v>
      </c>
      <c r="AI69" s="191"/>
      <c r="AJ69" s="191">
        <f>AJ32/AJ65/($B$32)</f>
        <v>0.44332390990642445</v>
      </c>
      <c r="AK69" s="191"/>
      <c r="AL69" s="191">
        <f>AL32/AL65/($B$32)</f>
        <v>0.31739066030751817</v>
      </c>
      <c r="AM69" s="191"/>
      <c r="AN69" s="191">
        <f>AN32/AN65/($B$32)</f>
        <v>0.16959502580416383</v>
      </c>
      <c r="AO69" s="191"/>
      <c r="AP69" s="191">
        <f>AP32/AP65/($B$32)</f>
        <v>0.13739997073914856</v>
      </c>
      <c r="AQ69" s="191"/>
      <c r="AR69" s="191">
        <f>AR32/AR65/($B$32)</f>
        <v>0.10433543343271666</v>
      </c>
      <c r="AS69" s="191"/>
      <c r="AT69" s="191">
        <f>AT32/AT65/($B$32)</f>
        <v>7.0408301558347819E-2</v>
      </c>
      <c r="AU69" s="191"/>
      <c r="AV69" s="191">
        <f>AV32/AV65/($B$32)</f>
        <v>3.5626735176605202E-2</v>
      </c>
    </row>
    <row r="70" spans="1:48 16384:16384" x14ac:dyDescent="0.2">
      <c r="A70" t="s">
        <v>178</v>
      </c>
      <c r="B70" s="138">
        <f>B18/$B$18</f>
        <v>1</v>
      </c>
      <c r="C70" s="138"/>
      <c r="D70" s="138">
        <f>D18/$B$18</f>
        <v>0.99382004051738038</v>
      </c>
      <c r="E70" s="138"/>
      <c r="F70" s="138">
        <f>F18/$B$18</f>
        <v>0.98674133466358926</v>
      </c>
      <c r="G70" s="138"/>
      <c r="H70" s="138">
        <f>H18/$B$18</f>
        <v>0.9786033664010122</v>
      </c>
      <c r="I70" s="138"/>
      <c r="J70" s="138">
        <f>J18/$B$18</f>
        <v>0.96920730882795803</v>
      </c>
      <c r="K70" s="138"/>
      <c r="L70" s="138">
        <f>L18/$B$18</f>
        <v>0.95830409040229714</v>
      </c>
      <c r="M70" s="138"/>
      <c r="N70" s="138">
        <f>N18/$B$18</f>
        <v>0.94558081178996267</v>
      </c>
      <c r="O70" s="138"/>
      <c r="P70" s="138">
        <f>P18/$B$18</f>
        <v>0.93063839201491316</v>
      </c>
      <c r="Q70" s="138"/>
      <c r="R70" s="138">
        <f>R18/$B$18</f>
        <v>0.91296654090742246</v>
      </c>
      <c r="S70" s="138"/>
      <c r="T70" s="138">
        <f>T18/$B$18</f>
        <v>0.89190730354656678</v>
      </c>
      <c r="U70" s="138"/>
      <c r="V70" s="138">
        <f>V18/$B$18</f>
        <v>0.86660949419649635</v>
      </c>
      <c r="W70" s="138"/>
      <c r="X70" s="138">
        <f>X18/$B$18</f>
        <v>0.83597239892117758</v>
      </c>
      <c r="Y70" s="138"/>
      <c r="Z70" s="138">
        <f>Z18/$B$18</f>
        <v>0.79858283329443958</v>
      </c>
      <c r="AA70" s="138"/>
      <c r="AB70" s="138">
        <f>AB18/$B$18</f>
        <v>0.75265753970918925</v>
      </c>
      <c r="AC70" s="138"/>
      <c r="AD70" s="138">
        <f>AD18/$B$18</f>
        <v>0.69601878846234955</v>
      </c>
      <c r="AE70" s="138"/>
      <c r="AF70" s="138">
        <f>AF18/$B$18</f>
        <v>0.62614969461208103</v>
      </c>
      <c r="AG70" s="138"/>
      <c r="AH70" s="138">
        <f>AH18/$B$18</f>
        <v>0.54038326921280166</v>
      </c>
      <c r="AI70" s="138"/>
      <c r="AJ70" s="138">
        <f>AJ18/$B$18</f>
        <v>0.43624638998856247</v>
      </c>
      <c r="AK70" s="138"/>
      <c r="AL70" s="138">
        <f>AL18/$B$18</f>
        <v>0.31188704377160631</v>
      </c>
      <c r="AM70" s="138"/>
      <c r="AN70" s="138">
        <f>AN18/$B$18</f>
        <v>0.16641620671591947</v>
      </c>
      <c r="AO70" s="138"/>
      <c r="AP70" s="138">
        <f>AP18/$B$18</f>
        <v>0.13478596458761519</v>
      </c>
      <c r="AQ70" s="138"/>
      <c r="AR70" s="138">
        <f>AR18/$B$18</f>
        <v>0.10232117763289043</v>
      </c>
      <c r="AS70" s="138"/>
      <c r="AT70" s="138">
        <f>AT18/$B$18</f>
        <v>6.9029306416883499E-2</v>
      </c>
      <c r="AU70" s="138"/>
      <c r="AV70" s="138">
        <f>AV18/$B$18</f>
        <v>3.491901471762919E-2</v>
      </c>
    </row>
    <row r="71" spans="1:48 16384:16384" x14ac:dyDescent="0.2">
      <c r="A71" t="s">
        <v>179</v>
      </c>
      <c r="B71" s="138">
        <f>C18/$C$18</f>
        <v>1</v>
      </c>
      <c r="D71" s="138">
        <f>E18/$C$18</f>
        <v>0.93340925449257628</v>
      </c>
      <c r="E71" s="138"/>
      <c r="F71" s="138">
        <f>G18/$C$18</f>
        <v>0.86721992299130068</v>
      </c>
      <c r="G71" s="138"/>
      <c r="H71" s="138">
        <f>I18/$C$18</f>
        <v>0.80149903939713218</v>
      </c>
      <c r="I71" s="138"/>
      <c r="J71" s="138">
        <f>K18/$C$18</f>
        <v>0.73633039964208213</v>
      </c>
      <c r="K71" s="138"/>
      <c r="L71" s="138">
        <f>M18/$C$18</f>
        <v>0.67182220644086288</v>
      </c>
      <c r="M71" s="138"/>
      <c r="N71" s="138">
        <f>O18/$C$18</f>
        <v>0.60810827788751276</v>
      </c>
      <c r="O71" s="138"/>
      <c r="P71" s="138">
        <f>Q18/$C$18</f>
        <v>0.5453653537771862</v>
      </c>
      <c r="Q71" s="138"/>
      <c r="R71" s="138">
        <f>S18/$C$18</f>
        <v>0.48381662193394387</v>
      </c>
      <c r="S71" s="138"/>
      <c r="T71" s="138">
        <f>U18/$C$18</f>
        <v>0.42374849012727889</v>
      </c>
      <c r="U71" s="138"/>
      <c r="V71" s="138">
        <f>W18/$C$18</f>
        <v>0.36552523642925311</v>
      </c>
      <c r="W71" s="138"/>
      <c r="X71" s="138">
        <f>Y18/$C$18</f>
        <v>0.30960304049709764</v>
      </c>
      <c r="Y71" s="138"/>
      <c r="Z71" s="138">
        <f>AA18/$C$18</f>
        <v>0.25653622494325479</v>
      </c>
      <c r="AA71" s="138"/>
      <c r="AB71" s="138">
        <f>AC18/$C$18</f>
        <v>0.20697249352240993</v>
      </c>
      <c r="AC71" s="138"/>
      <c r="AD71" s="138">
        <f>AE18/$C$18</f>
        <v>0.1616170166322175</v>
      </c>
      <c r="AE71" s="138"/>
      <c r="AF71" s="138">
        <f>AG18/$C$18</f>
        <v>0.12115441411749203</v>
      </c>
      <c r="AG71" s="138"/>
      <c r="AH71" s="138">
        <f>AI18/$C$18</f>
        <v>8.6126813279191555E-2</v>
      </c>
      <c r="AI71" s="138"/>
      <c r="AJ71" s="138">
        <f>AK18/$C$18</f>
        <v>5.6793580414393842E-2</v>
      </c>
      <c r="AK71" s="138"/>
      <c r="AL71" s="138">
        <f>AM18/$C$18</f>
        <v>3.3034139241955501E-2</v>
      </c>
      <c r="AM71" s="138"/>
      <c r="AN71" s="138">
        <f>AO18/$C$18</f>
        <v>1.4353758898203593E-2</v>
      </c>
      <c r="AO71" s="138"/>
      <c r="AP71" s="138">
        <f>AQ18/$C$18</f>
        <v>1.1163634715797541E-2</v>
      </c>
      <c r="AQ71" s="138"/>
      <c r="AR71" s="138">
        <f>AS18/$C$18</f>
        <v>8.140066096392385E-3</v>
      </c>
      <c r="AS71" s="138"/>
      <c r="AT71" s="138">
        <f>AU18/$C$18</f>
        <v>5.2761941026559433E-3</v>
      </c>
      <c r="AU71" s="138"/>
      <c r="AV71" s="138">
        <f>AW18/$C$18</f>
        <v>2.565131700358045E-3</v>
      </c>
      <c r="XFD71" s="138"/>
    </row>
    <row r="72" spans="1:48 16384:16384" x14ac:dyDescent="0.2">
      <c r="A72" t="s">
        <v>180</v>
      </c>
      <c r="B72" s="138">
        <f>C19/$C$19</f>
        <v>1</v>
      </c>
      <c r="D72" s="138">
        <f>E19/$C$19</f>
        <v>1.0115992217504961</v>
      </c>
      <c r="E72" s="138"/>
      <c r="F72" s="138">
        <f>G19/$C$19</f>
        <v>1.0242083134452704</v>
      </c>
      <c r="G72" s="138"/>
      <c r="H72" s="138">
        <f>I19/$C$19</f>
        <v>1.0377541033006599</v>
      </c>
      <c r="I72" s="138"/>
      <c r="J72" s="138">
        <f>K19/$C$19</f>
        <v>1.0520952392278595</v>
      </c>
      <c r="K72" s="138"/>
      <c r="L72" s="138">
        <f>M19/$C$19</f>
        <v>1.0669901050329391</v>
      </c>
      <c r="M72" s="138"/>
      <c r="N72" s="138">
        <f>O19/$C$19</f>
        <v>1.0820532166928678</v>
      </c>
      <c r="O72" s="138"/>
      <c r="P72" s="138">
        <f>Q19/$C$19</f>
        <v>1.0966906426227652</v>
      </c>
      <c r="Q72" s="138"/>
      <c r="R72" s="138">
        <f>S19/$C$19</f>
        <v>1.1100146659943249</v>
      </c>
      <c r="S72" s="138"/>
      <c r="T72" s="138">
        <f>U19/$C$19</f>
        <v>1.120725026512075</v>
      </c>
      <c r="U72" s="138"/>
      <c r="V72" s="138">
        <f>W19/$C$19</f>
        <v>1.1269564319600542</v>
      </c>
      <c r="W72" s="138"/>
      <c r="X72" s="138">
        <f>Y19/$C$19</f>
        <v>1.1260917349454673</v>
      </c>
      <c r="Y72" s="138"/>
      <c r="Z72" s="138">
        <f>AA19/$C$19</f>
        <v>1.1145599938495983</v>
      </c>
      <c r="AA72" s="138"/>
      <c r="AB72" s="138">
        <f>AC19/$C$19</f>
        <v>1.087678198724364</v>
      </c>
      <c r="AC72" s="138"/>
      <c r="AD72" s="138">
        <f>AE19/$C$19</f>
        <v>1.0396421151725443</v>
      </c>
      <c r="AE72" s="138"/>
      <c r="AF72" s="138">
        <f>AG19/$C$19</f>
        <v>0.96383507379974842</v>
      </c>
      <c r="AG72" s="138"/>
      <c r="AH72" s="138">
        <f>AI19/$C$19</f>
        <v>0.85360874783384599</v>
      </c>
      <c r="AI72" s="138"/>
      <c r="AJ72" s="138">
        <f>AK19/$C$19</f>
        <v>0.70350657893050883</v>
      </c>
      <c r="AK72" s="138"/>
      <c r="AL72" s="138">
        <f>AM19/$C$19</f>
        <v>0.51055496389819788</v>
      </c>
      <c r="AM72" s="138"/>
      <c r="AN72" s="138">
        <f>AO19/$C$19</f>
        <v>0.2749885375727722</v>
      </c>
      <c r="AO72" s="138"/>
      <c r="AP72" s="138">
        <f>AQ19/$C$19</f>
        <v>0.22300055541955807</v>
      </c>
      <c r="AQ72" s="138"/>
      <c r="AR72" s="138">
        <f>AS19/$C$19</f>
        <v>0.16946671731430971</v>
      </c>
      <c r="AS72" s="138"/>
      <c r="AT72" s="138">
        <f>AU19/$C$19</f>
        <v>0.1144269411117351</v>
      </c>
      <c r="AU72" s="138"/>
      <c r="AV72" s="138">
        <f>AW19/$C$19</f>
        <v>5.792343507022274E-2</v>
      </c>
      <c r="XFD72" s="138"/>
    </row>
    <row r="73" spans="1:48 16384:16384" x14ac:dyDescent="0.2">
      <c r="A73" t="s">
        <v>184</v>
      </c>
      <c r="B73" s="193">
        <f t="array" ref="B73">SUM(B9:C9*B22:C22)/B32</f>
        <v>0.47641153352875065</v>
      </c>
      <c r="D73" s="193">
        <f t="array" ref="D73">SUM(D9:E9*D22:E22)/D32</f>
        <v>0.47455428414243406</v>
      </c>
      <c r="E73" s="138"/>
      <c r="F73" s="193">
        <f t="array" ref="F73">SUM(F9:G9*F22:G22)/F32</f>
        <v>0.47265685059853418</v>
      </c>
      <c r="G73" s="138"/>
      <c r="H73" s="193">
        <f t="array" ref="H73">SUM(H9:I9*H22:I22)/H32</f>
        <v>0.4707142218102276</v>
      </c>
      <c r="I73" s="138"/>
      <c r="J73" s="193">
        <f t="array" ref="J73">SUM(J9:K9*J22:K22)/J32</f>
        <v>0.46872071010314892</v>
      </c>
      <c r="K73" s="138"/>
      <c r="L73" s="193">
        <f t="array" ref="L73">SUM(L9:M9*L22:M22)/L32</f>
        <v>0.46666989987902263</v>
      </c>
      <c r="M73" s="138"/>
      <c r="N73" s="193">
        <f t="array" ref="N73">SUM(N9:O9*N22:O22)/N32</f>
        <v>0.46455445743790769</v>
      </c>
      <c r="O73" s="138"/>
      <c r="P73" s="193">
        <f t="array" ref="P73">SUM(P9:Q9*P22:Q22)/P32</f>
        <v>0.4623661738131899</v>
      </c>
      <c r="Q73" s="138"/>
      <c r="R73" s="193">
        <f t="array" ref="R73">SUM(R9:S9*R22:S22)/R32</f>
        <v>0.4600958259665518</v>
      </c>
      <c r="S73" s="138"/>
      <c r="T73" s="193">
        <f t="array" ref="T73">SUM(T9:U9*T22:U22)/T32</f>
        <v>0.45773328446352946</v>
      </c>
      <c r="U73" s="138"/>
      <c r="V73" s="193">
        <f t="array" ref="V73">SUM(V9:W9*V22:W22)/V32</f>
        <v>0.45526773751727773</v>
      </c>
      <c r="W73" s="138"/>
      <c r="X73" s="193">
        <f t="array" ref="X73">SUM(X9:Y9*X22:Y22)/X32</f>
        <v>0.45268828500977998</v>
      </c>
      <c r="Y73" s="138"/>
      <c r="Z73" s="193">
        <f t="array" ref="Z73">SUM(Z9:AA9*Z22:AA22)/Z32</f>
        <v>0.44998515707959325</v>
      </c>
      <c r="AA73" s="138"/>
      <c r="AB73" s="193">
        <f t="array" ref="AB73">SUM(AB9:AC9*AB22:AC22)/AB32</f>
        <v>0.44715178643719999</v>
      </c>
      <c r="AC73" s="138"/>
      <c r="AD73" s="193">
        <f t="array" ref="AD73">SUM(AD9:AE9*AD22:AE22)/AD32</f>
        <v>0.44418808014519362</v>
      </c>
      <c r="AE73" s="138"/>
      <c r="AF73" s="193">
        <f t="array" ref="AF73">SUM(AF9:AG9*AF22:AG22)/AF32</f>
        <v>0.44110471878508706</v>
      </c>
      <c r="AG73" s="138"/>
      <c r="AH73" s="193">
        <f t="array" ref="AH73">SUM(AH9:AI9*AH22:AI22)/AH32</f>
        <v>0.4379273383304898</v>
      </c>
      <c r="AI73" s="138"/>
      <c r="AJ73" s="193">
        <f t="array" ref="AJ73">SUM(AJ9:AK9*AJ22:AK22)/AJ32</f>
        <v>0.4346982768548765</v>
      </c>
      <c r="AK73" s="138"/>
      <c r="AL73" s="193">
        <f t="array" ref="AL73">SUM(AL9:AM9*AL22:AM22)/AL32</f>
        <v>0.4314732496485153</v>
      </c>
      <c r="AM73" s="138"/>
      <c r="AN73" s="193">
        <f t="array" ref="AN73">SUM(AN9:AO9*AN22:AO22)/AN32</f>
        <v>0.42831254856574869</v>
      </c>
      <c r="AO73" s="138"/>
      <c r="AP73" s="193">
        <f t="array" ref="AP73">SUM(AP9:AQ9*AP22:AQ22)/AP32</f>
        <v>0.42769311552376338</v>
      </c>
      <c r="AQ73" s="138"/>
      <c r="AR73" s="193">
        <f t="array" ref="AR73">SUM(AR9:AS9*AR22:AS22)/AR32</f>
        <v>0.42707883669625607</v>
      </c>
      <c r="AS73" s="138"/>
      <c r="AT73" s="193">
        <f t="array" ref="AT73">SUM(AT9:AU9*AT22:AU22)/AT32</f>
        <v>0.42647003862316302</v>
      </c>
      <c r="AU73" s="138"/>
      <c r="AV73" s="193">
        <f t="array" ref="AV73">SUM(AV9:AW9*AV22:AW22)/AV32</f>
        <v>0.42586698395141664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0.22604620456442481</v>
      </c>
      <c r="AC74" s="138"/>
      <c r="AD74" s="193">
        <f t="array" ref="AD74">SUM(AD10:AE10*AD23:AE23)/AD32</f>
        <v>0.22604620456442487</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0.22224163868320804</v>
      </c>
      <c r="E75" s="138"/>
      <c r="F75" s="193">
        <f t="array" ref="F75">SUM(F11:G11*F24:G24)/F32</f>
        <v>0.22413907287428964</v>
      </c>
      <c r="G75" s="138"/>
      <c r="H75" s="193">
        <f t="array" ref="H75">SUM(H11:I11*H24:I24)/H32</f>
        <v>0.22608170141775766</v>
      </c>
      <c r="I75" s="138"/>
      <c r="J75" s="193">
        <f t="array" ref="J75">SUM(J11:K11*J24:K24)/J32</f>
        <v>0.22807521186729612</v>
      </c>
      <c r="K75" s="138"/>
      <c r="L75" s="193">
        <f t="array" ref="L75">SUM(L11:M11*L24:M24)/L32</f>
        <v>0.2301260208584561</v>
      </c>
      <c r="M75" s="138"/>
      <c r="N75" s="193">
        <f t="array" ref="N75">SUM(N11:O11*N24:O24)/N32</f>
        <v>0.232241463594488</v>
      </c>
      <c r="O75" s="138"/>
      <c r="P75" s="193">
        <f t="array" ref="P75">SUM(P11:Q11*P24:Q24)/P32</f>
        <v>0.23442974719298687</v>
      </c>
      <c r="Q75" s="138"/>
      <c r="R75" s="193">
        <f t="array" ref="R75">SUM(R11:S11*R24:S24)/R32</f>
        <v>0.23670009595313907</v>
      </c>
      <c r="S75" s="138"/>
      <c r="T75" s="193">
        <f t="array" ref="T75">SUM(T11:U11*T24:U24)/T32</f>
        <v>0.23906263668572267</v>
      </c>
      <c r="U75" s="138"/>
      <c r="V75" s="193">
        <f t="array" ref="V75">SUM(V11:W11*V24:W24)/V32</f>
        <v>0.24152818238841187</v>
      </c>
      <c r="W75" s="138"/>
      <c r="X75" s="193">
        <f t="array" ref="X75">SUM(X11:Y11*X24:Y24)/X32</f>
        <v>0.24410763644220165</v>
      </c>
      <c r="Y75" s="138"/>
      <c r="Z75" s="193">
        <f t="array" ref="Z75">SUM(Z11:AA11*Z24:AA24)/Z32</f>
        <v>0.24681076400522312</v>
      </c>
      <c r="AA75" s="138"/>
      <c r="AB75" s="193">
        <f t="array" ref="AB75">SUM(AB11:AC11*AB24:AC24)/AB32</f>
        <v>0.24964413508024696</v>
      </c>
      <c r="AC75" s="138"/>
      <c r="AD75" s="193">
        <f t="array" ref="AD75">SUM(AD11:AE11*AD24:AE24)/AD32</f>
        <v>0.25260784126639124</v>
      </c>
      <c r="AE75" s="138"/>
      <c r="AF75" s="193">
        <f t="array" ref="AF75">SUM(AF11:AG11*AF24:AG24)/AF32</f>
        <v>0.25569120062572326</v>
      </c>
      <c r="AG75" s="138"/>
      <c r="AH75" s="193">
        <f t="array" ref="AH75">SUM(AH11:AI11*AH24:AI24)/AH32</f>
        <v>0.25886858359220494</v>
      </c>
      <c r="AI75" s="138"/>
      <c r="AJ75" s="193">
        <f t="array" ref="AJ75">SUM(AJ11:AK11*AJ24:AK24)/AJ32</f>
        <v>0.26209764499044835</v>
      </c>
      <c r="AK75" s="138"/>
      <c r="AL75" s="193">
        <f t="array" ref="AL75">SUM(AL11:AM11*AL24:AM24)/AL32</f>
        <v>0.26532267221217254</v>
      </c>
      <c r="AM75" s="138"/>
      <c r="AN75" s="193">
        <f t="array" ref="AN75">SUM(AN11:AO11*AN24:AO24)/AN32</f>
        <v>0.2684833672145881</v>
      </c>
      <c r="AO75" s="138"/>
      <c r="AP75" s="193">
        <f t="array" ref="AP75">SUM(AP11:AQ11*AP24:AQ24)/AP32</f>
        <v>0.2691028069964051</v>
      </c>
      <c r="AQ75" s="138"/>
      <c r="AR75" s="193">
        <f t="array" ref="AR75">SUM(AR11:AS11*AR24:AS24)/AR32</f>
        <v>0.26971709221361168</v>
      </c>
      <c r="AS75" s="138"/>
      <c r="AT75" s="193">
        <f t="array" ref="AT75">SUM(AT11:AU11*AT24:AU24)/AT32</f>
        <v>0.27032589010544988</v>
      </c>
      <c r="AU75" s="138"/>
      <c r="AV75" s="193">
        <f t="array" ref="AV75">SUM(AV11:AW11*AV24:AW24)/AV32</f>
        <v>0.2709289379092486</v>
      </c>
      <c r="XFD75" s="193"/>
    </row>
    <row r="76" spans="1:48 16384:16384" x14ac:dyDescent="0.2">
      <c r="A76" t="s">
        <v>187</v>
      </c>
      <c r="B76" s="193">
        <f t="array" ref="B76">SUM(B12:C12*B25:C25)/B32</f>
        <v>0.22301874374724867</v>
      </c>
      <c r="D76" s="193">
        <f t="array" ref="D76">SUM(D12:E12*D25:E25)/D32</f>
        <v>0.22301714662987132</v>
      </c>
      <c r="E76" s="138"/>
      <c r="F76" s="193">
        <f t="array" ref="F76">SUM(F12:G12*F25:G25)/F32</f>
        <v>0.22304976769305207</v>
      </c>
      <c r="G76" s="138"/>
      <c r="H76" s="193">
        <f t="array" ref="H76">SUM(H12:I12*H25:I25)/H32</f>
        <v>0.22311967335426022</v>
      </c>
      <c r="I76" s="138"/>
      <c r="J76" s="193">
        <f t="array" ref="J76">SUM(J12:K12*J25:K25)/J32</f>
        <v>0.22323006189092878</v>
      </c>
      <c r="K76" s="138"/>
      <c r="L76" s="193">
        <f t="array" ref="L76">SUM(L12:M12*L25:M25)/L32</f>
        <v>0.22338416647974285</v>
      </c>
      <c r="M76" s="138"/>
      <c r="N76" s="193">
        <f t="array" ref="N76">SUM(N12:O12*N25:O25)/N32</f>
        <v>0.22358503226120177</v>
      </c>
      <c r="O76" s="138"/>
      <c r="P76" s="193">
        <f t="array" ref="P76">SUM(P12:Q12*P25:Q25)/P32</f>
        <v>0.22383527029136388</v>
      </c>
      <c r="Q76" s="138"/>
      <c r="R76" s="193">
        <f t="array" ref="R76">SUM(R12:S12*R25:S25)/R32</f>
        <v>0.22413654186845647</v>
      </c>
      <c r="S76" s="138"/>
      <c r="T76" s="193">
        <f t="array" ref="T76">SUM(T12:U12*T25:U25)/T32</f>
        <v>0.22448889425183569</v>
      </c>
      <c r="U76" s="138"/>
      <c r="V76" s="193">
        <f t="array" ref="V76">SUM(V12:W12*V25:W25)/V32</f>
        <v>0.22488979441363371</v>
      </c>
      <c r="W76" s="138"/>
      <c r="X76" s="193">
        <f t="array" ref="X76">SUM(X12:Y12*X25:Y25)/X32</f>
        <v>0.22533285681380358</v>
      </c>
      <c r="Y76" s="138"/>
      <c r="Z76" s="193">
        <f t="array" ref="Z76">SUM(Z12:AA12*Z25:AA25)/Z32</f>
        <v>0.22580630502596133</v>
      </c>
      <c r="AA76" s="138"/>
      <c r="AB76" s="193">
        <f t="array" ref="AB76">SUM(AB12:AC12*AB25:AC25)/AB32</f>
        <v>0.22629155735426848</v>
      </c>
      <c r="AC76" s="138"/>
      <c r="AD76" s="193">
        <f t="array" ref="AD76">SUM(AD12:AE12*AD25:AE25)/AD32</f>
        <v>0.22676252978840378</v>
      </c>
      <c r="AE76" s="138"/>
      <c r="AF76" s="193">
        <f t="array" ref="AF76">SUM(AF12:AG12*AF25:AG25)/AF32</f>
        <v>0.22718678327930669</v>
      </c>
      <c r="AG76" s="138"/>
      <c r="AH76" s="193">
        <f t="array" ref="AH76">SUM(AH12:AI12*AH25:AI25)/AH32</f>
        <v>0.22752964860970298</v>
      </c>
      <c r="AI76" s="138"/>
      <c r="AJ76" s="193">
        <f t="array" ref="AJ76">SUM(AJ12:AK12*AJ25:AK25)/AJ32</f>
        <v>0.22776126648529849</v>
      </c>
      <c r="AK76" s="138"/>
      <c r="AL76" s="193">
        <f t="array" ref="AL76">SUM(AL12:AM12*AL25:AM25)/AL32</f>
        <v>0.22786429844907061</v>
      </c>
      <c r="AM76" s="138"/>
      <c r="AN76" s="193">
        <f t="array" ref="AN76">SUM(AN12:AO12*AN25:AO25)/AN32</f>
        <v>0.22783827593808414</v>
      </c>
      <c r="AO76" s="138"/>
      <c r="AP76" s="193">
        <f t="array" ref="AP76">SUM(AP12:AQ12*AP25:AQ25)/AP32</f>
        <v>0.22781868739012168</v>
      </c>
      <c r="AQ76" s="138"/>
      <c r="AR76" s="193">
        <f t="array" ref="AR76">SUM(AR12:AS12*AR25:AS25)/AR32</f>
        <v>0.2277946792443937</v>
      </c>
      <c r="AS76" s="138"/>
      <c r="AT76" s="193">
        <f t="array" ref="AT76">SUM(AT12:AU12*AT25:AU25)/AT32</f>
        <v>0.2277664409981634</v>
      </c>
      <c r="AU76" s="138"/>
      <c r="AV76" s="193">
        <f t="array" ref="AV76">SUM(AV12:AW12*AV25:AW25)/AV32</f>
        <v>0.22773418578806032</v>
      </c>
      <c r="XFD76" s="193"/>
    </row>
    <row r="77" spans="1:48 16384:16384" x14ac:dyDescent="0.2">
      <c r="A77" t="s">
        <v>188</v>
      </c>
      <c r="B77" s="193">
        <f t="array" ref="B77">SUM(B4:C4*B19:C19)/B32</f>
        <v>0.14586087017236485</v>
      </c>
      <c r="D77" s="193">
        <f t="array" ref="D77">SUM(D4:E4*D19:E19)/D32</f>
        <v>0.14585927401993806</v>
      </c>
      <c r="E77" s="138"/>
      <c r="F77" s="193">
        <f t="array" ref="F77">SUM(F4:G4*F19:G19)/F32</f>
        <v>0.1458918957303007</v>
      </c>
      <c r="G77" s="138"/>
      <c r="H77" s="193">
        <f t="array" ref="H77">SUM(H4:I4*H19:I19)/H32</f>
        <v>0.14596180114667029</v>
      </c>
      <c r="I77" s="138"/>
      <c r="J77" s="193">
        <f t="array" ref="J77">SUM(J4:K4*J19:K19)/J32</f>
        <v>0.14607218842579861</v>
      </c>
      <c r="K77" s="138"/>
      <c r="L77" s="193">
        <f t="array" ref="L77">SUM(L4:M4*L19:M19)/L32</f>
        <v>0.14622629178164617</v>
      </c>
      <c r="M77" s="138"/>
      <c r="N77" s="193">
        <f t="array" ref="N77">SUM(N4:O4*N19:O19)/N32</f>
        <v>0.14642715785802229</v>
      </c>
      <c r="O77" s="138"/>
      <c r="P77" s="193">
        <f t="array" ref="P77">SUM(P4:Q4*P19:Q19)/P32</f>
        <v>0.14667739586196535</v>
      </c>
      <c r="Q77" s="138"/>
      <c r="R77" s="193">
        <f t="array" ref="R77">SUM(R4:S4*R19:S19)/R32</f>
        <v>0.14697866835257187</v>
      </c>
      <c r="S77" s="138"/>
      <c r="T77" s="193">
        <f t="array" ref="T77">SUM(T4:U4*T19:U19)/T32</f>
        <v>0.1473310199655124</v>
      </c>
      <c r="U77" s="138"/>
      <c r="V77" s="193">
        <f t="array" ref="V77">SUM(V4:W4*V19:W19)/V32</f>
        <v>0.14773191888374798</v>
      </c>
      <c r="W77" s="138"/>
      <c r="X77" s="193">
        <f t="array" ref="X77">SUM(X4:Y4*X19:Y19)/X32</f>
        <v>0.14817498283020991</v>
      </c>
      <c r="Y77" s="138"/>
      <c r="Z77" s="193">
        <f t="array" ref="Z77">SUM(Z4:AA4*Z19:AA19)/Z32</f>
        <v>0.14864843067520236</v>
      </c>
      <c r="AA77" s="138"/>
      <c r="AB77" s="193">
        <f t="array" ref="AB77">SUM(AB4:AC4*AB19:AC19)/AB32</f>
        <v>0.14913368343614009</v>
      </c>
      <c r="AC77" s="138"/>
      <c r="AD77" s="193">
        <f t="array" ref="AD77">SUM(AD4:AE4*AD19:AE19)/AD32</f>
        <v>0.14960465576441331</v>
      </c>
      <c r="AE77" s="138"/>
      <c r="AF77" s="193">
        <f t="array" ref="AF77">SUM(AF4:AG4*AF19:AG19)/AF32</f>
        <v>0.15002890725454171</v>
      </c>
      <c r="AG77" s="138"/>
      <c r="AH77" s="193">
        <f t="array" ref="AH77">SUM(AH4:AI4*AH19:AI19)/AH32</f>
        <v>0.15037177509682242</v>
      </c>
      <c r="AI77" s="138"/>
      <c r="AJ77" s="193">
        <f t="array" ref="AJ77">SUM(AJ4:AK4*AJ19:AK19)/AJ32</f>
        <v>0.15060339289504793</v>
      </c>
      <c r="AK77" s="138"/>
      <c r="AL77" s="193">
        <f t="array" ref="AL77">SUM(AL4:AM4*AL19:AM19)/AL32</f>
        <v>0.15070642487418323</v>
      </c>
      <c r="AM77" s="138"/>
      <c r="AN77" s="193">
        <f t="array" ref="AN77">SUM(AN4:AO4*AN19:AO19)/AN32</f>
        <v>0.15068039628284566</v>
      </c>
      <c r="AO77" s="138"/>
      <c r="AP77" s="193">
        <f t="array" ref="AP77">SUM(AP4:AQ4*AP19:AQ19)/AP32</f>
        <v>0.15066081447471499</v>
      </c>
      <c r="AQ77" s="138"/>
      <c r="AR77" s="193">
        <f t="array" ref="AR77">SUM(AR4:AS4*AR19:AS19)/AR32</f>
        <v>0.15063681271868598</v>
      </c>
      <c r="AS77" s="138"/>
      <c r="AT77" s="193">
        <f t="array" ref="AT77">SUM(AT4:AU4*AT19:AU19)/AT32</f>
        <v>0.15060857429120114</v>
      </c>
      <c r="AU77" s="138"/>
      <c r="AV77" s="193">
        <f t="array" ref="AV77">SUM(AV4:AW4*AV19:AW19)/AV32</f>
        <v>0.15057631221315018</v>
      </c>
      <c r="XFD77" s="193"/>
    </row>
    <row r="78" spans="1:48 16384:16384" x14ac:dyDescent="0.2">
      <c r="A78" t="s">
        <v>189</v>
      </c>
      <c r="B78" s="193">
        <f t="array" ref="B78">SUM(B13:C13*B26:C26)/B32</f>
        <v>0.346887593115773</v>
      </c>
      <c r="D78" s="193">
        <f t="array" ref="D78">SUM(D13:E13*D26:E26)/D32</f>
        <v>0.34598903985658447</v>
      </c>
      <c r="E78" s="138"/>
      <c r="F78" s="193">
        <f t="array" ref="F78">SUM(F13:G13*F26:G26)/F32</f>
        <v>0.34506217310331216</v>
      </c>
      <c r="G78" s="138"/>
      <c r="H78" s="193">
        <f t="array" ref="H78">SUM(H13:I13*H26:I26)/H32</f>
        <v>0.34410536226293015</v>
      </c>
      <c r="I78" s="138"/>
      <c r="J78" s="193">
        <f t="array" ref="J78">SUM(J13:K13*J26:K26)/J32</f>
        <v>0.34311701538310119</v>
      </c>
      <c r="K78" s="138"/>
      <c r="L78" s="193">
        <f t="array" ref="L78">SUM(L13:M13*L26:M26)/L32</f>
        <v>0.34209568940729845</v>
      </c>
      <c r="M78" s="138"/>
      <c r="N78" s="193">
        <f t="array" ref="N78">SUM(N13:O13*N26:O26)/N32</f>
        <v>0.34104007360506589</v>
      </c>
      <c r="O78" s="138"/>
      <c r="P78" s="193">
        <f t="array" ref="P78">SUM(P13:Q13*P26:Q26)/P32</f>
        <v>0.33994928239285599</v>
      </c>
      <c r="Q78" s="138"/>
      <c r="R78" s="193">
        <f t="array" ref="R78">SUM(R13:S13*R26:S26)/R32</f>
        <v>0.33882289057718185</v>
      </c>
      <c r="S78" s="138"/>
      <c r="T78" s="193">
        <f t="array" ref="T78">SUM(T13:U13*T26:U26)/T32</f>
        <v>0.33766125329930041</v>
      </c>
      <c r="U78" s="138"/>
      <c r="V78" s="193">
        <f t="array" ref="V78">SUM(V13:W13*V26:W26)/V32</f>
        <v>0.33646583355898146</v>
      </c>
      <c r="W78" s="138"/>
      <c r="X78" s="193">
        <f t="array" ref="X78">SUM(X13:Y13*X26:Y26)/X32</f>
        <v>0.33523965298125691</v>
      </c>
      <c r="Y78" s="138"/>
      <c r="Z78" s="193">
        <f t="array" ref="Z78">SUM(Z13:AA13*Z26:AA26)/Z32</f>
        <v>0.33398782471569072</v>
      </c>
      <c r="AA78" s="138"/>
      <c r="AB78" s="193">
        <f t="array" ref="AB78">SUM(AB13:AC13*AB26:AC26)/AB32</f>
        <v>0.33271821789485045</v>
      </c>
      <c r="AC78" s="138"/>
      <c r="AD78" s="193">
        <f t="array" ref="AD78">SUM(AD13:AE13*AD26:AE26)/AD32</f>
        <v>0.33144205342202798</v>
      </c>
      <c r="AE78" s="138"/>
      <c r="AF78" s="193">
        <f t="array" ref="AF78">SUM(AF13:AG13*AF26:AG26)/AF32</f>
        <v>0.3301741806957843</v>
      </c>
      <c r="AG78" s="138"/>
      <c r="AH78" s="193">
        <f t="array" ref="AH78">SUM(AH13:AI13*AH26:AI26)/AH32</f>
        <v>0.32893261763640536</v>
      </c>
      <c r="AI78" s="138"/>
      <c r="AJ78" s="193">
        <f t="array" ref="AJ78">SUM(AJ13:AK13*AJ26:AK26)/AJ32</f>
        <v>0.32773694433612499</v>
      </c>
      <c r="AK78" s="138"/>
      <c r="AL78" s="193">
        <f t="array" ref="AL78">SUM(AL13:AM13*AL26:AM26)/AL32</f>
        <v>0.32660555325156615</v>
      </c>
      <c r="AM78" s="138"/>
      <c r="AN78" s="193">
        <f t="array" ref="AN78">SUM(AN13:AO13*AN26:AO26)/AN32</f>
        <v>0.32555262509265115</v>
      </c>
      <c r="AO78" s="138"/>
      <c r="AP78" s="193">
        <f t="array" ref="AP78">SUM(AP13:AQ13*AP26:AQ26)/AP32</f>
        <v>0.32535227375209974</v>
      </c>
      <c r="AQ78" s="138"/>
      <c r="AR78" s="193">
        <f t="array" ref="AR78">SUM(AR13:AS13*AR26:AS26)/AR32</f>
        <v>0.32515543073253805</v>
      </c>
      <c r="AS78" s="138"/>
      <c r="AT78" s="193">
        <f t="array" ref="AT78">SUM(AT13:AU13*AT26:AU26)/AT32</f>
        <v>0.32496212064115382</v>
      </c>
      <c r="AU78" s="138"/>
      <c r="AV78" s="193">
        <f t="array" ref="AV78">SUM(AV13:AW13*AV26:AW26)/AV32</f>
        <v>0.32477235989755426</v>
      </c>
      <c r="XFD78" s="193"/>
    </row>
    <row r="79" spans="1:48 16384:16384" x14ac:dyDescent="0.2">
      <c r="A79" t="s">
        <v>190</v>
      </c>
      <c r="B79" s="193">
        <f t="array" ref="B79">SUM(B15:C15*B27:C27)/B32</f>
        <v>0.45460968782440492</v>
      </c>
      <c r="D79" s="193">
        <f t="array" ref="D79">SUM(D15:E15*D27:E27)/D32</f>
        <v>0.4523773554629687</v>
      </c>
      <c r="F79" s="193">
        <f t="array" ref="F79">SUM(F15:G15*F27:G27)/F32</f>
        <v>0.45010572103330954</v>
      </c>
      <c r="H79" s="193">
        <f t="array" ref="H79">SUM(H15:I15*H27:I27)/H32</f>
        <v>0.44778795702121926</v>
      </c>
      <c r="J79" s="193">
        <f t="array" ref="J79">SUM(J15:K15*J27:K27)/J32</f>
        <v>0.44541604274096885</v>
      </c>
      <c r="L79" s="193">
        <f t="array" ref="L79">SUM(L15:M15*L27:M27)/L32</f>
        <v>0.44298060620461527</v>
      </c>
      <c r="N79" s="193">
        <f t="array" ref="N79">SUM(N15:O15*N27:O27)/N32</f>
        <v>0.44047050747340277</v>
      </c>
      <c r="P79" s="193">
        <f t="array" ref="P79">SUM(P15:Q15*P27:Q27)/P32</f>
        <v>0.43787281484524548</v>
      </c>
      <c r="R79" s="193">
        <f t="array" ref="R79">SUM(R15:S15*R27:S27)/R32</f>
        <v>0.43517233082605594</v>
      </c>
      <c r="T79" s="193">
        <f t="array" ref="T79">SUM(T15:U15*T27:U27)/T32</f>
        <v>0.43235153353467087</v>
      </c>
      <c r="V79" s="193">
        <f t="array" ref="V79">SUM(V15:W15*V27:W27)/V32</f>
        <v>0.42939064654157455</v>
      </c>
      <c r="X79" s="193">
        <f t="array" ref="X79">SUM(X15:Y15*X27:Y27)/X32</f>
        <v>0.42626820048632008</v>
      </c>
      <c r="Z79" s="193">
        <f t="array" ref="Z79">SUM(Z15:AA15*Z27:AA27)/Z32</f>
        <v>0.42296242279479968</v>
      </c>
      <c r="AB79" s="193">
        <f t="array" ref="AB79">SUM(AB15:AC15*AB27:AC27)/AB32</f>
        <v>0.41945421589656129</v>
      </c>
      <c r="AD79" s="193">
        <f t="array" ref="AD79">SUM(AD15:AE15*AD27:AE27)/AD32</f>
        <v>0.4157320671282041</v>
      </c>
      <c r="AF79" s="193">
        <f t="array" ref="AF79">SUM(AF15:AG15*AF27:AG27)/AF32</f>
        <v>0.41179899950480808</v>
      </c>
      <c r="AH79" s="193">
        <f t="array" ref="AH79">SUM(AH15:AI15*AH27:AI27)/AH32</f>
        <v>0.40768012741784204</v>
      </c>
      <c r="AJ79" s="193">
        <f t="array" ref="AJ79">SUM(AJ15:AK15*AJ27:AK27)/AJ32</f>
        <v>0.40342726015051888</v>
      </c>
      <c r="AL79" s="193">
        <f t="array" ref="AL79">SUM(AL15:AM15*AL27:AM27)/AL32</f>
        <v>0.39911604861931188</v>
      </c>
      <c r="AN79" s="193">
        <f t="array" ref="AN79">SUM(AN15:AO15*AN27:AO27)/AN32</f>
        <v>0.39483416612726407</v>
      </c>
      <c r="AP79" s="193">
        <f t="array" ref="AP79">SUM(AP15:AQ15*AP27:AQ27)/AP32</f>
        <v>0.39398889743415505</v>
      </c>
      <c r="AR79" s="193">
        <f t="array" ref="AR79">SUM(AR15:AS15*AR27:AS27)/AR32</f>
        <v>0.39314879130920954</v>
      </c>
      <c r="AT79" s="193">
        <f t="array" ref="AT79">SUM(AT15:AU15*AT27:AU27)/AT32</f>
        <v>0.3923144039195855</v>
      </c>
      <c r="AV79" s="193">
        <f t="array" ref="AV79">SUM(AV15:AW15*AV27:AW27)/AV32</f>
        <v>0.39148627037407596</v>
      </c>
      <c r="XFD79" s="193"/>
    </row>
    <row r="80" spans="1:48 16384:16384" x14ac:dyDescent="0.2">
      <c r="A80" t="s">
        <v>169</v>
      </c>
      <c r="B80" s="236">
        <f>B55</f>
        <v>0.19850271905982084</v>
      </c>
      <c r="D80" s="236">
        <f>D55</f>
        <v>0.2016336124286093</v>
      </c>
      <c r="F80" s="236">
        <f>F55</f>
        <v>0.20483212433895531</v>
      </c>
      <c r="H80" s="236">
        <f>H55</f>
        <v>0.20810670822734784</v>
      </c>
      <c r="J80" s="236">
        <f>J55</f>
        <v>0.21146694986471884</v>
      </c>
      <c r="L80" s="236">
        <f>L55</f>
        <v>0.21492374559307978</v>
      </c>
      <c r="N80" s="236">
        <f>N55</f>
        <v>0.2184894124965982</v>
      </c>
      <c r="P80" s="236">
        <f>P55</f>
        <v>0.22217789600679091</v>
      </c>
      <c r="R80" s="236">
        <f>R55</f>
        <v>0.2260047785241332</v>
      </c>
      <c r="T80" s="236">
        <f>T55</f>
        <v>0.22998720653678414</v>
      </c>
      <c r="V80" s="236">
        <f>V55</f>
        <v>0.23414349923313199</v>
      </c>
      <c r="X80" s="236">
        <f>X55</f>
        <v>0.2384921534235426</v>
      </c>
      <c r="Z80" s="236">
        <f>Z55</f>
        <v>0.24304976829554228</v>
      </c>
      <c r="AB80" s="236">
        <f>AB55</f>
        <v>0.24782757499502417</v>
      </c>
      <c r="AD80" s="236">
        <f>AD55</f>
        <v>0.25282588099878889</v>
      </c>
      <c r="AF80" s="236">
        <f>AF55</f>
        <v>0.25802680879493267</v>
      </c>
      <c r="AH80" s="236">
        <f>AH55</f>
        <v>0.26338725049128558</v>
      </c>
      <c r="AJ80" s="236">
        <f>AJ55</f>
        <v>0.26883579051912188</v>
      </c>
      <c r="AL80" s="236">
        <f>AL55</f>
        <v>0.27427839812908172</v>
      </c>
      <c r="AN80" s="236">
        <f>AN55</f>
        <v>0.27961317965043514</v>
      </c>
      <c r="AP80" s="236">
        <f>AP55</f>
        <v>0.280658831711671</v>
      </c>
      <c r="AR80" s="236">
        <f>AR55</f>
        <v>0.28169580914281189</v>
      </c>
      <c r="AT80" s="236">
        <f>AT55</f>
        <v>0.28272350740171115</v>
      </c>
      <c r="AV80" s="236">
        <f>AV55</f>
        <v>0.28374143514646771</v>
      </c>
      <c r="XFD80" s="236"/>
    </row>
    <row r="81" spans="1:48 16384:16384" x14ac:dyDescent="0.2">
      <c r="A81" t="s">
        <v>191</v>
      </c>
      <c r="B81" s="236">
        <f>B51/B$32</f>
        <v>-2.7543485504603994E-2</v>
      </c>
      <c r="D81" s="236">
        <f>D51/D$32</f>
        <v>-2.4412592135815519E-2</v>
      </c>
      <c r="F81" s="236">
        <f>F51/F$32</f>
        <v>-2.1214080225469539E-2</v>
      </c>
      <c r="H81" s="236">
        <f>H51/H$32</f>
        <v>-1.7939496337077001E-2</v>
      </c>
      <c r="J81" s="236">
        <f>J51/J$32</f>
        <v>-1.4579254699705991E-2</v>
      </c>
      <c r="L81" s="236">
        <f>L51/L$32</f>
        <v>-1.1122458971345065E-2</v>
      </c>
      <c r="N81" s="236">
        <f>N51/N$32</f>
        <v>-7.5567920678266572E-3</v>
      </c>
      <c r="P81" s="236">
        <f>P51/P$32</f>
        <v>-3.8683085576339143E-3</v>
      </c>
      <c r="R81" s="236">
        <f>R51/R$32</f>
        <v>-4.1426040291645365E-5</v>
      </c>
      <c r="T81" s="236">
        <f>T51/T$32</f>
        <v>3.9410019723593089E-3</v>
      </c>
      <c r="V81" s="236">
        <f>V51/V$32</f>
        <v>8.097294668707157E-3</v>
      </c>
      <c r="X81" s="236">
        <f>X51/X$32</f>
        <v>1.2445948859117775E-2</v>
      </c>
      <c r="Z81" s="236">
        <f>Z51/Z$32</f>
        <v>1.7003563731117468E-2</v>
      </c>
      <c r="AB81" s="236">
        <f>AB51/AB$32</f>
        <v>2.1781370430599335E-2</v>
      </c>
      <c r="AD81" s="236">
        <f>AD51/AD$32</f>
        <v>2.6779676434364012E-2</v>
      </c>
      <c r="AF81" s="236">
        <f>AF51/AF$32</f>
        <v>3.1980604230507824E-2</v>
      </c>
      <c r="AH81" s="236">
        <f>AH51/AH$32</f>
        <v>3.734104592686073E-2</v>
      </c>
      <c r="AJ81" s="236">
        <f>AJ51/AJ$32</f>
        <v>4.2789585954697062E-2</v>
      </c>
      <c r="AL81" s="236">
        <f>AL51/AL$32</f>
        <v>4.8232193564656883E-2</v>
      </c>
      <c r="AN81" s="236">
        <f>AN51/AN$32</f>
        <v>5.3566975086010285E-2</v>
      </c>
      <c r="AP81" s="236">
        <f>AP51/AP$32</f>
        <v>5.461262714724615E-2</v>
      </c>
      <c r="AR81" s="236">
        <f>AR51/AR$32</f>
        <v>5.5649604578387066E-2</v>
      </c>
      <c r="AT81" s="236">
        <f>AT51/AT$32</f>
        <v>5.6677302837286322E-2</v>
      </c>
      <c r="AV81" s="236">
        <f>AV51/AV$32</f>
        <v>5.7695230582042886E-2</v>
      </c>
      <c r="XFD81" s="236"/>
    </row>
    <row r="82" spans="1:48 16384:16384" x14ac:dyDescent="0.2">
      <c r="A82" t="s">
        <v>192</v>
      </c>
      <c r="B82" s="236">
        <f>B52/B$32</f>
        <v>0.13907860278212886</v>
      </c>
      <c r="D82" s="236">
        <f>D52/D$32</f>
        <v>0.13871834333701355</v>
      </c>
      <c r="F82" s="236">
        <f>F52/F$32</f>
        <v>0.13834673208435253</v>
      </c>
      <c r="H82" s="236">
        <f>H52/H$32</f>
        <v>0.13796311526597094</v>
      </c>
      <c r="J82" s="236">
        <f>J52/J$32</f>
        <v>0.13756685461601215</v>
      </c>
      <c r="L82" s="236">
        <f>L52/L$32</f>
        <v>0.13715737156582899</v>
      </c>
      <c r="N82" s="236">
        <f>N52/N$32</f>
        <v>0.13673414060063202</v>
      </c>
      <c r="P82" s="236">
        <f>P52/P$32</f>
        <v>0.13629680666095853</v>
      </c>
      <c r="R82" s="236">
        <f>R52/R$32</f>
        <v>0.135845199272807</v>
      </c>
      <c r="T82" s="236">
        <f>T52/T$32</f>
        <v>0.1353794608239445</v>
      </c>
      <c r="V82" s="236">
        <f>V52/V$32</f>
        <v>0.13490017787891787</v>
      </c>
      <c r="X82" s="236">
        <f>X52/X$32</f>
        <v>0.134408561906214</v>
      </c>
      <c r="Z82" s="236">
        <f>Z52/Z$32</f>
        <v>0.13390666293503914</v>
      </c>
      <c r="AB82" s="236">
        <f>AB52/AB$32</f>
        <v>0.13339763595849291</v>
      </c>
      <c r="AD82" s="236">
        <f>AD52/AD$32</f>
        <v>0.13288597980438796</v>
      </c>
      <c r="AF82" s="236">
        <f>AF52/AF$32</f>
        <v>0.13237764808318775</v>
      </c>
      <c r="AH82" s="236">
        <f>AH52/AH$32</f>
        <v>0.13187986476954039</v>
      </c>
      <c r="AJ82" s="236">
        <f>AJ52/AJ$32</f>
        <v>0.13140048016401662</v>
      </c>
      <c r="AL82" s="236">
        <f>AL52/AL$32</f>
        <v>0.13094686840515479</v>
      </c>
      <c r="AN82" s="236">
        <f>AN52/AN$32</f>
        <v>0.13052471500423163</v>
      </c>
      <c r="AP82" s="236">
        <f>AP52/AP$32</f>
        <v>0.13044438758675578</v>
      </c>
      <c r="AR82" s="236">
        <f>AR52/AR$32</f>
        <v>0.1303654667701242</v>
      </c>
      <c r="AT82" s="236">
        <f>AT52/AT$32</f>
        <v>0.13028796242016485</v>
      </c>
      <c r="AV82" s="236">
        <f>AV52/AV$32</f>
        <v>0.13021188112003626</v>
      </c>
    </row>
    <row r="83" spans="1:48 16384:16384" x14ac:dyDescent="0.2">
      <c r="A83" t="s">
        <v>193</v>
      </c>
      <c r="B83" s="236">
        <f>B53/B$32</f>
        <v>0.18600714462929877</v>
      </c>
      <c r="D83" s="236">
        <f>D53/D$32</f>
        <v>0.1850937682109442</v>
      </c>
      <c r="F83" s="236">
        <f>F53/F$32</f>
        <v>0.18416431104093836</v>
      </c>
      <c r="H83" s="236">
        <f>H53/H$32</f>
        <v>0.18321597958791405</v>
      </c>
      <c r="J83" s="236">
        <f>J53/J$32</f>
        <v>0.18224549212495164</v>
      </c>
      <c r="L83" s="236">
        <f>L53/L$32</f>
        <v>0.18124901402915713</v>
      </c>
      <c r="N83" s="236">
        <f>N53/N$32</f>
        <v>0.18022198730659683</v>
      </c>
      <c r="P83" s="236">
        <f>P53/P$32</f>
        <v>0.17915912084921776</v>
      </c>
      <c r="R83" s="236">
        <f>R53/R$32</f>
        <v>0.17805419648227266</v>
      </c>
      <c r="T83" s="236">
        <f>T53/T$32</f>
        <v>0.17690004498968226</v>
      </c>
      <c r="V83" s="236">
        <f>V53/V$32</f>
        <v>0.17568857468910079</v>
      </c>
      <c r="X83" s="236">
        <f>X53/X$32</f>
        <v>0.17441100122211997</v>
      </c>
      <c r="Z83" s="236">
        <f>Z53/Z$32</f>
        <v>0.17305841616806705</v>
      </c>
      <c r="AB83" s="236">
        <f>AB53/AB$32</f>
        <v>0.17162300560514437</v>
      </c>
      <c r="AD83" s="236">
        <f>AD53/AD$32</f>
        <v>0.17010005903618564</v>
      </c>
      <c r="AF83" s="236">
        <f>AF53/AF$32</f>
        <v>0.16849081335168889</v>
      </c>
      <c r="AH83" s="236">
        <f>AH53/AH$32</f>
        <v>0.1668055443032963</v>
      </c>
      <c r="AJ83" s="236">
        <f>AJ53/AJ$32</f>
        <v>0.16506545006846396</v>
      </c>
      <c r="AL83" s="236">
        <f>AL53/AL$32</f>
        <v>0.16330148381721579</v>
      </c>
      <c r="AN83" s="236">
        <f>AN53/AN$32</f>
        <v>0.16154951777400284</v>
      </c>
      <c r="AP83" s="236">
        <f>AP53/AP$32</f>
        <v>0.16120366941163691</v>
      </c>
      <c r="AR83" s="236">
        <f>AR53/AR$32</f>
        <v>0.16085993335481302</v>
      </c>
      <c r="AT83" s="236">
        <f>AT53/AT$32</f>
        <v>0.16051853716371689</v>
      </c>
      <c r="AV83" s="236">
        <f>AV53/AV$32</f>
        <v>0.16017969978233781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c r="AL1" s="94"/>
      <c r="AN1" s="94"/>
      <c r="AP1" s="94"/>
      <c r="AR1" s="94"/>
      <c r="AT1" s="94"/>
      <c r="AV1" s="94"/>
    </row>
    <row r="2" spans="1:49" x14ac:dyDescent="0.2">
      <c r="A2" s="229" t="s">
        <v>155</v>
      </c>
      <c r="B2" s="226">
        <v>5.7716594496607888E-3</v>
      </c>
      <c r="C2" s="227"/>
      <c r="D2" s="226">
        <v>4.1810181887575598E-2</v>
      </c>
      <c r="E2" s="227"/>
      <c r="F2" s="226">
        <v>8.0282974727649892E-2</v>
      </c>
      <c r="G2" s="227"/>
      <c r="H2" s="226">
        <v>0.12138005459233639</v>
      </c>
      <c r="I2" s="227"/>
      <c r="J2" s="226">
        <v>0.16529427279745385</v>
      </c>
      <c r="K2" s="227"/>
      <c r="L2" s="226">
        <v>0.2122138659141381</v>
      </c>
      <c r="M2" s="227"/>
      <c r="N2" s="226">
        <v>0.26231828933534379</v>
      </c>
      <c r="O2" s="227"/>
      <c r="P2" s="226">
        <v>0.315776995114318</v>
      </c>
      <c r="Q2" s="227"/>
      <c r="R2" s="226">
        <v>0.37276483045308589</v>
      </c>
      <c r="S2" s="227"/>
      <c r="T2" s="226">
        <v>0.43351972303942038</v>
      </c>
      <c r="U2" s="227"/>
      <c r="V2" s="226">
        <v>0.49850833147657081</v>
      </c>
      <c r="W2" s="227"/>
      <c r="X2" s="226">
        <v>0.56882911259150937</v>
      </c>
      <c r="Y2" s="227"/>
      <c r="Z2" s="226">
        <v>0.64713062732548876</v>
      </c>
      <c r="AA2" s="227"/>
      <c r="AB2" s="226">
        <v>0.73962980364884123</v>
      </c>
      <c r="AC2" s="227"/>
      <c r="AD2" s="226">
        <v>0.86051490788699647</v>
      </c>
      <c r="AE2" s="227"/>
      <c r="AF2" s="226">
        <v>1.0422079061314948</v>
      </c>
      <c r="AG2" s="227"/>
      <c r="AH2" s="226">
        <v>1.3640579674302087</v>
      </c>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999.33030227674442</v>
      </c>
      <c r="E3" s="85">
        <v>1017.536773318029</v>
      </c>
      <c r="F3" s="84">
        <v>999.04186252473176</v>
      </c>
      <c r="G3" s="85">
        <v>1036.7862766776184</v>
      </c>
      <c r="H3" s="84">
        <v>999.23334719800357</v>
      </c>
      <c r="I3" s="85">
        <v>1057.9676964351693</v>
      </c>
      <c r="J3" s="84">
        <v>1000.0360220231025</v>
      </c>
      <c r="K3" s="85">
        <v>1081.3372578191372</v>
      </c>
      <c r="L3" s="84">
        <v>1001.6285308515206</v>
      </c>
      <c r="M3" s="85">
        <v>1107.1989671231106</v>
      </c>
      <c r="N3" s="84">
        <v>1004.2562821826147</v>
      </c>
      <c r="O3" s="85">
        <v>1135.9212481417997</v>
      </c>
      <c r="P3" s="84">
        <v>1008.2613095120061</v>
      </c>
      <c r="Q3" s="85">
        <v>1167.9648423272565</v>
      </c>
      <c r="R3" s="84">
        <v>1014.1271850350697</v>
      </c>
      <c r="S3" s="85">
        <v>1203.9330516519792</v>
      </c>
      <c r="T3" s="84">
        <v>1022.5489273069337</v>
      </c>
      <c r="U3" s="85">
        <v>1244.6667423754466</v>
      </c>
      <c r="V3" s="84">
        <v>1034.5387084687595</v>
      </c>
      <c r="W3" s="85">
        <v>1291.4260226534327</v>
      </c>
      <c r="X3" s="84">
        <v>1051.5936128441797</v>
      </c>
      <c r="Y3" s="85">
        <v>1346.2453578254681</v>
      </c>
      <c r="Z3" s="84">
        <v>1075.9568655857661</v>
      </c>
      <c r="AA3" s="85">
        <v>1412.6247740744434</v>
      </c>
      <c r="AB3" s="84">
        <v>1111.0375601861806</v>
      </c>
      <c r="AC3" s="85">
        <v>1496.8874334246984</v>
      </c>
      <c r="AD3" s="84">
        <v>1162.1366012314943</v>
      </c>
      <c r="AE3" s="85">
        <v>1610.9224259809193</v>
      </c>
      <c r="AF3" s="84">
        <v>1237.9748614321504</v>
      </c>
      <c r="AG3" s="85">
        <v>1778.2859402234981</v>
      </c>
      <c r="AH3" s="84">
        <v>1354.8108303554945</v>
      </c>
      <c r="AI3" s="85">
        <v>2050.6088739874153</v>
      </c>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c r="AK4" s="102"/>
      <c r="AL4" s="101"/>
      <c r="AM4" s="102"/>
      <c r="AN4" s="101"/>
      <c r="AO4" s="102"/>
      <c r="AP4" s="101"/>
      <c r="AQ4" s="102"/>
      <c r="AR4" s="101"/>
      <c r="AS4" s="102"/>
      <c r="AT4" s="101"/>
      <c r="AU4" s="102"/>
      <c r="AV4" s="101"/>
      <c r="AW4" s="102"/>
    </row>
    <row r="5" spans="1:49" x14ac:dyDescent="0.2">
      <c r="A5" t="s">
        <v>128</v>
      </c>
      <c r="B5" s="41">
        <v>1000</v>
      </c>
      <c r="C5" s="42">
        <v>1000</v>
      </c>
      <c r="D5" s="41">
        <v>999.29719248215702</v>
      </c>
      <c r="E5" s="42">
        <v>1015.2680186396296</v>
      </c>
      <c r="F5" s="41">
        <v>998.99443075055797</v>
      </c>
      <c r="G5" s="42">
        <v>1031.7304842468125</v>
      </c>
      <c r="H5" s="41">
        <v>999.19542665355698</v>
      </c>
      <c r="I5" s="42">
        <v>1049.4884554537666</v>
      </c>
      <c r="J5" s="41">
        <v>1000.0377968362527</v>
      </c>
      <c r="K5" s="42">
        <v>1068.6514712238538</v>
      </c>
      <c r="L5" s="41">
        <v>1001.7082232707198</v>
      </c>
      <c r="M5" s="42">
        <v>1089.3378361329048</v>
      </c>
      <c r="N5" s="41">
        <v>1004.4621174627978</v>
      </c>
      <c r="O5" s="42">
        <v>1111.6784575225156</v>
      </c>
      <c r="P5" s="41">
        <v>1008.6536408092879</v>
      </c>
      <c r="Q5" s="42">
        <v>1135.8244879804154</v>
      </c>
      <c r="R5" s="41">
        <v>1014.780280323827</v>
      </c>
      <c r="S5" s="42">
        <v>1161.9637804934607</v>
      </c>
      <c r="T5" s="41">
        <v>1023.551144545562</v>
      </c>
      <c r="U5" s="42">
        <v>1190.355516313939</v>
      </c>
      <c r="V5" s="41">
        <v>1035.9879697880638</v>
      </c>
      <c r="W5" s="42">
        <v>1221.3949839923202</v>
      </c>
      <c r="X5" s="41">
        <v>1053.5812735911738</v>
      </c>
      <c r="Y5" s="42">
        <v>1255.7280523383538</v>
      </c>
      <c r="Z5" s="41">
        <v>1078.5249163564299</v>
      </c>
      <c r="AA5" s="42">
        <v>1294.4359579592613</v>
      </c>
      <c r="AB5" s="41">
        <v>1114.0772388083351</v>
      </c>
      <c r="AC5" s="42">
        <v>1339.2764367593352</v>
      </c>
      <c r="AD5" s="41">
        <v>1165.1614862911358</v>
      </c>
      <c r="AE5" s="42">
        <v>1392.8686416040523</v>
      </c>
      <c r="AF5" s="41">
        <v>1239.615061794565</v>
      </c>
      <c r="AG5" s="42">
        <v>1458.4495386435692</v>
      </c>
      <c r="AH5" s="41">
        <v>1351.5735502494533</v>
      </c>
      <c r="AI5" s="42">
        <v>1538.2988897662096</v>
      </c>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999.24347478306072</v>
      </c>
      <c r="E6" s="42">
        <v>1018.9040932754468</v>
      </c>
      <c r="F6" s="41">
        <v>998.91759776248023</v>
      </c>
      <c r="G6" s="42">
        <v>1039.5982966518188</v>
      </c>
      <c r="H6" s="41">
        <v>999.13393840530409</v>
      </c>
      <c r="I6" s="42">
        <v>1062.3068345410275</v>
      </c>
      <c r="J6" s="41">
        <v>1000.0406886183</v>
      </c>
      <c r="K6" s="42">
        <v>1087.2916055542678</v>
      </c>
      <c r="L6" s="41">
        <v>1001.8391258624355</v>
      </c>
      <c r="M6" s="42">
        <v>1114.8632638286506</v>
      </c>
      <c r="N6" s="41">
        <v>1004.8050654551361</v>
      </c>
      <c r="O6" s="42">
        <v>1145.3984285971783</v>
      </c>
      <c r="P6" s="41">
        <v>1009.3217312164874</v>
      </c>
      <c r="Q6" s="42">
        <v>1179.3686065467416</v>
      </c>
      <c r="R6" s="41">
        <v>1015.9288335954999</v>
      </c>
      <c r="S6" s="42">
        <v>1217.3923256642147</v>
      </c>
      <c r="T6" s="41">
        <v>1025.3983300402883</v>
      </c>
      <c r="U6" s="42">
        <v>1260.3336838503656</v>
      </c>
      <c r="V6" s="41">
        <v>1038.8476275237565</v>
      </c>
      <c r="W6" s="42">
        <v>1309.4905150075904</v>
      </c>
      <c r="X6" s="41">
        <v>1057.9170775369591</v>
      </c>
      <c r="Y6" s="42">
        <v>1366.961466237037</v>
      </c>
      <c r="Z6" s="41">
        <v>1085.0420861271423</v>
      </c>
      <c r="AA6" s="42">
        <v>1436.3586768542441</v>
      </c>
      <c r="AB6" s="41">
        <v>1123.8839916501481</v>
      </c>
      <c r="AC6" s="42">
        <v>1524.2037538386435</v>
      </c>
      <c r="AD6" s="41">
        <v>1180.0695457829634</v>
      </c>
      <c r="AE6" s="42">
        <v>1642.7409208447962</v>
      </c>
      <c r="AF6" s="41">
        <v>1262.7591112607449</v>
      </c>
      <c r="AG6" s="42">
        <v>1816.1852621690039</v>
      </c>
      <c r="AH6" s="41">
        <v>1388.9243144258817</v>
      </c>
      <c r="AI6" s="42">
        <v>2097.5268550588485</v>
      </c>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1015.1976921747919</v>
      </c>
      <c r="E7" s="34">
        <v>1015.1976921747919</v>
      </c>
      <c r="F7" s="33">
        <v>1014.8901129946336</v>
      </c>
      <c r="G7" s="34">
        <v>1014.8901129946336</v>
      </c>
      <c r="H7" s="33">
        <v>1015.0943070806335</v>
      </c>
      <c r="I7" s="34">
        <v>1015.0943070806335</v>
      </c>
      <c r="J7" s="33">
        <v>1015.9500807902597</v>
      </c>
      <c r="K7" s="34">
        <v>1015.9500807902597</v>
      </c>
      <c r="L7" s="33">
        <v>1017.6470865198631</v>
      </c>
      <c r="M7" s="34">
        <v>1017.6470865198631</v>
      </c>
      <c r="N7" s="33">
        <v>1020.4447998020817</v>
      </c>
      <c r="O7" s="34">
        <v>1020.4447998020817</v>
      </c>
      <c r="P7" s="33">
        <v>1024.7030173374317</v>
      </c>
      <c r="Q7" s="34">
        <v>1024.7030173374317</v>
      </c>
      <c r="R7" s="33">
        <v>1030.92714199498</v>
      </c>
      <c r="S7" s="34">
        <v>1030.92714199498</v>
      </c>
      <c r="T7" s="33">
        <v>1039.8375654238368</v>
      </c>
      <c r="U7" s="34">
        <v>1039.8375654238368</v>
      </c>
      <c r="V7" s="33">
        <v>1052.4722814814368</v>
      </c>
      <c r="W7" s="34">
        <v>1052.4722814814368</v>
      </c>
      <c r="X7" s="33">
        <v>1070.34552434954</v>
      </c>
      <c r="Y7" s="34">
        <v>1070.34552434954</v>
      </c>
      <c r="Z7" s="33">
        <v>1095.6860624399367</v>
      </c>
      <c r="AA7" s="34">
        <v>1095.6860624399367</v>
      </c>
      <c r="AB7" s="33">
        <v>1131.804082160354</v>
      </c>
      <c r="AC7" s="34">
        <v>1131.804082160354</v>
      </c>
      <c r="AD7" s="33">
        <v>1183.7011659720361</v>
      </c>
      <c r="AE7" s="34">
        <v>1183.7011659720361</v>
      </c>
      <c r="AF7" s="33">
        <v>1259.3394231330483</v>
      </c>
      <c r="AG7" s="34">
        <v>1259.3394231330483</v>
      </c>
      <c r="AH7" s="33">
        <v>1373.0793595141968</v>
      </c>
      <c r="AI7" s="34">
        <v>1373.0793595141968</v>
      </c>
      <c r="AJ7" s="33"/>
      <c r="AK7" s="34"/>
      <c r="AL7" s="33"/>
      <c r="AM7" s="34"/>
      <c r="AN7" s="33"/>
      <c r="AO7" s="34"/>
      <c r="AP7" s="33"/>
      <c r="AQ7" s="34"/>
      <c r="AR7" s="33"/>
      <c r="AS7" s="34"/>
      <c r="AT7" s="33"/>
      <c r="AU7" s="34"/>
      <c r="AV7" s="33"/>
      <c r="AW7" s="34"/>
    </row>
    <row r="8" spans="1:49" x14ac:dyDescent="0.2">
      <c r="B8" s="35">
        <v>1005.7716594496609</v>
      </c>
      <c r="C8" s="36">
        <v>1005.7716594496609</v>
      </c>
      <c r="D8" s="35">
        <v>1057.716559163591</v>
      </c>
      <c r="E8" s="36">
        <v>1057.716559163591</v>
      </c>
      <c r="F8" s="35">
        <v>1114.5608766393452</v>
      </c>
      <c r="G8" s="36">
        <v>1114.5608766393452</v>
      </c>
      <c r="H8" s="35">
        <v>1176.8754214707717</v>
      </c>
      <c r="I8" s="36">
        <v>1176.8754214707717</v>
      </c>
      <c r="J8" s="35">
        <v>1245.2934390337298</v>
      </c>
      <c r="K8" s="36">
        <v>1245.2934390337298</v>
      </c>
      <c r="L8" s="35">
        <v>1320.5104296252105</v>
      </c>
      <c r="M8" s="36">
        <v>1320.5104296252105</v>
      </c>
      <c r="N8" s="35">
        <v>1403.2920487907754</v>
      </c>
      <c r="O8" s="36">
        <v>1403.2920487907754</v>
      </c>
      <c r="P8" s="35">
        <v>1494.4917317721299</v>
      </c>
      <c r="Q8" s="36">
        <v>1494.4917317721299</v>
      </c>
      <c r="R8" s="35">
        <v>1595.1030121217325</v>
      </c>
      <c r="S8" s="36">
        <v>1595.1030121217325</v>
      </c>
      <c r="T8" s="35">
        <v>1706.3981100648041</v>
      </c>
      <c r="U8" s="36">
        <v>1706.3981100648041</v>
      </c>
      <c r="V8" s="35">
        <v>1830.2705595361847</v>
      </c>
      <c r="W8" s="36">
        <v>1830.2705595361847</v>
      </c>
      <c r="X8" s="35">
        <v>1970.0227260062441</v>
      </c>
      <c r="Y8" s="36">
        <v>1970.0227260062441</v>
      </c>
      <c r="Z8" s="35">
        <v>2132.1051114661077</v>
      </c>
      <c r="AA8" s="36">
        <v>2132.1051114661077</v>
      </c>
      <c r="AB8" s="35">
        <v>2329.8452047111618</v>
      </c>
      <c r="AC8" s="36">
        <v>2329.8452047111618</v>
      </c>
      <c r="AD8" s="35">
        <v>2591.4528724326492</v>
      </c>
      <c r="AE8" s="36">
        <v>2591.4528724326492</v>
      </c>
      <c r="AF8" s="35">
        <v>2978.4571785117278</v>
      </c>
      <c r="AG8" s="36">
        <v>2978.4571785117278</v>
      </c>
      <c r="AH8" s="35">
        <v>3636.6277466408524</v>
      </c>
      <c r="AI8" s="36">
        <v>3636.6277466408524</v>
      </c>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1015.1976921747919</v>
      </c>
      <c r="E9" s="42">
        <v>1057.716559163591</v>
      </c>
      <c r="F9" s="41">
        <v>1014.8901129946336</v>
      </c>
      <c r="G9" s="42">
        <v>1114.5608766393452</v>
      </c>
      <c r="H9" s="41">
        <v>1015.0943070806335</v>
      </c>
      <c r="I9" s="42">
        <v>1176.8754214707717</v>
      </c>
      <c r="J9" s="41">
        <v>1015.9500807902597</v>
      </c>
      <c r="K9" s="42">
        <v>1245.2934390337298</v>
      </c>
      <c r="L9" s="41">
        <v>1017.6470865198631</v>
      </c>
      <c r="M9" s="42">
        <v>1320.5104296252105</v>
      </c>
      <c r="N9" s="41">
        <v>1020.4447998020817</v>
      </c>
      <c r="O9" s="42">
        <v>1403.2920487907754</v>
      </c>
      <c r="P9" s="41">
        <v>1024.7030173374317</v>
      </c>
      <c r="Q9" s="42">
        <v>1494.4917317721299</v>
      </c>
      <c r="R9" s="41">
        <v>1030.92714199498</v>
      </c>
      <c r="S9" s="42">
        <v>1595.1030121217325</v>
      </c>
      <c r="T9" s="41">
        <v>1039.8375654238368</v>
      </c>
      <c r="U9" s="42">
        <v>1706.3981100648041</v>
      </c>
      <c r="V9" s="41">
        <v>1052.4722814814368</v>
      </c>
      <c r="W9" s="42">
        <v>1830.2705595361847</v>
      </c>
      <c r="X9" s="41">
        <v>1070.34552434954</v>
      </c>
      <c r="Y9" s="42">
        <v>1970.0227260062441</v>
      </c>
      <c r="Z9" s="41">
        <v>1095.6860624399367</v>
      </c>
      <c r="AA9" s="42">
        <v>2132.1051114661077</v>
      </c>
      <c r="AB9" s="41">
        <v>1131.804082160354</v>
      </c>
      <c r="AC9" s="42">
        <v>2329.8452047111618</v>
      </c>
      <c r="AD9" s="41">
        <v>1183.7011659720361</v>
      </c>
      <c r="AE9" s="42">
        <v>2591.4528724326492</v>
      </c>
      <c r="AF9" s="41">
        <v>1259.3394231330483</v>
      </c>
      <c r="AG9" s="42">
        <v>2978.4571785117278</v>
      </c>
      <c r="AH9" s="41">
        <v>1373.0793595141968</v>
      </c>
      <c r="AI9" s="42">
        <v>3636.6277466408524</v>
      </c>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1015.1976921747919</v>
      </c>
      <c r="E10" s="42">
        <v>1057.716559163591</v>
      </c>
      <c r="F10" s="41">
        <v>1014.8901129946336</v>
      </c>
      <c r="G10" s="42">
        <v>1114.5608766393452</v>
      </c>
      <c r="H10" s="41">
        <v>1015.0943070806335</v>
      </c>
      <c r="I10" s="42">
        <v>1176.8754214707717</v>
      </c>
      <c r="J10" s="41">
        <v>1015.9500807902597</v>
      </c>
      <c r="K10" s="42">
        <v>1245.2934390337298</v>
      </c>
      <c r="L10" s="41">
        <v>1017.6470865198631</v>
      </c>
      <c r="M10" s="42">
        <v>1320.5104296252105</v>
      </c>
      <c r="N10" s="41">
        <v>1020.4447998020817</v>
      </c>
      <c r="O10" s="42">
        <v>1403.2920487907754</v>
      </c>
      <c r="P10" s="41">
        <v>1024.7030173374317</v>
      </c>
      <c r="Q10" s="42">
        <v>1494.4917317721299</v>
      </c>
      <c r="R10" s="41">
        <v>1030.92714199498</v>
      </c>
      <c r="S10" s="42">
        <v>1595.1030121217325</v>
      </c>
      <c r="T10" s="41">
        <v>1039.8375654238368</v>
      </c>
      <c r="U10" s="42">
        <v>1706.3981100648041</v>
      </c>
      <c r="V10" s="41">
        <v>1052.4722814814368</v>
      </c>
      <c r="W10" s="42">
        <v>1830.2705595361847</v>
      </c>
      <c r="X10" s="41">
        <v>1070.34552434954</v>
      </c>
      <c r="Y10" s="42">
        <v>1970.0227260062441</v>
      </c>
      <c r="Z10" s="41">
        <v>1095.6860624399367</v>
      </c>
      <c r="AA10" s="42">
        <v>2132.1051114661077</v>
      </c>
      <c r="AB10" s="41">
        <v>1131.804082160354</v>
      </c>
      <c r="AC10" s="42">
        <v>2329.8452047111618</v>
      </c>
      <c r="AD10" s="41">
        <v>1183.7011659720361</v>
      </c>
      <c r="AE10" s="42">
        <v>2591.4528724326492</v>
      </c>
      <c r="AF10" s="41">
        <v>1259.3394231330483</v>
      </c>
      <c r="AG10" s="42">
        <v>2978.4571785117278</v>
      </c>
      <c r="AH10" s="41">
        <v>1373.0793595141968</v>
      </c>
      <c r="AI10" s="42">
        <v>3636.6277466408524</v>
      </c>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1015.1976921747919</v>
      </c>
      <c r="E11" s="42">
        <v>1057.716559163591</v>
      </c>
      <c r="F11" s="41">
        <v>1014.8901129946336</v>
      </c>
      <c r="G11" s="42">
        <v>1114.5608766393452</v>
      </c>
      <c r="H11" s="41">
        <v>1015.0943070806335</v>
      </c>
      <c r="I11" s="42">
        <v>1176.8754214707717</v>
      </c>
      <c r="J11" s="41">
        <v>1015.9500807902597</v>
      </c>
      <c r="K11" s="42">
        <v>1245.2934390337298</v>
      </c>
      <c r="L11" s="41">
        <v>1017.6470865198631</v>
      </c>
      <c r="M11" s="42">
        <v>1320.5104296252105</v>
      </c>
      <c r="N11" s="41">
        <v>1020.4447998020817</v>
      </c>
      <c r="O11" s="42">
        <v>1403.2920487907754</v>
      </c>
      <c r="P11" s="41">
        <v>1024.7030173374317</v>
      </c>
      <c r="Q11" s="42">
        <v>1494.4917317721299</v>
      </c>
      <c r="R11" s="41">
        <v>1030.92714199498</v>
      </c>
      <c r="S11" s="42">
        <v>1595.1030121217325</v>
      </c>
      <c r="T11" s="41">
        <v>1039.8375654238368</v>
      </c>
      <c r="U11" s="42">
        <v>1706.3981100648041</v>
      </c>
      <c r="V11" s="41">
        <v>1052.4722814814368</v>
      </c>
      <c r="W11" s="42">
        <v>1830.2705595361847</v>
      </c>
      <c r="X11" s="41">
        <v>1070.34552434954</v>
      </c>
      <c r="Y11" s="42">
        <v>1970.0227260062441</v>
      </c>
      <c r="Z11" s="41">
        <v>1095.6860624399367</v>
      </c>
      <c r="AA11" s="42">
        <v>2132.1051114661077</v>
      </c>
      <c r="AB11" s="41">
        <v>1131.804082160354</v>
      </c>
      <c r="AC11" s="42">
        <v>2329.8452047111618</v>
      </c>
      <c r="AD11" s="41">
        <v>1183.7011659720361</v>
      </c>
      <c r="AE11" s="42">
        <v>2591.4528724326492</v>
      </c>
      <c r="AF11" s="41">
        <v>1259.3394231330483</v>
      </c>
      <c r="AG11" s="42">
        <v>2978.4571785117278</v>
      </c>
      <c r="AH11" s="41">
        <v>1373.0793595141968</v>
      </c>
      <c r="AI11" s="42">
        <v>3636.6277466408524</v>
      </c>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c r="AK12" s="42"/>
      <c r="AL12" s="41"/>
      <c r="AM12" s="42"/>
      <c r="AN12" s="41"/>
      <c r="AO12" s="42"/>
      <c r="AP12" s="41"/>
      <c r="AQ12" s="42"/>
      <c r="AR12" s="41"/>
      <c r="AS12" s="42"/>
      <c r="AT12" s="41"/>
      <c r="AU12" s="42"/>
      <c r="AV12" s="41"/>
      <c r="AW12" s="42"/>
    </row>
    <row r="13" spans="1:49" x14ac:dyDescent="0.2">
      <c r="A13" t="s">
        <v>17</v>
      </c>
      <c r="B13" s="97">
        <v>1000</v>
      </c>
      <c r="C13" s="98">
        <v>1000</v>
      </c>
      <c r="D13" s="97">
        <v>995.20216055852177</v>
      </c>
      <c r="E13" s="98">
        <v>995.20216055852177</v>
      </c>
      <c r="F13" s="97">
        <v>990.49794295947015</v>
      </c>
      <c r="G13" s="98">
        <v>990.49794295947015</v>
      </c>
      <c r="H13" s="97">
        <v>985.95717959594174</v>
      </c>
      <c r="I13" s="98">
        <v>985.95717959594174</v>
      </c>
      <c r="J13" s="97">
        <v>981.6793005506571</v>
      </c>
      <c r="K13" s="98">
        <v>981.6793005506571</v>
      </c>
      <c r="L13" s="97">
        <v>977.80806277522879</v>
      </c>
      <c r="M13" s="98">
        <v>977.80806277522879</v>
      </c>
      <c r="N13" s="97">
        <v>974.5505588596759</v>
      </c>
      <c r="O13" s="98">
        <v>974.5505588596759</v>
      </c>
      <c r="P13" s="97">
        <v>972.20661673015297</v>
      </c>
      <c r="Q13" s="98">
        <v>972.20661673015297</v>
      </c>
      <c r="R13" s="97">
        <v>971.21274051780642</v>
      </c>
      <c r="S13" s="98">
        <v>971.21274051780642</v>
      </c>
      <c r="T13" s="97">
        <v>972.20998469083247</v>
      </c>
      <c r="U13" s="98">
        <v>972.20998469083247</v>
      </c>
      <c r="V13" s="97">
        <v>976.1453901190855</v>
      </c>
      <c r="W13" s="98">
        <v>976.1453901190855</v>
      </c>
      <c r="X13" s="97">
        <v>984.43179669472386</v>
      </c>
      <c r="Y13" s="98">
        <v>984.43179669472386</v>
      </c>
      <c r="Z13" s="97">
        <v>999.19488446230525</v>
      </c>
      <c r="AA13" s="98">
        <v>999.19488446230525</v>
      </c>
      <c r="AB13" s="97">
        <v>1023.669171032044</v>
      </c>
      <c r="AC13" s="98">
        <v>1023.669171032044</v>
      </c>
      <c r="AD13" s="97">
        <v>1062.8836919512985</v>
      </c>
      <c r="AE13" s="98">
        <v>1062.8836919512985</v>
      </c>
      <c r="AF13" s="97">
        <v>1125.1158897097018</v>
      </c>
      <c r="AG13" s="98">
        <v>1125.1158897097018</v>
      </c>
      <c r="AH13" s="97">
        <v>1225.8758263256286</v>
      </c>
      <c r="AI13" s="98">
        <v>1225.8758263256286</v>
      </c>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1450.0129566459912</v>
      </c>
      <c r="E14" s="42">
        <v>1450.0129566459914</v>
      </c>
      <c r="F14" s="41">
        <v>1443.1588954915433</v>
      </c>
      <c r="G14" s="42">
        <v>1443.1588954915433</v>
      </c>
      <c r="H14" s="41">
        <v>1436.542987718107</v>
      </c>
      <c r="I14" s="42">
        <v>1436.5429877181073</v>
      </c>
      <c r="J14" s="41">
        <v>1430.3101032967691</v>
      </c>
      <c r="K14" s="42">
        <v>1430.3101032967693</v>
      </c>
      <c r="L14" s="41">
        <v>1424.6696965984172</v>
      </c>
      <c r="M14" s="42">
        <v>1424.6696965984174</v>
      </c>
      <c r="N14" s="41">
        <v>1419.9235022360317</v>
      </c>
      <c r="O14" s="42">
        <v>1419.9235022360319</v>
      </c>
      <c r="P14" s="41">
        <v>1416.5083705249738</v>
      </c>
      <c r="Q14" s="42">
        <v>1416.508370524974</v>
      </c>
      <c r="R14" s="41">
        <v>1415.0602894794142</v>
      </c>
      <c r="S14" s="42">
        <v>1415.0602894794145</v>
      </c>
      <c r="T14" s="41">
        <v>1416.5132776552196</v>
      </c>
      <c r="U14" s="42">
        <v>1416.5132776552198</v>
      </c>
      <c r="V14" s="41">
        <v>1422.2471768435207</v>
      </c>
      <c r="W14" s="42">
        <v>1422.2471768435207</v>
      </c>
      <c r="X14" s="41">
        <v>1434.3204996063741</v>
      </c>
      <c r="Y14" s="42">
        <v>1434.3204996063744</v>
      </c>
      <c r="Z14" s="41">
        <v>1455.8303690494643</v>
      </c>
      <c r="AA14" s="42">
        <v>1455.8303690494645</v>
      </c>
      <c r="AB14" s="41">
        <v>1491.4894884095665</v>
      </c>
      <c r="AC14" s="42">
        <v>1491.4894884095668</v>
      </c>
      <c r="AD14" s="41">
        <v>1548.6251797043612</v>
      </c>
      <c r="AE14" s="42">
        <v>1548.6251797043615</v>
      </c>
      <c r="AF14" s="41">
        <v>1639.2977049926883</v>
      </c>
      <c r="AG14" s="42">
        <v>1639.2977049926885</v>
      </c>
      <c r="AH14" s="41">
        <v>1786.1052777595396</v>
      </c>
      <c r="AI14" s="42">
        <v>1786.1052777595398</v>
      </c>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999.29719248215702</v>
      </c>
      <c r="E15" s="155">
        <v>999.29719248215702</v>
      </c>
      <c r="F15" s="154">
        <v>998.99443075055797</v>
      </c>
      <c r="G15" s="155">
        <v>998.99443075055797</v>
      </c>
      <c r="H15" s="154">
        <v>999.19542665355698</v>
      </c>
      <c r="I15" s="155">
        <v>999.19542665355698</v>
      </c>
      <c r="J15" s="154">
        <v>1000.0377968362527</v>
      </c>
      <c r="K15" s="155">
        <v>1000.0377968362527</v>
      </c>
      <c r="L15" s="154">
        <v>1001.7082232707198</v>
      </c>
      <c r="M15" s="155">
        <v>1001.7082232707198</v>
      </c>
      <c r="N15" s="154">
        <v>1004.4621174627978</v>
      </c>
      <c r="O15" s="155">
        <v>1004.4621174627978</v>
      </c>
      <c r="P15" s="154">
        <v>1008.6536408092879</v>
      </c>
      <c r="Q15" s="155">
        <v>1008.6536408092879</v>
      </c>
      <c r="R15" s="154">
        <v>1014.780280323827</v>
      </c>
      <c r="S15" s="155">
        <v>1014.780280323827</v>
      </c>
      <c r="T15" s="154">
        <v>1023.551144545562</v>
      </c>
      <c r="U15" s="155">
        <v>1023.551144545562</v>
      </c>
      <c r="V15" s="154">
        <v>1035.9879697880638</v>
      </c>
      <c r="W15" s="155">
        <v>1035.9879697880638</v>
      </c>
      <c r="X15" s="154">
        <v>1053.5812735911738</v>
      </c>
      <c r="Y15" s="155">
        <v>1053.5812735911738</v>
      </c>
      <c r="Z15" s="154">
        <v>1078.5249163564299</v>
      </c>
      <c r="AA15" s="155">
        <v>1078.5249163564299</v>
      </c>
      <c r="AB15" s="154">
        <v>1114.0772388083351</v>
      </c>
      <c r="AC15" s="155">
        <v>1114.0772388083351</v>
      </c>
      <c r="AD15" s="154">
        <v>1165.1614862911358</v>
      </c>
      <c r="AE15" s="155">
        <v>1165.1614862911358</v>
      </c>
      <c r="AF15" s="154">
        <v>1239.615061794565</v>
      </c>
      <c r="AG15" s="155">
        <v>1239.615061794565</v>
      </c>
      <c r="AH15" s="154">
        <v>1351.5735502494533</v>
      </c>
      <c r="AI15" s="155">
        <v>1351.5735502494533</v>
      </c>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997.11326691944146</v>
      </c>
      <c r="E16" s="42">
        <v>998.12810661241497</v>
      </c>
      <c r="F16" s="41">
        <v>994.46175457446429</v>
      </c>
      <c r="G16" s="42">
        <v>996.5682028196145</v>
      </c>
      <c r="H16" s="41">
        <v>992.1307629335688</v>
      </c>
      <c r="I16" s="42">
        <v>995.41418807043374</v>
      </c>
      <c r="J16" s="41">
        <v>990.23712532168486</v>
      </c>
      <c r="K16" s="42">
        <v>994.79260677003333</v>
      </c>
      <c r="L16" s="41">
        <v>988.94412197676172</v>
      </c>
      <c r="M16" s="42">
        <v>994.87767881641219</v>
      </c>
      <c r="N16" s="41">
        <v>988.48077975044373</v>
      </c>
      <c r="O16" s="42">
        <v>995.91077069683536</v>
      </c>
      <c r="P16" s="41">
        <v>989.17154805795576</v>
      </c>
      <c r="Q16" s="42">
        <v>998.23023332215973</v>
      </c>
      <c r="R16" s="41">
        <v>991.48052898545893</v>
      </c>
      <c r="S16" s="42">
        <v>1002.3157938025012</v>
      </c>
      <c r="T16" s="41">
        <v>996.07955891431641</v>
      </c>
      <c r="U16" s="42">
        <v>1008.8567354451777</v>
      </c>
      <c r="V16" s="41">
        <v>1003.9494889294231</v>
      </c>
      <c r="W16" s="42">
        <v>1018.853045171471</v>
      </c>
      <c r="X16" s="41">
        <v>1016.5384156654202</v>
      </c>
      <c r="Y16" s="42">
        <v>1033.7726629041247</v>
      </c>
      <c r="Z16" s="41">
        <v>1036.0031890105874</v>
      </c>
      <c r="AA16" s="42">
        <v>1055.7897238823909</v>
      </c>
      <c r="AB16" s="41">
        <v>1065.5897721075487</v>
      </c>
      <c r="AC16" s="42">
        <v>1088.1559040023694</v>
      </c>
      <c r="AD16" s="41">
        <v>1110.2804183019532</v>
      </c>
      <c r="AE16" s="42">
        <v>1135.8257037773742</v>
      </c>
      <c r="AF16" s="41">
        <v>1178.1545940696635</v>
      </c>
      <c r="AG16" s="42">
        <v>1206.7651493931246</v>
      </c>
      <c r="AH16" s="41">
        <v>1284.0986815922824</v>
      </c>
      <c r="AI16" s="42">
        <v>1315.5094335150704</v>
      </c>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999.36109582021675</v>
      </c>
      <c r="E17" s="36">
        <v>1026.5205772009363</v>
      </c>
      <c r="F17" s="35">
        <v>999.08597197619849</v>
      </c>
      <c r="G17" s="36">
        <v>1055.5849543103943</v>
      </c>
      <c r="H17" s="35">
        <v>999.268609057135</v>
      </c>
      <c r="I17" s="36">
        <v>1087.5053229812693</v>
      </c>
      <c r="J17" s="35">
        <v>1000.034369551707</v>
      </c>
      <c r="K17" s="36">
        <v>1122.6381689655555</v>
      </c>
      <c r="L17" s="35">
        <v>1001.5544287454818</v>
      </c>
      <c r="M17" s="36">
        <v>1161.3917279254933</v>
      </c>
      <c r="N17" s="35">
        <v>1004.0649194584846</v>
      </c>
      <c r="O17" s="36">
        <v>1204.2403248640771</v>
      </c>
      <c r="P17" s="35">
        <v>1007.8966540653281</v>
      </c>
      <c r="Q17" s="36">
        <v>1251.7493906427487</v>
      </c>
      <c r="R17" s="35">
        <v>1013.5203719332318</v>
      </c>
      <c r="S17" s="36">
        <v>1304.6260215499467</v>
      </c>
      <c r="T17" s="35">
        <v>1021.6181540731784</v>
      </c>
      <c r="U17" s="36">
        <v>1363.8254173560254</v>
      </c>
      <c r="V17" s="35">
        <v>1033.1935268567536</v>
      </c>
      <c r="W17" s="36">
        <v>1430.7757616015178</v>
      </c>
      <c r="X17" s="35">
        <v>1049.7499137057985</v>
      </c>
      <c r="Y17" s="36">
        <v>1507.8504206925352</v>
      </c>
      <c r="Z17" s="35">
        <v>1073.5764057594054</v>
      </c>
      <c r="AA17" s="36">
        <v>1599.3453370254281</v>
      </c>
      <c r="AB17" s="35">
        <v>1108.2212477305525</v>
      </c>
      <c r="AC17" s="36">
        <v>1713.4872014236873</v>
      </c>
      <c r="AD17" s="35">
        <v>1159.3334932846226</v>
      </c>
      <c r="AE17" s="36">
        <v>1866.6274258133269</v>
      </c>
      <c r="AF17" s="35">
        <v>1236.4522967331363</v>
      </c>
      <c r="AG17" s="36">
        <v>2092.7647293649975</v>
      </c>
      <c r="AH17" s="35">
        <v>1357.8310591413506</v>
      </c>
      <c r="AI17" s="36">
        <v>2469.6029921295353</v>
      </c>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27593.058984618376</v>
      </c>
      <c r="E18" s="34">
        <v>1155.1414828827476</v>
      </c>
      <c r="F18" s="33">
        <v>27289.868759071695</v>
      </c>
      <c r="G18" s="34">
        <v>1073.9421390982845</v>
      </c>
      <c r="H18" s="33">
        <v>26940.080794666865</v>
      </c>
      <c r="I18" s="34">
        <v>993.25976655082047</v>
      </c>
      <c r="J18" s="33">
        <v>26534.818388253509</v>
      </c>
      <c r="K18" s="34">
        <v>913.20573882385122</v>
      </c>
      <c r="L18" s="33">
        <v>26063.339662684906</v>
      </c>
      <c r="M18" s="34">
        <v>833.91416087409459</v>
      </c>
      <c r="N18" s="33">
        <v>25512.833340270332</v>
      </c>
      <c r="O18" s="34">
        <v>755.54400071517841</v>
      </c>
      <c r="P18" s="33">
        <v>24868.306745444163</v>
      </c>
      <c r="Q18" s="34">
        <v>678.27937715841381</v>
      </c>
      <c r="R18" s="33">
        <v>24112.790284138926</v>
      </c>
      <c r="S18" s="34">
        <v>602.32509160716688</v>
      </c>
      <c r="T18" s="33">
        <v>23228.134232727174</v>
      </c>
      <c r="U18" s="34">
        <v>527.89843771688027</v>
      </c>
      <c r="V18" s="33">
        <v>22196.91061868368</v>
      </c>
      <c r="W18" s="34">
        <v>455.2055866641943</v>
      </c>
      <c r="X18" s="33">
        <v>21005.889187167344</v>
      </c>
      <c r="Y18" s="34">
        <v>384.4093664916262</v>
      </c>
      <c r="Z18" s="33">
        <v>19651.432160074422</v>
      </c>
      <c r="AA18" s="34">
        <v>315.60714888258104</v>
      </c>
      <c r="AB18" s="33">
        <v>18146.051079877121</v>
      </c>
      <c r="AC18" s="34">
        <v>248.86117484295494</v>
      </c>
      <c r="AD18" s="33">
        <v>16522.613103500902</v>
      </c>
      <c r="AE18" s="34">
        <v>184.4101239266848</v>
      </c>
      <c r="AF18" s="33">
        <v>14828.838048232787</v>
      </c>
      <c r="AG18" s="34">
        <v>123.26391767331282</v>
      </c>
      <c r="AH18" s="33">
        <v>13104.339777650155</v>
      </c>
      <c r="AI18" s="34">
        <v>68.391389990976506</v>
      </c>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1865.3694606504253</v>
      </c>
      <c r="E19" s="42">
        <v>265.2472880401566</v>
      </c>
      <c r="F19" s="41">
        <v>1843.5315380275269</v>
      </c>
      <c r="G19" s="42">
        <v>267.98571576629269</v>
      </c>
      <c r="H19" s="41">
        <v>1820.781107156243</v>
      </c>
      <c r="I19" s="42">
        <v>270.97777447975858</v>
      </c>
      <c r="J19" s="41">
        <v>1797.0218336477822</v>
      </c>
      <c r="K19" s="42">
        <v>274.18166183173287</v>
      </c>
      <c r="L19" s="41">
        <v>1772.1745206206385</v>
      </c>
      <c r="M19" s="42">
        <v>277.5336849068633</v>
      </c>
      <c r="N19" s="41">
        <v>1746.2028123260943</v>
      </c>
      <c r="O19" s="42">
        <v>280.94344112610253</v>
      </c>
      <c r="P19" s="41">
        <v>1719.1601783415504</v>
      </c>
      <c r="Q19" s="42">
        <v>284.29047499902157</v>
      </c>
      <c r="R19" s="41">
        <v>1691.2725771215605</v>
      </c>
      <c r="S19" s="42">
        <v>287.42579208579997</v>
      </c>
      <c r="T19" s="41">
        <v>1663.0847903611309</v>
      </c>
      <c r="U19" s="42">
        <v>290.18418539974681</v>
      </c>
      <c r="V19" s="41">
        <v>1635.7024198899157</v>
      </c>
      <c r="W19" s="42">
        <v>292.41426993559418</v>
      </c>
      <c r="X19" s="41">
        <v>1611.200340906086</v>
      </c>
      <c r="Y19" s="42">
        <v>294.03490366134525</v>
      </c>
      <c r="Z19" s="41">
        <v>1593.2673720221003</v>
      </c>
      <c r="AA19" s="42">
        <v>295.11155486492237</v>
      </c>
      <c r="AB19" s="41">
        <v>1588.2118496532391</v>
      </c>
      <c r="AC19" s="42">
        <v>295.90549098768469</v>
      </c>
      <c r="AD19" s="41">
        <v>1606.5440156793388</v>
      </c>
      <c r="AE19" s="42">
        <v>296.73310387212547</v>
      </c>
      <c r="AF19" s="41">
        <v>1665.9553463750321</v>
      </c>
      <c r="AG19" s="42">
        <v>297.24173530268291</v>
      </c>
      <c r="AH19" s="41">
        <v>1799.160851942891</v>
      </c>
      <c r="AI19" s="42">
        <v>294.30456241403942</v>
      </c>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26289.408745601759</v>
      </c>
      <c r="E20" s="83">
        <v>1338.1147774499941</v>
      </c>
      <c r="F20" s="82">
        <v>25997.388736418408</v>
      </c>
      <c r="G20" s="83">
        <v>1267.6876838999945</v>
      </c>
      <c r="H20" s="82">
        <v>25666.234243089802</v>
      </c>
      <c r="I20" s="83">
        <v>1197.2605903499946</v>
      </c>
      <c r="J20" s="82">
        <v>25288.659829967622</v>
      </c>
      <c r="K20" s="83">
        <v>1126.8334967999951</v>
      </c>
      <c r="L20" s="82">
        <v>24855.888982592362</v>
      </c>
      <c r="M20" s="83">
        <v>1056.4064032499953</v>
      </c>
      <c r="N20" s="82">
        <v>24357.507716632164</v>
      </c>
      <c r="O20" s="83">
        <v>985.97930969999561</v>
      </c>
      <c r="P20" s="82">
        <v>23781.405047850629</v>
      </c>
      <c r="Q20" s="83">
        <v>915.55221614999596</v>
      </c>
      <c r="R20" s="82">
        <v>23113.986656972495</v>
      </c>
      <c r="S20" s="83">
        <v>845.12512259999642</v>
      </c>
      <c r="T20" s="82">
        <v>22340.89574291608</v>
      </c>
      <c r="U20" s="83">
        <v>774.69802904999653</v>
      </c>
      <c r="V20" s="82">
        <v>21448.659828044631</v>
      </c>
      <c r="W20" s="83">
        <v>704.27093549999688</v>
      </c>
      <c r="X20" s="82">
        <v>20427.665980306741</v>
      </c>
      <c r="Y20" s="83">
        <v>633.84384194999723</v>
      </c>
      <c r="Z20" s="82">
        <v>19276.739775520531</v>
      </c>
      <c r="AA20" s="83">
        <v>563.41674839999746</v>
      </c>
      <c r="AB20" s="82">
        <v>18008.731337039932</v>
      </c>
      <c r="AC20" s="83">
        <v>492.98965484999781</v>
      </c>
      <c r="AD20" s="82">
        <v>16654.272912460241</v>
      </c>
      <c r="AE20" s="83">
        <v>422.56256129999809</v>
      </c>
      <c r="AF20" s="82">
        <v>15257.906802563046</v>
      </c>
      <c r="AG20" s="83">
        <v>352.13546774999827</v>
      </c>
      <c r="AH20" s="82">
        <v>13861.043122185827</v>
      </c>
      <c r="AI20" s="83">
        <v>281.70837419999856</v>
      </c>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24424.040278202378</v>
      </c>
      <c r="E21" s="83">
        <v>1073.0138560571622</v>
      </c>
      <c r="F21" s="82">
        <v>24153.859209143298</v>
      </c>
      <c r="G21" s="83">
        <v>1000.3155372262271</v>
      </c>
      <c r="H21" s="82">
        <v>23845.454406794022</v>
      </c>
      <c r="I21" s="83">
        <v>927.72951789411411</v>
      </c>
      <c r="J21" s="82">
        <v>23491.637999083287</v>
      </c>
      <c r="K21" s="83">
        <v>855.34608081655347</v>
      </c>
      <c r="L21" s="82">
        <v>23083.720009805107</v>
      </c>
      <c r="M21" s="83">
        <v>783.27972867920118</v>
      </c>
      <c r="N21" s="82">
        <v>22611.341999672393</v>
      </c>
      <c r="O21" s="83">
        <v>711.67247868953416</v>
      </c>
      <c r="P21" s="82">
        <v>22062.381089310871</v>
      </c>
      <c r="Q21" s="83">
        <v>640.69548296023095</v>
      </c>
      <c r="R21" s="82">
        <v>21423.100308941383</v>
      </c>
      <c r="S21" s="83">
        <v>570.54657660770374</v>
      </c>
      <c r="T21" s="82">
        <v>20678.758780483338</v>
      </c>
      <c r="U21" s="83">
        <v>501.44022808361865</v>
      </c>
      <c r="V21" s="82">
        <v>19815.082215652033</v>
      </c>
      <c r="W21" s="83">
        <v>433.58748668399687</v>
      </c>
      <c r="X21" s="82">
        <v>18820.951539161622</v>
      </c>
      <c r="Y21" s="83">
        <v>367.16510823917292</v>
      </c>
      <c r="Z21" s="82">
        <v>17692.564275264751</v>
      </c>
      <c r="AA21" s="83">
        <v>302.28890746724915</v>
      </c>
      <c r="AB21" s="82">
        <v>16438.445588362571</v>
      </c>
      <c r="AC21" s="83">
        <v>239.038867408459</v>
      </c>
      <c r="AD21" s="82">
        <v>15082.478348622724</v>
      </c>
      <c r="AE21" s="83">
        <v>177.65494588848816</v>
      </c>
      <c r="AF21" s="82">
        <v>13658.959648180651</v>
      </c>
      <c r="AG21" s="83">
        <v>119.11235328890349</v>
      </c>
      <c r="AH21" s="82">
        <v>12192.931060859666</v>
      </c>
      <c r="AI21" s="83">
        <v>66.290986329168774</v>
      </c>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6448.4624355331671</v>
      </c>
      <c r="E22" s="42">
        <v>363.45842648049461</v>
      </c>
      <c r="F22" s="41">
        <v>6354.0563815314363</v>
      </c>
      <c r="G22" s="42">
        <v>346.81775002687283</v>
      </c>
      <c r="H22" s="41">
        <v>6248.7849335379815</v>
      </c>
      <c r="I22" s="42">
        <v>329.97940860992486</v>
      </c>
      <c r="J22" s="41">
        <v>6130.7341604930152</v>
      </c>
      <c r="K22" s="42">
        <v>312.93695805323171</v>
      </c>
      <c r="L22" s="41">
        <v>5997.6158148341028</v>
      </c>
      <c r="M22" s="42">
        <v>295.68437464294317</v>
      </c>
      <c r="N22" s="41">
        <v>5846.7334711221838</v>
      </c>
      <c r="O22" s="42">
        <v>278.21628432981771</v>
      </c>
      <c r="P22" s="41">
        <v>5674.9723983135618</v>
      </c>
      <c r="Q22" s="42">
        <v>260.52863329492425</v>
      </c>
      <c r="R22" s="41">
        <v>5478.8582408871589</v>
      </c>
      <c r="S22" s="42">
        <v>242.61964499609883</v>
      </c>
      <c r="T22" s="41">
        <v>5254.7442090328841</v>
      </c>
      <c r="U22" s="42">
        <v>224.49128203217268</v>
      </c>
      <c r="V22" s="41">
        <v>4999.2204411964012</v>
      </c>
      <c r="W22" s="42">
        <v>206.1505171000567</v>
      </c>
      <c r="X22" s="41">
        <v>4709.8517023226559</v>
      </c>
      <c r="Y22" s="42">
        <v>187.61060365615427</v>
      </c>
      <c r="Z22" s="41">
        <v>4386.2801231111798</v>
      </c>
      <c r="AA22" s="42">
        <v>168.88832102923308</v>
      </c>
      <c r="AB22" s="41">
        <v>4031.5375933684873</v>
      </c>
      <c r="AC22" s="42">
        <v>149.99253066392146</v>
      </c>
      <c r="AD22" s="41">
        <v>3652.8074395594226</v>
      </c>
      <c r="AE22" s="42">
        <v>130.89136175158887</v>
      </c>
      <c r="AF22" s="41">
        <v>3260.0960438503198</v>
      </c>
      <c r="AG22" s="42">
        <v>111.44247170550702</v>
      </c>
      <c r="AH22" s="41">
        <v>2861.1951759471617</v>
      </c>
      <c r="AI22" s="42">
        <v>91.281651769266205</v>
      </c>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3249.9017652537568</v>
      </c>
      <c r="E23" s="8">
        <v>0</v>
      </c>
      <c r="F23" s="116">
        <v>3216.5959520044707</v>
      </c>
      <c r="G23" s="8">
        <v>0</v>
      </c>
      <c r="H23" s="116">
        <v>3177.6937430405796</v>
      </c>
      <c r="I23" s="8">
        <v>0</v>
      </c>
      <c r="J23" s="116">
        <v>3132.1202690951536</v>
      </c>
      <c r="K23" s="8">
        <v>0</v>
      </c>
      <c r="L23" s="116">
        <v>3078.5744322123837</v>
      </c>
      <c r="M23" s="8">
        <v>0</v>
      </c>
      <c r="N23" s="116">
        <v>3015.5051939905425</v>
      </c>
      <c r="O23" s="8">
        <v>0</v>
      </c>
      <c r="P23" s="116">
        <v>2941.0996929661401</v>
      </c>
      <c r="Q23" s="8">
        <v>0</v>
      </c>
      <c r="R23" s="116">
        <v>2853.3115605262224</v>
      </c>
      <c r="S23" s="8">
        <v>0</v>
      </c>
      <c r="T23" s="116">
        <v>2749.9627150956712</v>
      </c>
      <c r="U23" s="8">
        <v>0</v>
      </c>
      <c r="V23" s="116">
        <v>2628.9865340327096</v>
      </c>
      <c r="W23" s="8">
        <v>0</v>
      </c>
      <c r="X23" s="116">
        <v>2488.8685946654364</v>
      </c>
      <c r="Y23" s="8">
        <v>0</v>
      </c>
      <c r="Z23" s="116">
        <v>2329.3360350203748</v>
      </c>
      <c r="AA23" s="8">
        <v>0</v>
      </c>
      <c r="AB23" s="116">
        <v>2152.2095864070238</v>
      </c>
      <c r="AC23" s="8">
        <v>0</v>
      </c>
      <c r="AD23" s="116">
        <v>1962.0068456428237</v>
      </c>
      <c r="AE23" s="8">
        <v>0</v>
      </c>
      <c r="AF23" s="116">
        <v>1765.4381990740376</v>
      </c>
      <c r="AG23" s="8">
        <v>0</v>
      </c>
      <c r="AH23" s="116">
        <v>1568.9588660561867</v>
      </c>
      <c r="AI23" s="8">
        <v>0</v>
      </c>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3169.0169879016044</v>
      </c>
      <c r="E25" s="42">
        <v>82.101077760052746</v>
      </c>
      <c r="F25" s="41">
        <v>3136.0061429161951</v>
      </c>
      <c r="G25" s="42">
        <v>73.521829946837755</v>
      </c>
      <c r="H25" s="41">
        <v>3094.6239795215488</v>
      </c>
      <c r="I25" s="42">
        <v>65.302819720005786</v>
      </c>
      <c r="J25" s="41">
        <v>3043.180152549869</v>
      </c>
      <c r="K25" s="42">
        <v>57.472515059869572</v>
      </c>
      <c r="L25" s="41">
        <v>2979.6106750309727</v>
      </c>
      <c r="M25" s="42">
        <v>50.059200539287758</v>
      </c>
      <c r="N25" s="41">
        <v>2901.4320815230326</v>
      </c>
      <c r="O25" s="42">
        <v>43.090071966801474</v>
      </c>
      <c r="P25" s="41">
        <v>2805.7104032197785</v>
      </c>
      <c r="Q25" s="42">
        <v>36.590047849548014</v>
      </c>
      <c r="R25" s="41">
        <v>2689.0906991380202</v>
      </c>
      <c r="S25" s="42">
        <v>30.580190419857935</v>
      </c>
      <c r="T25" s="41">
        <v>2547.9386295107224</v>
      </c>
      <c r="U25" s="42">
        <v>25.075991319166707</v>
      </c>
      <c r="V25" s="41">
        <v>2378.7120599192131</v>
      </c>
      <c r="W25" s="42">
        <v>20.085489554335357</v>
      </c>
      <c r="X25" s="41">
        <v>2178.6527863504266</v>
      </c>
      <c r="Y25" s="42">
        <v>15.608437449686352</v>
      </c>
      <c r="Z25" s="41">
        <v>1946.9164531510576</v>
      </c>
      <c r="AA25" s="42">
        <v>11.638770368706039</v>
      </c>
      <c r="AB25" s="41">
        <v>1686.0384631672391</v>
      </c>
      <c r="AC25" s="42">
        <v>8.1732120546578955</v>
      </c>
      <c r="AD25" s="41">
        <v>1403.1600321882106</v>
      </c>
      <c r="AE25" s="42">
        <v>5.229370462373371</v>
      </c>
      <c r="AF25" s="41">
        <v>1109.7529325779826</v>
      </c>
      <c r="AG25" s="42">
        <v>2.8684460219616059</v>
      </c>
      <c r="AH25" s="41">
        <v>818.84303027130693</v>
      </c>
      <c r="AI25" s="42">
        <v>1.1968774103656761</v>
      </c>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4996.8546880690856</v>
      </c>
      <c r="E26" s="34">
        <v>70.052584468667305</v>
      </c>
      <c r="F26" s="33">
        <v>4950.841514251154</v>
      </c>
      <c r="G26" s="34">
        <v>65.220983733048413</v>
      </c>
      <c r="H26" s="33">
        <v>4896.9316143495544</v>
      </c>
      <c r="I26" s="34">
        <v>60.415026428209707</v>
      </c>
      <c r="J26" s="33">
        <v>4833.5090727482957</v>
      </c>
      <c r="K26" s="34">
        <v>55.640305882402295</v>
      </c>
      <c r="L26" s="33">
        <v>4758.5931448886076</v>
      </c>
      <c r="M26" s="34">
        <v>50.903608830756944</v>
      </c>
      <c r="N26" s="33">
        <v>4669.7882021627911</v>
      </c>
      <c r="O26" s="34">
        <v>46.213045358706452</v>
      </c>
      <c r="P26" s="33">
        <v>4564.2449458581714</v>
      </c>
      <c r="Q26" s="34">
        <v>41.578080807905131</v>
      </c>
      <c r="R26" s="33">
        <v>4438.6731332144363</v>
      </c>
      <c r="S26" s="34">
        <v>37.009307398567486</v>
      </c>
      <c r="T26" s="33">
        <v>4289.4555915049132</v>
      </c>
      <c r="U26" s="34">
        <v>32.51800085941089</v>
      </c>
      <c r="V26" s="33">
        <v>4112.9594536372078</v>
      </c>
      <c r="W26" s="34">
        <v>28.114825310346983</v>
      </c>
      <c r="X26" s="33">
        <v>3906.1342038447724</v>
      </c>
      <c r="Y26" s="34">
        <v>23.808059564270785</v>
      </c>
      <c r="Z26" s="33">
        <v>3667.4715860630959</v>
      </c>
      <c r="AA26" s="34">
        <v>19.602477486686983</v>
      </c>
      <c r="AB26" s="33">
        <v>3398.2030944274989</v>
      </c>
      <c r="AC26" s="34">
        <v>15.50153790524395</v>
      </c>
      <c r="AD26" s="33">
        <v>3103.0992494800812</v>
      </c>
      <c r="AE26" s="34">
        <v>11.520775560266781</v>
      </c>
      <c r="AF26" s="33">
        <v>2789.4661834856129</v>
      </c>
      <c r="AG26" s="34">
        <v>7.7249508952076171</v>
      </c>
      <c r="AH26" s="33">
        <v>2462.6753611179806</v>
      </c>
      <c r="AI26" s="34">
        <v>4.3021496908815928</v>
      </c>
      <c r="AJ26" s="33"/>
      <c r="AK26" s="34"/>
      <c r="AL26" s="33"/>
      <c r="AM26" s="34"/>
      <c r="AN26" s="33"/>
      <c r="AO26" s="34"/>
      <c r="AP26" s="33"/>
      <c r="AQ26" s="34"/>
      <c r="AR26" s="33"/>
      <c r="AS26" s="34"/>
      <c r="AT26" s="33"/>
      <c r="AU26" s="34"/>
      <c r="AV26" s="33"/>
      <c r="AW26" s="34"/>
    </row>
    <row r="27" spans="1:49" x14ac:dyDescent="0.2">
      <c r="A27" t="s">
        <v>2</v>
      </c>
      <c r="B27" s="35">
        <v>6425.1981589999841</v>
      </c>
      <c r="C27" s="36">
        <v>273.22915400000028</v>
      </c>
      <c r="D27" s="35">
        <v>6367.0325194098759</v>
      </c>
      <c r="E27" s="36">
        <v>255.37062424797182</v>
      </c>
      <c r="F27" s="35">
        <v>6300.0141355034739</v>
      </c>
      <c r="G27" s="36">
        <v>237.59934997385938</v>
      </c>
      <c r="H27" s="35">
        <v>6222.4537313933097</v>
      </c>
      <c r="I27" s="36">
        <v>219.93302846871669</v>
      </c>
      <c r="J27" s="35">
        <v>6132.3064380424403</v>
      </c>
      <c r="K27" s="36">
        <v>202.39361915343386</v>
      </c>
      <c r="L27" s="35">
        <v>6027.089316581325</v>
      </c>
      <c r="M27" s="36">
        <v>185.00766663456085</v>
      </c>
      <c r="N27" s="35">
        <v>5903.8289730651395</v>
      </c>
      <c r="O27" s="36">
        <v>167.80677994933171</v>
      </c>
      <c r="P27" s="35">
        <v>5759.0286585463682</v>
      </c>
      <c r="Q27" s="36">
        <v>150.82774701311678</v>
      </c>
      <c r="R27" s="35">
        <v>5588.7053116116922</v>
      </c>
      <c r="S27" s="36">
        <v>134.11167943783167</v>
      </c>
      <c r="T27" s="35">
        <v>5388.5594340656517</v>
      </c>
      <c r="U27" s="36">
        <v>117.7024972220063</v>
      </c>
      <c r="V27" s="35">
        <v>5154.3950901289354</v>
      </c>
      <c r="W27" s="36">
        <v>101.64211257640316</v>
      </c>
      <c r="X27" s="35">
        <v>4882.8993648542446</v>
      </c>
      <c r="Y27" s="36">
        <v>85.96387577614685</v>
      </c>
      <c r="Z27" s="35">
        <v>4572.8620302848985</v>
      </c>
      <c r="AA27" s="36">
        <v>70.688428644886244</v>
      </c>
      <c r="AB27" s="35">
        <v>4226.6663477805878</v>
      </c>
      <c r="AC27" s="36">
        <v>55.831043042487096</v>
      </c>
      <c r="AD27" s="35">
        <v>3851.2427324717146</v>
      </c>
      <c r="AE27" s="36">
        <v>41.448704655592202</v>
      </c>
      <c r="AF27" s="35">
        <v>3456.762674153892</v>
      </c>
      <c r="AG27" s="36">
        <v>27.771323973588323</v>
      </c>
      <c r="AH27" s="35">
        <v>3051.1569133686421</v>
      </c>
      <c r="AI27" s="36">
        <v>15.464676527285832</v>
      </c>
      <c r="AJ27" s="35"/>
      <c r="AK27" s="36"/>
      <c r="AL27" s="35"/>
      <c r="AM27" s="36"/>
      <c r="AN27" s="35"/>
      <c r="AO27" s="36"/>
      <c r="AP27" s="35"/>
      <c r="AQ27" s="36"/>
      <c r="AR27" s="35"/>
      <c r="AS27" s="36"/>
      <c r="AT27" s="35"/>
      <c r="AU27" s="36"/>
      <c r="AV27" s="35"/>
      <c r="AW27" s="36"/>
    </row>
    <row r="28" spans="1:49" x14ac:dyDescent="0.2">
      <c r="A28" t="s">
        <v>35</v>
      </c>
      <c r="B28" s="41">
        <v>13763.097675999999</v>
      </c>
      <c r="C28" s="42">
        <v>382.36647900000042</v>
      </c>
      <c r="D28" s="41">
        <v>13647.458323440966</v>
      </c>
      <c r="E28" s="42">
        <v>357.43738758351577</v>
      </c>
      <c r="F28" s="41">
        <v>13513.370369016084</v>
      </c>
      <c r="G28" s="42">
        <v>332.6261758015886</v>
      </c>
      <c r="H28" s="41">
        <v>13357.211145745032</v>
      </c>
      <c r="I28" s="42">
        <v>307.9570921069369</v>
      </c>
      <c r="J28" s="41">
        <v>13174.576824463622</v>
      </c>
      <c r="K28" s="42">
        <v>283.46024963959138</v>
      </c>
      <c r="L28" s="41">
        <v>12960.093596950866</v>
      </c>
      <c r="M28" s="42">
        <v>259.17209268691636</v>
      </c>
      <c r="N28" s="41">
        <v>12707.292673480633</v>
      </c>
      <c r="O28" s="42">
        <v>235.13606802890354</v>
      </c>
      <c r="P28" s="41">
        <v>12408.521474772926</v>
      </c>
      <c r="Q28" s="42">
        <v>211.40278927615307</v>
      </c>
      <c r="R28" s="41">
        <v>12055.000257039168</v>
      </c>
      <c r="S28" s="42">
        <v>188.02885284477813</v>
      </c>
      <c r="T28" s="41">
        <v>11637.15977524228</v>
      </c>
      <c r="U28" s="42">
        <v>165.07468293509928</v>
      </c>
      <c r="V28" s="41">
        <v>11145.517179715973</v>
      </c>
      <c r="W28" s="42">
        <v>142.59783338454068</v>
      </c>
      <c r="X28" s="41">
        <v>10572.330104831568</v>
      </c>
      <c r="Y28" s="42">
        <v>120.64385342003938</v>
      </c>
      <c r="Z28" s="41">
        <v>9914.2186632429111</v>
      </c>
      <c r="AA28" s="42">
        <v>99.240512818600422</v>
      </c>
      <c r="AB28" s="41">
        <v>9175.4042924283185</v>
      </c>
      <c r="AC28" s="42">
        <v>78.408318880377621</v>
      </c>
      <c r="AD28" s="41">
        <v>8369.8290863576694</v>
      </c>
      <c r="AE28" s="42">
        <v>58.227065318036551</v>
      </c>
      <c r="AF28" s="41">
        <v>7518.3856458732398</v>
      </c>
      <c r="AG28" s="42">
        <v>39.021052092043043</v>
      </c>
      <c r="AH28" s="41">
        <v>6636.9201711986043</v>
      </c>
      <c r="AI28" s="42">
        <v>21.729787181878507</v>
      </c>
      <c r="AJ28" s="41"/>
      <c r="AK28" s="42"/>
      <c r="AL28" s="41"/>
      <c r="AM28" s="42"/>
      <c r="AN28" s="41"/>
      <c r="AO28" s="42"/>
      <c r="AP28" s="41"/>
      <c r="AQ28" s="42"/>
      <c r="AR28" s="41"/>
      <c r="AS28" s="42"/>
      <c r="AT28" s="41"/>
      <c r="AU28" s="42"/>
      <c r="AV28" s="41"/>
      <c r="AW28" s="42"/>
    </row>
    <row r="29" spans="1:49" x14ac:dyDescent="0.2">
      <c r="A29" t="s">
        <v>53</v>
      </c>
      <c r="B29" s="35">
        <v>14362.768557999996</v>
      </c>
      <c r="C29" s="36">
        <v>817.26651000000095</v>
      </c>
      <c r="D29" s="35">
        <v>14226.064550228772</v>
      </c>
      <c r="E29" s="36">
        <v>758.64486848703666</v>
      </c>
      <c r="F29" s="35">
        <v>14069.48699329812</v>
      </c>
      <c r="G29" s="36">
        <v>700.79948221915561</v>
      </c>
      <c r="H29" s="35">
        <v>13889.323620332418</v>
      </c>
      <c r="I29" s="36">
        <v>643.82407092307665</v>
      </c>
      <c r="J29" s="35">
        <v>13681.092641043217</v>
      </c>
      <c r="K29" s="36">
        <v>587.82661049614467</v>
      </c>
      <c r="L29" s="35">
        <v>13439.363700968801</v>
      </c>
      <c r="M29" s="36">
        <v>532.92962877871093</v>
      </c>
      <c r="N29" s="35">
        <v>13157.646694466917</v>
      </c>
      <c r="O29" s="36">
        <v>479.26968352494418</v>
      </c>
      <c r="P29" s="35">
        <v>12828.320839367931</v>
      </c>
      <c r="Q29" s="36">
        <v>426.99514457194658</v>
      </c>
      <c r="R29" s="35">
        <v>12442.711966896828</v>
      </c>
      <c r="S29" s="36">
        <v>376.25997437928174</v>
      </c>
      <c r="T29" s="35">
        <v>11991.449433084774</v>
      </c>
      <c r="U29" s="36">
        <v>327.21412445900847</v>
      </c>
      <c r="V29" s="35">
        <v>11465.349266162131</v>
      </c>
      <c r="W29" s="36">
        <v>279.98309574569868</v>
      </c>
      <c r="X29" s="35">
        <v>10857.045529781102</v>
      </c>
      <c r="Y29" s="36">
        <v>234.6420188591766</v>
      </c>
      <c r="Z29" s="35">
        <v>10163.528994688791</v>
      </c>
      <c r="AA29" s="36">
        <v>191.19726967002694</v>
      </c>
      <c r="AB29" s="35">
        <v>9389.208108300174</v>
      </c>
      <c r="AC29" s="36">
        <v>149.60585750018598</v>
      </c>
      <c r="AD29" s="35">
        <v>8547.7282913813051</v>
      </c>
      <c r="AE29" s="36">
        <v>109.91888271530149</v>
      </c>
      <c r="AF29" s="35">
        <v>7658.7699831988984</v>
      </c>
      <c r="AG29" s="36">
        <v>72.67891807990452</v>
      </c>
      <c r="AH29" s="35">
        <v>6735.4233007925932</v>
      </c>
      <c r="AI29" s="36">
        <v>39.678575284246207</v>
      </c>
      <c r="AJ29" s="35"/>
      <c r="AK29" s="36"/>
      <c r="AL29" s="35"/>
      <c r="AM29" s="36"/>
      <c r="AN29" s="35"/>
      <c r="AO29" s="36"/>
      <c r="AP29" s="35"/>
      <c r="AQ29" s="36"/>
      <c r="AR29" s="35"/>
      <c r="AS29" s="36"/>
      <c r="AT29" s="35"/>
      <c r="AU29" s="36"/>
      <c r="AV29" s="35"/>
      <c r="AW29" s="36"/>
    </row>
    <row r="30" spans="1:49" x14ac:dyDescent="0.2">
      <c r="A30" t="s">
        <v>48</v>
      </c>
      <c r="B30" s="119">
        <v>2924829.9599999995</v>
      </c>
      <c r="D30" s="119">
        <v>2935310.6633449094</v>
      </c>
      <c r="F30" s="119">
        <v>2942261.0737174125</v>
      </c>
      <c r="H30" s="119">
        <v>2944974.9688096009</v>
      </c>
      <c r="J30" s="119">
        <v>2942596.5719693643</v>
      </c>
      <c r="L30" s="119">
        <v>2934092.706362993</v>
      </c>
      <c r="N30" s="119">
        <v>2918244.2992174271</v>
      </c>
      <c r="P30" s="119">
        <v>2893658.496422221</v>
      </c>
      <c r="R30" s="119">
        <v>2858833.9375745435</v>
      </c>
      <c r="T30" s="119">
        <v>2812326.5377877578</v>
      </c>
      <c r="V30" s="119">
        <v>2753092.9486079263</v>
      </c>
      <c r="X30" s="119">
        <v>2681116.0312539269</v>
      </c>
      <c r="Z30" s="119">
        <v>2598414.9186570388</v>
      </c>
      <c r="AB30" s="119">
        <v>2510488.1519688107</v>
      </c>
      <c r="AD30" s="119">
        <v>2428044.5684341043</v>
      </c>
      <c r="AF30" s="119">
        <v>2368892.5120822452</v>
      </c>
      <c r="AH30" s="119">
        <v>2361402.0100951008</v>
      </c>
      <c r="AJ30" s="119"/>
      <c r="AL30" s="119"/>
      <c r="AN30" s="119"/>
      <c r="AP30" s="119"/>
      <c r="AR30" s="119"/>
      <c r="AT30" s="119"/>
      <c r="AV30" s="119"/>
    </row>
    <row r="31" spans="1:49" x14ac:dyDescent="0.2">
      <c r="A31" t="s">
        <v>47</v>
      </c>
      <c r="B31" s="80">
        <v>1</v>
      </c>
      <c r="D31" s="80">
        <v>0.98528087601056491</v>
      </c>
      <c r="F31" s="80">
        <v>0.96911144828215767</v>
      </c>
      <c r="H31" s="80">
        <v>0.95125740598659303</v>
      </c>
      <c r="J31" s="80">
        <v>0.93144118296153389</v>
      </c>
      <c r="L31" s="80">
        <v>0.90933399388265912</v>
      </c>
      <c r="N31" s="80">
        <v>0.88455207259463964</v>
      </c>
      <c r="P31" s="80">
        <v>0.85665656040674143</v>
      </c>
      <c r="R31" s="80">
        <v>0.8251633096915113</v>
      </c>
      <c r="T31" s="80">
        <v>0.78957077978563028</v>
      </c>
      <c r="V31" s="80">
        <v>0.74941846510108467</v>
      </c>
      <c r="X31" s="80">
        <v>0.70438978879135417</v>
      </c>
      <c r="Z31" s="80">
        <v>0.65446225487487919</v>
      </c>
      <c r="AB31" s="80">
        <v>0.60008036554093225</v>
      </c>
      <c r="AD31" s="80">
        <v>0.54224036017414967</v>
      </c>
      <c r="AF31" s="80">
        <v>0.48226517300841398</v>
      </c>
      <c r="AH31" s="80">
        <v>0.42103070736730963</v>
      </c>
      <c r="AJ31" s="80"/>
      <c r="AL31" s="80"/>
      <c r="AN31" s="80"/>
      <c r="AP31" s="80"/>
      <c r="AR31" s="80"/>
      <c r="AT31" s="80"/>
      <c r="AV31" s="80"/>
    </row>
    <row r="32" spans="1:49" x14ac:dyDescent="0.2">
      <c r="A32" t="s">
        <v>64</v>
      </c>
      <c r="B32" s="86">
        <v>14734457.915000005</v>
      </c>
      <c r="D32" s="86">
        <v>14595656.57489318</v>
      </c>
      <c r="F32" s="86">
        <v>14441699.808578268</v>
      </c>
      <c r="H32" s="86">
        <v>14269909.262231851</v>
      </c>
      <c r="J32" s="86">
        <v>14077112.44948205</v>
      </c>
      <c r="L32" s="86">
        <v>13859566.045854902</v>
      </c>
      <c r="N32" s="86">
        <v>13612954.041468119</v>
      </c>
      <c r="P32" s="86">
        <v>13332467.738088721</v>
      </c>
      <c r="R32" s="86">
        <v>13013075.52578778</v>
      </c>
      <c r="T32" s="86">
        <v>12650132.923848426</v>
      </c>
      <c r="V32" s="86">
        <v>12240574.71254194</v>
      </c>
      <c r="X32" s="86">
        <v>11784977.173704477</v>
      </c>
      <c r="Z32" s="86">
        <v>11290705.071686028</v>
      </c>
      <c r="AB32" s="86">
        <v>10776025.194733465</v>
      </c>
      <c r="AD32" s="86">
        <v>10274137.516742146</v>
      </c>
      <c r="AF32" s="86">
        <v>9835537.5065158121</v>
      </c>
      <c r="AH32" s="86">
        <v>9530374.7260863949</v>
      </c>
      <c r="AJ32" s="86"/>
      <c r="AL32" s="86"/>
      <c r="AN32" s="86"/>
      <c r="AP32" s="86"/>
      <c r="AR32" s="86"/>
      <c r="AT32" s="86"/>
      <c r="AV32" s="86"/>
    </row>
    <row r="33" spans="1:49 16319:16321" x14ac:dyDescent="0.2">
      <c r="A33" t="s">
        <v>54</v>
      </c>
      <c r="B33" s="117">
        <v>7019665.6909999885</v>
      </c>
      <c r="D33" s="117">
        <v>6930900.1788850687</v>
      </c>
      <c r="F33" s="117">
        <v>6835218.4945307486</v>
      </c>
      <c r="H33" s="117">
        <v>6731450.6677901177</v>
      </c>
      <c r="J33" s="117">
        <v>6618218.2063513454</v>
      </c>
      <c r="L33" s="117">
        <v>6493910.5606245939</v>
      </c>
      <c r="N33" s="117">
        <v>6356687.4660795527</v>
      </c>
      <c r="P33" s="117">
        <v>6204519.2282077018</v>
      </c>
      <c r="R33" s="117">
        <v>6035306.9942066232</v>
      </c>
      <c r="T33" s="117">
        <v>5847151.924631482</v>
      </c>
      <c r="V33" s="117">
        <v>5638852.1656560041</v>
      </c>
      <c r="X33" s="117">
        <v>5410765.8427734878</v>
      </c>
      <c r="Z33" s="117">
        <v>5166073.6493836055</v>
      </c>
      <c r="AB33" s="117">
        <v>4912370.083867209</v>
      </c>
      <c r="AD33" s="117">
        <v>4663031.2206655908</v>
      </c>
      <c r="AF33" s="117">
        <v>4437494.1010631509</v>
      </c>
      <c r="AH33" s="117">
        <v>4260605.4272179604</v>
      </c>
      <c r="AJ33" s="117"/>
      <c r="AL33" s="117"/>
      <c r="AN33" s="117"/>
      <c r="AP33" s="117"/>
      <c r="AR33" s="117"/>
      <c r="AT33" s="117"/>
      <c r="AV33" s="117"/>
    </row>
    <row r="34" spans="1:49 16319:16321" x14ac:dyDescent="0.2">
      <c r="A34" t="s">
        <v>75</v>
      </c>
      <c r="B34" s="117">
        <v>1136879.4410000162</v>
      </c>
      <c r="D34" s="117">
        <v>1120501.3169710753</v>
      </c>
      <c r="F34" s="117">
        <v>1098010.7190692131</v>
      </c>
      <c r="H34" s="117">
        <v>1068167.9176055531</v>
      </c>
      <c r="J34" s="117">
        <v>1029449.1721302234</v>
      </c>
      <c r="L34" s="117">
        <v>979961.67004275881</v>
      </c>
      <c r="N34" s="117">
        <v>917375.90003763698</v>
      </c>
      <c r="P34" s="117">
        <v>838849.7977287547</v>
      </c>
      <c r="R34" s="117">
        <v>740972.52035051771</v>
      </c>
      <c r="T34" s="117">
        <v>619745.64506901172</v>
      </c>
      <c r="V34" s="117">
        <v>470680.8596480384</v>
      </c>
      <c r="X34" s="117">
        <v>289025.97923268192</v>
      </c>
      <c r="Z34" s="117">
        <v>70176.296632740879</v>
      </c>
      <c r="AB34" s="117">
        <v>-189905.66541902674</v>
      </c>
      <c r="AD34" s="117">
        <v>-494887.71690088016</v>
      </c>
      <c r="AF34" s="117">
        <v>-850575.70307777077</v>
      </c>
      <c r="AH34" s="117">
        <v>-1273425.5066752578</v>
      </c>
      <c r="AJ34" s="117"/>
      <c r="AL34" s="117"/>
      <c r="AN34" s="117"/>
      <c r="AP34" s="117"/>
      <c r="AR34" s="117"/>
      <c r="AT34" s="117"/>
      <c r="AV34" s="117"/>
    </row>
    <row r="35" spans="1:49 16319:16321" x14ac:dyDescent="0.2">
      <c r="A35" t="s">
        <v>78</v>
      </c>
      <c r="B35" s="233">
        <v>1</v>
      </c>
      <c r="D35" s="233">
        <v>1.0021053480595565</v>
      </c>
      <c r="F35" s="233">
        <v>1.0047640684618344</v>
      </c>
      <c r="H35" s="233">
        <v>1.00809338045843</v>
      </c>
      <c r="J35" s="233">
        <v>1.0122449685180246</v>
      </c>
      <c r="L35" s="233">
        <v>1.0174196042195598</v>
      </c>
      <c r="N35" s="233">
        <v>1.0238866350662525</v>
      </c>
      <c r="P35" s="233">
        <v>1.0320139908349337</v>
      </c>
      <c r="R35" s="233">
        <v>1.0423138573201638</v>
      </c>
      <c r="T35" s="233">
        <v>1.0555149204359187</v>
      </c>
      <c r="V35" s="233">
        <v>1.0726744389583369</v>
      </c>
      <c r="X35" s="233">
        <v>1.0953608073625902</v>
      </c>
      <c r="Z35" s="233">
        <v>1.1259477954022439</v>
      </c>
      <c r="AB35" s="233">
        <v>1.168104480076575</v>
      </c>
      <c r="AD35" s="233">
        <v>1.2276704332858972</v>
      </c>
      <c r="AF35" s="233">
        <v>1.3145228072427626</v>
      </c>
      <c r="AH35" s="233">
        <v>1.4476077885210115</v>
      </c>
      <c r="AJ35" s="233"/>
      <c r="AL35" s="233"/>
      <c r="AN35" s="233"/>
      <c r="AP35" s="233"/>
      <c r="AR35" s="233"/>
      <c r="AT35" s="233"/>
      <c r="AV35" s="233"/>
    </row>
    <row r="36" spans="1:49 16319:16321" x14ac:dyDescent="0.2">
      <c r="A36" t="s">
        <v>21</v>
      </c>
      <c r="B36" s="37">
        <v>0.47195767671988204</v>
      </c>
      <c r="C36" s="38">
        <v>0.31738834428178991</v>
      </c>
      <c r="D36" s="37">
        <v>0.47197956993116541</v>
      </c>
      <c r="E36" s="38">
        <v>0.32143247759053928</v>
      </c>
      <c r="F36" s="37">
        <v>0.47198904794197788</v>
      </c>
      <c r="G36" s="38">
        <v>0.32574615102801141</v>
      </c>
      <c r="H36" s="37">
        <v>0.47198275142760987</v>
      </c>
      <c r="I36" s="38">
        <v>0.33034394461547895</v>
      </c>
      <c r="J36" s="37">
        <v>0.47195650338717621</v>
      </c>
      <c r="K36" s="38">
        <v>0.33523727345435728</v>
      </c>
      <c r="L36" s="37">
        <v>0.47190511103854432</v>
      </c>
      <c r="M36" s="38">
        <v>0.34043176528982466</v>
      </c>
      <c r="N36" s="37">
        <v>0.4718222823180499</v>
      </c>
      <c r="O36" s="38">
        <v>0.34592443182286092</v>
      </c>
      <c r="P36" s="37">
        <v>0.47170069071818005</v>
      </c>
      <c r="Q36" s="38">
        <v>0.35170000189625056</v>
      </c>
      <c r="R36" s="37">
        <v>0.47153248963943789</v>
      </c>
      <c r="S36" s="38">
        <v>0.35772739120072145</v>
      </c>
      <c r="T36" s="37">
        <v>0.47131083357683695</v>
      </c>
      <c r="U36" s="38">
        <v>0.3639581464439734</v>
      </c>
      <c r="V36" s="37">
        <v>0.4710336138498139</v>
      </c>
      <c r="W36" s="38">
        <v>0.37033209169862863</v>
      </c>
      <c r="X36" s="37">
        <v>0.47071160986663352</v>
      </c>
      <c r="Y36" s="38">
        <v>0.3767994807232582</v>
      </c>
      <c r="Z36" s="37">
        <v>0.47038515181086782</v>
      </c>
      <c r="AA36" s="38">
        <v>0.38337926220057006</v>
      </c>
      <c r="AB36" s="37">
        <v>0.47015587796667285</v>
      </c>
      <c r="AC36" s="38">
        <v>0.39028572068653034</v>
      </c>
      <c r="AD36" s="37">
        <v>0.47024321343740566</v>
      </c>
      <c r="AE36" s="38">
        <v>0.39817402727456691</v>
      </c>
      <c r="AF36" s="37">
        <v>0.47108364691062476</v>
      </c>
      <c r="AG36" s="38">
        <v>0.40859335364182914</v>
      </c>
      <c r="AH36" s="37">
        <v>0.47354103637076478</v>
      </c>
      <c r="AI36" s="38">
        <v>0.42493370238905159</v>
      </c>
      <c r="AJ36" s="37"/>
      <c r="AK36" s="38"/>
      <c r="AL36" s="37"/>
      <c r="AM36" s="38"/>
      <c r="AN36" s="37"/>
      <c r="AO36" s="38"/>
      <c r="AP36" s="37"/>
      <c r="AQ36" s="38"/>
      <c r="AR36" s="37"/>
      <c r="AS36" s="38"/>
      <c r="AT36" s="37"/>
      <c r="AU36" s="38"/>
      <c r="AV36" s="37"/>
      <c r="AW36" s="38"/>
    </row>
    <row r="37" spans="1:49 16319:16321" x14ac:dyDescent="0.2">
      <c r="B37" s="39">
        <v>2.1403217525954421E-2</v>
      </c>
      <c r="C37" s="40">
        <v>0.34962461301992565</v>
      </c>
      <c r="D37" s="39">
        <v>2.0863472582380707E-2</v>
      </c>
      <c r="E37" s="40">
        <v>0.34538551801603151</v>
      </c>
      <c r="F37" s="39">
        <v>2.0321298292637794E-2</v>
      </c>
      <c r="G37" s="40">
        <v>0.34108406366574495</v>
      </c>
      <c r="H37" s="39">
        <v>1.9778036831661329E-2</v>
      </c>
      <c r="I37" s="40">
        <v>0.33672920171525939</v>
      </c>
      <c r="J37" s="39">
        <v>1.9235406981342507E-2</v>
      </c>
      <c r="K37" s="40">
        <v>0.33233327452437417</v>
      </c>
      <c r="L37" s="39">
        <v>1.8695630042462549E-2</v>
      </c>
      <c r="M37" s="40">
        <v>0.32791322376854082</v>
      </c>
      <c r="N37" s="39">
        <v>1.816149081584283E-2</v>
      </c>
      <c r="O37" s="40">
        <v>0.32349134274681624</v>
      </c>
      <c r="P37" s="39">
        <v>1.763640011851007E-2</v>
      </c>
      <c r="Q37" s="40">
        <v>0.31909608977511472</v>
      </c>
      <c r="R37" s="39">
        <v>1.7124368102295357E-2</v>
      </c>
      <c r="S37" s="40">
        <v>0.3147622071805623</v>
      </c>
      <c r="T37" s="39">
        <v>1.662978274858987E-2</v>
      </c>
      <c r="U37" s="40">
        <v>0.31052921141336604</v>
      </c>
      <c r="V37" s="39">
        <v>1.6156714445570666E-2</v>
      </c>
      <c r="W37" s="40">
        <v>0.30643579078885125</v>
      </c>
      <c r="X37" s="39">
        <v>1.5707352743064045E-2</v>
      </c>
      <c r="Y37" s="40">
        <v>0.30250654281492706</v>
      </c>
      <c r="Z37" s="39">
        <v>1.5278742082866724E-2</v>
      </c>
      <c r="AA37" s="40">
        <v>0.29872354464016465</v>
      </c>
      <c r="AB37" s="39">
        <v>1.4856675612454937E-2</v>
      </c>
      <c r="AC37" s="40">
        <v>0.29497220216460224</v>
      </c>
      <c r="AD37" s="39">
        <v>1.4405542273068285E-2</v>
      </c>
      <c r="AE37" s="40">
        <v>0.29094930079373593</v>
      </c>
      <c r="AF37" s="39">
        <v>1.3853834944074578E-2</v>
      </c>
      <c r="AG37" s="40">
        <v>0.28602628081521753</v>
      </c>
      <c r="AH37" s="39">
        <v>1.3075198694565776E-2</v>
      </c>
      <c r="AI37" s="40">
        <v>0.27905377595197139</v>
      </c>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0.18109100157596009</v>
      </c>
      <c r="E38" s="38">
        <v>6.0644159617439672E-2</v>
      </c>
      <c r="F38" s="37">
        <v>0.18141683120426866</v>
      </c>
      <c r="G38" s="38">
        <v>6.0730444740542532E-2</v>
      </c>
      <c r="H38" s="37">
        <v>0.18177122970317761</v>
      </c>
      <c r="I38" s="38">
        <v>6.0825001135408972E-2</v>
      </c>
      <c r="J38" s="37">
        <v>0.18215723213270621</v>
      </c>
      <c r="K38" s="38">
        <v>6.092855477897384E-2</v>
      </c>
      <c r="L38" s="37">
        <v>0.18257802746980747</v>
      </c>
      <c r="M38" s="38">
        <v>6.1041784897141751E-2</v>
      </c>
      <c r="N38" s="37">
        <v>0.18303683247880734</v>
      </c>
      <c r="O38" s="38">
        <v>6.1165260150252504E-2</v>
      </c>
      <c r="P38" s="37">
        <v>0.1835366192229527</v>
      </c>
      <c r="Q38" s="38">
        <v>6.1299343910605833E-2</v>
      </c>
      <c r="R38" s="37">
        <v>0.18407961421761035</v>
      </c>
      <c r="S38" s="38">
        <v>6.1444073830324096E-2</v>
      </c>
      <c r="T38" s="37">
        <v>0.18466638553609288</v>
      </c>
      <c r="U38" s="38">
        <v>6.1598971575003547E-2</v>
      </c>
      <c r="V38" s="37">
        <v>0.18529422964722081</v>
      </c>
      <c r="W38" s="38">
        <v>6.1762917973779884E-2</v>
      </c>
      <c r="X38" s="37">
        <v>0.18595424211944617</v>
      </c>
      <c r="Y38" s="38">
        <v>6.1934129705420192E-2</v>
      </c>
      <c r="Z38" s="37">
        <v>0.18662617341011173</v>
      </c>
      <c r="AA38" s="38">
        <v>6.2110372201929803E-2</v>
      </c>
      <c r="AB38" s="37">
        <v>0.18726956512295403</v>
      </c>
      <c r="AC38" s="38">
        <v>6.2289900845426252E-2</v>
      </c>
      <c r="AD38" s="37">
        <v>0.18780923029799562</v>
      </c>
      <c r="AE38" s="38">
        <v>6.2473660962600132E-2</v>
      </c>
      <c r="AF38" s="37">
        <v>0.18811090757161819</v>
      </c>
      <c r="AG38" s="38">
        <v>6.2670009529318269E-2</v>
      </c>
      <c r="AH38" s="37">
        <v>0.18792822857952352</v>
      </c>
      <c r="AI38" s="38">
        <v>6.2904843598722213E-2</v>
      </c>
      <c r="AJ38" s="37"/>
      <c r="AK38" s="38"/>
      <c r="AL38" s="37"/>
      <c r="AM38" s="38"/>
      <c r="AN38" s="37"/>
      <c r="AO38" s="38"/>
      <c r="AP38" s="37"/>
      <c r="AQ38" s="38"/>
      <c r="AR38" s="37"/>
      <c r="AS38" s="38"/>
      <c r="AT38" s="37"/>
      <c r="AU38" s="38"/>
      <c r="AV38" s="37"/>
      <c r="AW38" s="38"/>
    </row>
    <row r="39" spans="1:49 16319:16321" x14ac:dyDescent="0.2">
      <c r="A39" t="s">
        <v>23</v>
      </c>
      <c r="B39" s="39">
        <v>0.23064923795098566</v>
      </c>
      <c r="C39" s="40">
        <v>0.22092201281804777</v>
      </c>
      <c r="D39" s="39">
        <v>0.23074761384590048</v>
      </c>
      <c r="E39" s="40">
        <v>0.2210730270119588</v>
      </c>
      <c r="F39" s="39">
        <v>0.23085542078355448</v>
      </c>
      <c r="G39" s="40">
        <v>0.22124036419071444</v>
      </c>
      <c r="H39" s="39">
        <v>0.23097383333108357</v>
      </c>
      <c r="I39" s="40">
        <v>0.22142548794909206</v>
      </c>
      <c r="J39" s="39">
        <v>0.23110414204896548</v>
      </c>
      <c r="K39" s="40">
        <v>0.22162981522006586</v>
      </c>
      <c r="L39" s="39">
        <v>0.2312477754034859</v>
      </c>
      <c r="M39" s="40">
        <v>0.22185456886910154</v>
      </c>
      <c r="N39" s="39">
        <v>0.23140624541086674</v>
      </c>
      <c r="O39" s="40">
        <v>0.22210060537902512</v>
      </c>
      <c r="P39" s="39">
        <v>0.23158105284355213</v>
      </c>
      <c r="Q39" s="40">
        <v>0.22236817466719261</v>
      </c>
      <c r="R39" s="39">
        <v>0.23177347979042759</v>
      </c>
      <c r="S39" s="40">
        <v>0.22265663726540977</v>
      </c>
      <c r="T39" s="39">
        <v>0.23198416971749136</v>
      </c>
      <c r="U39" s="40">
        <v>0.22296428406013183</v>
      </c>
      <c r="V39" s="39">
        <v>0.23221227398151326</v>
      </c>
      <c r="W39" s="40">
        <v>0.22328836805639793</v>
      </c>
      <c r="X39" s="39">
        <v>0.23245382860713387</v>
      </c>
      <c r="Y39" s="40">
        <v>0.22362586156708397</v>
      </c>
      <c r="Z39" s="39">
        <v>0.23269866506602643</v>
      </c>
      <c r="AA39" s="40">
        <v>0.22397600591482569</v>
      </c>
      <c r="AB39" s="39">
        <v>0.2329248567181488</v>
      </c>
      <c r="AC39" s="40">
        <v>0.224346136265408</v>
      </c>
      <c r="AD39" s="39">
        <v>0.23308920376860318</v>
      </c>
      <c r="AE39" s="40">
        <v>0.22476371564107184</v>
      </c>
      <c r="AF39" s="39">
        <v>0.23311082519819201</v>
      </c>
      <c r="AG39" s="40">
        <v>0.2252997024416411</v>
      </c>
      <c r="AH39" s="39">
        <v>0.23283560752694171</v>
      </c>
      <c r="AI39" s="40">
        <v>0.22612022550391542</v>
      </c>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0.11573002046440257</v>
      </c>
      <c r="E42" s="135"/>
      <c r="F42" s="177">
        <f>10.8%+(1-10.8%)*(1-SUM(F26:G26)/SUM($B$26:$C$26))</f>
        <v>0.12460338351125423</v>
      </c>
      <c r="G42" s="135"/>
      <c r="H42" s="177">
        <f>10.8%+(1-10.8%)*(1-SUM(H26:I26)/SUM($B$26:$C$26))</f>
        <v>0.1348503975294025</v>
      </c>
      <c r="I42" s="135"/>
      <c r="J42" s="177">
        <f>10.8%+(1-10.8%)*(1-SUM(J26:K26)/SUM($B$26:$C$26))</f>
        <v>0.14675209384226329</v>
      </c>
      <c r="K42" s="135"/>
      <c r="L42" s="177">
        <f>10.8%+(1-10.8%)*(1-SUM(L26:M26)/SUM($B$26:$C$26))</f>
        <v>0.16065296496774273</v>
      </c>
      <c r="M42" s="135"/>
      <c r="N42" s="177">
        <f>10.8%+(1-10.8%)*(1-SUM(N26:O26)/SUM($B$26:$C$26))</f>
        <v>0.17696967749184039</v>
      </c>
      <c r="O42" s="135"/>
      <c r="P42" s="177">
        <f>10.8%+(1-10.8%)*(1-SUM(P26:Q26)/SUM($B$26:$C$26))</f>
        <v>0.19619783539185559</v>
      </c>
      <c r="Q42" s="135"/>
      <c r="R42" s="177">
        <f>10.8%+(1-10.8%)*(1-SUM(R26:S26)/SUM($B$26:$C$26))</f>
        <v>0.21890979895780102</v>
      </c>
      <c r="S42" s="135"/>
      <c r="T42" s="177">
        <f>10.8%+(1-10.8%)*(1-SUM(T26:U26)/SUM($B$26:$C$26))</f>
        <v>0.24573486458155477</v>
      </c>
      <c r="U42" s="135"/>
      <c r="V42" s="177">
        <f>10.8%+(1-10.8%)*(1-SUM(V26:W26)/SUM($B$26:$C$26))</f>
        <v>0.27730517435217994</v>
      </c>
      <c r="W42" s="135"/>
      <c r="X42" s="177">
        <f>10.8%+(1-10.8%)*(1-SUM(X26:Y26)/SUM($B$26:$C$26))</f>
        <v>0.31415165545346946</v>
      </c>
      <c r="Y42" s="162"/>
      <c r="Z42" s="177">
        <f>10.8%+(1-10.8%)*(1-SUM(Z26:AA26)/SUM($B$26:$C$26))</f>
        <v>0.35653669361735768</v>
      </c>
      <c r="AA42" s="135"/>
      <c r="AB42" s="177">
        <f>10.8%+(1-10.8%)*(1-SUM(AB26:AC26)/SUM($B$26:$C$26))</f>
        <v>0.40424476648028951</v>
      </c>
      <c r="AC42" s="135"/>
      <c r="AD42" s="177">
        <f>10.8%+(1-10.8%)*(1-SUM(AD26:AE26)/SUM($B$26:$C$26))</f>
        <v>0.45644061798190927</v>
      </c>
      <c r="AE42" s="135"/>
      <c r="AF42" s="177">
        <f>10.8%+(1-10.8%)*(1-SUM(AF26:AG26)/SUM($B$26:$C$26))</f>
        <v>0.51183788964086407</v>
      </c>
      <c r="AG42" s="135"/>
      <c r="AH42" s="177">
        <f>10.8%+(1-10.8%)*(1-SUM(AH26:AI26)/SUM($B$26:$C$26))</f>
        <v>0.56946633603872066</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0.56058995943838996</v>
      </c>
      <c r="C43" s="135"/>
      <c r="D43" s="162">
        <f t="array" ref="D43">SUM(D15:E15*D27:E27)/SUM(D15:E15*D27:E27,D13:E13*D26:E26)</f>
        <v>0.5675430991880227</v>
      </c>
      <c r="E43" s="135"/>
      <c r="F43" s="162">
        <f t="array" ref="F43">SUM(F15:G15*F27:G27)/SUM(F15:G15*F27:G27,F13:G13*F26:G26)</f>
        <v>0.56794417839883149</v>
      </c>
      <c r="G43" s="135"/>
      <c r="H43" s="162">
        <f t="array" ref="H43">SUM(H15:I15*H27:I27)/SUM(H15:I15*H27:I27,H13:I13*H26:I26)</f>
        <v>0.56840974754953655</v>
      </c>
      <c r="I43" s="135"/>
      <c r="J43" s="162">
        <f t="array" ref="J43">SUM(J15:K15*J27:K27)/SUM(J15:K15*J27:K27,J13:K13*J26:K26)</f>
        <v>0.56894609135436813</v>
      </c>
      <c r="K43" s="135"/>
      <c r="L43" s="162">
        <f t="array" ref="L43">SUM(L15:M15*L27:M27)/SUM(L15:M15*L27:M27,L13:M13*L26:M26)</f>
        <v>0.5695596374402786</v>
      </c>
      <c r="M43" s="135"/>
      <c r="N43" s="162">
        <f t="array" ref="N43">SUM(N15:O15*N27:O27)/SUM(N15:O15*N27:O27,N13:O13*N26:O26)</f>
        <v>0.57025653280103306</v>
      </c>
      <c r="O43" s="135"/>
      <c r="P43" s="162">
        <f t="array" ref="P43">SUM(P15:Q15*P27:Q27)/SUM(P15:Q15*P27:Q27,P13:Q13*P26:Q26)</f>
        <v>0.57104193802873349</v>
      </c>
      <c r="Q43" s="135"/>
      <c r="R43" s="162">
        <f t="array" ref="R43">SUM(R15:S15*R27:S27)/SUM(R15:S15*R27:S27,R13:S13*R26:S26)</f>
        <v>0.57191881351029494</v>
      </c>
      <c r="S43" s="135"/>
      <c r="T43" s="162">
        <f t="array" ref="T43">SUM(T15:U15*T27:U27)/SUM(T15:U15*T27:U27,T13:U13*T26:U26)</f>
        <v>0.57288590245785942</v>
      </c>
      <c r="U43" s="135"/>
      <c r="V43" s="162">
        <f t="array" ref="V43">SUM(V15:W15*V27:W27)/SUM(V15:W15*V27:W27,V13:W13*V26:W26)</f>
        <v>0.57393430423488423</v>
      </c>
      <c r="W43" s="135"/>
      <c r="X43" s="162">
        <f t="array" ref="X43">SUM(X15:Y15*X27:Y27)/SUM(X15:Y15*X27:Y27,X13:Y13*X26:Y26)</f>
        <v>0.57504184655068569</v>
      </c>
      <c r="Y43" s="135"/>
      <c r="Z43" s="162">
        <f t="array" ref="Z43">SUM(Z15:AA15*Z27:AA27)/SUM(Z15:AA15*Z27:AA27,Z13:AA13*Z26:AA26)</f>
        <v>0.57616400651798738</v>
      </c>
      <c r="AA43" s="135"/>
      <c r="AB43" s="162">
        <f t="array" ref="AB43">SUM(AB15:AC15*AB27:AC27)/SUM(AB15:AC15*AB27:AC27,AB13:AC13*AB26:AC26)</f>
        <v>0.57721994760016992</v>
      </c>
      <c r="AC43" s="135"/>
      <c r="AD43" s="162">
        <f t="array" ref="AD43">SUM(AD15:AE15*AD27:AE27)/SUM(AD15:AE15*AD27:AE27,AD13:AE13*AD26:AE26)</f>
        <v>0.57807295387140978</v>
      </c>
      <c r="AE43" s="135"/>
      <c r="AF43" s="162">
        <f t="array" ref="AF43">SUM(AF15:AG15*AF27:AG27)/SUM(AF15:AG15*AF27:AG27,AF13:AG13*AF26:AG26)</f>
        <v>0.5785035737297658</v>
      </c>
      <c r="AG43" s="135"/>
      <c r="AH43" s="162">
        <f t="array" ref="AH43">SUM(AH15:AI15*AH27:AI27)/SUM(AH15:AI15*AH27:AI27,AH13:AI13*AH26:AI26)</f>
        <v>0.57815321511603002</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0.29909333655034043</v>
      </c>
      <c r="F44" s="193">
        <f>(SUM(F11:G11*F24:G24)+F34)/F32</f>
        <v>0.3006564284268331</v>
      </c>
      <c r="H44" s="193">
        <f>(SUM(H11:I11*H24:I24)+H34)/H32</f>
        <v>0.30223035668840398</v>
      </c>
      <c r="J44" s="193">
        <f>(SUM(J11:K11*J24:K24)+J34)/J32</f>
        <v>0.30381347155154914</v>
      </c>
      <c r="L44" s="193">
        <f>(SUM(L11:M11*L24:M24)+L34)/L32</f>
        <v>0.30540300970828449</v>
      </c>
      <c r="N44" s="193">
        <f>(SUM(N11:O11*N24:O24)+N34)/N32</f>
        <v>0.3069950848782888</v>
      </c>
      <c r="P44" s="193">
        <f>(SUM(P11:Q11*P24:Q24)+P34)/P32</f>
        <v>0.30858464172051414</v>
      </c>
      <c r="R44" s="193">
        <f>(SUM(R11:S11*R24:S24)+R34)/R32</f>
        <v>0.31016589362507979</v>
      </c>
      <c r="T44" s="193">
        <f>(SUM(T11:U11*T24:U24)+T34)/T32</f>
        <v>0.31173320377615882</v>
      </c>
      <c r="V44" s="193">
        <f>(SUM(V11:W11*V24:W24)+V34)/V32</f>
        <v>0.313284889107319</v>
      </c>
      <c r="X44" s="193">
        <f>(SUM(X11:Y11*X24:Y24)+X34)/X32</f>
        <v>0.31482979688881568</v>
      </c>
      <c r="Z44" s="193">
        <f>(SUM(Z11:AA11*Z24:AA24)+Z34)/Z32</f>
        <v>0.31640277301637371</v>
      </c>
      <c r="AB44" s="193">
        <f>(SUM(AB11:AC11*AB24:AC24)+AB34)/AB32</f>
        <v>0.31809275250965324</v>
      </c>
      <c r="AD44" s="193">
        <f>(SUM(AD11:AE11*AD24:AE24)+AD34)/AD32</f>
        <v>0.32009270850083421</v>
      </c>
      <c r="AF44" s="193">
        <f>(SUM(AF11:AG11*AF24:AG24)+AF34)/AF32</f>
        <v>0.32278433996622075</v>
      </c>
      <c r="AH44" s="193">
        <f>(SUM(AH11:AI11*AH24:AI24)+AH34)/AH32</f>
        <v>0.32689840153213329</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0.22232383247071488</v>
      </c>
      <c r="F45" s="193">
        <f>SUM(F11:G11*F24:G24)/F32</f>
        <v>0.22462585490549439</v>
      </c>
      <c r="H45" s="193">
        <f>SUM(H11:I11*H24:I24)/H32</f>
        <v>0.2273757869797744</v>
      </c>
      <c r="J45" s="193">
        <f>SUM(J11:K11*J24:K24)/J32</f>
        <v>0.23068418627912093</v>
      </c>
      <c r="L45" s="193">
        <f>SUM(L11:M11*L24:M24)/L32</f>
        <v>0.23469649070180779</v>
      </c>
      <c r="N45" s="193">
        <f>SUM(N11:O11*N24:O24)/N32</f>
        <v>0.23960516368681903</v>
      </c>
      <c r="P45" s="193">
        <f>SUM(P11:Q11*P24:Q24)/P32</f>
        <v>0.24566682228845993</v>
      </c>
      <c r="R45" s="193">
        <f>SUM(R11:S11*R24:S24)/R32</f>
        <v>0.25322527886555229</v>
      </c>
      <c r="T45" s="193">
        <f>SUM(T11:U11*T24:U24)/T32</f>
        <v>0.2627419679686166</v>
      </c>
      <c r="V45" s="193">
        <f>SUM(V11:W11*V24:W24)/V32</f>
        <v>0.2748323759940442</v>
      </c>
      <c r="X45" s="193">
        <f>SUM(X11:Y11*X24:Y24)/X32</f>
        <v>0.29030484660910039</v>
      </c>
      <c r="Z45" s="193">
        <f>SUM(Z11:AA11*Z24:AA24)/Z32</f>
        <v>0.31018736873584529</v>
      </c>
      <c r="AB45" s="193">
        <f>SUM(AB11:AC11*AB24:AC24)/AB32</f>
        <v>0.33571573148262729</v>
      </c>
      <c r="AD45" s="193">
        <f>SUM(AD11:AE11*AD24:AE24)/AD32</f>
        <v>0.36826100643284448</v>
      </c>
      <c r="AF45" s="193">
        <f>SUM(AF11:AG11*AF24:AG24)/AF32</f>
        <v>0.40926417927487918</v>
      </c>
      <c r="AH45" s="193">
        <f>SUM(AH11:AI11*AH24:AI24)/AH32</f>
        <v>0.4605159709640736</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7.6769504079625531E-2</v>
      </c>
      <c r="F46" s="193">
        <f>F34/F32</f>
        <v>7.6030573521338712E-2</v>
      </c>
      <c r="H46" s="193">
        <f>H34/H32</f>
        <v>7.4854569708629581E-2</v>
      </c>
      <c r="J46" s="193">
        <f>J34/J32</f>
        <v>7.3129285272428207E-2</v>
      </c>
      <c r="L46" s="193">
        <f>L34/L32</f>
        <v>7.0706519006476704E-2</v>
      </c>
      <c r="N46" s="193">
        <f>N34/N32</f>
        <v>6.7389921191469804E-2</v>
      </c>
      <c r="P46" s="193">
        <f>P34/P32</f>
        <v>6.2917819432054239E-2</v>
      </c>
      <c r="R46" s="193">
        <f>R34/R32</f>
        <v>5.6940614759527497E-2</v>
      </c>
      <c r="T46" s="193">
        <f>T34/T32</f>
        <v>4.8991235807542215E-2</v>
      </c>
      <c r="V46" s="193">
        <f>V34/V32</f>
        <v>3.8452513113274765E-2</v>
      </c>
      <c r="X46" s="193">
        <f>X34/X32</f>
        <v>2.4524950279715289E-2</v>
      </c>
      <c r="Z46" s="193">
        <f>Z34/Z32</f>
        <v>6.2154042805283851E-3</v>
      </c>
      <c r="AB46" s="193">
        <f>AB34/AB32</f>
        <v>-1.7622978972974077E-2</v>
      </c>
      <c r="AD46" s="193">
        <f>AD34/AD32</f>
        <v>-4.8168297932010301E-2</v>
      </c>
      <c r="AF46" s="193">
        <f>AF34/AF32</f>
        <v>-8.6479839308658463E-2</v>
      </c>
      <c r="AH46" s="193">
        <f>AH34/AH32</f>
        <v>-0.13361756943194028</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0.99311131557734733</v>
      </c>
      <c r="E49" s="191"/>
      <c r="F49" s="191">
        <f>F13/F35/$B$13*$B$35</f>
        <v>0.98580151704249941</v>
      </c>
      <c r="G49" s="191"/>
      <c r="H49" s="191">
        <f>H13/H35/$B$13*$B$35</f>
        <v>0.97804151749074886</v>
      </c>
      <c r="I49" s="191"/>
      <c r="J49" s="191">
        <f>J13/J35/$B$13*$B$35</f>
        <v>0.96980408012092456</v>
      </c>
      <c r="K49" s="191"/>
      <c r="L49" s="191">
        <f>L13/L35/$B$13*$B$35</f>
        <v>0.96106666189638035</v>
      </c>
      <c r="M49" s="191"/>
      <c r="N49" s="191">
        <f>N13/N35/$B$13*$B$35</f>
        <v>0.95181490360660459</v>
      </c>
      <c r="O49" s="191"/>
      <c r="P49" s="191">
        <f>P13/P35/$B$13*$B$35</f>
        <v>0.94204790377270498</v>
      </c>
      <c r="Q49" s="191"/>
      <c r="R49" s="191">
        <f>R13/R35/$B$13*$B$35</f>
        <v>0.93178530986322916</v>
      </c>
      <c r="S49" s="191"/>
      <c r="T49" s="191">
        <f>T13/T35/$B$13*$B$35</f>
        <v>0.92107649628421928</v>
      </c>
      <c r="U49" s="191"/>
      <c r="V49" s="191">
        <f>V13/V35/$B$13*$B$35</f>
        <v>0.91001086132621023</v>
      </c>
      <c r="W49" s="191"/>
      <c r="X49" s="191">
        <f>X13/X35/$B$13*$B$35</f>
        <v>0.8987283368893203</v>
      </c>
      <c r="Y49" s="191"/>
      <c r="Z49" s="191">
        <f>Z13/Z35/$B$13*$B$35</f>
        <v>0.88742558806231664</v>
      </c>
      <c r="AA49" s="191"/>
      <c r="AB49" s="191">
        <f>AB13/AB35/$B$13*$B$35</f>
        <v>0.87635069336001303</v>
      </c>
      <c r="AC49" s="191"/>
      <c r="AD49" s="191">
        <f>AD13/AD35/$B$13*$B$35</f>
        <v>0.86577281909971393</v>
      </c>
      <c r="AE49" s="191"/>
      <c r="AF49" s="191">
        <f>AF13/AF35/$B$13*$B$35</f>
        <v>0.85591203401761773</v>
      </c>
      <c r="AG49" s="191"/>
      <c r="AH49" s="191">
        <f>AH13/AH35/$B$13*$B$35</f>
        <v>0.84682870322083481</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-363982.10853548674</v>
      </c>
      <c r="F51" s="29">
        <f>F30-F10*F23</f>
        <v>-322230.35547048552</v>
      </c>
      <c r="H51" s="29">
        <f>H30-H10*H23</f>
        <v>-280683.85939664068</v>
      </c>
      <c r="J51" s="29">
        <f>J30-J10*J23</f>
        <v>-239481.26846266678</v>
      </c>
      <c r="L51" s="29">
        <f>L30-L10*L23</f>
        <v>-198809.59521248098</v>
      </c>
      <c r="N51" s="29">
        <f>N30-N10*N23</f>
        <v>-158912.2947663893</v>
      </c>
      <c r="P51" s="29">
        <f>P30-P10*P23</f>
        <v>-120095.23325037677</v>
      </c>
      <c r="R51" s="29">
        <f>R30-R10*R23</f>
        <v>-82722.39473999152</v>
      </c>
      <c r="T51" s="29">
        <f>T30-T10*T23</f>
        <v>-47187.996883649379</v>
      </c>
      <c r="V51" s="29">
        <f>V30-V10*V23</f>
        <v>-13842.506849454716</v>
      </c>
      <c r="X51" s="29">
        <f>X30-X10*X23</f>
        <v>17166.670259647537</v>
      </c>
      <c r="Z51" s="29">
        <f>Z30-Z10*Z23</f>
        <v>46193.890346109867</v>
      </c>
      <c r="AB51" s="29">
        <f>AB30-AB10*AB23</f>
        <v>74608.556408694014</v>
      </c>
      <c r="AD51" s="29">
        <f>AD30-AD10*AD23</f>
        <v>105614.77760157734</v>
      </c>
      <c r="AF51" s="29">
        <f>AF30-AF10*AF23</f>
        <v>145606.58888329891</v>
      </c>
      <c r="AH51" s="29">
        <f>AH30-AH10*AH23</f>
        <v>207096.97518655146</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2021742.397562532</v>
      </c>
      <c r="F52" s="29">
        <f t="array" ref="F52">Calibration!sL*SUM(F13:G13*F26:G26)</f>
        <v>1991994.1969642271</v>
      </c>
      <c r="H52" s="29">
        <f t="array" ref="H52">Calibration!sL*SUM(H13:I13*H26:I26)</f>
        <v>1959651.7228765704</v>
      </c>
      <c r="J52" s="29">
        <f t="array" ref="J52">Calibration!sL*SUM(J13:K13*J26:K26)</f>
        <v>1924307.5869887397</v>
      </c>
      <c r="L52" s="29">
        <f t="array" ref="L52">Calibration!sL*SUM(L13:M13*L26:M26)</f>
        <v>1885492.4683984616</v>
      </c>
      <c r="N52" s="29">
        <f t="array" ref="N52">Calibration!sL*SUM(N13:O13*N26:O26)</f>
        <v>1842679.6436891377</v>
      </c>
      <c r="P52" s="29">
        <f t="array" ref="P52">Calibration!sL*SUM(P13:Q13*P26:Q26)</f>
        <v>1795301.4067680393</v>
      </c>
      <c r="R52" s="29">
        <f t="array" ref="R52">Calibration!sL*SUM(R13:S13*R26:S26)</f>
        <v>1742790.5152225057</v>
      </c>
      <c r="T52" s="29">
        <f t="array" ref="T52">Calibration!sL*SUM(T13:U13*T26:U26)</f>
        <v>1684665.7167197622</v>
      </c>
      <c r="V52" s="29">
        <f t="array" ref="V52">Calibration!sL*SUM(V13:W13*V26:W26)</f>
        <v>1620686.7450130058</v>
      </c>
      <c r="X52" s="29">
        <f t="array" ref="X52">Calibration!sL*SUM(X13:Y13*X26:Y26)</f>
        <v>1551112.7037184879</v>
      </c>
      <c r="Z52" s="29">
        <f t="array" ref="Z52">Calibration!sL*SUM(Z13:AA13*Z26:AA26)</f>
        <v>1477078.6317571027</v>
      </c>
      <c r="AB52" s="29">
        <f t="array" ref="AB52">Calibration!sL*SUM(AB13:AC13*AB26:AC26)</f>
        <v>1401061.2370221419</v>
      </c>
      <c r="AD52" s="29">
        <f t="array" ref="AD52">Calibration!sL*SUM(AD13:AE13*AD26:AE26)</f>
        <v>1327279.440158752</v>
      </c>
      <c r="AF52" s="29">
        <f t="array" ref="AF52">Calibration!sL*SUM(AF13:AG13*AF26:AG26)</f>
        <v>1261801.249783936</v>
      </c>
      <c r="AH52" s="29">
        <f t="array" ref="AH52">Calibration!sL*SUM(AH13:AI13*AH26:AI26)</f>
        <v>1212504.1214072607</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2740714.4444297217</v>
      </c>
      <c r="D53" s="29">
        <f t="array" ref="D53">Calibration!sK*SUM(D15:E15*D27:E27)</f>
        <v>2707704.2217832976</v>
      </c>
      <c r="F53" s="29">
        <f t="array" ref="F53">Calibration!sK*SUM(F15:G15*F27:G27)</f>
        <v>2672226.3831956913</v>
      </c>
      <c r="H53" s="29">
        <f t="array" ref="H53">Calibration!sK*SUM(H15:I15*H27:I27)</f>
        <v>2633832.6118366774</v>
      </c>
      <c r="J53" s="29">
        <f t="array" ref="J53">Calibration!sK*SUM(J15:K15*J27:K27)</f>
        <v>2591990.5300595234</v>
      </c>
      <c r="L53" s="29">
        <f t="array" ref="L53">Calibration!sK*SUM(L15:M15*L27:M27)</f>
        <v>2546070.3884432106</v>
      </c>
      <c r="N53" s="29">
        <f t="array" ref="N53">Calibration!sK*SUM(N15:O15*N27:O27)</f>
        <v>2495342.7765659979</v>
      </c>
      <c r="P53" s="29">
        <f t="array" ref="P53">Calibration!sK*SUM(P15:Q15*P27:Q27)</f>
        <v>2438989.4899342051</v>
      </c>
      <c r="R53" s="29">
        <f t="array" ref="R53">Calibration!sK*SUM(R15:S15*R27:S27)</f>
        <v>2376144.3302292251</v>
      </c>
      <c r="T53" s="29">
        <f t="array" ref="T53">Calibration!sK*SUM(T15:U15*T27:U27)</f>
        <v>2305989.6551793092</v>
      </c>
      <c r="V53" s="29">
        <f t="array" ref="V53">Calibration!sK*SUM(V15:W15*V27:W27)</f>
        <v>2227943.0350947161</v>
      </c>
      <c r="X53" s="29">
        <f t="array" ref="X53">Calibration!sK*SUM(X15:Y15*X27:Y27)</f>
        <v>2141983.0319314054</v>
      </c>
      <c r="Z53" s="29">
        <f t="array" ref="Z53">Calibration!sK*SUM(Z15:AA15*Z27:AA27)</f>
        <v>2049138.3981737776</v>
      </c>
      <c r="AB53" s="29">
        <f t="array" ref="AB53">Calibration!sK*SUM(AB15:AC15*AB27:AC27)</f>
        <v>1952105.7833708155</v>
      </c>
      <c r="AD53" s="29">
        <f t="array" ref="AD53">Calibration!sK*SUM(AD15:AE15*AD27:AE27)</f>
        <v>1855782.3513672333</v>
      </c>
      <c r="AF53" s="29">
        <f t="array" ref="AF53">Calibration!sK*SUM(AF15:AG15*AF27:AG27)</f>
        <v>1767349.6991085417</v>
      </c>
      <c r="AH53" s="29">
        <f t="array" ref="AH53">Calibration!sK*SUM(AH15:AI15*AH27:AI27)</f>
        <v>1695863.1867006419</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0.20110850431998409</v>
      </c>
      <c r="F55" s="193">
        <f>F30/F32</f>
        <v>0.20373370951594841</v>
      </c>
      <c r="H55" s="193">
        <f>H30/H32</f>
        <v>0.20637657287731059</v>
      </c>
      <c r="J55" s="193">
        <f>J30/J32</f>
        <v>0.2090341028765195</v>
      </c>
      <c r="L55" s="193">
        <f>L30/L32</f>
        <v>0.21170162879959123</v>
      </c>
      <c r="N55" s="193">
        <f>N30/N32</f>
        <v>0.21437259615567633</v>
      </c>
      <c r="P55" s="193">
        <f>P30/P32</f>
        <v>0.21703847729220471</v>
      </c>
      <c r="R55" s="193">
        <f>R30/R32</f>
        <v>0.21968933722925402</v>
      </c>
      <c r="T55" s="193">
        <f>T30/T32</f>
        <v>0.22231596732757425</v>
      </c>
      <c r="V55" s="193">
        <f>V30/V32</f>
        <v>0.22491533390070742</v>
      </c>
      <c r="X55" s="193">
        <f>X30/X32</f>
        <v>0.22750286162931513</v>
      </c>
      <c r="Z55" s="193">
        <f>Z30/Z32</f>
        <v>0.23013752481881281</v>
      </c>
      <c r="AB55" s="193">
        <f>AB30/AB32</f>
        <v>0.23296977378966729</v>
      </c>
      <c r="AD55" s="193">
        <f>AD30/AD32</f>
        <v>0.23632587791213638</v>
      </c>
      <c r="AF55" s="193">
        <f>AF30/AF32</f>
        <v>0.24085033588788712</v>
      </c>
      <c r="AH55" s="193">
        <f>AH30/AH32</f>
        <v>0.24777640732546513</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3.2531304953560644E-2</v>
      </c>
      <c r="F56" s="193">
        <f>(Model!$C$52*F5*F20+F2*G5*G20)/F32</f>
        <v>3.5885616353180202E-2</v>
      </c>
      <c r="H56" s="193">
        <f>(Model!$C$52*H5*H20+H2*I5*I20)/H32</f>
        <v>3.9284046806402767E-2</v>
      </c>
      <c r="J56" s="193">
        <f>(Model!$C$52*J5*J20+J2*K5*K20)/J32</f>
        <v>4.2725127362444389E-2</v>
      </c>
      <c r="L56" s="193">
        <f>(Model!$C$52*L5*L20+L2*M5*M20)/L32</f>
        <v>4.6205402198875756E-2</v>
      </c>
      <c r="N56" s="193">
        <f>(Model!$C$52*N5*N20+N2*O5*O20)/N32</f>
        <v>4.9719059784353203E-2</v>
      </c>
      <c r="P56" s="193">
        <f>(Model!$C$52*P5*P20+P2*Q5*Q20)/P32</f>
        <v>5.325760600692523E-2</v>
      </c>
      <c r="R56" s="193">
        <f>(Model!$C$52*R5*R20+R2*S5*S20)/R32</f>
        <v>5.6810182188423874E-2</v>
      </c>
      <c r="T56" s="193">
        <f>(Model!$C$52*T5*T20+T2*U5*U20)/T32</f>
        <v>6.0365406098762286E-2</v>
      </c>
      <c r="V56" s="193">
        <f>(Model!$C$52*V5*V20+V2*W5*W20)/V32</f>
        <v>6.3916914325955101E-2</v>
      </c>
      <c r="X56" s="193">
        <f>(Model!$C$52*X5*X20+X2*Y5*Y20)/X32</f>
        <v>6.7476227015391244E-2</v>
      </c>
      <c r="Z56" s="193">
        <f>(Model!$C$52*Z5*Z20+Z2*AA5*AA20)/Z32</f>
        <v>7.1099880203086718E-2</v>
      </c>
      <c r="AB56" s="193">
        <f>(Model!$C$52*AB5*AB20+AB2*AC5*AC20)/AB32</f>
        <v>7.494211453706931E-2</v>
      </c>
      <c r="AD56" s="193">
        <f>(Model!$C$52*AD5*AD20+AD2*AE5*AE20)/AD32</f>
        <v>7.9348919196337214E-2</v>
      </c>
      <c r="AF56" s="193">
        <f>(Model!$C$52*AF5*AF20+AF2*AG5*AG20)/AF32</f>
        <v>8.5018339642062235E-2</v>
      </c>
      <c r="AH56" s="193">
        <f>(Model!$C$52*AH5*AH20+AH2*AI5*AI20)/AH32</f>
        <v>9.3302706972190591E-2</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0.15788834976347405</v>
      </c>
      <c r="F57" s="193">
        <f t="array" ref="F57">SUM(Model!tauL*F13:G13*F26:G26)/F32</f>
        <v>0.15722357190593542</v>
      </c>
      <c r="H57" s="193">
        <f t="array" ref="H57">SUM(Model!tauL*H13:I13*H26:I26)/H32</f>
        <v>0.15653288337218144</v>
      </c>
      <c r="J57" s="193">
        <f t="array" ref="J57">SUM(Model!tauL*J13:K13*J26:K26)/J32</f>
        <v>0.15581483904118767</v>
      </c>
      <c r="L57" s="193">
        <f t="array" ref="L57">SUM(Model!tauL*L13:M13*L26:M26)/L32</f>
        <v>0.15506831672245103</v>
      </c>
      <c r="N57" s="193">
        <f t="array" ref="N57">SUM(Model!tauL*N13:O13*N26:O26)/N32</f>
        <v>0.15429269430991888</v>
      </c>
      <c r="P57" s="193">
        <f t="array" ref="P57">SUM(Model!tauL*P13:Q13*P26:Q26)/P32</f>
        <v>0.1534881080244539</v>
      </c>
      <c r="R57" s="193">
        <f t="array" ref="R57">SUM(Model!tauL*R13:S13*R26:S26)/R32</f>
        <v>0.15265574054803083</v>
      </c>
      <c r="T57" s="193">
        <f t="array" ref="T57">SUM(Model!tauL*T13:U13*T26:U26)/T32</f>
        <v>0.15179817562015049</v>
      </c>
      <c r="V57" s="193">
        <f t="array" ref="V57">SUM(Model!tauL*V13:W13*V26:W26)/V32</f>
        <v>0.1509194362340098</v>
      </c>
      <c r="X57" s="193">
        <f t="array" ref="X57">SUM(Model!tauL*X13:Y13*X26:Y26)/X32</f>
        <v>0.15002461195663111</v>
      </c>
      <c r="Y57" s="193"/>
      <c r="Z57" s="193">
        <f t="array" ref="Z57">SUM(Model!tauL*Z13:AA13*Z26:AA26)/Z32</f>
        <v>0.14911813221832595</v>
      </c>
      <c r="AB57" s="193">
        <f t="array" ref="AB57">SUM(Model!tauL*AB13:AC13*AB26:AC26)/AB32</f>
        <v>0.14819939223151785</v>
      </c>
      <c r="AD57" s="193">
        <f t="array" ref="AD57">SUM(Model!tauL*AD13:AE13*AD26:AE26)/AD32</f>
        <v>0.14725325238086842</v>
      </c>
      <c r="AF57" s="193">
        <f t="array" ref="AF57">SUM(Model!tauL*AF13:AG13*AF26:AG26)/AF32</f>
        <v>0.14623144024580151</v>
      </c>
      <c r="AH57" s="193">
        <f t="array" ref="AH57">SUM(Model!tauL*AH13:AI13*AH26:AI26)/AH32</f>
        <v>0.14501774560839187</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1.0688849602949396E-2</v>
      </c>
      <c r="F58" s="193">
        <f t="array" ref="F58">SUM(Model!tauY/(1+Model!tauY)*F3:G3*F18:G18)/F32</f>
        <v>1.0624521256832825E-2</v>
      </c>
      <c r="H58" s="193">
        <f t="array" ref="H58">SUM(Model!tauY/(1+Model!tauY)*H3:I3*H18:I18)/H32</f>
        <v>1.0559642698726373E-2</v>
      </c>
      <c r="J58" s="193">
        <f t="array" ref="J58">SUM(Model!tauY/(1+Model!tauY)*J3:K3*J18:K18)/J32</f>
        <v>1.0494136472887468E-2</v>
      </c>
      <c r="L58" s="193">
        <f t="array" ref="L58">SUM(Model!tauY/(1+Model!tauY)*L3:M3*L18:M18)/L32</f>
        <v>1.0427909878264436E-2</v>
      </c>
      <c r="N58" s="193">
        <f t="array" ref="N58">SUM(Model!tauY/(1+Model!tauY)*N3:O3*N18:O18)/N32</f>
        <v>1.0360842061404293E-2</v>
      </c>
      <c r="P58" s="193">
        <f t="array" ref="P58">SUM(Model!tauY/(1+Model!tauY)*P3:Q3*P18:Q18)/P32</f>
        <v>1.0292763260825583E-2</v>
      </c>
      <c r="R58" s="193">
        <f t="array" ref="R58">SUM(Model!tauY/(1+Model!tauY)*R3:S3*R18:S18)/R32</f>
        <v>1.022341449279931E-2</v>
      </c>
      <c r="T58" s="193">
        <f t="array" ref="T58">SUM(Model!tauY/(1+Model!tauY)*T3:U3*T18:U18)/T32</f>
        <v>1.0152385608661453E-2</v>
      </c>
      <c r="V58" s="193">
        <f t="array" ref="V58">SUM(Model!tauY/(1+Model!tauY)*V3:W3*V18:W18)/V32</f>
        <v>1.0078983340742522E-2</v>
      </c>
      <c r="X58" s="193">
        <f t="array" ref="X58">SUM(Model!tauY/(1+Model!tauY)*X3:Y3*X18:Y18)/X32</f>
        <v>1.0002022657292763E-2</v>
      </c>
      <c r="Y58" s="193"/>
      <c r="Z58" s="193">
        <f t="array" ref="Z58">SUM(Model!tauY/(1+Model!tauY)*Z3:AA3*Z18:AA18)/Z32</f>
        <v>9.9195123974001338E-3</v>
      </c>
      <c r="AB58" s="193">
        <f t="array" ref="AB58">SUM(Model!tauY/(1+Model!tauY)*AB3:AC3*AB18:AC18)/AB32</f>
        <v>9.8282670210801445E-3</v>
      </c>
      <c r="AD58" s="193">
        <f t="array" ref="AD58">SUM(Model!tauY/(1+Model!tauY)*AD3:AE3*AD18:AE18)/AD32</f>
        <v>9.7237063349307137E-3</v>
      </c>
      <c r="AF58" s="193">
        <f t="array" ref="AF58">SUM(Model!tauY/(1+Model!tauY)*AF3:AG3*AF18:AG18)/AF32</f>
        <v>9.600556000023408E-3</v>
      </c>
      <c r="AH58" s="193">
        <f t="array" ref="AH58">SUM(Model!tauY/(1+Model!tauY)*AH3:AI3*AH18:AI18)/AH32</f>
        <v>9.4559547448827032E-3</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3.8916385203255836E-3</v>
      </c>
      <c r="F59" s="193">
        <f>(F2*G5*G20)/F32</f>
        <v>7.2708247422679836E-3</v>
      </c>
      <c r="H59" s="193">
        <f>(H2*I5*I20)/H32</f>
        <v>1.0687902167680658E-2</v>
      </c>
      <c r="J59" s="193">
        <f>(J2*K5*K20)/J32</f>
        <v>1.4139695692788085E-2</v>
      </c>
      <c r="L59" s="193">
        <f>(L2*M5*M20)/L32</f>
        <v>1.7620480122768234E-2</v>
      </c>
      <c r="N59" s="193">
        <f>(N2*O5*O20)/N32</f>
        <v>2.1121423501611031E-2</v>
      </c>
      <c r="P59" s="193">
        <f>(P2*Q5*Q20)/P32</f>
        <v>2.4629993213918681E-2</v>
      </c>
      <c r="R59" s="193">
        <f>(R2*S5*S20)/R32</f>
        <v>2.8129925589635053E-2</v>
      </c>
      <c r="T59" s="193">
        <f>(T2*U5*U20)/T32</f>
        <v>3.1602607078615813E-2</v>
      </c>
      <c r="V59" s="193">
        <f>(V2*W5*W20)/V32</f>
        <v>3.5032127270299293E-2</v>
      </c>
      <c r="X59" s="193">
        <f>(X2*Y5*Y20)/X32</f>
        <v>3.841766289138749E-2</v>
      </c>
      <c r="Z59" s="193">
        <f>(Z2*AA5*AA20)/Z32</f>
        <v>4.1800474612284706E-2</v>
      </c>
      <c r="AB59" s="193">
        <f>(AB2*AC5*AC20)/AB32</f>
        <v>4.5317280369428212E-2</v>
      </c>
      <c r="AD59" s="193">
        <f>(AD2*AE5*AE20)/AD32</f>
        <v>4.9296286105514404E-2</v>
      </c>
      <c r="AF59" s="193">
        <f>(AF2*AG5*AG20)/AF32</f>
        <v>5.4419862757267255E-2</v>
      </c>
      <c r="AH59" s="193">
        <f>(AH2*AI5*AI20)/AH32</f>
        <v>6.2024508772892339E-2</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2.8639666433235057E-2</v>
      </c>
      <c r="F60" s="193">
        <f>Model!$C$52*F5*F20/F32</f>
        <v>2.8614791610912217E-2</v>
      </c>
      <c r="H60" s="193">
        <f>Model!$C$52*H5*H20/H32</f>
        <v>2.8596144638722107E-2</v>
      </c>
      <c r="J60" s="193">
        <f>Model!$C$52*J5*J20/J32</f>
        <v>2.8585431669656301E-2</v>
      </c>
      <c r="L60" s="193">
        <f>Model!$C$52*L5*L20/L32</f>
        <v>2.8584922076107522E-2</v>
      </c>
      <c r="N60" s="193">
        <f>Model!$C$52*N5*N20/N32</f>
        <v>2.859763628274218E-2</v>
      </c>
      <c r="P60" s="193">
        <f>Model!$C$52*P5*P20/P32</f>
        <v>2.8627612793006546E-2</v>
      </c>
      <c r="R60" s="193">
        <f>Model!$C$52*R5*R20/R32</f>
        <v>2.8680256598788822E-2</v>
      </c>
      <c r="T60" s="193">
        <f>Model!$C$52*T5*T20/T32</f>
        <v>2.8762799020146466E-2</v>
      </c>
      <c r="V60" s="193">
        <f>Model!$C$52*V5*V20/V32</f>
        <v>2.8884787055655812E-2</v>
      </c>
      <c r="X60" s="193">
        <f>Model!$C$52*X5*X20/X32</f>
        <v>2.905856412400375E-2</v>
      </c>
      <c r="Z60" s="193">
        <f>Model!$C$52*Z5*Z20/Z32</f>
        <v>2.9299405590802016E-2</v>
      </c>
      <c r="AB60" s="193">
        <f>Model!$C$52*AB5*AB20/AB32</f>
        <v>2.9624834167641095E-2</v>
      </c>
      <c r="AD60" s="193">
        <f>Model!$C$52*AD5*AD20/AD32</f>
        <v>3.0052633090822803E-2</v>
      </c>
      <c r="AF60" s="193">
        <f>Model!$C$52*AF5*AF20/AF32</f>
        <v>3.059847688479498E-2</v>
      </c>
      <c r="AH60" s="193">
        <f>Model!$C$52*AH5*AH20/AH32</f>
        <v>3.1278198199298245E-2</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0.99590208803302693</v>
      </c>
      <c r="F62">
        <f>F13/F15</f>
        <v>0.99149495980202385</v>
      </c>
      <c r="H62">
        <f>H13/H15</f>
        <v>0.98675109322512422</v>
      </c>
      <c r="J62">
        <f>J13/J15</f>
        <v>0.98164219758125637</v>
      </c>
      <c r="L62">
        <f>L13/L15</f>
        <v>0.97614059669246434</v>
      </c>
      <c r="N62">
        <f>N13/N15</f>
        <v>0.97022131737663098</v>
      </c>
      <c r="P62">
        <f>P13/P15</f>
        <v>0.963865669438429</v>
      </c>
      <c r="R62">
        <f>R13/R15</f>
        <v>0.95706702164914192</v>
      </c>
      <c r="T62">
        <f>T13/T15</f>
        <v>0.94984016174636388</v>
      </c>
      <c r="V62">
        <f>V13/V15</f>
        <v>0.94223622144838182</v>
      </c>
      <c r="X62">
        <f>X13/X15</f>
        <v>0.93436721150068358</v>
      </c>
      <c r="Z62">
        <f>Z13/Z15</f>
        <v>0.92644580510747543</v>
      </c>
      <c r="AB62">
        <f>AB13/AB15</f>
        <v>0.91884937181465498</v>
      </c>
      <c r="AD62">
        <f>AD13/AD15</f>
        <v>0.91222006945543554</v>
      </c>
      <c r="AF62">
        <f>AF13/AF15</f>
        <v>0.90763328422364831</v>
      </c>
      <c r="AH62">
        <f>AH13/AH15</f>
        <v>0.90699897619287884</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0.9993606597452438</v>
      </c>
      <c r="E65" s="191"/>
      <c r="F65" s="191">
        <f t="array" ref="F65">SQRT((F9:G9*$B$22:$C$22+F10:G10*$B$23:$C$23+F11:G11*$B$24:$C$24+F4:G4*($B$25:$C$25-$B$19:$C$19))/($B$9:$C$9*$B$22:$C$22+$B$10:$C$10*$B$23:$C$23+$B$11:$C$11*$B$24:$C$24+$B$4:$C$4*($B$25:$C$25-$B$19:$C$19))*(F9:G9*F22:G22+F10:G10*F23:G23+F11:G11*F24:G24+F4:G4*(F25:G25-F19:G19))/($B$9:$C$9*F22:G22+$B$10:$C$10*F23:G23+$B$11:$C$11*F24:G24+$B$4:$C$4*(F25:G25-F19:G19)))</f>
        <v>0.99908529475365992</v>
      </c>
      <c r="G65" s="191"/>
      <c r="H65" s="191">
        <f t="array" ref="H65">SQRT((H9:I9*$B$22:$C$22+H10:I10*$B$23:$C$23+H11:I11*$B$24:$C$24+H4:I4*($B$25:$C$25-$B$19:$C$19))/($B$9:$C$9*$B$22:$C$22+$B$10:$C$10*$B$23:$C$23+$B$11:$C$11*$B$24:$C$24+$B$4:$C$4*($B$25:$C$25-$B$19:$C$19))*(H9:I9*H22:I22+H10:I10*H23:I23+H11:I11*H24:I24+H4:I4*(H25:I25-H19:I19))/($B$9:$C$9*H22:I22+$B$10:$C$10*H23:I23+$B$11:$C$11*H24:I24+$B$4:$C$4*(H25:I25-H19:I19)))</f>
        <v>0.99926802377257007</v>
      </c>
      <c r="I65" s="191"/>
      <c r="J65" s="191">
        <f t="array" ref="J65">SQRT((J9:K9*$B$22:$C$22+J10:K10*$B$23:$C$23+J11:K11*$B$24:$C$24+J4:K4*($B$25:$C$25-$B$19:$C$19))/($B$9:$C$9*$B$22:$C$22+$B$10:$C$10*$B$23:$C$23+$B$11:$C$11*$B$24:$C$24+$B$4:$C$4*($B$25:$C$25-$B$19:$C$19))*(J9:K9*J22:K22+J10:K10*J23:K23+J11:K11*J24:K24+J4:K4*(J25:K25-J19:K19))/($B$9:$C$9*J22:K22+$B$10:$C$10*J23:K23+$B$11:$C$11*J24:K24+$B$4:$C$4*(J25:K25-J19:K19)))</f>
        <v>1.0000344002195392</v>
      </c>
      <c r="K65" s="191"/>
      <c r="L65" s="191">
        <f t="array" ref="L65">SQRT((L9:M9*$B$22:$C$22+L10:M10*$B$23:$C$23+L11:M11*$B$24:$C$24+L4:M4*($B$25:$C$25-$B$19:$C$19))/($B$9:$C$9*$B$22:$C$22+$B$10:$C$10*$B$23:$C$23+$B$11:$C$11*$B$24:$C$24+$B$4:$C$4*($B$25:$C$25-$B$19:$C$19))*(L9:M9*L22:M22+L10:M10*L23:M23+L11:M11*L24:M24+L4:M4*(L25:M25-L19:M19))/($B$9:$C$9*L22:M22+$B$10:$C$10*L23:M23+$B$11:$C$11*L24:M24+$B$4:$C$4*(L25:M25-L19:M19)))</f>
        <v>1.0015558537475036</v>
      </c>
      <c r="M65" s="191"/>
      <c r="N65" s="191">
        <f t="array" ref="N65">SQRT((N9:O9*$B$22:$C$22+N10:O10*$B$23:$C$23+N11:O11*$B$24:$C$24+N4:O4*($B$25:$C$25-$B$19:$C$19))/($B$9:$C$9*$B$22:$C$22+$B$10:$C$10*$B$23:$C$23+$B$11:$C$11*$B$24:$C$24+$B$4:$C$4*($B$25:$C$25-$B$19:$C$19))*(N9:O9*N22:O22+N10:O10*N23:O23+N11:O11*N24:O24+N4:O4*(N25:O25-N19:O19))/($B$9:$C$9*N22:O22+$B$10:$C$10*N23:O23+$B$11:$C$11*N24:O24+$B$4:$C$4*(N25:O25-N19:O19)))</f>
        <v>1.004068834520508</v>
      </c>
      <c r="O65" s="191"/>
      <c r="P65" s="191">
        <f t="array" ref="P65">SQRT((P9:Q9*$B$22:$C$22+P10:Q10*$B$23:$C$23+P11:Q11*$B$24:$C$24+P4:Q4*($B$25:$C$25-$B$19:$C$19))/($B$9:$C$9*$B$22:$C$22+$B$10:$C$10*$B$23:$C$23+$B$11:$C$11*$B$24:$C$24+$B$4:$C$4*($B$25:$C$25-$B$19:$C$19))*(P9:Q9*P22:Q22+P10:Q10*P23:Q23+P11:Q11*P24:Q24+P4:Q4*(P25:Q25-P19:Q19))/($B$9:$C$9*P22:Q22+$B$10:$C$10*P23:Q23+$B$11:$C$11*P24:Q24+$B$4:$C$4*(P25:Q25-P19:Q19)))</f>
        <v>1.0079045490528191</v>
      </c>
      <c r="Q65" s="191"/>
      <c r="R65" s="191">
        <f t="array" ref="R65">SQRT((R9:S9*$B$22:$C$22+R10:S10*$B$23:$C$23+R11:S11*$B$24:$C$24+R4:S4*($B$25:$C$25-$B$19:$C$19))/($B$9:$C$9*$B$22:$C$22+$B$10:$C$10*$B$23:$C$23+$B$11:$C$11*$B$24:$C$24+$B$4:$C$4*($B$25:$C$25-$B$19:$C$19))*(R9:S9*R22:S22+R10:S10*R23:S23+R11:S11*R24:S24+R4:S4*(R25:S25-R19:S19))/($B$9:$C$9*R22:S22+$B$10:$C$10*R23:S23+$B$11:$C$11*R24:S24+$B$4:$C$4*(R25:S25-R19:S19)))</f>
        <v>1.0135342270670478</v>
      </c>
      <c r="S65" s="191"/>
      <c r="T65" s="191">
        <f t="array" ref="T65">SQRT((T9:U9*$B$22:$C$22+T10:U10*$B$23:$C$23+T11:U11*$B$24:$C$24+T4:U4*($B$25:$C$25-$B$19:$C$19))/($B$9:$C$9*$B$22:$C$22+$B$10:$C$10*$B$23:$C$23+$B$11:$C$11*$B$24:$C$24+$B$4:$C$4*($B$25:$C$25-$B$19:$C$19))*(T9:U9*T22:U22+T10:U10*T23:U23+T11:U11*T24:U24+T4:U4*(T25:U25-T19:U19))/($B$9:$C$9*T22:U22+$B$10:$C$10*T23:U23+$B$11:$C$11*T24:U24+$B$4:$C$4*(T25:U25-T19:U19)))</f>
        <v>1.0216405181163004</v>
      </c>
      <c r="U65" s="191"/>
      <c r="V65" s="191">
        <f t="array" ref="V65">SQRT((V9:W9*$B$22:$C$22+V10:W10*$B$23:$C$23+V11:W11*$B$24:$C$24+V4:W4*($B$25:$C$25-$B$19:$C$19))/($B$9:$C$9*$B$22:$C$22+$B$10:$C$10*$B$23:$C$23+$B$11:$C$11*$B$24:$C$24+$B$4:$C$4*($B$25:$C$25-$B$19:$C$19))*(V9:W9*V22:W22+V10:W10*V23:W23+V11:W11*V24:W24+V4:W4*(V25:W25-V19:W19))/($B$9:$C$9*V22:W22+$B$10:$C$10*V23:W23+$B$11:$C$11*V24:W24+$B$4:$C$4*(V25:W25-V19:W19)))</f>
        <v>1.0332277304245145</v>
      </c>
      <c r="W65" s="191"/>
      <c r="X65" s="191">
        <f t="array" ref="X65">SQRT((X9:Y9*$B$22:$C$22+X10:Y10*$B$23:$C$23+X11:Y11*$B$24:$C$24+X4:Y4*($B$25:$C$25-$B$19:$C$19))/($B$9:$C$9*$B$22:$C$22+$B$10:$C$10*$B$23:$C$23+$B$11:$C$11*$B$24:$C$24+$B$4:$C$4*($B$25:$C$25-$B$19:$C$19))*(X9:Y9*X22:Y22+X10:Y10*X23:Y23+X11:Y11*X24:Y24+X4:Y4*(X25:Y25-X19:Y19))/($B$9:$C$9*X22:Y22+$B$10:$C$10*X23:Y23+$B$11:$C$11*X24:Y24+$B$4:$C$4*(X25:Y25-X19:Y19)))</f>
        <v>1.0498007144147794</v>
      </c>
      <c r="Y65" s="191"/>
      <c r="Z65" s="191">
        <f t="array" ref="Z65">SQRT((Z9:AA9*$B$22:$C$22+Z10:AA10*$B$23:$C$23+Z11:AA11*$B$24:$C$24+Z4:AA4*($B$25:$C$25-$B$19:$C$19))/($B$9:$C$9*$B$22:$C$22+$B$10:$C$10*$B$23:$C$23+$B$11:$C$11*$B$24:$C$24+$B$4:$C$4*($B$25:$C$25-$B$19:$C$19))*(Z9:AA9*Z22:AA22+Z10:AA10*Z23:AA23+Z11:AA11*Z24:AA24+Z4:AA4*(Z25:AA25-Z19:AA19))/($B$9:$C$9*Z22:AA22+$B$10:$C$10*Z23:AA23+$B$11:$C$11*Z24:AA24+$B$4:$C$4*(Z25:AA25-Z19:AA19)))</f>
        <v>1.073652907682179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1.1083489676807019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1.1596029454961432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1.2372160039279816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1.360571671862657</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0.99929719248215709</v>
      </c>
      <c r="E66" s="191"/>
      <c r="F66" s="191">
        <f t="array" ref="F66">SQRT((F9:G9*$B$22:$C$22)/($B$9:$C$9*$B$22:$C$22)*(F9:G9*F22:G22)/($B$9:$C$9*F22:G22))</f>
        <v>0.99899443075055794</v>
      </c>
      <c r="G66" s="191"/>
      <c r="H66" s="191">
        <f t="array" ref="H66">SQRT((H9:I9*$B$22:$C$22)/($B$9:$C$9*$B$22:$C$22)*(H9:I9*H22:I22)/($B$9:$C$9*H22:I22))</f>
        <v>0.99919542665355698</v>
      </c>
      <c r="I66" s="191"/>
      <c r="J66" s="191">
        <f t="array" ref="J66">SQRT((J9:K9*$B$22:$C$22)/($B$9:$C$9*$B$22:$C$22)*(J9:K9*J22:K22)/($B$9:$C$9*J22:K22))</f>
        <v>1.0000377968362526</v>
      </c>
      <c r="K66" s="191"/>
      <c r="L66" s="191">
        <f t="array" ref="L66">SQRT((L9:M9*$B$22:$C$22)/($B$9:$C$9*$B$22:$C$22)*(L9:M9*L22:M22)/($B$9:$C$9*L22:M22))</f>
        <v>1.00170822327072</v>
      </c>
      <c r="M66" s="191"/>
      <c r="N66" s="191">
        <f t="array" ref="N66">SQRT((N9:O9*$B$22:$C$22)/($B$9:$C$9*$B$22:$C$22)*(N9:O9*N22:O22)/($B$9:$C$9*N22:O22))</f>
        <v>1.0044621174627979</v>
      </c>
      <c r="O66" s="191"/>
      <c r="P66" s="191">
        <f t="array" ref="P66">SQRT((P9:Q9*$B$22:$C$22)/($B$9:$C$9*$B$22:$C$22)*(P9:Q9*P22:Q22)/($B$9:$C$9*P22:Q22))</f>
        <v>1.0086536408092879</v>
      </c>
      <c r="Q66" s="191"/>
      <c r="R66" s="191">
        <f t="array" ref="R66">SQRT((R9:S9*$B$22:$C$22)/($B$9:$C$9*$B$22:$C$22)*(R9:S9*R22:S22)/($B$9:$C$9*R22:S22))</f>
        <v>1.0147802803238271</v>
      </c>
      <c r="S66" s="191"/>
      <c r="T66" s="191">
        <f t="array" ref="T66">SQRT((T9:U9*$B$22:$C$22)/($B$9:$C$9*$B$22:$C$22)*(T9:U9*T22:U22)/($B$9:$C$9*T22:U22))</f>
        <v>1.0235511445455621</v>
      </c>
      <c r="U66" s="191"/>
      <c r="V66" s="191">
        <f t="array" ref="V66">SQRT((V9:W9*$B$22:$C$22)/($B$9:$C$9*$B$22:$C$22)*(V9:W9*V22:W22)/($B$9:$C$9*V22:W22))</f>
        <v>1.0359879697880636</v>
      </c>
      <c r="W66" s="191"/>
      <c r="X66" s="191">
        <f t="array" ref="X66">SQRT((X9:Y9*$B$22:$C$22)/($B$9:$C$9*$B$22:$C$22)*(X9:Y9*X22:Y22)/($B$9:$C$9*X22:Y22))</f>
        <v>1.0535812735911738</v>
      </c>
      <c r="Y66" s="191"/>
      <c r="Z66" s="191">
        <f t="array" ref="Z66">SQRT((Z9:AA9*$B$22:$C$22)/($B$9:$C$9*$B$22:$C$22)*(Z9:AA9*Z22:AA22)/($B$9:$C$9*Z22:AA22))</f>
        <v>1.0785249163564299</v>
      </c>
      <c r="AA66" s="191"/>
      <c r="AB66" s="191">
        <f t="array" ref="AB66">SQRT((AB9:AC9*$B$22:$C$22)/($B$9:$C$9*$B$22:$C$22)*(AB9:AC9*AB22:AC22)/($B$9:$C$9*AB22:AC22))</f>
        <v>1.1140772388083351</v>
      </c>
      <c r="AC66" s="191"/>
      <c r="AD66" s="191">
        <f t="array" ref="AD66">SQRT((AD9:AE9*$B$22:$C$22)/($B$9:$C$9*$B$22:$C$22)*(AD9:AE9*AD22:AE22)/($B$9:$C$9*AD22:AE22))</f>
        <v>1.1651614862911357</v>
      </c>
      <c r="AE66" s="191"/>
      <c r="AF66" s="191">
        <f t="array" ref="AF66">SQRT((AF9:AG9*$B$22:$C$22)/($B$9:$C$9*$B$22:$C$22)*(AF9:AG9*AF22:AG22)/($B$9:$C$9*AF22:AG22))</f>
        <v>1.2396150617945649</v>
      </c>
      <c r="AG66" s="191"/>
      <c r="AH66" s="191">
        <f t="array" ref="AH66">SQRT((AH9:AI9*$B$22:$C$22)/($B$9:$C$9*$B$22:$C$22)*(AH9:AI9*AH22:AI22)/($B$9:$C$9*AH22:AI22))</f>
        <v>1.3515735502494532</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0.99929719248215709</v>
      </c>
      <c r="E68" s="191"/>
      <c r="F68" s="191">
        <f>F66/F67</f>
        <v>0.99899443075055794</v>
      </c>
      <c r="G68" s="191"/>
      <c r="H68" s="191">
        <f>H66/H67</f>
        <v>0.99919542665355698</v>
      </c>
      <c r="I68" s="191"/>
      <c r="J68" s="191">
        <f>J66/J67</f>
        <v>1.0000377968362526</v>
      </c>
      <c r="K68" s="191"/>
      <c r="L68" s="191">
        <f>L66/L67</f>
        <v>1.00170822327072</v>
      </c>
      <c r="M68" s="191"/>
      <c r="N68" s="191">
        <f>N66/N67</f>
        <v>1.0044621174627979</v>
      </c>
      <c r="O68" s="191"/>
      <c r="P68" s="191">
        <f>P66/P67</f>
        <v>1.0086536408092879</v>
      </c>
      <c r="Q68" s="191"/>
      <c r="R68" s="191">
        <f>R66/R67</f>
        <v>1.0147802803238271</v>
      </c>
      <c r="S68" s="191"/>
      <c r="T68" s="191">
        <f>T66/T67</f>
        <v>1.0235511445455621</v>
      </c>
      <c r="U68" s="191"/>
      <c r="V68" s="191">
        <f>V66/V67</f>
        <v>1.0359879697880636</v>
      </c>
      <c r="W68" s="191"/>
      <c r="X68" s="191">
        <f>X66/X67</f>
        <v>1.0535812735911738</v>
      </c>
      <c r="Y68" s="191"/>
      <c r="Z68" s="191">
        <f>Z66/Z67</f>
        <v>1.0785249163564299</v>
      </c>
      <c r="AA68" s="191"/>
      <c r="AB68" s="191">
        <f>AB66/AB67</f>
        <v>1.1140772388083351</v>
      </c>
      <c r="AC68" s="191"/>
      <c r="AD68" s="191">
        <f>AD66/AD67</f>
        <v>1.1651614862911357</v>
      </c>
      <c r="AE68" s="191"/>
      <c r="AF68" s="191">
        <f>AF66/AF67</f>
        <v>1.2396150617945649</v>
      </c>
      <c r="AG68" s="191"/>
      <c r="AH68" s="191">
        <f>AH66/AH67</f>
        <v>1.3515735502494532</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0.99121353631179854</v>
      </c>
      <c r="E69" s="191"/>
      <c r="F69" s="191">
        <f>F32/F65/($B$32)</f>
        <v>0.98102840869836139</v>
      </c>
      <c r="G69" s="191"/>
      <c r="H69" s="191">
        <f>H32/H65/($B$32)</f>
        <v>0.9691813726859565</v>
      </c>
      <c r="I69" s="191"/>
      <c r="J69" s="191">
        <f>J32/J65/($B$32)</f>
        <v>0.95535433278824067</v>
      </c>
      <c r="K69" s="191"/>
      <c r="L69" s="191">
        <f>L32/L65/($B$32)</f>
        <v>0.93916153314779749</v>
      </c>
      <c r="M69" s="191"/>
      <c r="N69" s="191">
        <f>N32/N65/($B$32)</f>
        <v>0.92014173288052825</v>
      </c>
      <c r="O69" s="191"/>
      <c r="P69" s="191">
        <f>P32/P65/($B$32)</f>
        <v>0.89775322403300251</v>
      </c>
      <c r="Q69" s="191"/>
      <c r="R69" s="191">
        <f>R32/R65/($B$32)</f>
        <v>0.87137955970322234</v>
      </c>
      <c r="S69" s="191"/>
      <c r="T69" s="191">
        <f>T32/T65/($B$32)</f>
        <v>0.84035505660103182</v>
      </c>
      <c r="U69" s="191"/>
      <c r="V69" s="191">
        <f>V32/V65/($B$32)</f>
        <v>0.80402877697092823</v>
      </c>
      <c r="W69" s="191"/>
      <c r="X69" s="191">
        <f>X32/X65/($B$32)</f>
        <v>0.76188201027522939</v>
      </c>
      <c r="Y69" s="191"/>
      <c r="Z69" s="191">
        <f>Z32/Z65/($B$32)</f>
        <v>0.7137119952449098</v>
      </c>
      <c r="AA69" s="191"/>
      <c r="AB69" s="191">
        <f>AB32/AB65/($B$32)</f>
        <v>0.65985409212040025</v>
      </c>
      <c r="AC69" s="191"/>
      <c r="AD69" s="191">
        <f>AD32/AD65/($B$32)</f>
        <v>0.60131481205671389</v>
      </c>
      <c r="AE69" s="191"/>
      <c r="AF69" s="191">
        <f>AF32/AF65/($B$32)</f>
        <v>0.53953348949029045</v>
      </c>
      <c r="AG69" s="191"/>
      <c r="AH69" s="191">
        <f>AH32/AH65/($B$32)</f>
        <v>0.47539475953778082</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0.99052478539111188</v>
      </c>
      <c r="E70" s="138"/>
      <c r="F70" s="138">
        <f>F18/$B$18</f>
        <v>0.97964098184980397</v>
      </c>
      <c r="G70" s="138"/>
      <c r="H70" s="138">
        <f>H18/$B$18</f>
        <v>0.96708443099519847</v>
      </c>
      <c r="I70" s="138"/>
      <c r="J70" s="138">
        <f>J18/$B$18</f>
        <v>0.9525364804267803</v>
      </c>
      <c r="K70" s="138"/>
      <c r="L70" s="138">
        <f>L18/$B$18</f>
        <v>0.93561152246105972</v>
      </c>
      <c r="M70" s="138"/>
      <c r="N70" s="138">
        <f>N18/$B$18</f>
        <v>0.91584966288724023</v>
      </c>
      <c r="O70" s="138"/>
      <c r="P70" s="138">
        <f>P18/$B$18</f>
        <v>0.89271270053105711</v>
      </c>
      <c r="Q70" s="138"/>
      <c r="R70" s="138">
        <f>R18/$B$18</f>
        <v>0.86559146757493621</v>
      </c>
      <c r="S70" s="138"/>
      <c r="T70" s="138">
        <f>T18/$B$18</f>
        <v>0.83383443237423405</v>
      </c>
      <c r="U70" s="138"/>
      <c r="V70" s="138">
        <f>V18/$B$18</f>
        <v>0.79681597242167568</v>
      </c>
      <c r="W70" s="138"/>
      <c r="X70" s="138">
        <f>X18/$B$18</f>
        <v>0.75406115322940803</v>
      </c>
      <c r="Y70" s="138"/>
      <c r="Z70" s="138">
        <f>Z18/$B$18</f>
        <v>0.70543938726896915</v>
      </c>
      <c r="AA70" s="138"/>
      <c r="AB70" s="138">
        <f>AB18/$B$18</f>
        <v>0.65139980897409844</v>
      </c>
      <c r="AC70" s="138"/>
      <c r="AD70" s="138">
        <f>AD18/$B$18</f>
        <v>0.59312227062497092</v>
      </c>
      <c r="AE70" s="138"/>
      <c r="AF70" s="138">
        <f>AF18/$B$18</f>
        <v>0.53231979946526697</v>
      </c>
      <c r="AG70" s="138"/>
      <c r="AH70" s="138">
        <f>AH18/$B$18</f>
        <v>0.47041443839861574</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0.93400055503623458</v>
      </c>
      <c r="E71" s="138"/>
      <c r="F71" s="138">
        <f>G18/$C$18</f>
        <v>0.86834605878006932</v>
      </c>
      <c r="G71" s="138"/>
      <c r="H71" s="138">
        <f>I18/$C$18</f>
        <v>0.80310956449980908</v>
      </c>
      <c r="I71" s="138"/>
      <c r="J71" s="138">
        <f>K18/$C$18</f>
        <v>0.73838112435819137</v>
      </c>
      <c r="K71" s="138"/>
      <c r="L71" s="138">
        <f>M18/$C$18</f>
        <v>0.67426917018444554</v>
      </c>
      <c r="M71" s="138"/>
      <c r="N71" s="138">
        <f>O18/$C$18</f>
        <v>0.61090223706726976</v>
      </c>
      <c r="O71" s="138"/>
      <c r="P71" s="138">
        <f>Q18/$C$18</f>
        <v>0.54842919601035101</v>
      </c>
      <c r="Q71" s="138"/>
      <c r="R71" s="138">
        <f>S18/$C$18</f>
        <v>0.48701564112250695</v>
      </c>
      <c r="S71" s="138"/>
      <c r="T71" s="138">
        <f>U18/$C$18</f>
        <v>0.42683726724094712</v>
      </c>
      <c r="U71" s="138"/>
      <c r="V71" s="138">
        <f>W18/$C$18</f>
        <v>0.36806077601760601</v>
      </c>
      <c r="W71" s="138"/>
      <c r="X71" s="138">
        <f>Y18/$C$18</f>
        <v>0.31081782360399424</v>
      </c>
      <c r="Y71" s="138"/>
      <c r="Z71" s="138">
        <f>AA18/$C$18</f>
        <v>0.25518714079429827</v>
      </c>
      <c r="AA71" s="138"/>
      <c r="AB71" s="138">
        <f>AC18/$C$18</f>
        <v>0.20121905314163385</v>
      </c>
      <c r="AC71" s="138"/>
      <c r="AD71" s="138">
        <f>AE18/$C$18</f>
        <v>0.14910654725340472</v>
      </c>
      <c r="AE71" s="138"/>
      <c r="AF71" s="138">
        <f>AG18/$C$18</f>
        <v>9.9666204728015115E-2</v>
      </c>
      <c r="AG71" s="138"/>
      <c r="AH71" s="138">
        <f>AI18/$C$18</f>
        <v>5.5298504259287791E-2</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1.0093618557320923</v>
      </c>
      <c r="E72" s="138"/>
      <c r="F72" s="138">
        <f>G19/$C$19</f>
        <v>1.0197825635623736</v>
      </c>
      <c r="G72" s="138"/>
      <c r="H72" s="138">
        <f>I19/$C$19</f>
        <v>1.0311684290232339</v>
      </c>
      <c r="I72" s="138"/>
      <c r="J72" s="138">
        <f>K19/$C$19</f>
        <v>1.0433603790598946</v>
      </c>
      <c r="K72" s="138"/>
      <c r="L72" s="138">
        <f>M19/$C$19</f>
        <v>1.0561160390953641</v>
      </c>
      <c r="M72" s="138"/>
      <c r="N72" s="138">
        <f>O19/$C$19</f>
        <v>1.0690913946229361</v>
      </c>
      <c r="O72" s="138"/>
      <c r="P72" s="138">
        <f>Q19/$C$19</f>
        <v>1.0818280689396826</v>
      </c>
      <c r="Q72" s="138"/>
      <c r="R72" s="138">
        <f>S19/$C$19</f>
        <v>1.0937590843193388</v>
      </c>
      <c r="S72" s="138"/>
      <c r="T72" s="138">
        <f>U19/$C$19</f>
        <v>1.1042557684316485</v>
      </c>
      <c r="U72" s="138"/>
      <c r="V72" s="138">
        <f>W19/$C$19</f>
        <v>1.1127420465842892</v>
      </c>
      <c r="W72" s="138"/>
      <c r="X72" s="138">
        <f>Y19/$C$19</f>
        <v>1.118909144001091</v>
      </c>
      <c r="Y72" s="138"/>
      <c r="Z72" s="138">
        <f>AA19/$C$19</f>
        <v>1.1230061911937252</v>
      </c>
      <c r="AA72" s="138"/>
      <c r="AB72" s="138">
        <f>AC19/$C$19</f>
        <v>1.1260274052620205</v>
      </c>
      <c r="AC72" s="138"/>
      <c r="AD72" s="138">
        <f>AE19/$C$19</f>
        <v>1.1291767715874568</v>
      </c>
      <c r="AE72" s="138"/>
      <c r="AF72" s="138">
        <f>AG19/$C$19</f>
        <v>1.13111229812356</v>
      </c>
      <c r="AG72" s="138"/>
      <c r="AH72" s="138">
        <f>AI19/$C$19</f>
        <v>1.1199352930752053</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0.47486045888523493</v>
      </c>
      <c r="E73" s="138"/>
      <c r="F73" s="193">
        <f t="array" ref="F73">SUM(F9:G9*F22:G22)/F32</f>
        <v>0.47329736700874209</v>
      </c>
      <c r="G73" s="138"/>
      <c r="H73" s="193">
        <f t="array" ref="H73">SUM(H9:I9*H22:I22)/H32</f>
        <v>0.47172343874717149</v>
      </c>
      <c r="I73" s="138"/>
      <c r="J73" s="193">
        <f t="array" ref="J73">SUM(J9:K9*J22:K22)/J32</f>
        <v>0.4701403238840261</v>
      </c>
      <c r="K73" s="138"/>
      <c r="L73" s="193">
        <f t="array" ref="L73">SUM(L9:M9*L22:M22)/L32</f>
        <v>0.4685507857272907</v>
      </c>
      <c r="M73" s="138"/>
      <c r="N73" s="193">
        <f t="array" ref="N73">SUM(N9:O9*N22:O22)/N32</f>
        <v>0.46695871055728638</v>
      </c>
      <c r="O73" s="138"/>
      <c r="P73" s="193">
        <f t="array" ref="P73">SUM(P9:Q9*P22:Q22)/P32</f>
        <v>0.46536915371506127</v>
      </c>
      <c r="Q73" s="138"/>
      <c r="R73" s="193">
        <f t="array" ref="R73">SUM(R9:S9*R22:S22)/R32</f>
        <v>0.46378790181049551</v>
      </c>
      <c r="S73" s="138"/>
      <c r="T73" s="193">
        <f t="array" ref="T73">SUM(T9:U9*T22:U22)/T32</f>
        <v>0.46222059165941648</v>
      </c>
      <c r="U73" s="138"/>
      <c r="V73" s="193">
        <f t="array" ref="V73">SUM(V9:W9*V22:W22)/V32</f>
        <v>0.46066890632825636</v>
      </c>
      <c r="W73" s="138"/>
      <c r="X73" s="193">
        <f t="array" ref="X73">SUM(X9:Y9*X22:Y22)/X32</f>
        <v>0.45912399854675978</v>
      </c>
      <c r="Y73" s="138"/>
      <c r="Z73" s="193">
        <f t="array" ref="Z73">SUM(Z9:AA9*Z22:AA22)/Z32</f>
        <v>0.45755102241920154</v>
      </c>
      <c r="AA73" s="138"/>
      <c r="AB73" s="193">
        <f t="array" ref="AB73">SUM(AB9:AC9*AB22:AC22)/AB32</f>
        <v>0.45586104292592233</v>
      </c>
      <c r="AC73" s="138"/>
      <c r="AD73" s="193">
        <f t="array" ref="AD73">SUM(AD9:AE9*AD22:AE22)/AD32</f>
        <v>0.45386108693474109</v>
      </c>
      <c r="AE73" s="138"/>
      <c r="AF73" s="193">
        <f t="array" ref="AF73">SUM(AF9:AG9*AF22:AG22)/AF32</f>
        <v>0.4511694554693545</v>
      </c>
      <c r="AG73" s="138"/>
      <c r="AH73" s="193">
        <f t="array" ref="AH73">SUM(AH9:AI9*AH22:AI22)/AH32</f>
        <v>0.4470553939034419</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0.22604620456442481</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0.22232383247071488</v>
      </c>
      <c r="E75" s="138"/>
      <c r="F75" s="193">
        <f t="array" ref="F75">SUM(F11:G11*F24:G24)/F32</f>
        <v>0.22462585490549439</v>
      </c>
      <c r="G75" s="138"/>
      <c r="H75" s="193">
        <f t="array" ref="H75">SUM(H11:I11*H24:I24)/H32</f>
        <v>0.2273757869797744</v>
      </c>
      <c r="I75" s="138"/>
      <c r="J75" s="193">
        <f t="array" ref="J75">SUM(J11:K11*J24:K24)/J32</f>
        <v>0.23068418627912093</v>
      </c>
      <c r="K75" s="138"/>
      <c r="L75" s="193">
        <f t="array" ref="L75">SUM(L11:M11*L24:M24)/L32</f>
        <v>0.23469649070180779</v>
      </c>
      <c r="M75" s="138"/>
      <c r="N75" s="193">
        <f t="array" ref="N75">SUM(N11:O11*N24:O24)/N32</f>
        <v>0.23960516368681903</v>
      </c>
      <c r="O75" s="138"/>
      <c r="P75" s="193">
        <f t="array" ref="P75">SUM(P11:Q11*P24:Q24)/P32</f>
        <v>0.24566682228845993</v>
      </c>
      <c r="Q75" s="138"/>
      <c r="R75" s="193">
        <f t="array" ref="R75">SUM(R11:S11*R24:S24)/R32</f>
        <v>0.25322527886555229</v>
      </c>
      <c r="S75" s="138"/>
      <c r="T75" s="193">
        <f t="array" ref="T75">SUM(T11:U11*T24:U24)/T32</f>
        <v>0.2627419679686166</v>
      </c>
      <c r="U75" s="138"/>
      <c r="V75" s="193">
        <f t="array" ref="V75">SUM(V11:W11*V24:W24)/V32</f>
        <v>0.2748323759940442</v>
      </c>
      <c r="W75" s="138"/>
      <c r="X75" s="193">
        <f t="array" ref="X75">SUM(X11:Y11*X24:Y24)/X32</f>
        <v>0.29030484660910039</v>
      </c>
      <c r="Y75" s="138"/>
      <c r="Z75" s="193">
        <f t="array" ref="Z75">SUM(Z11:AA11*Z24:AA24)/Z32</f>
        <v>0.31018736873584529</v>
      </c>
      <c r="AA75" s="138"/>
      <c r="AB75" s="193">
        <f t="array" ref="AB75">SUM(AB11:AC11*AB24:AC24)/AB32</f>
        <v>0.33571573148262729</v>
      </c>
      <c r="AC75" s="138"/>
      <c r="AD75" s="193">
        <f t="array" ref="AD75">SUM(AD11:AE11*AD24:AE24)/AD32</f>
        <v>0.36826100643284448</v>
      </c>
      <c r="AE75" s="138"/>
      <c r="AF75" s="193">
        <f t="array" ref="AF75">SUM(AF11:AG11*AF24:AG24)/AF32</f>
        <v>0.40926417927487918</v>
      </c>
      <c r="AG75" s="138"/>
      <c r="AH75" s="193">
        <f t="array" ref="AH75">SUM(AH11:AI11*AH24:AI24)/AH32</f>
        <v>0.4605159709640736</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0.22274558523486299</v>
      </c>
      <c r="E76" s="138"/>
      <c r="F76" s="193">
        <f t="array" ref="F76">SUM(F12:G12*F25:G25)/F32</f>
        <v>0.22224031903478536</v>
      </c>
      <c r="G76" s="138"/>
      <c r="H76" s="193">
        <f t="array" ref="H76">SUM(H12:I12*H25:I25)/H32</f>
        <v>0.22143986630699386</v>
      </c>
      <c r="I76" s="138"/>
      <c r="J76" s="193">
        <f t="array" ref="J76">SUM(J12:K12*J25:K25)/J32</f>
        <v>0.22026198048335</v>
      </c>
      <c r="K76" s="138"/>
      <c r="L76" s="193">
        <f t="array" ref="L76">SUM(L12:M12*L25:M25)/L32</f>
        <v>0.2185977443699523</v>
      </c>
      <c r="M76" s="138"/>
      <c r="N76" s="193">
        <f t="array" ref="N76">SUM(N12:O12*N25:O25)/N32</f>
        <v>0.21630295265231611</v>
      </c>
      <c r="O76" s="138"/>
      <c r="P76" s="193">
        <f t="array" ref="P76">SUM(P12:Q12*P25:Q25)/P32</f>
        <v>0.21318637381355368</v>
      </c>
      <c r="Q76" s="138"/>
      <c r="R76" s="193">
        <f t="array" ref="R76">SUM(R12:S12*R25:S25)/R32</f>
        <v>0.20899524360466168</v>
      </c>
      <c r="S76" s="138"/>
      <c r="T76" s="193">
        <f t="array" ref="T76">SUM(T12:U12*T25:U25)/T32</f>
        <v>0.20339822801222598</v>
      </c>
      <c r="U76" s="138"/>
      <c r="V76" s="193">
        <f t="array" ref="V76">SUM(V12:W12*V25:W25)/V32</f>
        <v>0.19597099039930632</v>
      </c>
      <c r="W76" s="138"/>
      <c r="X76" s="193">
        <f t="array" ref="X76">SUM(X12:Y12*X25:Y25)/X32</f>
        <v>0.18619138513870973</v>
      </c>
      <c r="Y76" s="138"/>
      <c r="Z76" s="193">
        <f t="array" ref="Z76">SUM(Z12:AA12*Z25:AA25)/Z32</f>
        <v>0.17346615743522337</v>
      </c>
      <c r="AA76" s="138"/>
      <c r="AB76" s="193">
        <f t="array" ref="AB76">SUM(AB12:AC12*AB25:AC25)/AB32</f>
        <v>0.15722046344601201</v>
      </c>
      <c r="AC76" s="138"/>
      <c r="AD76" s="193">
        <f t="array" ref="AD76">SUM(AD12:AE12*AD25:AE25)/AD32</f>
        <v>0.13708103481733172</v>
      </c>
      <c r="AE76" s="138"/>
      <c r="AF76" s="193">
        <f t="array" ref="AF76">SUM(AF12:AG12*AF25:AG25)/AF32</f>
        <v>0.11312258001790533</v>
      </c>
      <c r="AG76" s="138"/>
      <c r="AH76" s="193">
        <f t="array" ref="AH76">SUM(AH12:AI12*AH25:AI25)/AH32</f>
        <v>8.6044875595192707E-2</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0.14597608115523744</v>
      </c>
      <c r="E77" s="138"/>
      <c r="F77" s="193">
        <f t="array" ref="F77">SUM(F4:G4*F19:G19)/F32</f>
        <v>0.14620974551344665</v>
      </c>
      <c r="G77" s="138"/>
      <c r="H77" s="193">
        <f t="array" ref="H77">SUM(H4:I4*H19:I19)/H32</f>
        <v>0.14658529659836428</v>
      </c>
      <c r="I77" s="138"/>
      <c r="J77" s="193">
        <f t="array" ref="J77">SUM(J4:K4*J19:K19)/J32</f>
        <v>0.14713269521092179</v>
      </c>
      <c r="K77" s="138"/>
      <c r="L77" s="193">
        <f t="array" ref="L77">SUM(L4:M4*L19:M19)/L32</f>
        <v>0.14789122536347563</v>
      </c>
      <c r="M77" s="138"/>
      <c r="N77" s="193">
        <f t="array" ref="N77">SUM(N4:O4*N19:O19)/N32</f>
        <v>0.14891303146084631</v>
      </c>
      <c r="O77" s="138"/>
      <c r="P77" s="193">
        <f t="array" ref="P77">SUM(P4:Q4*P19:Q19)/P32</f>
        <v>0.15026855438149944</v>
      </c>
      <c r="Q77" s="138"/>
      <c r="R77" s="193">
        <f t="array" ref="R77">SUM(R4:S4*R19:S19)/R32</f>
        <v>0.15205462884513418</v>
      </c>
      <c r="S77" s="138"/>
      <c r="T77" s="193">
        <f t="array" ref="T77">SUM(T4:U4*T19:U19)/T32</f>
        <v>0.15440699220468379</v>
      </c>
      <c r="U77" s="138"/>
      <c r="V77" s="193">
        <f t="array" ref="V77">SUM(V4:W4*V19:W19)/V32</f>
        <v>0.15751847728603158</v>
      </c>
      <c r="W77" s="138"/>
      <c r="X77" s="193">
        <f t="array" ref="X77">SUM(X4:Y4*X19:Y19)/X32</f>
        <v>0.16166643485899443</v>
      </c>
      <c r="Y77" s="138"/>
      <c r="Z77" s="193">
        <f t="array" ref="Z77">SUM(Z4:AA4*Z19:AA19)/Z32</f>
        <v>0.16725075315469498</v>
      </c>
      <c r="AA77" s="138"/>
      <c r="AB77" s="193">
        <f t="array" ref="AB77">SUM(AB4:AC4*AB19:AC19)/AB32</f>
        <v>0.17484344241898608</v>
      </c>
      <c r="AC77" s="138"/>
      <c r="AD77" s="193">
        <f t="array" ref="AD77">SUM(AD4:AE4*AD19:AE19)/AD32</f>
        <v>0.18524933274934202</v>
      </c>
      <c r="AE77" s="138"/>
      <c r="AF77" s="193">
        <f t="array" ref="AF77">SUM(AF4:AG4*AF19:AG19)/AF32</f>
        <v>0.19960241932656381</v>
      </c>
      <c r="AG77" s="138"/>
      <c r="AH77" s="193">
        <f t="array" ref="AH77">SUM(AH4:AI4*AH19:AI19)/AH32</f>
        <v>0.219662445027133</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0.3454861409697263</v>
      </c>
      <c r="E78" s="138"/>
      <c r="F78" s="193">
        <f t="array" ref="F78">SUM(F13:G13*F26:G26)/F32</f>
        <v>0.34403149572866065</v>
      </c>
      <c r="G78" s="138"/>
      <c r="H78" s="193">
        <f t="array" ref="H78">SUM(H13:I13*H26:I26)/H32</f>
        <v>0.3425201535903955</v>
      </c>
      <c r="I78" s="138"/>
      <c r="J78" s="193">
        <f t="array" ref="J78">SUM(J13:K13*J26:K26)/J32</f>
        <v>0.34094895238820505</v>
      </c>
      <c r="K78" s="138"/>
      <c r="L78" s="193">
        <f t="array" ref="L78">SUM(L13:M13*L26:M26)/L32</f>
        <v>0.33931543658140578</v>
      </c>
      <c r="M78" s="138"/>
      <c r="N78" s="193">
        <f t="array" ref="N78">SUM(N13:O13*N26:O26)/N32</f>
        <v>0.33761824489780912</v>
      </c>
      <c r="O78" s="138"/>
      <c r="P78" s="193">
        <f t="array" ref="P78">SUM(P13:Q13*P26:Q26)/P32</f>
        <v>0.33585767541146716</v>
      </c>
      <c r="Q78" s="138"/>
      <c r="R78" s="193">
        <f t="array" ref="R78">SUM(R13:S13*R26:S26)/R32</f>
        <v>0.33403631602853034</v>
      </c>
      <c r="S78" s="138"/>
      <c r="T78" s="193">
        <f t="array" ref="T78">SUM(T13:U13*T26:U26)/T32</f>
        <v>0.33215982040356368</v>
      </c>
      <c r="U78" s="138"/>
      <c r="V78" s="193">
        <f t="array" ref="V78">SUM(V13:W13*V26:W26)/V32</f>
        <v>0.33023699151916119</v>
      </c>
      <c r="W78" s="138"/>
      <c r="X78" s="193">
        <f t="array" ref="X78">SUM(X13:Y13*X26:Y26)/X32</f>
        <v>0.32827896619999919</v>
      </c>
      <c r="Y78" s="138"/>
      <c r="Z78" s="193">
        <f t="array" ref="Z78">SUM(Z13:AA13*Z26:AA26)/Z32</f>
        <v>0.326295436781119</v>
      </c>
      <c r="AA78" s="138"/>
      <c r="AB78" s="193">
        <f t="array" ref="AB78">SUM(AB13:AC13*AB26:AC26)/AB32</f>
        <v>0.32428507988605726</v>
      </c>
      <c r="AC78" s="138"/>
      <c r="AD78" s="193">
        <f t="array" ref="AD78">SUM(AD13:AE13*AD26:AE26)/AD32</f>
        <v>0.32221476750196931</v>
      </c>
      <c r="AE78" s="138"/>
      <c r="AF78" s="193">
        <f t="array" ref="AF78">SUM(AF13:AG13*AF26:AG26)/AF32</f>
        <v>0.31997887149147108</v>
      </c>
      <c r="AG78" s="138"/>
      <c r="AH78" s="193">
        <f t="array" ref="AH78">SUM(AH13:AI13*AH26:AI26)/AH32</f>
        <v>0.31732310444328499</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0.45460968782440492</v>
      </c>
      <c r="D79" s="193">
        <f t="array" ref="D79">SUM(D15:E15*D27:E27)/D32</f>
        <v>0.45340535624316242</v>
      </c>
      <c r="F79" s="193">
        <f t="array" ref="F79">SUM(F15:G15*F27:G27)/F32</f>
        <v>0.45223481646614816</v>
      </c>
      <c r="H79" s="193">
        <f t="array" ref="H79">SUM(H15:I15*H27:I27)/H32</f>
        <v>0.45110331599829445</v>
      </c>
      <c r="J79" s="193">
        <f t="array" ref="J79">SUM(J15:K15*J27:K27)/J32</f>
        <v>0.45001696985447698</v>
      </c>
      <c r="L79" s="193">
        <f t="array" ref="L79">SUM(L15:M15*L27:M27)/L32</f>
        <v>0.44898293433246872</v>
      </c>
      <c r="N79" s="193">
        <f t="array" ref="N79">SUM(N15:O15*N27:O27)/N32</f>
        <v>0.4480091599778892</v>
      </c>
      <c r="P79" s="193">
        <f t="array" ref="P79">SUM(P15:Q15*P27:Q27)/P32</f>
        <v>0.44710388933460915</v>
      </c>
      <c r="R79" s="193">
        <f t="array" ref="R79">SUM(R15:S15*R27:S27)/R32</f>
        <v>0.4462743506645121</v>
      </c>
      <c r="T79" s="193">
        <f t="array" ref="T79">SUM(T15:U15*T27:U27)/T32</f>
        <v>0.44552422775827816</v>
      </c>
      <c r="V79" s="193">
        <f t="array" ref="V79">SUM(V15:W15*V27:W27)/V32</f>
        <v>0.44484768392304191</v>
      </c>
      <c r="X79" s="193">
        <f t="array" ref="X79">SUM(X15:Y15*X27:Y27)/X32</f>
        <v>0.44421819272121166</v>
      </c>
      <c r="Z79" s="193">
        <f t="array" ref="Z79">SUM(Z15:AA15*Z27:AA27)/Z32</f>
        <v>0.44356706144714148</v>
      </c>
      <c r="AB79" s="193">
        <f t="array" ref="AB79">SUM(AB15:AC15*AB27:AC27)/AB32</f>
        <v>0.44274514787732711</v>
      </c>
      <c r="AD79" s="193">
        <f t="array" ref="AD79">SUM(AD15:AE15*AD27:AE27)/AD32</f>
        <v>0.44145935687205407</v>
      </c>
      <c r="AF79" s="193">
        <f t="array" ref="AF79">SUM(AF15:AG15*AF27:AG27)/AF32</f>
        <v>0.43917079514490243</v>
      </c>
      <c r="AH79" s="193">
        <f t="array" ref="AH79">SUM(AH15:AI15*AH27:AI27)/AH32</f>
        <v>0.43490048908384227</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0.20110850431998409</v>
      </c>
      <c r="F80" s="236">
        <f>F55</f>
        <v>0.20373370951594841</v>
      </c>
      <c r="H80" s="236">
        <f>H55</f>
        <v>0.20637657287731059</v>
      </c>
      <c r="J80" s="236">
        <f>J55</f>
        <v>0.2090341028765195</v>
      </c>
      <c r="L80" s="236">
        <f>L55</f>
        <v>0.21170162879959123</v>
      </c>
      <c r="N80" s="236">
        <f>N55</f>
        <v>0.21437259615567633</v>
      </c>
      <c r="P80" s="236">
        <f>P55</f>
        <v>0.21703847729220471</v>
      </c>
      <c r="R80" s="236">
        <f>R55</f>
        <v>0.21968933722925402</v>
      </c>
      <c r="T80" s="236">
        <f>T55</f>
        <v>0.22231596732757425</v>
      </c>
      <c r="V80" s="236">
        <f>V55</f>
        <v>0.22491533390070742</v>
      </c>
      <c r="X80" s="236">
        <f>X55</f>
        <v>0.22750286162931513</v>
      </c>
      <c r="Z80" s="236">
        <f>Z55</f>
        <v>0.23013752481881281</v>
      </c>
      <c r="AB80" s="236">
        <f>AB55</f>
        <v>0.23296977378966729</v>
      </c>
      <c r="AD80" s="236">
        <f>AD55</f>
        <v>0.23632587791213638</v>
      </c>
      <c r="AF80" s="236">
        <f>AF55</f>
        <v>0.24085033588788712</v>
      </c>
      <c r="AH80" s="236">
        <f>AH55</f>
        <v>0.24777640732546513</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-2.4937700244440739E-2</v>
      </c>
      <c r="F81" s="236">
        <f>F51/F$32</f>
        <v>-2.2312495048476422E-2</v>
      </c>
      <c r="H81" s="236">
        <f>H51/H$32</f>
        <v>-1.9669631687114244E-2</v>
      </c>
      <c r="J81" s="236">
        <f>J51/J$32</f>
        <v>-1.7012101687905335E-2</v>
      </c>
      <c r="L81" s="236">
        <f>L51/L$32</f>
        <v>-1.4344575764833608E-2</v>
      </c>
      <c r="N81" s="236">
        <f>N51/N$32</f>
        <v>-1.1673608408748514E-2</v>
      </c>
      <c r="P81" s="236">
        <f>P51/P$32</f>
        <v>-9.0077272722201267E-3</v>
      </c>
      <c r="R81" s="236">
        <f>R51/R$32</f>
        <v>-6.3568673351708455E-3</v>
      </c>
      <c r="T81" s="236">
        <f>T51/T$32</f>
        <v>-3.7302372368506176E-3</v>
      </c>
      <c r="V81" s="236">
        <f>V51/V$32</f>
        <v>-1.1308706637173991E-3</v>
      </c>
      <c r="X81" s="236">
        <f>X51/X$32</f>
        <v>1.4566570648902992E-3</v>
      </c>
      <c r="Z81" s="236">
        <f>Z51/Z$32</f>
        <v>4.0913202543879567E-3</v>
      </c>
      <c r="AB81" s="236">
        <f>AB51/AB$32</f>
        <v>6.923569225242461E-3</v>
      </c>
      <c r="AD81" s="236">
        <f>AD51/AD$32</f>
        <v>1.0279673347711528E-2</v>
      </c>
      <c r="AF81" s="236">
        <f>AF51/AF$32</f>
        <v>1.480413132346229E-2</v>
      </c>
      <c r="AH81" s="236">
        <f>AH51/AH$32</f>
        <v>2.1730202761040318E-2</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0.13851671469444179</v>
      </c>
      <c r="F82" s="236">
        <f>F52/F$32</f>
        <v>0.13793349975194724</v>
      </c>
      <c r="H82" s="236">
        <f>H52/H$32</f>
        <v>0.1373275531655396</v>
      </c>
      <c r="J82" s="236">
        <f>J52/J$32</f>
        <v>0.13669760711896153</v>
      </c>
      <c r="L82" s="236">
        <f>L52/L$32</f>
        <v>0.13604267710549076</v>
      </c>
      <c r="N82" s="236">
        <f>N52/N$32</f>
        <v>0.13536221734650106</v>
      </c>
      <c r="P82" s="236">
        <f>P52/P$32</f>
        <v>0.13465634734964715</v>
      </c>
      <c r="R82" s="236">
        <f>R52/R$32</f>
        <v>0.13392610469130442</v>
      </c>
      <c r="T82" s="236">
        <f>T52/T$32</f>
        <v>0.13317375610684515</v>
      </c>
      <c r="V82" s="236">
        <f>V52/V$32</f>
        <v>0.13240283100044456</v>
      </c>
      <c r="X82" s="236">
        <f>X52/X$32</f>
        <v>0.13161779449004335</v>
      </c>
      <c r="Z82" s="236">
        <f>Z52/Z$32</f>
        <v>0.13082253255035492</v>
      </c>
      <c r="AB82" s="236">
        <f>AB52/AB$32</f>
        <v>0.1300165145963911</v>
      </c>
      <c r="AD82" s="236">
        <f>AD52/AD$32</f>
        <v>0.12918645852227437</v>
      </c>
      <c r="AF82" s="236">
        <f>AF52/AF$32</f>
        <v>0.12829001454653824</v>
      </c>
      <c r="AH82" s="236">
        <f>AH52/AH$32</f>
        <v>0.12722523051359283</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0.18600714462929877</v>
      </c>
      <c r="D83" s="236">
        <f>D53/D$32</f>
        <v>0.18551438285009897</v>
      </c>
      <c r="F83" s="236">
        <f>F53/F$32</f>
        <v>0.18503544725451276</v>
      </c>
      <c r="H83" s="236">
        <f>H53/H$32</f>
        <v>0.18457248490063202</v>
      </c>
      <c r="J83" s="236">
        <f>J53/J$32</f>
        <v>0.18412799779509417</v>
      </c>
      <c r="L83" s="236">
        <f>L53/L$32</f>
        <v>0.18370491399365896</v>
      </c>
      <c r="N83" s="236">
        <f>N53/N$32</f>
        <v>0.18330648652486614</v>
      </c>
      <c r="P83" s="236">
        <f>P53/P$32</f>
        <v>0.18293608789064633</v>
      </c>
      <c r="R83" s="236">
        <f>R53/R$32</f>
        <v>0.18259667559144355</v>
      </c>
      <c r="T83" s="236">
        <f>T53/T$32</f>
        <v>0.18228975687931195</v>
      </c>
      <c r="V83" s="236">
        <f>V53/V$32</f>
        <v>0.18201294362526302</v>
      </c>
      <c r="X83" s="236">
        <f>X53/X$32</f>
        <v>0.1817553823278299</v>
      </c>
      <c r="Z83" s="236">
        <f>Z53/Z$32</f>
        <v>0.18148896682390997</v>
      </c>
      <c r="AB83" s="236">
        <f>AB53/AB$32</f>
        <v>0.18115267439471675</v>
      </c>
      <c r="AD83" s="236">
        <f>AD53/AD$32</f>
        <v>0.18062658284874586</v>
      </c>
      <c r="AF83" s="236">
        <f>AF53/AF$32</f>
        <v>0.17969019974126621</v>
      </c>
      <c r="AH83" s="236">
        <f>AH53/AH$32</f>
        <v>0.17794297028623138</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U19" sqref="U19"/>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0.99322811283100365</v>
      </c>
      <c r="D3" s="80">
        <f>NeoClassical!F$31</f>
        <v>0.98596335001535473</v>
      </c>
      <c r="E3" s="80">
        <f>NeoClassical!H$31</f>
        <v>0.97813697895150054</v>
      </c>
      <c r="F3" s="80">
        <f>NeoClassical!J$31</f>
        <v>0.9696661164484266</v>
      </c>
      <c r="G3" s="80">
        <f>NeoClassical!L$31</f>
        <v>0.96044901896896462</v>
      </c>
      <c r="H3" s="80">
        <f>NeoClassical!N$31</f>
        <v>0.95036006970128251</v>
      </c>
      <c r="I3" s="80">
        <f>NeoClassical!P$31</f>
        <v>0.93924014496186647</v>
      </c>
      <c r="J3" s="80">
        <f>NeoClassical!R$31</f>
        <v>0.9268841639229537</v>
      </c>
      <c r="K3" s="80">
        <f>NeoClassical!T$31</f>
        <v>0.91302134825463699</v>
      </c>
      <c r="L3" s="80">
        <f>NeoClassical!V$31</f>
        <v>0.89728328506952681</v>
      </c>
      <c r="M3" s="80">
        <f>NeoClassical!X$31</f>
        <v>0.87915178727347809</v>
      </c>
      <c r="N3" s="80">
        <f>NeoClassical!Z$31</f>
        <v>0.85786855891876468</v>
      </c>
      <c r="O3" s="80">
        <f>NeoClassical!AB$31</f>
        <v>0.83227374519507558</v>
      </c>
      <c r="P3" s="80">
        <f>NeoClassical!AD$31</f>
        <v>0.80050777747195501</v>
      </c>
      <c r="Q3" s="80">
        <f>NeoClassical!AF$31</f>
        <v>0.75946046234222653</v>
      </c>
      <c r="R3" s="80">
        <f>NeoClassical!AH$31</f>
        <v>0.7038000525693473</v>
      </c>
      <c r="S3" s="80">
        <f>NeoClassical!AJ$31</f>
        <v>0.62435655241922505</v>
      </c>
      <c r="T3" s="80">
        <f>NeoClassical!AL$31</f>
        <v>0.50452139105674476</v>
      </c>
      <c r="U3" s="80">
        <f>NeoClassical!AN$31</f>
        <v>0.30750056715207763</v>
      </c>
      <c r="V3" s="80">
        <f>NeoClassical!AP$31</f>
        <v>0.25228725004707303</v>
      </c>
      <c r="W3" s="80">
        <f>NeoClassical!AR$31</f>
        <v>0.18980694744837243</v>
      </c>
      <c r="X3" s="80">
        <f>NeoClassical!AT$31</f>
        <v>0.12004270302059923</v>
      </c>
      <c r="Y3" s="80">
        <f>NeoClassical!AV$31</f>
        <v>4.7235044309722508E-2</v>
      </c>
    </row>
    <row r="4" spans="1:27" x14ac:dyDescent="0.2">
      <c r="A4" t="s">
        <v>163</v>
      </c>
      <c r="B4" s="80">
        <f>Kaldorian!B$31</f>
        <v>1</v>
      </c>
      <c r="C4" s="80">
        <f>Kaldorian!D$31</f>
        <v>0.99794571895232465</v>
      </c>
      <c r="D4" s="80">
        <f>Kaldorian!F$31</f>
        <v>0.99548653705975232</v>
      </c>
      <c r="E4" s="80">
        <f>Kaldorian!H$31</f>
        <v>0.99256604448247598</v>
      </c>
      <c r="F4" s="80">
        <f>Kaldorian!J$31</f>
        <v>0.98911614411546578</v>
      </c>
      <c r="G4" s="80">
        <f>Kaldorian!L$31</f>
        <v>0.98505318340344472</v>
      </c>
      <c r="H4" s="80">
        <f>Kaldorian!N$31</f>
        <v>0.98027384828542907</v>
      </c>
      <c r="I4" s="80">
        <f>Kaldorian!P$31</f>
        <v>0.9746475652123161</v>
      </c>
      <c r="J4" s="80">
        <f>Kaldorian!R$31</f>
        <v>0.96800657274775193</v>
      </c>
      <c r="K4" s="80">
        <f>Kaldorian!T$31</f>
        <v>0.96013046924035639</v>
      </c>
      <c r="L4" s="80">
        <f>Kaldorian!V$31</f>
        <v>0.95072152970731916</v>
      </c>
      <c r="M4" s="80">
        <f>Kaldorian!X$31</f>
        <v>0.939364621325666</v>
      </c>
      <c r="N4" s="80">
        <f>Kaldorian!Z$31</f>
        <v>0.92545821704317688</v>
      </c>
      <c r="O4" s="80">
        <f>Kaldorian!AB$31</f>
        <v>0.9080896874169998</v>
      </c>
      <c r="P4" s="80">
        <f>Kaldorian!AD$31</f>
        <v>0.88579996790135218</v>
      </c>
      <c r="Q4" s="80">
        <f>Kaldorian!AF$31</f>
        <v>0.85612090956102593</v>
      </c>
      <c r="R4" s="80">
        <f>Kaldorian!AH$31</f>
        <v>0.81464542101723159</v>
      </c>
      <c r="S4" s="80">
        <f>Kaldorian!AJ$31</f>
        <v>0.75306628528698782</v>
      </c>
      <c r="T4" s="80">
        <f>Kaldorian!AL$31</f>
        <v>0.65398229228429294</v>
      </c>
      <c r="U4" s="80">
        <f>Kaldorian!AN$31</f>
        <v>0</v>
      </c>
      <c r="V4" s="80">
        <f>Kaldorian!AP$31</f>
        <v>0</v>
      </c>
      <c r="W4" s="80">
        <f>Kaldorian!AR$31</f>
        <v>0</v>
      </c>
      <c r="X4" s="80">
        <f>Kaldorian!AT$31</f>
        <v>0</v>
      </c>
      <c r="Y4" s="80">
        <f>Kaldorian!AV$31</f>
        <v>0</v>
      </c>
    </row>
    <row r="5" spans="1:27" x14ac:dyDescent="0.2">
      <c r="A5" t="s">
        <v>90</v>
      </c>
      <c r="B5" s="80">
        <f>Johansen!B$31</f>
        <v>1</v>
      </c>
      <c r="C5" s="80">
        <f>Johansen!D$31</f>
        <v>0.99796891807887156</v>
      </c>
      <c r="D5" s="80">
        <f>Johansen!F$31</f>
        <v>0.99553305376638834</v>
      </c>
      <c r="E5" s="80">
        <f>Johansen!H$31</f>
        <v>0.99263602928897521</v>
      </c>
      <c r="F5" s="80">
        <f>Johansen!J$31</f>
        <v>0.98920976684459361</v>
      </c>
      <c r="G5" s="80">
        <f>Johansen!L$31</f>
        <v>0.98517058901227705</v>
      </c>
      <c r="H5" s="80">
        <f>Johansen!N$31</f>
        <v>0.98041509369274582</v>
      </c>
      <c r="I5" s="80">
        <f>Johansen!P$31</f>
        <v>0.97481251092062471</v>
      </c>
      <c r="J5" s="80">
        <f>Johansen!R$31</f>
        <v>0.9681946991435022</v>
      </c>
      <c r="K5" s="80">
        <f>Johansen!T$31</f>
        <v>0.96034058062787786</v>
      </c>
      <c r="L5" s="80">
        <f>Johansen!V$31</f>
        <v>0.9509513018226049</v>
      </c>
      <c r="M5" s="80">
        <f>Johansen!X$31</f>
        <v>0.93960988452495975</v>
      </c>
      <c r="N5" s="80">
        <f>Johansen!Z$31</f>
        <v>0.92571168470103227</v>
      </c>
      <c r="O5" s="80">
        <f>Johansen!AB$31</f>
        <v>0.90833946834907031</v>
      </c>
      <c r="P5" s="80">
        <f>Johansen!AD$31</f>
        <v>0.88602755180803816</v>
      </c>
      <c r="Q5" s="80">
        <f>Johansen!AF$31</f>
        <v>0.85630113560040833</v>
      </c>
      <c r="R5" s="80">
        <f>Johansen!AH$31</f>
        <v>0.814755312491238</v>
      </c>
      <c r="S5" s="80">
        <f>Johansen!AJ$31</f>
        <v>0.75310799725245658</v>
      </c>
      <c r="T5" s="80">
        <f>Johansen!AL$31</f>
        <v>0.65398934561194277</v>
      </c>
      <c r="U5" s="80">
        <f>Johansen!AN$31</f>
        <v>0.47084907197547682</v>
      </c>
      <c r="V5" s="80">
        <f>Johansen!AP$31</f>
        <v>0.41358113951207914</v>
      </c>
      <c r="W5" s="80">
        <f>Johansen!AR$31</f>
        <v>0.34414189107171578</v>
      </c>
      <c r="X5" s="80">
        <f>Johansen!AT$31</f>
        <v>0.25788356553016201</v>
      </c>
      <c r="Y5" s="80">
        <f>Johansen!AV$31</f>
        <v>0.14734084437281741</v>
      </c>
    </row>
    <row r="6" spans="1:27" x14ac:dyDescent="0.2">
      <c r="A6" t="s">
        <v>146</v>
      </c>
      <c r="B6" s="80">
        <f>'Keynes-K'!B$31</f>
        <v>1</v>
      </c>
      <c r="C6" s="80">
        <f>'Keynes-K'!D$31</f>
        <v>1.0025765807484963</v>
      </c>
      <c r="D6" s="80">
        <f>'Keynes-K'!F$31</f>
        <v>1.0042488516071926</v>
      </c>
      <c r="E6" s="80">
        <f>'Keynes-K'!H$31</f>
        <v>1.0049382337913457</v>
      </c>
      <c r="F6" s="80">
        <f>'Keynes-K'!J$31</f>
        <v>1.0045427872579873</v>
      </c>
      <c r="G6" s="80">
        <f>'Keynes-K'!L$31</f>
        <v>1.0029306674296194</v>
      </c>
      <c r="H6" s="80">
        <f>'Keynes-K'!N$31</f>
        <v>0.99993329083427851</v>
      </c>
      <c r="I6" s="80">
        <f>'Keynes-K'!P$31</f>
        <v>0.99533154788388523</v>
      </c>
      <c r="J6" s="80">
        <f>'Keynes-K'!R$31</f>
        <v>0.98883881825832665</v>
      </c>
      <c r="K6" s="80">
        <f>'Keynes-K'!T$31</f>
        <v>0.98007393507123974</v>
      </c>
      <c r="L6" s="80">
        <f>'Keynes-K'!V$31</f>
        <v>0.96851936077842193</v>
      </c>
      <c r="M6" s="80">
        <f>'Keynes-K'!X$31</f>
        <v>0.95345376283623329</v>
      </c>
      <c r="N6" s="80">
        <f>'Keynes-K'!Z$31</f>
        <v>0.93383910145419968</v>
      </c>
      <c r="O6" s="80">
        <f>'Keynes-K'!AB$31</f>
        <v>0.90812246661162488</v>
      </c>
      <c r="P6" s="80">
        <f>'Keynes-K'!AD$31</f>
        <v>0.87387484480273492</v>
      </c>
      <c r="Q6" s="80">
        <f>'Keynes-K'!AF$31</f>
        <v>0.827111301457783</v>
      </c>
      <c r="R6" s="80">
        <f>'Keynes-K'!AH$31</f>
        <v>0.76101403077933727</v>
      </c>
      <c r="S6" s="80">
        <f>'Keynes-K'!AJ$31</f>
        <v>0.66370295038476146</v>
      </c>
      <c r="T6" s="80">
        <f>'Keynes-K'!AL$31</f>
        <v>0.5153664064184037</v>
      </c>
      <c r="U6" s="80">
        <f>'Keynes-K'!AN$31</f>
        <v>0</v>
      </c>
      <c r="V6" s="80">
        <f>'Keynes-K'!AP$31</f>
        <v>0</v>
      </c>
      <c r="W6" s="80">
        <f>'Keynes-K'!AR$31</f>
        <v>0</v>
      </c>
      <c r="X6" s="80">
        <f>'Keynes-K'!AT$31</f>
        <v>0</v>
      </c>
      <c r="Y6" s="80">
        <f>'Keynes-K'!AV$31</f>
        <v>0</v>
      </c>
    </row>
    <row r="7" spans="1:27" x14ac:dyDescent="0.2">
      <c r="A7" t="s">
        <v>144</v>
      </c>
      <c r="B7" s="80">
        <f>'Keynes-M'!B$31</f>
        <v>1</v>
      </c>
      <c r="C7" s="80">
        <f>'Keynes-M'!D$31</f>
        <v>1.0111962379456625</v>
      </c>
      <c r="D7" s="80">
        <f>'Keynes-M'!F$31</f>
        <v>1.0221110163271248</v>
      </c>
      <c r="E7" s="80">
        <f>'Keynes-M'!H$31</f>
        <v>1.0327220786347637</v>
      </c>
      <c r="F7" s="80">
        <f>'Keynes-M'!J$31</f>
        <v>1.0430012318604618</v>
      </c>
      <c r="G7" s="80">
        <f>'Keynes-M'!L$31</f>
        <v>1.0529138029955176</v>
      </c>
      <c r="H7" s="80">
        <f>'Keynes-M'!N$31</f>
        <v>1.0624180804227186</v>
      </c>
      <c r="I7" s="80">
        <f>'Keynes-M'!P$31</f>
        <v>1.0714651667377912</v>
      </c>
      <c r="J7" s="80">
        <f>'Keynes-M'!R$31</f>
        <v>1.0799994769554477</v>
      </c>
      <c r="K7" s="80">
        <f>'Keynes-M'!T$31</f>
        <v>1.087960110162671</v>
      </c>
      <c r="L7" s="80">
        <f>'Keynes-M'!V$31</f>
        <v>1.0952836398412102</v>
      </c>
      <c r="M7" s="80">
        <f>'Keynes-M'!X$31</f>
        <v>1.1019053651137349</v>
      </c>
      <c r="N7" s="80">
        <f>'Keynes-M'!Z$31</f>
        <v>1.107743790703295</v>
      </c>
      <c r="O7" s="80">
        <f>'Keynes-M'!AB$31</f>
        <v>1.1125999301599683</v>
      </c>
      <c r="P7" s="80">
        <f>'Keynes-M'!AD$31</f>
        <v>1.1157240293968911</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0.97797775130279707</v>
      </c>
      <c r="D8" s="80">
        <f>Keynesian!F$31</f>
        <v>0.95367081705717394</v>
      </c>
      <c r="E8" s="80">
        <f>Keynesian!H$31</f>
        <v>0.92685466044935627</v>
      </c>
      <c r="F8" s="80">
        <f>Keynesian!J$31</f>
        <v>0.89729713131859823</v>
      </c>
      <c r="G8" s="80">
        <f>Keynesian!L$31</f>
        <v>0.86477000112553792</v>
      </c>
      <c r="H8" s="80">
        <f>Keynesian!N$31</f>
        <v>0.82906483067568892</v>
      </c>
      <c r="I8" s="80">
        <f>Keynesian!P$31</f>
        <v>0.79002140947418187</v>
      </c>
      <c r="J8" s="80">
        <f>Keynesian!R$31</f>
        <v>0.74757285602083501</v>
      </c>
      <c r="K8" s="80">
        <f>Keynesian!T$31</f>
        <v>0.70182633430735131</v>
      </c>
      <c r="L8" s="80">
        <f>Keynesian!V$31</f>
        <v>0.65323943888860414</v>
      </c>
      <c r="M8" s="80">
        <f>Keynesian!X$31</f>
        <v>0.6031139642985327</v>
      </c>
      <c r="N8" s="80">
        <f>Keynesian!Z$31</f>
        <v>0</v>
      </c>
      <c r="O8" s="80">
        <f>Keynesian!AB$31</f>
        <v>0</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0.98528087601056491</v>
      </c>
      <c r="D9" s="80">
        <f>'Neo-K2'!F$31</f>
        <v>0.96911144828215767</v>
      </c>
      <c r="E9" s="80">
        <f>'Neo-K2'!H$31</f>
        <v>0.95125740598659303</v>
      </c>
      <c r="F9" s="80">
        <f>'Neo-K2'!J$31</f>
        <v>0.93144118296153389</v>
      </c>
      <c r="G9" s="80">
        <f>'Neo-K2'!L$31</f>
        <v>0.90933399388265912</v>
      </c>
      <c r="H9" s="80">
        <f>'Neo-K2'!N$31</f>
        <v>0.88455207259463964</v>
      </c>
      <c r="I9" s="80">
        <f>'Neo-K2'!P$31</f>
        <v>0.85665656040674143</v>
      </c>
      <c r="J9" s="80">
        <f>'Neo-K2'!R$31</f>
        <v>0.8251633096915113</v>
      </c>
      <c r="K9" s="80">
        <f>'Neo-K2'!T$31</f>
        <v>0.78957077978563028</v>
      </c>
      <c r="L9" s="80">
        <f>'Neo-K2'!V$31</f>
        <v>0.74941846510108467</v>
      </c>
      <c r="M9" s="80">
        <f>'Neo-K2'!X$31</f>
        <v>0.70438978879135417</v>
      </c>
      <c r="N9" s="80">
        <f>'Neo-K2'!Z$31</f>
        <v>0.65446225487487919</v>
      </c>
      <c r="O9" s="80">
        <f>'Neo-K2'!AB$31</f>
        <v>0.60008036554093225</v>
      </c>
      <c r="P9" s="80">
        <f>'Neo-K2'!AD$31</f>
        <v>0.54224036017414967</v>
      </c>
      <c r="Q9" s="80">
        <f>'Neo-K2'!AF$31</f>
        <v>0.48226517300841398</v>
      </c>
      <c r="R9" s="80">
        <f>'Neo-K2'!AH$31</f>
        <v>0.42103070736730963</v>
      </c>
      <c r="S9" s="80">
        <f>'Neo-K2'!AJ$31</f>
        <v>0</v>
      </c>
      <c r="T9" s="80">
        <f>'Neo-K2'!AL$31</f>
        <v>0</v>
      </c>
      <c r="U9" s="80">
        <f>'Neo-K2'!AN$31</f>
        <v>0</v>
      </c>
      <c r="V9" s="80">
        <f>'Neo-K2'!AP$31</f>
        <v>0</v>
      </c>
      <c r="W9" s="80">
        <f>'Neo-K2'!AR$31</f>
        <v>0</v>
      </c>
      <c r="X9" s="80">
        <f>'Neo-K2'!AT$31</f>
        <v>0</v>
      </c>
      <c r="Y9" s="80">
        <f>'Neo-K2'!AV$31</f>
        <v>0</v>
      </c>
    </row>
    <row r="10" spans="1:27" x14ac:dyDescent="0.2">
      <c r="A10" t="s">
        <v>158</v>
      </c>
      <c r="B10" s="80">
        <f>'Neo-K1'!B$31</f>
        <v>1</v>
      </c>
      <c r="C10" s="80">
        <f>'Neo-K1'!D$31</f>
        <v>0.9877844861370183</v>
      </c>
      <c r="D10" s="80">
        <f>'Neo-K1'!F$31</f>
        <v>0.97450770538624287</v>
      </c>
      <c r="E10" s="80">
        <f>'Neo-K1'!H$31</f>
        <v>0.9600089138938882</v>
      </c>
      <c r="F10" s="80">
        <f>'Neo-K1'!J$31</f>
        <v>0.94409381019902416</v>
      </c>
      <c r="G10" s="80">
        <f>'Neo-K1'!L$31</f>
        <v>0.92652515412369785</v>
      </c>
      <c r="H10" s="80">
        <f>'Neo-K1'!N$31</f>
        <v>0.9070126679499696</v>
      </c>
      <c r="I10" s="80">
        <f>'Neo-K1'!P$31</f>
        <v>0.88519623050701213</v>
      </c>
      <c r="J10" s="80">
        <f>'Neo-K1'!R$31</f>
        <v>0.86062856575712154</v>
      </c>
      <c r="K10" s="80">
        <f>'Neo-K1'!T$31</f>
        <v>0.83275035393317698</v>
      </c>
      <c r="L10" s="80">
        <f>'Neo-K1'!V$31</f>
        <v>0.80086111940731142</v>
      </c>
      <c r="M10" s="80">
        <f>'Neo-K1'!X$31</f>
        <v>0.76408614824755194</v>
      </c>
      <c r="N10" s="80">
        <f>'Neo-K1'!Z$31</f>
        <v>0.72134482293081048</v>
      </c>
      <c r="O10" s="80">
        <f>'Neo-K1'!AB$31</f>
        <v>0.6713310809570161</v>
      </c>
      <c r="P10" s="80">
        <f>'Neo-K1'!AD$31</f>
        <v>0.61252843737040452</v>
      </c>
      <c r="Q10" s="80">
        <f>'Neo-K1'!AF$31</f>
        <v>0.54329048346463926</v>
      </c>
      <c r="R10" s="80">
        <f>'Neo-K1'!AH$31</f>
        <v>0.46201450926682025</v>
      </c>
      <c r="S10" s="80">
        <f>'Neo-K1'!AJ$31</f>
        <v>0.36740215574185953</v>
      </c>
      <c r="T10" s="80">
        <f>'Neo-K1'!AL$31</f>
        <v>0.25873254408013985</v>
      </c>
      <c r="U10" s="80">
        <f>'Neo-K1'!AN$31</f>
        <v>0.13602454174767661</v>
      </c>
      <c r="V10" s="80">
        <f>'Neo-K1'!AP$31</f>
        <v>0.10985142635284577</v>
      </c>
      <c r="W10" s="80">
        <f>'Neo-K1'!AR$31</f>
        <v>8.315272900305834E-2</v>
      </c>
      <c r="X10" s="80">
        <f>'Neo-K1'!AT$31</f>
        <v>5.5937843083955469E-2</v>
      </c>
      <c r="Y10" s="80">
        <f>'Neo-K1'!AV$31</f>
        <v>2.8216770068123811E-2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99.322811283100364</v>
      </c>
      <c r="D18" s="80">
        <f t="shared" si="1"/>
        <v>98.596335001535479</v>
      </c>
      <c r="E18" s="80">
        <f t="shared" si="1"/>
        <v>97.813697895150057</v>
      </c>
      <c r="F18" s="80">
        <f t="shared" si="1"/>
        <v>96.966611644842658</v>
      </c>
      <c r="G18" s="80">
        <f t="shared" si="1"/>
        <v>96.044901896896462</v>
      </c>
      <c r="H18" s="80">
        <f t="shared" si="1"/>
        <v>95.036006970128255</v>
      </c>
      <c r="I18" s="80">
        <f t="shared" si="1"/>
        <v>93.924014496186643</v>
      </c>
      <c r="J18" s="80">
        <f t="shared" si="1"/>
        <v>92.688416392295366</v>
      </c>
      <c r="K18" s="80">
        <f t="shared" si="1"/>
        <v>91.302134825463696</v>
      </c>
      <c r="L18" s="80">
        <f t="shared" si="1"/>
        <v>89.728328506952678</v>
      </c>
      <c r="M18" s="80">
        <f t="shared" si="1"/>
        <v>87.915178727347808</v>
      </c>
      <c r="N18" s="80">
        <f t="shared" si="1"/>
        <v>85.786855891876471</v>
      </c>
      <c r="O18" s="80">
        <f t="shared" si="1"/>
        <v>83.227374519507563</v>
      </c>
      <c r="P18" s="80">
        <f t="shared" si="1"/>
        <v>80.050777747195497</v>
      </c>
      <c r="Q18" s="80">
        <f t="shared" si="1"/>
        <v>75.946046234222649</v>
      </c>
      <c r="R18" s="80">
        <f t="shared" si="1"/>
        <v>70.380005256934737</v>
      </c>
      <c r="S18" s="80">
        <f t="shared" si="1"/>
        <v>62.435655241922504</v>
      </c>
      <c r="T18" s="80">
        <f t="shared" si="1"/>
        <v>50.452139105674476</v>
      </c>
      <c r="U18" s="80">
        <f t="shared" si="1"/>
        <v>30.750056715207762</v>
      </c>
      <c r="V18" s="80">
        <f t="shared" si="1"/>
        <v>25.228725004707304</v>
      </c>
      <c r="W18" s="80">
        <f t="shared" si="1"/>
        <v>18.980694744837244</v>
      </c>
      <c r="X18" s="80">
        <f t="shared" si="1"/>
        <v>12.004270302059924</v>
      </c>
      <c r="Y18" s="80">
        <f t="shared" si="1"/>
        <v>4.7235044309722509</v>
      </c>
      <c r="Z18" s="138"/>
      <c r="AA18" t="s">
        <v>89</v>
      </c>
      <c r="AB18" s="138">
        <f t="shared" ref="AB18:AB23" si="2">1-B18</f>
        <v>-99</v>
      </c>
      <c r="AC18" s="138">
        <f t="shared" ref="AC18:AC23" si="3">1-C18</f>
        <v>-98.322811283100364</v>
      </c>
      <c r="AD18" s="138">
        <f t="shared" ref="AD18:AD23" si="4">1-D18</f>
        <v>-97.596335001535479</v>
      </c>
      <c r="AE18" s="138">
        <f t="shared" ref="AE18:AE23" si="5">1-E18</f>
        <v>-96.813697895150057</v>
      </c>
      <c r="AF18" s="138">
        <f t="shared" ref="AF18:AF23" si="6">1-F18</f>
        <v>-95.966611644842658</v>
      </c>
      <c r="AG18" s="138">
        <f t="shared" ref="AG18:AG23" si="7">1-G18</f>
        <v>-95.044901896896462</v>
      </c>
      <c r="AH18" s="138">
        <f t="shared" ref="AH18:AH23" si="8">1-H18</f>
        <v>-94.036006970128255</v>
      </c>
      <c r="AI18" s="138">
        <f t="shared" ref="AI18:AI23" si="9">1-I18</f>
        <v>-92.924014496186643</v>
      </c>
      <c r="AJ18" s="138">
        <f t="shared" ref="AJ18:AJ23" si="10">1-J18</f>
        <v>-91.688416392295366</v>
      </c>
      <c r="AK18" s="138">
        <f t="shared" ref="AK18:AK23" si="11">1-K18</f>
        <v>-90.302134825463696</v>
      </c>
      <c r="AL18" s="138">
        <f t="shared" ref="AL18:AL23" si="12">1-L18</f>
        <v>-88.728328506952678</v>
      </c>
      <c r="AM18" s="138">
        <f t="shared" ref="AM18:AM23" si="13">1-M18</f>
        <v>-86.915178727347808</v>
      </c>
      <c r="AN18" s="138">
        <f t="shared" ref="AN18:AN23" si="14">1-N18</f>
        <v>-84.786855891876471</v>
      </c>
      <c r="AO18" s="138">
        <f t="shared" ref="AO18:AO23" si="15">1-O18</f>
        <v>-82.227374519507563</v>
      </c>
      <c r="AP18" s="138">
        <f t="shared" ref="AP18:AP23" si="16">1-P18</f>
        <v>-79.050777747195497</v>
      </c>
      <c r="AQ18" s="138">
        <f t="shared" ref="AQ18:AQ23" si="17">1-Q18</f>
        <v>-74.946046234222649</v>
      </c>
      <c r="AR18" s="138">
        <f t="shared" ref="AR18:AR23" si="18">1-R18</f>
        <v>-69.380005256934737</v>
      </c>
      <c r="AS18" s="138">
        <f t="shared" ref="AS18:AS23" si="19">1-S18</f>
        <v>-61.435655241922504</v>
      </c>
      <c r="AT18" s="138">
        <f t="shared" ref="AT18:AT23" si="20">1-T18</f>
        <v>-49.452139105674476</v>
      </c>
      <c r="AU18" s="138">
        <f t="shared" ref="AU18:AU23" si="21">1-U18</f>
        <v>-29.750056715207762</v>
      </c>
      <c r="AV18" s="138">
        <f t="shared" ref="AV18:AV23" si="22">1-V18</f>
        <v>-24.228725004707304</v>
      </c>
      <c r="AW18" s="138">
        <f t="shared" ref="AW18:AW23" si="23">1-W18</f>
        <v>-17.980694744837244</v>
      </c>
      <c r="AX18" s="138">
        <f t="shared" ref="AX18:AX23" si="24">1-X18</f>
        <v>-11.004270302059924</v>
      </c>
      <c r="AY18" s="138">
        <f t="shared" ref="AY18:AY23" si="25">1-Y18</f>
        <v>-3.7235044309722509</v>
      </c>
    </row>
    <row r="19" spans="1:51" x14ac:dyDescent="0.2">
      <c r="A19" t="str">
        <f t="shared" si="0"/>
        <v>Kaldorian</v>
      </c>
      <c r="B19" s="80">
        <f t="shared" ref="B19:Y19" si="26">IF(B4&gt;0,100*B4,"")</f>
        <v>100</v>
      </c>
      <c r="C19" s="80">
        <f t="shared" si="26"/>
        <v>99.794571895232465</v>
      </c>
      <c r="D19" s="80">
        <f t="shared" si="26"/>
        <v>99.548653705975227</v>
      </c>
      <c r="E19" s="80">
        <f t="shared" si="26"/>
        <v>99.2566044482476</v>
      </c>
      <c r="F19" s="80">
        <f t="shared" si="26"/>
        <v>98.91161441154658</v>
      </c>
      <c r="G19" s="80">
        <f t="shared" si="26"/>
        <v>98.505318340344473</v>
      </c>
      <c r="H19" s="80">
        <f t="shared" si="26"/>
        <v>98.027384828542907</v>
      </c>
      <c r="I19" s="80">
        <f t="shared" si="26"/>
        <v>97.464756521231607</v>
      </c>
      <c r="J19" s="80">
        <f t="shared" si="26"/>
        <v>96.80065727477519</v>
      </c>
      <c r="K19" s="80">
        <f t="shared" si="26"/>
        <v>96.013046924035635</v>
      </c>
      <c r="L19" s="80">
        <f t="shared" si="26"/>
        <v>95.072152970731921</v>
      </c>
      <c r="M19" s="80">
        <f t="shared" si="26"/>
        <v>93.936462132566604</v>
      </c>
      <c r="N19" s="80">
        <f t="shared" si="26"/>
        <v>92.545821704317689</v>
      </c>
      <c r="O19" s="80">
        <f t="shared" si="26"/>
        <v>90.808968741699985</v>
      </c>
      <c r="P19" s="80">
        <f t="shared" si="26"/>
        <v>88.579996790135212</v>
      </c>
      <c r="Q19" s="80">
        <f t="shared" si="26"/>
        <v>85.612090956102591</v>
      </c>
      <c r="R19" s="80">
        <f t="shared" si="26"/>
        <v>81.464542101723154</v>
      </c>
      <c r="S19" s="80">
        <f t="shared" si="26"/>
        <v>75.306628528698781</v>
      </c>
      <c r="T19" s="80">
        <f t="shared" si="26"/>
        <v>65.398229228429301</v>
      </c>
      <c r="U19" s="80" t="str">
        <f t="shared" si="26"/>
        <v/>
      </c>
      <c r="V19" s="80" t="str">
        <f t="shared" si="26"/>
        <v/>
      </c>
      <c r="W19" s="80" t="str">
        <f t="shared" si="26"/>
        <v/>
      </c>
      <c r="X19" s="80" t="str">
        <f t="shared" si="26"/>
        <v/>
      </c>
      <c r="Y19" s="80" t="str">
        <f t="shared" si="26"/>
        <v/>
      </c>
      <c r="Z19" s="138"/>
      <c r="AA19" t="s">
        <v>90</v>
      </c>
      <c r="AB19" s="138">
        <f t="shared" si="2"/>
        <v>-99</v>
      </c>
      <c r="AC19" s="138">
        <f t="shared" si="3"/>
        <v>-98.794571895232465</v>
      </c>
      <c r="AD19" s="138">
        <f t="shared" si="4"/>
        <v>-98.548653705975227</v>
      </c>
      <c r="AE19" s="138">
        <f t="shared" si="5"/>
        <v>-98.2566044482476</v>
      </c>
      <c r="AF19" s="138">
        <f t="shared" si="6"/>
        <v>-97.91161441154658</v>
      </c>
      <c r="AG19" s="138">
        <f t="shared" si="7"/>
        <v>-97.505318340344473</v>
      </c>
      <c r="AH19" s="138">
        <f t="shared" si="8"/>
        <v>-97.027384828542907</v>
      </c>
      <c r="AI19" s="138">
        <f t="shared" si="9"/>
        <v>-96.464756521231607</v>
      </c>
      <c r="AJ19" s="138">
        <f t="shared" si="10"/>
        <v>-95.80065727477519</v>
      </c>
      <c r="AK19" s="138">
        <f t="shared" si="11"/>
        <v>-95.013046924035635</v>
      </c>
      <c r="AL19" s="138">
        <f t="shared" si="12"/>
        <v>-94.072152970731921</v>
      </c>
      <c r="AM19" s="138">
        <f t="shared" si="13"/>
        <v>-92.936462132566604</v>
      </c>
      <c r="AN19" s="138">
        <f t="shared" si="14"/>
        <v>-91.545821704317689</v>
      </c>
      <c r="AO19" s="138">
        <f t="shared" si="15"/>
        <v>-89.808968741699985</v>
      </c>
      <c r="AP19" s="138">
        <f t="shared" si="16"/>
        <v>-87.579996790135212</v>
      </c>
      <c r="AQ19" s="138">
        <f t="shared" si="17"/>
        <v>-84.612090956102591</v>
      </c>
      <c r="AR19" s="138">
        <f t="shared" si="18"/>
        <v>-80.464542101723154</v>
      </c>
      <c r="AS19" s="138">
        <f t="shared" si="19"/>
        <v>-74.306628528698781</v>
      </c>
      <c r="AT19" s="138">
        <f t="shared" si="20"/>
        <v>-64.398229228429301</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99.79689180788715</v>
      </c>
      <c r="D20" s="80">
        <f t="shared" si="27"/>
        <v>99.553305376638832</v>
      </c>
      <c r="E20" s="80">
        <f t="shared" si="27"/>
        <v>99.263602928897527</v>
      </c>
      <c r="F20" s="80">
        <f t="shared" si="27"/>
        <v>98.920976684459362</v>
      </c>
      <c r="G20" s="80">
        <f t="shared" si="27"/>
        <v>98.517058901227699</v>
      </c>
      <c r="H20" s="80">
        <f t="shared" si="27"/>
        <v>98.041509369274578</v>
      </c>
      <c r="I20" s="80">
        <f t="shared" si="27"/>
        <v>97.481251092062465</v>
      </c>
      <c r="J20" s="80">
        <f t="shared" si="27"/>
        <v>96.819469914350222</v>
      </c>
      <c r="K20" s="80">
        <f t="shared" si="27"/>
        <v>96.034058062787793</v>
      </c>
      <c r="L20" s="80">
        <f t="shared" si="27"/>
        <v>95.09513018226049</v>
      </c>
      <c r="M20" s="80">
        <f t="shared" si="27"/>
        <v>93.960988452495968</v>
      </c>
      <c r="N20" s="80">
        <f t="shared" si="27"/>
        <v>92.571168470103231</v>
      </c>
      <c r="O20" s="80">
        <f t="shared" si="27"/>
        <v>90.833946834907024</v>
      </c>
      <c r="P20" s="80">
        <f t="shared" si="27"/>
        <v>88.602755180803811</v>
      </c>
      <c r="Q20" s="80">
        <f t="shared" si="27"/>
        <v>85.630113560040826</v>
      </c>
      <c r="R20" s="80">
        <f t="shared" si="27"/>
        <v>81.475531249123804</v>
      </c>
      <c r="S20" s="80">
        <f t="shared" si="27"/>
        <v>75.310799725245658</v>
      </c>
      <c r="T20" s="80">
        <f t="shared" si="27"/>
        <v>65.398934561194281</v>
      </c>
      <c r="U20" s="80">
        <f t="shared" si="27"/>
        <v>47.084907197547679</v>
      </c>
      <c r="V20" s="80">
        <f t="shared" si="27"/>
        <v>41.358113951207912</v>
      </c>
      <c r="W20" s="80">
        <f t="shared" si="27"/>
        <v>34.41418910717158</v>
      </c>
      <c r="X20" s="80">
        <f t="shared" si="27"/>
        <v>25.7883565530162</v>
      </c>
      <c r="Y20" s="80">
        <f t="shared" si="27"/>
        <v>14.734084437281741</v>
      </c>
      <c r="Z20" s="138"/>
      <c r="AA20" t="s">
        <v>93</v>
      </c>
      <c r="AB20" s="138">
        <f t="shared" si="2"/>
        <v>-99</v>
      </c>
      <c r="AC20" s="138">
        <f t="shared" si="3"/>
        <v>-98.79689180788715</v>
      </c>
      <c r="AD20" s="138">
        <f t="shared" si="4"/>
        <v>-98.553305376638832</v>
      </c>
      <c r="AE20" s="138">
        <f t="shared" si="5"/>
        <v>-98.263602928897527</v>
      </c>
      <c r="AF20" s="138">
        <f t="shared" si="6"/>
        <v>-97.920976684459362</v>
      </c>
      <c r="AG20" s="138">
        <f t="shared" si="7"/>
        <v>-97.517058901227699</v>
      </c>
      <c r="AH20" s="138">
        <f t="shared" si="8"/>
        <v>-97.041509369274578</v>
      </c>
      <c r="AI20" s="138">
        <f t="shared" si="9"/>
        <v>-96.481251092062465</v>
      </c>
      <c r="AJ20" s="138">
        <f t="shared" si="10"/>
        <v>-95.819469914350222</v>
      </c>
      <c r="AK20" s="138">
        <f t="shared" si="11"/>
        <v>-95.034058062787793</v>
      </c>
      <c r="AL20" s="138">
        <f t="shared" si="12"/>
        <v>-94.09513018226049</v>
      </c>
      <c r="AM20" s="138">
        <f t="shared" si="13"/>
        <v>-92.960988452495968</v>
      </c>
      <c r="AN20" s="138">
        <f t="shared" si="14"/>
        <v>-91.571168470103231</v>
      </c>
      <c r="AO20" s="138">
        <f t="shared" si="15"/>
        <v>-89.833946834907024</v>
      </c>
      <c r="AP20" s="138">
        <f t="shared" si="16"/>
        <v>-87.602755180803811</v>
      </c>
      <c r="AQ20" s="138">
        <f t="shared" si="17"/>
        <v>-84.630113560040826</v>
      </c>
      <c r="AR20" s="138">
        <f t="shared" si="18"/>
        <v>-80.475531249123804</v>
      </c>
      <c r="AS20" s="138">
        <f t="shared" si="19"/>
        <v>-74.310799725245658</v>
      </c>
      <c r="AT20" s="138">
        <f t="shared" si="20"/>
        <v>-64.398934561194281</v>
      </c>
      <c r="AU20" s="138"/>
      <c r="AV20" s="138"/>
      <c r="AW20" s="138"/>
      <c r="AX20" s="138"/>
      <c r="AY20" s="138"/>
    </row>
    <row r="21" spans="1:51" x14ac:dyDescent="0.2">
      <c r="A21" t="str">
        <f t="shared" si="0"/>
        <v>Keynes-Kaldor</v>
      </c>
      <c r="B21" s="80">
        <f t="shared" ref="B21:Y21" si="28">IF(B6&gt;0,100*B6,"")</f>
        <v>100</v>
      </c>
      <c r="C21" s="80">
        <f t="shared" si="28"/>
        <v>100.25765807484963</v>
      </c>
      <c r="D21" s="80">
        <f t="shared" si="28"/>
        <v>100.42488516071926</v>
      </c>
      <c r="E21" s="80">
        <f t="shared" si="28"/>
        <v>100.49382337913457</v>
      </c>
      <c r="F21" s="80">
        <f t="shared" si="28"/>
        <v>100.45427872579873</v>
      </c>
      <c r="G21" s="80">
        <f t="shared" si="28"/>
        <v>100.29306674296194</v>
      </c>
      <c r="H21" s="80">
        <f t="shared" si="28"/>
        <v>99.993329083427852</v>
      </c>
      <c r="I21" s="80">
        <f t="shared" si="28"/>
        <v>99.533154788388529</v>
      </c>
      <c r="J21" s="80">
        <f t="shared" si="28"/>
        <v>98.88388182583266</v>
      </c>
      <c r="K21" s="80">
        <f t="shared" si="28"/>
        <v>98.007393507123979</v>
      </c>
      <c r="L21" s="80">
        <f t="shared" si="28"/>
        <v>96.851936077842197</v>
      </c>
      <c r="M21" s="80">
        <f t="shared" si="28"/>
        <v>95.345376283623324</v>
      </c>
      <c r="N21" s="80">
        <f t="shared" si="28"/>
        <v>93.383910145419975</v>
      </c>
      <c r="O21" s="80">
        <f t="shared" si="28"/>
        <v>90.81224666116249</v>
      </c>
      <c r="P21" s="80">
        <f t="shared" si="28"/>
        <v>87.387484480273486</v>
      </c>
      <c r="Q21" s="80">
        <f t="shared" si="28"/>
        <v>82.711130145778299</v>
      </c>
      <c r="R21" s="80">
        <f t="shared" si="28"/>
        <v>76.101403077933725</v>
      </c>
      <c r="S21" s="80">
        <f t="shared" si="28"/>
        <v>66.370295038476144</v>
      </c>
      <c r="T21" s="80">
        <f t="shared" si="28"/>
        <v>51.536640641840371</v>
      </c>
      <c r="U21" s="80" t="str">
        <f t="shared" si="28"/>
        <v/>
      </c>
      <c r="V21" s="80" t="str">
        <f t="shared" si="28"/>
        <v/>
      </c>
      <c r="W21" s="80" t="str">
        <f t="shared" si="28"/>
        <v/>
      </c>
      <c r="X21" s="80" t="str">
        <f t="shared" si="28"/>
        <v/>
      </c>
      <c r="Y21" s="80" t="str">
        <f t="shared" si="28"/>
        <v/>
      </c>
      <c r="Z21" s="138"/>
      <c r="AA21" t="s">
        <v>95</v>
      </c>
      <c r="AB21" s="138">
        <f t="shared" si="2"/>
        <v>-99</v>
      </c>
      <c r="AC21" s="138">
        <f t="shared" si="3"/>
        <v>-99.25765807484963</v>
      </c>
      <c r="AD21" s="138">
        <f t="shared" si="4"/>
        <v>-99.424885160719256</v>
      </c>
      <c r="AE21" s="138">
        <f t="shared" si="5"/>
        <v>-99.493823379134568</v>
      </c>
      <c r="AF21" s="138">
        <f t="shared" si="6"/>
        <v>-99.45427872579873</v>
      </c>
      <c r="AG21" s="138">
        <f t="shared" si="7"/>
        <v>-99.29306674296194</v>
      </c>
      <c r="AH21" s="138">
        <f t="shared" si="8"/>
        <v>-98.993329083427852</v>
      </c>
      <c r="AI21" s="138">
        <f t="shared" si="9"/>
        <v>-98.533154788388529</v>
      </c>
      <c r="AJ21" s="138">
        <f t="shared" si="10"/>
        <v>-97.88388182583266</v>
      </c>
      <c r="AK21" s="138">
        <f t="shared" si="11"/>
        <v>-97.007393507123979</v>
      </c>
      <c r="AL21" s="138">
        <f t="shared" si="12"/>
        <v>-95.851936077842197</v>
      </c>
      <c r="AM21" s="138">
        <f t="shared" si="13"/>
        <v>-94.345376283623324</v>
      </c>
      <c r="AN21" s="138">
        <f t="shared" si="14"/>
        <v>-92.383910145419975</v>
      </c>
      <c r="AO21" s="138">
        <f t="shared" si="15"/>
        <v>-89.81224666116249</v>
      </c>
      <c r="AP21" s="138">
        <f t="shared" si="16"/>
        <v>-86.387484480273486</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101.11962379456625</v>
      </c>
      <c r="D22" s="80">
        <f t="shared" si="29"/>
        <v>102.21110163271247</v>
      </c>
      <c r="E22" s="80">
        <f t="shared" si="29"/>
        <v>103.27220786347637</v>
      </c>
      <c r="F22" s="80">
        <f t="shared" si="29"/>
        <v>104.30012318604618</v>
      </c>
      <c r="G22" s="80">
        <f t="shared" si="29"/>
        <v>105.29138029955176</v>
      </c>
      <c r="H22" s="80">
        <f t="shared" si="29"/>
        <v>106.24180804227186</v>
      </c>
      <c r="I22" s="80">
        <f t="shared" si="29"/>
        <v>107.14651667377912</v>
      </c>
      <c r="J22" s="80">
        <f t="shared" si="29"/>
        <v>107.99994769554478</v>
      </c>
      <c r="K22" s="80">
        <f t="shared" si="29"/>
        <v>108.7960110162671</v>
      </c>
      <c r="L22" s="80">
        <f t="shared" si="29"/>
        <v>109.52836398412103</v>
      </c>
      <c r="M22" s="80">
        <f t="shared" si="29"/>
        <v>110.19053651137349</v>
      </c>
      <c r="N22" s="80">
        <f t="shared" si="29"/>
        <v>110.7743790703295</v>
      </c>
      <c r="O22" s="80">
        <f t="shared" si="29"/>
        <v>111.25999301599683</v>
      </c>
      <c r="P22" s="80">
        <f t="shared" si="29"/>
        <v>111.57240293968911</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-100.11962379456625</v>
      </c>
      <c r="AD22" s="138">
        <f t="shared" si="4"/>
        <v>-101.21110163271247</v>
      </c>
      <c r="AE22" s="138">
        <f t="shared" si="5"/>
        <v>-102.27220786347637</v>
      </c>
      <c r="AF22" s="138">
        <f t="shared" si="6"/>
        <v>-103.30012318604618</v>
      </c>
      <c r="AG22" s="138">
        <f t="shared" si="7"/>
        <v>-104.29138029955176</v>
      </c>
      <c r="AH22" s="138">
        <f t="shared" si="8"/>
        <v>-105.24180804227186</v>
      </c>
      <c r="AI22" s="138">
        <f t="shared" si="9"/>
        <v>-106.14651667377912</v>
      </c>
      <c r="AJ22" s="138">
        <f t="shared" si="10"/>
        <v>-106.99994769554478</v>
      </c>
      <c r="AK22" s="138">
        <f t="shared" si="11"/>
        <v>-107.7960110162671</v>
      </c>
      <c r="AL22" s="138">
        <f t="shared" si="12"/>
        <v>-108.52836398412103</v>
      </c>
      <c r="AM22" s="138">
        <f t="shared" si="13"/>
        <v>-109.19053651137349</v>
      </c>
      <c r="AN22" s="138">
        <f t="shared" si="14"/>
        <v>-109.7743790703295</v>
      </c>
      <c r="AO22" s="138">
        <f t="shared" si="15"/>
        <v>-110.25999301599683</v>
      </c>
      <c r="AP22" s="138">
        <f t="shared" si="16"/>
        <v>-110.57240293968911</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97.797775130279703</v>
      </c>
      <c r="D23" s="80">
        <f t="shared" si="30"/>
        <v>95.367081705717396</v>
      </c>
      <c r="E23" s="80">
        <f t="shared" si="30"/>
        <v>92.685466044935623</v>
      </c>
      <c r="F23" s="80">
        <f t="shared" si="30"/>
        <v>89.729713131859825</v>
      </c>
      <c r="G23" s="80">
        <f t="shared" si="30"/>
        <v>86.477000112553796</v>
      </c>
      <c r="H23" s="80">
        <f t="shared" si="30"/>
        <v>82.9064830675689</v>
      </c>
      <c r="I23" s="80">
        <f t="shared" si="30"/>
        <v>79.002140947418184</v>
      </c>
      <c r="J23" s="80">
        <f t="shared" si="30"/>
        <v>74.757285602083499</v>
      </c>
      <c r="K23" s="80">
        <f t="shared" si="30"/>
        <v>70.182633430735137</v>
      </c>
      <c r="L23" s="80">
        <f t="shared" si="30"/>
        <v>65.323943888860413</v>
      </c>
      <c r="M23" s="80">
        <f t="shared" si="30"/>
        <v>60.311396429853268</v>
      </c>
      <c r="N23" s="80" t="str">
        <f t="shared" si="30"/>
        <v/>
      </c>
      <c r="O23" s="80" t="str">
        <f t="shared" si="30"/>
        <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-96.797775130279703</v>
      </c>
      <c r="AD23" s="138">
        <f t="shared" si="4"/>
        <v>-94.367081705717396</v>
      </c>
      <c r="AE23" s="138">
        <f t="shared" si="5"/>
        <v>-91.685466044935623</v>
      </c>
      <c r="AF23" s="138">
        <f t="shared" si="6"/>
        <v>-88.729713131859825</v>
      </c>
      <c r="AG23" s="138">
        <f t="shared" si="7"/>
        <v>-85.477000112553796</v>
      </c>
      <c r="AH23" s="138">
        <f t="shared" si="8"/>
        <v>-81.9064830675689</v>
      </c>
      <c r="AI23" s="138">
        <f t="shared" si="9"/>
        <v>-78.002140947418184</v>
      </c>
      <c r="AJ23" s="138">
        <f t="shared" si="10"/>
        <v>-73.757285602083499</v>
      </c>
      <c r="AK23" s="138">
        <f t="shared" si="11"/>
        <v>-69.182633430735137</v>
      </c>
      <c r="AL23" s="138">
        <f t="shared" si="12"/>
        <v>-64.323943888860413</v>
      </c>
      <c r="AM23" s="138">
        <f t="shared" si="13"/>
        <v>-59.311396429853268</v>
      </c>
      <c r="AN23" s="138" t="e">
        <f t="shared" si="14"/>
        <v>#VALUE!</v>
      </c>
      <c r="AO23" s="138" t="e">
        <f t="shared" si="15"/>
        <v>#VALUE!</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98.528087601056484</v>
      </c>
      <c r="D24" s="80">
        <f t="shared" si="31"/>
        <v>96.911144828215768</v>
      </c>
      <c r="E24" s="80">
        <f t="shared" si="31"/>
        <v>95.125740598659306</v>
      </c>
      <c r="F24" s="80">
        <f t="shared" si="31"/>
        <v>93.144118296153394</v>
      </c>
      <c r="G24" s="80">
        <f t="shared" si="31"/>
        <v>90.933399388265912</v>
      </c>
      <c r="H24" s="80">
        <f t="shared" si="31"/>
        <v>88.455207259463961</v>
      </c>
      <c r="I24" s="80">
        <f t="shared" si="31"/>
        <v>85.665656040674136</v>
      </c>
      <c r="J24" s="80">
        <f t="shared" si="31"/>
        <v>82.516330969151127</v>
      </c>
      <c r="K24" s="80">
        <f t="shared" si="31"/>
        <v>78.957077978563035</v>
      </c>
      <c r="L24" s="80">
        <f t="shared" si="31"/>
        <v>74.941846510108462</v>
      </c>
      <c r="M24" s="80">
        <f t="shared" si="31"/>
        <v>70.438978879135419</v>
      </c>
      <c r="N24" s="80">
        <f t="shared" si="31"/>
        <v>65.446225487487922</v>
      </c>
      <c r="O24" s="80">
        <f t="shared" si="31"/>
        <v>60.008036554093223</v>
      </c>
      <c r="P24" s="80">
        <f t="shared" si="31"/>
        <v>54.224036017414967</v>
      </c>
      <c r="Q24" s="80">
        <f t="shared" si="31"/>
        <v>48.226517300841401</v>
      </c>
      <c r="R24" s="80">
        <f t="shared" si="31"/>
        <v>42.103070736730963</v>
      </c>
      <c r="S24" s="80" t="str">
        <f t="shared" si="31"/>
        <v/>
      </c>
      <c r="T24" s="80" t="str">
        <f t="shared" si="31"/>
        <v/>
      </c>
      <c r="U24" s="80" t="str">
        <f t="shared" si="31"/>
        <v/>
      </c>
      <c r="V24" s="80" t="str">
        <f t="shared" si="31"/>
        <v/>
      </c>
      <c r="W24" s="80" t="str">
        <f t="shared" si="31"/>
        <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98.778448613701826</v>
      </c>
      <c r="D25" s="80">
        <f t="shared" si="32"/>
        <v>97.450770538624283</v>
      </c>
      <c r="E25" s="80">
        <f t="shared" si="32"/>
        <v>96.000891389388826</v>
      </c>
      <c r="F25" s="80">
        <f t="shared" si="32"/>
        <v>94.409381019902412</v>
      </c>
      <c r="G25" s="80">
        <f t="shared" si="32"/>
        <v>92.65251541236978</v>
      </c>
      <c r="H25" s="80">
        <f t="shared" si="32"/>
        <v>90.701266794996954</v>
      </c>
      <c r="I25" s="80">
        <f t="shared" si="32"/>
        <v>88.519623050701213</v>
      </c>
      <c r="J25" s="80">
        <f t="shared" si="32"/>
        <v>86.062856575712161</v>
      </c>
      <c r="K25" s="80">
        <f t="shared" si="32"/>
        <v>83.275035393317694</v>
      </c>
      <c r="L25" s="80">
        <f t="shared" si="32"/>
        <v>80.086111940731143</v>
      </c>
      <c r="M25" s="80">
        <f t="shared" si="32"/>
        <v>76.40861482475519</v>
      </c>
      <c r="N25" s="80">
        <f t="shared" si="32"/>
        <v>72.134482293081049</v>
      </c>
      <c r="O25" s="80">
        <f t="shared" si="32"/>
        <v>67.133108095701616</v>
      </c>
      <c r="P25" s="80">
        <f t="shared" si="32"/>
        <v>61.25284373704045</v>
      </c>
      <c r="Q25" s="80">
        <f t="shared" si="32"/>
        <v>54.329048346463928</v>
      </c>
      <c r="R25" s="80">
        <f t="shared" si="32"/>
        <v>46.201450926682028</v>
      </c>
      <c r="S25" s="80">
        <f t="shared" si="32"/>
        <v>36.740215574185953</v>
      </c>
      <c r="T25" s="80">
        <f t="shared" si="32"/>
        <v>25.873254408013985</v>
      </c>
      <c r="U25" s="80">
        <f t="shared" si="32"/>
        <v>13.602454174767661</v>
      </c>
      <c r="V25" s="80">
        <f t="shared" si="32"/>
        <v>10.985142635284577</v>
      </c>
      <c r="W25" s="80">
        <f t="shared" si="32"/>
        <v>8.3152729003058337</v>
      </c>
      <c r="X25" s="80">
        <f t="shared" si="32"/>
        <v>5.5937843083955467</v>
      </c>
      <c r="Y25" s="80">
        <f t="shared" si="32"/>
        <v>2.8216770068123811</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5.1621504892449245E-2</v>
      </c>
      <c r="D34" s="80">
        <f>NeoClassical!F2</f>
        <v>0.10208486953007513</v>
      </c>
      <c r="E34" s="80">
        <f>NeoClassical!H2</f>
        <v>0.15794708224522908</v>
      </c>
      <c r="F34" s="80">
        <f>NeoClassical!J2</f>
        <v>0.22019668091812336</v>
      </c>
      <c r="G34" s="80">
        <f>NeoClassical!L2</f>
        <v>0.29009876584687611</v>
      </c>
      <c r="H34" s="80">
        <f>NeoClassical!N2</f>
        <v>0.36931339397198415</v>
      </c>
      <c r="I34" s="80">
        <f>NeoClassical!P2</f>
        <v>0.46006174215355061</v>
      </c>
      <c r="J34" s="80">
        <f>NeoClassical!R2</f>
        <v>0.56540777855427859</v>
      </c>
      <c r="K34" s="80">
        <f>NeoClassical!T2</f>
        <v>0.68972011470837047</v>
      </c>
      <c r="L34" s="80">
        <f>NeoClassical!V2</f>
        <v>0.83947390710856262</v>
      </c>
      <c r="M34" s="80">
        <f>NeoClassical!X2</f>
        <v>1.0247268039319439</v>
      </c>
      <c r="N34" s="80">
        <f>NeoClassical!Z2</f>
        <v>1.2619905333475236</v>
      </c>
      <c r="O34" s="80">
        <f>NeoClassical!AB2</f>
        <v>1.5802348095693706</v>
      </c>
      <c r="P34" s="80">
        <f>NeoClassical!AD2</f>
        <v>2.0344496623483703</v>
      </c>
      <c r="Q34" s="80">
        <f>NeoClassical!AF2</f>
        <v>2.7390121018782558</v>
      </c>
      <c r="R34" s="80">
        <f>NeoClassical!AH2</f>
        <v>3.9574416475546736</v>
      </c>
      <c r="S34" s="80">
        <f>NeoClassical!AJ2</f>
        <v>6.3745733495975356</v>
      </c>
      <c r="T34" s="80">
        <f>NeoClassical!AL2</f>
        <v>12.16503348406858</v>
      </c>
      <c r="U34" s="80">
        <f>NeoClassical!AN2</f>
        <v>32.198712527441067</v>
      </c>
      <c r="V34" s="80">
        <f>NeoClassical!AP2</f>
        <v>42.352927495894733</v>
      </c>
      <c r="W34" s="80">
        <f>NeoClassical!AR2</f>
        <v>58.568533734998319</v>
      </c>
      <c r="X34" s="80">
        <f>NeoClassical!AT2</f>
        <v>87.35258126399205</v>
      </c>
      <c r="Y34" s="80">
        <f>NeoClassical!AV2</f>
        <v>148.19186404020161</v>
      </c>
      <c r="Z34" s="138"/>
    </row>
    <row r="35" spans="1:26" x14ac:dyDescent="0.2">
      <c r="A35" t="str">
        <f t="shared" ref="A35:A42" si="34">A4</f>
        <v>Kaldorian</v>
      </c>
      <c r="B35" s="80">
        <f>Kaldorian!B2</f>
        <v>5.7716594496607888E-3</v>
      </c>
      <c r="C35" s="80">
        <f>Kaldorian!D2</f>
        <v>5.4924522889605379E-2</v>
      </c>
      <c r="D35" s="80">
        <f>Kaldorian!F2</f>
        <v>0.10898998918205414</v>
      </c>
      <c r="E35" s="80">
        <f>Kaldorian!H2</f>
        <v>0.16880241492668246</v>
      </c>
      <c r="F35" s="80">
        <f>Kaldorian!J2</f>
        <v>0.23541252411142624</v>
      </c>
      <c r="G35" s="80">
        <f>Kaldorian!L2</f>
        <v>0.31016683113360366</v>
      </c>
      <c r="H35" s="80">
        <f>Kaldorian!N2</f>
        <v>0.39483456120673988</v>
      </c>
      <c r="I35" s="80">
        <f>Kaldorian!P2</f>
        <v>0.49178902142599318</v>
      </c>
      <c r="J35" s="80">
        <f>Kaldorian!R2</f>
        <v>0.60431475036208882</v>
      </c>
      <c r="K35" s="80">
        <f>Kaldorian!T2</f>
        <v>0.7371154251348484</v>
      </c>
      <c r="L35" s="80">
        <f>Kaldorian!V2</f>
        <v>0.8972023210343808</v>
      </c>
      <c r="M35" s="80">
        <f>Kaldorian!X2</f>
        <v>1.095543284965997</v>
      </c>
      <c r="N35" s="80">
        <f>Kaldorian!Z2</f>
        <v>1.3503046984277955</v>
      </c>
      <c r="O35" s="80">
        <f>Kaldorian!AB2</f>
        <v>1.6936970222960088</v>
      </c>
      <c r="P35" s="80">
        <f>Kaldorian!AD2</f>
        <v>2.1876307007776985</v>
      </c>
      <c r="Q35" s="80">
        <f>Kaldorian!AF2</f>
        <v>2.9626347523863963</v>
      </c>
      <c r="R35" s="80">
        <f>Kaldorian!AH2</f>
        <v>4.3231577317298209</v>
      </c>
      <c r="S35" s="80">
        <f>Kaldorian!AJ2</f>
        <v>7.0666476650742718</v>
      </c>
      <c r="T35" s="80">
        <f>Kaldorian!AL2</f>
        <v>13.738228177435362</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5.3359204869771082E-2</v>
      </c>
      <c r="D36" s="80">
        <f>Johansen!F2</f>
        <v>0.10576058804941847</v>
      </c>
      <c r="E36" s="80">
        <f>Johansen!H2</f>
        <v>0.1638016750781851</v>
      </c>
      <c r="F36" s="80">
        <f>Johansen!J2</f>
        <v>0.22852443708429307</v>
      </c>
      <c r="G36" s="80">
        <f>Johansen!L2</f>
        <v>0.30126724626378865</v>
      </c>
      <c r="H36" s="80">
        <f>Johansen!N2</f>
        <v>0.38379169570785837</v>
      </c>
      <c r="I36" s="80">
        <f>Johansen!P2</f>
        <v>0.47846640273618651</v>
      </c>
      <c r="J36" s="80">
        <f>Johansen!R2</f>
        <v>0.58857630530923666</v>
      </c>
      <c r="K36" s="80">
        <f>Johansen!T2</f>
        <v>0.71883519288139341</v>
      </c>
      <c r="L36" s="80">
        <f>Johansen!V2</f>
        <v>0.8762839838068347</v>
      </c>
      <c r="M36" s="80">
        <f>Johansen!X2</f>
        <v>1.071957352280394</v>
      </c>
      <c r="N36" s="80">
        <f>Johansen!Z2</f>
        <v>1.3241617118229645</v>
      </c>
      <c r="O36" s="80">
        <f>Johansen!AB2</f>
        <v>1.6654009370944387</v>
      </c>
      <c r="P36" s="80">
        <f>Johansen!AD2</f>
        <v>2.15818331950135</v>
      </c>
      <c r="Q36" s="80">
        <f>Johansen!AF2</f>
        <v>2.9341625363186448</v>
      </c>
      <c r="R36" s="80">
        <f>Johansen!AH2</f>
        <v>4.2993356694343632</v>
      </c>
      <c r="S36" s="80">
        <f>Johansen!AJ2</f>
        <v>7.0513895289381097</v>
      </c>
      <c r="T36" s="80">
        <f>Johansen!AL2</f>
        <v>13.731892202189021</v>
      </c>
      <c r="U36" s="80">
        <f>Johansen!AN2</f>
        <v>37.035786395560955</v>
      </c>
      <c r="V36" s="80">
        <f>Johansen!AP2</f>
        <v>48.778902982589116</v>
      </c>
      <c r="W36" s="80">
        <f>Johansen!AR2</f>
        <v>67.304199978892285</v>
      </c>
      <c r="X36" s="80">
        <f>Johansen!AT2</f>
        <v>99.32424282071689</v>
      </c>
      <c r="Y36" s="80">
        <f>Johansen!AV2</f>
        <v>162.97878108596376</v>
      </c>
      <c r="Z36" s="138"/>
    </row>
    <row r="37" spans="1:26" x14ac:dyDescent="0.2">
      <c r="A37" t="str">
        <f t="shared" si="34"/>
        <v>Keynes-Kaldor</v>
      </c>
      <c r="B37" s="80">
        <f>'Keynes-K'!B2</f>
        <v>5.7716594496607888E-3</v>
      </c>
      <c r="C37" s="80">
        <f>'Keynes-K'!D2</f>
        <v>5.8757963530019587E-2</v>
      </c>
      <c r="D37" s="80">
        <f>'Keynes-K'!F2</f>
        <v>0.11672278126552738</v>
      </c>
      <c r="E37" s="80">
        <f>'Keynes-K'!H2</f>
        <v>0.18049208695300062</v>
      </c>
      <c r="F37" s="80">
        <f>'Keynes-K'!J2</f>
        <v>0.25109973433701982</v>
      </c>
      <c r="G37" s="80">
        <f>'Keynes-K'!L2</f>
        <v>0.32984998179273489</v>
      </c>
      <c r="H37" s="80">
        <f>'Keynes-K'!N2</f>
        <v>0.41844593672395602</v>
      </c>
      <c r="I37" s="80">
        <f>'Keynes-K'!P2</f>
        <v>0.51913777178950771</v>
      </c>
      <c r="J37" s="80">
        <f>'Keynes-K'!R2</f>
        <v>0.6349911083533486</v>
      </c>
      <c r="K37" s="80">
        <f>'Keynes-K'!T2</f>
        <v>0.77030556685381923</v>
      </c>
      <c r="L37" s="80">
        <f>'Keynes-K'!V2</f>
        <v>0.93131914925811754</v>
      </c>
      <c r="M37" s="80">
        <f>'Keynes-K'!X2</f>
        <v>1.1274365515245586</v>
      </c>
      <c r="N37" s="80">
        <f>'Keynes-K'!Z2</f>
        <v>1.373461812094577</v>
      </c>
      <c r="O37" s="80">
        <f>'Keynes-K'!AB2</f>
        <v>1.6938125147437746</v>
      </c>
      <c r="P37" s="80">
        <f>'Keynes-K'!AD2</f>
        <v>2.1307147403800246</v>
      </c>
      <c r="Q37" s="80">
        <f>'Keynes-K'!AF2</f>
        <v>2.7600171021191859</v>
      </c>
      <c r="R37" s="80">
        <f>'Keynes-K'!AH2</f>
        <v>3.7185927045014746</v>
      </c>
      <c r="S37" s="80">
        <f>'Keynes-K'!AJ2</f>
        <v>5.2321021066055877</v>
      </c>
      <c r="T37" s="80">
        <f>'Keynes-K'!AL2</f>
        <v>7.5356975255842213</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5.8087100153133273E-2</v>
      </c>
      <c r="D38" s="80">
        <f>'Keynes-M'!F2</f>
        <v>0.11640178609996685</v>
      </c>
      <c r="E38" s="80">
        <f>'Keynes-M'!H2</f>
        <v>0.18188261358239613</v>
      </c>
      <c r="F38" s="80">
        <f>'Keynes-M'!J2</f>
        <v>0.25605312858704654</v>
      </c>
      <c r="G38" s="80">
        <f>'Keynes-M'!L2</f>
        <v>0.34095058694958552</v>
      </c>
      <c r="H38" s="80">
        <f>'Keynes-M'!N2</f>
        <v>0.43937457135782071</v>
      </c>
      <c r="I38" s="80">
        <f>'Keynes-M'!P2</f>
        <v>0.55529607571974415</v>
      </c>
      <c r="J38" s="80">
        <f>'Keynes-M'!R2</f>
        <v>0.69455598825063281</v>
      </c>
      <c r="K38" s="80">
        <f>'Keynes-M'!T2</f>
        <v>0.86612662723881595</v>
      </c>
      <c r="L38" s="80">
        <f>'Keynes-M'!V2</f>
        <v>1.0845000655642563</v>
      </c>
      <c r="M38" s="80">
        <f>'Keynes-M'!X2</f>
        <v>1.3745023328689414</v>
      </c>
      <c r="N38" s="80">
        <f>'Keynes-M'!Z2</f>
        <v>1.7816224752476304</v>
      </c>
      <c r="O38" s="80">
        <f>'Keynes-M'!AB2</f>
        <v>2.3954171819211081</v>
      </c>
      <c r="P38" s="80">
        <f>'Keynes-M'!AD2</f>
        <v>3.4041440368753406</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3.4140157490475831E-2</v>
      </c>
      <c r="D39" s="80">
        <f>Keynesian!F2</f>
        <v>6.3608078669395343E-2</v>
      </c>
      <c r="E39" s="80">
        <f>Keynesian!H2</f>
        <v>9.4092517883245338E-2</v>
      </c>
      <c r="F39" s="80">
        <f>Keynesian!J2</f>
        <v>0.12546110795206147</v>
      </c>
      <c r="G39" s="80">
        <f>Keynesian!L2</f>
        <v>0.1575201214026303</v>
      </c>
      <c r="H39" s="80">
        <f>Keynesian!N2</f>
        <v>0.18999892220323245</v>
      </c>
      <c r="I39" s="80">
        <f>Keynesian!P2</f>
        <v>0.22253438120841368</v>
      </c>
      <c r="J39" s="80">
        <f>Keynesian!R2</f>
        <v>0.25464942552388531</v>
      </c>
      <c r="K39" s="80">
        <f>Keynesian!T2</f>
        <v>0.28571568210677617</v>
      </c>
      <c r="L39" s="80">
        <f>Keynesian!V2</f>
        <v>0.31486416664433636</v>
      </c>
      <c r="M39" s="80">
        <f>Keynesian!X2</f>
        <v>0.34066940830622405</v>
      </c>
      <c r="N39" s="80">
        <f>Keynesian!Z2</f>
        <v>0</v>
      </c>
      <c r="O39" s="80">
        <f>Keynesian!AB2</f>
        <v>0</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4.1810181887575598E-2</v>
      </c>
      <c r="D40" s="80">
        <f>'Neo-K2'!F2</f>
        <v>8.0282974727649892E-2</v>
      </c>
      <c r="E40" s="80">
        <f>'Neo-K2'!H2</f>
        <v>0.12138005459233639</v>
      </c>
      <c r="F40" s="80">
        <f>'Neo-K2'!J2</f>
        <v>0.16529427279745385</v>
      </c>
      <c r="G40" s="80">
        <f>'Neo-K2'!L2</f>
        <v>0.2122138659141381</v>
      </c>
      <c r="H40" s="80">
        <f>'Neo-K2'!N2</f>
        <v>0.26231828933534379</v>
      </c>
      <c r="I40" s="80">
        <f>'Neo-K2'!P2</f>
        <v>0.315776995114318</v>
      </c>
      <c r="J40" s="80">
        <f>'Neo-K2'!R2</f>
        <v>0.37276483045308589</v>
      </c>
      <c r="K40" s="80">
        <f>'Neo-K2'!T2</f>
        <v>0.43351972303942038</v>
      </c>
      <c r="L40" s="80">
        <f>'Neo-K2'!V2</f>
        <v>0.49850833147657081</v>
      </c>
      <c r="M40" s="80">
        <f>'Neo-K2'!X2</f>
        <v>0.56882911259150937</v>
      </c>
      <c r="N40" s="80">
        <f>'Neo-K2'!Z2</f>
        <v>0.64713062732548876</v>
      </c>
      <c r="O40" s="80">
        <f>'Neo-K2'!AB2</f>
        <v>0.73962980364884123</v>
      </c>
      <c r="P40" s="80">
        <f>'Neo-K2'!AD2</f>
        <v>0.86051490788699647</v>
      </c>
      <c r="Q40" s="80">
        <f>'Neo-K2'!AF2</f>
        <v>1.0422079061314948</v>
      </c>
      <c r="R40" s="80">
        <f>'Neo-K2'!AH2</f>
        <v>1.3640579674302087</v>
      </c>
      <c r="S40" s="80">
        <f>'Neo-K2'!AJ2</f>
        <v>0</v>
      </c>
      <c r="T40" s="80">
        <f>'Neo-K2'!AL2</f>
        <v>0</v>
      </c>
      <c r="U40" s="80">
        <f>'Neo-K2'!AN2</f>
        <v>0</v>
      </c>
      <c r="V40" s="80">
        <f>'Neo-K2'!AP2</f>
        <v>0</v>
      </c>
      <c r="W40" s="80">
        <f>'Neo-K2'!AR2</f>
        <v>0</v>
      </c>
      <c r="X40" s="80">
        <f>'Neo-K2'!AT2</f>
        <v>0</v>
      </c>
      <c r="Y40" s="80">
        <f>'Neo-K2'!AV2</f>
        <v>0</v>
      </c>
    </row>
    <row r="41" spans="1:26" x14ac:dyDescent="0.2">
      <c r="A41" t="str">
        <f t="shared" si="34"/>
        <v>Neo-K1</v>
      </c>
      <c r="B41" s="80">
        <f>'Neo-K1'!B2</f>
        <v>5.7716594496607888E-3</v>
      </c>
      <c r="C41" s="80">
        <f>'Neo-K1'!D2</f>
        <v>4.5233428757489778E-2</v>
      </c>
      <c r="D41" s="80">
        <f>'Neo-K1'!F2</f>
        <v>8.8001364769437748E-2</v>
      </c>
      <c r="E41" s="80">
        <f>'Neo-K1'!H2</f>
        <v>0.13450163599875339</v>
      </c>
      <c r="F41" s="80">
        <f>'Neo-K1'!J2</f>
        <v>0.18523451261581603</v>
      </c>
      <c r="G41" s="80">
        <f>'Neo-K1'!L2</f>
        <v>0.24078973823687194</v>
      </c>
      <c r="H41" s="80">
        <f>'Neo-K1'!N2</f>
        <v>0.30186580897457821</v>
      </c>
      <c r="I41" s="80">
        <f>'Neo-K1'!P2</f>
        <v>0.36929127551639573</v>
      </c>
      <c r="J41" s="80">
        <f>'Neo-K1'!R2</f>
        <v>0.44405052464600753</v>
      </c>
      <c r="K41" s="80">
        <f>'Neo-K1'!T2</f>
        <v>0.52730893936766154</v>
      </c>
      <c r="L41" s="80">
        <f>'Neo-K1'!V2</f>
        <v>0.6204342094911387</v>
      </c>
      <c r="M41" s="80">
        <f>'Neo-K1'!X2</f>
        <v>0.72500160885222209</v>
      </c>
      <c r="N41" s="80">
        <f>'Neo-K1'!Z2</f>
        <v>0.8427631804483996</v>
      </c>
      <c r="O41" s="80">
        <f>'Neo-K1'!AB2</f>
        <v>0.97554710037004788</v>
      </c>
      <c r="P41" s="80">
        <f>'Neo-K1'!AD2</f>
        <v>1.1250423981506921</v>
      </c>
      <c r="Q41" s="80">
        <f>'Neo-K1'!AF2</f>
        <v>1.2924362457534571</v>
      </c>
      <c r="R41" s="80">
        <f>'Neo-K1'!AH2</f>
        <v>1.4779280997849813</v>
      </c>
      <c r="S41" s="80">
        <f>'Neo-K1'!AJ2</f>
        <v>1.6802679298675745</v>
      </c>
      <c r="T41" s="80">
        <f>'Neo-K1'!AL2</f>
        <v>1.896579870923865</v>
      </c>
      <c r="U41" s="80">
        <f>'Neo-K1'!AN2</f>
        <v>2.1226786001045883</v>
      </c>
      <c r="V41" s="80">
        <f>'Neo-K1'!AP2</f>
        <v>2.1686545962616313</v>
      </c>
      <c r="W41" s="80">
        <f>'Neo-K1'!AR2</f>
        <v>2.2147928377225492</v>
      </c>
      <c r="X41" s="80">
        <f>'Neo-K1'!AT2</f>
        <v>2.2610558568043264</v>
      </c>
      <c r="Y41" s="80">
        <f>'Neo-K1'!AV2</f>
        <v>2.3074071391938218</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0.56058995943838996</v>
      </c>
      <c r="C49" s="195">
        <f>NeoClassical!D$43</f>
        <v>0.56569832317215885</v>
      </c>
      <c r="D49" s="195">
        <f>NeoClassical!F$43</f>
        <v>0.56419857676656371</v>
      </c>
      <c r="E49" s="195">
        <f>NeoClassical!H$43</f>
        <v>0.56270159412912646</v>
      </c>
      <c r="F49" s="195">
        <f>NeoClassical!J$43</f>
        <v>0.56120777565530389</v>
      </c>
      <c r="G49" s="195">
        <f>NeoClassical!L$43</f>
        <v>0.5597178751333749</v>
      </c>
      <c r="H49" s="195">
        <f>NeoClassical!N$43</f>
        <v>0.55823290589568109</v>
      </c>
      <c r="I49" s="195">
        <f>NeoClassical!P$43</f>
        <v>0.55675460267997134</v>
      </c>
      <c r="J49" s="195">
        <f>NeoClassical!R$43</f>
        <v>0.55528573053684427</v>
      </c>
      <c r="K49" s="195">
        <f>NeoClassical!T$43</f>
        <v>0.55383069333833934</v>
      </c>
      <c r="L49" s="195">
        <f>NeoClassical!V$43</f>
        <v>0.55239660909538035</v>
      </c>
      <c r="M49" s="195">
        <f>NeoClassical!X$43</f>
        <v>0.55099491475745765</v>
      </c>
      <c r="N49" s="195">
        <f>NeoClassical!Z$43</f>
        <v>0.5496440250288237</v>
      </c>
      <c r="O49" s="195">
        <f>NeoClassical!AB$43</f>
        <v>0.54837339060001056</v>
      </c>
      <c r="P49" s="195">
        <f>NeoClassical!AD$43</f>
        <v>0.54722906167072294</v>
      </c>
      <c r="Q49" s="195">
        <f>NeoClassical!AF$43</f>
        <v>0.54627788013064937</v>
      </c>
      <c r="R49" s="195">
        <f>NeoClassical!AH$43</f>
        <v>0.54559795740381622</v>
      </c>
      <c r="S49" s="195">
        <f>NeoClassical!AJ$43</f>
        <v>0.54522965755539921</v>
      </c>
      <c r="T49" s="195">
        <f>NeoClassical!AL$43</f>
        <v>0.54510536940103849</v>
      </c>
      <c r="U49" s="195">
        <f>NeoClassical!AN$43</f>
        <v>0.54508605301358837</v>
      </c>
      <c r="V49" s="195">
        <f>NeoClassical!AP$43</f>
        <v>0.54508562398412652</v>
      </c>
      <c r="W49" s="195">
        <f>NeoClassical!AR$43</f>
        <v>0.54508545381411078</v>
      </c>
      <c r="X49" s="195">
        <f>NeoClassical!AT$43</f>
        <v>0.5450853996856565</v>
      </c>
      <c r="Y49" s="195">
        <f>NeoClassical!AV$43</f>
        <v>0.54508538756141744</v>
      </c>
      <c r="Z49" s="138"/>
    </row>
    <row r="50" spans="1:26" x14ac:dyDescent="0.2">
      <c r="A50" t="str">
        <f t="shared" si="35"/>
        <v>Kaldorian</v>
      </c>
      <c r="B50" s="195">
        <f>Kaldorian!B$43</f>
        <v>0.56058995943838996</v>
      </c>
      <c r="C50" s="195">
        <f>Kaldorian!D$43</f>
        <v>0.56159193919106642</v>
      </c>
      <c r="D50" s="195">
        <f>Kaldorian!F$43</f>
        <v>0.55574846798865307</v>
      </c>
      <c r="E50" s="195">
        <f>Kaldorian!H$43</f>
        <v>0.54963223971855601</v>
      </c>
      <c r="F50" s="195">
        <f>Kaldorian!J$43</f>
        <v>0.54319636791758075</v>
      </c>
      <c r="G50" s="195">
        <f>Kaldorian!L$43</f>
        <v>0.5363818540178279</v>
      </c>
      <c r="H50" s="195">
        <f>Kaldorian!N$43</f>
        <v>0.52911276948669761</v>
      </c>
      <c r="I50" s="195">
        <f>Kaldorian!P$43</f>
        <v>0.52128930507047866</v>
      </c>
      <c r="J50" s="195">
        <f>Kaldorian!R$43</f>
        <v>0.51277626298386769</v>
      </c>
      <c r="K50" s="195">
        <f>Kaldorian!T$43</f>
        <v>0.50338438405243846</v>
      </c>
      <c r="L50" s="195">
        <f>Kaldorian!V$43</f>
        <v>0.49283783805829418</v>
      </c>
      <c r="M50" s="195">
        <f>Kaldorian!X$43</f>
        <v>0.4807156411766505</v>
      </c>
      <c r="N50" s="195">
        <f>Kaldorian!Z$43</f>
        <v>0.46633980880733289</v>
      </c>
      <c r="O50" s="195">
        <f>Kaldorian!AB$43</f>
        <v>0.44854952369893147</v>
      </c>
      <c r="P50" s="195">
        <f>Kaldorian!AD$43</f>
        <v>0.4252179913698409</v>
      </c>
      <c r="Q50" s="195">
        <f>Kaldorian!AF$43</f>
        <v>0.39216110310748509</v>
      </c>
      <c r="R50" s="195">
        <f>Kaldorian!AH$43</f>
        <v>0.34053332373487599</v>
      </c>
      <c r="S50" s="195">
        <f>Kaldorian!AJ$43</f>
        <v>0.24966113110257313</v>
      </c>
      <c r="T50" s="195">
        <f>Kaldorian!AL$43</f>
        <v>5.6477736724184546E-2</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0.56058995943838996</v>
      </c>
      <c r="C51" s="195">
        <f>Johansen!D$43</f>
        <v>0.56568377960770955</v>
      </c>
      <c r="D51" s="195">
        <f>Johansen!F$43</f>
        <v>0.56416939792072085</v>
      </c>
      <c r="E51" s="195">
        <f>Johansen!H$43</f>
        <v>0.56265765930457112</v>
      </c>
      <c r="F51" s="195">
        <f>Johansen!J$43</f>
        <v>0.56114894595931819</v>
      </c>
      <c r="G51" s="195">
        <f>Johansen!L$43</f>
        <v>0.55964401135052255</v>
      </c>
      <c r="H51" s="195">
        <f>Johansen!N$43</f>
        <v>0.55814391935828811</v>
      </c>
      <c r="I51" s="195">
        <f>Johansen!P$43</f>
        <v>0.5566505180760607</v>
      </c>
      <c r="J51" s="195">
        <f>Johansen!R$43</f>
        <v>0.55516680489209758</v>
      </c>
      <c r="K51" s="195">
        <f>Johansen!T$43</f>
        <v>0.55369760285450909</v>
      </c>
      <c r="L51" s="195">
        <f>Johansen!V$43</f>
        <v>0.55225074807326735</v>
      </c>
      <c r="M51" s="195">
        <f>Johansen!X$43</f>
        <v>0.55083887116354258</v>
      </c>
      <c r="N51" s="195">
        <f>Johansen!Z$43</f>
        <v>0.54948230914764962</v>
      </c>
      <c r="O51" s="195">
        <f>Johansen!AB$43</f>
        <v>0.5482134876581829</v>
      </c>
      <c r="P51" s="195">
        <f>Johansen!AD$43</f>
        <v>0.54708261358608645</v>
      </c>
      <c r="Q51" s="195">
        <f>Johansen!AF$43</f>
        <v>0.54616072637620849</v>
      </c>
      <c r="R51" s="195">
        <f>Johansen!AH$43</f>
        <v>0.54552489981014518</v>
      </c>
      <c r="S51" s="195">
        <f>Johansen!AJ$43</f>
        <v>0.54520055702756109</v>
      </c>
      <c r="T51" s="195">
        <f>Johansen!AL$43</f>
        <v>0.5450999811413747</v>
      </c>
      <c r="U51" s="195">
        <f>Johansen!AN$43</f>
        <v>0.54508583092819174</v>
      </c>
      <c r="V51" s="195">
        <f>Johansen!AP$43</f>
        <v>0.54508554329930414</v>
      </c>
      <c r="W51" s="195">
        <f>Johansen!AR$43</f>
        <v>0.54508543103188756</v>
      </c>
      <c r="X51" s="195">
        <f>Johansen!AT$43</f>
        <v>0.54508539545332013</v>
      </c>
      <c r="Y51" s="195">
        <f>Johansen!AV$43</f>
        <v>0.54508538718903476</v>
      </c>
      <c r="Z51" s="138"/>
    </row>
    <row r="52" spans="1:26" x14ac:dyDescent="0.2">
      <c r="A52" t="str">
        <f t="shared" si="35"/>
        <v>Keynes-Kaldor</v>
      </c>
      <c r="B52" s="195">
        <f>'Keynes-K'!B$43</f>
        <v>0.56058995943838996</v>
      </c>
      <c r="C52" s="195">
        <f>'Keynes-K'!D$43</f>
        <v>0.56116870115261475</v>
      </c>
      <c r="D52" s="195">
        <f>'Keynes-K'!F$43</f>
        <v>0.55494196137773744</v>
      </c>
      <c r="E52" s="195">
        <f>'Keynes-K'!H$43</f>
        <v>0.54848136554199223</v>
      </c>
      <c r="F52" s="195">
        <f>'Keynes-K'!J$43</f>
        <v>0.54174006850513168</v>
      </c>
      <c r="G52" s="195">
        <f>'Keynes-K'!L$43</f>
        <v>0.53466078970235764</v>
      </c>
      <c r="H52" s="195">
        <f>'Keynes-K'!N$43</f>
        <v>0.52717125202006554</v>
      </c>
      <c r="I52" s="195">
        <f>'Keynes-K'!P$43</f>
        <v>0.51917841882380367</v>
      </c>
      <c r="J52" s="195">
        <f>'Keynes-K'!R$43</f>
        <v>0.51055879658676473</v>
      </c>
      <c r="K52" s="195">
        <f>'Keynes-K'!T$43</f>
        <v>0.50114345015608253</v>
      </c>
      <c r="L52" s="195">
        <f>'Keynes-K'!V$43</f>
        <v>0.49069296546845459</v>
      </c>
      <c r="M52" s="195">
        <f>'Keynes-K'!X$43</f>
        <v>0.47885526997704736</v>
      </c>
      <c r="N52" s="195">
        <f>'Keynes-K'!Z$43</f>
        <v>0.46509157691331843</v>
      </c>
      <c r="O52" s="195">
        <f>'Keynes-K'!AB$43</f>
        <v>0.448543794969682</v>
      </c>
      <c r="P52" s="195">
        <f>'Keynes-K'!AD$43</f>
        <v>0.42779693703392185</v>
      </c>
      <c r="Q52" s="195">
        <f>'Keynes-K'!AF$43</f>
        <v>0.40047645567161522</v>
      </c>
      <c r="R52" s="195">
        <f>'Keynes-K'!AH$43</f>
        <v>0.36270401920629058</v>
      </c>
      <c r="S52" s="195">
        <f>'Keynes-K'!AJ$43</f>
        <v>0.30897067645932519</v>
      </c>
      <c r="T52" s="195">
        <f>'Keynes-K'!AL$43</f>
        <v>0.23520371166301909</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0.56058995943838996</v>
      </c>
      <c r="C53" s="195">
        <f>'Keynes-M'!D$43</f>
        <v>0.58037190416303142</v>
      </c>
      <c r="D53" s="195">
        <f>'Keynes-M'!F$43</f>
        <v>0.59401353923485978</v>
      </c>
      <c r="E53" s="195">
        <f>'Keynes-M'!H$43</f>
        <v>0.60821633867270652</v>
      </c>
      <c r="F53" s="195">
        <f>'Keynes-M'!J$43</f>
        <v>0.62309408411063749</v>
      </c>
      <c r="G53" s="195">
        <f>'Keynes-M'!L$43</f>
        <v>0.63879324611221833</v>
      </c>
      <c r="H53" s="195">
        <f>'Keynes-M'!N$43</f>
        <v>0.65550813634296168</v>
      </c>
      <c r="I53" s="195">
        <f>'Keynes-M'!P$43</f>
        <v>0.67350491152715874</v>
      </c>
      <c r="J53" s="195">
        <f>'Keynes-M'!R$43</f>
        <v>0.69316122705955296</v>
      </c>
      <c r="K53" s="195">
        <f>'Keynes-M'!T$43</f>
        <v>0.71503267624645084</v>
      </c>
      <c r="L53" s="195">
        <f>'Keynes-M'!V$43</f>
        <v>0.73996991529295053</v>
      </c>
      <c r="M53" s="195">
        <f>'Keynes-M'!X$43</f>
        <v>0.76932898770534397</v>
      </c>
      <c r="N53" s="195">
        <f>'Keynes-M'!Z$43</f>
        <v>0.80535279362939882</v>
      </c>
      <c r="O53" s="195">
        <f>'Keynes-M'!AB$43</f>
        <v>0.85183462422419343</v>
      </c>
      <c r="P53" s="195">
        <f>'Keynes-M'!AD$43</f>
        <v>0.91509210462534807</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0.56058995943838996</v>
      </c>
      <c r="C54" s="195">
        <f>Keynesian!D$43</f>
        <v>0.57448332775268618</v>
      </c>
      <c r="D54" s="195">
        <f>Keynesian!F$43</f>
        <v>0.58175755678234298</v>
      </c>
      <c r="E54" s="195">
        <f>Keynesian!H$43</f>
        <v>0.58899567048670443</v>
      </c>
      <c r="F54" s="195">
        <f>Keynesian!J$43</f>
        <v>0.59616254713869177</v>
      </c>
      <c r="G54" s="195">
        <f>Keynesian!L$43</f>
        <v>0.60321573886692947</v>
      </c>
      <c r="H54" s="195">
        <f>Keynesian!N$43</f>
        <v>0.61010233061103181</v>
      </c>
      <c r="I54" s="195">
        <f>Keynesian!P$43</f>
        <v>0.61675876101119231</v>
      </c>
      <c r="J54" s="195">
        <f>Keynesian!R$43</f>
        <v>0.62310773882382209</v>
      </c>
      <c r="K54" s="195">
        <f>Keynesian!T$43</f>
        <v>0.62905034258035197</v>
      </c>
      <c r="L54" s="195">
        <f>Keynesian!V$43</f>
        <v>0.63445123944949267</v>
      </c>
      <c r="M54" s="195">
        <f>Keynesian!X$43</f>
        <v>0.63907337859743996</v>
      </c>
      <c r="N54" s="195" t="e">
        <f>Keynesian!Z$43</f>
        <v>#DIV/0!</v>
      </c>
      <c r="O54" s="195" t="e">
        <f>Keynesian!AB$43</f>
        <v>#DIV/0!</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0.56058995943838996</v>
      </c>
      <c r="C55" s="195">
        <f>'Neo-K1'!D$43</f>
        <v>0.56662875355857212</v>
      </c>
      <c r="D55" s="195">
        <f>'Neo-K1'!F$43</f>
        <v>0.56605117529553417</v>
      </c>
      <c r="E55" s="195">
        <f>'Neo-K1'!H$43</f>
        <v>0.56546500155602741</v>
      </c>
      <c r="F55" s="195">
        <f>'Neo-K1'!J$43</f>
        <v>0.56486667001713176</v>
      </c>
      <c r="G55" s="195">
        <f>'Neo-K1'!L$43</f>
        <v>0.56425166404921434</v>
      </c>
      <c r="H55" s="195">
        <f>'Neo-K1'!N$43</f>
        <v>0.56361425953512045</v>
      </c>
      <c r="I55" s="195">
        <f>'Neo-K1'!P$43</f>
        <v>0.56294725542003587</v>
      </c>
      <c r="J55" s="195">
        <f>'Neo-K1'!R$43</f>
        <v>0.56224162474426809</v>
      </c>
      <c r="K55" s="195">
        <f>'Neo-K1'!T$43</f>
        <v>0.56148617390154298</v>
      </c>
      <c r="L55" s="195">
        <f>'Neo-K1'!V$43</f>
        <v>0.56066724993329842</v>
      </c>
      <c r="M55" s="195">
        <f>'Neo-K1'!X$43</f>
        <v>0.55976862030414953</v>
      </c>
      <c r="N55" s="195">
        <f>'Neo-K1'!Z$43</f>
        <v>0.55877176100525416</v>
      </c>
      <c r="O55" s="195">
        <f>'Neo-K1'!AB$43</f>
        <v>0.55765699067467023</v>
      </c>
      <c r="P55" s="195">
        <f>'Neo-K1'!AD$43</f>
        <v>0.55640587072535608</v>
      </c>
      <c r="Q55" s="195">
        <f>'Neo-K1'!AF$43</f>
        <v>0.55500523535564761</v>
      </c>
      <c r="R55" s="195">
        <f>'Neo-K1'!AH$43</f>
        <v>0.55345244859674347</v>
      </c>
      <c r="S55" s="195">
        <f>'Neo-K1'!AJ$43</f>
        <v>0.55176013496690302</v>
      </c>
      <c r="T55" s="195">
        <f>'Neo-K1'!AL$43</f>
        <v>0.54995751482442923</v>
      </c>
      <c r="U55" s="195">
        <f>'Neo-K1'!AN$43</f>
        <v>0.54808634880526497</v>
      </c>
      <c r="V55" s="195">
        <f>'Neo-K1'!AP$43</f>
        <v>0.54770797670934623</v>
      </c>
      <c r="W55" s="195">
        <f>'Neo-K1'!AR$43</f>
        <v>0.54732908320057172</v>
      </c>
      <c r="X55" s="195">
        <f>'Neo-K1'!AT$43</f>
        <v>0.54695001228408968</v>
      </c>
      <c r="Y55" s="195">
        <f>'Neo-K1'!AV$43</f>
        <v>0.54657110410747956</v>
      </c>
    </row>
    <row r="56" spans="1:26" x14ac:dyDescent="0.2">
      <c r="A56" t="s">
        <v>157</v>
      </c>
      <c r="B56" s="195">
        <f>'Neo-K2'!B$43</f>
        <v>0.56058995943838996</v>
      </c>
      <c r="C56" s="195">
        <f>'Neo-K2'!D$43</f>
        <v>0.5675430991880227</v>
      </c>
      <c r="D56" s="195">
        <f>'Neo-K2'!F$43</f>
        <v>0.56794417839883149</v>
      </c>
      <c r="E56" s="195">
        <f>'Neo-K2'!H$43</f>
        <v>0.56840974754953655</v>
      </c>
      <c r="F56" s="195">
        <f>'Neo-K2'!J$43</f>
        <v>0.56894609135436813</v>
      </c>
      <c r="G56" s="195">
        <f>'Neo-K2'!L$43</f>
        <v>0.5695596374402786</v>
      </c>
      <c r="H56" s="195">
        <f>'Neo-K2'!N$43</f>
        <v>0.57025653280103306</v>
      </c>
      <c r="I56" s="195">
        <f>'Neo-K2'!P$43</f>
        <v>0.57104193802873349</v>
      </c>
      <c r="J56" s="195">
        <f>'Neo-K2'!R$43</f>
        <v>0.57191881351029494</v>
      </c>
      <c r="K56" s="195">
        <f>'Neo-K2'!T$43</f>
        <v>0.57288590245785942</v>
      </c>
      <c r="L56" s="195">
        <f>'Neo-K2'!V$43</f>
        <v>0.57393430423488423</v>
      </c>
      <c r="M56" s="195">
        <f>'Neo-K2'!X$43</f>
        <v>0.57504184655068569</v>
      </c>
      <c r="N56" s="195">
        <f>'Neo-K2'!Z$43</f>
        <v>0.57616400651798738</v>
      </c>
      <c r="O56" s="195">
        <f>'Neo-K2'!AB$43</f>
        <v>0.57721994760016992</v>
      </c>
      <c r="P56" s="195">
        <f>'Neo-K2'!AD$43</f>
        <v>0.57807295387140978</v>
      </c>
      <c r="Q56" s="195">
        <f>'Neo-K2'!AF$43</f>
        <v>0.5785035737297658</v>
      </c>
      <c r="R56" s="195">
        <f>'Neo-K2'!AH$43</f>
        <v>0.57815321511603002</v>
      </c>
      <c r="S56" s="195" t="e">
        <f>'Neo-K2'!AJ$43</f>
        <v>#DIV/0!</v>
      </c>
      <c r="T56" s="195" t="e">
        <f>'Neo-K2'!AL$43</f>
        <v>#DIV/0!</v>
      </c>
      <c r="U56" s="195" t="e">
        <f>'Neo-K2'!AN$43</f>
        <v>#DIV/0!</v>
      </c>
      <c r="V56" s="195" t="e">
        <f>'Neo-K2'!AP$43</f>
        <v>#DIV/0!</v>
      </c>
      <c r="W56" s="195" t="e">
        <f>'Neo-K2'!AR$43</f>
        <v>#DIV/0!</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0.56058995943838996</v>
      </c>
      <c r="C63" s="195">
        <f t="shared" si="36"/>
        <v>0.56569832317215885</v>
      </c>
      <c r="D63" s="195">
        <f t="shared" si="36"/>
        <v>0.56419857676656371</v>
      </c>
      <c r="E63" s="195">
        <f t="shared" si="36"/>
        <v>0.56270159412912646</v>
      </c>
      <c r="F63" s="195">
        <f t="shared" si="36"/>
        <v>0.56120777565530389</v>
      </c>
      <c r="G63" s="195">
        <f t="shared" si="36"/>
        <v>0.5597178751333749</v>
      </c>
      <c r="H63" s="195">
        <f t="shared" si="36"/>
        <v>0.55823290589568109</v>
      </c>
      <c r="I63" s="195">
        <f t="shared" si="36"/>
        <v>0.55675460267997134</v>
      </c>
      <c r="J63" s="195">
        <f t="shared" si="36"/>
        <v>0.55528573053684427</v>
      </c>
      <c r="K63" s="195">
        <f t="shared" si="36"/>
        <v>0.55383069333833934</v>
      </c>
      <c r="L63" s="195">
        <f t="shared" si="36"/>
        <v>0.55239660909538035</v>
      </c>
      <c r="M63" s="195">
        <f t="shared" si="36"/>
        <v>0.55099491475745765</v>
      </c>
      <c r="N63" s="195">
        <f t="shared" si="36"/>
        <v>0.5496440250288237</v>
      </c>
      <c r="O63" s="195">
        <f t="shared" si="36"/>
        <v>0.54837339060001056</v>
      </c>
      <c r="P63" s="195">
        <f t="shared" si="36"/>
        <v>0.54722906167072294</v>
      </c>
      <c r="Q63" s="195">
        <f t="shared" si="36"/>
        <v>0.54627788013064937</v>
      </c>
      <c r="R63" s="195">
        <f t="shared" si="36"/>
        <v>0.54559795740381622</v>
      </c>
      <c r="S63" s="195">
        <f t="shared" si="36"/>
        <v>0.54522965755539921</v>
      </c>
      <c r="T63" s="195">
        <f t="shared" si="36"/>
        <v>0.54510536940103849</v>
      </c>
      <c r="U63" s="195">
        <f t="shared" si="36"/>
        <v>0.54508605301358837</v>
      </c>
      <c r="V63" s="195">
        <f t="shared" si="36"/>
        <v>0.54508562398412652</v>
      </c>
      <c r="W63" s="195">
        <f t="shared" si="36"/>
        <v>0.54508545381411078</v>
      </c>
      <c r="X63" s="195">
        <f t="shared" si="36"/>
        <v>0.5450853996856565</v>
      </c>
      <c r="Y63" s="195">
        <f t="shared" si="36"/>
        <v>0.54508538756141744</v>
      </c>
      <c r="Z63" s="138"/>
    </row>
    <row r="64" spans="1:26" x14ac:dyDescent="0.2">
      <c r="A64" t="str">
        <f t="shared" ref="A64:Q64" si="37">A50</f>
        <v>Kaldorian</v>
      </c>
      <c r="B64" s="195">
        <f t="shared" si="37"/>
        <v>0.56058995943838996</v>
      </c>
      <c r="C64" s="195">
        <f t="shared" si="37"/>
        <v>0.56159193919106642</v>
      </c>
      <c r="D64" s="195">
        <f t="shared" si="37"/>
        <v>0.55574846798865307</v>
      </c>
      <c r="E64" s="195">
        <f t="shared" si="37"/>
        <v>0.54963223971855601</v>
      </c>
      <c r="F64" s="195">
        <f t="shared" si="37"/>
        <v>0.54319636791758075</v>
      </c>
      <c r="G64" s="195">
        <f t="shared" si="37"/>
        <v>0.5363818540178279</v>
      </c>
      <c r="H64" s="195">
        <f t="shared" si="37"/>
        <v>0.52911276948669761</v>
      </c>
      <c r="I64" s="195">
        <f t="shared" si="37"/>
        <v>0.52128930507047866</v>
      </c>
      <c r="J64" s="195">
        <f t="shared" si="37"/>
        <v>0.51277626298386769</v>
      </c>
      <c r="K64" s="195">
        <f t="shared" si="37"/>
        <v>0.50338438405243846</v>
      </c>
      <c r="L64" s="195">
        <f t="shared" si="37"/>
        <v>0.49283783805829418</v>
      </c>
      <c r="M64" s="195">
        <f t="shared" si="37"/>
        <v>0.4807156411766505</v>
      </c>
      <c r="N64" s="195">
        <f t="shared" si="37"/>
        <v>0.46633980880733289</v>
      </c>
      <c r="O64" s="195">
        <f t="shared" si="37"/>
        <v>0.44854952369893147</v>
      </c>
      <c r="P64" s="195">
        <f t="shared" si="37"/>
        <v>0.4252179913698409</v>
      </c>
      <c r="Q64" s="195">
        <f t="shared" si="37"/>
        <v>0.39216110310748509</v>
      </c>
      <c r="R64" s="195"/>
      <c r="S64" s="195"/>
      <c r="T64" s="195"/>
      <c r="U64" s="195"/>
      <c r="V64" s="195"/>
      <c r="W64" s="195"/>
      <c r="X64" s="195"/>
      <c r="Y64" s="195"/>
      <c r="Z64" s="138"/>
    </row>
    <row r="65" spans="1:26" x14ac:dyDescent="0.2">
      <c r="A65" t="str">
        <f t="shared" ref="A65:Y65" si="38">A51</f>
        <v>Johansen</v>
      </c>
      <c r="B65" s="195">
        <f t="shared" si="38"/>
        <v>0.56058995943838996</v>
      </c>
      <c r="C65" s="195">
        <f t="shared" si="38"/>
        <v>0.56568377960770955</v>
      </c>
      <c r="D65" s="195">
        <f t="shared" si="38"/>
        <v>0.56416939792072085</v>
      </c>
      <c r="E65" s="195">
        <f t="shared" si="38"/>
        <v>0.56265765930457112</v>
      </c>
      <c r="F65" s="195">
        <f t="shared" si="38"/>
        <v>0.56114894595931819</v>
      </c>
      <c r="G65" s="195">
        <f t="shared" si="38"/>
        <v>0.55964401135052255</v>
      </c>
      <c r="H65" s="195">
        <f t="shared" si="38"/>
        <v>0.55814391935828811</v>
      </c>
      <c r="I65" s="195">
        <f t="shared" si="38"/>
        <v>0.5566505180760607</v>
      </c>
      <c r="J65" s="195">
        <f t="shared" si="38"/>
        <v>0.55516680489209758</v>
      </c>
      <c r="K65" s="195">
        <f t="shared" si="38"/>
        <v>0.55369760285450909</v>
      </c>
      <c r="L65" s="195">
        <f t="shared" si="38"/>
        <v>0.55225074807326735</v>
      </c>
      <c r="M65" s="195">
        <f t="shared" si="38"/>
        <v>0.55083887116354258</v>
      </c>
      <c r="N65" s="195">
        <f t="shared" si="38"/>
        <v>0.54948230914764962</v>
      </c>
      <c r="O65" s="195">
        <f t="shared" si="38"/>
        <v>0.5482134876581829</v>
      </c>
      <c r="P65" s="195">
        <f t="shared" si="38"/>
        <v>0.54708261358608645</v>
      </c>
      <c r="Q65" s="195">
        <f t="shared" si="38"/>
        <v>0.54616072637620849</v>
      </c>
      <c r="R65" s="195">
        <f t="shared" si="38"/>
        <v>0.54552489981014518</v>
      </c>
      <c r="S65" s="195">
        <f t="shared" si="38"/>
        <v>0.54520055702756109</v>
      </c>
      <c r="T65" s="195">
        <f t="shared" si="38"/>
        <v>0.5450999811413747</v>
      </c>
      <c r="U65" s="195">
        <f t="shared" si="38"/>
        <v>0.54508583092819174</v>
      </c>
      <c r="V65" s="195">
        <f t="shared" si="38"/>
        <v>0.54508554329930414</v>
      </c>
      <c r="W65" s="195">
        <f t="shared" si="38"/>
        <v>0.54508543103188756</v>
      </c>
      <c r="X65" s="195">
        <f t="shared" si="38"/>
        <v>0.54508539545332013</v>
      </c>
      <c r="Y65" s="195">
        <f t="shared" si="38"/>
        <v>0.54508538718903476</v>
      </c>
      <c r="Z65" s="138"/>
    </row>
    <row r="66" spans="1:26" x14ac:dyDescent="0.2">
      <c r="A66" t="str">
        <f t="shared" ref="A66:R66" si="39">A52</f>
        <v>Keynes-Kaldor</v>
      </c>
      <c r="B66" s="195">
        <f t="shared" si="39"/>
        <v>0.56058995943838996</v>
      </c>
      <c r="C66" s="195">
        <f t="shared" si="39"/>
        <v>0.56116870115261475</v>
      </c>
      <c r="D66" s="195">
        <f t="shared" si="39"/>
        <v>0.55494196137773744</v>
      </c>
      <c r="E66" s="195">
        <f t="shared" si="39"/>
        <v>0.54848136554199223</v>
      </c>
      <c r="F66" s="195">
        <f t="shared" si="39"/>
        <v>0.54174006850513168</v>
      </c>
      <c r="G66" s="195">
        <f t="shared" si="39"/>
        <v>0.53466078970235764</v>
      </c>
      <c r="H66" s="195">
        <f t="shared" si="39"/>
        <v>0.52717125202006554</v>
      </c>
      <c r="I66" s="195">
        <f t="shared" si="39"/>
        <v>0.51917841882380367</v>
      </c>
      <c r="J66" s="195">
        <f t="shared" si="39"/>
        <v>0.51055879658676473</v>
      </c>
      <c r="K66" s="195">
        <f t="shared" si="39"/>
        <v>0.50114345015608253</v>
      </c>
      <c r="L66" s="195">
        <f t="shared" si="39"/>
        <v>0.49069296546845459</v>
      </c>
      <c r="M66" s="195">
        <f t="shared" si="39"/>
        <v>0.47885526997704736</v>
      </c>
      <c r="N66" s="195">
        <f t="shared" si="39"/>
        <v>0.46509157691331843</v>
      </c>
      <c r="O66" s="195">
        <f t="shared" si="39"/>
        <v>0.448543794969682</v>
      </c>
      <c r="P66" s="195">
        <f t="shared" si="39"/>
        <v>0.42779693703392185</v>
      </c>
      <c r="Q66" s="195">
        <f t="shared" si="39"/>
        <v>0.40047645567161522</v>
      </c>
      <c r="R66" s="195">
        <f t="shared" si="39"/>
        <v>0.36270401920629058</v>
      </c>
      <c r="S66" s="195"/>
      <c r="T66" s="195"/>
      <c r="U66" s="195"/>
      <c r="V66" s="195"/>
      <c r="W66" s="195"/>
      <c r="X66" s="195"/>
      <c r="Y66" s="195"/>
    </row>
    <row r="67" spans="1:26" x14ac:dyDescent="0.2">
      <c r="A67" t="str">
        <f t="shared" ref="A67:K67" si="40">A53</f>
        <v>Keynes-Marshall</v>
      </c>
      <c r="B67" s="195">
        <f t="shared" si="40"/>
        <v>0.56058995943838996</v>
      </c>
      <c r="C67" s="195">
        <f t="shared" si="40"/>
        <v>0.58037190416303142</v>
      </c>
      <c r="D67" s="195">
        <f t="shared" si="40"/>
        <v>0.59401353923485978</v>
      </c>
      <c r="E67" s="195">
        <f t="shared" si="40"/>
        <v>0.60821633867270652</v>
      </c>
      <c r="F67" s="195">
        <f t="shared" si="40"/>
        <v>0.62309408411063749</v>
      </c>
      <c r="G67" s="195">
        <f t="shared" si="40"/>
        <v>0.63879324611221833</v>
      </c>
      <c r="H67" s="195">
        <f t="shared" si="40"/>
        <v>0.65550813634296168</v>
      </c>
      <c r="I67" s="195">
        <f t="shared" si="40"/>
        <v>0.67350491152715874</v>
      </c>
      <c r="J67" s="195">
        <f t="shared" si="40"/>
        <v>0.69316122705955296</v>
      </c>
      <c r="K67" s="195">
        <f t="shared" si="40"/>
        <v>0.71503267624645084</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0.56058995943838996</v>
      </c>
      <c r="C68" s="195">
        <f t="shared" si="41"/>
        <v>0.57448332775268618</v>
      </c>
      <c r="D68" s="195">
        <f t="shared" si="41"/>
        <v>0.58175755678234298</v>
      </c>
      <c r="E68" s="195">
        <f t="shared" si="41"/>
        <v>0.58899567048670443</v>
      </c>
      <c r="F68" s="195">
        <f t="shared" si="41"/>
        <v>0.59616254713869177</v>
      </c>
      <c r="G68" s="195">
        <f t="shared" si="41"/>
        <v>0.60321573886692947</v>
      </c>
      <c r="H68" s="195">
        <f t="shared" si="41"/>
        <v>0.61010233061103181</v>
      </c>
      <c r="I68" s="195">
        <f t="shared" si="41"/>
        <v>0.61675876101119231</v>
      </c>
      <c r="J68" s="195">
        <f t="shared" si="41"/>
        <v>0.62310773882382209</v>
      </c>
      <c r="K68" s="195">
        <f t="shared" si="41"/>
        <v>0.62905034258035197</v>
      </c>
      <c r="L68" s="195">
        <f t="shared" si="41"/>
        <v>0.63445123944949267</v>
      </c>
      <c r="M68" s="195">
        <f t="shared" si="41"/>
        <v>0.63907337859743996</v>
      </c>
      <c r="N68" s="195" t="e">
        <f t="shared" si="41"/>
        <v>#DIV/0!</v>
      </c>
      <c r="O68" s="195"/>
      <c r="P68" s="195"/>
      <c r="Q68" s="195"/>
      <c r="R68" s="195"/>
      <c r="S68" s="195"/>
      <c r="T68" s="195"/>
      <c r="U68" s="195"/>
      <c r="V68" s="195"/>
      <c r="W68" s="195"/>
      <c r="X68" s="195"/>
      <c r="Y68" s="195"/>
    </row>
    <row r="69" spans="1:26" x14ac:dyDescent="0.2">
      <c r="A69" t="str">
        <f t="shared" ref="A69:Y69" si="42">A55</f>
        <v>Neo-K1</v>
      </c>
      <c r="B69" s="195">
        <f t="shared" si="42"/>
        <v>0.56058995943838996</v>
      </c>
      <c r="C69" s="195">
        <f t="shared" si="42"/>
        <v>0.56662875355857212</v>
      </c>
      <c r="D69" s="195">
        <f t="shared" si="42"/>
        <v>0.56605117529553417</v>
      </c>
      <c r="E69" s="195">
        <f t="shared" si="42"/>
        <v>0.56546500155602741</v>
      </c>
      <c r="F69" s="195">
        <f t="shared" si="42"/>
        <v>0.56486667001713176</v>
      </c>
      <c r="G69" s="195">
        <f t="shared" si="42"/>
        <v>0.56425166404921434</v>
      </c>
      <c r="H69" s="195">
        <f t="shared" si="42"/>
        <v>0.56361425953512045</v>
      </c>
      <c r="I69" s="195">
        <f t="shared" si="42"/>
        <v>0.56294725542003587</v>
      </c>
      <c r="J69" s="195">
        <f t="shared" si="42"/>
        <v>0.56224162474426809</v>
      </c>
      <c r="K69" s="195">
        <f t="shared" si="42"/>
        <v>0.56148617390154298</v>
      </c>
      <c r="L69" s="195">
        <f t="shared" si="42"/>
        <v>0.56066724993329842</v>
      </c>
      <c r="M69" s="195">
        <f t="shared" si="42"/>
        <v>0.55976862030414953</v>
      </c>
      <c r="N69" s="195">
        <f t="shared" si="42"/>
        <v>0.55877176100525416</v>
      </c>
      <c r="O69" s="195">
        <f t="shared" si="42"/>
        <v>0.55765699067467023</v>
      </c>
      <c r="P69" s="195">
        <f t="shared" si="42"/>
        <v>0.55640587072535608</v>
      </c>
      <c r="Q69" s="195">
        <f t="shared" si="42"/>
        <v>0.55500523535564761</v>
      </c>
      <c r="R69" s="195">
        <f t="shared" si="42"/>
        <v>0.55345244859674347</v>
      </c>
      <c r="S69" s="195">
        <f t="shared" si="42"/>
        <v>0.55176013496690302</v>
      </c>
      <c r="T69" s="195">
        <f t="shared" si="42"/>
        <v>0.54995751482442923</v>
      </c>
      <c r="U69" s="195">
        <f t="shared" si="42"/>
        <v>0.54808634880526497</v>
      </c>
      <c r="V69" s="195">
        <f t="shared" si="42"/>
        <v>0.54770797670934623</v>
      </c>
      <c r="W69" s="195">
        <f t="shared" si="42"/>
        <v>0.54732908320057172</v>
      </c>
      <c r="X69" s="195">
        <f t="shared" si="42"/>
        <v>0.54695001228408968</v>
      </c>
      <c r="Y69" s="195">
        <f t="shared" si="42"/>
        <v>0.54657110410747956</v>
      </c>
    </row>
    <row r="70" spans="1:26" x14ac:dyDescent="0.2">
      <c r="A70" t="str">
        <f t="shared" ref="A70:Y70" si="43">A56</f>
        <v>Neo-K2</v>
      </c>
      <c r="B70" s="195">
        <f t="shared" si="43"/>
        <v>0.56058995943838996</v>
      </c>
      <c r="C70" s="195">
        <f t="shared" si="43"/>
        <v>0.5675430991880227</v>
      </c>
      <c r="D70" s="195">
        <f t="shared" si="43"/>
        <v>0.56794417839883149</v>
      </c>
      <c r="E70" s="195">
        <f t="shared" si="43"/>
        <v>0.56840974754953655</v>
      </c>
      <c r="F70" s="195">
        <f t="shared" si="43"/>
        <v>0.56894609135436813</v>
      </c>
      <c r="G70" s="195">
        <f t="shared" si="43"/>
        <v>0.5695596374402786</v>
      </c>
      <c r="H70" s="195">
        <f t="shared" si="43"/>
        <v>0.57025653280103306</v>
      </c>
      <c r="I70" s="195">
        <f t="shared" si="43"/>
        <v>0.57104193802873349</v>
      </c>
      <c r="J70" s="195">
        <f t="shared" si="43"/>
        <v>0.57191881351029494</v>
      </c>
      <c r="K70" s="195">
        <f t="shared" si="43"/>
        <v>0.57288590245785942</v>
      </c>
      <c r="L70" s="195">
        <f t="shared" si="43"/>
        <v>0.57393430423488423</v>
      </c>
      <c r="M70" s="195">
        <f t="shared" si="43"/>
        <v>0.57504184655068569</v>
      </c>
      <c r="N70" s="195">
        <f t="shared" si="43"/>
        <v>0.57616400651798738</v>
      </c>
      <c r="O70" s="195">
        <f t="shared" si="43"/>
        <v>0.57721994760016992</v>
      </c>
      <c r="P70" s="195">
        <f t="shared" si="43"/>
        <v>0.57807295387140978</v>
      </c>
      <c r="Q70" s="195">
        <f t="shared" si="43"/>
        <v>0.5785035737297658</v>
      </c>
      <c r="R70" s="195">
        <f t="shared" si="43"/>
        <v>0.57815321511603002</v>
      </c>
      <c r="S70" s="195" t="e">
        <f t="shared" si="43"/>
        <v>#DIV/0!</v>
      </c>
      <c r="T70" s="195" t="e">
        <f t="shared" si="43"/>
        <v>#DIV/0!</v>
      </c>
      <c r="U70" s="195" t="e">
        <f t="shared" si="43"/>
        <v>#DIV/0!</v>
      </c>
      <c r="V70" s="195" t="e">
        <f t="shared" si="43"/>
        <v>#DIV/0!</v>
      </c>
      <c r="W70" s="195" t="e">
        <f t="shared" si="43"/>
        <v>#DIV/0!</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3234.6530886797964</v>
      </c>
      <c r="D74" s="80">
        <f>NeoClassical!F$24</f>
        <v>3273.468637494107</v>
      </c>
      <c r="E74" s="80">
        <f>NeoClassical!H$24</f>
        <v>3312.9085116439678</v>
      </c>
      <c r="F74" s="80">
        <f>NeoClassical!J$24</f>
        <v>3353.065981271397</v>
      </c>
      <c r="G74" s="80">
        <f>NeoClassical!L$24</f>
        <v>3394.0547631747677</v>
      </c>
      <c r="H74" s="80">
        <f>NeoClassical!N$24</f>
        <v>3436.0177895422212</v>
      </c>
      <c r="I74" s="80">
        <f>NeoClassical!P$24</f>
        <v>3479.1399538702308</v>
      </c>
      <c r="J74" s="80">
        <f>NeoClassical!R$24</f>
        <v>3523.668417297753</v>
      </c>
      <c r="K74" s="80">
        <f>NeoClassical!T$24</f>
        <v>3569.9469610388587</v>
      </c>
      <c r="L74" s="80">
        <f>NeoClassical!V$24</f>
        <v>3618.4760517495529</v>
      </c>
      <c r="M74" s="80">
        <f>NeoClassical!X$24</f>
        <v>3670.0190692186784</v>
      </c>
      <c r="N74" s="80">
        <f>NeoClassical!Z$24</f>
        <v>3725.797319834262</v>
      </c>
      <c r="O74" s="80">
        <f>NeoClassical!AB$24</f>
        <v>3787.8524438628815</v>
      </c>
      <c r="P74" s="80">
        <f>NeoClassical!AD$24</f>
        <v>3859.703703742955</v>
      </c>
      <c r="Q74" s="80">
        <f>NeoClassical!AF$24</f>
        <v>3947.3968252337281</v>
      </c>
      <c r="R74" s="80">
        <f>NeoClassical!AH$24</f>
        <v>4060.3726484825879</v>
      </c>
      <c r="S74" s="80">
        <f>NeoClassical!AJ$24</f>
        <v>4208.7085770210233</v>
      </c>
      <c r="T74" s="80">
        <f>NeoClassical!AL$24</f>
        <v>4385.9412732372484</v>
      </c>
      <c r="U74" s="80">
        <f>NeoClassical!AN$24</f>
        <v>4461.0325306420646</v>
      </c>
      <c r="V74" s="80">
        <f>NeoClassical!AP$24</f>
        <v>4396.5848260100956</v>
      </c>
      <c r="W74" s="80">
        <f>NeoClassical!AR$24</f>
        <v>4238.7797551243739</v>
      </c>
      <c r="X74" s="80">
        <f>NeoClassical!AT$24</f>
        <v>3875.0273695109836</v>
      </c>
      <c r="Y74" s="80">
        <f>NeoClassical!AV$24</f>
        <v>2967.6356266336829</v>
      </c>
    </row>
    <row r="75" spans="1:26" x14ac:dyDescent="0.2">
      <c r="A75" t="s">
        <v>90</v>
      </c>
      <c r="B75" s="80">
        <f>Johansen!B$24</f>
        <v>3196.3846373657216</v>
      </c>
      <c r="C75" s="80">
        <f>Johansen!D$24</f>
        <v>3201.533956359372</v>
      </c>
      <c r="D75" s="80">
        <f>Johansen!F$24</f>
        <v>3206.3415842236227</v>
      </c>
      <c r="E75" s="80">
        <f>Johansen!H$24</f>
        <v>3210.7524775472079</v>
      </c>
      <c r="F75" s="80">
        <f>Johansen!J$24</f>
        <v>3214.6990917325375</v>
      </c>
      <c r="G75" s="80">
        <f>Johansen!L$24</f>
        <v>3218.0964878397299</v>
      </c>
      <c r="H75" s="80">
        <f>Johansen!N$24</f>
        <v>3220.838558405916</v>
      </c>
      <c r="I75" s="80">
        <f>Johansen!P$24</f>
        <v>3222.7890539170526</v>
      </c>
      <c r="J75" s="80">
        <f>Johansen!R$24</f>
        <v>3223.7710210932341</v>
      </c>
      <c r="K75" s="80">
        <f>Johansen!T$24</f>
        <v>3223.5504819288794</v>
      </c>
      <c r="L75" s="80">
        <f>Johansen!V$24</f>
        <v>3221.81029885619</v>
      </c>
      <c r="M75" s="80">
        <f>Johansen!X$24</f>
        <v>3218.1086129667742</v>
      </c>
      <c r="N75" s="80">
        <f>Johansen!Z$24</f>
        <v>3211.8061433628095</v>
      </c>
      <c r="O75" s="80">
        <f>Johansen!AB$24</f>
        <v>3201.9297764058397</v>
      </c>
      <c r="P75" s="80">
        <f>Johansen!AD$24</f>
        <v>3186.8857961465783</v>
      </c>
      <c r="Q75" s="80">
        <f>Johansen!AF$24</f>
        <v>3163.7732293084837</v>
      </c>
      <c r="R75" s="80">
        <f>Johansen!AH$24</f>
        <v>3126.4951170623904</v>
      </c>
      <c r="S75" s="80">
        <f>Johansen!AJ$24</f>
        <v>3060.0259755704524</v>
      </c>
      <c r="T75" s="80">
        <f>Johansen!AL$24</f>
        <v>2920.8771422894474</v>
      </c>
      <c r="U75" s="80">
        <f>Johansen!AN$24</f>
        <v>2537.9115093695423</v>
      </c>
      <c r="V75" s="80">
        <f>Johansen!AP$24</f>
        <v>2376.5256500864866</v>
      </c>
      <c r="W75" s="80">
        <f>Johansen!AR$24</f>
        <v>2146.5700098567891</v>
      </c>
      <c r="X75" s="80">
        <f>Johansen!AT$24</f>
        <v>1795.9689606505897</v>
      </c>
      <c r="Y75" s="80">
        <f>Johansen!AV$24</f>
        <v>1202.8298365148303</v>
      </c>
    </row>
    <row r="76" spans="1:26" x14ac:dyDescent="0.2">
      <c r="A76" t="s">
        <v>143</v>
      </c>
      <c r="B76" s="80">
        <f>Kaldorian!B$24</f>
        <v>3196.3846373657216</v>
      </c>
      <c r="C76" s="80">
        <f>Kaldorian!D$24</f>
        <v>3201.5570754385772</v>
      </c>
      <c r="D76" s="80">
        <f>Kaldorian!F$24</f>
        <v>3206.389606235462</v>
      </c>
      <c r="E76" s="80">
        <f>Kaldorian!H$24</f>
        <v>3210.8274134593248</v>
      </c>
      <c r="F76" s="80">
        <f>Kaldorian!J$24</f>
        <v>3214.8031659767998</v>
      </c>
      <c r="G76" s="80">
        <f>Kaldorian!L$24</f>
        <v>3218.2321482551915</v>
      </c>
      <c r="H76" s="80">
        <f>Kaldorian!N$24</f>
        <v>3221.0084059314968</v>
      </c>
      <c r="I76" s="80">
        <f>Kaldorian!P$24</f>
        <v>3222.9957114587742</v>
      </c>
      <c r="J76" s="80">
        <f>Kaldorian!R$24</f>
        <v>3224.016889354255</v>
      </c>
      <c r="K76" s="80">
        <f>Kaldorian!T$24</f>
        <v>3223.8372771196437</v>
      </c>
      <c r="L76" s="80">
        <f>Kaldorian!V$24</f>
        <v>3222.1382175059771</v>
      </c>
      <c r="M76" s="80">
        <f>Kaldorian!X$24</f>
        <v>3218.474875141017</v>
      </c>
      <c r="N76" s="80">
        <f>Kaldorian!Z$24</f>
        <v>3212.2028338622054</v>
      </c>
      <c r="O76" s="80">
        <f>Kaldorian!AB$24</f>
        <v>3202.3396958812291</v>
      </c>
      <c r="P76" s="80">
        <f>Kaldorian!AD$24</f>
        <v>3187.277494685688</v>
      </c>
      <c r="Q76" s="80">
        <f>Kaldorian!AF$24</f>
        <v>3164.0981922847559</v>
      </c>
      <c r="R76" s="80">
        <f>Kaldorian!AH$24</f>
        <v>3126.7018089514522</v>
      </c>
      <c r="S76" s="80">
        <f>Kaldorian!AJ$24</f>
        <v>3060.1067963422247</v>
      </c>
      <c r="T76" s="80">
        <f>Kaldorian!AL$24</f>
        <v>2920.8905551734265</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3217.4847652864396</v>
      </c>
      <c r="D77" s="80">
        <f>'Keynes-K'!F$24</f>
        <v>3236.7289848241057</v>
      </c>
      <c r="E77" s="80">
        <f>'Keynes-K'!H$24</f>
        <v>3253.9758528827806</v>
      </c>
      <c r="F77" s="80">
        <f>'Keynes-K'!J$24</f>
        <v>3269.0270820938877</v>
      </c>
      <c r="G77" s="80">
        <f>'Keynes-K'!L$24</f>
        <v>3281.6112419584756</v>
      </c>
      <c r="H77" s="80">
        <f>'Keynes-K'!N$24</f>
        <v>3291.3655609325283</v>
      </c>
      <c r="I77" s="80">
        <f>'Keynes-K'!P$24</f>
        <v>3297.7998893215467</v>
      </c>
      <c r="J77" s="80">
        <f>'Keynes-K'!R$24</f>
        <v>3300.2504549831592</v>
      </c>
      <c r="K77" s="80">
        <f>'Keynes-K'!T$24</f>
        <v>3297.8047974622223</v>
      </c>
      <c r="L77" s="80">
        <f>'Keynes-K'!V$24</f>
        <v>3289.1822082361759</v>
      </c>
      <c r="M77" s="80">
        <f>'Keynes-K'!X$24</f>
        <v>3272.5329428804735</v>
      </c>
      <c r="N77" s="80">
        <f>'Keynes-K'!Z$24</f>
        <v>3245.0839370488434</v>
      </c>
      <c r="O77" s="80">
        <f>'Keynes-K'!AB$24</f>
        <v>3202.4719366097693</v>
      </c>
      <c r="P77" s="80">
        <f>'Keynes-K'!AD$24</f>
        <v>3137.4043270779612</v>
      </c>
      <c r="Q77" s="80">
        <f>'Keynes-K'!AF$24</f>
        <v>3036.7876064421212</v>
      </c>
      <c r="R77" s="80">
        <f>'Keynes-K'!AH$24</f>
        <v>2875.3074329267183</v>
      </c>
      <c r="S77" s="80">
        <f>'Keynes-K'!AJ$24</f>
        <v>2601.3606890889064</v>
      </c>
      <c r="T77" s="80">
        <f>'Keynes-K'!AL$24</f>
        <v>2111.4054177083599</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3246.6395019821066</v>
      </c>
      <c r="D78" s="80">
        <f>'Keynes-M'!F$24</f>
        <v>3297.6129192570343</v>
      </c>
      <c r="E78" s="80">
        <f>'Keynes-M'!H$24</f>
        <v>3349.4692507485161</v>
      </c>
      <c r="F78" s="80">
        <f>'Keynes-M'!J$24</f>
        <v>3402.4103263956208</v>
      </c>
      <c r="G78" s="80">
        <f>'Keynes-M'!L$24</f>
        <v>3456.6941772456676</v>
      </c>
      <c r="H78" s="80">
        <f>'Keynes-M'!N$24</f>
        <v>3512.6642212949832</v>
      </c>
      <c r="I78" s="80">
        <f>'Keynes-M'!P$24</f>
        <v>3570.7969133797401</v>
      </c>
      <c r="J78" s="80">
        <f>'Keynes-M'!R$24</f>
        <v>3631.7815846858784</v>
      </c>
      <c r="K78" s="80">
        <f>'Keynes-M'!T$24</f>
        <v>3696.6549777179362</v>
      </c>
      <c r="L78" s="80">
        <f>'Keynes-M'!V$24</f>
        <v>3767.0387632606653</v>
      </c>
      <c r="M78" s="80">
        <f>'Keynes-M'!X$24</f>
        <v>3845.5579734358653</v>
      </c>
      <c r="N78" s="80">
        <f>'Keynes-M'!Z$24</f>
        <v>3936.562208779389</v>
      </c>
      <c r="O78" s="80">
        <f>'Keynes-M'!AB$24</f>
        <v>4047.2183531744658</v>
      </c>
      <c r="P78" s="80">
        <f>'Keynes-M'!AD$24</f>
        <v>4188.4422779974293</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3132.7046995838436</v>
      </c>
      <c r="D79" s="80">
        <f>Keynesian!F$24</f>
        <v>3061.5228277190754</v>
      </c>
      <c r="E79" s="80">
        <f>Keynesian!H$24</f>
        <v>2982.0300612742108</v>
      </c>
      <c r="F79" s="80">
        <f>Keynesian!J$24</f>
        <v>2893.3796702121358</v>
      </c>
      <c r="G79" s="80">
        <f>Keynesian!L$24</f>
        <v>2794.7259999114049</v>
      </c>
      <c r="H79" s="80">
        <f>Keynesian!N$24</f>
        <v>2685.279337874354</v>
      </c>
      <c r="I79" s="80">
        <f>Keynesian!P$24</f>
        <v>2564.4054504676951</v>
      </c>
      <c r="J79" s="80">
        <f>Keynesian!R$24</f>
        <v>2431.7849621360406</v>
      </c>
      <c r="K79" s="80">
        <f>Keynesian!T$24</f>
        <v>2287.6987879216558</v>
      </c>
      <c r="L79" s="80">
        <f>Keynesian!V$24</f>
        <v>2133.6489381824322</v>
      </c>
      <c r="M79" s="80">
        <f>Keynesian!X$24</f>
        <v>1974.0878978397784</v>
      </c>
      <c r="N79" s="80">
        <f>Keynesian!Z$24</f>
        <v>0</v>
      </c>
      <c r="O79" s="80">
        <f>Keynesian!AB$24</f>
        <v>0</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3206.1615215271049</v>
      </c>
      <c r="D80" s="80">
        <f>'Neo-K1'!F$24</f>
        <v>3213.3184613349249</v>
      </c>
      <c r="E80" s="80">
        <f>'Neo-K1'!H$24</f>
        <v>3217.309183157754</v>
      </c>
      <c r="F80" s="80">
        <f>'Neo-K1'!J$24</f>
        <v>3217.4436285949582</v>
      </c>
      <c r="G80" s="80">
        <f>'Neo-K1'!L$24</f>
        <v>3212.8396909468233</v>
      </c>
      <c r="H80" s="80">
        <f>'Neo-K1'!N$24</f>
        <v>3202.3682796849153</v>
      </c>
      <c r="I80" s="80">
        <f>'Neo-K1'!P$24</f>
        <v>3184.5595803234942</v>
      </c>
      <c r="J80" s="80">
        <f>'Neo-K1'!R$24</f>
        <v>3157.4967629276412</v>
      </c>
      <c r="K80" s="80">
        <f>'Neo-K1'!T$24</f>
        <v>3118.6563558864823</v>
      </c>
      <c r="L80" s="80">
        <f>'Neo-K1'!V$24</f>
        <v>3064.7021125481483</v>
      </c>
      <c r="M80" s="80">
        <f>'Neo-K1'!X$24</f>
        <v>2991.2179501074402</v>
      </c>
      <c r="N80" s="80">
        <f>'Neo-K1'!Z$24</f>
        <v>2892.3866679087446</v>
      </c>
      <c r="O80" s="80">
        <f>'Neo-K1'!AB$24</f>
        <v>2760.6524854520544</v>
      </c>
      <c r="P80" s="80">
        <f>'Neo-K1'!AD$24</f>
        <v>2586.4722766341051</v>
      </c>
      <c r="Q80" s="80">
        <f>'Neo-K1'!AF$24</f>
        <v>2358.3577859833781</v>
      </c>
      <c r="R80" s="80">
        <f>'Neo-K1'!AH$24</f>
        <v>2063.4834746563829</v>
      </c>
      <c r="S80" s="80">
        <f>'Neo-K1'!AJ$24</f>
        <v>1689.0510407128772</v>
      </c>
      <c r="T80" s="80">
        <f>'Neo-K1'!AL$24</f>
        <v>1224.2293162328319</v>
      </c>
      <c r="U80" s="80">
        <f>'Neo-K1'!AN$24</f>
        <v>661.98824680033556</v>
      </c>
      <c r="V80" s="80">
        <f>'Neo-K1'!AP$24</f>
        <v>537.56201855701022</v>
      </c>
      <c r="W80" s="80">
        <f>'Neo-K1'!AR$24</f>
        <v>409.13586922378454</v>
      </c>
      <c r="X80" s="80">
        <f>'Neo-K1'!AT$24</f>
        <v>276.7209040452185</v>
      </c>
      <c r="Y80" s="80">
        <f>'Neo-K1'!AV$24</f>
        <v>140.33458919682366</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0</v>
      </c>
      <c r="T81" s="80">
        <f>'Neo-K2'!AL$24</f>
        <v>0</v>
      </c>
      <c r="U81" s="80">
        <f>'Neo-K2'!AN$24</f>
        <v>0</v>
      </c>
      <c r="V81" s="80">
        <f>'Neo-K2'!AP$24</f>
        <v>0</v>
      </c>
      <c r="W81" s="80">
        <f>'Neo-K2'!AR$24</f>
        <v>0</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5.1621504892449245E-2</v>
      </c>
      <c r="D85" s="240">
        <f t="shared" si="45"/>
        <v>0.10208486953007513</v>
      </c>
      <c r="E85" s="240">
        <f t="shared" si="45"/>
        <v>0.15794708224522908</v>
      </c>
      <c r="F85" s="240">
        <f t="shared" si="45"/>
        <v>0.22019668091812336</v>
      </c>
      <c r="G85" s="240">
        <f t="shared" si="45"/>
        <v>0.29009876584687611</v>
      </c>
      <c r="H85" s="240">
        <f t="shared" si="45"/>
        <v>0.36931339397198415</v>
      </c>
      <c r="I85" s="240">
        <f t="shared" si="45"/>
        <v>0.46006174215355061</v>
      </c>
      <c r="J85" s="240">
        <f t="shared" si="45"/>
        <v>0.56540777855427859</v>
      </c>
      <c r="K85" s="240">
        <f t="shared" si="45"/>
        <v>0.68972011470837047</v>
      </c>
      <c r="L85" s="240">
        <f t="shared" si="45"/>
        <v>0.83947390710856262</v>
      </c>
      <c r="M85" s="240">
        <f t="shared" si="45"/>
        <v>1.0247268039319439</v>
      </c>
      <c r="N85" s="240">
        <f t="shared" si="45"/>
        <v>1.2619905333475236</v>
      </c>
      <c r="O85" s="240">
        <f t="shared" si="45"/>
        <v>1.5802348095693706</v>
      </c>
      <c r="P85" s="240">
        <f t="shared" si="45"/>
        <v>2.0344496623483703</v>
      </c>
      <c r="Q85" s="240">
        <f t="shared" si="45"/>
        <v>2.7390121018782558</v>
      </c>
      <c r="R85" s="240">
        <f t="shared" si="44"/>
        <v>3.9574416475546736</v>
      </c>
      <c r="S85" s="240">
        <f t="shared" si="44"/>
        <v>6.3745733495975356</v>
      </c>
      <c r="T85" s="240">
        <f t="shared" si="44"/>
        <v>12.16503348406858</v>
      </c>
      <c r="U85" s="240">
        <f t="shared" si="44"/>
        <v>32.198712527441067</v>
      </c>
      <c r="V85" s="240">
        <f t="shared" si="44"/>
        <v>42.352927495894733</v>
      </c>
      <c r="W85" s="240">
        <f t="shared" si="44"/>
        <v>58.568533734998319</v>
      </c>
      <c r="X85" s="240">
        <f t="shared" si="44"/>
        <v>87.35258126399205</v>
      </c>
      <c r="Y85" s="240">
        <f t="shared" si="44"/>
        <v>148.19186404020161</v>
      </c>
    </row>
    <row r="86" spans="1:25" x14ac:dyDescent="0.2">
      <c r="A86" t="str">
        <f t="shared" ref="A86:A93" si="46">A4</f>
        <v>Kaldorian</v>
      </c>
      <c r="B86" s="240">
        <f t="shared" si="45"/>
        <v>5.7716594496607888E-3</v>
      </c>
      <c r="C86" s="240">
        <f t="shared" si="44"/>
        <v>5.4924522889605379E-2</v>
      </c>
      <c r="D86" s="240">
        <f t="shared" si="44"/>
        <v>0.10898998918205414</v>
      </c>
      <c r="E86" s="240">
        <f t="shared" si="44"/>
        <v>0.16880241492668246</v>
      </c>
      <c r="F86" s="240">
        <f t="shared" si="44"/>
        <v>0.23541252411142624</v>
      </c>
      <c r="G86" s="240">
        <f t="shared" si="44"/>
        <v>0.31016683113360366</v>
      </c>
      <c r="H86" s="240">
        <f t="shared" si="44"/>
        <v>0.39483456120673988</v>
      </c>
      <c r="I86" s="240">
        <f t="shared" si="44"/>
        <v>0.49178902142599318</v>
      </c>
      <c r="J86" s="240">
        <f t="shared" si="44"/>
        <v>0.60431475036208882</v>
      </c>
      <c r="K86" s="240">
        <f t="shared" si="44"/>
        <v>0.7371154251348484</v>
      </c>
      <c r="L86" s="240">
        <f t="shared" si="44"/>
        <v>0.8972023210343808</v>
      </c>
      <c r="M86" s="240">
        <f t="shared" si="44"/>
        <v>1.095543284965997</v>
      </c>
      <c r="N86" s="240">
        <f t="shared" si="44"/>
        <v>1.3503046984277955</v>
      </c>
      <c r="O86" s="240">
        <f t="shared" si="44"/>
        <v>1.6936970222960088</v>
      </c>
      <c r="P86" s="240">
        <f t="shared" si="44"/>
        <v>2.1876307007776985</v>
      </c>
      <c r="Q86" s="240">
        <f t="shared" si="44"/>
        <v>2.9626347523863963</v>
      </c>
      <c r="R86" s="240">
        <f t="shared" si="44"/>
        <v>4.3231577317298209</v>
      </c>
      <c r="S86" s="240">
        <f t="shared" si="44"/>
        <v>7.0666476650742718</v>
      </c>
      <c r="T86" s="240">
        <f t="shared" si="44"/>
        <v>13.738228177435362</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5.3359204869771082E-2</v>
      </c>
      <c r="D87" s="240">
        <f t="shared" si="44"/>
        <v>0.10576058804941847</v>
      </c>
      <c r="E87" s="240">
        <f t="shared" si="44"/>
        <v>0.1638016750781851</v>
      </c>
      <c r="F87" s="240">
        <f t="shared" si="44"/>
        <v>0.22852443708429307</v>
      </c>
      <c r="G87" s="240">
        <f t="shared" si="44"/>
        <v>0.30126724626378865</v>
      </c>
      <c r="H87" s="240">
        <f t="shared" si="44"/>
        <v>0.38379169570785837</v>
      </c>
      <c r="I87" s="240">
        <f t="shared" si="44"/>
        <v>0.47846640273618651</v>
      </c>
      <c r="J87" s="240">
        <f t="shared" si="44"/>
        <v>0.58857630530923666</v>
      </c>
      <c r="K87" s="240">
        <f t="shared" si="44"/>
        <v>0.71883519288139341</v>
      </c>
      <c r="L87" s="240">
        <f t="shared" si="44"/>
        <v>0.8762839838068347</v>
      </c>
      <c r="M87" s="240">
        <f t="shared" si="44"/>
        <v>1.071957352280394</v>
      </c>
      <c r="N87" s="240">
        <f t="shared" si="44"/>
        <v>1.3241617118229645</v>
      </c>
      <c r="O87" s="240">
        <f t="shared" si="44"/>
        <v>1.6654009370944387</v>
      </c>
      <c r="P87" s="240">
        <f t="shared" si="44"/>
        <v>2.15818331950135</v>
      </c>
      <c r="Q87" s="240">
        <f t="shared" si="44"/>
        <v>2.9341625363186448</v>
      </c>
      <c r="R87" s="240">
        <f t="shared" si="44"/>
        <v>4.2993356694343632</v>
      </c>
      <c r="S87" s="240">
        <f t="shared" si="44"/>
        <v>7.0513895289381097</v>
      </c>
      <c r="T87" s="240">
        <f t="shared" si="44"/>
        <v>13.731892202189021</v>
      </c>
      <c r="U87" s="240">
        <f t="shared" si="44"/>
        <v>37.035786395560955</v>
      </c>
      <c r="V87" s="240">
        <f t="shared" si="44"/>
        <v>48.778902982589116</v>
      </c>
      <c r="W87" s="240">
        <f t="shared" si="44"/>
        <v>67.304199978892285</v>
      </c>
      <c r="X87" s="240">
        <f t="shared" si="44"/>
        <v>99.32424282071689</v>
      </c>
      <c r="Y87" s="240">
        <f t="shared" si="44"/>
        <v>162.97878108596376</v>
      </c>
    </row>
    <row r="88" spans="1:25" x14ac:dyDescent="0.2">
      <c r="A88" t="str">
        <f t="shared" si="46"/>
        <v>Keynes-Kaldor</v>
      </c>
      <c r="B88" s="240">
        <f t="shared" si="45"/>
        <v>5.7716594496607888E-3</v>
      </c>
      <c r="C88" s="240">
        <f t="shared" si="44"/>
        <v>5.8757963530019587E-2</v>
      </c>
      <c r="D88" s="240">
        <f t="shared" si="44"/>
        <v>0.11672278126552738</v>
      </c>
      <c r="E88" s="240">
        <f t="shared" si="44"/>
        <v>0.18049208695300062</v>
      </c>
      <c r="F88" s="240">
        <f t="shared" si="44"/>
        <v>0.25109973433701982</v>
      </c>
      <c r="G88" s="240">
        <f t="shared" si="44"/>
        <v>0.32984998179273489</v>
      </c>
      <c r="H88" s="240">
        <f t="shared" si="44"/>
        <v>0.41844593672395602</v>
      </c>
      <c r="I88" s="240">
        <f t="shared" si="44"/>
        <v>0.51913777178950771</v>
      </c>
      <c r="J88" s="240">
        <f t="shared" si="44"/>
        <v>0.6349911083533486</v>
      </c>
      <c r="K88" s="240">
        <f t="shared" si="44"/>
        <v>0.77030556685381923</v>
      </c>
      <c r="L88" s="240">
        <f t="shared" si="44"/>
        <v>0.93131914925811754</v>
      </c>
      <c r="M88" s="240">
        <f t="shared" si="44"/>
        <v>1.1274365515245586</v>
      </c>
      <c r="N88" s="240">
        <f t="shared" si="44"/>
        <v>1.373461812094577</v>
      </c>
      <c r="O88" s="240">
        <f t="shared" si="44"/>
        <v>1.6938125147437746</v>
      </c>
      <c r="P88" s="240">
        <f t="shared" si="44"/>
        <v>2.1307147403800246</v>
      </c>
      <c r="Q88" s="240">
        <f t="shared" si="44"/>
        <v>2.7600171021191859</v>
      </c>
      <c r="R88" s="240">
        <f t="shared" si="44"/>
        <v>3.7185927045014746</v>
      </c>
      <c r="S88" s="240">
        <f t="shared" si="44"/>
        <v>5.2321021066055877</v>
      </c>
      <c r="T88" s="240">
        <f t="shared" si="44"/>
        <v>7.5356975255842213</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5.8087100153133273E-2</v>
      </c>
      <c r="D89" s="240">
        <f t="shared" si="44"/>
        <v>0.11640178609996685</v>
      </c>
      <c r="E89" s="240">
        <f t="shared" si="44"/>
        <v>0.18188261358239613</v>
      </c>
      <c r="F89" s="240">
        <f t="shared" si="44"/>
        <v>0.25605312858704654</v>
      </c>
      <c r="G89" s="240">
        <f t="shared" si="44"/>
        <v>0.34095058694958552</v>
      </c>
      <c r="H89" s="240">
        <f t="shared" si="44"/>
        <v>0.43937457135782071</v>
      </c>
      <c r="I89" s="240">
        <f t="shared" si="44"/>
        <v>0.55529607571974415</v>
      </c>
      <c r="J89" s="240">
        <f t="shared" si="44"/>
        <v>0.69455598825063281</v>
      </c>
      <c r="K89" s="240">
        <f t="shared" si="44"/>
        <v>0.86612662723881595</v>
      </c>
      <c r="L89" s="240">
        <f t="shared" si="44"/>
        <v>1.0845000655642563</v>
      </c>
      <c r="M89" s="240">
        <f t="shared" si="44"/>
        <v>1.3745023328689414</v>
      </c>
      <c r="N89" s="240">
        <f t="shared" si="44"/>
        <v>1.7816224752476304</v>
      </c>
      <c r="O89" s="240">
        <f t="shared" si="44"/>
        <v>2.3954171819211081</v>
      </c>
      <c r="P89" s="240">
        <f t="shared" si="44"/>
        <v>3.4041440368753406</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3.4140157490475831E-2</v>
      </c>
      <c r="D90" s="240">
        <f t="shared" si="44"/>
        <v>6.3608078669395343E-2</v>
      </c>
      <c r="E90" s="240">
        <f t="shared" si="44"/>
        <v>9.4092517883245338E-2</v>
      </c>
      <c r="F90" s="240">
        <f t="shared" si="44"/>
        <v>0.12546110795206147</v>
      </c>
      <c r="G90" s="240">
        <f t="shared" si="44"/>
        <v>0.1575201214026303</v>
      </c>
      <c r="H90" s="240">
        <f t="shared" si="44"/>
        <v>0.18999892220323245</v>
      </c>
      <c r="I90" s="240">
        <f t="shared" si="44"/>
        <v>0.22253438120841368</v>
      </c>
      <c r="J90" s="240">
        <f t="shared" si="44"/>
        <v>0.25464942552388531</v>
      </c>
      <c r="K90" s="240">
        <f t="shared" si="44"/>
        <v>0.28571568210677617</v>
      </c>
      <c r="L90" s="240">
        <f t="shared" si="44"/>
        <v>0.31486416664433636</v>
      </c>
      <c r="M90" s="240">
        <f t="shared" si="44"/>
        <v>0.34066940830622405</v>
      </c>
      <c r="N90" s="240">
        <f t="shared" si="44"/>
        <v>0</v>
      </c>
      <c r="O90" s="240">
        <f t="shared" si="44"/>
        <v>0</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4.1810181887575598E-2</v>
      </c>
      <c r="D91" s="240">
        <f t="shared" si="44"/>
        <v>8.0282974727649892E-2</v>
      </c>
      <c r="E91" s="240">
        <f t="shared" si="44"/>
        <v>0.12138005459233639</v>
      </c>
      <c r="F91" s="240">
        <f t="shared" si="44"/>
        <v>0.16529427279745385</v>
      </c>
      <c r="G91" s="240">
        <f t="shared" si="44"/>
        <v>0.2122138659141381</v>
      </c>
      <c r="H91" s="240">
        <f t="shared" si="44"/>
        <v>0.26231828933534379</v>
      </c>
      <c r="I91" s="240">
        <f t="shared" si="44"/>
        <v>0.315776995114318</v>
      </c>
      <c r="J91" s="240">
        <f t="shared" si="44"/>
        <v>0.37276483045308589</v>
      </c>
      <c r="K91" s="240">
        <f t="shared" si="44"/>
        <v>0.43351972303942038</v>
      </c>
      <c r="L91" s="240">
        <f t="shared" si="44"/>
        <v>0.49850833147657081</v>
      </c>
      <c r="M91" s="240">
        <f t="shared" si="44"/>
        <v>0.56882911259150937</v>
      </c>
      <c r="N91" s="240">
        <f t="shared" si="44"/>
        <v>0.64713062732548876</v>
      </c>
      <c r="O91" s="240">
        <f t="shared" si="44"/>
        <v>0.73962980364884123</v>
      </c>
      <c r="P91" s="240">
        <f t="shared" si="44"/>
        <v>0.86051490788699647</v>
      </c>
      <c r="Q91" s="240">
        <f t="shared" si="44"/>
        <v>1.0422079061314948</v>
      </c>
      <c r="R91" s="240">
        <f t="shared" si="44"/>
        <v>1.3640579674302087</v>
      </c>
      <c r="S91" s="240">
        <f t="shared" si="44"/>
        <v>0</v>
      </c>
      <c r="T91" s="240">
        <f t="shared" si="44"/>
        <v>0</v>
      </c>
      <c r="U91" s="240">
        <f t="shared" si="44"/>
        <v>0</v>
      </c>
      <c r="V91" s="240">
        <f t="shared" si="44"/>
        <v>0</v>
      </c>
      <c r="W91" s="240">
        <f t="shared" si="44"/>
        <v>0</v>
      </c>
      <c r="X91" s="240">
        <f t="shared" si="44"/>
        <v>0</v>
      </c>
      <c r="Y91" s="240">
        <f t="shared" si="44"/>
        <v>0</v>
      </c>
    </row>
    <row r="92" spans="1:25" x14ac:dyDescent="0.2">
      <c r="A92" t="str">
        <f t="shared" si="46"/>
        <v>Neo-K1</v>
      </c>
      <c r="B92" s="240">
        <f t="shared" si="45"/>
        <v>5.7716594496607888E-3</v>
      </c>
      <c r="C92" s="240">
        <f t="shared" si="44"/>
        <v>4.5233428757489778E-2</v>
      </c>
      <c r="D92" s="240">
        <f t="shared" si="44"/>
        <v>8.8001364769437748E-2</v>
      </c>
      <c r="E92" s="240">
        <f t="shared" si="44"/>
        <v>0.13450163599875339</v>
      </c>
      <c r="F92" s="240">
        <f t="shared" si="44"/>
        <v>0.18523451261581603</v>
      </c>
      <c r="G92" s="240">
        <f t="shared" si="44"/>
        <v>0.24078973823687194</v>
      </c>
      <c r="H92" s="240">
        <f t="shared" si="44"/>
        <v>0.30186580897457821</v>
      </c>
      <c r="I92" s="240">
        <f t="shared" si="44"/>
        <v>0.36929127551639573</v>
      </c>
      <c r="J92" s="240">
        <f t="shared" si="44"/>
        <v>0.44405052464600753</v>
      </c>
      <c r="K92" s="240">
        <f t="shared" si="44"/>
        <v>0.52730893936766154</v>
      </c>
      <c r="L92" s="240">
        <f t="shared" si="44"/>
        <v>0.6204342094911387</v>
      </c>
      <c r="M92" s="240">
        <f t="shared" si="44"/>
        <v>0.72500160885222209</v>
      </c>
      <c r="N92" s="240">
        <f t="shared" si="44"/>
        <v>0.8427631804483996</v>
      </c>
      <c r="O92" s="240">
        <f t="shared" si="44"/>
        <v>0.97554710037004788</v>
      </c>
      <c r="P92" s="240">
        <f t="shared" si="44"/>
        <v>1.1250423981506921</v>
      </c>
      <c r="Q92" s="240">
        <f t="shared" si="44"/>
        <v>1.2924362457534571</v>
      </c>
      <c r="R92" s="240">
        <f t="shared" si="44"/>
        <v>1.4779280997849813</v>
      </c>
      <c r="S92" s="240">
        <f t="shared" si="44"/>
        <v>1.6802679298675745</v>
      </c>
      <c r="T92" s="240">
        <f t="shared" si="44"/>
        <v>1.896579870923865</v>
      </c>
      <c r="U92" s="240">
        <f t="shared" si="44"/>
        <v>2.1226786001045883</v>
      </c>
      <c r="V92" s="240">
        <f t="shared" si="44"/>
        <v>2.1686545962616313</v>
      </c>
      <c r="W92" s="240">
        <f t="shared" si="44"/>
        <v>2.2147928377225492</v>
      </c>
      <c r="X92" s="240">
        <f t="shared" si="44"/>
        <v>2.2610558568043264</v>
      </c>
      <c r="Y92" s="240">
        <f t="shared" si="44"/>
        <v>2.3074071391938218</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T5" sqref="T5"/>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0.99322811283100365</v>
      </c>
      <c r="D2">
        <f>'Diagnosis Indicators'!D3</f>
        <v>0.98596335001535473</v>
      </c>
      <c r="E2">
        <f>'Diagnosis Indicators'!E3</f>
        <v>0.97813697895150054</v>
      </c>
      <c r="F2">
        <f>'Diagnosis Indicators'!F3</f>
        <v>0.9696661164484266</v>
      </c>
      <c r="G2">
        <f>'Diagnosis Indicators'!G3</f>
        <v>0.96044901896896462</v>
      </c>
      <c r="H2">
        <f>'Diagnosis Indicators'!H3</f>
        <v>0.95036006970128251</v>
      </c>
      <c r="I2">
        <f>'Diagnosis Indicators'!I3</f>
        <v>0.93924014496186647</v>
      </c>
      <c r="J2">
        <f>'Diagnosis Indicators'!J3</f>
        <v>0.9268841639229537</v>
      </c>
      <c r="K2">
        <f>'Diagnosis Indicators'!K3</f>
        <v>0.91302134825463699</v>
      </c>
      <c r="L2">
        <f>'Diagnosis Indicators'!L3</f>
        <v>0.89728328506952681</v>
      </c>
      <c r="M2">
        <f>'Diagnosis Indicators'!M3</f>
        <v>0.87915178727347809</v>
      </c>
      <c r="N2">
        <f>'Diagnosis Indicators'!N3</f>
        <v>0.85786855891876468</v>
      </c>
      <c r="O2">
        <f>'Diagnosis Indicators'!O3</f>
        <v>0.83227374519507558</v>
      </c>
      <c r="P2">
        <f>'Diagnosis Indicators'!P3</f>
        <v>0.80050777747195501</v>
      </c>
      <c r="Q2">
        <f>'Diagnosis Indicators'!Q3</f>
        <v>0.75946046234222653</v>
      </c>
      <c r="R2">
        <f>'Diagnosis Indicators'!R3</f>
        <v>0.7038000525693473</v>
      </c>
      <c r="S2">
        <f>'Diagnosis Indicators'!S3</f>
        <v>0.62435655241922505</v>
      </c>
      <c r="T2">
        <f>'Diagnosis Indicators'!T3</f>
        <v>0.50452139105674476</v>
      </c>
      <c r="U2">
        <f>'Diagnosis Indicators'!U3</f>
        <v>0.30750056715207763</v>
      </c>
      <c r="V2">
        <f>'Diagnosis Indicators'!V3</f>
        <v>0.25228725004707303</v>
      </c>
      <c r="W2">
        <f>'Diagnosis Indicators'!W3</f>
        <v>0.18980694744837243</v>
      </c>
      <c r="X2">
        <f>'Diagnosis Indicators'!X3</f>
        <v>0.12004270302059923</v>
      </c>
      <c r="Y2">
        <f>'Diagnosis Indicators'!Y3</f>
        <v>4.7235044309722508E-2</v>
      </c>
    </row>
    <row r="3" spans="1:25" x14ac:dyDescent="0.2">
      <c r="A3" t="str">
        <f>'Diagnosis Indicators'!A4</f>
        <v>Kaldorian</v>
      </c>
      <c r="B3">
        <f>'Diagnosis Indicators'!B4</f>
        <v>1</v>
      </c>
      <c r="C3">
        <f>'Diagnosis Indicators'!C4</f>
        <v>0.99794571895232465</v>
      </c>
      <c r="D3">
        <f>'Diagnosis Indicators'!D4</f>
        <v>0.99548653705975232</v>
      </c>
      <c r="E3">
        <f>'Diagnosis Indicators'!E4</f>
        <v>0.99256604448247598</v>
      </c>
      <c r="F3">
        <f>'Diagnosis Indicators'!F4</f>
        <v>0.98911614411546578</v>
      </c>
      <c r="G3">
        <f>'Diagnosis Indicators'!G4</f>
        <v>0.98505318340344472</v>
      </c>
      <c r="H3">
        <f>'Diagnosis Indicators'!H4</f>
        <v>0.98027384828542907</v>
      </c>
      <c r="I3">
        <f>'Diagnosis Indicators'!I4</f>
        <v>0.9746475652123161</v>
      </c>
      <c r="J3">
        <f>'Diagnosis Indicators'!J4</f>
        <v>0.96800657274775193</v>
      </c>
      <c r="K3">
        <f>'Diagnosis Indicators'!K4</f>
        <v>0.96013046924035639</v>
      </c>
      <c r="L3">
        <f>'Diagnosis Indicators'!L4</f>
        <v>0.95072152970731916</v>
      </c>
      <c r="M3">
        <f>'Diagnosis Indicators'!M4</f>
        <v>0.939364621325666</v>
      </c>
      <c r="N3">
        <f>'Diagnosis Indicators'!N4</f>
        <v>0.92545821704317688</v>
      </c>
      <c r="O3">
        <f>'Diagnosis Indicators'!O4</f>
        <v>0.9080896874169998</v>
      </c>
      <c r="P3">
        <f>'Diagnosis Indicators'!P4</f>
        <v>0.88579996790135218</v>
      </c>
      <c r="Q3">
        <f>'Diagnosis Indicators'!Q4</f>
        <v>0.85612090956102593</v>
      </c>
      <c r="R3">
        <f>'Diagnosis Indicators'!R4</f>
        <v>0.81464542101723159</v>
      </c>
      <c r="S3">
        <f>'Diagnosis Indicators'!S4</f>
        <v>0.75306628528698782</v>
      </c>
      <c r="T3">
        <f>'Diagnosis Indicators'!T4</f>
        <v>0.65398229228429294</v>
      </c>
    </row>
    <row r="4" spans="1:25" x14ac:dyDescent="0.2">
      <c r="A4" t="str">
        <f>'Diagnosis Indicators'!A5</f>
        <v>Johansen</v>
      </c>
      <c r="B4">
        <f>'Diagnosis Indicators'!B5</f>
        <v>1</v>
      </c>
      <c r="C4">
        <f>'Diagnosis Indicators'!C5</f>
        <v>0.99796891807887156</v>
      </c>
      <c r="D4">
        <f>'Diagnosis Indicators'!D5</f>
        <v>0.99553305376638834</v>
      </c>
      <c r="E4">
        <f>'Diagnosis Indicators'!E5</f>
        <v>0.99263602928897521</v>
      </c>
      <c r="F4">
        <f>'Diagnosis Indicators'!F5</f>
        <v>0.98920976684459361</v>
      </c>
      <c r="G4">
        <f>'Diagnosis Indicators'!G5</f>
        <v>0.98517058901227705</v>
      </c>
      <c r="H4">
        <f>'Diagnosis Indicators'!H5</f>
        <v>0.98041509369274582</v>
      </c>
      <c r="I4">
        <f>'Diagnosis Indicators'!I5</f>
        <v>0.97481251092062471</v>
      </c>
      <c r="J4">
        <f>'Diagnosis Indicators'!J5</f>
        <v>0.9681946991435022</v>
      </c>
      <c r="K4">
        <f>'Diagnosis Indicators'!K5</f>
        <v>0.96034058062787786</v>
      </c>
      <c r="L4">
        <f>'Diagnosis Indicators'!L5</f>
        <v>0.9509513018226049</v>
      </c>
      <c r="M4">
        <f>'Diagnosis Indicators'!M5</f>
        <v>0.93960988452495975</v>
      </c>
      <c r="N4">
        <f>'Diagnosis Indicators'!N5</f>
        <v>0.92571168470103227</v>
      </c>
      <c r="O4">
        <f>'Diagnosis Indicators'!O5</f>
        <v>0.90833946834907031</v>
      </c>
      <c r="P4">
        <f>'Diagnosis Indicators'!P5</f>
        <v>0.88602755180803816</v>
      </c>
      <c r="Q4">
        <f>'Diagnosis Indicators'!Q5</f>
        <v>0.85630113560040833</v>
      </c>
      <c r="R4">
        <f>'Diagnosis Indicators'!R5</f>
        <v>0.814755312491238</v>
      </c>
      <c r="S4">
        <f>'Diagnosis Indicators'!S5</f>
        <v>0.75310799725245658</v>
      </c>
      <c r="T4">
        <f>'Diagnosis Indicators'!T5</f>
        <v>0.65398934561194277</v>
      </c>
      <c r="U4">
        <f>'Diagnosis Indicators'!U5</f>
        <v>0.47084907197547682</v>
      </c>
      <c r="V4">
        <f>'Diagnosis Indicators'!V5</f>
        <v>0.41358113951207914</v>
      </c>
      <c r="W4">
        <f>'Diagnosis Indicators'!W5</f>
        <v>0.34414189107171578</v>
      </c>
      <c r="X4">
        <f>'Diagnosis Indicators'!X5</f>
        <v>0.25788356553016201</v>
      </c>
      <c r="Y4">
        <f>'Diagnosis Indicators'!Y5</f>
        <v>0.14734084437281741</v>
      </c>
    </row>
    <row r="5" spans="1:25" x14ac:dyDescent="0.2">
      <c r="A5" t="str">
        <f>'Diagnosis Indicators'!A6</f>
        <v>Keynes-Kaldor</v>
      </c>
      <c r="B5">
        <f>'Diagnosis Indicators'!B6</f>
        <v>1</v>
      </c>
      <c r="C5">
        <f>'Diagnosis Indicators'!C6</f>
        <v>1.0025765807484963</v>
      </c>
      <c r="D5">
        <f>'Diagnosis Indicators'!D6</f>
        <v>1.0042488516071926</v>
      </c>
      <c r="E5">
        <f>'Diagnosis Indicators'!E6</f>
        <v>1.0049382337913457</v>
      </c>
      <c r="F5">
        <f>'Diagnosis Indicators'!F6</f>
        <v>1.0045427872579873</v>
      </c>
      <c r="G5">
        <f>'Diagnosis Indicators'!G6</f>
        <v>1.0029306674296194</v>
      </c>
      <c r="H5">
        <f>'Diagnosis Indicators'!H6</f>
        <v>0.99993329083427851</v>
      </c>
      <c r="I5">
        <f>'Diagnosis Indicators'!I6</f>
        <v>0.99533154788388523</v>
      </c>
      <c r="J5">
        <f>'Diagnosis Indicators'!J6</f>
        <v>0.98883881825832665</v>
      </c>
      <c r="K5">
        <f>'Diagnosis Indicators'!K6</f>
        <v>0.98007393507123974</v>
      </c>
      <c r="L5">
        <f>'Diagnosis Indicators'!L6</f>
        <v>0.96851936077842193</v>
      </c>
      <c r="M5">
        <f>'Diagnosis Indicators'!M6</f>
        <v>0.95345376283623329</v>
      </c>
      <c r="N5">
        <f>'Diagnosis Indicators'!N6</f>
        <v>0.93383910145419968</v>
      </c>
      <c r="O5">
        <f>'Diagnosis Indicators'!O6</f>
        <v>0.90812246661162488</v>
      </c>
      <c r="P5">
        <f>'Diagnosis Indicators'!P6</f>
        <v>0.87387484480273492</v>
      </c>
      <c r="Q5">
        <f>'Diagnosis Indicators'!Q6</f>
        <v>0.827111301457783</v>
      </c>
      <c r="R5">
        <f>'Diagnosis Indicators'!R6</f>
        <v>0.76101403077933727</v>
      </c>
      <c r="S5">
        <f>'Diagnosis Indicators'!S6</f>
        <v>0.66370295038476146</v>
      </c>
      <c r="T5">
        <f>'Diagnosis Indicators'!T6</f>
        <v>0.5153664064184037</v>
      </c>
    </row>
    <row r="6" spans="1:25" x14ac:dyDescent="0.2">
      <c r="A6" t="str">
        <f>'Diagnosis Indicators'!A7</f>
        <v>Keynes-Marshall</v>
      </c>
      <c r="B6">
        <f>'Diagnosis Indicators'!B7</f>
        <v>1</v>
      </c>
      <c r="C6">
        <f>'Diagnosis Indicators'!C7</f>
        <v>1.0111962379456625</v>
      </c>
      <c r="D6">
        <f>'Diagnosis Indicators'!D7</f>
        <v>1.0221110163271248</v>
      </c>
      <c r="E6">
        <f>'Diagnosis Indicators'!E7</f>
        <v>1.0327220786347637</v>
      </c>
      <c r="F6">
        <f>'Diagnosis Indicators'!F7</f>
        <v>1.0430012318604618</v>
      </c>
      <c r="G6">
        <f>'Diagnosis Indicators'!G7</f>
        <v>1.0529138029955176</v>
      </c>
      <c r="H6">
        <f>'Diagnosis Indicators'!H7</f>
        <v>1.0624180804227186</v>
      </c>
      <c r="I6">
        <f>'Diagnosis Indicators'!I7</f>
        <v>1.0714651667377912</v>
      </c>
      <c r="J6">
        <f>'Diagnosis Indicators'!J7</f>
        <v>1.0799994769554477</v>
      </c>
      <c r="K6">
        <f>'Diagnosis Indicators'!K7</f>
        <v>1.087960110162671</v>
      </c>
      <c r="L6">
        <f>'Diagnosis Indicators'!L7</f>
        <v>1.0952836398412102</v>
      </c>
      <c r="M6">
        <f>'Diagnosis Indicators'!M7</f>
        <v>1.1019053651137349</v>
      </c>
      <c r="N6">
        <f>'Diagnosis Indicators'!N7</f>
        <v>1.107743790703295</v>
      </c>
      <c r="O6">
        <f>'Diagnosis Indicators'!O7</f>
        <v>1.1125999301599683</v>
      </c>
      <c r="P6">
        <f>'Diagnosis Indicators'!P7</f>
        <v>1.1157240293968911</v>
      </c>
    </row>
    <row r="7" spans="1:25" x14ac:dyDescent="0.2">
      <c r="A7" t="str">
        <f>'Diagnosis Indicators'!A8</f>
        <v>Keynesian</v>
      </c>
      <c r="B7">
        <f>'Diagnosis Indicators'!B8</f>
        <v>1</v>
      </c>
      <c r="C7">
        <f>'Diagnosis Indicators'!C8</f>
        <v>0.97797775130279707</v>
      </c>
      <c r="D7">
        <f>'Diagnosis Indicators'!D8</f>
        <v>0.95367081705717394</v>
      </c>
      <c r="E7">
        <f>'Diagnosis Indicators'!E8</f>
        <v>0.92685466044935627</v>
      </c>
      <c r="F7">
        <f>'Diagnosis Indicators'!F8</f>
        <v>0.89729713131859823</v>
      </c>
      <c r="G7">
        <f>'Diagnosis Indicators'!G8</f>
        <v>0.86477000112553792</v>
      </c>
      <c r="H7">
        <f>'Diagnosis Indicators'!H8</f>
        <v>0.82906483067568892</v>
      </c>
      <c r="I7">
        <f>'Diagnosis Indicators'!I8</f>
        <v>0.79002140947418187</v>
      </c>
      <c r="J7">
        <f>'Diagnosis Indicators'!J8</f>
        <v>0.74757285602083501</v>
      </c>
      <c r="K7">
        <f>'Diagnosis Indicators'!K8</f>
        <v>0.70182633430735131</v>
      </c>
      <c r="L7">
        <f>'Diagnosis Indicators'!L8</f>
        <v>0.65323943888860414</v>
      </c>
      <c r="M7">
        <f>'Diagnosis Indicators'!M8</f>
        <v>0.6031139642985327</v>
      </c>
    </row>
    <row r="8" spans="1:25" x14ac:dyDescent="0.2">
      <c r="A8" t="str">
        <f>'Diagnosis Indicators'!A9</f>
        <v>Neo-K2</v>
      </c>
      <c r="B8">
        <f>'Diagnosis Indicators'!B9</f>
        <v>1</v>
      </c>
      <c r="C8">
        <f>'Diagnosis Indicators'!C9</f>
        <v>0.98528087601056491</v>
      </c>
      <c r="D8">
        <f>'Diagnosis Indicators'!D9</f>
        <v>0.96911144828215767</v>
      </c>
      <c r="E8">
        <f>'Diagnosis Indicators'!E9</f>
        <v>0.95125740598659303</v>
      </c>
      <c r="F8">
        <f>'Diagnosis Indicators'!F9</f>
        <v>0.93144118296153389</v>
      </c>
      <c r="G8">
        <f>'Diagnosis Indicators'!G9</f>
        <v>0.90933399388265912</v>
      </c>
      <c r="H8">
        <f>'Diagnosis Indicators'!H9</f>
        <v>0.88455207259463964</v>
      </c>
      <c r="I8">
        <f>'Diagnosis Indicators'!I9</f>
        <v>0.85665656040674143</v>
      </c>
      <c r="J8">
        <f>'Diagnosis Indicators'!J9</f>
        <v>0.8251633096915113</v>
      </c>
      <c r="K8">
        <f>'Diagnosis Indicators'!K9</f>
        <v>0.78957077978563028</v>
      </c>
      <c r="L8">
        <f>'Diagnosis Indicators'!L9</f>
        <v>0.74941846510108467</v>
      </c>
      <c r="M8">
        <f>'Diagnosis Indicators'!M9</f>
        <v>0.70438978879135417</v>
      </c>
      <c r="N8">
        <f>'Diagnosis Indicators'!N9</f>
        <v>0.65446225487487919</v>
      </c>
      <c r="O8">
        <f>'Diagnosis Indicators'!O9</f>
        <v>0.60008036554093225</v>
      </c>
      <c r="P8">
        <f>'Diagnosis Indicators'!P9</f>
        <v>0.54224036017414967</v>
      </c>
      <c r="Q8">
        <f>'Diagnosis Indicators'!Q9</f>
        <v>0.48226517300841398</v>
      </c>
      <c r="R8">
        <f>'Diagnosis Indicators'!R9</f>
        <v>0.42103070736730963</v>
      </c>
    </row>
    <row r="9" spans="1:25" x14ac:dyDescent="0.2">
      <c r="A9" t="str">
        <f>'Diagnosis Indicators'!A10</f>
        <v>Neo-K1</v>
      </c>
      <c r="B9">
        <f>'Diagnosis Indicators'!B10</f>
        <v>1</v>
      </c>
      <c r="C9">
        <f>'Diagnosis Indicators'!C10</f>
        <v>0.9877844861370183</v>
      </c>
      <c r="D9">
        <f>'Diagnosis Indicators'!D10</f>
        <v>0.97450770538624287</v>
      </c>
      <c r="E9">
        <f>'Diagnosis Indicators'!E10</f>
        <v>0.9600089138938882</v>
      </c>
      <c r="F9">
        <f>'Diagnosis Indicators'!F10</f>
        <v>0.94409381019902416</v>
      </c>
      <c r="G9">
        <f>'Diagnosis Indicators'!G10</f>
        <v>0.92652515412369785</v>
      </c>
      <c r="H9">
        <f>'Diagnosis Indicators'!H10</f>
        <v>0.9070126679499696</v>
      </c>
      <c r="I9">
        <f>'Diagnosis Indicators'!I10</f>
        <v>0.88519623050701213</v>
      </c>
      <c r="J9">
        <f>'Diagnosis Indicators'!J10</f>
        <v>0.86062856575712154</v>
      </c>
      <c r="K9">
        <f>'Diagnosis Indicators'!K10</f>
        <v>0.83275035393317698</v>
      </c>
      <c r="L9">
        <f>'Diagnosis Indicators'!L10</f>
        <v>0.80086111940731142</v>
      </c>
      <c r="M9">
        <f>'Diagnosis Indicators'!M10</f>
        <v>0.76408614824755194</v>
      </c>
      <c r="N9">
        <f>'Diagnosis Indicators'!N10</f>
        <v>0.72134482293081048</v>
      </c>
      <c r="O9">
        <f>'Diagnosis Indicators'!O10</f>
        <v>0.6713310809570161</v>
      </c>
      <c r="P9">
        <f>'Diagnosis Indicators'!P10</f>
        <v>0.61252843737040452</v>
      </c>
      <c r="Q9">
        <f>'Diagnosis Indicators'!Q10</f>
        <v>0.54329048346463926</v>
      </c>
      <c r="R9">
        <f>'Diagnosis Indicators'!R10</f>
        <v>0.46201450926682025</v>
      </c>
      <c r="S9">
        <f>'Diagnosis Indicators'!S10</f>
        <v>0.36740215574185953</v>
      </c>
      <c r="T9">
        <f>'Diagnosis Indicators'!T10</f>
        <v>0.25873254408013985</v>
      </c>
      <c r="U9">
        <f>'Diagnosis Indicators'!U10</f>
        <v>0.13602454174767661</v>
      </c>
      <c r="V9">
        <f>'Diagnosis Indicators'!V10</f>
        <v>0.10985142635284577</v>
      </c>
      <c r="W9">
        <f>'Diagnosis Indicators'!W10</f>
        <v>8.315272900305834E-2</v>
      </c>
      <c r="X9">
        <f>'Diagnosis Indicators'!X10</f>
        <v>5.5937843083955469E-2</v>
      </c>
      <c r="Y9">
        <f>'Diagnosis Indicators'!Y10</f>
        <v>2.8216770068123811E-2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cp:lastPrinted>2025-06-12T14:47:45Z</cp:lastPrinted>
  <dcterms:created xsi:type="dcterms:W3CDTF">2012-11-16T13:59:17Z</dcterms:created>
  <dcterms:modified xsi:type="dcterms:W3CDTF">2025-07-03T15:29:03Z</dcterms:modified>
</cp:coreProperties>
</file>