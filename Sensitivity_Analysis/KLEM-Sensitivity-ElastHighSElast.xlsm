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69AEB558-B6AC-49A9-9125-B76A722E2CF2}"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 i="39" l="1"/>
  <c r="O7" i="39"/>
  <c r="P7" i="39"/>
  <c r="V9" i="39"/>
  <c r="W9" i="39"/>
  <c r="X9" i="39"/>
  <c r="AN83" i="35"/>
  <c r="Z83" i="35"/>
  <c r="AP82" i="35"/>
  <c r="AN81" i="35"/>
  <c r="AD81" i="35"/>
  <c r="AB81" i="35"/>
  <c r="Z81" i="35"/>
  <c r="T81" i="35"/>
  <c r="R81" i="35"/>
  <c r="H81" i="35"/>
  <c r="AT80" i="35"/>
  <c r="AR80" i="35"/>
  <c r="AP80" i="35"/>
  <c r="AJ80" i="35"/>
  <c r="AH80" i="35"/>
  <c r="X80" i="35"/>
  <c r="R80" i="35"/>
  <c r="N80" i="35"/>
  <c r="L80" i="35"/>
  <c r="J80" i="35"/>
  <c r="D80" i="35"/>
  <c r="B80" i="35"/>
  <c r="AV79" i="35" a="1"/>
  <c r="AV79" i="35" s="1"/>
  <c r="AT79" i="35" a="1"/>
  <c r="AT79" i="35" s="1"/>
  <c r="AR79" i="35"/>
  <c r="AR79" i="35" a="1"/>
  <c r="AP79" i="35" a="1"/>
  <c r="AP79" i="35" s="1"/>
  <c r="AN79" i="35" a="1"/>
  <c r="AN79" i="35" s="1"/>
  <c r="AL79" i="35" a="1"/>
  <c r="AL79" i="35" s="1"/>
  <c r="AJ79" i="35" a="1"/>
  <c r="AJ79" i="35" s="1"/>
  <c r="AH79" i="35" a="1"/>
  <c r="AH79" i="35" s="1"/>
  <c r="AF79" i="35" a="1"/>
  <c r="AF79" i="35" s="1"/>
  <c r="AD79" i="35" a="1"/>
  <c r="AD79" i="35" s="1"/>
  <c r="AB79" i="35"/>
  <c r="AB79" i="35" a="1"/>
  <c r="Z79" i="35" a="1"/>
  <c r="Z79" i="35" s="1"/>
  <c r="X79" i="35" a="1"/>
  <c r="X79" i="35" s="1"/>
  <c r="V79" i="35" a="1"/>
  <c r="V79" i="35" s="1"/>
  <c r="T79" i="35" a="1"/>
  <c r="T79" i="35" s="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a="1"/>
  <c r="AL78" i="35" s="1"/>
  <c r="AJ78" i="35" a="1"/>
  <c r="AJ78" i="35" s="1"/>
  <c r="AH78" i="35" a="1"/>
  <c r="AH78" i="35" s="1"/>
  <c r="AF78" i="35" a="1"/>
  <c r="AF78" i="35" s="1"/>
  <c r="AD78" i="35" a="1"/>
  <c r="AD78" i="35" s="1"/>
  <c r="AB78" i="35"/>
  <c r="AB78" i="35" a="1"/>
  <c r="Z78" i="35" a="1"/>
  <c r="Z78" i="35" s="1"/>
  <c r="X78" i="35" a="1"/>
  <c r="X78" i="35" s="1"/>
  <c r="V78" i="35" a="1"/>
  <c r="V78" i="35" s="1"/>
  <c r="T78" i="35" a="1"/>
  <c r="T78" i="35" s="1"/>
  <c r="R78" i="35" a="1"/>
  <c r="R78" i="35" s="1"/>
  <c r="P78" i="35" a="1"/>
  <c r="P78" i="35" s="1"/>
  <c r="N78" i="35" a="1"/>
  <c r="N78" i="35" s="1"/>
  <c r="L78" i="35"/>
  <c r="L78" i="35" a="1"/>
  <c r="J78" i="35" a="1"/>
  <c r="J78" i="35" s="1"/>
  <c r="H78" i="35" a="1"/>
  <c r="H78" i="35" s="1"/>
  <c r="F78" i="35" a="1"/>
  <c r="F78" i="35" s="1"/>
  <c r="D78" i="35" a="1"/>
  <c r="D78" i="35" s="1"/>
  <c r="B78" i="35" a="1"/>
  <c r="B78" i="35" s="1"/>
  <c r="AV77" i="35" a="1"/>
  <c r="AV77" i="35" s="1"/>
  <c r="AT77" i="35" a="1"/>
  <c r="AT77" i="35" s="1"/>
  <c r="AR77" i="35"/>
  <c r="AR77" i="35" a="1"/>
  <c r="AP77" i="35" a="1"/>
  <c r="AP77" i="35" s="1"/>
  <c r="AN77" i="35" a="1"/>
  <c r="AN77" i="35" s="1"/>
  <c r="AL77" i="35" a="1"/>
  <c r="AL77" i="35" s="1"/>
  <c r="AJ77" i="35" a="1"/>
  <c r="AJ77" i="35" s="1"/>
  <c r="AH77" i="35" a="1"/>
  <c r="AH77" i="35" s="1"/>
  <c r="AF77" i="35" a="1"/>
  <c r="AF77" i="35" s="1"/>
  <c r="AD77" i="35" a="1"/>
  <c r="AD77" i="35" s="1"/>
  <c r="AB77" i="35"/>
  <c r="AB77" i="35" a="1"/>
  <c r="Z77" i="35" a="1"/>
  <c r="Z77" i="35" s="1"/>
  <c r="X77" i="35" a="1"/>
  <c r="X77" i="35" s="1"/>
  <c r="V77" i="35" a="1"/>
  <c r="V77" i="35" s="1"/>
  <c r="T77" i="35" a="1"/>
  <c r="T77" i="35" s="1"/>
  <c r="R77" i="35" a="1"/>
  <c r="R77" i="35" s="1"/>
  <c r="P77" i="35" a="1"/>
  <c r="P77" i="35" s="1"/>
  <c r="N77" i="35" a="1"/>
  <c r="N77" i="35" s="1"/>
  <c r="L77" i="35"/>
  <c r="L77" i="35" a="1"/>
  <c r="J77" i="35" a="1"/>
  <c r="J77" i="35" s="1"/>
  <c r="H77" i="35" a="1"/>
  <c r="H77" i="35" s="1"/>
  <c r="F77" i="35" a="1"/>
  <c r="F77" i="35" s="1"/>
  <c r="D77" i="35" a="1"/>
  <c r="D77" i="35" s="1"/>
  <c r="B77" i="35" a="1"/>
  <c r="B77" i="35" s="1"/>
  <c r="AV76" i="35" a="1"/>
  <c r="AV76" i="35" s="1"/>
  <c r="AT76" i="35" a="1"/>
  <c r="AT76" i="35" s="1"/>
  <c r="AR76" i="35"/>
  <c r="AR76" i="35" a="1"/>
  <c r="AP76" i="35" a="1"/>
  <c r="AP76" i="35" s="1"/>
  <c r="AN76" i="35" a="1"/>
  <c r="AN76" i="35" s="1"/>
  <c r="AL76" i="35" a="1"/>
  <c r="AL76" i="35" s="1"/>
  <c r="AJ76" i="35" a="1"/>
  <c r="AJ76" i="35" s="1"/>
  <c r="AH76" i="35" a="1"/>
  <c r="AH76" i="35" s="1"/>
  <c r="AF76" i="35" a="1"/>
  <c r="AF76" i="35" s="1"/>
  <c r="AD76" i="35" a="1"/>
  <c r="AD76" i="35" s="1"/>
  <c r="AB76" i="35"/>
  <c r="AB76" i="35" a="1"/>
  <c r="Z76" i="35" a="1"/>
  <c r="Z76" i="35" s="1"/>
  <c r="X76" i="35" a="1"/>
  <c r="X76" i="35" s="1"/>
  <c r="V76" i="35" a="1"/>
  <c r="V76" i="35" s="1"/>
  <c r="T76" i="35" a="1"/>
  <c r="T76" i="35" s="1"/>
  <c r="R76" i="35" a="1"/>
  <c r="R76" i="35" s="1"/>
  <c r="P76" i="35" a="1"/>
  <c r="P76" i="35" s="1"/>
  <c r="N76" i="35" a="1"/>
  <c r="N76" i="35" s="1"/>
  <c r="L76" i="35"/>
  <c r="L76" i="35" a="1"/>
  <c r="J76" i="35" a="1"/>
  <c r="J76" i="35" s="1"/>
  <c r="H76" i="35" a="1"/>
  <c r="H76" i="35" s="1"/>
  <c r="F76" i="35" a="1"/>
  <c r="F76" i="35" s="1"/>
  <c r="D76" i="35" a="1"/>
  <c r="D76" i="35" s="1"/>
  <c r="B76" i="35" a="1"/>
  <c r="B76" i="35" s="1"/>
  <c r="AV75" i="35" a="1"/>
  <c r="AV75" i="35" s="1"/>
  <c r="AT75" i="35" a="1"/>
  <c r="AT75" i="35" s="1"/>
  <c r="AR75" i="35"/>
  <c r="AR75" i="35" a="1"/>
  <c r="AP75" i="35" a="1"/>
  <c r="AP75" i="35" s="1"/>
  <c r="AN75" i="35" a="1"/>
  <c r="AN75" i="35" s="1"/>
  <c r="AL75" i="35" a="1"/>
  <c r="AL75" i="35" s="1"/>
  <c r="AJ75" i="35" a="1"/>
  <c r="AJ75" i="35" s="1"/>
  <c r="AH75" i="35" a="1"/>
  <c r="AH75" i="35" s="1"/>
  <c r="AF75" i="35" a="1"/>
  <c r="AF75" i="35" s="1"/>
  <c r="AD75" i="35" a="1"/>
  <c r="AD75" i="35" s="1"/>
  <c r="AB75" i="35"/>
  <c r="AB75" i="35" a="1"/>
  <c r="Z75" i="35" a="1"/>
  <c r="Z75" i="35" s="1"/>
  <c r="X75" i="35" a="1"/>
  <c r="X75" i="35" s="1"/>
  <c r="V75" i="35" a="1"/>
  <c r="V75" i="35" s="1"/>
  <c r="T75" i="35" a="1"/>
  <c r="T75" i="35" s="1"/>
  <c r="R75" i="35" a="1"/>
  <c r="R75" i="35" s="1"/>
  <c r="P75" i="35" a="1"/>
  <c r="P75" i="35" s="1"/>
  <c r="N75" i="35" a="1"/>
  <c r="N75" i="35" s="1"/>
  <c r="L75" i="35"/>
  <c r="L75" i="35" a="1"/>
  <c r="J75" i="35" a="1"/>
  <c r="J75" i="35" s="1"/>
  <c r="H75" i="35" a="1"/>
  <c r="H75" i="35" s="1"/>
  <c r="F75" i="35" a="1"/>
  <c r="F75" i="35" s="1"/>
  <c r="D75" i="35" a="1"/>
  <c r="D75" i="35" s="1"/>
  <c r="B75" i="35" a="1"/>
  <c r="B75" i="35" s="1"/>
  <c r="AV74" i="35" a="1"/>
  <c r="AV74" i="35" s="1"/>
  <c r="AT74" i="35" a="1"/>
  <c r="AT74" i="35" s="1"/>
  <c r="AR74" i="35"/>
  <c r="AR74" i="35" a="1"/>
  <c r="AP74" i="35" a="1"/>
  <c r="AP74" i="35" s="1"/>
  <c r="AN74" i="35" a="1"/>
  <c r="AN74" i="35" s="1"/>
  <c r="AL74" i="35" a="1"/>
  <c r="AL74" i="35" s="1"/>
  <c r="AJ74" i="35" a="1"/>
  <c r="AJ74" i="35" s="1"/>
  <c r="AH74" i="35" a="1"/>
  <c r="AH74" i="35" s="1"/>
  <c r="AF74" i="35" a="1"/>
  <c r="AF74" i="35" s="1"/>
  <c r="AD74" i="35" a="1"/>
  <c r="AD74" i="35" s="1"/>
  <c r="AB74" i="35"/>
  <c r="AB74" i="35" a="1"/>
  <c r="Z74" i="35" a="1"/>
  <c r="Z74" i="35" s="1"/>
  <c r="X74" i="35" a="1"/>
  <c r="X74" i="35" s="1"/>
  <c r="V74" i="35" a="1"/>
  <c r="V74" i="35" s="1"/>
  <c r="T74" i="35" a="1"/>
  <c r="T74" i="35" s="1"/>
  <c r="R74" i="35" a="1"/>
  <c r="R74" i="35" s="1"/>
  <c r="P74" i="35" a="1"/>
  <c r="P74" i="35" s="1"/>
  <c r="N74" i="35" a="1"/>
  <c r="N74" i="35" s="1"/>
  <c r="L74" i="35"/>
  <c r="L74" i="35" a="1"/>
  <c r="J74" i="35" a="1"/>
  <c r="J74" i="35" s="1"/>
  <c r="H74" i="35" a="1"/>
  <c r="H74" i="35" s="1"/>
  <c r="F74" i="35" a="1"/>
  <c r="F74" i="35" s="1"/>
  <c r="D74" i="35" a="1"/>
  <c r="D74" i="35" s="1"/>
  <c r="B74" i="35" a="1"/>
  <c r="B74" i="35" s="1"/>
  <c r="AV73" i="35" a="1"/>
  <c r="AV73" i="35" s="1"/>
  <c r="AT73" i="35" a="1"/>
  <c r="AT73" i="35" s="1"/>
  <c r="AR73" i="35"/>
  <c r="AR73" i="35" a="1"/>
  <c r="AP73" i="35" a="1"/>
  <c r="AP73" i="35" s="1"/>
  <c r="AN73" i="35" a="1"/>
  <c r="AN73" i="35" s="1"/>
  <c r="AL73" i="35" a="1"/>
  <c r="AL73" i="35" s="1"/>
  <c r="AJ73" i="35" a="1"/>
  <c r="AJ73" i="35" s="1"/>
  <c r="AH73" i="35" a="1"/>
  <c r="AH73" i="35" s="1"/>
  <c r="AF73" i="35" a="1"/>
  <c r="AF73" i="35" s="1"/>
  <c r="AD73" i="35" a="1"/>
  <c r="AD73" i="35" s="1"/>
  <c r="AB73" i="35"/>
  <c r="AB73" i="35" a="1"/>
  <c r="Z73" i="35" a="1"/>
  <c r="Z73" i="35" s="1"/>
  <c r="X73" i="35" a="1"/>
  <c r="X73" i="35" s="1"/>
  <c r="V73" i="35" a="1"/>
  <c r="V73" i="35" s="1"/>
  <c r="T73" i="35" a="1"/>
  <c r="T73" i="35" s="1"/>
  <c r="R73" i="35" a="1"/>
  <c r="R73" i="35" s="1"/>
  <c r="P73" i="35" a="1"/>
  <c r="P73" i="35" s="1"/>
  <c r="N73" i="35" a="1"/>
  <c r="N73" i="35" s="1"/>
  <c r="L73" i="35"/>
  <c r="L73" i="35" a="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J69" i="35"/>
  <c r="D69" i="35"/>
  <c r="B69" i="35"/>
  <c r="T68" i="35"/>
  <c r="AV67" i="35" a="1"/>
  <c r="AV67" i="35" s="1"/>
  <c r="AT67" i="35" a="1"/>
  <c r="AT67" i="35" s="1"/>
  <c r="AR67" i="35" a="1"/>
  <c r="AR67" i="35" s="1"/>
  <c r="AP67" i="35" a="1"/>
  <c r="AP67" i="35" s="1"/>
  <c r="AN67" i="35" a="1"/>
  <c r="AN67" i="35" s="1"/>
  <c r="AL67" i="35" a="1"/>
  <c r="AL67" i="35" s="1"/>
  <c r="AJ67" i="35"/>
  <c r="AJ67" i="35" a="1"/>
  <c r="AH67" i="35" a="1"/>
  <c r="AH67" i="35" s="1"/>
  <c r="AF67" i="35" a="1"/>
  <c r="AF67" i="35" s="1"/>
  <c r="AD67" i="35" a="1"/>
  <c r="AD67" i="35" s="1"/>
  <c r="AB67" i="35" a="1"/>
  <c r="AB67" i="35" s="1"/>
  <c r="Z67" i="35" a="1"/>
  <c r="Z67" i="35" s="1"/>
  <c r="X67" i="35" a="1"/>
  <c r="X67" i="35" s="1"/>
  <c r="V67" i="35" a="1"/>
  <c r="V67" i="35" s="1"/>
  <c r="T67" i="35"/>
  <c r="T67" i="35" a="1"/>
  <c r="R67" i="35" a="1"/>
  <c r="R67" i="35" s="1"/>
  <c r="P67" i="35" a="1"/>
  <c r="P67" i="35" s="1"/>
  <c r="N67" i="35" a="1"/>
  <c r="N67" i="35" s="1"/>
  <c r="L67" i="35" a="1"/>
  <c r="L67" i="35" s="1"/>
  <c r="J67" i="35" a="1"/>
  <c r="J67" i="35" s="1"/>
  <c r="H67" i="35" a="1"/>
  <c r="H67" i="35" s="1"/>
  <c r="F67" i="35" a="1"/>
  <c r="F67" i="35" s="1"/>
  <c r="D67" i="35"/>
  <c r="D67" i="35" a="1"/>
  <c r="B67" i="35" a="1"/>
  <c r="B67" i="35" s="1"/>
  <c r="AV66" i="35" a="1"/>
  <c r="AV66" i="35" s="1"/>
  <c r="AV68" i="35" s="1"/>
  <c r="AT66" i="35" a="1"/>
  <c r="AT66" i="35" s="1"/>
  <c r="AT68" i="35" s="1"/>
  <c r="AR66" i="35" a="1"/>
  <c r="AR66" i="35" s="1"/>
  <c r="AR68" i="35" s="1"/>
  <c r="AP66" i="35" a="1"/>
  <c r="AP66" i="35" s="1"/>
  <c r="AP68" i="35" s="1"/>
  <c r="AN66" i="35" a="1"/>
  <c r="AN66" i="35" s="1"/>
  <c r="AN68" i="35" s="1"/>
  <c r="AL66" i="35" a="1"/>
  <c r="AL66" i="35" s="1"/>
  <c r="AL68" i="35" s="1"/>
  <c r="AJ66" i="35"/>
  <c r="AJ68" i="35" s="1"/>
  <c r="AJ66" i="35" a="1"/>
  <c r="AH66" i="35" a="1"/>
  <c r="AH66" i="35" s="1"/>
  <c r="AF66" i="35" a="1"/>
  <c r="AF66" i="35" s="1"/>
  <c r="AD66" i="35" a="1"/>
  <c r="AD66" i="35" s="1"/>
  <c r="AB66" i="35" a="1"/>
  <c r="AB66" i="35" s="1"/>
  <c r="Z66" i="35" a="1"/>
  <c r="Z66" i="35" s="1"/>
  <c r="X66" i="35" a="1"/>
  <c r="X66" i="35" s="1"/>
  <c r="X68" i="35" s="1"/>
  <c r="V66" i="35" a="1"/>
  <c r="V66" i="35" s="1"/>
  <c r="V68" i="35" s="1"/>
  <c r="T66" i="35"/>
  <c r="T66" i="35" a="1"/>
  <c r="R66" i="35" a="1"/>
  <c r="R66" i="35" s="1"/>
  <c r="R68" i="35" s="1"/>
  <c r="P66" i="35" a="1"/>
  <c r="P66" i="35" s="1"/>
  <c r="P68" i="35" s="1"/>
  <c r="N66" i="35" a="1"/>
  <c r="N66" i="35" s="1"/>
  <c r="N68" i="35" s="1"/>
  <c r="L66" i="35" a="1"/>
  <c r="L66" i="35" s="1"/>
  <c r="L68" i="35" s="1"/>
  <c r="J66" i="35" a="1"/>
  <c r="J66" i="35" s="1"/>
  <c r="J68" i="35" s="1"/>
  <c r="H66" i="35" a="1"/>
  <c r="H66" i="35" s="1"/>
  <c r="F66" i="35" a="1"/>
  <c r="F66" i="35" s="1"/>
  <c r="F68" i="35" s="1"/>
  <c r="D66" i="35"/>
  <c r="D68" i="35" s="1"/>
  <c r="D66" i="35" a="1"/>
  <c r="B66" i="35" a="1"/>
  <c r="B66" i="35" s="1"/>
  <c r="AV65" i="35" a="1"/>
  <c r="AV65" i="35" s="1"/>
  <c r="AV69" i="35" s="1"/>
  <c r="AT65" i="35" a="1"/>
  <c r="AT65" i="35" s="1"/>
  <c r="AT69" i="35" s="1"/>
  <c r="AR65" i="35" a="1"/>
  <c r="AR65" i="35" s="1"/>
  <c r="AR69" i="35" s="1"/>
  <c r="AP65" i="35" a="1"/>
  <c r="AP65" i="35" s="1"/>
  <c r="AP69" i="35" s="1"/>
  <c r="AN65" i="35" a="1"/>
  <c r="AN65" i="35" s="1"/>
  <c r="AN69" i="35" s="1"/>
  <c r="AL65" i="35" a="1"/>
  <c r="AL65" i="35" s="1"/>
  <c r="AL69" i="35" s="1"/>
  <c r="AJ65" i="35"/>
  <c r="AJ65" i="35" a="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c r="T69" i="35" s="1"/>
  <c r="T65" i="35" a="1"/>
  <c r="R65" i="35" a="1"/>
  <c r="R65" i="35" s="1"/>
  <c r="R69" i="35" s="1"/>
  <c r="P65" i="35" a="1"/>
  <c r="P65" i="35" s="1"/>
  <c r="P69" i="35" s="1"/>
  <c r="N65" i="35" a="1"/>
  <c r="N65" i="35" s="1"/>
  <c r="N69" i="35" s="1"/>
  <c r="L65" i="35" a="1"/>
  <c r="L65" i="35" s="1"/>
  <c r="L69" i="35" s="1"/>
  <c r="J65" i="35" a="1"/>
  <c r="J65" i="35" s="1"/>
  <c r="J69" i="35" s="1"/>
  <c r="H65" i="35" a="1"/>
  <c r="H65" i="35" s="1"/>
  <c r="H69" i="35" s="1"/>
  <c r="F65" i="35" a="1"/>
  <c r="F65" i="35" s="1"/>
  <c r="F69" i="35" s="1"/>
  <c r="D65" i="35"/>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c r="AN58" i="35" a="1"/>
  <c r="AL58" i="35" a="1"/>
  <c r="AL58" i="35" s="1"/>
  <c r="AJ58" i="35"/>
  <c r="AJ58" i="35" a="1"/>
  <c r="AH58" i="35" a="1"/>
  <c r="AH58" i="35" s="1"/>
  <c r="AF58" i="35"/>
  <c r="AF58" i="35" a="1"/>
  <c r="AD58" i="35"/>
  <c r="AD58" i="35" a="1"/>
  <c r="AB58" i="35" a="1"/>
  <c r="AB58" i="35" s="1"/>
  <c r="Z58" i="35"/>
  <c r="Z58" i="35" a="1"/>
  <c r="X58" i="35"/>
  <c r="X58" i="35" a="1"/>
  <c r="V58" i="35" a="1"/>
  <c r="V58" i="35" s="1"/>
  <c r="T58" i="35"/>
  <c r="T58" i="35" a="1"/>
  <c r="R58" i="35" a="1"/>
  <c r="R58" i="35" s="1"/>
  <c r="P58" i="35"/>
  <c r="P58" i="35" a="1"/>
  <c r="N58" i="35"/>
  <c r="N58" i="35" a="1"/>
  <c r="L58" i="35" a="1"/>
  <c r="L58" i="35" s="1"/>
  <c r="J58" i="35"/>
  <c r="J58" i="35" a="1"/>
  <c r="H58" i="35"/>
  <c r="H58" i="35" a="1"/>
  <c r="F58" i="35" a="1"/>
  <c r="F58" i="35" s="1"/>
  <c r="D58" i="35"/>
  <c r="D58" i="35" a="1"/>
  <c r="B58" i="35" a="1"/>
  <c r="B58" i="35" s="1"/>
  <c r="AV57" i="35"/>
  <c r="AV57" i="35" a="1"/>
  <c r="AT57" i="35"/>
  <c r="AT57" i="35" a="1"/>
  <c r="AR57" i="35" a="1"/>
  <c r="AR57" i="35" s="1"/>
  <c r="AP57" i="35"/>
  <c r="AP57" i="35" a="1"/>
  <c r="AN57" i="35"/>
  <c r="AN57" i="35" a="1"/>
  <c r="AL57" i="35" a="1"/>
  <c r="AL57" i="35" s="1"/>
  <c r="AJ57" i="35"/>
  <c r="AJ57" i="35" a="1"/>
  <c r="AH57" i="35" a="1"/>
  <c r="AH57" i="35" s="1"/>
  <c r="AF57" i="35"/>
  <c r="AF57" i="35" a="1"/>
  <c r="AD57" i="35"/>
  <c r="AD57" i="35" a="1"/>
  <c r="AB57" i="35" a="1"/>
  <c r="AB57" i="35" s="1"/>
  <c r="Z57" i="35"/>
  <c r="Z57" i="35" a="1"/>
  <c r="X57" i="35"/>
  <c r="X57" i="35" a="1"/>
  <c r="V57" i="35" a="1"/>
  <c r="V57" i="35" s="1"/>
  <c r="T57" i="35"/>
  <c r="T57" i="35" a="1"/>
  <c r="R57" i="35" a="1"/>
  <c r="R57" i="35" s="1"/>
  <c r="P57" i="35"/>
  <c r="P57" i="35" a="1"/>
  <c r="N57" i="35" a="1"/>
  <c r="N57" i="35" s="1"/>
  <c r="L57" i="35" a="1"/>
  <c r="L57" i="35" s="1"/>
  <c r="J57" i="35"/>
  <c r="J57" i="35" a="1"/>
  <c r="H57" i="35"/>
  <c r="H57" i="35" a="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V80" i="35" s="1"/>
  <c r="AT55" i="35"/>
  <c r="AR55" i="35"/>
  <c r="AP55" i="35"/>
  <c r="AN55" i="35"/>
  <c r="AN80" i="35" s="1"/>
  <c r="AL55" i="35"/>
  <c r="AL80" i="35" s="1"/>
  <c r="AJ55" i="35"/>
  <c r="AH55" i="35"/>
  <c r="AF55" i="35"/>
  <c r="AF80" i="35" s="1"/>
  <c r="AD55" i="35"/>
  <c r="AD80" i="35" s="1"/>
  <c r="AB55" i="35"/>
  <c r="AB80" i="35" s="1"/>
  <c r="Z55" i="35"/>
  <c r="Z80" i="35" s="1"/>
  <c r="X55" i="35"/>
  <c r="V55" i="35"/>
  <c r="V80" i="35" s="1"/>
  <c r="T55" i="35"/>
  <c r="T80" i="35" s="1"/>
  <c r="R55" i="35"/>
  <c r="P55" i="35"/>
  <c r="P80" i="35" s="1"/>
  <c r="N55" i="35"/>
  <c r="L55" i="35"/>
  <c r="J55" i="35"/>
  <c r="H55" i="35"/>
  <c r="H80" i="35" s="1"/>
  <c r="F55" i="35"/>
  <c r="F80" i="35" s="1"/>
  <c r="D55" i="35"/>
  <c r="B55" i="35"/>
  <c r="AV53" i="35"/>
  <c r="AV83" i="35" s="1"/>
  <c r="AV53" i="35" a="1"/>
  <c r="AT53" i="35" a="1"/>
  <c r="AT53" i="35" s="1"/>
  <c r="AT83" i="35" s="1"/>
  <c r="AR53" i="35" a="1"/>
  <c r="AR53" i="35" s="1"/>
  <c r="AR83" i="35" s="1"/>
  <c r="AP53" i="35"/>
  <c r="AP83" i="35" s="1"/>
  <c r="AP53" i="35" a="1"/>
  <c r="AN53" i="35"/>
  <c r="AN53" i="35" a="1"/>
  <c r="AL53" i="35" a="1"/>
  <c r="AL53" i="35" s="1"/>
  <c r="AL83" i="35" s="1"/>
  <c r="AJ53" i="35"/>
  <c r="AJ83" i="35" s="1"/>
  <c r="AJ53" i="35" a="1"/>
  <c r="AH53" i="35" a="1"/>
  <c r="AH53" i="35" s="1"/>
  <c r="AH83" i="35" s="1"/>
  <c r="AF53" i="35"/>
  <c r="AF83" i="35" s="1"/>
  <c r="AF53" i="35" a="1"/>
  <c r="AD53" i="35" a="1"/>
  <c r="AD53" i="35" s="1"/>
  <c r="AD83" i="35" s="1"/>
  <c r="AB53" i="35" a="1"/>
  <c r="AB53" i="35" s="1"/>
  <c r="AB83" i="35" s="1"/>
  <c r="Z53" i="35"/>
  <c r="Z53" i="35" a="1"/>
  <c r="X53" i="35"/>
  <c r="X83" i="35" s="1"/>
  <c r="X53" i="35" a="1"/>
  <c r="V53" i="35" a="1"/>
  <c r="V53" i="35" s="1"/>
  <c r="V83" i="35" s="1"/>
  <c r="T53" i="35"/>
  <c r="T83" i="35" s="1"/>
  <c r="T53" i="35" a="1"/>
  <c r="R53" i="35" a="1"/>
  <c r="R53" i="35" s="1"/>
  <c r="R83" i="35" s="1"/>
  <c r="P53" i="35"/>
  <c r="P83" i="35" s="1"/>
  <c r="P53" i="35" a="1"/>
  <c r="N53" i="35" a="1"/>
  <c r="N53" i="35" s="1"/>
  <c r="N83" i="35" s="1"/>
  <c r="L53" i="35" a="1"/>
  <c r="L53" i="35" s="1"/>
  <c r="L83" i="35" s="1"/>
  <c r="J53" i="35"/>
  <c r="J83" i="35" s="1"/>
  <c r="J53" i="35" a="1"/>
  <c r="H53" i="35" a="1"/>
  <c r="H53" i="35" s="1"/>
  <c r="H83" i="35" s="1"/>
  <c r="F53" i="35" a="1"/>
  <c r="F53" i="35" s="1"/>
  <c r="F83" i="35" s="1"/>
  <c r="D53" i="35"/>
  <c r="D83" i="35" s="1"/>
  <c r="D53" i="35" a="1"/>
  <c r="B53" i="35" a="1"/>
  <c r="B53" i="35" s="1"/>
  <c r="B83" i="35" s="1"/>
  <c r="AV52" i="35"/>
  <c r="AV82" i="35" s="1"/>
  <c r="AV52" i="35" a="1"/>
  <c r="AT52" i="35" a="1"/>
  <c r="AT52" i="35" s="1"/>
  <c r="AT82" i="35" s="1"/>
  <c r="AR52" i="35" a="1"/>
  <c r="AR52" i="35" s="1"/>
  <c r="AR82" i="35" s="1"/>
  <c r="AP52" i="35"/>
  <c r="AP52" i="35" a="1"/>
  <c r="AN52" i="35" a="1"/>
  <c r="AN52" i="35" s="1"/>
  <c r="AN82" i="35" s="1"/>
  <c r="AL52" i="35" a="1"/>
  <c r="AL52" i="35" s="1"/>
  <c r="AL82" i="35" s="1"/>
  <c r="AJ52" i="35"/>
  <c r="AJ82" i="35" s="1"/>
  <c r="AJ52" i="35" a="1"/>
  <c r="AH52" i="35" a="1"/>
  <c r="AH52" i="35" s="1"/>
  <c r="AH82" i="35" s="1"/>
  <c r="AF52" i="35"/>
  <c r="AF82" i="35" s="1"/>
  <c r="AF52" i="35" a="1"/>
  <c r="AD52" i="35" a="1"/>
  <c r="AD52" i="35" s="1"/>
  <c r="AD82" i="35" s="1"/>
  <c r="AB52" i="35" a="1"/>
  <c r="AB52" i="35" s="1"/>
  <c r="AB82" i="35" s="1"/>
  <c r="Z52" i="35" a="1"/>
  <c r="Z52" i="35" s="1"/>
  <c r="Z82" i="35" s="1"/>
  <c r="X52" i="35" a="1"/>
  <c r="X52" i="35" s="1"/>
  <c r="X82" i="35" s="1"/>
  <c r="V52" i="35" a="1"/>
  <c r="V52" i="35" s="1"/>
  <c r="V82" i="35" s="1"/>
  <c r="T52" i="35"/>
  <c r="T82" i="35" s="1"/>
  <c r="T52" i="35" a="1"/>
  <c r="R52" i="35" a="1"/>
  <c r="R52" i="35" s="1"/>
  <c r="R82" i="35" s="1"/>
  <c r="P52" i="35" a="1"/>
  <c r="P52" i="35" s="1"/>
  <c r="P82" i="35" s="1"/>
  <c r="N52" i="35" a="1"/>
  <c r="N52" i="35" s="1"/>
  <c r="N82" i="35" s="1"/>
  <c r="L52" i="35" a="1"/>
  <c r="L52" i="35" s="1"/>
  <c r="L82" i="35" s="1"/>
  <c r="J52" i="35" a="1"/>
  <c r="J52" i="35" s="1"/>
  <c r="J82" i="35" s="1"/>
  <c r="H52" i="35" a="1"/>
  <c r="H52" i="35" s="1"/>
  <c r="H82" i="35" s="1"/>
  <c r="F52" i="35" a="1"/>
  <c r="F52" i="35" s="1"/>
  <c r="F82" i="35" s="1"/>
  <c r="D52" i="35"/>
  <c r="D82" i="35" s="1"/>
  <c r="D52" i="35" a="1"/>
  <c r="B52" i="35" a="1"/>
  <c r="B52" i="35" s="1"/>
  <c r="B82" i="35" s="1"/>
  <c r="AV51" i="35"/>
  <c r="AV81" i="35" s="1"/>
  <c r="AT51" i="35"/>
  <c r="AT81" i="35" s="1"/>
  <c r="AR51" i="35"/>
  <c r="AR81" i="35" s="1"/>
  <c r="AP51" i="35"/>
  <c r="AP81" i="35" s="1"/>
  <c r="AN51" i="35"/>
  <c r="AL51" i="35"/>
  <c r="AL81" i="35" s="1"/>
  <c r="AJ51" i="35"/>
  <c r="AJ81" i="35" s="1"/>
  <c r="AH51" i="35"/>
  <c r="AH81" i="35" s="1"/>
  <c r="AF51" i="35"/>
  <c r="AF81" i="35" s="1"/>
  <c r="AD51" i="35"/>
  <c r="AB51" i="35"/>
  <c r="Z51" i="35"/>
  <c r="X51" i="35"/>
  <c r="X81" i="35" s="1"/>
  <c r="V51" i="35"/>
  <c r="V81" i="35" s="1"/>
  <c r="T51" i="35"/>
  <c r="R51" i="35"/>
  <c r="P51" i="35"/>
  <c r="P81" i="35" s="1"/>
  <c r="N51" i="35"/>
  <c r="N81" i="35" s="1"/>
  <c r="L51" i="35"/>
  <c r="L81" i="35" s="1"/>
  <c r="J51" i="35"/>
  <c r="J81" i="35" s="1"/>
  <c r="H51" i="35"/>
  <c r="F51" i="35"/>
  <c r="F81" i="35" s="1"/>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a="1"/>
  <c r="AV43" i="35" s="1"/>
  <c r="AT43" i="35" a="1"/>
  <c r="AT43" i="35" s="1"/>
  <c r="AR43" i="35" a="1"/>
  <c r="AR43" i="35" s="1"/>
  <c r="AP43" i="35" a="1"/>
  <c r="AP43" i="35" s="1"/>
  <c r="AN43" i="35" a="1"/>
  <c r="AN43" i="35" s="1"/>
  <c r="AL43" i="35" a="1"/>
  <c r="AL43" i="35" s="1"/>
  <c r="AJ43" i="35"/>
  <c r="AJ43" i="35" a="1"/>
  <c r="AH43" i="35" a="1"/>
  <c r="AH43" i="35" s="1"/>
  <c r="AF43" i="35" a="1"/>
  <c r="AF43" i="35" s="1"/>
  <c r="AD43" i="35" a="1"/>
  <c r="AD43" i="35" s="1"/>
  <c r="AB43" i="35" a="1"/>
  <c r="AB43" i="35" s="1"/>
  <c r="Z43" i="35" a="1"/>
  <c r="Z43" i="35" s="1"/>
  <c r="X43" i="35" a="1"/>
  <c r="X43" i="35" s="1"/>
  <c r="V43" i="35" a="1"/>
  <c r="V43" i="35" s="1"/>
  <c r="T43" i="35"/>
  <c r="T43" i="35" a="1"/>
  <c r="R43" i="35" a="1"/>
  <c r="R43" i="35" s="1"/>
  <c r="P43" i="35" a="1"/>
  <c r="P43" i="35" s="1"/>
  <c r="N43" i="35" a="1"/>
  <c r="N43" i="35" s="1"/>
  <c r="L43" i="35" a="1"/>
  <c r="L43" i="35" s="1"/>
  <c r="J43" i="35" a="1"/>
  <c r="J43" i="35" s="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J81" i="38"/>
  <c r="AH81" i="38"/>
  <c r="AF81" i="38"/>
  <c r="AB81" i="38"/>
  <c r="Z81" i="38"/>
  <c r="V81" i="38"/>
  <c r="T81" i="38"/>
  <c r="R81" i="38"/>
  <c r="D81" i="38"/>
  <c r="B81" i="38"/>
  <c r="AV80" i="38"/>
  <c r="AR80" i="38"/>
  <c r="AP80" i="38"/>
  <c r="AL80" i="38"/>
  <c r="AJ80" i="38"/>
  <c r="AH80" i="38"/>
  <c r="T80" i="38"/>
  <c r="R80" i="38"/>
  <c r="P80" i="38"/>
  <c r="L80" i="38"/>
  <c r="J80" i="38"/>
  <c r="F80" i="38"/>
  <c r="D80" i="38"/>
  <c r="B80" i="38"/>
  <c r="AV79" i="38" a="1"/>
  <c r="AV79" i="38" s="1"/>
  <c r="AT79" i="38" a="1"/>
  <c r="AT79" i="38" s="1"/>
  <c r="AR79" i="38" a="1"/>
  <c r="AR79" i="38" s="1"/>
  <c r="AP79" i="38" a="1"/>
  <c r="AP79" i="38" s="1"/>
  <c r="AN79" i="38"/>
  <c r="AN79" i="38" a="1"/>
  <c r="AL79" i="38" a="1"/>
  <c r="AL79" i="38" s="1"/>
  <c r="AJ79" i="38" a="1"/>
  <c r="AJ79" i="38" s="1"/>
  <c r="AH79" i="38" a="1"/>
  <c r="AH79" i="38" s="1"/>
  <c r="AF79" i="38" a="1"/>
  <c r="AF79" i="38" s="1"/>
  <c r="AD79" i="38" a="1"/>
  <c r="AD79" i="38" s="1"/>
  <c r="AB79" i="38" a="1"/>
  <c r="AB79" i="38" s="1"/>
  <c r="Z79" i="38" a="1"/>
  <c r="Z79" i="38" s="1"/>
  <c r="X79" i="38"/>
  <c r="X79" i="38" a="1"/>
  <c r="V79" i="38" a="1"/>
  <c r="V79" i="38" s="1"/>
  <c r="T79" i="38" a="1"/>
  <c r="T79" i="38" s="1"/>
  <c r="R79" i="38" a="1"/>
  <c r="R79" i="38" s="1"/>
  <c r="P79" i="38" a="1"/>
  <c r="P79" i="38" s="1"/>
  <c r="N79" i="38" a="1"/>
  <c r="N79" i="38" s="1"/>
  <c r="L79" i="38" a="1"/>
  <c r="L79" i="38" s="1"/>
  <c r="J79" i="38" a="1"/>
  <c r="J79" i="38" s="1"/>
  <c r="H79" i="38"/>
  <c r="H79" i="38" a="1"/>
  <c r="F79" i="38" a="1"/>
  <c r="F79" i="38" s="1"/>
  <c r="D79" i="38" a="1"/>
  <c r="D79" i="38" s="1"/>
  <c r="B79" i="38" a="1"/>
  <c r="B79" i="38" s="1"/>
  <c r="AV78" i="38" a="1"/>
  <c r="AV78" i="38" s="1"/>
  <c r="AT78" i="38" a="1"/>
  <c r="AT78" i="38" s="1"/>
  <c r="AR78" i="38" a="1"/>
  <c r="AR78" i="38" s="1"/>
  <c r="AP78" i="38" a="1"/>
  <c r="AP78" i="38" s="1"/>
  <c r="AN78" i="38"/>
  <c r="AN78" i="38" a="1"/>
  <c r="AL78" i="38" a="1"/>
  <c r="AL78" i="38" s="1"/>
  <c r="AJ78" i="38" a="1"/>
  <c r="AJ78" i="38" s="1"/>
  <c r="AH78" i="38" a="1"/>
  <c r="AH78" i="38" s="1"/>
  <c r="AF78" i="38" a="1"/>
  <c r="AF78" i="38" s="1"/>
  <c r="AD78" i="38" a="1"/>
  <c r="AD78" i="38" s="1"/>
  <c r="AB78" i="38" a="1"/>
  <c r="AB78" i="38" s="1"/>
  <c r="Z78" i="38" a="1"/>
  <c r="Z78" i="38" s="1"/>
  <c r="X78" i="38"/>
  <c r="X78" i="38" a="1"/>
  <c r="V78" i="38" a="1"/>
  <c r="V78" i="38" s="1"/>
  <c r="T78" i="38" a="1"/>
  <c r="T78" i="38" s="1"/>
  <c r="R78" i="38" a="1"/>
  <c r="R78" i="38" s="1"/>
  <c r="P78" i="38" a="1"/>
  <c r="P78" i="38" s="1"/>
  <c r="N78" i="38" a="1"/>
  <c r="N78" i="38" s="1"/>
  <c r="L78" i="38" a="1"/>
  <c r="L78" i="38" s="1"/>
  <c r="J78" i="38" a="1"/>
  <c r="J78" i="38" s="1"/>
  <c r="H78" i="38"/>
  <c r="H78" i="38" a="1"/>
  <c r="F78" i="38" a="1"/>
  <c r="F78" i="38" s="1"/>
  <c r="D78" i="38" a="1"/>
  <c r="D78" i="38" s="1"/>
  <c r="B78" i="38" a="1"/>
  <c r="B78" i="38" s="1"/>
  <c r="AV77" i="38" a="1"/>
  <c r="AV77" i="38" s="1"/>
  <c r="AT77" i="38" a="1"/>
  <c r="AT77" i="38" s="1"/>
  <c r="AR77" i="38" a="1"/>
  <c r="AR77" i="38" s="1"/>
  <c r="AP77" i="38" a="1"/>
  <c r="AP77" i="38" s="1"/>
  <c r="AN77" i="38"/>
  <c r="AN77" i="38" a="1"/>
  <c r="AL77" i="38" a="1"/>
  <c r="AL77" i="38" s="1"/>
  <c r="AJ77" i="38" a="1"/>
  <c r="AJ77" i="38" s="1"/>
  <c r="AH77" i="38" a="1"/>
  <c r="AH77" i="38" s="1"/>
  <c r="AF77" i="38" a="1"/>
  <c r="AF77" i="38" s="1"/>
  <c r="AD77" i="38" a="1"/>
  <c r="AD77" i="38" s="1"/>
  <c r="AB77" i="38" a="1"/>
  <c r="AB77" i="38" s="1"/>
  <c r="Z77" i="38" a="1"/>
  <c r="Z77" i="38" s="1"/>
  <c r="X77" i="38"/>
  <c r="X77" i="38" a="1"/>
  <c r="V77" i="38" a="1"/>
  <c r="V77" i="38" s="1"/>
  <c r="T77" i="38" a="1"/>
  <c r="T77" i="38" s="1"/>
  <c r="R77" i="38" a="1"/>
  <c r="R77" i="38" s="1"/>
  <c r="P77" i="38" a="1"/>
  <c r="P77" i="38" s="1"/>
  <c r="N77" i="38" a="1"/>
  <c r="N77" i="38" s="1"/>
  <c r="L77" i="38" a="1"/>
  <c r="L77" i="38" s="1"/>
  <c r="J77" i="38" a="1"/>
  <c r="J77" i="38" s="1"/>
  <c r="H77" i="38"/>
  <c r="H77" i="38" a="1"/>
  <c r="F77" i="38" a="1"/>
  <c r="F77" i="38" s="1"/>
  <c r="D77" i="38" a="1"/>
  <c r="D77" i="38" s="1"/>
  <c r="B77" i="38" a="1"/>
  <c r="B77" i="38" s="1"/>
  <c r="AV76" i="38" a="1"/>
  <c r="AV76" i="38" s="1"/>
  <c r="AT76" i="38" a="1"/>
  <c r="AT76" i="38" s="1"/>
  <c r="AR76" i="38" a="1"/>
  <c r="AR76" i="38" s="1"/>
  <c r="AP76" i="38" a="1"/>
  <c r="AP76" i="38" s="1"/>
  <c r="AN76" i="38"/>
  <c r="AN76" i="38" a="1"/>
  <c r="AL76" i="38" a="1"/>
  <c r="AL76" i="38" s="1"/>
  <c r="AJ76" i="38" a="1"/>
  <c r="AJ76" i="38" s="1"/>
  <c r="AH76" i="38" a="1"/>
  <c r="AH76" i="38" s="1"/>
  <c r="AF76" i="38" a="1"/>
  <c r="AF76" i="38" s="1"/>
  <c r="AD76" i="38" a="1"/>
  <c r="AD76" i="38" s="1"/>
  <c r="AB76" i="38" a="1"/>
  <c r="AB76" i="38" s="1"/>
  <c r="Z76" i="38" a="1"/>
  <c r="Z76" i="38" s="1"/>
  <c r="X76" i="38"/>
  <c r="X76" i="38" a="1"/>
  <c r="V76" i="38" a="1"/>
  <c r="V76" i="38" s="1"/>
  <c r="T76" i="38" a="1"/>
  <c r="T76" i="38" s="1"/>
  <c r="R76" i="38" a="1"/>
  <c r="R76" i="38" s="1"/>
  <c r="P76" i="38" a="1"/>
  <c r="P76" i="38" s="1"/>
  <c r="N76" i="38" a="1"/>
  <c r="N76" i="38" s="1"/>
  <c r="L76" i="38" a="1"/>
  <c r="L76" i="38" s="1"/>
  <c r="J76" i="38" a="1"/>
  <c r="J76" i="38" s="1"/>
  <c r="H76" i="38"/>
  <c r="H76" i="38" a="1"/>
  <c r="F76" i="38" a="1"/>
  <c r="F76" i="38" s="1"/>
  <c r="D76" i="38" a="1"/>
  <c r="D76" i="38" s="1"/>
  <c r="B76" i="38" a="1"/>
  <c r="B76" i="38" s="1"/>
  <c r="AV75" i="38" a="1"/>
  <c r="AV75" i="38" s="1"/>
  <c r="AT75" i="38" a="1"/>
  <c r="AT75" i="38" s="1"/>
  <c r="AR75" i="38" a="1"/>
  <c r="AR75" i="38" s="1"/>
  <c r="AP75" i="38" a="1"/>
  <c r="AP75" i="38" s="1"/>
  <c r="AN75" i="38"/>
  <c r="AN75" i="38" a="1"/>
  <c r="AL75" i="38" a="1"/>
  <c r="AL75" i="38" s="1"/>
  <c r="AJ75" i="38" a="1"/>
  <c r="AJ75" i="38" s="1"/>
  <c r="AH75" i="38" a="1"/>
  <c r="AH75" i="38" s="1"/>
  <c r="AF75" i="38" a="1"/>
  <c r="AF75" i="38" s="1"/>
  <c r="AD75" i="38" a="1"/>
  <c r="AD75" i="38" s="1"/>
  <c r="AB75" i="38" a="1"/>
  <c r="AB75" i="38" s="1"/>
  <c r="Z75" i="38" a="1"/>
  <c r="Z75" i="38" s="1"/>
  <c r="X75" i="38"/>
  <c r="X75" i="38" a="1"/>
  <c r="V75" i="38" a="1"/>
  <c r="V75" i="38" s="1"/>
  <c r="T75" i="38" a="1"/>
  <c r="T75" i="38" s="1"/>
  <c r="R75" i="38" a="1"/>
  <c r="R75" i="38" s="1"/>
  <c r="P75" i="38" a="1"/>
  <c r="P75" i="38" s="1"/>
  <c r="N75" i="38" a="1"/>
  <c r="N75" i="38" s="1"/>
  <c r="L75" i="38" a="1"/>
  <c r="L75" i="38" s="1"/>
  <c r="J75" i="38" a="1"/>
  <c r="J75" i="38" s="1"/>
  <c r="H75" i="38"/>
  <c r="H75" i="38" a="1"/>
  <c r="F75" i="38" a="1"/>
  <c r="F75" i="38" s="1"/>
  <c r="D75" i="38" a="1"/>
  <c r="D75" i="38" s="1"/>
  <c r="B75" i="38" a="1"/>
  <c r="B75" i="38" s="1"/>
  <c r="AV74" i="38" a="1"/>
  <c r="AV74" i="38" s="1"/>
  <c r="AT74" i="38" a="1"/>
  <c r="AT74" i="38" s="1"/>
  <c r="AR74" i="38" a="1"/>
  <c r="AR74" i="38" s="1"/>
  <c r="AP74" i="38" a="1"/>
  <c r="AP74" i="38" s="1"/>
  <c r="AN74" i="38"/>
  <c r="AN74" i="38" a="1"/>
  <c r="AL74" i="38" a="1"/>
  <c r="AL74" i="38" s="1"/>
  <c r="AJ74" i="38" a="1"/>
  <c r="AJ74" i="38" s="1"/>
  <c r="AH74" i="38" a="1"/>
  <c r="AH74" i="38" s="1"/>
  <c r="AF74" i="38" a="1"/>
  <c r="AF74" i="38" s="1"/>
  <c r="AD74" i="38" a="1"/>
  <c r="AD74" i="38" s="1"/>
  <c r="AB74" i="38" a="1"/>
  <c r="AB74" i="38" s="1"/>
  <c r="Z74" i="38" a="1"/>
  <c r="Z74" i="38" s="1"/>
  <c r="X74" i="38"/>
  <c r="X74" i="38" a="1"/>
  <c r="V74" i="38" a="1"/>
  <c r="V74" i="38" s="1"/>
  <c r="T74" i="38" a="1"/>
  <c r="T74" i="38" s="1"/>
  <c r="R74" i="38" a="1"/>
  <c r="R74" i="38" s="1"/>
  <c r="P74" i="38" a="1"/>
  <c r="P74" i="38" s="1"/>
  <c r="N74" i="38" a="1"/>
  <c r="N74" i="38" s="1"/>
  <c r="L74" i="38" a="1"/>
  <c r="L74" i="38" s="1"/>
  <c r="J74" i="38" a="1"/>
  <c r="J74" i="38" s="1"/>
  <c r="H74" i="38"/>
  <c r="H74" i="38" a="1"/>
  <c r="F74" i="38" a="1"/>
  <c r="F74" i="38" s="1"/>
  <c r="D74" i="38" a="1"/>
  <c r="D74" i="38" s="1"/>
  <c r="B74" i="38" a="1"/>
  <c r="B74" i="38" s="1"/>
  <c r="AV73" i="38" a="1"/>
  <c r="AV73" i="38" s="1"/>
  <c r="AT73" i="38" a="1"/>
  <c r="AT73" i="38" s="1"/>
  <c r="AR73" i="38" a="1"/>
  <c r="AR73" i="38" s="1"/>
  <c r="AP73" i="38" a="1"/>
  <c r="AP73" i="38" s="1"/>
  <c r="AN73" i="38"/>
  <c r="AN73" i="38" a="1"/>
  <c r="AL73" i="38" a="1"/>
  <c r="AL73" i="38" s="1"/>
  <c r="AJ73" i="38" a="1"/>
  <c r="AJ73" i="38" s="1"/>
  <c r="AH73" i="38" a="1"/>
  <c r="AH73" i="38" s="1"/>
  <c r="AF73" i="38" a="1"/>
  <c r="AF73" i="38" s="1"/>
  <c r="AD73" i="38" a="1"/>
  <c r="AD73" i="38" s="1"/>
  <c r="AB73" i="38" a="1"/>
  <c r="AB73" i="38" s="1"/>
  <c r="Z73" i="38" a="1"/>
  <c r="Z73" i="38" s="1"/>
  <c r="X73" i="38"/>
  <c r="X73" i="38" a="1"/>
  <c r="V73" i="38" a="1"/>
  <c r="V73" i="38" s="1"/>
  <c r="T73" i="38" a="1"/>
  <c r="T73" i="38" s="1"/>
  <c r="R73" i="38" a="1"/>
  <c r="R73" i="38" s="1"/>
  <c r="P73" i="38" a="1"/>
  <c r="P73" i="38" s="1"/>
  <c r="N73" i="38" a="1"/>
  <c r="N73" i="38" s="1"/>
  <c r="L73" i="38" a="1"/>
  <c r="L73" i="38" s="1"/>
  <c r="J73" i="38" a="1"/>
  <c r="J73" i="38" s="1"/>
  <c r="H73" i="38"/>
  <c r="H73" i="38" a="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c r="AV67" i="38" a="1"/>
  <c r="AT67" i="38" a="1"/>
  <c r="AT67" i="38" s="1"/>
  <c r="AR67" i="38" a="1"/>
  <c r="AR67" i="38" s="1"/>
  <c r="AP67" i="38" a="1"/>
  <c r="AP67" i="38" s="1"/>
  <c r="AN67" i="38" a="1"/>
  <c r="AN67" i="38" s="1"/>
  <c r="AL67" i="38" a="1"/>
  <c r="AL67" i="38" s="1"/>
  <c r="AJ67" i="38" a="1"/>
  <c r="AJ67" i="38" s="1"/>
  <c r="AH67" i="38" a="1"/>
  <c r="AH67" i="38" s="1"/>
  <c r="AF67" i="38"/>
  <c r="AF67" i="38" a="1"/>
  <c r="AD67" i="38" a="1"/>
  <c r="AD67" i="38" s="1"/>
  <c r="AB67" i="38" a="1"/>
  <c r="AB67" i="38" s="1"/>
  <c r="Z67" i="38" a="1"/>
  <c r="Z67" i="38" s="1"/>
  <c r="X67" i="38" a="1"/>
  <c r="X67" i="38" s="1"/>
  <c r="V67" i="38" a="1"/>
  <c r="V67" i="38" s="1"/>
  <c r="T67" i="38" a="1"/>
  <c r="T67" i="38" s="1"/>
  <c r="R67" i="38" a="1"/>
  <c r="R67" i="38" s="1"/>
  <c r="P67" i="38"/>
  <c r="P67" i="38" a="1"/>
  <c r="N67" i="38" a="1"/>
  <c r="N67" i="38" s="1"/>
  <c r="L67" i="38" a="1"/>
  <c r="L67" i="38" s="1"/>
  <c r="J67" i="38" a="1"/>
  <c r="J67" i="38" s="1"/>
  <c r="H67" i="38" a="1"/>
  <c r="H67" i="38" s="1"/>
  <c r="F67" i="38" a="1"/>
  <c r="F67" i="38" s="1"/>
  <c r="D67" i="38" a="1"/>
  <c r="D67" i="38" s="1"/>
  <c r="B67" i="38" a="1"/>
  <c r="B67" i="38" s="1"/>
  <c r="AV66" i="38"/>
  <c r="AV68" i="38" s="1"/>
  <c r="AV66" i="38" a="1"/>
  <c r="AT66" i="38" a="1"/>
  <c r="AT66" i="38" s="1"/>
  <c r="AT68" i="38" s="1"/>
  <c r="AR66" i="38" a="1"/>
  <c r="AR66" i="38" s="1"/>
  <c r="AP66" i="38" a="1"/>
  <c r="AP66" i="38" s="1"/>
  <c r="AP68" i="38" s="1"/>
  <c r="AN66" i="38" a="1"/>
  <c r="AN66" i="38" s="1"/>
  <c r="AN68" i="38" s="1"/>
  <c r="AL66" i="38" a="1"/>
  <c r="AL66" i="38" s="1"/>
  <c r="AL68" i="38" s="1"/>
  <c r="AJ66" i="38" a="1"/>
  <c r="AJ66" i="38" s="1"/>
  <c r="AH66" i="38" a="1"/>
  <c r="AH66" i="38" s="1"/>
  <c r="AH68" i="38" s="1"/>
  <c r="AF66" i="38"/>
  <c r="AF68" i="38" s="1"/>
  <c r="AF66" i="38" a="1"/>
  <c r="AD66" i="38" a="1"/>
  <c r="AD66" i="38" s="1"/>
  <c r="AB66" i="38" a="1"/>
  <c r="AB66" i="38" s="1"/>
  <c r="Z66" i="38" a="1"/>
  <c r="Z66" i="38" s="1"/>
  <c r="X66" i="38" a="1"/>
  <c r="X66" i="38" s="1"/>
  <c r="X68" i="38" s="1"/>
  <c r="V66" i="38" a="1"/>
  <c r="V66" i="38" s="1"/>
  <c r="T66" i="38" a="1"/>
  <c r="T66" i="38" s="1"/>
  <c r="R66" i="38" a="1"/>
  <c r="R66" i="38" s="1"/>
  <c r="P66" i="38"/>
  <c r="P68" i="38" s="1"/>
  <c r="P66" i="38" a="1"/>
  <c r="N66" i="38" a="1"/>
  <c r="N66" i="38" s="1"/>
  <c r="N68" i="38" s="1"/>
  <c r="L66" i="38" a="1"/>
  <c r="L66" i="38" s="1"/>
  <c r="L68" i="38" s="1"/>
  <c r="J66" i="38" a="1"/>
  <c r="J66" i="38" s="1"/>
  <c r="J68" i="38" s="1"/>
  <c r="H66" i="38" a="1"/>
  <c r="H66" i="38" s="1"/>
  <c r="F66" i="38" a="1"/>
  <c r="F66" i="38" s="1"/>
  <c r="F68" i="38" s="1"/>
  <c r="D66" i="38" a="1"/>
  <c r="D66" i="38" s="1"/>
  <c r="B66" i="38" a="1"/>
  <c r="B66" i="38" s="1"/>
  <c r="AV65" i="38"/>
  <c r="AV69" i="38" s="1"/>
  <c r="AV65" i="38" a="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c r="AF69" i="38" s="1"/>
  <c r="AF65" i="38" a="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c r="P69" i="38" s="1"/>
  <c r="P65" i="38" a="1"/>
  <c r="N65" i="38" a="1"/>
  <c r="N65" i="38" s="1"/>
  <c r="N69" i="38" s="1"/>
  <c r="L65" i="38" a="1"/>
  <c r="L65" i="38" s="1"/>
  <c r="L69" i="38" s="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a="1"/>
  <c r="AP58" i="38" s="1"/>
  <c r="AN58" i="38" a="1"/>
  <c r="AN58" i="38" s="1"/>
  <c r="AL58" i="38" a="1"/>
  <c r="AL58" i="38" s="1"/>
  <c r="AJ58" i="38"/>
  <c r="AJ58" i="38" a="1"/>
  <c r="AH58" i="38" a="1"/>
  <c r="AH58" i="38" s="1"/>
  <c r="AF58" i="38"/>
  <c r="AF58" i="38" a="1"/>
  <c r="AD58" i="38"/>
  <c r="AD58" i="38" a="1"/>
  <c r="AB58" i="38" a="1"/>
  <c r="AB58" i="38" s="1"/>
  <c r="Z58" i="38" a="1"/>
  <c r="Z58" i="38" s="1"/>
  <c r="X58" i="38" a="1"/>
  <c r="X58" i="38" s="1"/>
  <c r="V58" i="38" a="1"/>
  <c r="V58" i="38" s="1"/>
  <c r="T58" i="38"/>
  <c r="T58" i="38" a="1"/>
  <c r="R58" i="38" a="1"/>
  <c r="R58" i="38" s="1"/>
  <c r="P58" i="38"/>
  <c r="P58" i="38" a="1"/>
  <c r="N58" i="38"/>
  <c r="N58" i="38" a="1"/>
  <c r="L58" i="38" a="1"/>
  <c r="L58" i="38" s="1"/>
  <c r="J58" i="38" a="1"/>
  <c r="J58" i="38" s="1"/>
  <c r="H58" i="38" a="1"/>
  <c r="H58" i="38" s="1"/>
  <c r="F58" i="38" a="1"/>
  <c r="F58" i="38" s="1"/>
  <c r="D58" i="38"/>
  <c r="D58" i="38" a="1"/>
  <c r="B58" i="38" a="1"/>
  <c r="B58" i="38" s="1"/>
  <c r="AV57" i="38"/>
  <c r="AV57" i="38" a="1"/>
  <c r="AT57" i="38"/>
  <c r="AT57" i="38" a="1"/>
  <c r="AR57" i="38" a="1"/>
  <c r="AR57" i="38" s="1"/>
  <c r="AP57" i="38" a="1"/>
  <c r="AP57" i="38" s="1"/>
  <c r="AN57" i="38" a="1"/>
  <c r="AN57" i="38" s="1"/>
  <c r="AL57" i="38" a="1"/>
  <c r="AL57" i="38" s="1"/>
  <c r="AJ57" i="38"/>
  <c r="AJ57" i="38" a="1"/>
  <c r="AH57" i="38" a="1"/>
  <c r="AH57" i="38" s="1"/>
  <c r="AF57" i="38"/>
  <c r="AF57" i="38" a="1"/>
  <c r="AD57" i="38"/>
  <c r="AD57" i="38" a="1"/>
  <c r="AB57" i="38" a="1"/>
  <c r="AB57" i="38" s="1"/>
  <c r="Z57" i="38" a="1"/>
  <c r="Z57" i="38" s="1"/>
  <c r="X57" i="38" a="1"/>
  <c r="X57" i="38" s="1"/>
  <c r="V57" i="38" a="1"/>
  <c r="V57" i="38" s="1"/>
  <c r="T57" i="38"/>
  <c r="T57" i="38" a="1"/>
  <c r="R57" i="38" a="1"/>
  <c r="R57" i="38" s="1"/>
  <c r="P57" i="38"/>
  <c r="P57" i="38" a="1"/>
  <c r="N57" i="38" a="1"/>
  <c r="N57" i="38" s="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T80" i="38" s="1"/>
  <c r="AR55" i="38"/>
  <c r="AP55" i="38"/>
  <c r="AN55" i="38"/>
  <c r="AN80" i="38" s="1"/>
  <c r="AL55" i="38"/>
  <c r="AJ55" i="38"/>
  <c r="AH55" i="38"/>
  <c r="AF55" i="38"/>
  <c r="AF80" i="38" s="1"/>
  <c r="AD55" i="38"/>
  <c r="AD80" i="38" s="1"/>
  <c r="AB55" i="38"/>
  <c r="AB80" i="38" s="1"/>
  <c r="Z55" i="38"/>
  <c r="Z80" i="38" s="1"/>
  <c r="X55" i="38"/>
  <c r="X80" i="38" s="1"/>
  <c r="V55" i="38"/>
  <c r="V80" i="38" s="1"/>
  <c r="T55" i="38"/>
  <c r="R55" i="38"/>
  <c r="P55" i="38"/>
  <c r="N55" i="38"/>
  <c r="N80" i="38" s="1"/>
  <c r="L55" i="38"/>
  <c r="J55" i="38"/>
  <c r="H55" i="38"/>
  <c r="H80" i="38" s="1"/>
  <c r="F55" i="38"/>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H51" i="38"/>
  <c r="AF51" i="38"/>
  <c r="AD51" i="38"/>
  <c r="AD81" i="38" s="1"/>
  <c r="AB51" i="38"/>
  <c r="Z51" i="38"/>
  <c r="X51" i="38"/>
  <c r="X81" i="38" s="1"/>
  <c r="V51" i="38"/>
  <c r="T51" i="38"/>
  <c r="R51" i="38"/>
  <c r="P51" i="38"/>
  <c r="P81" i="38" s="1"/>
  <c r="N51" i="38"/>
  <c r="N81" i="38" s="1"/>
  <c r="L51" i="38"/>
  <c r="L81" i="38" s="1"/>
  <c r="J51" i="38"/>
  <c r="J81" i="38" s="1"/>
  <c r="H51" i="38"/>
  <c r="H81" i="38" s="1"/>
  <c r="F51" i="38"/>
  <c r="F81" i="38" s="1"/>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N81" i="21"/>
  <c r="AH81" i="21"/>
  <c r="AF81" i="21"/>
  <c r="AD81" i="21"/>
  <c r="AB81" i="21"/>
  <c r="Z81" i="21"/>
  <c r="T81" i="21"/>
  <c r="R81" i="21"/>
  <c r="H81" i="21"/>
  <c r="B81" i="21"/>
  <c r="AV80" i="21"/>
  <c r="AT80" i="21"/>
  <c r="AR80" i="21"/>
  <c r="AJ80" i="21"/>
  <c r="AH80" i="21"/>
  <c r="X80" i="21"/>
  <c r="R80" i="21"/>
  <c r="P80" i="21"/>
  <c r="N80" i="21"/>
  <c r="L80" i="21"/>
  <c r="D80" i="21"/>
  <c r="B80" i="21"/>
  <c r="AV79" i="21" a="1"/>
  <c r="AV79" i="21" s="1"/>
  <c r="AT79" i="21" a="1"/>
  <c r="AT79" i="21" s="1"/>
  <c r="AR79" i="21" a="1"/>
  <c r="AR79" i="21" s="1"/>
  <c r="AP79" i="21" a="1"/>
  <c r="AP79" i="21" s="1"/>
  <c r="AN79" i="21" a="1"/>
  <c r="AN79" i="21" s="1"/>
  <c r="AL79" i="21" a="1"/>
  <c r="AL79" i="21" s="1"/>
  <c r="AJ79" i="21" a="1"/>
  <c r="AJ79" i="21" s="1"/>
  <c r="AH79" i="21" a="1"/>
  <c r="AH79" i="21" s="1"/>
  <c r="AF79" i="21" a="1"/>
  <c r="AF79" i="21" s="1"/>
  <c r="AD79" i="21" a="1"/>
  <c r="AD79" i="21" s="1"/>
  <c r="AB79" i="21" a="1"/>
  <c r="AB79" i="21" s="1"/>
  <c r="Z79" i="21" a="1"/>
  <c r="Z79" i="21" s="1"/>
  <c r="X79" i="21" a="1"/>
  <c r="X79" i="21" s="1"/>
  <c r="V79" i="21" a="1"/>
  <c r="V79" i="21" s="1"/>
  <c r="T79" i="21" a="1"/>
  <c r="T79" i="21" s="1"/>
  <c r="R79" i="21" a="1"/>
  <c r="R79" i="21" s="1"/>
  <c r="P79" i="21" a="1"/>
  <c r="P79" i="21" s="1"/>
  <c r="N79" i="21" a="1"/>
  <c r="N79" i="21" s="1"/>
  <c r="L79" i="21" a="1"/>
  <c r="L79" i="21" s="1"/>
  <c r="J79" i="21" a="1"/>
  <c r="J79" i="21" s="1"/>
  <c r="H79" i="21" a="1"/>
  <c r="H79" i="21" s="1"/>
  <c r="F79" i="21" a="1"/>
  <c r="F79" i="21" s="1"/>
  <c r="D79" i="21" a="1"/>
  <c r="D79" i="21" s="1"/>
  <c r="B79" i="21" a="1"/>
  <c r="B79" i="21" s="1"/>
  <c r="AV78" i="21" a="1"/>
  <c r="AV78" i="21" s="1"/>
  <c r="AT78" i="21" a="1"/>
  <c r="AT78" i="21" s="1"/>
  <c r="AR78" i="21" a="1"/>
  <c r="AR78" i="21" s="1"/>
  <c r="AP78" i="21" a="1"/>
  <c r="AP78" i="21" s="1"/>
  <c r="AN78" i="21" a="1"/>
  <c r="AN78" i="21" s="1"/>
  <c r="AL78" i="21" a="1"/>
  <c r="AL78" i="21" s="1"/>
  <c r="AJ78" i="21" a="1"/>
  <c r="AJ78" i="21" s="1"/>
  <c r="AH78" i="21" a="1"/>
  <c r="AH78" i="21" s="1"/>
  <c r="AF78" i="21" a="1"/>
  <c r="AF78" i="21" s="1"/>
  <c r="AD78" i="21" a="1"/>
  <c r="AD78" i="21" s="1"/>
  <c r="AB78" i="21" a="1"/>
  <c r="AB78" i="21" s="1"/>
  <c r="Z78" i="21" a="1"/>
  <c r="Z78" i="21" s="1"/>
  <c r="X78" i="21" a="1"/>
  <c r="X78" i="21" s="1"/>
  <c r="V78" i="21" a="1"/>
  <c r="V78" i="21" s="1"/>
  <c r="T78" i="21" a="1"/>
  <c r="T78" i="21" s="1"/>
  <c r="R78" i="21" a="1"/>
  <c r="R78" i="21" s="1"/>
  <c r="P78" i="21" a="1"/>
  <c r="P78" i="21" s="1"/>
  <c r="N78" i="21" a="1"/>
  <c r="N78" i="21" s="1"/>
  <c r="L78" i="21" a="1"/>
  <c r="L78" i="21" s="1"/>
  <c r="J78" i="21" a="1"/>
  <c r="J78" i="21" s="1"/>
  <c r="H78" i="21" a="1"/>
  <c r="H78" i="21" s="1"/>
  <c r="F78" i="21" a="1"/>
  <c r="F78" i="21" s="1"/>
  <c r="D78" i="21" a="1"/>
  <c r="D78" i="21" s="1"/>
  <c r="B78" i="21" a="1"/>
  <c r="B78" i="21" s="1"/>
  <c r="AV77" i="21" a="1"/>
  <c r="AV77" i="21" s="1"/>
  <c r="AT77" i="21" a="1"/>
  <c r="AT77" i="21" s="1"/>
  <c r="AR77" i="21" a="1"/>
  <c r="AR77" i="21" s="1"/>
  <c r="AP77" i="21" a="1"/>
  <c r="AP77" i="21" s="1"/>
  <c r="AN77" i="21" a="1"/>
  <c r="AN77" i="21" s="1"/>
  <c r="AL77" i="21" a="1"/>
  <c r="AL77" i="21" s="1"/>
  <c r="AJ77" i="21" a="1"/>
  <c r="AJ77" i="21" s="1"/>
  <c r="AH77" i="21" a="1"/>
  <c r="AH77" i="21" s="1"/>
  <c r="AF77" i="21" a="1"/>
  <c r="AF77" i="21" s="1"/>
  <c r="AD77" i="21" a="1"/>
  <c r="AD77" i="21" s="1"/>
  <c r="AB77" i="21" a="1"/>
  <c r="AB77" i="21" s="1"/>
  <c r="Z77" i="21" a="1"/>
  <c r="Z77" i="21" s="1"/>
  <c r="X77" i="21" a="1"/>
  <c r="X77" i="21" s="1"/>
  <c r="V77" i="21" a="1"/>
  <c r="V77" i="21" s="1"/>
  <c r="T77" i="21" a="1"/>
  <c r="T77" i="21" s="1"/>
  <c r="R77" i="21" a="1"/>
  <c r="R77" i="21" s="1"/>
  <c r="P77" i="21" a="1"/>
  <c r="P77" i="21" s="1"/>
  <c r="N77" i="21" a="1"/>
  <c r="N77" i="21" s="1"/>
  <c r="L77" i="21" a="1"/>
  <c r="L77" i="21" s="1"/>
  <c r="J77" i="21" a="1"/>
  <c r="J77" i="21" s="1"/>
  <c r="H77" i="21" a="1"/>
  <c r="H77" i="21" s="1"/>
  <c r="F77" i="21" a="1"/>
  <c r="F77" i="21" s="1"/>
  <c r="D77" i="21" a="1"/>
  <c r="D77" i="21" s="1"/>
  <c r="B77" i="21" a="1"/>
  <c r="B77" i="21" s="1"/>
  <c r="AV76" i="21" a="1"/>
  <c r="AV76" i="21" s="1"/>
  <c r="AT76" i="21" a="1"/>
  <c r="AT76" i="21" s="1"/>
  <c r="AR76" i="21" a="1"/>
  <c r="AR76" i="21" s="1"/>
  <c r="AP76" i="21" a="1"/>
  <c r="AP76" i="21" s="1"/>
  <c r="AN76" i="21" a="1"/>
  <c r="AN76" i="21" s="1"/>
  <c r="AL76" i="21" a="1"/>
  <c r="AL76" i="21" s="1"/>
  <c r="AJ76" i="21" a="1"/>
  <c r="AJ76" i="21" s="1"/>
  <c r="AH76" i="21" a="1"/>
  <c r="AH76" i="21" s="1"/>
  <c r="AF76" i="21" a="1"/>
  <c r="AF76" i="21" s="1"/>
  <c r="AD76" i="21" a="1"/>
  <c r="AD76" i="21" s="1"/>
  <c r="AB76" i="21" a="1"/>
  <c r="AB76" i="21" s="1"/>
  <c r="Z76" i="21" a="1"/>
  <c r="Z76" i="21" s="1"/>
  <c r="X76" i="21" a="1"/>
  <c r="X76" i="21" s="1"/>
  <c r="V76" i="21" a="1"/>
  <c r="V76" i="21" s="1"/>
  <c r="T76" i="21" a="1"/>
  <c r="T76" i="21" s="1"/>
  <c r="R76" i="21" a="1"/>
  <c r="R76" i="21" s="1"/>
  <c r="P76" i="21" a="1"/>
  <c r="P76" i="21" s="1"/>
  <c r="N76" i="21" a="1"/>
  <c r="N76" i="21" s="1"/>
  <c r="L76" i="21" a="1"/>
  <c r="L76" i="21" s="1"/>
  <c r="J76" i="21" a="1"/>
  <c r="J76" i="21" s="1"/>
  <c r="H76" i="21" a="1"/>
  <c r="H76" i="21" s="1"/>
  <c r="F76" i="21" a="1"/>
  <c r="F76" i="21" s="1"/>
  <c r="D76" i="21" a="1"/>
  <c r="D76" i="21" s="1"/>
  <c r="B76" i="21" a="1"/>
  <c r="B76" i="21" s="1"/>
  <c r="AV75" i="21" a="1"/>
  <c r="AV75" i="21" s="1"/>
  <c r="AT75" i="21" a="1"/>
  <c r="AT75" i="21" s="1"/>
  <c r="AR75" i="21" a="1"/>
  <c r="AR75" i="21" s="1"/>
  <c r="AP75" i="21" a="1"/>
  <c r="AP75" i="21" s="1"/>
  <c r="AN75" i="21" a="1"/>
  <c r="AN75" i="21" s="1"/>
  <c r="AL75" i="21" a="1"/>
  <c r="AL75" i="21" s="1"/>
  <c r="AJ75" i="21" a="1"/>
  <c r="AJ75" i="21" s="1"/>
  <c r="AH75" i="21" a="1"/>
  <c r="AH75" i="21" s="1"/>
  <c r="AF75" i="21" a="1"/>
  <c r="AF75" i="21" s="1"/>
  <c r="AD75" i="21" a="1"/>
  <c r="AD75" i="21" s="1"/>
  <c r="AB75" i="21" a="1"/>
  <c r="AB75" i="21" s="1"/>
  <c r="Z75" i="21" a="1"/>
  <c r="Z75" i="21" s="1"/>
  <c r="X75" i="21" a="1"/>
  <c r="X75" i="21" s="1"/>
  <c r="V75" i="21" a="1"/>
  <c r="V75" i="21" s="1"/>
  <c r="T75" i="21" a="1"/>
  <c r="T75" i="21" s="1"/>
  <c r="R75" i="21" a="1"/>
  <c r="R75" i="21" s="1"/>
  <c r="P75" i="21" a="1"/>
  <c r="P75" i="21" s="1"/>
  <c r="N75" i="21" a="1"/>
  <c r="N75" i="21" s="1"/>
  <c r="L75" i="21" a="1"/>
  <c r="L75" i="21" s="1"/>
  <c r="J75" i="21" a="1"/>
  <c r="J75" i="21" s="1"/>
  <c r="H75" i="21" a="1"/>
  <c r="H75" i="21" s="1"/>
  <c r="F75" i="21" a="1"/>
  <c r="F75" i="21" s="1"/>
  <c r="D75" i="21" a="1"/>
  <c r="D75" i="21" s="1"/>
  <c r="B75" i="21" a="1"/>
  <c r="B75" i="21" s="1"/>
  <c r="AV74" i="21" a="1"/>
  <c r="AV74" i="21" s="1"/>
  <c r="AT74" i="21" a="1"/>
  <c r="AT74" i="21" s="1"/>
  <c r="AR74" i="21" a="1"/>
  <c r="AR74" i="21" s="1"/>
  <c r="AP74" i="21" a="1"/>
  <c r="AP74" i="21" s="1"/>
  <c r="AN74" i="21" a="1"/>
  <c r="AN74" i="21" s="1"/>
  <c r="AL74" i="21" a="1"/>
  <c r="AL74" i="21" s="1"/>
  <c r="AJ74" i="21" a="1"/>
  <c r="AJ74" i="21" s="1"/>
  <c r="AH74" i="21" a="1"/>
  <c r="AH74" i="21" s="1"/>
  <c r="AF74" i="21" a="1"/>
  <c r="AF74" i="21" s="1"/>
  <c r="AD74" i="21" a="1"/>
  <c r="AD74" i="21" s="1"/>
  <c r="AB74" i="21" a="1"/>
  <c r="AB74" i="21" s="1"/>
  <c r="Z74" i="21" a="1"/>
  <c r="Z74" i="21" s="1"/>
  <c r="X74" i="21" a="1"/>
  <c r="X74" i="21" s="1"/>
  <c r="V74" i="21" a="1"/>
  <c r="V74" i="21" s="1"/>
  <c r="T74" i="21" a="1"/>
  <c r="T74" i="21" s="1"/>
  <c r="R74" i="21" a="1"/>
  <c r="R74" i="21" s="1"/>
  <c r="P74" i="21" a="1"/>
  <c r="P74" i="21" s="1"/>
  <c r="N74" i="21" a="1"/>
  <c r="N74" i="21" s="1"/>
  <c r="L74" i="21" a="1"/>
  <c r="L74" i="21" s="1"/>
  <c r="J74" i="21" a="1"/>
  <c r="J74" i="21" s="1"/>
  <c r="H74" i="21" a="1"/>
  <c r="H74" i="21" s="1"/>
  <c r="F74" i="21" a="1"/>
  <c r="F74" i="21" s="1"/>
  <c r="D74" i="21" a="1"/>
  <c r="D74" i="21" s="1"/>
  <c r="B74" i="21" a="1"/>
  <c r="B74" i="21" s="1"/>
  <c r="AV73" i="21" a="1"/>
  <c r="AV73" i="21" s="1"/>
  <c r="AT73" i="21" a="1"/>
  <c r="AT73" i="21" s="1"/>
  <c r="AR73" i="21" a="1"/>
  <c r="AR73" i="21" s="1"/>
  <c r="AP73" i="21" a="1"/>
  <c r="AP73" i="21" s="1"/>
  <c r="AN73" i="21" a="1"/>
  <c r="AN73" i="21" s="1"/>
  <c r="AL73" i="21" a="1"/>
  <c r="AL73" i="21" s="1"/>
  <c r="AJ73" i="21" a="1"/>
  <c r="AJ73" i="21" s="1"/>
  <c r="AH73" i="21" a="1"/>
  <c r="AH73" i="21" s="1"/>
  <c r="AF73" i="21" a="1"/>
  <c r="AF73" i="21" s="1"/>
  <c r="AD73" i="21" a="1"/>
  <c r="AD73" i="21" s="1"/>
  <c r="AB73" i="21" a="1"/>
  <c r="AB73" i="21" s="1"/>
  <c r="Z73" i="21" a="1"/>
  <c r="Z73" i="21" s="1"/>
  <c r="X73" i="21" a="1"/>
  <c r="X73" i="21" s="1"/>
  <c r="V73" i="21" a="1"/>
  <c r="V73" i="21" s="1"/>
  <c r="T73" i="21" a="1"/>
  <c r="T73" i="21" s="1"/>
  <c r="R73" i="21" a="1"/>
  <c r="R73" i="21" s="1"/>
  <c r="P73" i="21" a="1"/>
  <c r="P73" i="21" s="1"/>
  <c r="N73" i="21" a="1"/>
  <c r="N73" i="21" s="1"/>
  <c r="L73" i="21" a="1"/>
  <c r="L73" i="21" s="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L69" i="21"/>
  <c r="V69" i="21"/>
  <c r="J69" i="21"/>
  <c r="F69" i="21"/>
  <c r="B69" i="21"/>
  <c r="AL68" i="21"/>
  <c r="V68" i="21"/>
  <c r="F68" i="21"/>
  <c r="AV67" i="21" a="1"/>
  <c r="AV67" i="21" s="1"/>
  <c r="AT67" i="21" a="1"/>
  <c r="AT67" i="21" s="1"/>
  <c r="AR67" i="21" a="1"/>
  <c r="AR67" i="21" s="1"/>
  <c r="AP67" i="21" a="1"/>
  <c r="AP67" i="21" s="1"/>
  <c r="AN67" i="21" a="1"/>
  <c r="AN67" i="21" s="1"/>
  <c r="AL67" i="21"/>
  <c r="AL67" i="21" a="1"/>
  <c r="AJ67" i="21" a="1"/>
  <c r="AJ67" i="21" s="1"/>
  <c r="AH67" i="21" a="1"/>
  <c r="AH67" i="21" s="1"/>
  <c r="AF67" i="21" a="1"/>
  <c r="AF67" i="21" s="1"/>
  <c r="AD67" i="21" a="1"/>
  <c r="AD67" i="21" s="1"/>
  <c r="AB67" i="21" a="1"/>
  <c r="AB67" i="21" s="1"/>
  <c r="AB68" i="21" s="1"/>
  <c r="Z67" i="21" a="1"/>
  <c r="Z67" i="21" s="1"/>
  <c r="Z68" i="21" s="1"/>
  <c r="X67" i="21" a="1"/>
  <c r="X67" i="21" s="1"/>
  <c r="V67" i="21"/>
  <c r="V67" i="21" a="1"/>
  <c r="T67" i="21" a="1"/>
  <c r="T67" i="21" s="1"/>
  <c r="R67" i="21" a="1"/>
  <c r="R67" i="21" s="1"/>
  <c r="P67" i="21" a="1"/>
  <c r="P67" i="21" s="1"/>
  <c r="N67" i="21" a="1"/>
  <c r="N67" i="21" s="1"/>
  <c r="L67" i="21" a="1"/>
  <c r="L67" i="21" s="1"/>
  <c r="J67" i="21" a="1"/>
  <c r="J67" i="21" s="1"/>
  <c r="H67" i="21" a="1"/>
  <c r="H67" i="21" s="1"/>
  <c r="F67" i="21"/>
  <c r="F67" i="21" a="1"/>
  <c r="D67" i="21" a="1"/>
  <c r="D67" i="21" s="1"/>
  <c r="B67" i="21" a="1"/>
  <c r="B67" i="21" s="1"/>
  <c r="AV66" i="21" a="1"/>
  <c r="AV66" i="21" s="1"/>
  <c r="AV68" i="21" s="1"/>
  <c r="AT66" i="21"/>
  <c r="AT66" i="21" a="1"/>
  <c r="AR66" i="21" a="1"/>
  <c r="AR66" i="21" s="1"/>
  <c r="AP66" i="21" a="1"/>
  <c r="AP66" i="21" s="1"/>
  <c r="AP68" i="21" s="1"/>
  <c r="AN66" i="21" a="1"/>
  <c r="AN66" i="21" s="1"/>
  <c r="AN68" i="21" s="1"/>
  <c r="AL66" i="21"/>
  <c r="AL66" i="21" a="1"/>
  <c r="AJ66" i="21" a="1"/>
  <c r="AJ66" i="21" s="1"/>
  <c r="AH66" i="21" a="1"/>
  <c r="AH66" i="21" s="1"/>
  <c r="AH68" i="21" s="1"/>
  <c r="AF66" i="21" a="1"/>
  <c r="AF66" i="21" s="1"/>
  <c r="AF68" i="21" s="1"/>
  <c r="AD66" i="21" a="1"/>
  <c r="AD66" i="21" s="1"/>
  <c r="AB66" i="21" a="1"/>
  <c r="AB66" i="21" s="1"/>
  <c r="Z66" i="21" a="1"/>
  <c r="Z66" i="21" s="1"/>
  <c r="X66" i="21" a="1"/>
  <c r="X66" i="21" s="1"/>
  <c r="V66" i="21"/>
  <c r="V66" i="21" a="1"/>
  <c r="T66" i="21" a="1"/>
  <c r="T66" i="21" s="1"/>
  <c r="R66" i="21" a="1"/>
  <c r="R66" i="21" s="1"/>
  <c r="P66" i="21" a="1"/>
  <c r="P66" i="21" s="1"/>
  <c r="P68" i="21" s="1"/>
  <c r="N66" i="21"/>
  <c r="N66" i="21" a="1"/>
  <c r="L66" i="21" a="1"/>
  <c r="L66" i="21" s="1"/>
  <c r="J66" i="21" a="1"/>
  <c r="J66" i="21" s="1"/>
  <c r="H66" i="21" a="1"/>
  <c r="H66" i="21" s="1"/>
  <c r="H68" i="21" s="1"/>
  <c r="F66" i="21"/>
  <c r="F66" i="21" a="1"/>
  <c r="D66" i="21" a="1"/>
  <c r="D66" i="21" s="1"/>
  <c r="B66" i="21" a="1"/>
  <c r="B66" i="21" s="1"/>
  <c r="AV65" i="21" a="1"/>
  <c r="AV65" i="21" s="1"/>
  <c r="AV69" i="21" s="1"/>
  <c r="AT65" i="21" a="1"/>
  <c r="AT65" i="21" s="1"/>
  <c r="AT69" i="21" s="1"/>
  <c r="AR65" i="21" a="1"/>
  <c r="AR65" i="21" s="1"/>
  <c r="AR69" i="21" s="1"/>
  <c r="AP65" i="21" a="1"/>
  <c r="AP65" i="21" s="1"/>
  <c r="AP69" i="21" s="1"/>
  <c r="AN65" i="21" a="1"/>
  <c r="AN65" i="21" s="1"/>
  <c r="AN69" i="21" s="1"/>
  <c r="AL65" i="21"/>
  <c r="AL65" i="21" a="1"/>
  <c r="AJ65" i="21" a="1"/>
  <c r="AJ65" i="21" s="1"/>
  <c r="AJ69" i="21" s="1"/>
  <c r="AH65" i="21" a="1"/>
  <c r="AH65" i="21" s="1"/>
  <c r="AH69" i="21" s="1"/>
  <c r="AF65" i="21" a="1"/>
  <c r="AF65" i="21" s="1"/>
  <c r="AF69" i="21" s="1"/>
  <c r="AD65" i="21" a="1"/>
  <c r="AD65" i="21" s="1"/>
  <c r="AD69" i="21" s="1"/>
  <c r="AB65" i="21" a="1"/>
  <c r="AB65" i="21" s="1"/>
  <c r="AB69" i="21" s="1"/>
  <c r="Z65" i="21" a="1"/>
  <c r="Z65" i="21" s="1"/>
  <c r="Z69" i="21" s="1"/>
  <c r="X65" i="21" a="1"/>
  <c r="X65" i="21" s="1"/>
  <c r="X69" i="21" s="1"/>
  <c r="V65" i="21"/>
  <c r="V65" i="21" a="1"/>
  <c r="T65" i="21" a="1"/>
  <c r="T65" i="21" s="1"/>
  <c r="T69" i="21" s="1"/>
  <c r="R65" i="21" a="1"/>
  <c r="R65" i="21" s="1"/>
  <c r="R69" i="21" s="1"/>
  <c r="P65" i="21" a="1"/>
  <c r="P65" i="21" s="1"/>
  <c r="P69" i="21" s="1"/>
  <c r="N65" i="21" a="1"/>
  <c r="N65" i="21" s="1"/>
  <c r="N69" i="21" s="1"/>
  <c r="L65" i="21" a="1"/>
  <c r="L65" i="21" s="1"/>
  <c r="L69" i="21" s="1"/>
  <c r="J65" i="21" a="1"/>
  <c r="J65" i="21" s="1"/>
  <c r="H65" i="21" a="1"/>
  <c r="H65" i="21" s="1"/>
  <c r="H69" i="21" s="1"/>
  <c r="F65" i="21"/>
  <c r="F65" i="21" a="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a="1"/>
  <c r="AT58" i="21" s="1"/>
  <c r="AR58" i="21" a="1"/>
  <c r="AR58" i="21" s="1"/>
  <c r="AP58" i="21"/>
  <c r="AP58" i="21" a="1"/>
  <c r="AN58" i="21" a="1"/>
  <c r="AN58" i="21" s="1"/>
  <c r="AL58" i="21" a="1"/>
  <c r="AL58" i="21" s="1"/>
  <c r="AJ58" i="21"/>
  <c r="AJ58" i="21" a="1"/>
  <c r="AH58" i="21" a="1"/>
  <c r="AH58" i="21" s="1"/>
  <c r="AF58" i="21"/>
  <c r="AF58" i="21" a="1"/>
  <c r="AD58" i="21" a="1"/>
  <c r="AD58" i="21" s="1"/>
  <c r="AB58" i="21" a="1"/>
  <c r="AB58" i="21" s="1"/>
  <c r="Z58" i="21"/>
  <c r="Z58" i="21" a="1"/>
  <c r="X58" i="21" a="1"/>
  <c r="X58" i="21" s="1"/>
  <c r="V58" i="21" a="1"/>
  <c r="V58" i="21" s="1"/>
  <c r="T58" i="21"/>
  <c r="T58" i="21" a="1"/>
  <c r="R58" i="21" a="1"/>
  <c r="R58" i="21" s="1"/>
  <c r="P58" i="21"/>
  <c r="P58" i="21" a="1"/>
  <c r="N58" i="21" a="1"/>
  <c r="N58" i="21" s="1"/>
  <c r="L58" i="21" a="1"/>
  <c r="L58" i="21" s="1"/>
  <c r="J58" i="21"/>
  <c r="J58" i="21" a="1"/>
  <c r="H58" i="21" a="1"/>
  <c r="H58" i="21" s="1"/>
  <c r="F58" i="21" a="1"/>
  <c r="F58" i="21" s="1"/>
  <c r="D58" i="21"/>
  <c r="D58" i="21" a="1"/>
  <c r="B58" i="21" a="1"/>
  <c r="B58" i="21" s="1"/>
  <c r="AV57" i="21"/>
  <c r="AV57" i="21" a="1"/>
  <c r="AT57" i="21" a="1"/>
  <c r="AT57" i="21" s="1"/>
  <c r="AR57" i="21" a="1"/>
  <c r="AR57" i="21" s="1"/>
  <c r="AP57" i="21"/>
  <c r="AP57" i="21" a="1"/>
  <c r="AN57" i="21" a="1"/>
  <c r="AN57" i="21" s="1"/>
  <c r="AL57" i="21" a="1"/>
  <c r="AL57" i="21" s="1"/>
  <c r="AJ57" i="21"/>
  <c r="AJ57" i="21" a="1"/>
  <c r="AH57" i="21" a="1"/>
  <c r="AH57" i="21" s="1"/>
  <c r="AF57" i="21"/>
  <c r="AF57" i="21" a="1"/>
  <c r="AD57" i="21" a="1"/>
  <c r="AD57" i="21" s="1"/>
  <c r="AB57" i="21" a="1"/>
  <c r="AB57" i="21" s="1"/>
  <c r="Z57" i="21"/>
  <c r="Z57" i="21" a="1"/>
  <c r="X57" i="21" a="1"/>
  <c r="X57" i="21" s="1"/>
  <c r="V57" i="21" a="1"/>
  <c r="V57" i="21" s="1"/>
  <c r="T57" i="21"/>
  <c r="T57" i="21" a="1"/>
  <c r="R57" i="21" a="1"/>
  <c r="R57" i="21" s="1"/>
  <c r="P57" i="21"/>
  <c r="P57" i="21" a="1"/>
  <c r="N57" i="21" a="1"/>
  <c r="N57" i="21" s="1"/>
  <c r="L57" i="21" a="1"/>
  <c r="L57" i="21" s="1"/>
  <c r="J57" i="21"/>
  <c r="J57" i="21" a="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L80" i="21" s="1"/>
  <c r="AJ55" i="21"/>
  <c r="AH55" i="21"/>
  <c r="AF55" i="21"/>
  <c r="AF80" i="21" s="1"/>
  <c r="AD55" i="21"/>
  <c r="AD80" i="21" s="1"/>
  <c r="AB55" i="21"/>
  <c r="AB80" i="21" s="1"/>
  <c r="Z55" i="21"/>
  <c r="Z80" i="21" s="1"/>
  <c r="X55" i="21"/>
  <c r="V55" i="21"/>
  <c r="V80" i="21" s="1"/>
  <c r="T55" i="21"/>
  <c r="T80" i="21" s="1"/>
  <c r="R55" i="21"/>
  <c r="P55" i="21"/>
  <c r="N55" i="21"/>
  <c r="L55" i="21"/>
  <c r="J55" i="21"/>
  <c r="J80" i="21" s="1"/>
  <c r="H55" i="21"/>
  <c r="H80" i="21" s="1"/>
  <c r="F55" i="21"/>
  <c r="F80" i="21" s="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L51" i="21"/>
  <c r="AL81" i="21" s="1"/>
  <c r="AJ51" i="21"/>
  <c r="AJ81" i="21" s="1"/>
  <c r="AH51" i="21"/>
  <c r="AF51" i="21"/>
  <c r="AD51" i="21"/>
  <c r="AB51" i="21"/>
  <c r="Z51" i="21"/>
  <c r="X51" i="21"/>
  <c r="X81" i="21" s="1"/>
  <c r="V51" i="21"/>
  <c r="V81" i="21" s="1"/>
  <c r="T51" i="21"/>
  <c r="R51" i="21"/>
  <c r="P51" i="21"/>
  <c r="P81" i="21" s="1"/>
  <c r="N51" i="21"/>
  <c r="N81" i="21" s="1"/>
  <c r="L51" i="21"/>
  <c r="L81" i="21" s="1"/>
  <c r="J51" i="21"/>
  <c r="J81" i="21" s="1"/>
  <c r="H51" i="2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c r="AP43" i="21" a="1"/>
  <c r="AN43" i="21" a="1"/>
  <c r="AN43" i="21" s="1"/>
  <c r="AL43" i="21" a="1"/>
  <c r="AL43" i="21" s="1"/>
  <c r="AJ43" i="21"/>
  <c r="AJ43" i="21" a="1"/>
  <c r="AH43" i="21" a="1"/>
  <c r="AH43" i="21" s="1"/>
  <c r="AF43" i="21"/>
  <c r="AF43" i="21" a="1"/>
  <c r="AD43" i="21" a="1"/>
  <c r="AD43" i="21" s="1"/>
  <c r="AB43" i="21" a="1"/>
  <c r="AB43" i="21" s="1"/>
  <c r="Z43" i="21"/>
  <c r="Z43" i="21" a="1"/>
  <c r="X43" i="21" a="1"/>
  <c r="X43" i="21" s="1"/>
  <c r="V43" i="21" a="1"/>
  <c r="V43" i="21" s="1"/>
  <c r="T43" i="21"/>
  <c r="T43" i="21" a="1"/>
  <c r="R43" i="21" a="1"/>
  <c r="R43" i="21" s="1"/>
  <c r="P43" i="21"/>
  <c r="P43" i="21" a="1"/>
  <c r="N43" i="21" a="1"/>
  <c r="N43" i="21" s="1"/>
  <c r="L43" i="21" a="1"/>
  <c r="L43" i="21" s="1"/>
  <c r="J43" i="21"/>
  <c r="J43" i="21" a="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L81" i="24"/>
  <c r="AJ81" i="24"/>
  <c r="AH81" i="24"/>
  <c r="AF81" i="24"/>
  <c r="AD81" i="24"/>
  <c r="AB81" i="24"/>
  <c r="H81" i="24"/>
  <c r="F81" i="24"/>
  <c r="D81" i="24"/>
  <c r="B81" i="24"/>
  <c r="AV80" i="24"/>
  <c r="AT80" i="24"/>
  <c r="AR80" i="24"/>
  <c r="AJ80" i="24"/>
  <c r="AH80" i="24"/>
  <c r="X80" i="24"/>
  <c r="V80" i="24"/>
  <c r="T80" i="24"/>
  <c r="R80" i="24"/>
  <c r="P80" i="24"/>
  <c r="N80" i="24"/>
  <c r="L80" i="24"/>
  <c r="D80" i="24"/>
  <c r="AV79" i="24"/>
  <c r="AV79" i="24" a="1"/>
  <c r="AT79" i="24" a="1"/>
  <c r="AT79" i="24" s="1"/>
  <c r="AR79" i="24" a="1"/>
  <c r="AR79" i="24" s="1"/>
  <c r="AP79" i="24" a="1"/>
  <c r="AP79" i="24" s="1"/>
  <c r="AN79" i="24" a="1"/>
  <c r="AN79" i="24" s="1"/>
  <c r="AL79" i="24" a="1"/>
  <c r="AL79" i="24" s="1"/>
  <c r="AJ79" i="24" a="1"/>
  <c r="AJ79" i="24" s="1"/>
  <c r="AH79" i="24"/>
  <c r="AH79" i="24" a="1"/>
  <c r="AF79" i="24"/>
  <c r="AF79" i="24" a="1"/>
  <c r="AD79" i="24" a="1"/>
  <c r="AD79" i="24" s="1"/>
  <c r="AB79" i="24" a="1"/>
  <c r="AB79" i="24" s="1"/>
  <c r="Z79" i="24" a="1"/>
  <c r="Z79" i="24" s="1"/>
  <c r="X79" i="24" a="1"/>
  <c r="X79" i="24" s="1"/>
  <c r="V79" i="24" a="1"/>
  <c r="V79" i="24" s="1"/>
  <c r="T79" i="24" a="1"/>
  <c r="T79" i="24" s="1"/>
  <c r="R79" i="24" a="1"/>
  <c r="R79" i="24" s="1"/>
  <c r="P79" i="24"/>
  <c r="P79" i="24" a="1"/>
  <c r="N79" i="24" a="1"/>
  <c r="N79" i="24" s="1"/>
  <c r="L79" i="24" a="1"/>
  <c r="L79" i="24" s="1"/>
  <c r="J79" i="24" a="1"/>
  <c r="J79" i="24" s="1"/>
  <c r="H79" i="24" a="1"/>
  <c r="H79" i="24" s="1"/>
  <c r="F79" i="24" a="1"/>
  <c r="F79" i="24" s="1"/>
  <c r="D79" i="24" a="1"/>
  <c r="D79" i="24" s="1"/>
  <c r="B79" i="24" a="1"/>
  <c r="B79" i="24" s="1"/>
  <c r="AV78" i="24"/>
  <c r="AV78" i="24" a="1"/>
  <c r="AT78" i="24" a="1"/>
  <c r="AT78" i="24" s="1"/>
  <c r="AR78" i="24" a="1"/>
  <c r="AR78" i="24" s="1"/>
  <c r="AP78" i="24" a="1"/>
  <c r="AP78" i="24" s="1"/>
  <c r="AN78" i="24" a="1"/>
  <c r="AN78" i="24" s="1"/>
  <c r="AL78" i="24" a="1"/>
  <c r="AL78" i="24" s="1"/>
  <c r="AJ78" i="24" a="1"/>
  <c r="AJ78" i="24" s="1"/>
  <c r="AH78" i="24" a="1"/>
  <c r="AH78" i="24" s="1"/>
  <c r="AF78" i="24"/>
  <c r="AF78" i="24" a="1"/>
  <c r="AD78" i="24" a="1"/>
  <c r="AD78" i="24" s="1"/>
  <c r="AB78" i="24" a="1"/>
  <c r="AB78" i="24" s="1"/>
  <c r="Z78" i="24" a="1"/>
  <c r="Z78" i="24" s="1"/>
  <c r="X78" i="24" a="1"/>
  <c r="X78" i="24" s="1"/>
  <c r="V78" i="24" a="1"/>
  <c r="V78" i="24" s="1"/>
  <c r="T78" i="24" a="1"/>
  <c r="T78" i="24" s="1"/>
  <c r="R78" i="24" a="1"/>
  <c r="R78" i="24" s="1"/>
  <c r="P78" i="24"/>
  <c r="P78" i="24" a="1"/>
  <c r="N78" i="24" a="1"/>
  <c r="N78" i="24" s="1"/>
  <c r="L78" i="24" a="1"/>
  <c r="L78" i="24" s="1"/>
  <c r="J78" i="24" a="1"/>
  <c r="J78" i="24" s="1"/>
  <c r="H78" i="24" a="1"/>
  <c r="H78" i="24" s="1"/>
  <c r="F78" i="24" a="1"/>
  <c r="F78" i="24" s="1"/>
  <c r="D78" i="24"/>
  <c r="D78" i="24" a="1"/>
  <c r="B78" i="24" a="1"/>
  <c r="B78" i="24" s="1"/>
  <c r="AV77" i="24"/>
  <c r="AV77" i="24" a="1"/>
  <c r="AT77" i="24" a="1"/>
  <c r="AT77" i="24" s="1"/>
  <c r="AR77" i="24" a="1"/>
  <c r="AR77" i="24" s="1"/>
  <c r="AP77" i="24" a="1"/>
  <c r="AP77" i="24" s="1"/>
  <c r="AN77" i="24" a="1"/>
  <c r="AN77" i="24" s="1"/>
  <c r="AL77" i="24" a="1"/>
  <c r="AL77" i="24" s="1"/>
  <c r="AJ77" i="24"/>
  <c r="AJ77" i="24" a="1"/>
  <c r="AH77" i="24" a="1"/>
  <c r="AH77" i="24" s="1"/>
  <c r="AF77" i="24"/>
  <c r="AF77" i="24" a="1"/>
  <c r="AD77" i="24" a="1"/>
  <c r="AD77" i="24" s="1"/>
  <c r="AB77" i="24" a="1"/>
  <c r="AB77" i="24" s="1"/>
  <c r="Z77" i="24" a="1"/>
  <c r="Z77" i="24" s="1"/>
  <c r="X77" i="24" a="1"/>
  <c r="X77" i="24" s="1"/>
  <c r="V77" i="24" a="1"/>
  <c r="V77" i="24" s="1"/>
  <c r="T77" i="24" a="1"/>
  <c r="T77" i="24" s="1"/>
  <c r="R77" i="24" a="1"/>
  <c r="R77" i="24" s="1"/>
  <c r="P77" i="24"/>
  <c r="P77" i="24" a="1"/>
  <c r="N77" i="24" a="1"/>
  <c r="N77" i="24" s="1"/>
  <c r="L77" i="24" a="1"/>
  <c r="L77" i="24" s="1"/>
  <c r="J77" i="24" a="1"/>
  <c r="J77" i="24" s="1"/>
  <c r="H77" i="24" a="1"/>
  <c r="H77" i="24" s="1"/>
  <c r="F77" i="24" a="1"/>
  <c r="F77" i="24" s="1"/>
  <c r="D77" i="24" a="1"/>
  <c r="D77" i="24" s="1"/>
  <c r="B77" i="24" a="1"/>
  <c r="B77" i="24" s="1"/>
  <c r="AV76" i="24"/>
  <c r="AV76" i="24" a="1"/>
  <c r="AT76" i="24" a="1"/>
  <c r="AT76" i="24" s="1"/>
  <c r="AR76" i="24" a="1"/>
  <c r="AR76" i="24" s="1"/>
  <c r="AP76" i="24" a="1"/>
  <c r="AP76" i="24" s="1"/>
  <c r="AN76" i="24" a="1"/>
  <c r="AN76" i="24" s="1"/>
  <c r="AL76" i="24" a="1"/>
  <c r="AL76" i="24" s="1"/>
  <c r="AJ76" i="24" a="1"/>
  <c r="AJ76" i="24" s="1"/>
  <c r="AH76" i="24" a="1"/>
  <c r="AH76" i="24" s="1"/>
  <c r="AF76" i="24"/>
  <c r="AF76" i="24" a="1"/>
  <c r="AD76" i="24" a="1"/>
  <c r="AD76" i="24" s="1"/>
  <c r="AB76" i="24" a="1"/>
  <c r="AB76" i="24" s="1"/>
  <c r="Z76" i="24" a="1"/>
  <c r="Z76" i="24" s="1"/>
  <c r="X76" i="24" a="1"/>
  <c r="X76" i="24" s="1"/>
  <c r="V76" i="24" a="1"/>
  <c r="V76" i="24" s="1"/>
  <c r="T76" i="24" a="1"/>
  <c r="T76" i="24" s="1"/>
  <c r="R76" i="24" a="1"/>
  <c r="R76" i="24" s="1"/>
  <c r="P76" i="24"/>
  <c r="P76" i="24" a="1"/>
  <c r="N76" i="24" a="1"/>
  <c r="N76" i="24" s="1"/>
  <c r="L76" i="24" a="1"/>
  <c r="L76" i="24" s="1"/>
  <c r="J76" i="24" a="1"/>
  <c r="J76" i="24" s="1"/>
  <c r="H76" i="24" a="1"/>
  <c r="H76" i="24" s="1"/>
  <c r="F76" i="24" a="1"/>
  <c r="F76" i="24" s="1"/>
  <c r="D76" i="24" a="1"/>
  <c r="D76" i="24" s="1"/>
  <c r="B76" i="24" a="1"/>
  <c r="B76" i="24" s="1"/>
  <c r="AV75" i="24"/>
  <c r="AV75" i="24" a="1"/>
  <c r="AT75" i="24" a="1"/>
  <c r="AT75" i="24" s="1"/>
  <c r="AR75" i="24" a="1"/>
  <c r="AR75" i="24" s="1"/>
  <c r="AP75" i="24" a="1"/>
  <c r="AP75" i="24" s="1"/>
  <c r="AN75" i="24" a="1"/>
  <c r="AN75" i="24" s="1"/>
  <c r="AL75" i="24" a="1"/>
  <c r="AL75" i="24" s="1"/>
  <c r="AJ75" i="24" a="1"/>
  <c r="AJ75" i="24" s="1"/>
  <c r="AH75" i="24" a="1"/>
  <c r="AH75" i="24" s="1"/>
  <c r="AF75" i="24"/>
  <c r="AF75" i="24" a="1"/>
  <c r="AD75" i="24" a="1"/>
  <c r="AD75" i="24" s="1"/>
  <c r="AB75" i="24" a="1"/>
  <c r="AB75" i="24" s="1"/>
  <c r="Z75" i="24" a="1"/>
  <c r="Z75" i="24" s="1"/>
  <c r="X75" i="24" a="1"/>
  <c r="X75" i="24" s="1"/>
  <c r="V75" i="24" a="1"/>
  <c r="V75" i="24" s="1"/>
  <c r="T75" i="24" a="1"/>
  <c r="T75" i="24" s="1"/>
  <c r="R75" i="24" a="1"/>
  <c r="R75" i="24" s="1"/>
  <c r="P75" i="24"/>
  <c r="P75" i="24" a="1"/>
  <c r="N75" i="24" a="1"/>
  <c r="N75" i="24" s="1"/>
  <c r="L75" i="24" a="1"/>
  <c r="L75" i="24" s="1"/>
  <c r="J75" i="24" a="1"/>
  <c r="J75" i="24" s="1"/>
  <c r="H75" i="24" a="1"/>
  <c r="H75" i="24" s="1"/>
  <c r="F75" i="24" a="1"/>
  <c r="F75" i="24" s="1"/>
  <c r="D75" i="24" a="1"/>
  <c r="D75" i="24" s="1"/>
  <c r="B75" i="24" a="1"/>
  <c r="B75" i="24" s="1"/>
  <c r="AV74" i="24"/>
  <c r="AV74" i="24" a="1"/>
  <c r="AT74" i="24" a="1"/>
  <c r="AT74" i="24" s="1"/>
  <c r="AR74" i="24" a="1"/>
  <c r="AR74" i="24" s="1"/>
  <c r="AP74" i="24" a="1"/>
  <c r="AP74" i="24" s="1"/>
  <c r="AN74" i="24" a="1"/>
  <c r="AN74" i="24" s="1"/>
  <c r="AL74" i="24" a="1"/>
  <c r="AL74" i="24" s="1"/>
  <c r="AJ74" i="24" a="1"/>
  <c r="AJ74" i="24" s="1"/>
  <c r="AH74" i="24"/>
  <c r="AH74" i="24" a="1"/>
  <c r="AF74" i="24"/>
  <c r="AF74" i="24" a="1"/>
  <c r="AD74" i="24" a="1"/>
  <c r="AD74" i="24" s="1"/>
  <c r="AB74" i="24" a="1"/>
  <c r="AB74" i="24" s="1"/>
  <c r="Z74" i="24" a="1"/>
  <c r="Z74" i="24" s="1"/>
  <c r="X74" i="24" a="1"/>
  <c r="X74" i="24" s="1"/>
  <c r="V74" i="24" a="1"/>
  <c r="V74" i="24" s="1"/>
  <c r="T74" i="24" a="1"/>
  <c r="T74" i="24" s="1"/>
  <c r="R74" i="24"/>
  <c r="R74" i="24" a="1"/>
  <c r="P74" i="24"/>
  <c r="P74" i="24" a="1"/>
  <c r="N74" i="24" a="1"/>
  <c r="N74" i="24" s="1"/>
  <c r="L74" i="24" a="1"/>
  <c r="L74" i="24" s="1"/>
  <c r="J74" i="24" a="1"/>
  <c r="J74" i="24" s="1"/>
  <c r="H74" i="24" a="1"/>
  <c r="H74" i="24" s="1"/>
  <c r="F74" i="24" a="1"/>
  <c r="F74" i="24" s="1"/>
  <c r="D74" i="24" a="1"/>
  <c r="D74" i="24" s="1"/>
  <c r="B74" i="24" a="1"/>
  <c r="B74" i="24" s="1"/>
  <c r="AV73" i="24"/>
  <c r="AV73" i="24" a="1"/>
  <c r="AT73" i="24" a="1"/>
  <c r="AT73" i="24" s="1"/>
  <c r="AR73" i="24" a="1"/>
  <c r="AR73" i="24" s="1"/>
  <c r="AP73" i="24" a="1"/>
  <c r="AP73" i="24" s="1"/>
  <c r="AN73" i="24" a="1"/>
  <c r="AN73" i="24" s="1"/>
  <c r="AL73" i="24" a="1"/>
  <c r="AL73" i="24" s="1"/>
  <c r="AJ73" i="24" a="1"/>
  <c r="AJ73" i="24" s="1"/>
  <c r="AH73" i="24" a="1"/>
  <c r="AH73" i="24" s="1"/>
  <c r="AF73" i="24"/>
  <c r="AF73" i="24" a="1"/>
  <c r="AD73" i="24" a="1"/>
  <c r="AD73" i="24" s="1"/>
  <c r="AB73" i="24" a="1"/>
  <c r="AB73" i="24" s="1"/>
  <c r="Z73" i="24" a="1"/>
  <c r="Z73" i="24" s="1"/>
  <c r="X73" i="24" a="1"/>
  <c r="X73" i="24" s="1"/>
  <c r="V73" i="24" a="1"/>
  <c r="V73" i="24" s="1"/>
  <c r="T73" i="24" a="1"/>
  <c r="T73" i="24" s="1"/>
  <c r="R73" i="24" a="1"/>
  <c r="R73" i="24" s="1"/>
  <c r="P73" i="24"/>
  <c r="P73" i="24" a="1"/>
  <c r="N73" i="24" a="1"/>
  <c r="N73" i="24" s="1"/>
  <c r="L73" i="24" a="1"/>
  <c r="L73" i="24" s="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N69" i="24"/>
  <c r="X69" i="24"/>
  <c r="H69" i="24"/>
  <c r="B69" i="24"/>
  <c r="AN68" i="24"/>
  <c r="X68" i="24"/>
  <c r="T68" i="24"/>
  <c r="R68" i="24"/>
  <c r="H68" i="24"/>
  <c r="AV67" i="24" a="1"/>
  <c r="AV67" i="24" s="1"/>
  <c r="AT67" i="24" a="1"/>
  <c r="AT67" i="24" s="1"/>
  <c r="AR67" i="24" a="1"/>
  <c r="AR67" i="24" s="1"/>
  <c r="AP67" i="24" a="1"/>
  <c r="AP67" i="24" s="1"/>
  <c r="AN67" i="24"/>
  <c r="AN67" i="24" a="1"/>
  <c r="AL67" i="24" a="1"/>
  <c r="AL67" i="24" s="1"/>
  <c r="AJ67" i="24" a="1"/>
  <c r="AJ67" i="24" s="1"/>
  <c r="AH67" i="24" a="1"/>
  <c r="AH67" i="24" s="1"/>
  <c r="AF67" i="24" a="1"/>
  <c r="AF67" i="24" s="1"/>
  <c r="AD67" i="24" a="1"/>
  <c r="AD67" i="24" s="1"/>
  <c r="AB67" i="24" a="1"/>
  <c r="AB67" i="24" s="1"/>
  <c r="Z67" i="24" a="1"/>
  <c r="Z67" i="24" s="1"/>
  <c r="X67" i="24"/>
  <c r="X67" i="24" a="1"/>
  <c r="V67" i="24" a="1"/>
  <c r="V67" i="24" s="1"/>
  <c r="T67" i="24" a="1"/>
  <c r="T67" i="24" s="1"/>
  <c r="R67" i="24" a="1"/>
  <c r="R67" i="24" s="1"/>
  <c r="P67" i="24" a="1"/>
  <c r="P67" i="24" s="1"/>
  <c r="N67" i="24"/>
  <c r="N67" i="24" a="1"/>
  <c r="L67" i="24" a="1"/>
  <c r="L67" i="24" s="1"/>
  <c r="J67" i="24" a="1"/>
  <c r="J67" i="24" s="1"/>
  <c r="H67" i="24"/>
  <c r="H67" i="24" a="1"/>
  <c r="F67" i="24" a="1"/>
  <c r="F67" i="24" s="1"/>
  <c r="D67" i="24" a="1"/>
  <c r="D67" i="24" s="1"/>
  <c r="B67" i="24" a="1"/>
  <c r="B67" i="24" s="1"/>
  <c r="AV66" i="24" a="1"/>
  <c r="AV66" i="24" s="1"/>
  <c r="AV68" i="24" s="1"/>
  <c r="AT66" i="24" a="1"/>
  <c r="AT66" i="24" s="1"/>
  <c r="AR66" i="24" a="1"/>
  <c r="AR66" i="24" s="1"/>
  <c r="AP66" i="24"/>
  <c r="AP66" i="24" a="1"/>
  <c r="AN66" i="24"/>
  <c r="AN66" i="24" a="1"/>
  <c r="AL66" i="24" a="1"/>
  <c r="AL66" i="24" s="1"/>
  <c r="AL68" i="24" s="1"/>
  <c r="AJ66" i="24" a="1"/>
  <c r="AJ66" i="24" s="1"/>
  <c r="AJ68" i="24" s="1"/>
  <c r="AH66" i="24" a="1"/>
  <c r="AH66" i="24" s="1"/>
  <c r="AH68" i="24" s="1"/>
  <c r="AF66" i="24" a="1"/>
  <c r="AF66" i="24" s="1"/>
  <c r="AF68" i="24" s="1"/>
  <c r="AD66" i="24" a="1"/>
  <c r="AD66" i="24" s="1"/>
  <c r="AB66" i="24" a="1"/>
  <c r="AB66" i="24" s="1"/>
  <c r="Z66" i="24" a="1"/>
  <c r="Z66" i="24" s="1"/>
  <c r="Z68" i="24" s="1"/>
  <c r="X66" i="24"/>
  <c r="X66" i="24" a="1"/>
  <c r="V66" i="24" a="1"/>
  <c r="V66" i="24" s="1"/>
  <c r="V68" i="24" s="1"/>
  <c r="T66" i="24" a="1"/>
  <c r="T66" i="24" s="1"/>
  <c r="R66" i="24" a="1"/>
  <c r="R66" i="24" s="1"/>
  <c r="P66" i="24" a="1"/>
  <c r="P66" i="24" s="1"/>
  <c r="P68" i="24" s="1"/>
  <c r="N66" i="24" a="1"/>
  <c r="N66" i="24" s="1"/>
  <c r="N68" i="24" s="1"/>
  <c r="L66" i="24" a="1"/>
  <c r="L66" i="24" s="1"/>
  <c r="J66" i="24" a="1"/>
  <c r="J66" i="24" s="1"/>
  <c r="H66" i="24"/>
  <c r="H66" i="24" a="1"/>
  <c r="F66" i="24" a="1"/>
  <c r="F66" i="24" s="1"/>
  <c r="D66" i="24" a="1"/>
  <c r="D66" i="24" s="1"/>
  <c r="B66" i="24" a="1"/>
  <c r="B66" i="24" s="1"/>
  <c r="AV65" i="24" a="1"/>
  <c r="AV65" i="24" s="1"/>
  <c r="AV69" i="24" s="1"/>
  <c r="AT65" i="24"/>
  <c r="AT69" i="24" s="1"/>
  <c r="AT65" i="24" a="1"/>
  <c r="AR65" i="24" a="1"/>
  <c r="AR65" i="24" s="1"/>
  <c r="AR69" i="24" s="1"/>
  <c r="AP65" i="24" a="1"/>
  <c r="AP65" i="24" s="1"/>
  <c r="AP69" i="24" s="1"/>
  <c r="AN65" i="24"/>
  <c r="AN65" i="24" a="1"/>
  <c r="AL65" i="24" a="1"/>
  <c r="AL65" i="24" s="1"/>
  <c r="AL69" i="24" s="1"/>
  <c r="AJ65" i="24" a="1"/>
  <c r="AJ65" i="24" s="1"/>
  <c r="AJ69" i="24" s="1"/>
  <c r="AH65" i="24" a="1"/>
  <c r="AH65" i="24" s="1"/>
  <c r="AH69" i="24" s="1"/>
  <c r="AF65" i="24" a="1"/>
  <c r="AF65" i="24" s="1"/>
  <c r="AF69" i="24" s="1"/>
  <c r="AD65" i="24" a="1"/>
  <c r="AD65" i="24" s="1"/>
  <c r="AD69" i="24" s="1"/>
  <c r="AB65" i="24" a="1"/>
  <c r="AB65" i="24" s="1"/>
  <c r="AB69" i="24" s="1"/>
  <c r="Z65" i="24"/>
  <c r="Z69" i="24" s="1"/>
  <c r="Z65" i="24" a="1"/>
  <c r="X65" i="24"/>
  <c r="X65" i="24" a="1"/>
  <c r="V65" i="24" a="1"/>
  <c r="V65" i="24" s="1"/>
  <c r="V69" i="24" s="1"/>
  <c r="T65" i="24" a="1"/>
  <c r="T65" i="24" s="1"/>
  <c r="T69" i="24" s="1"/>
  <c r="R65" i="24" a="1"/>
  <c r="R65" i="24" s="1"/>
  <c r="R69" i="24" s="1"/>
  <c r="P65" i="24" a="1"/>
  <c r="P65" i="24" s="1"/>
  <c r="P69" i="24" s="1"/>
  <c r="N65" i="24" a="1"/>
  <c r="N65" i="24" s="1"/>
  <c r="N69" i="24" s="1"/>
  <c r="L65" i="24" a="1"/>
  <c r="L65" i="24" s="1"/>
  <c r="L69" i="24" s="1"/>
  <c r="J65" i="24" a="1"/>
  <c r="J65" i="24" s="1"/>
  <c r="J69" i="24" s="1"/>
  <c r="H65" i="24"/>
  <c r="H65" i="24" a="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a="1"/>
  <c r="AR58" i="24" s="1"/>
  <c r="AP58" i="24" a="1"/>
  <c r="AP58" i="24" s="1"/>
  <c r="AN58" i="24" a="1"/>
  <c r="AN58" i="24" s="1"/>
  <c r="AL58" i="24" a="1"/>
  <c r="AL58" i="24" s="1"/>
  <c r="AJ58" i="24" a="1"/>
  <c r="AJ58" i="24" s="1"/>
  <c r="AH58" i="24" a="1"/>
  <c r="AH58" i="24" s="1"/>
  <c r="AF58" i="24"/>
  <c r="AF58" i="24" a="1"/>
  <c r="AD58" i="24"/>
  <c r="AD58" i="24" a="1"/>
  <c r="AB58" i="24" a="1"/>
  <c r="AB58" i="24" s="1"/>
  <c r="Z58" i="24" a="1"/>
  <c r="Z58" i="24" s="1"/>
  <c r="X58" i="24" a="1"/>
  <c r="X58" i="24" s="1"/>
  <c r="V58" i="24" a="1"/>
  <c r="V58" i="24" s="1"/>
  <c r="T58" i="24" a="1"/>
  <c r="T58" i="24" s="1"/>
  <c r="R58" i="24" a="1"/>
  <c r="R58" i="24" s="1"/>
  <c r="P58" i="24"/>
  <c r="P58" i="24" a="1"/>
  <c r="N58" i="24"/>
  <c r="N58" i="24" a="1"/>
  <c r="L58" i="24" a="1"/>
  <c r="L58" i="24" s="1"/>
  <c r="J58" i="24" a="1"/>
  <c r="J58" i="24" s="1"/>
  <c r="H58" i="24" a="1"/>
  <c r="H58" i="24" s="1"/>
  <c r="F58" i="24" a="1"/>
  <c r="F58" i="24" s="1"/>
  <c r="D58" i="24"/>
  <c r="D58" i="24" a="1"/>
  <c r="B58" i="24" a="1"/>
  <c r="B58" i="24" s="1"/>
  <c r="AV57" i="24"/>
  <c r="AV57" i="24" a="1"/>
  <c r="AT57" i="24"/>
  <c r="AT57" i="24" a="1"/>
  <c r="AR57" i="24" a="1"/>
  <c r="AR57" i="24" s="1"/>
  <c r="AP57" i="24" a="1"/>
  <c r="AP57" i="24" s="1"/>
  <c r="AN57" i="24" a="1"/>
  <c r="AN57" i="24" s="1"/>
  <c r="AL57" i="24" a="1"/>
  <c r="AL57" i="24" s="1"/>
  <c r="AJ57" i="24" a="1"/>
  <c r="AJ57" i="24" s="1"/>
  <c r="AH57" i="24" a="1"/>
  <c r="AH57" i="24" s="1"/>
  <c r="AF57" i="24"/>
  <c r="AF57" i="24" a="1"/>
  <c r="AD57" i="24"/>
  <c r="AD57" i="24" a="1"/>
  <c r="AB57" i="24" a="1"/>
  <c r="AB57" i="24" s="1"/>
  <c r="Z57" i="24" a="1"/>
  <c r="Z57" i="24" s="1"/>
  <c r="X57" i="24" a="1"/>
  <c r="X57" i="24" s="1"/>
  <c r="V57" i="24" a="1"/>
  <c r="V57" i="24" s="1"/>
  <c r="T57" i="24" a="1"/>
  <c r="T57" i="24" s="1"/>
  <c r="R57" i="24" a="1"/>
  <c r="R57" i="24" s="1"/>
  <c r="P57" i="24"/>
  <c r="P57" i="24" a="1"/>
  <c r="N57" i="24"/>
  <c r="N57" i="24" a="1"/>
  <c r="L57" i="24" a="1"/>
  <c r="L57" i="24" s="1"/>
  <c r="J57" i="24" a="1"/>
  <c r="J57" i="24" s="1"/>
  <c r="H57" i="24" a="1"/>
  <c r="H57" i="24" s="1"/>
  <c r="F57" i="24" a="1"/>
  <c r="F57" i="24" s="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P80" i="24" s="1"/>
  <c r="AN55" i="24"/>
  <c r="AN80" i="24" s="1"/>
  <c r="AL55" i="24"/>
  <c r="AL80" i="24" s="1"/>
  <c r="AJ55" i="24"/>
  <c r="AH55" i="24"/>
  <c r="AF55" i="24"/>
  <c r="AF80" i="24" s="1"/>
  <c r="AD55" i="24"/>
  <c r="AD80" i="24" s="1"/>
  <c r="AB55" i="24"/>
  <c r="AB80" i="24" s="1"/>
  <c r="Z55" i="24"/>
  <c r="Z80" i="24" s="1"/>
  <c r="X55" i="24"/>
  <c r="V55" i="24"/>
  <c r="T55" i="24"/>
  <c r="R55" i="24"/>
  <c r="P55" i="24"/>
  <c r="N55" i="24"/>
  <c r="L55" i="24"/>
  <c r="J55" i="24"/>
  <c r="J80" i="24" s="1"/>
  <c r="H55" i="24"/>
  <c r="H80" i="24" s="1"/>
  <c r="F55" i="24"/>
  <c r="F80" i="24" s="1"/>
  <c r="D55" i="24"/>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J51" i="24"/>
  <c r="AH51" i="24"/>
  <c r="AF51" i="24"/>
  <c r="AD51" i="24"/>
  <c r="AB51" i="24"/>
  <c r="Z51" i="24"/>
  <c r="Z81" i="24" s="1"/>
  <c r="X51" i="24"/>
  <c r="X81" i="24" s="1"/>
  <c r="V51" i="24"/>
  <c r="V81" i="24" s="1"/>
  <c r="T51" i="24"/>
  <c r="T81" i="24" s="1"/>
  <c r="R51" i="24"/>
  <c r="R81" i="24" s="1"/>
  <c r="P51" i="24"/>
  <c r="P81" i="24" s="1"/>
  <c r="N51" i="24"/>
  <c r="N81" i="24" s="1"/>
  <c r="L51" i="24"/>
  <c r="L81" i="24" s="1"/>
  <c r="J51" i="24"/>
  <c r="J81" i="24" s="1"/>
  <c r="H51" i="24"/>
  <c r="F51" i="24"/>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a="1"/>
  <c r="AJ43" i="24" s="1"/>
  <c r="AH43" i="24" a="1"/>
  <c r="AH43" i="24" s="1"/>
  <c r="AF43" i="24"/>
  <c r="AF43" i="24" a="1"/>
  <c r="AD43" i="24" a="1"/>
  <c r="AD43" i="24" s="1"/>
  <c r="AB43" i="24" a="1"/>
  <c r="AB43" i="24" s="1"/>
  <c r="Z43" i="24" a="1"/>
  <c r="Z43" i="24" s="1"/>
  <c r="X43" i="24" a="1"/>
  <c r="X43" i="24" s="1"/>
  <c r="V43" i="24" a="1"/>
  <c r="V43" i="24" s="1"/>
  <c r="T43" i="24" a="1"/>
  <c r="T43" i="24" s="1"/>
  <c r="R43" i="24" a="1"/>
  <c r="R43" i="24" s="1"/>
  <c r="P43" i="24"/>
  <c r="P43" i="24" a="1"/>
  <c r="N43" i="24" a="1"/>
  <c r="N43" i="24" s="1"/>
  <c r="L43" i="24" a="1"/>
  <c r="L43" i="24" s="1"/>
  <c r="J43" i="24" a="1"/>
  <c r="J43" i="24" s="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T81" i="22"/>
  <c r="AR81" i="22"/>
  <c r="AJ81" i="22"/>
  <c r="AH81" i="22"/>
  <c r="AF81" i="22"/>
  <c r="AB81" i="22"/>
  <c r="Z81" i="22"/>
  <c r="V81" i="22"/>
  <c r="T81" i="22"/>
  <c r="N81" i="22"/>
  <c r="L81" i="22"/>
  <c r="D81" i="22"/>
  <c r="B81" i="22"/>
  <c r="AV80" i="22"/>
  <c r="AR80" i="22"/>
  <c r="AP80" i="22"/>
  <c r="AL80" i="22"/>
  <c r="AJ80" i="22"/>
  <c r="AD80" i="22"/>
  <c r="AB80" i="22"/>
  <c r="V80" i="22"/>
  <c r="T80" i="22"/>
  <c r="R80" i="22"/>
  <c r="P80" i="22"/>
  <c r="L80" i="22"/>
  <c r="J80" i="22"/>
  <c r="F80" i="22"/>
  <c r="D80" i="22"/>
  <c r="AV79" i="22" a="1"/>
  <c r="AV79" i="22" s="1"/>
  <c r="AT79" i="22"/>
  <c r="AT79" i="22" a="1"/>
  <c r="AR79" i="22" a="1"/>
  <c r="AR79" i="22" s="1"/>
  <c r="AP79" i="22" a="1"/>
  <c r="AP79" i="22" s="1"/>
  <c r="AN79" i="22"/>
  <c r="AN79" i="22" a="1"/>
  <c r="AL79" i="22" a="1"/>
  <c r="AL79" i="22" s="1"/>
  <c r="AJ79" i="22" a="1"/>
  <c r="AJ79" i="22" s="1"/>
  <c r="AH79" i="22" a="1"/>
  <c r="AH79" i="22" s="1"/>
  <c r="AF79" i="22" a="1"/>
  <c r="AF79" i="22" s="1"/>
  <c r="AD79" i="22"/>
  <c r="AD79" i="22" a="1"/>
  <c r="AB79" i="22" a="1"/>
  <c r="AB79" i="22" s="1"/>
  <c r="Z79" i="22" a="1"/>
  <c r="Z79" i="22" s="1"/>
  <c r="X79" i="22"/>
  <c r="X79" i="22" a="1"/>
  <c r="V79" i="22" a="1"/>
  <c r="V79" i="22" s="1"/>
  <c r="T79" i="22" a="1"/>
  <c r="T79" i="22" s="1"/>
  <c r="R79" i="22" a="1"/>
  <c r="R79" i="22" s="1"/>
  <c r="P79" i="22" a="1"/>
  <c r="P79" i="22" s="1"/>
  <c r="N79" i="22"/>
  <c r="N79" i="22" a="1"/>
  <c r="L79" i="22" a="1"/>
  <c r="L79" i="22" s="1"/>
  <c r="J79" i="22" a="1"/>
  <c r="J79" i="22" s="1"/>
  <c r="H79" i="22"/>
  <c r="H79" i="22" a="1"/>
  <c r="F79" i="22" a="1"/>
  <c r="F79" i="22" s="1"/>
  <c r="D79" i="22" a="1"/>
  <c r="D79" i="22" s="1"/>
  <c r="B79" i="22" a="1"/>
  <c r="B79" i="22" s="1"/>
  <c r="AV78" i="22" a="1"/>
  <c r="AV78" i="22" s="1"/>
  <c r="AT78" i="22"/>
  <c r="AT78" i="22" a="1"/>
  <c r="AR78" i="22" a="1"/>
  <c r="AR78" i="22" s="1"/>
  <c r="AP78" i="22" a="1"/>
  <c r="AP78" i="22" s="1"/>
  <c r="AN78" i="22"/>
  <c r="AN78" i="22" a="1"/>
  <c r="AL78" i="22" a="1"/>
  <c r="AL78" i="22" s="1"/>
  <c r="AJ78" i="22" a="1"/>
  <c r="AJ78" i="22" s="1"/>
  <c r="AH78" i="22" a="1"/>
  <c r="AH78" i="22" s="1"/>
  <c r="AF78" i="22" a="1"/>
  <c r="AF78" i="22" s="1"/>
  <c r="AD78" i="22"/>
  <c r="AD78" i="22" a="1"/>
  <c r="AB78" i="22" a="1"/>
  <c r="AB78" i="22" s="1"/>
  <c r="Z78" i="22" a="1"/>
  <c r="Z78" i="22" s="1"/>
  <c r="X78" i="22"/>
  <c r="X78" i="22" a="1"/>
  <c r="V78" i="22" a="1"/>
  <c r="V78" i="22" s="1"/>
  <c r="T78" i="22" a="1"/>
  <c r="T78" i="22" s="1"/>
  <c r="R78" i="22" a="1"/>
  <c r="R78" i="22" s="1"/>
  <c r="P78" i="22" a="1"/>
  <c r="P78" i="22" s="1"/>
  <c r="N78" i="22"/>
  <c r="N78" i="22" a="1"/>
  <c r="L78" i="22" a="1"/>
  <c r="L78" i="22" s="1"/>
  <c r="J78" i="22" a="1"/>
  <c r="J78" i="22" s="1"/>
  <c r="H78" i="22"/>
  <c r="H78" i="22" a="1"/>
  <c r="F78" i="22" a="1"/>
  <c r="F78" i="22" s="1"/>
  <c r="D78" i="22" a="1"/>
  <c r="D78" i="22" s="1"/>
  <c r="B78" i="22" a="1"/>
  <c r="B78" i="22" s="1"/>
  <c r="AV77" i="22" a="1"/>
  <c r="AV77" i="22" s="1"/>
  <c r="AT77" i="22"/>
  <c r="AT77" i="22" a="1"/>
  <c r="AR77" i="22" a="1"/>
  <c r="AR77" i="22" s="1"/>
  <c r="AP77" i="22" a="1"/>
  <c r="AP77" i="22" s="1"/>
  <c r="AN77" i="22"/>
  <c r="AN77" i="22" a="1"/>
  <c r="AL77" i="22" a="1"/>
  <c r="AL77" i="22" s="1"/>
  <c r="AJ77" i="22" a="1"/>
  <c r="AJ77" i="22" s="1"/>
  <c r="AH77" i="22" a="1"/>
  <c r="AH77" i="22" s="1"/>
  <c r="AF77" i="22" a="1"/>
  <c r="AF77" i="22" s="1"/>
  <c r="AD77" i="22"/>
  <c r="AD77" i="22" a="1"/>
  <c r="AB77" i="22" a="1"/>
  <c r="AB77" i="22" s="1"/>
  <c r="Z77" i="22" a="1"/>
  <c r="Z77" i="22" s="1"/>
  <c r="X77" i="22"/>
  <c r="X77" i="22" a="1"/>
  <c r="V77" i="22" a="1"/>
  <c r="V77" i="22" s="1"/>
  <c r="T77" i="22" a="1"/>
  <c r="T77" i="22" s="1"/>
  <c r="R77" i="22" a="1"/>
  <c r="R77" i="22" s="1"/>
  <c r="P77" i="22" a="1"/>
  <c r="P77" i="22" s="1"/>
  <c r="N77" i="22"/>
  <c r="N77" i="22" a="1"/>
  <c r="L77" i="22" a="1"/>
  <c r="L77" i="22" s="1"/>
  <c r="J77" i="22" a="1"/>
  <c r="J77" i="22" s="1"/>
  <c r="H77" i="22"/>
  <c r="H77" i="22" a="1"/>
  <c r="F77" i="22" a="1"/>
  <c r="F77" i="22" s="1"/>
  <c r="D77" i="22" a="1"/>
  <c r="D77" i="22" s="1"/>
  <c r="B77" i="22" a="1"/>
  <c r="B77" i="22" s="1"/>
  <c r="AV76" i="22" a="1"/>
  <c r="AV76" i="22" s="1"/>
  <c r="AT76" i="22"/>
  <c r="AT76" i="22" a="1"/>
  <c r="AR76" i="22" a="1"/>
  <c r="AR76" i="22" s="1"/>
  <c r="AP76" i="22" a="1"/>
  <c r="AP76" i="22" s="1"/>
  <c r="AN76" i="22"/>
  <c r="AN76" i="22" a="1"/>
  <c r="AL76" i="22" a="1"/>
  <c r="AL76" i="22" s="1"/>
  <c r="AJ76" i="22" a="1"/>
  <c r="AJ76" i="22" s="1"/>
  <c r="AH76" i="22" a="1"/>
  <c r="AH76" i="22" s="1"/>
  <c r="AF76" i="22" a="1"/>
  <c r="AF76" i="22" s="1"/>
  <c r="AD76" i="22"/>
  <c r="AD76" i="22" a="1"/>
  <c r="AB76" i="22" a="1"/>
  <c r="AB76" i="22" s="1"/>
  <c r="Z76" i="22" a="1"/>
  <c r="Z76" i="22" s="1"/>
  <c r="X76" i="22"/>
  <c r="X76" i="22" a="1"/>
  <c r="V76" i="22" a="1"/>
  <c r="V76" i="22" s="1"/>
  <c r="T76" i="22" a="1"/>
  <c r="T76" i="22" s="1"/>
  <c r="R76" i="22" a="1"/>
  <c r="R76" i="22" s="1"/>
  <c r="P76" i="22" a="1"/>
  <c r="P76" i="22" s="1"/>
  <c r="N76" i="22"/>
  <c r="N76" i="22" a="1"/>
  <c r="L76" i="22" a="1"/>
  <c r="L76" i="22" s="1"/>
  <c r="J76" i="22" a="1"/>
  <c r="J76" i="22" s="1"/>
  <c r="H76" i="22"/>
  <c r="H76" i="22" a="1"/>
  <c r="F76" i="22" a="1"/>
  <c r="F76" i="22" s="1"/>
  <c r="D76" i="22" a="1"/>
  <c r="D76" i="22" s="1"/>
  <c r="B76" i="22" a="1"/>
  <c r="B76" i="22" s="1"/>
  <c r="AV75" i="22" a="1"/>
  <c r="AV75" i="22" s="1"/>
  <c r="AT75" i="22"/>
  <c r="AT75" i="22" a="1"/>
  <c r="AR75" i="22" a="1"/>
  <c r="AR75" i="22" s="1"/>
  <c r="AP75" i="22" a="1"/>
  <c r="AP75" i="22" s="1"/>
  <c r="AN75" i="22"/>
  <c r="AN75" i="22" a="1"/>
  <c r="AL75" i="22" a="1"/>
  <c r="AL75" i="22" s="1"/>
  <c r="AJ75" i="22" a="1"/>
  <c r="AJ75" i="22" s="1"/>
  <c r="AH75" i="22" a="1"/>
  <c r="AH75" i="22" s="1"/>
  <c r="AF75" i="22" a="1"/>
  <c r="AF75" i="22" s="1"/>
  <c r="AD75" i="22"/>
  <c r="AD75" i="22" a="1"/>
  <c r="AB75" i="22" a="1"/>
  <c r="AB75" i="22" s="1"/>
  <c r="Z75" i="22" a="1"/>
  <c r="Z75" i="22" s="1"/>
  <c r="X75" i="22"/>
  <c r="X75" i="22" a="1"/>
  <c r="V75" i="22" a="1"/>
  <c r="V75" i="22" s="1"/>
  <c r="T75" i="22" a="1"/>
  <c r="T75" i="22" s="1"/>
  <c r="R75" i="22" a="1"/>
  <c r="R75" i="22" s="1"/>
  <c r="P75" i="22" a="1"/>
  <c r="P75" i="22" s="1"/>
  <c r="N75" i="22"/>
  <c r="N75" i="22" a="1"/>
  <c r="L75" i="22" a="1"/>
  <c r="L75" i="22" s="1"/>
  <c r="J75" i="22" a="1"/>
  <c r="J75" i="22" s="1"/>
  <c r="H75" i="22"/>
  <c r="H75" i="22" a="1"/>
  <c r="F75" i="22" a="1"/>
  <c r="F75" i="22" s="1"/>
  <c r="D75" i="22" a="1"/>
  <c r="D75" i="22" s="1"/>
  <c r="B75" i="22" a="1"/>
  <c r="B75" i="22" s="1"/>
  <c r="AV74" i="22" a="1"/>
  <c r="AV74" i="22" s="1"/>
  <c r="AT74" i="22"/>
  <c r="AT74" i="22" a="1"/>
  <c r="AR74" i="22" a="1"/>
  <c r="AR74" i="22" s="1"/>
  <c r="AP74" i="22" a="1"/>
  <c r="AP74" i="22" s="1"/>
  <c r="AN74" i="22"/>
  <c r="AN74" i="22" a="1"/>
  <c r="AL74" i="22" a="1"/>
  <c r="AL74" i="22" s="1"/>
  <c r="AJ74" i="22" a="1"/>
  <c r="AJ74" i="22" s="1"/>
  <c r="AH74" i="22" a="1"/>
  <c r="AH74" i="22" s="1"/>
  <c r="AF74" i="22" a="1"/>
  <c r="AF74" i="22" s="1"/>
  <c r="AD74" i="22"/>
  <c r="AD74" i="22" a="1"/>
  <c r="AB74" i="22" a="1"/>
  <c r="AB74" i="22" s="1"/>
  <c r="Z74" i="22" a="1"/>
  <c r="Z74" i="22" s="1"/>
  <c r="X74" i="22"/>
  <c r="X74" i="22" a="1"/>
  <c r="V74" i="22" a="1"/>
  <c r="V74" i="22" s="1"/>
  <c r="T74" i="22" a="1"/>
  <c r="T74" i="22" s="1"/>
  <c r="R74" i="22" a="1"/>
  <c r="R74" i="22" s="1"/>
  <c r="P74" i="22" a="1"/>
  <c r="P74" i="22" s="1"/>
  <c r="N74" i="22"/>
  <c r="N74" i="22" a="1"/>
  <c r="L74" i="22" a="1"/>
  <c r="L74" i="22" s="1"/>
  <c r="J74" i="22" a="1"/>
  <c r="J74" i="22" s="1"/>
  <c r="H74" i="22"/>
  <c r="H74" i="22" a="1"/>
  <c r="F74" i="22" a="1"/>
  <c r="F74" i="22" s="1"/>
  <c r="D74" i="22" a="1"/>
  <c r="D74" i="22" s="1"/>
  <c r="B74" i="22" a="1"/>
  <c r="B74" i="22" s="1"/>
  <c r="AV73" i="22" a="1"/>
  <c r="AV73" i="22" s="1"/>
  <c r="AT73" i="22"/>
  <c r="AT73" i="22" a="1"/>
  <c r="AR73" i="22" a="1"/>
  <c r="AR73" i="22" s="1"/>
  <c r="AP73" i="22" a="1"/>
  <c r="AP73" i="22" s="1"/>
  <c r="AN73" i="22"/>
  <c r="AN73" i="22" a="1"/>
  <c r="AL73" i="22" a="1"/>
  <c r="AL73" i="22" s="1"/>
  <c r="AJ73" i="22" a="1"/>
  <c r="AJ73" i="22" s="1"/>
  <c r="AH73" i="22" a="1"/>
  <c r="AH73" i="22" s="1"/>
  <c r="AF73" i="22" a="1"/>
  <c r="AF73" i="22" s="1"/>
  <c r="AD73" i="22"/>
  <c r="AD73" i="22" a="1"/>
  <c r="AB73" i="22" a="1"/>
  <c r="AB73" i="22" s="1"/>
  <c r="Z73" i="22" a="1"/>
  <c r="Z73" i="22" s="1"/>
  <c r="X73" i="22"/>
  <c r="X73" i="22" a="1"/>
  <c r="V73" i="22" a="1"/>
  <c r="V73" i="22" s="1"/>
  <c r="T73" i="22" a="1"/>
  <c r="T73" i="22" s="1"/>
  <c r="R73" i="22" a="1"/>
  <c r="R73" i="22" s="1"/>
  <c r="P73" i="22" a="1"/>
  <c r="P73" i="22" s="1"/>
  <c r="N73" i="22"/>
  <c r="N73" i="22" a="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L69" i="22"/>
  <c r="AH69" i="22"/>
  <c r="F69" i="22"/>
  <c r="B69" i="22"/>
  <c r="V68" i="22"/>
  <c r="T68" i="22"/>
  <c r="R68" i="22"/>
  <c r="AV67" i="22"/>
  <c r="AV67" i="22" a="1"/>
  <c r="AT67" i="22" a="1"/>
  <c r="AT67" i="22" s="1"/>
  <c r="AR67" i="22" a="1"/>
  <c r="AR67" i="22" s="1"/>
  <c r="AP67" i="22" a="1"/>
  <c r="AP67" i="22" s="1"/>
  <c r="AN67" i="22" a="1"/>
  <c r="AN67" i="22" s="1"/>
  <c r="AL67" i="22"/>
  <c r="AL67" i="22" a="1"/>
  <c r="AJ67" i="22" a="1"/>
  <c r="AJ67" i="22" s="1"/>
  <c r="AH67" i="22" a="1"/>
  <c r="AH67" i="22" s="1"/>
  <c r="AF67" i="22"/>
  <c r="AF67" i="22" a="1"/>
  <c r="AD67" i="22" a="1"/>
  <c r="AD67" i="22" s="1"/>
  <c r="AB67" i="22" a="1"/>
  <c r="AB67" i="22" s="1"/>
  <c r="Z67" i="22" a="1"/>
  <c r="Z67" i="22" s="1"/>
  <c r="X67" i="22" a="1"/>
  <c r="X67" i="22" s="1"/>
  <c r="V67" i="22"/>
  <c r="V67" i="22" a="1"/>
  <c r="T67" i="22" a="1"/>
  <c r="T67" i="22" s="1"/>
  <c r="R67" i="22" a="1"/>
  <c r="R67" i="22" s="1"/>
  <c r="P67" i="22"/>
  <c r="P67" i="22" a="1"/>
  <c r="N67" i="22" a="1"/>
  <c r="N67" i="22" s="1"/>
  <c r="L67" i="22" a="1"/>
  <c r="L67" i="22" s="1"/>
  <c r="J67" i="22" a="1"/>
  <c r="J67" i="22" s="1"/>
  <c r="H67" i="22" a="1"/>
  <c r="H67" i="22" s="1"/>
  <c r="F67" i="22"/>
  <c r="F67" i="22" a="1"/>
  <c r="D67" i="22" a="1"/>
  <c r="D67" i="22" s="1"/>
  <c r="B67" i="22" a="1"/>
  <c r="B67" i="22" s="1"/>
  <c r="AV66" i="22"/>
  <c r="AV66" i="22" a="1"/>
  <c r="AT66" i="22" a="1"/>
  <c r="AT66" i="22" s="1"/>
  <c r="AT68" i="22" s="1"/>
  <c r="AR66" i="22" a="1"/>
  <c r="AR66" i="22" s="1"/>
  <c r="AP66" i="22" a="1"/>
  <c r="AP66" i="22" s="1"/>
  <c r="AN66" i="22" a="1"/>
  <c r="AN66" i="22" s="1"/>
  <c r="AN68" i="22" s="1"/>
  <c r="AL66" i="22"/>
  <c r="AL68" i="22" s="1"/>
  <c r="AL66" i="22" a="1"/>
  <c r="AJ66" i="22" a="1"/>
  <c r="AJ66" i="22" s="1"/>
  <c r="AH66" i="22" a="1"/>
  <c r="AH66" i="22" s="1"/>
  <c r="AH68" i="22" s="1"/>
  <c r="AF66" i="22"/>
  <c r="AF68" i="22" s="1"/>
  <c r="AF66" i="22" a="1"/>
  <c r="AD66" i="22" a="1"/>
  <c r="AD66" i="22" s="1"/>
  <c r="AD68" i="22" s="1"/>
  <c r="AB66" i="22" a="1"/>
  <c r="AB66" i="22" s="1"/>
  <c r="AB68" i="22" s="1"/>
  <c r="Z66" i="22"/>
  <c r="Z66" i="22" a="1"/>
  <c r="X66" i="22" a="1"/>
  <c r="X66" i="22" s="1"/>
  <c r="X68" i="22" s="1"/>
  <c r="V66" i="22"/>
  <c r="V66" i="22" a="1"/>
  <c r="T66" i="22" a="1"/>
  <c r="T66" i="22" s="1"/>
  <c r="R66" i="22" a="1"/>
  <c r="R66" i="22" s="1"/>
  <c r="P66" i="22"/>
  <c r="P68" i="22" s="1"/>
  <c r="P66" i="22" a="1"/>
  <c r="N66" i="22" a="1"/>
  <c r="N66" i="22" s="1"/>
  <c r="N68" i="22" s="1"/>
  <c r="L66" i="22" a="1"/>
  <c r="L66" i="22" s="1"/>
  <c r="J66" i="22"/>
  <c r="J66" i="22" a="1"/>
  <c r="H66" i="22" a="1"/>
  <c r="H66" i="22" s="1"/>
  <c r="F66" i="22"/>
  <c r="F68" i="22" s="1"/>
  <c r="F66" i="22" a="1"/>
  <c r="D66" i="22" a="1"/>
  <c r="D66" i="22" s="1"/>
  <c r="D68" i="22" s="1"/>
  <c r="B66" i="22" a="1"/>
  <c r="B66" i="22" s="1"/>
  <c r="AV65" i="22"/>
  <c r="AV69" i="22" s="1"/>
  <c r="AV65" i="22" a="1"/>
  <c r="AT65" i="22" a="1"/>
  <c r="AT65" i="22" s="1"/>
  <c r="AT69" i="22" s="1"/>
  <c r="AR65" i="22" a="1"/>
  <c r="AR65" i="22" s="1"/>
  <c r="AR69" i="22" s="1"/>
  <c r="AP65" i="22" a="1"/>
  <c r="AP65" i="22" s="1"/>
  <c r="AP69" i="22" s="1"/>
  <c r="AN65" i="22" a="1"/>
  <c r="AN65" i="22" s="1"/>
  <c r="AN69" i="22" s="1"/>
  <c r="AL65" i="22"/>
  <c r="AL65" i="22" a="1"/>
  <c r="AJ65" i="22" a="1"/>
  <c r="AJ65" i="22" s="1"/>
  <c r="AJ69" i="22" s="1"/>
  <c r="AH65" i="22" a="1"/>
  <c r="AH65" i="22" s="1"/>
  <c r="AF65" i="22"/>
  <c r="AF69" i="22" s="1"/>
  <c r="AF65" i="22" a="1"/>
  <c r="AD65" i="22" a="1"/>
  <c r="AD65" i="22" s="1"/>
  <c r="AD69" i="22" s="1"/>
  <c r="AB65" i="22" a="1"/>
  <c r="AB65" i="22" s="1"/>
  <c r="AB69" i="22" s="1"/>
  <c r="Z65" i="22" a="1"/>
  <c r="Z65" i="22" s="1"/>
  <c r="Z69" i="22" s="1"/>
  <c r="X65" i="22" a="1"/>
  <c r="X65" i="22" s="1"/>
  <c r="X69" i="22" s="1"/>
  <c r="V65" i="22"/>
  <c r="V69" i="22" s="1"/>
  <c r="V65" i="22" a="1"/>
  <c r="T65" i="22" a="1"/>
  <c r="T65" i="22" s="1"/>
  <c r="T69" i="22" s="1"/>
  <c r="R65" i="22" a="1"/>
  <c r="R65" i="22" s="1"/>
  <c r="R69" i="22" s="1"/>
  <c r="P65" i="22"/>
  <c r="P69" i="22" s="1"/>
  <c r="P65" i="22" a="1"/>
  <c r="N65" i="22" a="1"/>
  <c r="N65" i="22" s="1"/>
  <c r="N69" i="22" s="1"/>
  <c r="L65" i="22" a="1"/>
  <c r="L65" i="22" s="1"/>
  <c r="L69" i="22" s="1"/>
  <c r="J65" i="22"/>
  <c r="J69" i="22" s="1"/>
  <c r="J65" i="22" a="1"/>
  <c r="H65" i="22" a="1"/>
  <c r="H65" i="22" s="1"/>
  <c r="H69" i="22" s="1"/>
  <c r="F65" i="22"/>
  <c r="F65" i="22" a="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a="1"/>
  <c r="AP58" i="22" s="1"/>
  <c r="AN58" i="22" a="1"/>
  <c r="AN58" i="22" s="1"/>
  <c r="AL58" i="22" a="1"/>
  <c r="AL58" i="22" s="1"/>
  <c r="AJ58" i="22"/>
  <c r="AJ58" i="22" a="1"/>
  <c r="AH58" i="22" a="1"/>
  <c r="AH58" i="22" s="1"/>
  <c r="AF58" i="22"/>
  <c r="AF58" i="22" a="1"/>
  <c r="AD58" i="22" a="1"/>
  <c r="AD58" i="22" s="1"/>
  <c r="AB58" i="22" a="1"/>
  <c r="AB58" i="22" s="1"/>
  <c r="Z58" i="22" a="1"/>
  <c r="Z58" i="22" s="1"/>
  <c r="X58" i="22" a="1"/>
  <c r="X58" i="22" s="1"/>
  <c r="V58" i="22" a="1"/>
  <c r="V58" i="22" s="1"/>
  <c r="T58" i="22"/>
  <c r="T58" i="22" a="1"/>
  <c r="R58" i="22" a="1"/>
  <c r="R58" i="22" s="1"/>
  <c r="P58" i="22"/>
  <c r="P58" i="22" a="1"/>
  <c r="N58" i="22" a="1"/>
  <c r="N58" i="22" s="1"/>
  <c r="L58" i="22" a="1"/>
  <c r="L58" i="22" s="1"/>
  <c r="J58" i="22" a="1"/>
  <c r="J58" i="22" s="1"/>
  <c r="H58" i="22" a="1"/>
  <c r="H58" i="22" s="1"/>
  <c r="F58" i="22" a="1"/>
  <c r="F58" i="22" s="1"/>
  <c r="D58" i="22"/>
  <c r="D58" i="22" a="1"/>
  <c r="B58" i="22" a="1"/>
  <c r="B58" i="22" s="1"/>
  <c r="AV57" i="22"/>
  <c r="AV57" i="22" a="1"/>
  <c r="AT57" i="22" a="1"/>
  <c r="AT57" i="22" s="1"/>
  <c r="AR57" i="22" a="1"/>
  <c r="AR57" i="22" s="1"/>
  <c r="AP57" i="22" a="1"/>
  <c r="AP57" i="22" s="1"/>
  <c r="AN57" i="22" a="1"/>
  <c r="AN57" i="22" s="1"/>
  <c r="AL57" i="22" a="1"/>
  <c r="AL57" i="22" s="1"/>
  <c r="AJ57" i="22"/>
  <c r="AJ57" i="22" a="1"/>
  <c r="AH57" i="22" a="1"/>
  <c r="AH57" i="22" s="1"/>
  <c r="AF57" i="22"/>
  <c r="AF57" i="22" a="1"/>
  <c r="AD57" i="22" a="1"/>
  <c r="AD57" i="22" s="1"/>
  <c r="AB57" i="22" a="1"/>
  <c r="AB57" i="22" s="1"/>
  <c r="Z57" i="22" a="1"/>
  <c r="Z57" i="22" s="1"/>
  <c r="X57" i="22" a="1"/>
  <c r="X57" i="22" s="1"/>
  <c r="V57" i="22" a="1"/>
  <c r="V57" i="22" s="1"/>
  <c r="T57" i="22"/>
  <c r="T57" i="22" a="1"/>
  <c r="R57" i="22" a="1"/>
  <c r="R57" i="22" s="1"/>
  <c r="P57" i="22"/>
  <c r="P57" i="22" a="1"/>
  <c r="N57" i="22" a="1"/>
  <c r="N57" i="22" s="1"/>
  <c r="L57" i="22" a="1"/>
  <c r="L57" i="22" s="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J55" i="22"/>
  <c r="AH55" i="22"/>
  <c r="AH80" i="22" s="1"/>
  <c r="AF55" i="22"/>
  <c r="AF80" i="22" s="1"/>
  <c r="AD55" i="22"/>
  <c r="AB55" i="22"/>
  <c r="Z55" i="22"/>
  <c r="Z80" i="22" s="1"/>
  <c r="X55" i="22"/>
  <c r="X80" i="22" s="1"/>
  <c r="V55" i="22"/>
  <c r="T55" i="22"/>
  <c r="R55" i="22"/>
  <c r="P55" i="22"/>
  <c r="N55" i="22"/>
  <c r="N80" i="22" s="1"/>
  <c r="L55" i="22"/>
  <c r="J55" i="22"/>
  <c r="H55" i="22"/>
  <c r="H80" i="22" s="1"/>
  <c r="F55" i="22"/>
  <c r="D55" i="22"/>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R51" i="22"/>
  <c r="AP51" i="22"/>
  <c r="AP81" i="22" s="1"/>
  <c r="AN51" i="22"/>
  <c r="AN81" i="22" s="1"/>
  <c r="AL51" i="22"/>
  <c r="AL81" i="22" s="1"/>
  <c r="AJ51" i="22"/>
  <c r="AH51" i="22"/>
  <c r="AF51" i="22"/>
  <c r="AD51" i="22"/>
  <c r="AD81" i="22" s="1"/>
  <c r="AB51" i="22"/>
  <c r="Z51" i="22"/>
  <c r="X51" i="22"/>
  <c r="X81" i="22" s="1"/>
  <c r="V51" i="22"/>
  <c r="T51" i="22"/>
  <c r="R51" i="22"/>
  <c r="R81" i="22" s="1"/>
  <c r="P51" i="22"/>
  <c r="P81" i="22" s="1"/>
  <c r="N51" i="22"/>
  <c r="L51" i="22"/>
  <c r="J51" i="22"/>
  <c r="J81" i="22" s="1"/>
  <c r="H51" i="22"/>
  <c r="H81" i="22" s="1"/>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c r="AJ43" i="22" a="1"/>
  <c r="AH43" i="22" a="1"/>
  <c r="AH43" i="22" s="1"/>
  <c r="AF43" i="22"/>
  <c r="AF43" i="22" a="1"/>
  <c r="AD43" i="22" a="1"/>
  <c r="AD43" i="22" s="1"/>
  <c r="AB43" i="22" a="1"/>
  <c r="AB43" i="22" s="1"/>
  <c r="Z43" i="22" a="1"/>
  <c r="Z43" i="22" s="1"/>
  <c r="X43" i="22" a="1"/>
  <c r="X43" i="22" s="1"/>
  <c r="V43" i="22" a="1"/>
  <c r="V43" i="22" s="1"/>
  <c r="T43" i="22"/>
  <c r="T43" i="22" a="1"/>
  <c r="R43" i="22" a="1"/>
  <c r="R43" i="22" s="1"/>
  <c r="P43" i="22"/>
  <c r="P43" i="22" a="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N81" i="12"/>
  <c r="AL81" i="12"/>
  <c r="AF81" i="12"/>
  <c r="AD81" i="12"/>
  <c r="AB81" i="12"/>
  <c r="Z81" i="12"/>
  <c r="T81" i="12"/>
  <c r="R81" i="12"/>
  <c r="H81" i="12"/>
  <c r="F81" i="12"/>
  <c r="AV80" i="12"/>
  <c r="AT80" i="12"/>
  <c r="AR80" i="12"/>
  <c r="AJ80" i="12"/>
  <c r="AH80" i="12"/>
  <c r="X80" i="12"/>
  <c r="V80" i="12"/>
  <c r="P80" i="12"/>
  <c r="N80" i="12"/>
  <c r="L80" i="12"/>
  <c r="J80" i="12"/>
  <c r="D80" i="12"/>
  <c r="B80" i="12"/>
  <c r="AV79" i="12" a="1"/>
  <c r="AV79" i="12" s="1"/>
  <c r="AT79" i="12" a="1"/>
  <c r="AT79" i="12" s="1"/>
  <c r="AR79" i="12" a="1"/>
  <c r="AR79" i="12" s="1"/>
  <c r="AP79" i="12" a="1"/>
  <c r="AP79" i="12" s="1"/>
  <c r="AN79" i="12" a="1"/>
  <c r="AN79" i="12" s="1"/>
  <c r="AL79" i="12" a="1"/>
  <c r="AL79" i="12" s="1"/>
  <c r="AJ79" i="12"/>
  <c r="AJ79" i="12" a="1"/>
  <c r="AH79" i="12" a="1"/>
  <c r="AH79" i="12" s="1"/>
  <c r="AF79" i="12" a="1"/>
  <c r="AF79" i="12" s="1"/>
  <c r="AD79" i="12" a="1"/>
  <c r="AD79" i="12" s="1"/>
  <c r="AB79" i="12" a="1"/>
  <c r="AB79" i="12" s="1"/>
  <c r="Z79" i="12" a="1"/>
  <c r="Z79" i="12" s="1"/>
  <c r="X79" i="12" a="1"/>
  <c r="X79" i="12" s="1"/>
  <c r="V79" i="12" a="1"/>
  <c r="V79" i="12" s="1"/>
  <c r="T79" i="12"/>
  <c r="T79" i="12" a="1"/>
  <c r="R79" i="12" a="1"/>
  <c r="R79" i="12" s="1"/>
  <c r="P79" i="12" a="1"/>
  <c r="P79" i="12" s="1"/>
  <c r="N79" i="12" a="1"/>
  <c r="N79" i="12" s="1"/>
  <c r="L79" i="12" a="1"/>
  <c r="L79" i="12" s="1"/>
  <c r="J79" i="12" a="1"/>
  <c r="J79" i="12" s="1"/>
  <c r="H79" i="12" a="1"/>
  <c r="H79" i="12" s="1"/>
  <c r="F79" i="12" a="1"/>
  <c r="F79" i="12" s="1"/>
  <c r="D79" i="12"/>
  <c r="D79" i="12" a="1"/>
  <c r="B79" i="12" a="1"/>
  <c r="B79" i="12" s="1"/>
  <c r="AV78" i="12" a="1"/>
  <c r="AV78" i="12" s="1"/>
  <c r="AT78" i="12" a="1"/>
  <c r="AT78" i="12" s="1"/>
  <c r="AR78" i="12" a="1"/>
  <c r="AR78" i="12" s="1"/>
  <c r="AP78" i="12" a="1"/>
  <c r="AP78" i="12" s="1"/>
  <c r="AN78" i="12" a="1"/>
  <c r="AN78" i="12" s="1"/>
  <c r="AL78" i="12" a="1"/>
  <c r="AL78" i="12" s="1"/>
  <c r="AJ78" i="12" a="1"/>
  <c r="AJ78" i="12" s="1"/>
  <c r="AH78" i="12" a="1"/>
  <c r="AH78" i="12" s="1"/>
  <c r="AF78" i="12" a="1"/>
  <c r="AF78" i="12" s="1"/>
  <c r="AD78" i="12" a="1"/>
  <c r="AD78" i="12" s="1"/>
  <c r="AB78" i="12" a="1"/>
  <c r="AB78" i="12" s="1"/>
  <c r="Z78" i="12" a="1"/>
  <c r="Z78" i="12" s="1"/>
  <c r="X78" i="12" a="1"/>
  <c r="X78" i="12" s="1"/>
  <c r="V78" i="12" a="1"/>
  <c r="V78" i="12" s="1"/>
  <c r="T78" i="12" a="1"/>
  <c r="T78" i="12" s="1"/>
  <c r="R78" i="12" a="1"/>
  <c r="R78" i="12" s="1"/>
  <c r="P78" i="12" a="1"/>
  <c r="P78" i="12" s="1"/>
  <c r="N78" i="12" a="1"/>
  <c r="N78" i="12" s="1"/>
  <c r="L78" i="12" a="1"/>
  <c r="L78" i="12" s="1"/>
  <c r="J78" i="12" a="1"/>
  <c r="J78" i="12" s="1"/>
  <c r="H78" i="12" a="1"/>
  <c r="H78" i="12" s="1"/>
  <c r="F78" i="12" a="1"/>
  <c r="F78" i="12" s="1"/>
  <c r="D78" i="12" a="1"/>
  <c r="D78" i="12" s="1"/>
  <c r="B78" i="12" a="1"/>
  <c r="B78" i="12" s="1"/>
  <c r="AV77" i="12" a="1"/>
  <c r="AV77" i="12" s="1"/>
  <c r="AT77" i="12" a="1"/>
  <c r="AT77" i="12" s="1"/>
  <c r="AR77" i="12" a="1"/>
  <c r="AR77" i="12" s="1"/>
  <c r="AP77" i="12" a="1"/>
  <c r="AP77" i="12" s="1"/>
  <c r="AN77" i="12" a="1"/>
  <c r="AN77" i="12" s="1"/>
  <c r="AL77" i="12" a="1"/>
  <c r="AL77" i="12" s="1"/>
  <c r="AJ77" i="12" a="1"/>
  <c r="AJ77" i="12" s="1"/>
  <c r="AH77" i="12" a="1"/>
  <c r="AH77" i="12" s="1"/>
  <c r="AF77" i="12" a="1"/>
  <c r="AF77" i="12" s="1"/>
  <c r="AD77" i="12" a="1"/>
  <c r="AD77" i="12" s="1"/>
  <c r="AB77" i="12" a="1"/>
  <c r="AB77" i="12" s="1"/>
  <c r="Z77" i="12" a="1"/>
  <c r="Z77" i="12" s="1"/>
  <c r="X77" i="12" a="1"/>
  <c r="X77" i="12" s="1"/>
  <c r="V77" i="12" a="1"/>
  <c r="V77" i="12" s="1"/>
  <c r="T77" i="12" a="1"/>
  <c r="T77" i="12" s="1"/>
  <c r="R77" i="12" a="1"/>
  <c r="R77" i="12" s="1"/>
  <c r="P77" i="12" a="1"/>
  <c r="P77" i="12" s="1"/>
  <c r="N77" i="12" a="1"/>
  <c r="N77" i="12" s="1"/>
  <c r="L77" i="12" a="1"/>
  <c r="L77" i="12" s="1"/>
  <c r="J77" i="12" a="1"/>
  <c r="J77" i="12" s="1"/>
  <c r="H77" i="12" a="1"/>
  <c r="H77" i="12" s="1"/>
  <c r="F77" i="12" a="1"/>
  <c r="F77" i="12" s="1"/>
  <c r="D77" i="12" a="1"/>
  <c r="D77" i="12" s="1"/>
  <c r="B77" i="12" a="1"/>
  <c r="B77" i="12" s="1"/>
  <c r="AV76" i="12" a="1"/>
  <c r="AV76" i="12" s="1"/>
  <c r="AT76" i="12" a="1"/>
  <c r="AT76" i="12" s="1"/>
  <c r="AR76" i="12" a="1"/>
  <c r="AR76" i="12" s="1"/>
  <c r="AP76" i="12" a="1"/>
  <c r="AP76" i="12" s="1"/>
  <c r="AN76" i="12" a="1"/>
  <c r="AN76" i="12" s="1"/>
  <c r="AL76" i="12" a="1"/>
  <c r="AL76" i="12" s="1"/>
  <c r="AJ76" i="12" a="1"/>
  <c r="AJ76" i="12" s="1"/>
  <c r="AH76" i="12" a="1"/>
  <c r="AH76" i="12" s="1"/>
  <c r="AF76" i="12" a="1"/>
  <c r="AF76" i="12" s="1"/>
  <c r="AD76" i="12" a="1"/>
  <c r="AD76" i="12" s="1"/>
  <c r="AB76" i="12" a="1"/>
  <c r="AB76" i="12" s="1"/>
  <c r="Z76" i="12" a="1"/>
  <c r="Z76" i="12" s="1"/>
  <c r="X76" i="12" a="1"/>
  <c r="X76" i="12" s="1"/>
  <c r="V76" i="12" a="1"/>
  <c r="V76" i="12" s="1"/>
  <c r="T76" i="12" a="1"/>
  <c r="T76" i="12" s="1"/>
  <c r="R76" i="12" a="1"/>
  <c r="R76" i="12" s="1"/>
  <c r="P76" i="12" a="1"/>
  <c r="P76" i="12" s="1"/>
  <c r="N76" i="12" a="1"/>
  <c r="N76" i="12" s="1"/>
  <c r="L76" i="12" a="1"/>
  <c r="L76" i="12" s="1"/>
  <c r="J76" i="12" a="1"/>
  <c r="J76" i="12" s="1"/>
  <c r="H76" i="12" a="1"/>
  <c r="H76" i="12" s="1"/>
  <c r="F76" i="12" a="1"/>
  <c r="F76" i="12" s="1"/>
  <c r="D76" i="12" a="1"/>
  <c r="D76" i="12" s="1"/>
  <c r="B76" i="12" a="1"/>
  <c r="B76" i="12" s="1"/>
  <c r="AV75" i="12" a="1"/>
  <c r="AV75" i="12" s="1"/>
  <c r="AT75" i="12" a="1"/>
  <c r="AT75" i="12" s="1"/>
  <c r="AR75" i="12" a="1"/>
  <c r="AR75" i="12" s="1"/>
  <c r="AP75" i="12" a="1"/>
  <c r="AP75" i="12" s="1"/>
  <c r="AN75" i="12" a="1"/>
  <c r="AN75" i="12" s="1"/>
  <c r="AL75" i="12" a="1"/>
  <c r="AL75" i="12" s="1"/>
  <c r="AJ75" i="12" a="1"/>
  <c r="AJ75" i="12" s="1"/>
  <c r="AH75" i="12" a="1"/>
  <c r="AH75" i="12" s="1"/>
  <c r="AF75" i="12" a="1"/>
  <c r="AF75" i="12" s="1"/>
  <c r="AD75" i="12" a="1"/>
  <c r="AD75" i="12" s="1"/>
  <c r="AB75" i="12" a="1"/>
  <c r="AB75" i="12" s="1"/>
  <c r="Z75" i="12" a="1"/>
  <c r="Z75" i="12" s="1"/>
  <c r="X75" i="12" a="1"/>
  <c r="X75" i="12" s="1"/>
  <c r="V75" i="12" a="1"/>
  <c r="V75" i="12" s="1"/>
  <c r="T75" i="12" a="1"/>
  <c r="T75" i="12" s="1"/>
  <c r="R75" i="12" a="1"/>
  <c r="R75" i="12" s="1"/>
  <c r="P75" i="12" a="1"/>
  <c r="P75" i="12" s="1"/>
  <c r="N75" i="12" a="1"/>
  <c r="N75" i="12" s="1"/>
  <c r="L75" i="12" a="1"/>
  <c r="L75" i="12" s="1"/>
  <c r="J75" i="12" a="1"/>
  <c r="J75" i="12" s="1"/>
  <c r="H75" i="12" a="1"/>
  <c r="H75" i="12" s="1"/>
  <c r="F75" i="12" a="1"/>
  <c r="F75" i="12" s="1"/>
  <c r="D75" i="12" a="1"/>
  <c r="D75" i="12" s="1"/>
  <c r="B75" i="12" a="1"/>
  <c r="B75" i="12" s="1"/>
  <c r="AV74" i="12" a="1"/>
  <c r="AV74" i="12" s="1"/>
  <c r="AT74" i="12" a="1"/>
  <c r="AT74" i="12" s="1"/>
  <c r="AR74" i="12" a="1"/>
  <c r="AR74" i="12" s="1"/>
  <c r="AP74" i="12" a="1"/>
  <c r="AP74" i="12" s="1"/>
  <c r="AN74" i="12" a="1"/>
  <c r="AN74" i="12" s="1"/>
  <c r="AL74" i="12" a="1"/>
  <c r="AL74" i="12" s="1"/>
  <c r="AJ74" i="12" a="1"/>
  <c r="AJ74" i="12" s="1"/>
  <c r="AH74" i="12" a="1"/>
  <c r="AH74" i="12" s="1"/>
  <c r="AF74" i="12" a="1"/>
  <c r="AF74" i="12" s="1"/>
  <c r="AD74" i="12" a="1"/>
  <c r="AD74" i="12" s="1"/>
  <c r="AB74" i="12" a="1"/>
  <c r="AB74" i="12" s="1"/>
  <c r="Z74" i="12" a="1"/>
  <c r="Z74" i="12" s="1"/>
  <c r="X74" i="12" a="1"/>
  <c r="X74" i="12" s="1"/>
  <c r="V74" i="12" a="1"/>
  <c r="V74" i="12" s="1"/>
  <c r="T74" i="12" a="1"/>
  <c r="T74" i="12" s="1"/>
  <c r="R74" i="12" a="1"/>
  <c r="R74" i="12" s="1"/>
  <c r="P74" i="12" a="1"/>
  <c r="P74" i="12" s="1"/>
  <c r="N74" i="12" a="1"/>
  <c r="N74" i="12" s="1"/>
  <c r="L74" i="12" a="1"/>
  <c r="L74" i="12" s="1"/>
  <c r="J74" i="12" a="1"/>
  <c r="J74" i="12" s="1"/>
  <c r="H74" i="12" a="1"/>
  <c r="H74" i="12" s="1"/>
  <c r="F74" i="12" a="1"/>
  <c r="F74" i="12" s="1"/>
  <c r="D74" i="12" a="1"/>
  <c r="D74" i="12" s="1"/>
  <c r="B74" i="12" a="1"/>
  <c r="B74" i="12" s="1"/>
  <c r="AV73" i="12" a="1"/>
  <c r="AV73" i="12" s="1"/>
  <c r="AT73" i="12" a="1"/>
  <c r="AT73" i="12" s="1"/>
  <c r="AR73" i="12" a="1"/>
  <c r="AR73" i="12" s="1"/>
  <c r="AP73" i="12" a="1"/>
  <c r="AP73" i="12" s="1"/>
  <c r="AN73" i="12" a="1"/>
  <c r="AN73" i="12" s="1"/>
  <c r="AL73" i="12" a="1"/>
  <c r="AL73" i="12" s="1"/>
  <c r="AJ73" i="12" a="1"/>
  <c r="AJ73" i="12" s="1"/>
  <c r="AH73" i="12" a="1"/>
  <c r="AH73" i="12" s="1"/>
  <c r="AF73" i="12" a="1"/>
  <c r="AF73" i="12" s="1"/>
  <c r="AD73" i="12" a="1"/>
  <c r="AD73" i="12" s="1"/>
  <c r="AB73" i="12" a="1"/>
  <c r="AB73" i="12" s="1"/>
  <c r="Z73" i="12" a="1"/>
  <c r="Z73" i="12" s="1"/>
  <c r="X73" i="12" a="1"/>
  <c r="X73" i="12" s="1"/>
  <c r="V73" i="12" a="1"/>
  <c r="V73" i="12" s="1"/>
  <c r="T73" i="12" a="1"/>
  <c r="T73" i="12" s="1"/>
  <c r="R73" i="12" a="1"/>
  <c r="R73" i="12" s="1"/>
  <c r="P73" i="12" a="1"/>
  <c r="P73" i="12" s="1"/>
  <c r="N73" i="12" a="1"/>
  <c r="N73" i="12" s="1"/>
  <c r="L73" i="12" a="1"/>
  <c r="L73" i="12" s="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H69" i="12"/>
  <c r="B69" i="12"/>
  <c r="Z68" i="12"/>
  <c r="AV67" i="12" a="1"/>
  <c r="AV67" i="12" s="1"/>
  <c r="AT67" i="12" a="1"/>
  <c r="AT67" i="12" s="1"/>
  <c r="AR67" i="12" a="1"/>
  <c r="AR67" i="12" s="1"/>
  <c r="AP67" i="12" a="1"/>
  <c r="AP67" i="12" s="1"/>
  <c r="AN67" i="12" a="1"/>
  <c r="AN67" i="12" s="1"/>
  <c r="AL67" i="12" a="1"/>
  <c r="AL67" i="12" s="1"/>
  <c r="AJ67" i="12" a="1"/>
  <c r="AJ67" i="12" s="1"/>
  <c r="AH67" i="12" a="1"/>
  <c r="AH67" i="12" s="1"/>
  <c r="AF67" i="12" a="1"/>
  <c r="AF67" i="12" s="1"/>
  <c r="AD67" i="12"/>
  <c r="AD67" i="12" a="1"/>
  <c r="AB67" i="12" a="1"/>
  <c r="AB67" i="12" s="1"/>
  <c r="Z67" i="12" a="1"/>
  <c r="Z67" i="12" s="1"/>
  <c r="X67" i="12" a="1"/>
  <c r="X67" i="12" s="1"/>
  <c r="V67" i="12" a="1"/>
  <c r="V67" i="12" s="1"/>
  <c r="T67" i="12" a="1"/>
  <c r="T67" i="12" s="1"/>
  <c r="R67" i="12" a="1"/>
  <c r="R67" i="12" s="1"/>
  <c r="P67" i="12" a="1"/>
  <c r="P67" i="12" s="1"/>
  <c r="N67" i="12" a="1"/>
  <c r="N67" i="12" s="1"/>
  <c r="L67" i="12" a="1"/>
  <c r="L67" i="12" s="1"/>
  <c r="J67" i="12" a="1"/>
  <c r="J67" i="12" s="1"/>
  <c r="H67" i="12" a="1"/>
  <c r="H67" i="12" s="1"/>
  <c r="F67" i="12" a="1"/>
  <c r="F67" i="12" s="1"/>
  <c r="D67" i="12" a="1"/>
  <c r="D67" i="12" s="1"/>
  <c r="B67" i="12" a="1"/>
  <c r="B67" i="12" s="1"/>
  <c r="AV66" i="12" a="1"/>
  <c r="AV66" i="12" s="1"/>
  <c r="AT66" i="12"/>
  <c r="AT66" i="12" a="1"/>
  <c r="AR66" i="12" a="1"/>
  <c r="AR66" i="12" s="1"/>
  <c r="AR68" i="12" s="1"/>
  <c r="AP66" i="12" a="1"/>
  <c r="AP66" i="12" s="1"/>
  <c r="AP68" i="12" s="1"/>
  <c r="AN66" i="12" a="1"/>
  <c r="AN66" i="12" s="1"/>
  <c r="AL66" i="12" a="1"/>
  <c r="AL66" i="12" s="1"/>
  <c r="AJ66" i="12" a="1"/>
  <c r="AJ66" i="12" s="1"/>
  <c r="AJ68" i="12" s="1"/>
  <c r="AH66" i="12" a="1"/>
  <c r="AH66" i="12" s="1"/>
  <c r="AF66" i="12" a="1"/>
  <c r="AF66" i="12" s="1"/>
  <c r="AF68" i="12" s="1"/>
  <c r="AD66" i="12" a="1"/>
  <c r="AD66" i="12" s="1"/>
  <c r="AD68" i="12" s="1"/>
  <c r="AB66" i="12" a="1"/>
  <c r="AB66" i="12" s="1"/>
  <c r="Z66" i="12" a="1"/>
  <c r="Z66" i="12" s="1"/>
  <c r="X66" i="12" a="1"/>
  <c r="X66" i="12" s="1"/>
  <c r="V66" i="12" a="1"/>
  <c r="V66" i="12" s="1"/>
  <c r="T66" i="12" a="1"/>
  <c r="T66" i="12" s="1"/>
  <c r="T68" i="12" s="1"/>
  <c r="R66" i="12" a="1"/>
  <c r="R66" i="12" s="1"/>
  <c r="R68" i="12" s="1"/>
  <c r="P66" i="12" a="1"/>
  <c r="P66" i="12" s="1"/>
  <c r="N66" i="12" a="1"/>
  <c r="N66" i="12" s="1"/>
  <c r="N68" i="12" s="1"/>
  <c r="L66" i="12" a="1"/>
  <c r="L66" i="12" s="1"/>
  <c r="J66" i="12" a="1"/>
  <c r="J66" i="12" s="1"/>
  <c r="H66" i="12" a="1"/>
  <c r="H66" i="12" s="1"/>
  <c r="H68" i="12" s="1"/>
  <c r="F66" i="12" a="1"/>
  <c r="F66" i="12" s="1"/>
  <c r="D66" i="12" a="1"/>
  <c r="D66" i="12" s="1"/>
  <c r="D68" i="12" s="1"/>
  <c r="B66" i="12" a="1"/>
  <c r="B66" i="12" s="1"/>
  <c r="B68" i="12" s="1"/>
  <c r="AV65" i="12" a="1"/>
  <c r="AV65" i="12" s="1"/>
  <c r="AV69" i="12" s="1"/>
  <c r="AT65" i="12" a="1"/>
  <c r="AT65" i="12" s="1"/>
  <c r="AT69" i="12" s="1"/>
  <c r="AR65" i="12" a="1"/>
  <c r="AR65" i="12" s="1"/>
  <c r="AR69" i="12" s="1"/>
  <c r="AP65" i="12" a="1"/>
  <c r="AP65" i="12" s="1"/>
  <c r="AP69" i="12" s="1"/>
  <c r="AN65" i="12" a="1"/>
  <c r="AN65" i="12" s="1"/>
  <c r="AN69" i="12" s="1"/>
  <c r="AL65" i="12" a="1"/>
  <c r="AL65" i="12" s="1"/>
  <c r="AL69" i="12" s="1"/>
  <c r="AJ65" i="12" a="1"/>
  <c r="AJ65" i="12" s="1"/>
  <c r="AJ69" i="12" s="1"/>
  <c r="AH65" i="12" a="1"/>
  <c r="AH65" i="12" s="1"/>
  <c r="AF65" i="12" a="1"/>
  <c r="AF65" i="12" s="1"/>
  <c r="AF69" i="12" s="1"/>
  <c r="AD65" i="12" a="1"/>
  <c r="AD65" i="12" s="1"/>
  <c r="AD69" i="12" s="1"/>
  <c r="AB65" i="12" a="1"/>
  <c r="AB65" i="12" s="1"/>
  <c r="AB69" i="12" s="1"/>
  <c r="Z65" i="12" a="1"/>
  <c r="Z65" i="12" s="1"/>
  <c r="Z69" i="12" s="1"/>
  <c r="X65" i="12" a="1"/>
  <c r="X65" i="12" s="1"/>
  <c r="X69" i="12" s="1"/>
  <c r="V65" i="12" a="1"/>
  <c r="V65" i="12" s="1"/>
  <c r="V69" i="12" s="1"/>
  <c r="T65" i="12" a="1"/>
  <c r="T65" i="12" s="1"/>
  <c r="T69" i="12" s="1"/>
  <c r="R65" i="12" a="1"/>
  <c r="R65" i="12" s="1"/>
  <c r="R69" i="12" s="1"/>
  <c r="P65" i="12" a="1"/>
  <c r="P65" i="12" s="1"/>
  <c r="P69" i="12" s="1"/>
  <c r="N65" i="12" a="1"/>
  <c r="N65" i="12" s="1"/>
  <c r="N69" i="12" s="1"/>
  <c r="L65" i="12" a="1"/>
  <c r="L65" i="12" s="1"/>
  <c r="L69" i="12" s="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a="1"/>
  <c r="AR58" i="12" s="1"/>
  <c r="AP58" i="12"/>
  <c r="AP58" i="12" a="1"/>
  <c r="AN58" i="12" a="1"/>
  <c r="AN58" i="12" s="1"/>
  <c r="AL58" i="12" a="1"/>
  <c r="AL58" i="12" s="1"/>
  <c r="AJ58" i="12"/>
  <c r="AJ58" i="12" a="1"/>
  <c r="AH58" i="12" a="1"/>
  <c r="AH58" i="12" s="1"/>
  <c r="AF58" i="12"/>
  <c r="AF58" i="12" a="1"/>
  <c r="AD58" i="12"/>
  <c r="AD58" i="12" a="1"/>
  <c r="AB58" i="12" a="1"/>
  <c r="AB58" i="12" s="1"/>
  <c r="Z58" i="12"/>
  <c r="Z58" i="12" a="1"/>
  <c r="X58" i="12" a="1"/>
  <c r="X58" i="12" s="1"/>
  <c r="V58" i="12" a="1"/>
  <c r="V58" i="12" s="1"/>
  <c r="T58" i="12"/>
  <c r="T58" i="12" a="1"/>
  <c r="R58" i="12" a="1"/>
  <c r="R58" i="12" s="1"/>
  <c r="P58" i="12"/>
  <c r="P58" i="12" a="1"/>
  <c r="N58" i="12"/>
  <c r="N58" i="12" a="1"/>
  <c r="L58" i="12" a="1"/>
  <c r="L58" i="12" s="1"/>
  <c r="J58" i="12"/>
  <c r="J58" i="12" a="1"/>
  <c r="H58" i="12" a="1"/>
  <c r="H58" i="12" s="1"/>
  <c r="F58" i="12" a="1"/>
  <c r="F58" i="12" s="1"/>
  <c r="D58" i="12"/>
  <c r="D58" i="12" a="1"/>
  <c r="B58" i="12" a="1"/>
  <c r="B58" i="12" s="1"/>
  <c r="AV57" i="12"/>
  <c r="AV57" i="12" a="1"/>
  <c r="AT57" i="12"/>
  <c r="AT57" i="12" a="1"/>
  <c r="AR57" i="12" a="1"/>
  <c r="AR57" i="12" s="1"/>
  <c r="AP57" i="12"/>
  <c r="AP57" i="12" a="1"/>
  <c r="AN57" i="12" a="1"/>
  <c r="AN57" i="12" s="1"/>
  <c r="AL57" i="12" a="1"/>
  <c r="AL57" i="12" s="1"/>
  <c r="AJ57" i="12"/>
  <c r="AJ57" i="12" a="1"/>
  <c r="AH57" i="12" a="1"/>
  <c r="AH57" i="12" s="1"/>
  <c r="AF57" i="12"/>
  <c r="AF57" i="12" a="1"/>
  <c r="AD57" i="12"/>
  <c r="AD57" i="12" a="1"/>
  <c r="AB57" i="12" a="1"/>
  <c r="AB57" i="12" s="1"/>
  <c r="Z57" i="12"/>
  <c r="Z57" i="12" a="1"/>
  <c r="X57" i="12" a="1"/>
  <c r="X57" i="12" s="1"/>
  <c r="V57" i="12" a="1"/>
  <c r="V57" i="12" s="1"/>
  <c r="T57" i="12"/>
  <c r="T57" i="12" a="1"/>
  <c r="R57" i="12" a="1"/>
  <c r="R57" i="12" s="1"/>
  <c r="P57" i="12"/>
  <c r="P57" i="12" a="1"/>
  <c r="N57" i="12"/>
  <c r="N57" i="12" a="1"/>
  <c r="L57" i="12" a="1"/>
  <c r="L57" i="12" s="1"/>
  <c r="J57" i="12"/>
  <c r="J57" i="12" a="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P80" i="12" s="1"/>
  <c r="AN55" i="12"/>
  <c r="AN80" i="12" s="1"/>
  <c r="AL55" i="12"/>
  <c r="AL80" i="12" s="1"/>
  <c r="AJ55" i="12"/>
  <c r="AH55" i="12"/>
  <c r="AF55" i="12"/>
  <c r="AF80" i="12" s="1"/>
  <c r="AD55" i="12"/>
  <c r="AD80" i="12" s="1"/>
  <c r="AB55" i="12"/>
  <c r="AB80" i="12" s="1"/>
  <c r="Z55" i="12"/>
  <c r="Z80" i="12" s="1"/>
  <c r="X55" i="12"/>
  <c r="V55" i="12"/>
  <c r="T55" i="12"/>
  <c r="T80" i="12" s="1"/>
  <c r="R55" i="12"/>
  <c r="R80" i="12" s="1"/>
  <c r="P55" i="12"/>
  <c r="N55" i="12"/>
  <c r="L55" i="12"/>
  <c r="J55" i="12"/>
  <c r="H55" i="12"/>
  <c r="H80" i="12" s="1"/>
  <c r="F55" i="12"/>
  <c r="F80" i="12" s="1"/>
  <c r="D55" i="12"/>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L51" i="12"/>
  <c r="AJ51" i="12"/>
  <c r="AJ81" i="12" s="1"/>
  <c r="AH51" i="12"/>
  <c r="AH81" i="12" s="1"/>
  <c r="AF51" i="12"/>
  <c r="AD51" i="12"/>
  <c r="AB51" i="12"/>
  <c r="Z51" i="12"/>
  <c r="X51" i="12"/>
  <c r="X81" i="12" s="1"/>
  <c r="V51" i="12"/>
  <c r="V81" i="12" s="1"/>
  <c r="T51" i="12"/>
  <c r="R51" i="12"/>
  <c r="P51" i="12"/>
  <c r="P81" i="12" s="1"/>
  <c r="N51" i="12"/>
  <c r="N81" i="12" s="1"/>
  <c r="L51" i="12"/>
  <c r="L81" i="12" s="1"/>
  <c r="J51" i="12"/>
  <c r="J81" i="12" s="1"/>
  <c r="H51" i="12"/>
  <c r="F51" i="12"/>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c r="AP43" i="12" a="1"/>
  <c r="AN43" i="12" a="1"/>
  <c r="AN43" i="12" s="1"/>
  <c r="AL43" i="12" a="1"/>
  <c r="AL43" i="12" s="1"/>
  <c r="AJ43" i="12"/>
  <c r="AJ43" i="12" a="1"/>
  <c r="AH43" i="12" a="1"/>
  <c r="AH43" i="12" s="1"/>
  <c r="AF43" i="12"/>
  <c r="AF43" i="12" a="1"/>
  <c r="AD43" i="12" a="1"/>
  <c r="AD43" i="12" s="1"/>
  <c r="AB43" i="12" a="1"/>
  <c r="AB43" i="12" s="1"/>
  <c r="Z43" i="12"/>
  <c r="Z43" i="12" a="1"/>
  <c r="X43" i="12" a="1"/>
  <c r="X43" i="12" s="1"/>
  <c r="V43" i="12" a="1"/>
  <c r="V43" i="12" s="1"/>
  <c r="T43" i="12"/>
  <c r="T43" i="12" a="1"/>
  <c r="R43" i="12" a="1"/>
  <c r="R43" i="12" s="1"/>
  <c r="P43" i="12"/>
  <c r="P43" i="12" a="1"/>
  <c r="N43" i="12" a="1"/>
  <c r="N43" i="12" s="1"/>
  <c r="L43" i="12" a="1"/>
  <c r="L43" i="12" s="1"/>
  <c r="J43" i="12"/>
  <c r="J43" i="12" a="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N81" i="11"/>
  <c r="AH81" i="11"/>
  <c r="AF81" i="11"/>
  <c r="AD81" i="11"/>
  <c r="AB81" i="11"/>
  <c r="Z81" i="11"/>
  <c r="R81" i="11"/>
  <c r="H81" i="11"/>
  <c r="B81" i="11"/>
  <c r="AV80" i="11"/>
  <c r="AT80" i="11"/>
  <c r="AR80" i="11"/>
  <c r="AH80" i="11"/>
  <c r="X80" i="11"/>
  <c r="R80" i="11"/>
  <c r="P80" i="11"/>
  <c r="N80" i="11"/>
  <c r="L80" i="11"/>
  <c r="B80" i="11"/>
  <c r="AV79" i="11" a="1"/>
  <c r="AV79" i="11" s="1"/>
  <c r="AT79" i="11" a="1"/>
  <c r="AT79" i="11" s="1"/>
  <c r="AR79" i="11"/>
  <c r="AR79" i="11" a="1"/>
  <c r="AP79" i="11" a="1"/>
  <c r="AP79" i="11" s="1"/>
  <c r="AN79" i="11" a="1"/>
  <c r="AN79" i="11" s="1"/>
  <c r="AL79" i="11" a="1"/>
  <c r="AL79" i="11" s="1"/>
  <c r="AJ79" i="11" a="1"/>
  <c r="AJ79" i="11" s="1"/>
  <c r="AH79" i="11" a="1"/>
  <c r="AH79" i="11" s="1"/>
  <c r="AF79" i="11" a="1"/>
  <c r="AF79" i="11" s="1"/>
  <c r="AD79" i="11" a="1"/>
  <c r="AD79" i="11" s="1"/>
  <c r="AB79" i="11"/>
  <c r="AB79" i="11" a="1"/>
  <c r="Z79" i="11" a="1"/>
  <c r="Z79" i="11" s="1"/>
  <c r="X79" i="11" a="1"/>
  <c r="X79" i="11" s="1"/>
  <c r="V79" i="11" a="1"/>
  <c r="V79" i="11" s="1"/>
  <c r="T79" i="11" a="1"/>
  <c r="T79" i="11" s="1"/>
  <c r="R79" i="11" a="1"/>
  <c r="R79" i="11" s="1"/>
  <c r="P79" i="11" a="1"/>
  <c r="P79" i="11" s="1"/>
  <c r="N79" i="11" a="1"/>
  <c r="N79" i="11" s="1"/>
  <c r="L79" i="11"/>
  <c r="L79" i="11" a="1"/>
  <c r="J79" i="11" a="1"/>
  <c r="J79" i="11" s="1"/>
  <c r="H79" i="11" a="1"/>
  <c r="H79" i="11" s="1"/>
  <c r="F79" i="11" a="1"/>
  <c r="F79" i="11" s="1"/>
  <c r="D79" i="11" a="1"/>
  <c r="D79" i="11" s="1"/>
  <c r="B79" i="11" a="1"/>
  <c r="B79" i="11" s="1"/>
  <c r="AV78" i="11" a="1"/>
  <c r="AV78" i="11" s="1"/>
  <c r="AT78" i="11" a="1"/>
  <c r="AT78" i="11" s="1"/>
  <c r="AR78" i="11"/>
  <c r="AR78" i="11" a="1"/>
  <c r="AP78" i="11" a="1"/>
  <c r="AP78" i="11" s="1"/>
  <c r="AN78" i="11" a="1"/>
  <c r="AN78" i="11" s="1"/>
  <c r="AL78" i="11" a="1"/>
  <c r="AL78" i="11" s="1"/>
  <c r="AJ78" i="11" a="1"/>
  <c r="AJ78" i="11" s="1"/>
  <c r="AH78" i="11" a="1"/>
  <c r="AH78" i="11" s="1"/>
  <c r="AF78" i="11" a="1"/>
  <c r="AF78" i="11" s="1"/>
  <c r="AD78" i="11" a="1"/>
  <c r="AD78" i="11" s="1"/>
  <c r="AB78" i="11"/>
  <c r="AB78" i="11" a="1"/>
  <c r="Z78" i="11" a="1"/>
  <c r="Z78" i="11" s="1"/>
  <c r="X78" i="11" a="1"/>
  <c r="X78" i="11" s="1"/>
  <c r="V78" i="11" a="1"/>
  <c r="V78" i="11" s="1"/>
  <c r="T78" i="11" a="1"/>
  <c r="T78" i="11" s="1"/>
  <c r="R78" i="11" a="1"/>
  <c r="R78" i="11" s="1"/>
  <c r="P78" i="11" a="1"/>
  <c r="P78" i="11" s="1"/>
  <c r="N78" i="11" a="1"/>
  <c r="N78" i="11" s="1"/>
  <c r="L78" i="11"/>
  <c r="L78" i="11" a="1"/>
  <c r="J78" i="11" a="1"/>
  <c r="J78" i="11" s="1"/>
  <c r="H78" i="11" a="1"/>
  <c r="H78" i="11" s="1"/>
  <c r="F78" i="11" a="1"/>
  <c r="F78" i="11" s="1"/>
  <c r="D78" i="11" a="1"/>
  <c r="D78" i="11" s="1"/>
  <c r="B78" i="11" a="1"/>
  <c r="B78" i="11" s="1"/>
  <c r="AV77" i="11" a="1"/>
  <c r="AV77" i="11" s="1"/>
  <c r="AT77" i="11" a="1"/>
  <c r="AT77" i="11" s="1"/>
  <c r="AR77" i="11"/>
  <c r="AR77" i="11" a="1"/>
  <c r="AP77" i="11" a="1"/>
  <c r="AP77" i="11" s="1"/>
  <c r="AN77" i="11" a="1"/>
  <c r="AN77" i="11" s="1"/>
  <c r="AL77" i="11" a="1"/>
  <c r="AL77" i="11" s="1"/>
  <c r="AJ77" i="11" a="1"/>
  <c r="AJ77" i="11" s="1"/>
  <c r="AH77" i="11" a="1"/>
  <c r="AH77" i="11" s="1"/>
  <c r="AF77" i="11" a="1"/>
  <c r="AF77" i="11" s="1"/>
  <c r="AD77" i="11" a="1"/>
  <c r="AD77" i="11" s="1"/>
  <c r="AB77" i="11"/>
  <c r="AB77" i="11" a="1"/>
  <c r="Z77" i="11" a="1"/>
  <c r="Z77" i="11" s="1"/>
  <c r="X77" i="11" a="1"/>
  <c r="X77" i="11" s="1"/>
  <c r="V77" i="11" a="1"/>
  <c r="V77" i="11" s="1"/>
  <c r="T77" i="11" a="1"/>
  <c r="T77" i="11" s="1"/>
  <c r="R77" i="11" a="1"/>
  <c r="R77" i="11" s="1"/>
  <c r="P77" i="11" a="1"/>
  <c r="P77" i="11" s="1"/>
  <c r="N77" i="11" a="1"/>
  <c r="N77" i="11" s="1"/>
  <c r="L77" i="11"/>
  <c r="L77" i="11" a="1"/>
  <c r="J77" i="11" a="1"/>
  <c r="J77" i="11" s="1"/>
  <c r="H77" i="11" a="1"/>
  <c r="H77" i="11" s="1"/>
  <c r="F77" i="11" a="1"/>
  <c r="F77" i="11" s="1"/>
  <c r="D77" i="11" a="1"/>
  <c r="D77" i="11" s="1"/>
  <c r="B77" i="11" a="1"/>
  <c r="B77" i="11" s="1"/>
  <c r="AV76" i="11" a="1"/>
  <c r="AV76" i="11" s="1"/>
  <c r="AT76" i="11" a="1"/>
  <c r="AT76" i="11" s="1"/>
  <c r="AR76" i="11"/>
  <c r="AR76" i="11" a="1"/>
  <c r="AP76" i="11" a="1"/>
  <c r="AP76" i="11" s="1"/>
  <c r="AN76" i="11" a="1"/>
  <c r="AN76" i="11" s="1"/>
  <c r="AL76" i="11" a="1"/>
  <c r="AL76" i="11" s="1"/>
  <c r="AJ76" i="11" a="1"/>
  <c r="AJ76" i="11" s="1"/>
  <c r="AH76" i="11" a="1"/>
  <c r="AH76" i="11" s="1"/>
  <c r="AF76" i="11" a="1"/>
  <c r="AF76" i="11" s="1"/>
  <c r="AD76" i="11" a="1"/>
  <c r="AD76" i="11" s="1"/>
  <c r="AB76" i="11"/>
  <c r="AB76" i="11" a="1"/>
  <c r="Z76" i="11" a="1"/>
  <c r="Z76" i="11" s="1"/>
  <c r="X76" i="11" a="1"/>
  <c r="X76" i="11" s="1"/>
  <c r="V76" i="11"/>
  <c r="V76" i="11" a="1"/>
  <c r="T76" i="11" a="1"/>
  <c r="T76" i="11" s="1"/>
  <c r="R76" i="11" a="1"/>
  <c r="R76" i="11" s="1"/>
  <c r="P76" i="11" a="1"/>
  <c r="P76" i="11" s="1"/>
  <c r="N76" i="11" a="1"/>
  <c r="N76" i="11" s="1"/>
  <c r="L76" i="11"/>
  <c r="L76" i="11" a="1"/>
  <c r="J76" i="11" a="1"/>
  <c r="J76" i="11" s="1"/>
  <c r="H76" i="11" a="1"/>
  <c r="H76" i="11" s="1"/>
  <c r="F76" i="11" a="1"/>
  <c r="F76" i="11" s="1"/>
  <c r="D76" i="11" a="1"/>
  <c r="D76" i="11" s="1"/>
  <c r="B76" i="11" a="1"/>
  <c r="B76" i="11" s="1"/>
  <c r="AV75" i="11" a="1"/>
  <c r="AV75" i="11" s="1"/>
  <c r="AT75" i="11" a="1"/>
  <c r="AT75" i="11" s="1"/>
  <c r="AR75" i="11"/>
  <c r="AR75" i="11" a="1"/>
  <c r="AP75" i="11" a="1"/>
  <c r="AP75" i="11" s="1"/>
  <c r="AN75" i="11" a="1"/>
  <c r="AN75" i="11" s="1"/>
  <c r="AL75" i="11" a="1"/>
  <c r="AL75" i="11" s="1"/>
  <c r="AJ75" i="11" a="1"/>
  <c r="AJ75" i="11" s="1"/>
  <c r="AH75" i="11" a="1"/>
  <c r="AH75" i="11" s="1"/>
  <c r="AF75" i="11" a="1"/>
  <c r="AF75" i="11" s="1"/>
  <c r="AD75" i="11" a="1"/>
  <c r="AD75" i="11" s="1"/>
  <c r="AB75" i="11"/>
  <c r="AB75" i="11" a="1"/>
  <c r="Z75" i="11" a="1"/>
  <c r="Z75" i="11" s="1"/>
  <c r="X75" i="11" a="1"/>
  <c r="X75" i="11" s="1"/>
  <c r="V75" i="11" a="1"/>
  <c r="V75" i="11" s="1"/>
  <c r="T75" i="11" a="1"/>
  <c r="T75" i="11" s="1"/>
  <c r="R75" i="11" a="1"/>
  <c r="R75" i="11" s="1"/>
  <c r="P75" i="11" a="1"/>
  <c r="P75" i="11" s="1"/>
  <c r="N75" i="11" a="1"/>
  <c r="N75" i="11" s="1"/>
  <c r="L75" i="11"/>
  <c r="L75" i="11" a="1"/>
  <c r="J75" i="11" a="1"/>
  <c r="J75" i="11" s="1"/>
  <c r="H75" i="11" a="1"/>
  <c r="H75" i="11" s="1"/>
  <c r="F75" i="11" a="1"/>
  <c r="F75" i="11" s="1"/>
  <c r="D75" i="11" a="1"/>
  <c r="D75" i="11" s="1"/>
  <c r="B75" i="11" a="1"/>
  <c r="B75" i="11" s="1"/>
  <c r="AV74" i="11" a="1"/>
  <c r="AV74" i="11" s="1"/>
  <c r="AT74" i="11" a="1"/>
  <c r="AT74" i="11" s="1"/>
  <c r="AR74" i="11"/>
  <c r="AR74" i="11" a="1"/>
  <c r="AP74" i="11" a="1"/>
  <c r="AP74" i="11" s="1"/>
  <c r="AN74" i="11" a="1"/>
  <c r="AN74" i="11" s="1"/>
  <c r="AL74" i="11" a="1"/>
  <c r="AL74" i="11" s="1"/>
  <c r="AJ74" i="11" a="1"/>
  <c r="AJ74" i="11" s="1"/>
  <c r="AH74" i="11" a="1"/>
  <c r="AH74" i="11" s="1"/>
  <c r="AF74" i="11" a="1"/>
  <c r="AF74" i="11" s="1"/>
  <c r="AD74" i="11" a="1"/>
  <c r="AD74" i="11" s="1"/>
  <c r="AB74" i="11"/>
  <c r="AB74" i="11" a="1"/>
  <c r="Z74" i="11" a="1"/>
  <c r="Z74" i="11" s="1"/>
  <c r="X74" i="11" a="1"/>
  <c r="X74" i="11" s="1"/>
  <c r="V74" i="11"/>
  <c r="V74" i="11" a="1"/>
  <c r="T74" i="11" a="1"/>
  <c r="T74" i="11" s="1"/>
  <c r="R74" i="11" a="1"/>
  <c r="R74" i="11" s="1"/>
  <c r="P74" i="11" a="1"/>
  <c r="P74" i="11" s="1"/>
  <c r="N74" i="11" a="1"/>
  <c r="N74" i="11" s="1"/>
  <c r="L74" i="11"/>
  <c r="L74" i="11" a="1"/>
  <c r="J74" i="11" a="1"/>
  <c r="J74" i="11" s="1"/>
  <c r="H74" i="11" a="1"/>
  <c r="H74" i="11" s="1"/>
  <c r="F74" i="11" a="1"/>
  <c r="F74" i="11" s="1"/>
  <c r="D74" i="11" a="1"/>
  <c r="D74" i="11" s="1"/>
  <c r="B74" i="11" a="1"/>
  <c r="B74" i="11" s="1"/>
  <c r="AV73" i="11" a="1"/>
  <c r="AV73" i="11" s="1"/>
  <c r="AT73" i="11" a="1"/>
  <c r="AT73" i="11" s="1"/>
  <c r="AR73" i="11"/>
  <c r="AR73" i="11" a="1"/>
  <c r="AP73" i="11" a="1"/>
  <c r="AP73" i="11" s="1"/>
  <c r="AN73" i="11" a="1"/>
  <c r="AN73" i="11" s="1"/>
  <c r="AL73" i="11"/>
  <c r="AL73" i="11" a="1"/>
  <c r="AJ73" i="11" a="1"/>
  <c r="AJ73" i="11" s="1"/>
  <c r="AH73" i="11" a="1"/>
  <c r="AH73" i="11" s="1"/>
  <c r="AF73" i="11" a="1"/>
  <c r="AF73" i="11" s="1"/>
  <c r="AD73" i="11" a="1"/>
  <c r="AD73" i="11" s="1"/>
  <c r="AB73" i="11"/>
  <c r="AB73" i="11" a="1"/>
  <c r="Z73" i="11" a="1"/>
  <c r="Z73" i="11" s="1"/>
  <c r="X73" i="11" a="1"/>
  <c r="X73" i="11" s="1"/>
  <c r="V73" i="11" a="1"/>
  <c r="V73" i="11" s="1"/>
  <c r="T73" i="11" a="1"/>
  <c r="T73" i="11" s="1"/>
  <c r="R73" i="11" a="1"/>
  <c r="R73" i="11" s="1"/>
  <c r="P73" i="11" a="1"/>
  <c r="P73" i="11" s="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R69" i="11"/>
  <c r="B69" i="11"/>
  <c r="AB68" i="11"/>
  <c r="AV67" i="11" a="1"/>
  <c r="AV67" i="11" s="1"/>
  <c r="AT67" i="11" a="1"/>
  <c r="AT67" i="11" s="1"/>
  <c r="AR67" i="11" a="1"/>
  <c r="AR67" i="11" s="1"/>
  <c r="AP67" i="11" a="1"/>
  <c r="AP67" i="11" s="1"/>
  <c r="AN67" i="11" a="1"/>
  <c r="AN67" i="11" s="1"/>
  <c r="AL67" i="11" a="1"/>
  <c r="AL67" i="11" s="1"/>
  <c r="AJ67" i="11"/>
  <c r="AJ67" i="11" a="1"/>
  <c r="AH67" i="11" a="1"/>
  <c r="AH67" i="11" s="1"/>
  <c r="AF67" i="11" a="1"/>
  <c r="AF67" i="11" s="1"/>
  <c r="AD67" i="11" a="1"/>
  <c r="AD67" i="11" s="1"/>
  <c r="AB67" i="11" a="1"/>
  <c r="AB67" i="11" s="1"/>
  <c r="Z67" i="11" a="1"/>
  <c r="Z67" i="11" s="1"/>
  <c r="Z68" i="11" s="1"/>
  <c r="X67" i="11" a="1"/>
  <c r="X67" i="11" s="1"/>
  <c r="V67" i="11" a="1"/>
  <c r="V67" i="11" s="1"/>
  <c r="T67" i="11"/>
  <c r="T67" i="11" a="1"/>
  <c r="R67" i="11" a="1"/>
  <c r="R67" i="11" s="1"/>
  <c r="P67" i="11" a="1"/>
  <c r="P67" i="11" s="1"/>
  <c r="N67" i="11"/>
  <c r="N67" i="11" a="1"/>
  <c r="L67" i="11" a="1"/>
  <c r="L67" i="11" s="1"/>
  <c r="J67" i="11" a="1"/>
  <c r="J67" i="11" s="1"/>
  <c r="H67" i="11" a="1"/>
  <c r="H67" i="11" s="1"/>
  <c r="F67" i="11" a="1"/>
  <c r="F67" i="11" s="1"/>
  <c r="D67" i="11"/>
  <c r="D67" i="11" a="1"/>
  <c r="B67" i="11" a="1"/>
  <c r="B67" i="11" s="1"/>
  <c r="AV66" i="11" a="1"/>
  <c r="AV66" i="11" s="1"/>
  <c r="AV68" i="11" s="1"/>
  <c r="AT66" i="11" a="1"/>
  <c r="AT66" i="11" s="1"/>
  <c r="AR66" i="11" a="1"/>
  <c r="AR66" i="11" s="1"/>
  <c r="AP66" i="11" a="1"/>
  <c r="AP66" i="11" s="1"/>
  <c r="AN66" i="11" a="1"/>
  <c r="AN66" i="11" s="1"/>
  <c r="AL66" i="11" a="1"/>
  <c r="AL66" i="11" s="1"/>
  <c r="AL68" i="11" s="1"/>
  <c r="AJ66" i="11"/>
  <c r="AJ68" i="11" s="1"/>
  <c r="AJ66" i="11" a="1"/>
  <c r="AH66" i="11" a="1"/>
  <c r="AH66" i="11" s="1"/>
  <c r="AF66" i="11" a="1"/>
  <c r="AF66" i="11" s="1"/>
  <c r="AF68" i="11" s="1"/>
  <c r="AD66" i="11"/>
  <c r="AD66" i="11" a="1"/>
  <c r="AB66" i="11" a="1"/>
  <c r="AB66" i="11" s="1"/>
  <c r="Z66" i="11" a="1"/>
  <c r="Z66" i="11" s="1"/>
  <c r="X66" i="11" a="1"/>
  <c r="X66" i="11" s="1"/>
  <c r="V66" i="11" a="1"/>
  <c r="V66" i="11" s="1"/>
  <c r="V68" i="11" s="1"/>
  <c r="T66" i="11"/>
  <c r="T68" i="11" s="1"/>
  <c r="T66" i="11" a="1"/>
  <c r="R66" i="11" a="1"/>
  <c r="R66" i="11" s="1"/>
  <c r="P66" i="11" a="1"/>
  <c r="P66" i="11" s="1"/>
  <c r="N66" i="11" a="1"/>
  <c r="N66" i="11" s="1"/>
  <c r="N68" i="11" s="1"/>
  <c r="L66" i="11" a="1"/>
  <c r="L66" i="11" s="1"/>
  <c r="L68" i="11" s="1"/>
  <c r="J66" i="11" a="1"/>
  <c r="J66" i="11" s="1"/>
  <c r="H66" i="11" a="1"/>
  <c r="H66" i="11" s="1"/>
  <c r="F66" i="11" a="1"/>
  <c r="F66" i="11" s="1"/>
  <c r="F68" i="11" s="1"/>
  <c r="D66" i="11"/>
  <c r="D68" i="11" s="1"/>
  <c r="D66" i="11" a="1"/>
  <c r="B66" i="11" a="1"/>
  <c r="B66" i="11" s="1"/>
  <c r="B68" i="11" s="1"/>
  <c r="AV65" i="11" a="1"/>
  <c r="AV65" i="11" s="1"/>
  <c r="AV69" i="11" s="1"/>
  <c r="AT65" i="11" a="1"/>
  <c r="AT65" i="11" s="1"/>
  <c r="AT69" i="11" s="1"/>
  <c r="AR65" i="11" a="1"/>
  <c r="AR65" i="11" s="1"/>
  <c r="AP65" i="11" a="1"/>
  <c r="AP65" i="11" s="1"/>
  <c r="AP69" i="11" s="1"/>
  <c r="AN65" i="11" a="1"/>
  <c r="AN65" i="11" s="1"/>
  <c r="AN69" i="11" s="1"/>
  <c r="AL65" i="11" a="1"/>
  <c r="AL65" i="11" s="1"/>
  <c r="AL69" i="11" s="1"/>
  <c r="AJ65" i="11"/>
  <c r="AJ69" i="11" s="1"/>
  <c r="AJ65" i="11" a="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c r="T69" i="11" s="1"/>
  <c r="T65" i="11" a="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c r="D69" i="11" s="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a="1"/>
  <c r="AP58" i="11" s="1"/>
  <c r="AN58" i="11" a="1"/>
  <c r="AN58" i="11" s="1"/>
  <c r="AL58" i="11" a="1"/>
  <c r="AL58" i="11" s="1"/>
  <c r="AJ58" i="11"/>
  <c r="AJ58" i="11" a="1"/>
  <c r="AH58" i="11"/>
  <c r="AH58" i="11" a="1"/>
  <c r="AF58" i="11"/>
  <c r="AF58" i="11" a="1"/>
  <c r="AD58" i="11"/>
  <c r="AD58" i="11" a="1"/>
  <c r="AB58" i="11" a="1"/>
  <c r="AB58" i="11" s="1"/>
  <c r="Z58" i="11" a="1"/>
  <c r="Z58" i="11" s="1"/>
  <c r="X58" i="11" a="1"/>
  <c r="X58" i="11" s="1"/>
  <c r="V58" i="11" a="1"/>
  <c r="V58" i="11" s="1"/>
  <c r="T58" i="11"/>
  <c r="T58" i="11" a="1"/>
  <c r="R58" i="11" a="1"/>
  <c r="R58" i="11" s="1"/>
  <c r="P58" i="11"/>
  <c r="P58" i="11" a="1"/>
  <c r="N58" i="11"/>
  <c r="N58" i="11" a="1"/>
  <c r="L58" i="11" a="1"/>
  <c r="L58" i="11" s="1"/>
  <c r="J58" i="11" a="1"/>
  <c r="J58" i="11" s="1"/>
  <c r="H58" i="11" a="1"/>
  <c r="H58" i="11" s="1"/>
  <c r="F58" i="11" a="1"/>
  <c r="F58" i="11" s="1"/>
  <c r="D58" i="11"/>
  <c r="D58" i="11" a="1"/>
  <c r="B58" i="11" a="1"/>
  <c r="B58" i="11" s="1"/>
  <c r="AV57" i="11"/>
  <c r="AV57" i="11" a="1"/>
  <c r="AT57" i="11"/>
  <c r="AT57" i="11" a="1"/>
  <c r="AR57" i="11" a="1"/>
  <c r="AR57" i="11" s="1"/>
  <c r="AP57" i="11" a="1"/>
  <c r="AP57" i="11" s="1"/>
  <c r="AN57" i="11" a="1"/>
  <c r="AN57" i="11" s="1"/>
  <c r="AL57" i="11" a="1"/>
  <c r="AL57" i="11" s="1"/>
  <c r="AJ57" i="11"/>
  <c r="AJ57" i="11" a="1"/>
  <c r="AH57" i="11" a="1"/>
  <c r="AH57" i="11" s="1"/>
  <c r="AF57" i="11"/>
  <c r="AF57" i="11" a="1"/>
  <c r="AD57" i="11"/>
  <c r="AD57" i="11" a="1"/>
  <c r="AB57" i="11" a="1"/>
  <c r="AB57" i="11" s="1"/>
  <c r="Z57" i="11" a="1"/>
  <c r="Z57" i="11" s="1"/>
  <c r="X57" i="11" a="1"/>
  <c r="X57" i="11" s="1"/>
  <c r="V57" i="11" a="1"/>
  <c r="V57" i="11" s="1"/>
  <c r="T57" i="11"/>
  <c r="T57" i="11" a="1"/>
  <c r="R57" i="11" a="1"/>
  <c r="R57" i="11" s="1"/>
  <c r="P57" i="11"/>
  <c r="P57" i="11" a="1"/>
  <c r="N57" i="11"/>
  <c r="N57" i="11" a="1"/>
  <c r="L57" i="11" a="1"/>
  <c r="L57" i="11" s="1"/>
  <c r="J57" i="11" a="1"/>
  <c r="J57" i="11" s="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P80" i="11" s="1"/>
  <c r="AN55" i="11"/>
  <c r="AN80" i="11" s="1"/>
  <c r="AL55" i="11"/>
  <c r="AL80" i="11" s="1"/>
  <c r="AJ55" i="11"/>
  <c r="AJ80" i="11" s="1"/>
  <c r="AH55" i="11"/>
  <c r="AF55" i="11"/>
  <c r="AF80" i="11" s="1"/>
  <c r="AD55" i="11"/>
  <c r="AD80" i="11" s="1"/>
  <c r="AB55" i="11"/>
  <c r="AB80" i="11" s="1"/>
  <c r="Z55" i="11"/>
  <c r="Z80" i="11" s="1"/>
  <c r="X55" i="11"/>
  <c r="V55" i="11"/>
  <c r="V80" i="11" s="1"/>
  <c r="T55" i="11"/>
  <c r="T80" i="11" s="1"/>
  <c r="R55" i="11"/>
  <c r="P55" i="11"/>
  <c r="N55" i="11"/>
  <c r="L55" i="11"/>
  <c r="J55" i="11"/>
  <c r="J80" i="11" s="1"/>
  <c r="H55" i="11"/>
  <c r="H80" i="11" s="1"/>
  <c r="F55" i="11"/>
  <c r="F80" i="11" s="1"/>
  <c r="D55" i="11"/>
  <c r="D80" i="11" s="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L81" i="11" s="1"/>
  <c r="AJ51" i="11"/>
  <c r="AJ81" i="11" s="1"/>
  <c r="AH51" i="11"/>
  <c r="AF51" i="11"/>
  <c r="AD51" i="11"/>
  <c r="AB51" i="11"/>
  <c r="Z51" i="11"/>
  <c r="X51" i="11"/>
  <c r="X81" i="11" s="1"/>
  <c r="V51" i="11"/>
  <c r="V81" i="11" s="1"/>
  <c r="T51" i="11"/>
  <c r="T81" i="11" s="1"/>
  <c r="R51" i="11"/>
  <c r="P51" i="11"/>
  <c r="P81" i="11" s="1"/>
  <c r="N51" i="11"/>
  <c r="N81" i="11" s="1"/>
  <c r="L51" i="11"/>
  <c r="L81" i="11" s="1"/>
  <c r="J51" i="11"/>
  <c r="J81" i="11" s="1"/>
  <c r="H51" i="11"/>
  <c r="F51" i="11"/>
  <c r="F81" i="11" s="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a="1"/>
  <c r="AP43" i="11" s="1"/>
  <c r="AN43" i="11" a="1"/>
  <c r="AN43" i="11" s="1"/>
  <c r="AL43" i="11" a="1"/>
  <c r="AL43" i="11" s="1"/>
  <c r="AJ43" i="11"/>
  <c r="AJ43" i="11" a="1"/>
  <c r="AH43" i="11" a="1"/>
  <c r="AH43" i="11" s="1"/>
  <c r="AF43" i="11"/>
  <c r="AF43" i="11" a="1"/>
  <c r="AD43" i="11" a="1"/>
  <c r="AD43" i="11" s="1"/>
  <c r="AB43" i="11" a="1"/>
  <c r="AB43" i="11" s="1"/>
  <c r="Z43" i="11" a="1"/>
  <c r="Z43" i="11" s="1"/>
  <c r="X43" i="11" a="1"/>
  <c r="X43" i="11" s="1"/>
  <c r="V43" i="11" a="1"/>
  <c r="V43" i="11" s="1"/>
  <c r="T43" i="11"/>
  <c r="T43" i="11" a="1"/>
  <c r="R43" i="11" a="1"/>
  <c r="R43" i="11" s="1"/>
  <c r="P43" i="11"/>
  <c r="P43" i="11" a="1"/>
  <c r="N43" i="11" a="1"/>
  <c r="N43" i="11" s="1"/>
  <c r="L43" i="11" a="1"/>
  <c r="L43" i="11" s="1"/>
  <c r="J43" i="11" a="1"/>
  <c r="J43" i="11" s="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S8" i="39"/>
  <c r="X8" i="39"/>
  <c r="AL81" i="18"/>
  <c r="AB81" i="18"/>
  <c r="Z81" i="18"/>
  <c r="X81" i="18"/>
  <c r="T81" i="18"/>
  <c r="R81" i="18"/>
  <c r="F81" i="18"/>
  <c r="AR80" i="18"/>
  <c r="AP80" i="18"/>
  <c r="AN80" i="18"/>
  <c r="AJ80" i="18"/>
  <c r="AH80" i="18"/>
  <c r="V80" i="18"/>
  <c r="L80" i="18"/>
  <c r="J80" i="18"/>
  <c r="H80" i="18"/>
  <c r="D80" i="18"/>
  <c r="B80" i="18"/>
  <c r="AV79" i="18" a="1"/>
  <c r="AV79" i="18" s="1"/>
  <c r="AT79" i="18" a="1"/>
  <c r="AT79" i="18" s="1"/>
  <c r="AR79" i="18" a="1"/>
  <c r="AR79" i="18" s="1"/>
  <c r="AP79" i="18"/>
  <c r="AP79" i="18" a="1"/>
  <c r="AN79" i="18" a="1"/>
  <c r="AN79" i="18" s="1"/>
  <c r="AL79" i="18" a="1"/>
  <c r="AL79" i="18" s="1"/>
  <c r="AJ79" i="18"/>
  <c r="AJ79" i="18" a="1"/>
  <c r="AH79" i="18" a="1"/>
  <c r="AH79" i="18" s="1"/>
  <c r="AF79" i="18" a="1"/>
  <c r="AF79" i="18" s="1"/>
  <c r="AD79" i="18" a="1"/>
  <c r="AD79" i="18" s="1"/>
  <c r="AB79" i="18" a="1"/>
  <c r="AB79" i="18" s="1"/>
  <c r="Z79" i="18"/>
  <c r="Z79" i="18" a="1"/>
  <c r="X79" i="18" a="1"/>
  <c r="X79" i="18" s="1"/>
  <c r="V79" i="18" a="1"/>
  <c r="V79" i="18" s="1"/>
  <c r="T79" i="18"/>
  <c r="T79" i="18" a="1"/>
  <c r="R79" i="18" a="1"/>
  <c r="R79" i="18" s="1"/>
  <c r="P79" i="18" a="1"/>
  <c r="P79" i="18" s="1"/>
  <c r="N79" i="18" a="1"/>
  <c r="N79" i="18" s="1"/>
  <c r="L79" i="18" a="1"/>
  <c r="L79" i="18" s="1"/>
  <c r="J79" i="18"/>
  <c r="J79" i="18" a="1"/>
  <c r="H79" i="18" a="1"/>
  <c r="H79" i="18" s="1"/>
  <c r="F79" i="18" a="1"/>
  <c r="F79" i="18" s="1"/>
  <c r="D79" i="18"/>
  <c r="D79" i="18" a="1"/>
  <c r="B79" i="18" a="1"/>
  <c r="B79" i="18" s="1"/>
  <c r="AV78" i="18" a="1"/>
  <c r="AV78" i="18" s="1"/>
  <c r="AT78" i="18" a="1"/>
  <c r="AT78" i="18" s="1"/>
  <c r="AR78" i="18" a="1"/>
  <c r="AR78" i="18" s="1"/>
  <c r="AP78" i="18"/>
  <c r="AP78" i="18" a="1"/>
  <c r="AN78" i="18" a="1"/>
  <c r="AN78" i="18" s="1"/>
  <c r="AL78" i="18" a="1"/>
  <c r="AL78" i="18" s="1"/>
  <c r="AJ78" i="18"/>
  <c r="AJ78" i="18" a="1"/>
  <c r="AH78" i="18" a="1"/>
  <c r="AH78" i="18" s="1"/>
  <c r="AF78" i="18" a="1"/>
  <c r="AF78" i="18" s="1"/>
  <c r="AD78" i="18" a="1"/>
  <c r="AD78" i="18" s="1"/>
  <c r="AB78" i="18" a="1"/>
  <c r="AB78" i="18" s="1"/>
  <c r="Z78" i="18"/>
  <c r="Z78" i="18" a="1"/>
  <c r="X78" i="18" a="1"/>
  <c r="X78" i="18" s="1"/>
  <c r="V78" i="18" a="1"/>
  <c r="V78" i="18" s="1"/>
  <c r="T78" i="18"/>
  <c r="T78" i="18" a="1"/>
  <c r="R78" i="18" a="1"/>
  <c r="R78" i="18" s="1"/>
  <c r="P78" i="18" a="1"/>
  <c r="P78" i="18" s="1"/>
  <c r="N78" i="18" a="1"/>
  <c r="N78" i="18" s="1"/>
  <c r="L78" i="18" a="1"/>
  <c r="L78" i="18" s="1"/>
  <c r="J78" i="18"/>
  <c r="J78" i="18" a="1"/>
  <c r="H78" i="18" a="1"/>
  <c r="H78" i="18" s="1"/>
  <c r="F78" i="18" a="1"/>
  <c r="F78" i="18" s="1"/>
  <c r="D78" i="18"/>
  <c r="D78" i="18" a="1"/>
  <c r="B78" i="18" a="1"/>
  <c r="B78" i="18" s="1"/>
  <c r="AV77" i="18" a="1"/>
  <c r="AV77" i="18" s="1"/>
  <c r="AT77" i="18" a="1"/>
  <c r="AT77" i="18" s="1"/>
  <c r="AR77" i="18" a="1"/>
  <c r="AR77" i="18" s="1"/>
  <c r="AP77" i="18"/>
  <c r="AP77" i="18" a="1"/>
  <c r="AN77" i="18" a="1"/>
  <c r="AN77" i="18" s="1"/>
  <c r="AL77" i="18" a="1"/>
  <c r="AL77" i="18" s="1"/>
  <c r="AJ77" i="18"/>
  <c r="AJ77" i="18" a="1"/>
  <c r="AH77" i="18" a="1"/>
  <c r="AH77" i="18" s="1"/>
  <c r="AF77" i="18" a="1"/>
  <c r="AF77" i="18" s="1"/>
  <c r="AD77" i="18" a="1"/>
  <c r="AD77" i="18" s="1"/>
  <c r="AB77" i="18" a="1"/>
  <c r="AB77" i="18" s="1"/>
  <c r="Z77" i="18"/>
  <c r="Z77" i="18" a="1"/>
  <c r="X77" i="18" a="1"/>
  <c r="X77" i="18" s="1"/>
  <c r="V77" i="18" a="1"/>
  <c r="V77" i="18" s="1"/>
  <c r="T77" i="18"/>
  <c r="T77" i="18" a="1"/>
  <c r="R77" i="18" a="1"/>
  <c r="R77" i="18" s="1"/>
  <c r="P77" i="18" a="1"/>
  <c r="P77" i="18" s="1"/>
  <c r="N77" i="18" a="1"/>
  <c r="N77" i="18" s="1"/>
  <c r="L77" i="18" a="1"/>
  <c r="L77" i="18" s="1"/>
  <c r="J77" i="18"/>
  <c r="J77" i="18" a="1"/>
  <c r="H77" i="18" a="1"/>
  <c r="H77" i="18" s="1"/>
  <c r="F77" i="18" a="1"/>
  <c r="F77" i="18" s="1"/>
  <c r="D77" i="18"/>
  <c r="D77" i="18" a="1"/>
  <c r="B77" i="18" a="1"/>
  <c r="B77" i="18" s="1"/>
  <c r="AV76" i="18" a="1"/>
  <c r="AV76" i="18" s="1"/>
  <c r="AT76" i="18" a="1"/>
  <c r="AT76" i="18" s="1"/>
  <c r="AR76" i="18" a="1"/>
  <c r="AR76" i="18" s="1"/>
  <c r="AP76" i="18"/>
  <c r="AP76" i="18" a="1"/>
  <c r="AN76" i="18" a="1"/>
  <c r="AN76" i="18" s="1"/>
  <c r="AL76" i="18" a="1"/>
  <c r="AL76" i="18" s="1"/>
  <c r="AJ76" i="18"/>
  <c r="AJ76" i="18" a="1"/>
  <c r="AH76" i="18" a="1"/>
  <c r="AH76" i="18" s="1"/>
  <c r="AF76" i="18" a="1"/>
  <c r="AF76" i="18" s="1"/>
  <c r="AD76" i="18" a="1"/>
  <c r="AD76" i="18" s="1"/>
  <c r="AB76" i="18" a="1"/>
  <c r="AB76" i="18" s="1"/>
  <c r="Z76" i="18"/>
  <c r="Z76" i="18" a="1"/>
  <c r="X76" i="18" a="1"/>
  <c r="X76" i="18" s="1"/>
  <c r="V76" i="18" a="1"/>
  <c r="V76" i="18" s="1"/>
  <c r="T76" i="18"/>
  <c r="T76" i="18" a="1"/>
  <c r="R76" i="18" a="1"/>
  <c r="R76" i="18" s="1"/>
  <c r="P76" i="18" a="1"/>
  <c r="P76" i="18" s="1"/>
  <c r="N76" i="18" a="1"/>
  <c r="N76" i="18" s="1"/>
  <c r="L76" i="18" a="1"/>
  <c r="L76" i="18" s="1"/>
  <c r="J76" i="18"/>
  <c r="J76" i="18" a="1"/>
  <c r="H76" i="18" a="1"/>
  <c r="H76" i="18" s="1"/>
  <c r="F76" i="18" a="1"/>
  <c r="F76" i="18" s="1"/>
  <c r="D76" i="18"/>
  <c r="D76" i="18" a="1"/>
  <c r="B76" i="18" a="1"/>
  <c r="B76" i="18" s="1"/>
  <c r="AV75" i="18" a="1"/>
  <c r="AV75" i="18" s="1"/>
  <c r="AT75" i="18" a="1"/>
  <c r="AT75" i="18" s="1"/>
  <c r="AR75" i="18" a="1"/>
  <c r="AR75" i="18" s="1"/>
  <c r="AP75" i="18"/>
  <c r="AP75" i="18" a="1"/>
  <c r="AN75" i="18" a="1"/>
  <c r="AN75" i="18" s="1"/>
  <c r="AL75" i="18" a="1"/>
  <c r="AL75" i="18" s="1"/>
  <c r="AJ75" i="18"/>
  <c r="AJ75" i="18" a="1"/>
  <c r="AH75" i="18" a="1"/>
  <c r="AH75" i="18" s="1"/>
  <c r="AF75" i="18" a="1"/>
  <c r="AF75" i="18" s="1"/>
  <c r="AD75" i="18" a="1"/>
  <c r="AD75" i="18" s="1"/>
  <c r="AB75" i="18" a="1"/>
  <c r="AB75" i="18" s="1"/>
  <c r="Z75" i="18"/>
  <c r="Z75" i="18" a="1"/>
  <c r="X75" i="18" a="1"/>
  <c r="X75" i="18" s="1"/>
  <c r="V75" i="18" a="1"/>
  <c r="V75" i="18" s="1"/>
  <c r="T75" i="18"/>
  <c r="T75" i="18" a="1"/>
  <c r="R75" i="18" a="1"/>
  <c r="R75" i="18" s="1"/>
  <c r="P75" i="18" a="1"/>
  <c r="P75" i="18" s="1"/>
  <c r="N75" i="18" a="1"/>
  <c r="N75" i="18" s="1"/>
  <c r="L75" i="18" a="1"/>
  <c r="L75" i="18" s="1"/>
  <c r="J75" i="18"/>
  <c r="J75" i="18" a="1"/>
  <c r="H75" i="18" a="1"/>
  <c r="H75" i="18" s="1"/>
  <c r="F75" i="18" a="1"/>
  <c r="F75" i="18" s="1"/>
  <c r="D75" i="18"/>
  <c r="D75" i="18" a="1"/>
  <c r="B75" i="18" a="1"/>
  <c r="B75" i="18" s="1"/>
  <c r="AV74" i="18" a="1"/>
  <c r="AV74" i="18" s="1"/>
  <c r="AT74" i="18" a="1"/>
  <c r="AT74" i="18" s="1"/>
  <c r="AR74" i="18" a="1"/>
  <c r="AR74" i="18" s="1"/>
  <c r="AP74" i="18"/>
  <c r="AP74" i="18" a="1"/>
  <c r="AN74" i="18" a="1"/>
  <c r="AN74" i="18" s="1"/>
  <c r="AL74" i="18" a="1"/>
  <c r="AL74" i="18" s="1"/>
  <c r="AJ74" i="18"/>
  <c r="AJ74" i="18" a="1"/>
  <c r="AH74" i="18" a="1"/>
  <c r="AH74" i="18" s="1"/>
  <c r="AF74" i="18" a="1"/>
  <c r="AF74" i="18" s="1"/>
  <c r="AD74" i="18" a="1"/>
  <c r="AD74" i="18" s="1"/>
  <c r="AB74" i="18" a="1"/>
  <c r="AB74" i="18" s="1"/>
  <c r="Z74" i="18" a="1"/>
  <c r="Z74" i="18" s="1"/>
  <c r="X74" i="18" a="1"/>
  <c r="X74" i="18" s="1"/>
  <c r="V74" i="18" a="1"/>
  <c r="V74" i="18" s="1"/>
  <c r="T74" i="18"/>
  <c r="T74" i="18" a="1"/>
  <c r="R74" i="18" a="1"/>
  <c r="R74" i="18" s="1"/>
  <c r="P74" i="18" a="1"/>
  <c r="P74" i="18" s="1"/>
  <c r="N74" i="18" a="1"/>
  <c r="N74" i="18" s="1"/>
  <c r="L74" i="18" a="1"/>
  <c r="L74" i="18" s="1"/>
  <c r="J74" i="18" a="1"/>
  <c r="J74" i="18" s="1"/>
  <c r="H74" i="18" a="1"/>
  <c r="H74" i="18" s="1"/>
  <c r="F74" i="18" a="1"/>
  <c r="F74" i="18" s="1"/>
  <c r="D74" i="18"/>
  <c r="D74" i="18" a="1"/>
  <c r="B74" i="18" a="1"/>
  <c r="B74" i="18" s="1"/>
  <c r="AV73" i="18" a="1"/>
  <c r="AV73" i="18" s="1"/>
  <c r="AT73" i="18" a="1"/>
  <c r="AT73" i="18" s="1"/>
  <c r="AR73" i="18" a="1"/>
  <c r="AR73" i="18" s="1"/>
  <c r="AP73" i="18" a="1"/>
  <c r="AP73" i="18" s="1"/>
  <c r="AN73" i="18" a="1"/>
  <c r="AN73" i="18" s="1"/>
  <c r="AL73" i="18" a="1"/>
  <c r="AL73" i="18" s="1"/>
  <c r="AJ73" i="18"/>
  <c r="AJ73" i="18" a="1"/>
  <c r="AH73" i="18" a="1"/>
  <c r="AH73" i="18" s="1"/>
  <c r="AF73" i="18" a="1"/>
  <c r="AF73" i="18" s="1"/>
  <c r="AD73" i="18" a="1"/>
  <c r="AD73" i="18" s="1"/>
  <c r="AB73" i="18" a="1"/>
  <c r="AB73" i="18" s="1"/>
  <c r="Z73" i="18" a="1"/>
  <c r="Z73" i="18" s="1"/>
  <c r="X73" i="18" a="1"/>
  <c r="X73" i="18" s="1"/>
  <c r="V73" i="18" a="1"/>
  <c r="V73" i="18" s="1"/>
  <c r="T73" i="18"/>
  <c r="T73" i="18" a="1"/>
  <c r="R73" i="18" a="1"/>
  <c r="R73" i="18" s="1"/>
  <c r="P73" i="18" a="1"/>
  <c r="P73" i="18" s="1"/>
  <c r="N73" i="18" a="1"/>
  <c r="N73" i="18" s="1"/>
  <c r="L73" i="18" a="1"/>
  <c r="L73" i="18" s="1"/>
  <c r="J73" i="18" a="1"/>
  <c r="J73" i="18" s="1"/>
  <c r="H73" i="18" a="1"/>
  <c r="H73" i="18" s="1"/>
  <c r="F73" i="18" a="1"/>
  <c r="F73" i="18" s="1"/>
  <c r="D73" i="18"/>
  <c r="D73" i="18" a="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a="1"/>
  <c r="AT67" i="18" s="1"/>
  <c r="AR67" i="18"/>
  <c r="AR67" i="18" a="1"/>
  <c r="AP67" i="18" a="1"/>
  <c r="AP67" i="18" s="1"/>
  <c r="AN67" i="18" a="1"/>
  <c r="AN67" i="18" s="1"/>
  <c r="AL67" i="18" a="1"/>
  <c r="AL67" i="18" s="1"/>
  <c r="AJ67" i="18" a="1"/>
  <c r="AJ67" i="18" s="1"/>
  <c r="AH67" i="18" a="1"/>
  <c r="AH67" i="18" s="1"/>
  <c r="AF67" i="18" a="1"/>
  <c r="AF67" i="18" s="1"/>
  <c r="AD67" i="18" a="1"/>
  <c r="AD67" i="18" s="1"/>
  <c r="AB67" i="18"/>
  <c r="AB67" i="18" a="1"/>
  <c r="Z67" i="18" a="1"/>
  <c r="Z67" i="18" s="1"/>
  <c r="X67" i="18" a="1"/>
  <c r="X67" i="18" s="1"/>
  <c r="V67" i="18" a="1"/>
  <c r="V67" i="18" s="1"/>
  <c r="T67" i="18" a="1"/>
  <c r="T67" i="18" s="1"/>
  <c r="R67" i="18" a="1"/>
  <c r="R67" i="18" s="1"/>
  <c r="P67" i="18" a="1"/>
  <c r="P67" i="18" s="1"/>
  <c r="N67" i="18" a="1"/>
  <c r="N67" i="18" s="1"/>
  <c r="L67" i="18"/>
  <c r="L67" i="18" a="1"/>
  <c r="J67" i="18" a="1"/>
  <c r="J67" i="18" s="1"/>
  <c r="H67" i="18" a="1"/>
  <c r="H67" i="18" s="1"/>
  <c r="F67" i="18" a="1"/>
  <c r="F67" i="18" s="1"/>
  <c r="D67" i="18" a="1"/>
  <c r="D67" i="18" s="1"/>
  <c r="B67" i="18" a="1"/>
  <c r="B67" i="18" s="1"/>
  <c r="AV66" i="18" a="1"/>
  <c r="AV66" i="18" s="1"/>
  <c r="AV68" i="18" s="1"/>
  <c r="AT66" i="18" a="1"/>
  <c r="AT66" i="18" s="1"/>
  <c r="AR66" i="18"/>
  <c r="AR68" i="18" s="1"/>
  <c r="AR66" i="18" a="1"/>
  <c r="AP66" i="18" a="1"/>
  <c r="AP66" i="18" s="1"/>
  <c r="AP68" i="18" s="1"/>
  <c r="AN66" i="18" a="1"/>
  <c r="AN66" i="18" s="1"/>
  <c r="AN68" i="18" s="1"/>
  <c r="AL66" i="18" a="1"/>
  <c r="AL66" i="18" s="1"/>
  <c r="AL68" i="18" s="1"/>
  <c r="AJ66" i="18" a="1"/>
  <c r="AJ66" i="18" s="1"/>
  <c r="AH66" i="18" a="1"/>
  <c r="AH66" i="18" s="1"/>
  <c r="AF66" i="18" a="1"/>
  <c r="AF66" i="18" s="1"/>
  <c r="AD66" i="18" a="1"/>
  <c r="AD66" i="18" s="1"/>
  <c r="AB66" i="18"/>
  <c r="AB68" i="18" s="1"/>
  <c r="AB66" i="18" a="1"/>
  <c r="Z66" i="18" a="1"/>
  <c r="Z66" i="18" s="1"/>
  <c r="X66" i="18" a="1"/>
  <c r="X66" i="18" s="1"/>
  <c r="V66" i="18" a="1"/>
  <c r="V66" i="18" s="1"/>
  <c r="T66" i="18" a="1"/>
  <c r="T66" i="18" s="1"/>
  <c r="T68" i="18" s="1"/>
  <c r="R66" i="18" a="1"/>
  <c r="R66" i="18" s="1"/>
  <c r="P66" i="18" a="1"/>
  <c r="P66" i="18" s="1"/>
  <c r="P68" i="18" s="1"/>
  <c r="N66" i="18" a="1"/>
  <c r="N66" i="18" s="1"/>
  <c r="N68" i="18" s="1"/>
  <c r="L66" i="18"/>
  <c r="L68" i="18" s="1"/>
  <c r="L66" i="18" a="1"/>
  <c r="J66" i="18" a="1"/>
  <c r="J66" i="18" s="1"/>
  <c r="J68" i="18" s="1"/>
  <c r="H66" i="18" a="1"/>
  <c r="H66" i="18" s="1"/>
  <c r="F66" i="18" a="1"/>
  <c r="F66" i="18" s="1"/>
  <c r="D66" i="18" a="1"/>
  <c r="D66" i="18" s="1"/>
  <c r="B66" i="18" a="1"/>
  <c r="B66" i="18" s="1"/>
  <c r="AV65" i="18" a="1"/>
  <c r="AV65" i="18" s="1"/>
  <c r="AV69" i="18" s="1"/>
  <c r="AT65" i="18" a="1"/>
  <c r="AT65" i="18" s="1"/>
  <c r="AT69" i="18" s="1"/>
  <c r="AR65" i="18"/>
  <c r="AR69" i="18" s="1"/>
  <c r="AR65" i="18" a="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c r="AB69" i="18" s="1"/>
  <c r="AB65" i="18" a="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c r="L69" i="18" s="1"/>
  <c r="L65" i="18" a="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c r="AR58" i="18" a="1"/>
  <c r="AP58" i="18"/>
  <c r="AP58" i="18" a="1"/>
  <c r="AN58" i="18"/>
  <c r="AN58" i="18" a="1"/>
  <c r="AL58" i="18" a="1"/>
  <c r="AL58" i="18" s="1"/>
  <c r="AJ58" i="18" a="1"/>
  <c r="AJ58" i="18" s="1"/>
  <c r="AH58" i="18" a="1"/>
  <c r="AH58" i="18" s="1"/>
  <c r="AF58" i="18"/>
  <c r="AF58" i="18" a="1"/>
  <c r="AD58" i="18"/>
  <c r="AD58" i="18" a="1"/>
  <c r="AB58" i="18"/>
  <c r="AB58" i="18" a="1"/>
  <c r="Z58" i="18"/>
  <c r="Z58" i="18" a="1"/>
  <c r="X58" i="18" a="1"/>
  <c r="X58" i="18" s="1"/>
  <c r="V58" i="18" a="1"/>
  <c r="V58" i="18" s="1"/>
  <c r="T58" i="18" a="1"/>
  <c r="T58" i="18" s="1"/>
  <c r="R58" i="18" a="1"/>
  <c r="R58" i="18" s="1"/>
  <c r="P58" i="18"/>
  <c r="P58" i="18" a="1"/>
  <c r="N58" i="18" a="1"/>
  <c r="N58" i="18" s="1"/>
  <c r="L58" i="18"/>
  <c r="L58" i="18" a="1"/>
  <c r="J58" i="18"/>
  <c r="J58" i="18" a="1"/>
  <c r="H58" i="18" a="1"/>
  <c r="H58" i="18" s="1"/>
  <c r="F58" i="18" a="1"/>
  <c r="F58" i="18" s="1"/>
  <c r="D58" i="18" a="1"/>
  <c r="D58" i="18" s="1"/>
  <c r="B58" i="18" a="1"/>
  <c r="B58" i="18" s="1"/>
  <c r="AV57" i="18"/>
  <c r="AV57" i="18" a="1"/>
  <c r="AT57" i="18" a="1"/>
  <c r="AT57" i="18" s="1"/>
  <c r="AR57" i="18"/>
  <c r="AR57" i="18" a="1"/>
  <c r="AP57" i="18"/>
  <c r="AP57" i="18" a="1"/>
  <c r="AN57" i="18" a="1"/>
  <c r="AN57" i="18" s="1"/>
  <c r="AL57" i="18" a="1"/>
  <c r="AL57" i="18" s="1"/>
  <c r="AJ57" i="18" a="1"/>
  <c r="AJ57" i="18" s="1"/>
  <c r="AH57" i="18" a="1"/>
  <c r="AH57" i="18" s="1"/>
  <c r="AF57" i="18"/>
  <c r="AF57" i="18" a="1"/>
  <c r="AD57" i="18" a="1"/>
  <c r="AD57" i="18" s="1"/>
  <c r="AB57" i="18"/>
  <c r="AB57" i="18" a="1"/>
  <c r="Z57" i="18"/>
  <c r="Z57" i="18" a="1"/>
  <c r="X57" i="18" a="1"/>
  <c r="X57" i="18" s="1"/>
  <c r="V57" i="18" a="1"/>
  <c r="V57" i="18" s="1"/>
  <c r="T57" i="18" a="1"/>
  <c r="T57" i="18" s="1"/>
  <c r="R57" i="18" a="1"/>
  <c r="R57" i="18" s="1"/>
  <c r="P57" i="18" a="1"/>
  <c r="P57" i="18" s="1"/>
  <c r="N57" i="18" a="1"/>
  <c r="N57" i="18" s="1"/>
  <c r="L57" i="18"/>
  <c r="L57" i="18" a="1"/>
  <c r="J57" i="18"/>
  <c r="J57" i="18" a="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T80" i="18" s="1"/>
  <c r="AR55" i="18"/>
  <c r="AP55" i="18"/>
  <c r="AN55" i="18"/>
  <c r="AL55" i="18"/>
  <c r="AL80" i="18" s="1"/>
  <c r="AJ55" i="18"/>
  <c r="AH55" i="18"/>
  <c r="AF55" i="18"/>
  <c r="AF80" i="18" s="1"/>
  <c r="AD55" i="18"/>
  <c r="AD80" i="18" s="1"/>
  <c r="AB55" i="18"/>
  <c r="AB80" i="18" s="1"/>
  <c r="Z55" i="18"/>
  <c r="Z80" i="18" s="1"/>
  <c r="X55" i="18"/>
  <c r="X80" i="18" s="1"/>
  <c r="V55" i="18"/>
  <c r="T55" i="18"/>
  <c r="T80" i="18" s="1"/>
  <c r="R55" i="18"/>
  <c r="R80" i="18" s="1"/>
  <c r="P55" i="18"/>
  <c r="P80" i="18" s="1"/>
  <c r="N55" i="18"/>
  <c r="N80" i="18" s="1"/>
  <c r="L55" i="18"/>
  <c r="J55" i="18"/>
  <c r="H55" i="18"/>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J51" i="18"/>
  <c r="AJ81" i="18" s="1"/>
  <c r="AH51" i="18"/>
  <c r="AH81" i="18" s="1"/>
  <c r="AF51" i="18"/>
  <c r="AF81" i="18" s="1"/>
  <c r="AD51" i="18"/>
  <c r="AD81" i="18" s="1"/>
  <c r="AB51" i="18"/>
  <c r="Z51" i="18"/>
  <c r="X51" i="18"/>
  <c r="V51" i="18"/>
  <c r="V81" i="18" s="1"/>
  <c r="T51" i="18"/>
  <c r="R51" i="18"/>
  <c r="P51" i="18"/>
  <c r="P81" i="18" s="1"/>
  <c r="N51" i="18"/>
  <c r="N81" i="18" s="1"/>
  <c r="L51" i="18"/>
  <c r="L81" i="18" s="1"/>
  <c r="J51" i="18"/>
  <c r="J81" i="18" s="1"/>
  <c r="H51" i="18"/>
  <c r="H81" i="18" s="1"/>
  <c r="F51" i="18"/>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a="1"/>
  <c r="AV43" i="18" s="1"/>
  <c r="AT43" i="18" a="1"/>
  <c r="AT43" i="18" s="1"/>
  <c r="AR43" i="18"/>
  <c r="AR43" i="18" a="1"/>
  <c r="AP43" i="18"/>
  <c r="AP43" i="18" a="1"/>
  <c r="AN43" i="18" a="1"/>
  <c r="AN43" i="18" s="1"/>
  <c r="AL43" i="18" a="1"/>
  <c r="AL43" i="18" s="1"/>
  <c r="AJ43" i="18" a="1"/>
  <c r="AJ43" i="18" s="1"/>
  <c r="AH43" i="18" a="1"/>
  <c r="AH43" i="18" s="1"/>
  <c r="AF43" i="18" a="1"/>
  <c r="AF43" i="18" s="1"/>
  <c r="AD43" i="18" a="1"/>
  <c r="AD43" i="18" s="1"/>
  <c r="AB43" i="18"/>
  <c r="AB43" i="18" a="1"/>
  <c r="Z43" i="18"/>
  <c r="Z43" i="18" a="1"/>
  <c r="X43" i="18" a="1"/>
  <c r="X43" i="18" s="1"/>
  <c r="V43" i="18" a="1"/>
  <c r="V43" i="18" s="1"/>
  <c r="T43" i="18" a="1"/>
  <c r="T43" i="18" s="1"/>
  <c r="R43" i="18" a="1"/>
  <c r="R43" i="18" s="1"/>
  <c r="P43" i="18" a="1"/>
  <c r="P43" i="18" s="1"/>
  <c r="N43" i="18" a="1"/>
  <c r="N43" i="18" s="1"/>
  <c r="L43" i="18" a="1"/>
  <c r="L43" i="18" s="1"/>
  <c r="J43" i="18"/>
  <c r="J43" i="18" a="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X4" i="23"/>
  <c r="W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W8" i="39" s="1"/>
  <c r="V9" i="23"/>
  <c r="V8" i="39" s="1"/>
  <c r="U9" i="23"/>
  <c r="U8" i="39" s="1"/>
  <c r="T9" i="23"/>
  <c r="T8" i="39" s="1"/>
  <c r="S9" i="23"/>
  <c r="R9" i="23"/>
  <c r="R8" i="39" s="1"/>
  <c r="Q9" i="23"/>
  <c r="P9" i="23"/>
  <c r="P8" i="39" s="1"/>
  <c r="O9" i="23"/>
  <c r="N9" i="23"/>
  <c r="M9" i="23"/>
  <c r="L9" i="23"/>
  <c r="K9" i="23"/>
  <c r="J9" i="23"/>
  <c r="I9" i="23"/>
  <c r="H9" i="23"/>
  <c r="G9" i="23"/>
  <c r="F9" i="23"/>
  <c r="E9" i="23"/>
  <c r="D9" i="23"/>
  <c r="C9" i="23"/>
  <c r="B9" i="23"/>
  <c r="Y8" i="23"/>
  <c r="X8" i="23"/>
  <c r="W8" i="23"/>
  <c r="V8" i="23"/>
  <c r="U8" i="23"/>
  <c r="T8" i="23"/>
  <c r="S8" i="23"/>
  <c r="R8" i="23"/>
  <c r="Q8" i="23"/>
  <c r="P8" i="23"/>
  <c r="O8" i="23"/>
  <c r="N8" i="23"/>
  <c r="M8" i="23"/>
  <c r="M7" i="39" s="1"/>
  <c r="L8" i="23"/>
  <c r="L7" i="39" s="1"/>
  <c r="K8" i="23"/>
  <c r="K7" i="39" s="1"/>
  <c r="J8" i="23"/>
  <c r="J7" i="39" s="1"/>
  <c r="I8" i="23"/>
  <c r="H8" i="23"/>
  <c r="G8" i="23"/>
  <c r="F8" i="23"/>
  <c r="E8" i="23"/>
  <c r="D8" i="23"/>
  <c r="C8" i="23"/>
  <c r="B8" i="23"/>
  <c r="Y7" i="23"/>
  <c r="X7" i="23"/>
  <c r="W7" i="23"/>
  <c r="V7" i="23"/>
  <c r="U7" i="23"/>
  <c r="T7" i="23"/>
  <c r="S7" i="23"/>
  <c r="R7" i="23"/>
  <c r="Q7" i="23"/>
  <c r="P7" i="23"/>
  <c r="P6" i="39" s="1"/>
  <c r="O7" i="23"/>
  <c r="O6" i="39" s="1"/>
  <c r="N7" i="23"/>
  <c r="N6" i="39" s="1"/>
  <c r="M7" i="23"/>
  <c r="M6" i="39" s="1"/>
  <c r="L7" i="23"/>
  <c r="L6" i="39" s="1"/>
  <c r="K7" i="23"/>
  <c r="K6" i="39" s="1"/>
  <c r="J7" i="23"/>
  <c r="I7" i="23"/>
  <c r="H7" i="23"/>
  <c r="G7" i="23"/>
  <c r="F7" i="23"/>
  <c r="E7" i="23"/>
  <c r="D7" i="23"/>
  <c r="C7" i="23"/>
  <c r="B7" i="23"/>
  <c r="Y6" i="23"/>
  <c r="X6" i="23"/>
  <c r="W6" i="23"/>
  <c r="V6" i="23"/>
  <c r="U6" i="23"/>
  <c r="T6" i="23"/>
  <c r="T5" i="39" s="1"/>
  <c r="S6" i="23"/>
  <c r="S5" i="39" s="1"/>
  <c r="R6" i="23"/>
  <c r="R5" i="39" s="1"/>
  <c r="Q6" i="23"/>
  <c r="Q5" i="39" s="1"/>
  <c r="P6" i="23"/>
  <c r="P5" i="39" s="1"/>
  <c r="O6" i="23"/>
  <c r="O5" i="39" s="1"/>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S4" i="23"/>
  <c r="R4" i="23"/>
  <c r="Q4" i="23"/>
  <c r="P4" i="23"/>
  <c r="P3" i="39" s="1"/>
  <c r="O4" i="23"/>
  <c r="O3" i="39" s="1"/>
  <c r="N4" i="23"/>
  <c r="N3" i="39" s="1"/>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Z68" i="35" l="1"/>
  <c r="AB68" i="35"/>
  <c r="B68" i="35"/>
  <c r="AD68" i="35"/>
  <c r="AF68" i="35"/>
  <c r="AH68" i="35"/>
  <c r="H68" i="35"/>
  <c r="AR68" i="38"/>
  <c r="R68" i="38"/>
  <c r="T68" i="38"/>
  <c r="V68" i="38"/>
  <c r="Z68" i="38"/>
  <c r="AB68" i="38"/>
  <c r="AD68" i="38"/>
  <c r="B68" i="38"/>
  <c r="D68" i="38"/>
  <c r="H68" i="38"/>
  <c r="AJ68" i="38"/>
  <c r="AD68" i="21"/>
  <c r="R68" i="21"/>
  <c r="AR68" i="21"/>
  <c r="N68" i="21"/>
  <c r="T68" i="21"/>
  <c r="B68" i="21"/>
  <c r="AT68" i="21"/>
  <c r="D68" i="21"/>
  <c r="X68" i="21"/>
  <c r="J68" i="21"/>
  <c r="AJ68" i="21"/>
  <c r="L68" i="21"/>
  <c r="AB68" i="24"/>
  <c r="AD68" i="24"/>
  <c r="J68" i="24"/>
  <c r="L68" i="24"/>
  <c r="AR68" i="24"/>
  <c r="AT68" i="24"/>
  <c r="AP68" i="24"/>
  <c r="B68" i="24"/>
  <c r="D68" i="24"/>
  <c r="F68" i="24"/>
  <c r="AP68" i="22"/>
  <c r="H68" i="22"/>
  <c r="J68" i="22"/>
  <c r="L68" i="22"/>
  <c r="AJ68" i="22"/>
  <c r="Z68" i="22"/>
  <c r="AR68" i="22"/>
  <c r="B68" i="22"/>
  <c r="AV68" i="22"/>
  <c r="F68" i="12"/>
  <c r="AH68" i="12"/>
  <c r="J68" i="12"/>
  <c r="AL68" i="12"/>
  <c r="L68" i="12"/>
  <c r="AN68" i="12"/>
  <c r="P68" i="12"/>
  <c r="AT68" i="12"/>
  <c r="AV68" i="12"/>
  <c r="V68" i="12"/>
  <c r="X68" i="12"/>
  <c r="AB68" i="12"/>
  <c r="AT68" i="11"/>
  <c r="H68" i="11"/>
  <c r="AH68" i="11"/>
  <c r="AD68" i="11"/>
  <c r="J68" i="11"/>
  <c r="R68" i="11"/>
  <c r="AR68" i="11"/>
  <c r="X68" i="11"/>
  <c r="AN68" i="11"/>
  <c r="P68" i="11"/>
  <c r="AP68" i="11"/>
  <c r="AT68" i="18"/>
  <c r="V68" i="18"/>
  <c r="R68" i="18"/>
  <c r="X68" i="18"/>
  <c r="Z68" i="18"/>
  <c r="B68" i="18"/>
  <c r="AD68" i="18"/>
  <c r="D68" i="18"/>
  <c r="AF68" i="18"/>
  <c r="F68" i="18"/>
  <c r="AH68" i="18"/>
  <c r="H68" i="18"/>
  <c r="AJ68" i="18"/>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V52" i="38" l="1"/>
  <c r="AV82" i="38" s="1"/>
  <c r="T52" i="38"/>
  <c r="T82" i="38" s="1"/>
  <c r="AF52" i="38"/>
  <c r="AF82" i="38" s="1"/>
  <c r="AJ52" i="38"/>
  <c r="AJ82" i="38" s="1"/>
  <c r="P52" i="38"/>
  <c r="P82" i="38" s="1"/>
  <c r="D52" i="38"/>
  <c r="D82" i="38" s="1"/>
  <c r="Z52" i="38"/>
  <c r="Z82" i="38" s="1"/>
  <c r="B52" i="38"/>
  <c r="B82" i="38" s="1"/>
  <c r="R52" i="38"/>
  <c r="R82" i="38" s="1"/>
  <c r="AH52" i="38"/>
  <c r="AH82" i="38" s="1"/>
  <c r="AL52" i="38"/>
  <c r="AL82" i="38" s="1"/>
  <c r="AP52" i="38"/>
  <c r="AP82" i="38" s="1"/>
  <c r="H52" i="38"/>
  <c r="H82" i="38" s="1"/>
  <c r="AT52" i="38"/>
  <c r="AT82" i="38" s="1"/>
  <c r="AB52" i="38"/>
  <c r="AB82" i="38" s="1"/>
  <c r="AR52" i="38"/>
  <c r="AR82" i="38" s="1"/>
  <c r="AD52" i="38"/>
  <c r="AD82" i="38" s="1"/>
  <c r="F52" i="38"/>
  <c r="F82" i="38" s="1"/>
  <c r="N52" i="38"/>
  <c r="N82" i="38" s="1"/>
  <c r="X52" i="38"/>
  <c r="X82" i="38" s="1"/>
  <c r="V52" i="38"/>
  <c r="V82" i="38" s="1"/>
  <c r="J52" i="38"/>
  <c r="J82" i="38" s="1"/>
  <c r="L52" i="38"/>
  <c r="L82" i="38" s="1"/>
  <c r="AN52" i="38"/>
  <c r="AN82" i="38" s="1"/>
  <c r="AJ52" i="21"/>
  <c r="AJ82" i="21" s="1"/>
  <c r="J52" i="21"/>
  <c r="J82" i="21" s="1"/>
  <c r="AV52" i="21"/>
  <c r="AV82" i="21" s="1"/>
  <c r="AF52" i="21"/>
  <c r="AF82" i="21" s="1"/>
  <c r="D52" i="21"/>
  <c r="D82" i="21" s="1"/>
  <c r="Z52" i="21"/>
  <c r="Z82" i="21" s="1"/>
  <c r="T52" i="21"/>
  <c r="T82" i="21" s="1"/>
  <c r="AP52" i="21"/>
  <c r="AP82" i="21" s="1"/>
  <c r="P52" i="21"/>
  <c r="P82" i="21" s="1"/>
  <c r="AN52" i="21"/>
  <c r="AN82" i="21" s="1"/>
  <c r="B52" i="21"/>
  <c r="B82" i="21" s="1"/>
  <c r="R52" i="21"/>
  <c r="R82" i="21" s="1"/>
  <c r="AR52" i="21"/>
  <c r="AR82" i="21" s="1"/>
  <c r="AH52" i="21"/>
  <c r="AH82" i="21" s="1"/>
  <c r="H52" i="21"/>
  <c r="H82" i="21" s="1"/>
  <c r="AB52" i="21"/>
  <c r="AB82" i="21" s="1"/>
  <c r="L52" i="21"/>
  <c r="L82" i="21" s="1"/>
  <c r="F52" i="21"/>
  <c r="F82" i="21" s="1"/>
  <c r="AL52" i="21"/>
  <c r="AL82" i="21" s="1"/>
  <c r="X52" i="21"/>
  <c r="X82" i="21" s="1"/>
  <c r="AT52" i="21"/>
  <c r="AT82" i="21" s="1"/>
  <c r="N52" i="21"/>
  <c r="N82" i="21" s="1"/>
  <c r="V52" i="21"/>
  <c r="V82" i="21" s="1"/>
  <c r="AD52" i="21"/>
  <c r="AD82" i="21" s="1"/>
  <c r="AF52" i="24"/>
  <c r="AF82" i="24" s="1"/>
  <c r="AD52" i="24"/>
  <c r="AD82" i="24" s="1"/>
  <c r="AV52" i="24"/>
  <c r="AV82" i="24" s="1"/>
  <c r="AT52" i="24"/>
  <c r="AT82" i="24" s="1"/>
  <c r="T52" i="24"/>
  <c r="T82" i="24" s="1"/>
  <c r="P52" i="24"/>
  <c r="P82" i="24" s="1"/>
  <c r="N52" i="24"/>
  <c r="N82" i="24" s="1"/>
  <c r="AH52" i="24"/>
  <c r="AH82" i="24" s="1"/>
  <c r="AJ52" i="24"/>
  <c r="AJ82" i="24" s="1"/>
  <c r="X52" i="24"/>
  <c r="X82" i="24" s="1"/>
  <c r="B52" i="24"/>
  <c r="B82" i="24" s="1"/>
  <c r="AR52" i="24"/>
  <c r="AR82" i="24" s="1"/>
  <c r="AL52" i="24"/>
  <c r="AL82" i="24" s="1"/>
  <c r="Z52" i="24"/>
  <c r="Z82" i="24" s="1"/>
  <c r="AP52" i="24"/>
  <c r="AP82" i="24" s="1"/>
  <c r="F52" i="24"/>
  <c r="F82" i="24" s="1"/>
  <c r="L52" i="24"/>
  <c r="L82" i="24" s="1"/>
  <c r="R52" i="24"/>
  <c r="R82" i="24" s="1"/>
  <c r="D52" i="24"/>
  <c r="D82" i="24" s="1"/>
  <c r="AN52" i="24"/>
  <c r="AN82" i="24" s="1"/>
  <c r="H52" i="24"/>
  <c r="H82" i="24" s="1"/>
  <c r="V52" i="24"/>
  <c r="V82" i="24" s="1"/>
  <c r="AB52" i="24"/>
  <c r="AB82" i="24" s="1"/>
  <c r="J52" i="24"/>
  <c r="J82" i="24" s="1"/>
  <c r="AJ52" i="22"/>
  <c r="AJ82" i="22" s="1"/>
  <c r="D52" i="22"/>
  <c r="D82" i="22" s="1"/>
  <c r="AF52" i="22"/>
  <c r="AF82" i="22" s="1"/>
  <c r="AV52" i="22"/>
  <c r="AV82" i="22" s="1"/>
  <c r="P52" i="22"/>
  <c r="P82" i="22" s="1"/>
  <c r="T52" i="22"/>
  <c r="T82" i="22" s="1"/>
  <c r="AP52" i="22"/>
  <c r="AP82" i="22" s="1"/>
  <c r="R52" i="22"/>
  <c r="R82" i="22" s="1"/>
  <c r="B52" i="22"/>
  <c r="B82" i="22" s="1"/>
  <c r="AB52" i="22"/>
  <c r="AB82" i="22" s="1"/>
  <c r="AT52" i="22"/>
  <c r="AT82" i="22" s="1"/>
  <c r="AD52" i="22"/>
  <c r="AD82" i="22" s="1"/>
  <c r="V52" i="22"/>
  <c r="V82" i="22" s="1"/>
  <c r="H52" i="22"/>
  <c r="H82" i="22" s="1"/>
  <c r="AR52" i="22"/>
  <c r="AR82" i="22" s="1"/>
  <c r="AL52" i="22"/>
  <c r="AL82" i="22" s="1"/>
  <c r="AH52" i="22"/>
  <c r="AH82" i="22" s="1"/>
  <c r="X52" i="22"/>
  <c r="X82" i="22" s="1"/>
  <c r="J52" i="22"/>
  <c r="J82" i="22" s="1"/>
  <c r="N52" i="22"/>
  <c r="N82" i="22" s="1"/>
  <c r="L52" i="22"/>
  <c r="L82" i="22" s="1"/>
  <c r="AN52" i="22"/>
  <c r="AN82" i="22" s="1"/>
  <c r="Z52" i="22"/>
  <c r="Z82" i="22" s="1"/>
  <c r="F52" i="22"/>
  <c r="F82" i="22" s="1"/>
  <c r="T52" i="12"/>
  <c r="T82" i="12" s="1"/>
  <c r="AP52" i="12"/>
  <c r="AP82" i="12" s="1"/>
  <c r="J52" i="12"/>
  <c r="J82" i="12" s="1"/>
  <c r="AF52" i="12"/>
  <c r="AF82" i="12" s="1"/>
  <c r="D52" i="12"/>
  <c r="D82" i="12" s="1"/>
  <c r="Z52" i="12"/>
  <c r="Z82" i="12" s="1"/>
  <c r="AV52" i="12"/>
  <c r="AV82" i="12" s="1"/>
  <c r="AJ52" i="12"/>
  <c r="AJ82" i="12" s="1"/>
  <c r="P52" i="12"/>
  <c r="P82" i="12" s="1"/>
  <c r="N52" i="12"/>
  <c r="N82" i="12" s="1"/>
  <c r="AL52" i="12"/>
  <c r="AL82" i="12" s="1"/>
  <c r="AH52" i="12"/>
  <c r="AH82" i="12" s="1"/>
  <c r="AT52" i="12"/>
  <c r="AT82" i="12" s="1"/>
  <c r="X52" i="12"/>
  <c r="X82" i="12" s="1"/>
  <c r="AR52" i="12"/>
  <c r="AR82" i="12" s="1"/>
  <c r="R52" i="12"/>
  <c r="R82" i="12" s="1"/>
  <c r="B52" i="12"/>
  <c r="B82" i="12" s="1"/>
  <c r="V52" i="12"/>
  <c r="V82" i="12" s="1"/>
  <c r="L52" i="12"/>
  <c r="L82" i="12" s="1"/>
  <c r="AB52" i="12"/>
  <c r="AB82" i="12" s="1"/>
  <c r="AN52" i="12"/>
  <c r="AN82" i="12" s="1"/>
  <c r="F52" i="12"/>
  <c r="F82" i="12" s="1"/>
  <c r="H52" i="12"/>
  <c r="H82" i="12" s="1"/>
  <c r="AD52" i="12"/>
  <c r="AD82" i="12" s="1"/>
  <c r="P52" i="11"/>
  <c r="P82" i="11" s="1"/>
  <c r="AJ52" i="11"/>
  <c r="AJ82" i="11" s="1"/>
  <c r="AF52" i="11"/>
  <c r="AF82" i="11" s="1"/>
  <c r="D52" i="11"/>
  <c r="D82" i="11" s="1"/>
  <c r="AV52" i="11"/>
  <c r="AV82" i="11" s="1"/>
  <c r="T52" i="11"/>
  <c r="T82" i="11" s="1"/>
  <c r="R52" i="11"/>
  <c r="R82" i="11" s="1"/>
  <c r="AH52" i="11"/>
  <c r="AH82" i="11" s="1"/>
  <c r="AR52" i="11"/>
  <c r="AR82" i="11" s="1"/>
  <c r="V52" i="11"/>
  <c r="V82" i="11" s="1"/>
  <c r="B52" i="11"/>
  <c r="B82" i="11" s="1"/>
  <c r="X52" i="11"/>
  <c r="X82" i="11" s="1"/>
  <c r="AT52" i="11"/>
  <c r="AT82" i="11" s="1"/>
  <c r="J52" i="11"/>
  <c r="J82" i="11" s="1"/>
  <c r="Z52" i="11"/>
  <c r="Z82" i="11" s="1"/>
  <c r="H52" i="11"/>
  <c r="H82" i="11" s="1"/>
  <c r="L52" i="11"/>
  <c r="L82" i="11" s="1"/>
  <c r="AL52" i="11"/>
  <c r="AL82" i="11" s="1"/>
  <c r="F52" i="11"/>
  <c r="F82" i="11" s="1"/>
  <c r="AB52" i="11"/>
  <c r="AB82" i="11" s="1"/>
  <c r="AD52" i="11"/>
  <c r="AD82" i="11" s="1"/>
  <c r="N52" i="11"/>
  <c r="N82" i="11" s="1"/>
  <c r="AN52" i="11"/>
  <c r="AN82" i="11" s="1"/>
  <c r="AP52" i="11"/>
  <c r="AP82" i="11" s="1"/>
  <c r="Z52" i="18"/>
  <c r="Z82" i="18" s="1"/>
  <c r="J52" i="18"/>
  <c r="J82" i="18" s="1"/>
  <c r="AR52" i="18"/>
  <c r="AR82" i="18" s="1"/>
  <c r="AP52" i="18"/>
  <c r="AP82" i="18" s="1"/>
  <c r="L52" i="18"/>
  <c r="L82" i="18" s="1"/>
  <c r="AB52" i="18"/>
  <c r="AB82" i="18" s="1"/>
  <c r="D52" i="18"/>
  <c r="D82" i="18" s="1"/>
  <c r="T52" i="18"/>
  <c r="T82" i="18" s="1"/>
  <c r="AN52" i="18"/>
  <c r="AN82" i="18" s="1"/>
  <c r="V52" i="18"/>
  <c r="V82" i="18" s="1"/>
  <c r="F52" i="18"/>
  <c r="F82" i="18" s="1"/>
  <c r="H52" i="18"/>
  <c r="H82" i="18" s="1"/>
  <c r="AD52" i="18"/>
  <c r="AD82" i="18" s="1"/>
  <c r="AF52" i="18"/>
  <c r="AF82" i="18" s="1"/>
  <c r="X52" i="18"/>
  <c r="X82" i="18" s="1"/>
  <c r="AV52" i="18"/>
  <c r="AV82" i="18" s="1"/>
  <c r="N52" i="18"/>
  <c r="N82" i="18" s="1"/>
  <c r="B52" i="18"/>
  <c r="B82" i="18" s="1"/>
  <c r="AJ52" i="18"/>
  <c r="AJ82" i="18" s="1"/>
  <c r="R52" i="18"/>
  <c r="R82" i="18" s="1"/>
  <c r="AH52" i="18"/>
  <c r="AH82" i="18" s="1"/>
  <c r="AT52" i="18"/>
  <c r="AT82" i="18" s="1"/>
  <c r="AL52" i="18"/>
  <c r="AL82" i="18" s="1"/>
  <c r="P52" i="18"/>
  <c r="P82" i="18"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V20" i="23"/>
  <c r="X20" i="23"/>
  <c r="M20" i="23"/>
  <c r="M4" i="39"/>
  <c r="S20" i="23"/>
  <c r="S4" i="39"/>
  <c r="G20" i="23"/>
  <c r="G4" i="39"/>
  <c r="H20" i="23"/>
  <c r="H4" i="39"/>
  <c r="I20" i="23"/>
  <c r="I4" i="39"/>
  <c r="K20" i="23"/>
  <c r="K4" i="39"/>
  <c r="L20" i="23"/>
  <c r="L4" i="39"/>
  <c r="O20" i="23"/>
  <c r="O4" i="39"/>
  <c r="Q20" i="23"/>
  <c r="Q4" i="39"/>
  <c r="R20" i="23"/>
  <c r="R4" i="39"/>
  <c r="T20" i="23"/>
  <c r="T4" i="39"/>
  <c r="F20" i="23"/>
  <c r="F4" i="39"/>
  <c r="W20" i="23"/>
  <c r="J20" i="23"/>
  <c r="J4" i="39"/>
  <c r="N20" i="23"/>
  <c r="N4" i="39"/>
  <c r="P20" i="23"/>
  <c r="P4" i="39"/>
  <c r="B20" i="23"/>
  <c r="B4" i="39"/>
  <c r="C20" i="23"/>
  <c r="C4" i="39"/>
  <c r="D20" i="23"/>
  <c r="D4" i="39"/>
  <c r="E20" i="23"/>
  <c r="E4" i="39"/>
  <c r="U20" i="23"/>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X25" i="23"/>
  <c r="M25" i="23"/>
  <c r="M9" i="39"/>
  <c r="O25" i="23"/>
  <c r="O9" i="39"/>
  <c r="Q25" i="23"/>
  <c r="Q9" i="39"/>
  <c r="C25" i="23"/>
  <c r="C9" i="39"/>
  <c r="D25" i="23"/>
  <c r="D9" i="39"/>
  <c r="E25" i="23"/>
  <c r="E9" i="39"/>
  <c r="F25" i="23"/>
  <c r="F9" i="39"/>
  <c r="G25" i="23"/>
  <c r="G9" i="39"/>
  <c r="W25" i="23"/>
  <c r="H25" i="23"/>
  <c r="H9" i="39"/>
  <c r="I25" i="23"/>
  <c r="I9" i="39"/>
  <c r="Y25" i="23"/>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H18" i="23"/>
  <c r="H2" i="39"/>
  <c r="I18" i="23"/>
  <c r="I2" i="39"/>
  <c r="K18" i="23"/>
  <c r="K2" i="39"/>
  <c r="L18" i="23"/>
  <c r="L2" i="39"/>
  <c r="M18" i="23"/>
  <c r="M2" i="39"/>
  <c r="P18" i="23"/>
  <c r="P2" i="39"/>
  <c r="B18" i="23"/>
  <c r="B2" i="39"/>
  <c r="T18" i="23"/>
  <c r="T2" i="39"/>
  <c r="V18" i="23"/>
  <c r="G18" i="23"/>
  <c r="G2" i="39"/>
  <c r="X18" i="23"/>
  <c r="Y18" i="23"/>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V53" i="38" l="1"/>
  <c r="AV83" i="38" s="1"/>
  <c r="P53" i="38"/>
  <c r="P83" i="38" s="1"/>
  <c r="T53" i="38"/>
  <c r="T83" i="38" s="1"/>
  <c r="AJ53" i="38"/>
  <c r="AJ83" i="38" s="1"/>
  <c r="AF53" i="38"/>
  <c r="AF83" i="38" s="1"/>
  <c r="D53" i="38"/>
  <c r="D83" i="38" s="1"/>
  <c r="AD53" i="38"/>
  <c r="AD83" i="38" s="1"/>
  <c r="B53" i="38"/>
  <c r="B83" i="38" s="1"/>
  <c r="L53" i="38"/>
  <c r="L83" i="38" s="1"/>
  <c r="AN53" i="38"/>
  <c r="AN83" i="38" s="1"/>
  <c r="AB53" i="38"/>
  <c r="AB83" i="38" s="1"/>
  <c r="J53" i="38"/>
  <c r="J83" i="38" s="1"/>
  <c r="H53" i="38"/>
  <c r="H83" i="38" s="1"/>
  <c r="AH53" i="38"/>
  <c r="AH83" i="38" s="1"/>
  <c r="R53" i="38"/>
  <c r="R83" i="38" s="1"/>
  <c r="AR53" i="38"/>
  <c r="AR83" i="38" s="1"/>
  <c r="AL53" i="38"/>
  <c r="AL83" i="38" s="1"/>
  <c r="F53" i="38"/>
  <c r="F83" i="38" s="1"/>
  <c r="AT53" i="38"/>
  <c r="AT83" i="38" s="1"/>
  <c r="V53" i="38"/>
  <c r="V83" i="38" s="1"/>
  <c r="Z53" i="38"/>
  <c r="Z83" i="38" s="1"/>
  <c r="N53" i="38"/>
  <c r="N83" i="38" s="1"/>
  <c r="X53" i="38"/>
  <c r="X83" i="38" s="1"/>
  <c r="AP53" i="38"/>
  <c r="AP83" i="38" s="1"/>
  <c r="AJ53" i="21"/>
  <c r="AJ83" i="21" s="1"/>
  <c r="J53" i="21"/>
  <c r="J83" i="21" s="1"/>
  <c r="AF53" i="21"/>
  <c r="AF83" i="21" s="1"/>
  <c r="AV53" i="21"/>
  <c r="AV83" i="21" s="1"/>
  <c r="D53" i="21"/>
  <c r="D83" i="21" s="1"/>
  <c r="Z53" i="21"/>
  <c r="Z83" i="21" s="1"/>
  <c r="AP53" i="21"/>
  <c r="AP83" i="21" s="1"/>
  <c r="T53" i="21"/>
  <c r="T83" i="21" s="1"/>
  <c r="P53" i="21"/>
  <c r="P83" i="21" s="1"/>
  <c r="AL53" i="21"/>
  <c r="AL83" i="21" s="1"/>
  <c r="X53" i="21"/>
  <c r="X83" i="21" s="1"/>
  <c r="B53" i="21"/>
  <c r="B83" i="21" s="1"/>
  <c r="F53" i="21"/>
  <c r="F83" i="21" s="1"/>
  <c r="R53" i="21"/>
  <c r="R83" i="21" s="1"/>
  <c r="AD53" i="21"/>
  <c r="AD83" i="21" s="1"/>
  <c r="V53" i="21"/>
  <c r="V83" i="21" s="1"/>
  <c r="AH53" i="21"/>
  <c r="AH83" i="21" s="1"/>
  <c r="AB53" i="21"/>
  <c r="AB83" i="21" s="1"/>
  <c r="AN53" i="21"/>
  <c r="AN83" i="21" s="1"/>
  <c r="H53" i="21"/>
  <c r="H83" i="21" s="1"/>
  <c r="L53" i="21"/>
  <c r="L83" i="21" s="1"/>
  <c r="N53" i="21"/>
  <c r="N83" i="21" s="1"/>
  <c r="AT53" i="21"/>
  <c r="AT83" i="21" s="1"/>
  <c r="AR53" i="21"/>
  <c r="AR83" i="21" s="1"/>
  <c r="AF53" i="24"/>
  <c r="AF83" i="24" s="1"/>
  <c r="AD53" i="24"/>
  <c r="AD83" i="24" s="1"/>
  <c r="AV53" i="24"/>
  <c r="AV83" i="24" s="1"/>
  <c r="AT53" i="24"/>
  <c r="AT83" i="24" s="1"/>
  <c r="P53" i="24"/>
  <c r="P83" i="24" s="1"/>
  <c r="N53" i="24"/>
  <c r="N83" i="24" s="1"/>
  <c r="AJ53" i="24"/>
  <c r="AJ83" i="24" s="1"/>
  <c r="Z53" i="24"/>
  <c r="Z83" i="24" s="1"/>
  <c r="L53" i="24"/>
  <c r="L83" i="24" s="1"/>
  <c r="AL53" i="24"/>
  <c r="AL83" i="24" s="1"/>
  <c r="F53" i="24"/>
  <c r="F83" i="24" s="1"/>
  <c r="H53" i="24"/>
  <c r="H83" i="24" s="1"/>
  <c r="D53" i="24"/>
  <c r="D83" i="24" s="1"/>
  <c r="X53" i="24"/>
  <c r="X83" i="24" s="1"/>
  <c r="AB53" i="24"/>
  <c r="AB83" i="24" s="1"/>
  <c r="AN53" i="24"/>
  <c r="AN83" i="24" s="1"/>
  <c r="B53" i="24"/>
  <c r="B83" i="24" s="1"/>
  <c r="AP53" i="24"/>
  <c r="AP83" i="24" s="1"/>
  <c r="R53" i="24"/>
  <c r="R83" i="24" s="1"/>
  <c r="AR53" i="24"/>
  <c r="AR83" i="24" s="1"/>
  <c r="T53" i="24"/>
  <c r="T83" i="24" s="1"/>
  <c r="J53" i="24"/>
  <c r="J83" i="24" s="1"/>
  <c r="V53" i="24"/>
  <c r="V83" i="24" s="1"/>
  <c r="AH53" i="24"/>
  <c r="AH83" i="24" s="1"/>
  <c r="P53" i="22"/>
  <c r="P83" i="22" s="1"/>
  <c r="AF53" i="22"/>
  <c r="AF83" i="22" s="1"/>
  <c r="D53" i="22"/>
  <c r="D83" i="22" s="1"/>
  <c r="AJ53" i="22"/>
  <c r="AJ83" i="22" s="1"/>
  <c r="AV53" i="22"/>
  <c r="AV83" i="22" s="1"/>
  <c r="T53" i="22"/>
  <c r="T83" i="22" s="1"/>
  <c r="X53" i="22"/>
  <c r="X83" i="22" s="1"/>
  <c r="AT53" i="22"/>
  <c r="AT83" i="22" s="1"/>
  <c r="AR53" i="22"/>
  <c r="AR83" i="22" s="1"/>
  <c r="V53" i="22"/>
  <c r="V83" i="22" s="1"/>
  <c r="F53" i="22"/>
  <c r="F83" i="22" s="1"/>
  <c r="Z53" i="22"/>
  <c r="Z83" i="22" s="1"/>
  <c r="B53" i="22"/>
  <c r="B83" i="22" s="1"/>
  <c r="AL53" i="22"/>
  <c r="AL83" i="22" s="1"/>
  <c r="AP53" i="22"/>
  <c r="AP83" i="22" s="1"/>
  <c r="H53" i="22"/>
  <c r="H83" i="22" s="1"/>
  <c r="AH53" i="22"/>
  <c r="AH83" i="22" s="1"/>
  <c r="AB53" i="22"/>
  <c r="AB83" i="22" s="1"/>
  <c r="J53" i="22"/>
  <c r="J83" i="22" s="1"/>
  <c r="L53" i="22"/>
  <c r="L83" i="22" s="1"/>
  <c r="N53" i="22"/>
  <c r="N83" i="22" s="1"/>
  <c r="R53" i="22"/>
  <c r="R83" i="22" s="1"/>
  <c r="AN53" i="22"/>
  <c r="AN83" i="22" s="1"/>
  <c r="AD53" i="22"/>
  <c r="AD83" i="22" s="1"/>
  <c r="J53" i="12"/>
  <c r="J83" i="12" s="1"/>
  <c r="AP53" i="12"/>
  <c r="AP83" i="12" s="1"/>
  <c r="T53" i="12"/>
  <c r="T83" i="12" s="1"/>
  <c r="P53" i="12"/>
  <c r="P83" i="12" s="1"/>
  <c r="AD53" i="12"/>
  <c r="AD83" i="12" s="1"/>
  <c r="Z53" i="12"/>
  <c r="Z83" i="12" s="1"/>
  <c r="AV53" i="12"/>
  <c r="AV83" i="12" s="1"/>
  <c r="D53" i="12"/>
  <c r="D83" i="12" s="1"/>
  <c r="AT53" i="12"/>
  <c r="AT83" i="12" s="1"/>
  <c r="AJ53" i="12"/>
  <c r="AJ83" i="12" s="1"/>
  <c r="N53" i="12"/>
  <c r="N83" i="12" s="1"/>
  <c r="AF53" i="12"/>
  <c r="AF83" i="12" s="1"/>
  <c r="H53" i="12"/>
  <c r="H83" i="12" s="1"/>
  <c r="AN53" i="12"/>
  <c r="AN83" i="12" s="1"/>
  <c r="V53" i="12"/>
  <c r="V83" i="12" s="1"/>
  <c r="AH53" i="12"/>
  <c r="AH83" i="12" s="1"/>
  <c r="AL53" i="12"/>
  <c r="AL83" i="12" s="1"/>
  <c r="L53" i="12"/>
  <c r="L83" i="12" s="1"/>
  <c r="AR53" i="12"/>
  <c r="AR83" i="12" s="1"/>
  <c r="B53" i="12"/>
  <c r="B83" i="12" s="1"/>
  <c r="X53" i="12"/>
  <c r="X83" i="12" s="1"/>
  <c r="R53" i="12"/>
  <c r="R83" i="12" s="1"/>
  <c r="F53" i="12"/>
  <c r="F83" i="12" s="1"/>
  <c r="AB53" i="12"/>
  <c r="AB83" i="12" s="1"/>
  <c r="P53" i="11"/>
  <c r="P83" i="11" s="1"/>
  <c r="AJ53" i="11"/>
  <c r="AJ83" i="11" s="1"/>
  <c r="N53" i="11"/>
  <c r="N83" i="11" s="1"/>
  <c r="AV53" i="11"/>
  <c r="AV83" i="11" s="1"/>
  <c r="D53" i="11"/>
  <c r="D83" i="11" s="1"/>
  <c r="AF53" i="11"/>
  <c r="AF83" i="11" s="1"/>
  <c r="AD53" i="11"/>
  <c r="AD83" i="11" s="1"/>
  <c r="AT53" i="11"/>
  <c r="AT83" i="11" s="1"/>
  <c r="T53" i="11"/>
  <c r="T83" i="11" s="1"/>
  <c r="R53" i="11"/>
  <c r="R83" i="11" s="1"/>
  <c r="AH53" i="11"/>
  <c r="AH83" i="11" s="1"/>
  <c r="V53" i="11"/>
  <c r="V83" i="11" s="1"/>
  <c r="B53" i="11"/>
  <c r="B83" i="11" s="1"/>
  <c r="F53" i="11"/>
  <c r="F83" i="11" s="1"/>
  <c r="L53" i="11"/>
  <c r="L83" i="11" s="1"/>
  <c r="AP53" i="11"/>
  <c r="AP83" i="11" s="1"/>
  <c r="J53" i="11"/>
  <c r="J83" i="11" s="1"/>
  <c r="AR53" i="11"/>
  <c r="AR83" i="11" s="1"/>
  <c r="AB53" i="11"/>
  <c r="AB83" i="11" s="1"/>
  <c r="AL53" i="11"/>
  <c r="AL83" i="11" s="1"/>
  <c r="AN53" i="11"/>
  <c r="AN83" i="11" s="1"/>
  <c r="Z53" i="11"/>
  <c r="Z83" i="11" s="1"/>
  <c r="X53" i="11"/>
  <c r="X83" i="11" s="1"/>
  <c r="H53" i="11"/>
  <c r="H83" i="11" s="1"/>
  <c r="AB53" i="18"/>
  <c r="AB83" i="18" s="1"/>
  <c r="J53" i="18"/>
  <c r="J83" i="18" s="1"/>
  <c r="Z53" i="18"/>
  <c r="Z83" i="18" s="1"/>
  <c r="L53" i="18"/>
  <c r="L83" i="18" s="1"/>
  <c r="AR53" i="18"/>
  <c r="AR83" i="18" s="1"/>
  <c r="AP53" i="18"/>
  <c r="AP83" i="18" s="1"/>
  <c r="AJ53" i="18"/>
  <c r="AJ83" i="18" s="1"/>
  <c r="D53" i="18"/>
  <c r="D83" i="18" s="1"/>
  <c r="H53" i="18"/>
  <c r="H83" i="18" s="1"/>
  <c r="V53" i="18"/>
  <c r="V83" i="18" s="1"/>
  <c r="AF53" i="18"/>
  <c r="AF83" i="18" s="1"/>
  <c r="AH53" i="18"/>
  <c r="AH83" i="18" s="1"/>
  <c r="X53" i="18"/>
  <c r="X83" i="18" s="1"/>
  <c r="AV53" i="18"/>
  <c r="AV83" i="18" s="1"/>
  <c r="P53" i="18"/>
  <c r="P83" i="18" s="1"/>
  <c r="AL53" i="18"/>
  <c r="AL83" i="18" s="1"/>
  <c r="AN53" i="18"/>
  <c r="AN83" i="18" s="1"/>
  <c r="N53" i="18"/>
  <c r="N83" i="18" s="1"/>
  <c r="R53" i="18"/>
  <c r="R83" i="18" s="1"/>
  <c r="F53" i="18"/>
  <c r="F83" i="18" s="1"/>
  <c r="AD53" i="18"/>
  <c r="AD83" i="18" s="1"/>
  <c r="B53" i="18"/>
  <c r="B83" i="18" s="1"/>
  <c r="T53" i="18"/>
  <c r="T83" i="18" s="1"/>
  <c r="AT53" i="18"/>
  <c r="AT83" i="18"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5"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<sst xmlns="http://schemas.openxmlformats.org/spreadsheetml/2006/main" count="1133" uniqueCount="199">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</sst>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0.99377394688788867</c:v>
                </c:pt>
                <c:pt idx="2">
                  <c:v>0.98720033915076844</c:v>
                </c:pt>
                <c:pt idx="3">
                  <c:v>0.98023606120743711</c:v>
                </c:pt>
                <c:pt idx="4">
                  <c:v>0.97282564313222741</c:v>
                </c:pt>
                <c:pt idx="5">
                  <c:v>0.96489543990938731</c:v>
                </c:pt>
                <c:pt idx="6">
                  <c:v>0.95634416620007823</c:v>
                </c:pt>
                <c:pt idx="7">
                  <c:v>0.94702832340664111</c:v>
                </c:pt>
                <c:pt idx="8">
                  <c:v>0.93673682819963666</c:v>
                </c:pt>
                <c:pt idx="9">
                  <c:v>0.92514866177075605</c:v>
                </c:pt>
                <c:pt idx="10">
                  <c:v>0.9117567196602484</c:v>
                </c:pt>
                <c:pt idx="11">
                  <c:v>0.89573562336423407</c:v>
                </c:pt>
                <c:pt idx="12">
                  <c:v>0.87573937854365258</c:v>
                </c:pt>
                <c:pt idx="13">
                  <c:v>0.84972519089397625</c:v>
                </c:pt>
                <c:pt idx="14">
                  <c:v>0.81514729825972798</c:v>
                </c:pt>
                <c:pt idx="15">
                  <c:v>0.76936993467262049</c:v>
                </c:pt>
                <c:pt idx="16">
                  <c:v>0.70872112396133358</c:v>
                </c:pt>
                <c:pt idx="17">
                  <c:v>0.62577440941320783</c:v>
                </c:pt>
                <c:pt idx="18">
                  <c:v>0.50455523251495105</c:v>
                </c:pt>
                <c:pt idx="19">
                  <c:v>0.30742264395316771</c:v>
                </c:pt>
                <c:pt idx="20">
                  <c:v>0</c:v>
                </c:pt>
                <c:pt idx="21">
                  <c:v>0</c:v>
                </c:pt>
                <c:pt idx="22">
                  <c:v>0</c:v>
                </c:pt>
                <c:pt idx="23">
                  <c:v>0</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1.0100615684299605</c:v>
                </c:pt>
                <c:pt idx="2">
                  <c:v>1.0196913666835627</c:v>
                </c:pt>
                <c:pt idx="3">
                  <c:v>1.0288853017727049</c:v>
                </c:pt>
                <c:pt idx="4">
                  <c:v>1.0376498188359475</c:v>
                </c:pt>
                <c:pt idx="5">
                  <c:v>1.046009460975057</c:v>
                </c:pt>
                <c:pt idx="6">
                  <c:v>1.0540203551623042</c:v>
                </c:pt>
                <c:pt idx="7">
                  <c:v>1.0617950402786056</c:v>
                </c:pt>
                <c:pt idx="8">
                  <c:v>1.0695495837406441</c:v>
                </c:pt>
                <c:pt idx="9">
                  <c:v>1.0776885544448778</c:v>
                </c:pt>
                <c:pt idx="10">
                  <c:v>1.0869213635734369</c:v>
                </c:pt>
                <c:pt idx="11">
                  <c:v>1.0981841293302346</c:v>
                </c:pt>
                <c:pt idx="12">
                  <c:v>1.1115572297563883</c:v>
                </c:pt>
                <c:pt idx="13">
                  <c:v>1.1245056302445802</c:v>
                </c:pt>
                <c:pt idx="14">
                  <c:v>1.1328128910289637</c:v>
                </c:pt>
                <c:pt idx="15">
                  <c:v>0</c:v>
                </c:pt>
                <c:pt idx="16">
                  <c:v>0</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0.99818190938924434</c:v>
                </c:pt>
                <c:pt idx="2">
                  <c:v>0.99603632727806435</c:v>
                </c:pt>
                <c:pt idx="3">
                  <c:v>0.99352305443789324</c:v>
                </c:pt>
                <c:pt idx="4">
                  <c:v>0.99059229827538609</c:v>
                </c:pt>
                <c:pt idx="5">
                  <c:v>0.98718119586097552</c:v>
                </c:pt>
                <c:pt idx="6">
                  <c:v>0.98320756420999589</c:v>
                </c:pt>
                <c:pt idx="7">
                  <c:v>0.97856131442106264</c:v>
                </c:pt>
                <c:pt idx="8">
                  <c:v>0.97308878088694251</c:v>
                </c:pt>
                <c:pt idx="9">
                  <c:v>0.96656762652960948</c:v>
                </c:pt>
                <c:pt idx="10">
                  <c:v>0.95866118460338112</c:v>
                </c:pt>
                <c:pt idx="11">
                  <c:v>0.9488378000919192</c:v>
                </c:pt>
                <c:pt idx="12">
                  <c:v>0.93623961571583747</c:v>
                </c:pt>
                <c:pt idx="13">
                  <c:v>0.91952869977698637</c:v>
                </c:pt>
                <c:pt idx="14">
                  <c:v>0.89683039916740503</c:v>
                </c:pt>
                <c:pt idx="15">
                  <c:v>0.86563587664335062</c:v>
                </c:pt>
                <c:pt idx="16">
                  <c:v>0.82193104530012839</c:v>
                </c:pt>
                <c:pt idx="17">
                  <c:v>0.75798691799173923</c:v>
                </c:pt>
                <c:pt idx="18">
                  <c:v>0.65682613047808747</c:v>
                </c:pt>
                <c:pt idx="19">
                  <c:v>0</c:v>
                </c:pt>
                <c:pt idx="20">
                  <c:v>0</c:v>
                </c:pt>
                <c:pt idx="21">
                  <c:v>0</c:v>
                </c:pt>
                <c:pt idx="22">
                  <c:v>0</c:v>
                </c:pt>
                <c:pt idx="23">
                  <c:v>0</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1.0023124974449211</c:v>
                </c:pt>
                <c:pt idx="2">
                  <c:v>1.0038005904275527</c:v>
                </c:pt>
                <c:pt idx="3">
                  <c:v>1.004409952584836</c:v>
                </c:pt>
                <c:pt idx="4">
                  <c:v>1.0040694557389189</c:v>
                </c:pt>
                <c:pt idx="5">
                  <c:v>1.0026874736203815</c:v>
                </c:pt>
                <c:pt idx="6">
                  <c:v>1.0001438179448972</c:v>
                </c:pt>
                <c:pt idx="7">
                  <c:v>0.99628062224766889</c:v>
                </c:pt>
                <c:pt idx="8">
                  <c:v>0.99088436615280184</c:v>
                </c:pt>
                <c:pt idx="9">
                  <c:v>0.98365812594401703</c:v>
                </c:pt>
                <c:pt idx="10">
                  <c:v>0.9741699965386833</c:v>
                </c:pt>
                <c:pt idx="11">
                  <c:v>0.96175438561051585</c:v>
                </c:pt>
                <c:pt idx="12">
                  <c:v>0.94531522968770743</c:v>
                </c:pt>
                <c:pt idx="13">
                  <c:v>0.92295101643203714</c:v>
                </c:pt>
                <c:pt idx="14">
                  <c:v>0.8914260870030698</c:v>
                </c:pt>
                <c:pt idx="15">
                  <c:v>0.84574491299032128</c:v>
                </c:pt>
                <c:pt idx="16">
                  <c:v>0.77855382909075488</c:v>
                </c:pt>
                <c:pt idx="17">
                  <c:v>0.67824320569905705</c:v>
                </c:pt>
                <c:pt idx="18">
                  <c:v>0.52576958339199154</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1.011664907786441</c:v>
                </c:pt>
                <c:pt idx="2">
                  <c:v>1.0229336239405502</c:v>
                </c:pt>
                <c:pt idx="3">
                  <c:v>1.0337805373824198</c:v>
                </c:pt>
                <c:pt idx="4">
                  <c:v>1.0441725952070524</c:v>
                </c:pt>
                <c:pt idx="5">
                  <c:v>1.0540692630642488</c:v>
                </c:pt>
                <c:pt idx="6">
                  <c:v>1.0634227948076387</c:v>
                </c:pt>
                <c:pt idx="7">
                  <c:v>1.0721796865772462</c:v>
                </c:pt>
                <c:pt idx="8">
                  <c:v>1.0802835502926891</c:v>
                </c:pt>
                <c:pt idx="9">
                  <c:v>1.0876812258962563</c:v>
                </c:pt>
                <c:pt idx="10">
                  <c:v>1.0943339453160903</c:v>
                </c:pt>
                <c:pt idx="11">
                  <c:v>1.1002348667412578</c:v>
                </c:pt>
                <c:pt idx="12">
                  <c:v>1.1054232652472213</c:v>
                </c:pt>
                <c:pt idx="13">
                  <c:v>1.1099228412238444</c:v>
                </c:pt>
                <c:pt idx="14">
                  <c:v>1.1132796288556681</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0.9793323022213396</c:v>
                </c:pt>
                <c:pt idx="2">
                  <c:v>0.95661313767014189</c:v>
                </c:pt>
                <c:pt idx="3">
                  <c:v>0.93162207560086718</c:v>
                </c:pt>
                <c:pt idx="4">
                  <c:v>0.90411808178608744</c:v>
                </c:pt>
                <c:pt idx="5">
                  <c:v>0.87384528223329583</c:v>
                </c:pt>
                <c:pt idx="6">
                  <c:v>0.84054365082353255</c:v>
                </c:pt>
                <c:pt idx="7">
                  <c:v>0.80397204287112412</c:v>
                </c:pt>
                <c:pt idx="8">
                  <c:v>0.76395216291537982</c:v>
                </c:pt>
                <c:pt idx="9">
                  <c:v>0.72045442167992968</c:v>
                </c:pt>
                <c:pt idx="10">
                  <c:v>0.67377568186850501</c:v>
                </c:pt>
                <c:pt idx="11">
                  <c:v>0.62496749216388658</c:v>
                </c:pt>
                <c:pt idx="12">
                  <c:v>0.57705341325971971</c:v>
                </c:pt>
                <c:pt idx="13">
                  <c:v>0.53839879185332562</c:v>
                </c:pt>
                <c:pt idx="14">
                  <c:v>0.5206698770117516</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0.98645947072765583</c:v>
                </c:pt>
                <c:pt idx="2">
                  <c:v>0.97181142204574833</c:v>
                </c:pt>
                <c:pt idx="3">
                  <c:v>0.95588902809451115</c:v>
                </c:pt>
                <c:pt idx="4">
                  <c:v>0.93848707865377445</c:v>
                </c:pt>
                <c:pt idx="5">
                  <c:v>0.9193499306109757</c:v>
                </c:pt>
                <c:pt idx="6">
                  <c:v>0.89815587179177614</c:v>
                </c:pt>
                <c:pt idx="7">
                  <c:v>0.87449729414354993</c:v>
                </c:pt>
                <c:pt idx="8">
                  <c:v>0.84785584840214845</c:v>
                </c:pt>
                <c:pt idx="9">
                  <c:v>0.81757569533125052</c:v>
                </c:pt>
                <c:pt idx="10">
                  <c:v>0.7828420580968426</c:v>
                </c:pt>
                <c:pt idx="11">
                  <c:v>0.74268295453166489</c:v>
                </c:pt>
                <c:pt idx="12">
                  <c:v>0.69603111969190079</c:v>
                </c:pt>
                <c:pt idx="13">
                  <c:v>0.6418960927398013</c:v>
                </c:pt>
                <c:pt idx="14">
                  <c:v>0.57967792109741212</c:v>
                </c:pt>
                <c:pt idx="15">
                  <c:v>0.50954447155818028</c:v>
                </c:pt>
                <c:pt idx="16">
                  <c:v>0.43261946780339228</c:v>
                </c:pt>
                <c:pt idx="17">
                  <c:v>0.35054398648128282</c:v>
                </c:pt>
                <c:pt idx="18">
                  <c:v>0.26357426443249538</c:v>
                </c:pt>
                <c:pt idx="19">
                  <c:v>0.16553216736518614</c:v>
                </c:pt>
                <c:pt idx="20">
                  <c:v>0.14277254663242578</c:v>
                </c:pt>
                <c:pt idx="21">
                  <c:v>0.11793065618254325</c:v>
                </c:pt>
                <c:pt idx="22">
                  <c:v>8.9874974977164387E-2</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0.98882044448081396</c:v>
                </c:pt>
                <c:pt idx="2">
                  <c:v>0.97684074451193714</c:v>
                </c:pt>
                <c:pt idx="3">
                  <c:v>0.96394656607524687</c:v>
                </c:pt>
                <c:pt idx="4">
                  <c:v>0.94999433536421962</c:v>
                </c:pt>
                <c:pt idx="5">
                  <c:v>0.93480063032644056</c:v>
                </c:pt>
                <c:pt idx="6">
                  <c:v>0.91812630149371532</c:v>
                </c:pt>
                <c:pt idx="7">
                  <c:v>0.89965389413439645</c:v>
                </c:pt>
                <c:pt idx="8">
                  <c:v>0.87895316124755041</c:v>
                </c:pt>
                <c:pt idx="9">
                  <c:v>0.85543153220345425</c:v>
                </c:pt>
                <c:pt idx="10">
                  <c:v>0.82826136345862544</c:v>
                </c:pt>
                <c:pt idx="11">
                  <c:v>0.79628214512609585</c:v>
                </c:pt>
                <c:pt idx="12">
                  <c:v>0.75788938081632706</c:v>
                </c:pt>
                <c:pt idx="13">
                  <c:v>0.71096915920287274</c:v>
                </c:pt>
                <c:pt idx="14">
                  <c:v>0.65301719462545593</c:v>
                </c:pt>
                <c:pt idx="15">
                  <c:v>0.58159390477498374</c:v>
                </c:pt>
                <c:pt idx="16">
                  <c:v>0.49500546805729079</c:v>
                </c:pt>
                <c:pt idx="17">
                  <c:v>0.39272848410246769</c:v>
                </c:pt>
                <c:pt idx="18">
                  <c:v>0.27529245946362185</c:v>
                </c:pt>
                <c:pt idx="19">
                  <c:v>0.1438850271556637</c:v>
                </c:pt>
                <c:pt idx="20">
                  <c:v>0.11605603656196964</c:v>
                </c:pt>
                <c:pt idx="21">
                  <c:v>8.7740381280134755E-2</c:v>
                </c:pt>
                <c:pt idx="22">
                  <c:v>5.8950735544617924E-2</c:v>
                </c:pt>
                <c:pt idx="23">
                  <c:v>2.9699741067582153E-2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0.56058995943839207</c:v>
                </c:pt>
                <c:pt idx="1">
                  <c:v>0.5654958228728465</c:v>
                </c:pt>
                <c:pt idx="2">
                  <c:v>0.56376437232647048</c:v>
                </c:pt>
                <c:pt idx="3">
                  <c:v>0.56200598994084894</c:v>
                </c:pt>
                <c:pt idx="4">
                  <c:v>0.56022174366481237</c:v>
                </c:pt>
                <c:pt idx="5">
                  <c:v>0.55841466433446807</c:v>
                </c:pt>
                <c:pt idx="6">
                  <c:v>0.55659090157193281</c:v>
                </c:pt>
                <c:pt idx="7">
                  <c:v>0.554761136527818</c:v>
                </c:pt>
                <c:pt idx="8">
                  <c:v>0.55294314691400837</c:v>
                </c:pt>
                <c:pt idx="9">
                  <c:v>0.55116561223344052</c:v>
                </c:pt>
                <c:pt idx="10">
                  <c:v>0.54947432335420698</c:v>
                </c:pt>
                <c:pt idx="11">
                  <c:v>0.54794083533785165</c:v>
                </c:pt>
                <c:pt idx="12">
                  <c:v>0.54666867420320187</c:v>
                </c:pt>
                <c:pt idx="13">
                  <c:v>0.54577367049029546</c:v>
                </c:pt>
                <c:pt idx="14">
                  <c:v>0.54529824338120447</c:v>
                </c:pt>
                <c:pt idx="15">
                  <c:v>0.54512847985658475</c:v>
                </c:pt>
                <c:pt idx="16">
                  <c:v>0.54509054357313758</c:v>
                </c:pt>
                <c:pt idx="17">
                  <c:v>0.54508567652874496</c:v>
                </c:pt>
                <c:pt idx="18">
                  <c:v>0.54508539063742611</c:v>
                </c:pt>
                <c:pt idx="19">
                  <c:v>0.54508538613953605</c:v>
                </c:pt>
                <c:pt idx="20">
                  <c:v>0</c:v>
                </c:pt>
                <c:pt idx="21">
                  <c:v>0</c:v>
                </c:pt>
                <c:pt idx="22">
                  <c:v>0</c:v>
                </c:pt>
                <c:pt idx="23">
                  <c:v>0</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0.56058995943839207</c:v>
                </c:pt>
                <c:pt idx="1">
                  <c:v>0.57842539074215349</c:v>
                </c:pt>
                <c:pt idx="2">
                  <c:v>0.58968107700777239</c:v>
                </c:pt>
                <c:pt idx="3">
                  <c:v>0.6010370423594924</c:v>
                </c:pt>
                <c:pt idx="4">
                  <c:v>0.61260251094490692</c:v>
                </c:pt>
                <c:pt idx="5">
                  <c:v>0.62454836112870393</c:v>
                </c:pt>
                <c:pt idx="6">
                  <c:v>0.6371451428705156</c:v>
                </c:pt>
                <c:pt idx="7">
                  <c:v>0.65083257427248542</c:v>
                </c:pt>
                <c:pt idx="8">
                  <c:v>0.66635200942877348</c:v>
                </c:pt>
                <c:pt idx="9">
                  <c:v>0.68500083730587447</c:v>
                </c:pt>
                <c:pt idx="10">
                  <c:v>0.7090741343626894</c:v>
                </c:pt>
                <c:pt idx="11">
                  <c:v>0.74225486365059989</c:v>
                </c:pt>
                <c:pt idx="12">
                  <c:v>0.78852948339088735</c:v>
                </c:pt>
                <c:pt idx="13">
                  <c:v>0.84942250638094574</c:v>
                </c:pt>
                <c:pt idx="14">
                  <c:v>0.92576745044477049</c:v>
                </c:pt>
                <c:pt idx="15">
                  <c:v>0</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0.56058995943839207</c:v>
                </c:pt>
                <c:pt idx="1">
                  <c:v>0.56547475779779111</c:v>
                </c:pt>
                <c:pt idx="2">
                  <c:v>0.56372053685005563</c:v>
                </c:pt>
                <c:pt idx="3">
                  <c:v>0.5619377736842982</c:v>
                </c:pt>
                <c:pt idx="4">
                  <c:v>0.56012786598384123</c:v>
                </c:pt>
                <c:pt idx="5">
                  <c:v>0.55829436549220124</c:v>
                </c:pt>
                <c:pt idx="6">
                  <c:v>0.55644424140215909</c:v>
                </c:pt>
                <c:pt idx="7">
                  <c:v>0.5545894000211391</c:v>
                </c:pt>
                <c:pt idx="8">
                  <c:v>0.5527494698355665</c:v>
                </c:pt>
                <c:pt idx="9">
                  <c:v>0.55095595221265847</c:v>
                </c:pt>
                <c:pt idx="10">
                  <c:v>0.54925902290341844</c:v>
                </c:pt>
                <c:pt idx="11">
                  <c:v>0.54773678449232599</c:v>
                </c:pt>
                <c:pt idx="12">
                  <c:v>0.5465003638045185</c:v>
                </c:pt>
                <c:pt idx="13">
                  <c:v>0.54566533144933493</c:v>
                </c:pt>
                <c:pt idx="14">
                  <c:v>0.54525110002204291</c:v>
                </c:pt>
                <c:pt idx="15">
                  <c:v>0.54511597523139665</c:v>
                </c:pt>
                <c:pt idx="16">
                  <c:v>0.54508867462235699</c:v>
                </c:pt>
                <c:pt idx="17">
                  <c:v>0.54508554804021203</c:v>
                </c:pt>
                <c:pt idx="18">
                  <c:v>0.54508538824182307</c:v>
                </c:pt>
                <c:pt idx="19">
                  <c:v>0</c:v>
                </c:pt>
                <c:pt idx="20">
                  <c:v>0</c:v>
                </c:pt>
                <c:pt idx="21">
                  <c:v>0</c:v>
                </c:pt>
                <c:pt idx="22">
                  <c:v>0</c:v>
                </c:pt>
                <c:pt idx="23">
                  <c:v>0</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0.56058995943839207</c:v>
                </c:pt>
                <c:pt idx="1">
                  <c:v>0.56184511894578437</c:v>
                </c:pt>
                <c:pt idx="2">
                  <c:v>0.55644165125881961</c:v>
                </c:pt>
                <c:pt idx="3">
                  <c:v>0.55097234562110808</c:v>
                </c:pt>
                <c:pt idx="4">
                  <c:v>0.54541110599427345</c:v>
                </c:pt>
                <c:pt idx="5">
                  <c:v>0.53971817583067672</c:v>
                </c:pt>
                <c:pt idx="6">
                  <c:v>0.53383203976776383</c:v>
                </c:pt>
                <c:pt idx="7">
                  <c:v>0.52765524624386173</c:v>
                </c:pt>
                <c:pt idx="8">
                  <c:v>0.52103072527185501</c:v>
                </c:pt>
                <c:pt idx="9">
                  <c:v>0.51369937957315848</c:v>
                </c:pt>
                <c:pt idx="10">
                  <c:v>0.50522334060628682</c:v>
                </c:pt>
                <c:pt idx="11">
                  <c:v>0.4948514006048243</c:v>
                </c:pt>
                <c:pt idx="12">
                  <c:v>0.48132066893025743</c:v>
                </c:pt>
                <c:pt idx="13">
                  <c:v>0.46273740172419187</c:v>
                </c:pt>
                <c:pt idx="14">
                  <c:v>0.43694440792407868</c:v>
                </c:pt>
                <c:pt idx="15">
                  <c:v>0.40212704994583393</c:v>
                </c:pt>
                <c:pt idx="16">
                  <c:v>0.35614344702101997</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0.58122509399786282</c:v>
                </c:pt>
                <c:pt idx="2">
                  <c:v>0.59560144629563205</c:v>
                </c:pt>
                <c:pt idx="3">
                  <c:v>0.61040733353284404</c:v>
                </c:pt>
                <c:pt idx="4">
                  <c:v>0.62573916818480846</c:v>
                </c:pt>
                <c:pt idx="5">
                  <c:v>0.64172167231016197</c:v>
                </c:pt>
                <c:pt idx="6">
                  <c:v>0.65852285627300833</c:v>
                </c:pt>
                <c:pt idx="7">
                  <c:v>0.67637854810491682</c:v>
                </c:pt>
                <c:pt idx="8">
                  <c:v>0.69563322576646858</c:v>
                </c:pt>
                <c:pt idx="9">
                  <c:v>0.7168109261779525</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0.56058995943839207</c:v>
                </c:pt>
                <c:pt idx="1">
                  <c:v>0.57404845550530847</c:v>
                </c:pt>
                <c:pt idx="2">
                  <c:v>0.58088226399618725</c:v>
                </c:pt>
                <c:pt idx="3">
                  <c:v>0.58768671634937653</c:v>
                </c:pt>
                <c:pt idx="4">
                  <c:v>0.59444096331295848</c:v>
                </c:pt>
                <c:pt idx="5">
                  <c:v>0.60111856961673393</c:v>
                </c:pt>
                <c:pt idx="6">
                  <c:v>0.60768403901690338</c:v>
                </c:pt>
                <c:pt idx="7">
                  <c:v>0.61409041405204923</c:v>
                </c:pt>
                <c:pt idx="8">
                  <c:v>0.62027443011950223</c:v>
                </c:pt>
                <c:pt idx="9">
                  <c:v>0.62614876656308749</c:v>
                </c:pt>
                <c:pt idx="10">
                  <c:v>0.63158189599769299</c:v>
                </c:pt>
                <c:pt idx="11">
                  <c:v>0.63635848422466113</c:v>
                </c:pt>
                <c:pt idx="12">
                  <c:v>0.64002935190914201</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0.56058995943839207</c:v>
                </c:pt>
                <c:pt idx="1">
                  <c:v>0.56655026363575367</c:v>
                </c:pt>
                <c:pt idx="2">
                  <c:v>0.5658865663625906</c:v>
                </c:pt>
                <c:pt idx="3">
                  <c:v>0.565207577079058</c:v>
                </c:pt>
                <c:pt idx="4">
                  <c:v>0.56451130620237366</c:v>
                </c:pt>
                <c:pt idx="5">
                  <c:v>0.5637955716744808</c:v>
                </c:pt>
                <c:pt idx="6">
                  <c:v>0.56305797117575374</c:v>
                </c:pt>
                <c:pt idx="7">
                  <c:v>0.56229572736601574</c:v>
                </c:pt>
                <c:pt idx="8">
                  <c:v>0.56150552025847589</c:v>
                </c:pt>
                <c:pt idx="9">
                  <c:v>0.56068303300822842</c:v>
                </c:pt>
                <c:pt idx="10">
                  <c:v>0.55982223253981866</c:v>
                </c:pt>
                <c:pt idx="11">
                  <c:v>0.55891404813920997</c:v>
                </c:pt>
                <c:pt idx="12">
                  <c:v>0.55794429769897003</c:v>
                </c:pt>
                <c:pt idx="13">
                  <c:v>0.55689112599277568</c:v>
                </c:pt>
                <c:pt idx="14">
                  <c:v>0.55572400040546299</c:v>
                </c:pt>
                <c:pt idx="15">
                  <c:v>0.55440905747719871</c:v>
                </c:pt>
                <c:pt idx="16">
                  <c:v>0.5529239556793395</c:v>
                </c:pt>
                <c:pt idx="17">
                  <c:v>0.55127417717228788</c:v>
                </c:pt>
                <c:pt idx="18">
                  <c:v>0.5494957915109292</c:v>
                </c:pt>
                <c:pt idx="19">
                  <c:v>0.54764261462635921</c:v>
                </c:pt>
                <c:pt idx="20">
                  <c:v>0.54726796468454597</c:v>
                </c:pt>
                <c:pt idx="21">
                  <c:v>0.54689295762223833</c:v>
                </c:pt>
                <c:pt idx="22">
                  <c:v>0.54651797510184419</c:v>
                </c:pt>
                <c:pt idx="23">
                  <c:v>0.5461433859786734</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0.56058995943839207</c:v>
                </c:pt>
                <c:pt idx="1">
                  <c:v>0.56740878207189749</c:v>
                </c:pt>
                <c:pt idx="2">
                  <c:v>0.56765063727759024</c:v>
                </c:pt>
                <c:pt idx="3">
                  <c:v>0.56793031940194805</c:v>
                </c:pt>
                <c:pt idx="4">
                  <c:v>0.56825308012925579</c:v>
                </c:pt>
                <c:pt idx="5">
                  <c:v>0.56862551977170384</c:v>
                </c:pt>
                <c:pt idx="6">
                  <c:v>0.56905595312659607</c:v>
                </c:pt>
                <c:pt idx="7">
                  <c:v>0.56955474227870939</c:v>
                </c:pt>
                <c:pt idx="8">
                  <c:v>0.57013461072139138</c:v>
                </c:pt>
                <c:pt idx="9">
                  <c:v>0.57081058678364116</c:v>
                </c:pt>
                <c:pt idx="10">
                  <c:v>0.57159911951169995</c:v>
                </c:pt>
                <c:pt idx="11">
                  <c:v>0.57251542165411429</c:v>
                </c:pt>
                <c:pt idx="12">
                  <c:v>0.57356722039942687</c:v>
                </c:pt>
                <c:pt idx="13">
                  <c:v>0.5747423309542089</c:v>
                </c:pt>
                <c:pt idx="14">
                  <c:v>0.5759863819798694</c:v>
                </c:pt>
                <c:pt idx="15">
                  <c:v>0.57716502315210783</c:v>
                </c:pt>
                <c:pt idx="16">
                  <c:v>0.57799564756676747</c:v>
                </c:pt>
                <c:pt idx="17">
                  <c:v>0.57790435264140938</c:v>
                </c:pt>
                <c:pt idx="18">
                  <c:v>0.57561202309541748</c:v>
                </c:pt>
                <c:pt idx="19">
                  <c:v>0.56667216301371393</c:v>
                </c:pt>
                <c:pt idx="20">
                  <c:v>0.5625553023318286</c:v>
                </c:pt>
                <c:pt idx="21">
                  <c:v>0.55637455003709202</c:v>
                </c:pt>
                <c:pt idx="22">
                  <c:v>0.54600831737082123</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4.7514111708893948E-2</c:v>
                </c:pt>
                <c:pt idx="2">
                  <c:v>9.2849929372285908E-2</c:v>
                </c:pt>
                <c:pt idx="3">
                  <c:v>0.14240911825658109</c:v>
                </c:pt>
                <c:pt idx="4">
                  <c:v>0.19703383782485873</c:v>
                </c:pt>
                <c:pt idx="5">
                  <c:v>0.2578838015505287</c:v>
                </c:pt>
                <c:pt idx="6">
                  <c:v>0.3266078129810055</c:v>
                </c:pt>
                <c:pt idx="7">
                  <c:v>0.40563537829390528</c:v>
                </c:pt>
                <c:pt idx="8">
                  <c:v>0.4986911346202329</c:v>
                </c:pt>
                <c:pt idx="9">
                  <c:v>0.61176120350277607</c:v>
                </c:pt>
                <c:pt idx="10">
                  <c:v>0.7549731529820628</c:v>
                </c:pt>
                <c:pt idx="11">
                  <c:v>0.94639967244475509</c:v>
                </c:pt>
                <c:pt idx="12">
                  <c:v>1.2196538777103962</c:v>
                </c:pt>
                <c:pt idx="13">
                  <c:v>1.6371495408409076</c:v>
                </c:pt>
                <c:pt idx="14">
                  <c:v>2.3071801128627034</c:v>
                </c:pt>
                <c:pt idx="15">
                  <c:v>3.4105594141613755</c:v>
                </c:pt>
                <c:pt idx="16">
                  <c:v>5.3039708821732559</c:v>
                </c:pt>
                <c:pt idx="17">
                  <c:v>8.8896204999959778</c:v>
                </c:pt>
                <c:pt idx="18">
                  <c:v>17.097016313577868</c:v>
                </c:pt>
                <c:pt idx="19">
                  <c:v>44.850321988963564</c:v>
                </c:pt>
                <c:pt idx="20">
                  <c:v>0</c:v>
                </c:pt>
                <c:pt idx="21">
                  <c:v>0</c:v>
                </c:pt>
                <c:pt idx="22">
                  <c:v>0</c:v>
                </c:pt>
                <c:pt idx="23">
                  <c:v>0</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5.0986595952439685E-2</c:v>
                </c:pt>
                <c:pt idx="2">
                  <c:v>0.1002024731226754</c:v>
                </c:pt>
                <c:pt idx="3">
                  <c:v>0.15441513320563208</c:v>
                </c:pt>
                <c:pt idx="4">
                  <c:v>0.21505920820076083</c:v>
                </c:pt>
                <c:pt idx="5">
                  <c:v>0.28426081021791094</c:v>
                </c:pt>
                <c:pt idx="6">
                  <c:v>0.36529133159058286</c:v>
                </c:pt>
                <c:pt idx="7">
                  <c:v>0.46343161747934436</c:v>
                </c:pt>
                <c:pt idx="8">
                  <c:v>0.58772450364103568</c:v>
                </c:pt>
                <c:pt idx="9">
                  <c:v>0.75472753268333159</c:v>
                </c:pt>
                <c:pt idx="10">
                  <c:v>0.99663154414350219</c:v>
                </c:pt>
                <c:pt idx="11">
                  <c:v>1.376307064075603</c:v>
                </c:pt>
                <c:pt idx="12">
                  <c:v>2.0012418218519104</c:v>
                </c:pt>
                <c:pt idx="13">
                  <c:v>3.0218989434079977</c:v>
                </c:pt>
                <c:pt idx="14">
                  <c:v>4.6791262984123501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4.8970019869446935E-2</c:v>
                </c:pt>
                <c:pt idx="2">
                  <c:v>9.5868648270435702E-2</c:v>
                </c:pt>
                <c:pt idx="3">
                  <c:v>0.14712455553098699</c:v>
                </c:pt>
                <c:pt idx="4">
                  <c:v>0.20362295890514617</c:v>
                </c:pt>
                <c:pt idx="5">
                  <c:v>0.26659261976297471</c:v>
                </c:pt>
                <c:pt idx="6">
                  <c:v>0.3377952932763828</c:v>
                </c:pt>
                <c:pt idx="7">
                  <c:v>0.41985082382356337</c:v>
                </c:pt>
                <c:pt idx="8">
                  <c:v>0.5168160557209357</c:v>
                </c:pt>
                <c:pt idx="9">
                  <c:v>0.63528604275816969</c:v>
                </c:pt>
                <c:pt idx="10">
                  <c:v>0.78656505983119129</c:v>
                </c:pt>
                <c:pt idx="11">
                  <c:v>0.99110228162631941</c:v>
                </c:pt>
                <c:pt idx="12">
                  <c:v>1.2873199724269535</c:v>
                </c:pt>
                <c:pt idx="13">
                  <c:v>1.7463931404332922</c:v>
                </c:pt>
                <c:pt idx="14">
                  <c:v>2.4895190103191429</c:v>
                </c:pt>
                <c:pt idx="15">
                  <c:v>3.7181263922498613</c:v>
                </c:pt>
                <c:pt idx="16">
                  <c:v>5.8402470547986063</c:v>
                </c:pt>
                <c:pt idx="17">
                  <c:v>9.9058733620442467</c:v>
                </c:pt>
                <c:pt idx="18">
                  <c:v>19.352457508333249</c:v>
                </c:pt>
                <c:pt idx="19">
                  <c:v>0</c:v>
                </c:pt>
                <c:pt idx="20">
                  <c:v>0</c:v>
                </c:pt>
                <c:pt idx="21">
                  <c:v>0</c:v>
                </c:pt>
                <c:pt idx="22">
                  <c:v>0</c:v>
                </c:pt>
                <c:pt idx="23">
                  <c:v>0</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5.3301865652542302E-2</c:v>
                </c:pt>
                <c:pt idx="2">
                  <c:v>0.10450067379306745</c:v>
                </c:pt>
                <c:pt idx="3">
                  <c:v>0.16003759756056501</c:v>
                </c:pt>
                <c:pt idx="4">
                  <c:v>0.2208183838164301</c:v>
                </c:pt>
                <c:pt idx="5">
                  <c:v>0.28810316704423233</c:v>
                </c:pt>
                <c:pt idx="6">
                  <c:v>0.36369647469107902</c:v>
                </c:pt>
                <c:pt idx="7">
                  <c:v>0.45026986616641701</c:v>
                </c:pt>
                <c:pt idx="8">
                  <c:v>0.5519251814337699</c:v>
                </c:pt>
                <c:pt idx="9">
                  <c:v>0.67523951792995618</c:v>
                </c:pt>
                <c:pt idx="10">
                  <c:v>0.83125500281749987</c:v>
                </c:pt>
                <c:pt idx="11">
                  <c:v>1.0393432376421339</c:v>
                </c:pt>
                <c:pt idx="12">
                  <c:v>1.3342623505223261</c:v>
                </c:pt>
                <c:pt idx="13">
                  <c:v>1.7760326165786215</c:v>
                </c:pt>
                <c:pt idx="14">
                  <c:v>2.4556839402255162</c:v>
                </c:pt>
                <c:pt idx="15">
                  <c:v>3.4954284940249991</c:v>
                </c:pt>
                <c:pt idx="16">
                  <c:v>5.0729387808543711</c:v>
                </c:pt>
                <c:pt idx="17">
                  <c:v>7.4656582715713009</c:v>
                </c:pt>
                <c:pt idx="18">
                  <c:v>10.955046530711257</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6.1523794427630472E-2</c:v>
                </c:pt>
                <c:pt idx="2">
                  <c:v>0.12286646391601222</c:v>
                </c:pt>
                <c:pt idx="3">
                  <c:v>0.19082706635634183</c:v>
                </c:pt>
                <c:pt idx="4">
                  <c:v>0.26674945685701446</c:v>
                </c:pt>
                <c:pt idx="5">
                  <c:v>0.35243922216532536</c:v>
                </c:pt>
                <c:pt idx="6">
                  <c:v>0.45039681041417007</c:v>
                </c:pt>
                <c:pt idx="7">
                  <c:v>0.56420433350983312</c:v>
                </c:pt>
                <c:pt idx="8">
                  <c:v>0.69919712522062705</c:v>
                </c:pt>
                <c:pt idx="9">
                  <c:v>0.86368887874841127</c:v>
                </c:pt>
                <c:pt idx="10">
                  <c:v>1.0713410800859129</c:v>
                </c:pt>
                <c:pt idx="11">
                  <c:v>1.346051370381814</c:v>
                </c:pt>
                <c:pt idx="12">
                  <c:v>1.7327289508778689</c:v>
                </c:pt>
                <c:pt idx="13">
                  <c:v>2.3223251545078041</c:v>
                </c:pt>
                <c:pt idx="14">
                  <c:v>3.3103559860164053</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3.2700247246584303E-2</c:v>
                </c:pt>
                <c:pt idx="2">
                  <c:v>6.0770453461181692E-2</c:v>
                </c:pt>
                <c:pt idx="3">
                  <c:v>8.9980309539193962E-2</c:v>
                </c:pt>
                <c:pt idx="4">
                  <c:v>0.12029589031905873</c:v>
                </c:pt>
                <c:pt idx="5">
                  <c:v>0.15163824321778269</c:v>
                </c:pt>
                <c:pt idx="6">
                  <c:v>0.18386361198041745</c:v>
                </c:pt>
                <c:pt idx="7">
                  <c:v>0.21674015067427413</c:v>
                </c:pt>
                <c:pt idx="8">
                  <c:v>0.24991870569496261</c:v>
                </c:pt>
                <c:pt idx="9">
                  <c:v>0.28289901872395939</c:v>
                </c:pt>
                <c:pt idx="10">
                  <c:v>0.31498714385678389</c:v>
                </c:pt>
                <c:pt idx="11">
                  <c:v>0.34523655566153816</c:v>
                </c:pt>
                <c:pt idx="12">
                  <c:v>0.37229202933472877</c:v>
                </c:pt>
                <c:pt idx="13">
                  <c:v>0.39406865407931663</c:v>
                </c:pt>
                <c:pt idx="14">
                  <c:v>0.40881535512895384</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3.9026796831007619E-2</c:v>
                </c:pt>
                <c:pt idx="2">
                  <c:v>7.4352768910207409E-2</c:v>
                </c:pt>
                <c:pt idx="3">
                  <c:v>0.1119887396177689</c:v>
                </c:pt>
                <c:pt idx="4">
                  <c:v>0.15222913848519373</c:v>
                </c:pt>
                <c:pt idx="5">
                  <c:v>0.19544106561300115</c:v>
                </c:pt>
                <c:pt idx="6">
                  <c:v>0.24208813993010339</c:v>
                </c:pt>
                <c:pt idx="7">
                  <c:v>0.29276360595962542</c:v>
                </c:pt>
                <c:pt idx="8">
                  <c:v>0.34823581169705192</c:v>
                </c:pt>
                <c:pt idx="9">
                  <c:v>0.40951708930420155</c:v>
                </c:pt>
                <c:pt idx="10">
                  <c:v>0.47797733991469471</c:v>
                </c:pt>
                <c:pt idx="11">
                  <c:v>0.55556050681280966</c:v>
                </c:pt>
                <c:pt idx="12">
                  <c:v>0.64527347345874986</c:v>
                </c:pt>
                <c:pt idx="13">
                  <c:v>0.7524011991295565</c:v>
                </c:pt>
                <c:pt idx="14">
                  <c:v>0.88764198147362838</c:v>
                </c:pt>
                <c:pt idx="15">
                  <c:v>1.0750158813265609</c:v>
                </c:pt>
                <c:pt idx="16">
                  <c:v>1.3712031675036946</c:v>
                </c:pt>
                <c:pt idx="17">
                  <c:v>1.9142556226222847</c:v>
                </c:pt>
                <c:pt idx="18">
                  <c:v>3.0890202561517297</c:v>
                </c:pt>
                <c:pt idx="19">
                  <c:v>6.6230569229361889</c:v>
                </c:pt>
                <c:pt idx="20">
                  <c:v>8.3153867575230453</c:v>
                </c:pt>
                <c:pt idx="21">
                  <c:v>11.021216696689862</c:v>
                </c:pt>
                <c:pt idx="22">
                  <c:v>16.067136217929136</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4.2068191372939129E-2</c:v>
                </c:pt>
                <c:pt idx="2">
                  <c:v>8.1097968658784311E-2</c:v>
                </c:pt>
                <c:pt idx="3">
                  <c:v>0.12326623401372043</c:v>
                </c:pt>
                <c:pt idx="4">
                  <c:v>0.16908747464175358</c:v>
                </c:pt>
                <c:pt idx="5">
                  <c:v>0.21922748224940952</c:v>
                </c:pt>
                <c:pt idx="6">
                  <c:v>0.27456249496586699</c:v>
                </c:pt>
                <c:pt idx="7">
                  <c:v>0.33626696034103754</c:v>
                </c:pt>
                <c:pt idx="8">
                  <c:v>0.40593853497195431</c:v>
                </c:pt>
                <c:pt idx="9">
                  <c:v>0.48578455612242322</c:v>
                </c:pt>
                <c:pt idx="10">
                  <c:v>0.57887627563127031</c:v>
                </c:pt>
                <c:pt idx="11">
                  <c:v>0.68947132757939855</c:v>
                </c:pt>
                <c:pt idx="12">
                  <c:v>0.82330496895646599</c:v>
                </c:pt>
                <c:pt idx="13">
                  <c:v>0.9875282658549166</c:v>
                </c:pt>
                <c:pt idx="14">
                  <c:v>1.1896336819397086</c:v>
                </c:pt>
                <c:pt idx="15">
                  <c:v>1.4348110991719523</c:v>
                </c:pt>
                <c:pt idx="16">
                  <c:v>1.7227281506372705</c:v>
                </c:pt>
                <c:pt idx="17">
                  <c:v>2.0464864719866038</c:v>
                </c:pt>
                <c:pt idx="18">
                  <c:v>2.3949299606067216</c:v>
                </c:pt>
                <c:pt idx="19">
                  <c:v>2.756154169471619</c:v>
                </c:pt>
                <c:pt idx="20">
                  <c:v>2.8289891724615819</c:v>
                </c:pt>
                <c:pt idx="21">
                  <c:v>2.9018482909044336</c:v>
                </c:pt>
                <c:pt idx="22">
                  <c:v>2.974666436556701</c:v>
                </c:pt>
                <c:pt idx="23">
                  <c:v>3.0473829531073555</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56" zoomScaleNormal="100" workbookViewId="0">
      <selection activeCell="D79" sqref="D79"/>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1886.3937399999966</v>
      </c>
      <c r="I38" s="29">
        <v>262.78711299999782</v>
      </c>
      <c r="K38" s="120">
        <f t="array" ref="K38:L38">H38:I38-M</f>
        <v>0</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24661.962529999993</v>
      </c>
      <c r="I40" s="29">
        <v>1145.7547579999937</v>
      </c>
      <c r="K40" s="120">
        <f t="array" ref="K40:L40">H40:I40-D</f>
        <v>0</v>
      </c>
      <c r="L40" s="120">
        <v>-2.5011104298755527E-12</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0.9817422896516691</v>
      </c>
      <c r="D77" s="184">
        <v>0.97451883752909085</v>
      </c>
      <c r="E77" s="62" t="s">
        <v>127</v>
      </c>
      <c r="F77" s="63">
        <f t="array" ref="F77:G77">(aS*D^rhoS+bS*M^rhoS)^(1/rhoS)</f>
        <v>26548.356269999931</v>
      </c>
      <c r="G77" s="64">
        <v>1408.5418709999931</v>
      </c>
      <c r="J77">
        <v>0.95656838134985123</v>
      </c>
      <c r="K77">
        <v>0.88500540761921231</v>
      </c>
      <c r="M77">
        <v>0.97096440194717171</v>
      </c>
      <c r="N77">
        <v>0.94099850948718067</v>
      </c>
    </row>
    <row r="78" spans="2:14" x14ac:dyDescent="0.2">
      <c r="B78" t="s">
        <v>130</v>
      </c>
      <c r="C78" s="185">
        <f t="array" ref="C78:D78">(S/M)^rhoS*pW*M/(pD*D+pW*M)</f>
        <v>0.51629590132411252</v>
      </c>
      <c r="D78" s="186">
        <v>0.81068901405387472</v>
      </c>
      <c r="F78" s="129">
        <f t="array" ref="F78:G78">F77:G77-S</f>
        <v>-6.184563972055912E-11</v>
      </c>
      <c r="G78" s="130">
        <v>0</v>
      </c>
      <c r="J78">
        <v>0.29150803042407891</v>
      </c>
      <c r="K78">
        <v>0.76679688485558739</v>
      </c>
      <c r="M78">
        <v>0.23922401666925366</v>
      </c>
      <c r="N78">
        <v>0.68167509101198809</v>
      </c>
    </row>
    <row r="79" spans="2:14" x14ac:dyDescent="0.2">
      <c r="B79" t="s">
        <v>131</v>
      </c>
      <c r="C79" s="187">
        <v>4</v>
      </c>
      <c r="D79" s="188">
        <v>8</v>
      </c>
      <c r="J79">
        <v>2</v>
      </c>
      <c r="K79">
        <v>3.7610000000000001</v>
      </c>
      <c r="M79">
        <v>2</v>
      </c>
      <c r="N79">
        <v>4</v>
      </c>
    </row>
    <row r="80" spans="2:14" x14ac:dyDescent="0.2">
      <c r="B80" t="s">
        <v>132</v>
      </c>
      <c r="C80" s="189">
        <f t="array" ref="C80:D80">(sigmaS-1)/sigmaS</f>
        <v>0.75</v>
      </c>
      <c r="D80" s="190">
        <v>0.875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2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13356525.921000011</v>
      </c>
      <c r="M3" s="52">
        <v>398781.47400000016</v>
      </c>
      <c r="N3" s="53">
        <f t="array" ref="N3:N4">TRANSPOSE(pC*Consumption)</f>
        <v>6637565.1089999983</v>
      </c>
      <c r="O3" s="54">
        <f t="array" ref="O3:O4">TRANSPOSE(pG*G)</f>
        <v>3330668.2879999997</v>
      </c>
      <c r="P3" s="54">
        <f t="array" ref="P3:P4">TRANSPOSE(pI*I)</f>
        <v>3247244.4950000001</v>
      </c>
      <c r="Q3" s="60">
        <f t="array" ref="Q3:Q4">TRANSPOSE(pX*X)</f>
        <v>3195047.6040000012</v>
      </c>
      <c r="R3" s="9">
        <f t="array" ref="R3">SUM(L3:Q3)</f>
        <v>30165832.89100001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599670.8820000008</v>
      </c>
      <c r="M4" s="56">
        <v>434900.03099999984</v>
      </c>
      <c r="N4" s="55">
        <v>382100.58199999388</v>
      </c>
      <c r="O4" s="57">
        <v>0</v>
      </c>
      <c r="P4" s="57">
        <v>0</v>
      </c>
      <c r="Q4" s="49">
        <v>91012.690000004397</v>
      </c>
      <c r="R4" s="11">
        <f t="array" ref="R4">SUM(L4:Q4)</f>
        <v>1507684.1849999989</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6425198.1590000419</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1886393.7399999965</v>
      </c>
      <c r="M9" s="128">
        <v>262787.11299999407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30165832.891000051</v>
      </c>
      <c r="M12" s="18">
        <f>SUM(M3:M11)</f>
        <v>1507684.1849999945</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-4.0978193283081055E-8</v>
      </c>
      <c r="M14" s="24">
        <f t="array" ref="M14">R4-M12</f>
        <v>4.4237822294235229E-9</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99.00000000000324</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1000.0000000000014</v>
      </c>
      <c r="I21" s="64">
        <v>999.99999999999898</v>
      </c>
      <c r="J21" s="113" t="s">
        <v>69</v>
      </c>
      <c r="K21" s="120">
        <f t="array" ref="K21:L21">H21:I21/pY-1</f>
        <v>0</v>
      </c>
      <c r="L21" s="120">
        <v>-9.9920072216264089E-16</v>
      </c>
      <c r="N21" s="71">
        <f t="array" ref="N21:O35">PRICES/Calibration!PRICES-1</f>
        <v>0</v>
      </c>
      <c r="O21" s="72">
        <v>0</v>
      </c>
      <c r="Q21" s="120">
        <f t="array" ref="Q21:R21">(pKLE*KLE+pMY*alphaMY*Y)*(1+tauY)/Y-pY</f>
        <v>1.4779288903810084E-12</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999.99999999999977</v>
      </c>
      <c r="I23" s="64">
        <v>999.99999999999807</v>
      </c>
      <c r="J23" s="113" t="s">
        <v>121</v>
      </c>
      <c r="K23" s="120">
        <f t="array" ref="K23:L23">(pY*Y+pW*M)/(pS*S+pW*X)-1</f>
        <v>0</v>
      </c>
      <c r="L23" s="120">
        <v>-2.4424906541753444E-15</v>
      </c>
      <c r="N23" s="73">
        <v>0</v>
      </c>
      <c r="O23" s="74">
        <v>0</v>
      </c>
      <c r="Q23" s="120">
        <f t="array" ref="Q23:R23">pS*S-pD*D-pW*M</f>
        <v>-4.6566128730773926E-8</v>
      </c>
      <c r="R23" s="120">
        <v>1.5133991837501526E-8</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5.773159728050814E-15</v>
      </c>
      <c r="R32" s="120">
        <v>0</v>
      </c>
      <c r="S32" t="s">
        <v>135</v>
      </c>
    </row>
    <row r="33" spans="2:19" x14ac:dyDescent="0.2">
      <c r="B33" t="s">
        <v>18</v>
      </c>
      <c r="C33" s="154">
        <f>ABS(C83)</f>
        <v>1000</v>
      </c>
      <c r="D33" s="175">
        <f>C33</f>
        <v>1000</v>
      </c>
      <c r="E33" t="s">
        <v>56</v>
      </c>
      <c r="N33" s="73">
        <v>0</v>
      </c>
      <c r="O33" s="74">
        <v>0</v>
      </c>
      <c r="Q33" s="120">
        <f t="array" ref="Q33:R33">aKL*(K/KL)^(rhoKL-1)*pKL/pK-1</f>
        <v>-1.5099033134902129E-14</v>
      </c>
      <c r="R33" s="120">
        <v>-4.8849813083506888E-15</v>
      </c>
      <c r="S33" t="s">
        <v>135</v>
      </c>
    </row>
    <row r="34" spans="2:19" ht="10.5" x14ac:dyDescent="0.25">
      <c r="B34" t="s">
        <v>61</v>
      </c>
      <c r="C34" s="97">
        <f t="array" ref="C34:D34">ABS(C84:D84)</f>
        <v>1000</v>
      </c>
      <c r="D34" s="98">
        <v>1000</v>
      </c>
      <c r="J34" s="113" t="s">
        <v>134</v>
      </c>
      <c r="K34" s="120">
        <f t="array" ref="K34:L34">pKL*KL/(pK*K+pL*Labour)-1</f>
        <v>-1.1102230246251565E-15</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1000.0000000000002</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27857.010134000047</v>
      </c>
      <c r="I37" s="64">
        <v>1236.7674479999882</v>
      </c>
      <c r="J37" s="113" t="s">
        <v>120</v>
      </c>
      <c r="K37" s="120">
        <f t="array" ref="K37:L37">H37:I37/Y-1</f>
        <v>1.7763568394002505E-15</v>
      </c>
      <c r="L37" s="120">
        <v>-9.7699626167013776E-15</v>
      </c>
      <c r="N37" s="71">
        <f t="array" ref="N37:O48">VOLUMES/Calibration!VOLUMES-1</f>
        <v>0</v>
      </c>
      <c r="O37" s="72">
        <v>0</v>
      </c>
      <c r="Q37" s="120">
        <f t="array" ref="Q37:R37">(aY*KLE^rhoY+bY*(alphaMY*Y)^rhoY)^(1/rhoY)-Y</f>
        <v>9.822542779147625E-11</v>
      </c>
      <c r="R37" s="120">
        <v>-2.2737367544323206E-12</v>
      </c>
    </row>
    <row r="38" spans="2:19" x14ac:dyDescent="0.2">
      <c r="B38" t="s">
        <v>3</v>
      </c>
      <c r="C38" s="41">
        <f t="array" ref="C38:D38">(bS/pW)^sigmaS*(aS^sigmaS*pD^(1-sigmaS)+bS^sigmaS*pW^(1-sigmaS))^(-1/rhoS)*S</f>
        <v>1886.3937399999966</v>
      </c>
      <c r="D38" s="42">
        <v>262.78711299999406</v>
      </c>
      <c r="N38" s="73">
        <v>0</v>
      </c>
      <c r="O38" s="74">
        <v>-1.3877787807814457E-14</v>
      </c>
      <c r="Q38" s="120">
        <f t="array" ref="Q38:R38">pD*D+pW*M-pS*S</f>
        <v>4.8428773880004883E-8</v>
      </c>
      <c r="R38" s="120">
        <v>-1.5133991837501526E-8</v>
      </c>
    </row>
    <row r="39" spans="2:19" ht="10.5" x14ac:dyDescent="0.25">
      <c r="B39" t="s">
        <v>127</v>
      </c>
      <c r="C39" s="82">
        <f t="array" ref="C39:D39">ABS(C85:D85)</f>
        <v>26548.356269999993</v>
      </c>
      <c r="D39" s="83">
        <v>1408.5418709999938</v>
      </c>
      <c r="E39" t="s">
        <v>122</v>
      </c>
      <c r="H39" s="63">
        <f t="array" ref="H39:I39">MMULT(Y,TRANSPOSE(alpha))+Consumption+G+I</f>
        <v>26548.356270000007</v>
      </c>
      <c r="I39" s="64">
        <v>1408.5418709999944</v>
      </c>
      <c r="J39" s="113" t="s">
        <v>72</v>
      </c>
      <c r="K39" s="120">
        <f t="array" ref="K39:L39">H39:I39/S-1</f>
        <v>0</v>
      </c>
      <c r="L39" s="120">
        <v>0</v>
      </c>
      <c r="N39" s="73">
        <v>0</v>
      </c>
      <c r="O39" s="74">
        <v>0</v>
      </c>
    </row>
    <row r="40" spans="2:19" x14ac:dyDescent="0.2">
      <c r="B40" t="s">
        <v>76</v>
      </c>
      <c r="C40" s="41">
        <f t="array" ref="C40:D40">(aS/pD)^sigmaS*(aS^sigmaS*pD^(1-sigmaS)+bS^sigmaS*pW^(1-sigmaS))^(-1/rhoS)*S</f>
        <v>24661.962530000055</v>
      </c>
      <c r="D40" s="42">
        <v>1145.7547579999855</v>
      </c>
      <c r="F40" s="166"/>
      <c r="N40" s="75">
        <v>2.4424906541753444E-15</v>
      </c>
      <c r="O40" s="76">
        <v>-9.3258734068513149E-15</v>
      </c>
    </row>
    <row r="41" spans="2:19" ht="10.5" x14ac:dyDescent="0.25">
      <c r="B41" t="s">
        <v>28</v>
      </c>
      <c r="C41" s="41">
        <f>(aU/pCQ)^sigmaU/(aU^sigmaU*pCQ^(1-sigmaU)+bU^sigmaU*pCE^(1-sigmaU))*Revenue</f>
        <v>6533.6044688320662</v>
      </c>
      <c r="D41" s="42">
        <f>(bU/pCE)^sigmaU/(aU^sigmaU*pCQ^(1-sigmaU)+bU^sigmaU*pCE^(1-sigmaU))*Revenue</f>
        <v>379.90788307663394</v>
      </c>
      <c r="E41" t="s">
        <v>57</v>
      </c>
      <c r="H41" s="62" t="s">
        <v>67</v>
      </c>
      <c r="I41" s="94">
        <v>0.99000000000000032</v>
      </c>
      <c r="J41" s="113" t="s">
        <v>73</v>
      </c>
      <c r="K41" s="120">
        <f>Model!SE/(1-I41)/Calibration!SE-1</f>
        <v>99.00000000000324</v>
      </c>
      <c r="N41" s="73">
        <v>0</v>
      </c>
      <c r="O41" s="74">
        <v>0</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1.7763568394002505E-15</v>
      </c>
      <c r="R45" s="120">
        <v>0</v>
      </c>
      <c r="S45" t="s">
        <v>135</v>
      </c>
    </row>
    <row r="46" spans="2:19" x14ac:dyDescent="0.2">
      <c r="B46" t="s">
        <v>2</v>
      </c>
      <c r="C46" s="35">
        <f t="array" ref="C46:D46">(KL^rhoKL/aKL-bKL*Labour^rhoKL/aKL)^(1/rhoKL)</f>
        <v>6425.1981590000414</v>
      </c>
      <c r="D46" s="36">
        <v>273.22915400000028</v>
      </c>
      <c r="N46" s="73">
        <v>6.2172489379008766E-15</v>
      </c>
      <c r="O46" s="74">
        <v>0</v>
      </c>
      <c r="Q46" s="120">
        <f t="array" ref="Q46:R46">(aKL/pK)^sigmaKL*(aKL^sigmaKL*pK^(1-sigmaKL)+bKL^sigmaKL*pL^(1-sigmaKL))^(-1/rhoKL)*KL/K-1</f>
        <v>-4.6629367034256575E-15</v>
      </c>
      <c r="R46" s="120">
        <v>0</v>
      </c>
      <c r="S46" t="s">
        <v>135</v>
      </c>
    </row>
    <row r="47" spans="2:19" x14ac:dyDescent="0.2">
      <c r="B47" t="s">
        <v>35</v>
      </c>
      <c r="C47" s="41">
        <f t="array" ref="C47:D47">(aKLE/pKL)^sigmaKLE*(aKLE^sigmaKLE*pKL^(1-sigmaKLE)+bKLE^sigmaKLE*pEY^(1-sigmaKLE))^(-1/rhoKLE)*KLE</f>
        <v>13763.097676000029</v>
      </c>
      <c r="D47" s="42">
        <v>382.36647899999997</v>
      </c>
      <c r="N47" s="73">
        <v>1.7763568394002505E-15</v>
      </c>
      <c r="O47" s="74">
        <v>0</v>
      </c>
      <c r="Q47" s="120">
        <f t="array" ref="Q47:R47">(aKL*K^rhoKL+bKL*Labour^rhoKL)^(1/rhoKL)-KL</f>
        <v>3.2741809263825417E-11</v>
      </c>
      <c r="R47" s="120">
        <v>0</v>
      </c>
    </row>
    <row r="48" spans="2:19" x14ac:dyDescent="0.2">
      <c r="B48" t="s">
        <v>53</v>
      </c>
      <c r="C48" s="35">
        <f t="array" ref="C48:D48">(aY/pKLE)^sigmaY*(aY^sigmaY*pKLE^(1-sigmaY)+bY^sigmaY*pMY^(1-sigmaY))^(-1/rhoY)*Y</f>
        <v>14362.768558000025</v>
      </c>
      <c r="D48" s="36">
        <v>817.26650999999993</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 t="array" ref="K55">pK/pI/Calibration!pK*Calibration!pI-1</f>
        <v>0</v>
      </c>
      <c r="N55" s="77">
        <f t="array" ref="N55:N59">AGGREGATES/Calibration!AGGREGATES-1</f>
        <v>0</v>
      </c>
      <c r="T55" s="113" t="s">
        <v>137</v>
      </c>
      <c r="U55" s="120">
        <f>SUM(K)/SUM(Calibration!K)-1</f>
        <v>5.9952043329758453E-15</v>
      </c>
      <c r="W55" s="120">
        <f>SUM(K)/SUM(Calibration!K)-1</f>
        <v>5.9952043329758453E-15</v>
      </c>
      <c r="Y55" s="120">
        <f>SUM(K)/SUM(Calibration!K)-1</f>
        <v>5.9952043329758453E-15</v>
      </c>
      <c r="AA55" s="120">
        <f>SUM(K)/SUM(Calibration!K)-1</f>
        <v>5.9952043329758453E-15</v>
      </c>
      <c r="AC55" s="120">
        <f>SUM(K)/SUM(Calibration!K)-1</f>
        <v>5.9952043329758453E-15</v>
      </c>
      <c r="AE55" s="120">
        <f>SUM(K)/SUM(Calibration!K)-1</f>
        <v>5.9952043329758453E-15</v>
      </c>
      <c r="AG55" s="120">
        <f t="array" ref="AG55">pK/pI/Calibration!pK*Calibration!pI*20%^sigmaw*(20%+80%*(SUM(Calibration!K)-SUM(K))/SUM(Calibration!K))^-sigmaw-1</f>
        <v>-2.2204460492503131E-15</v>
      </c>
      <c r="AI55" s="120">
        <f t="array" ref="AI55">pK/pI/Calibration!pK*Calibration!pI-1</f>
        <v>0</v>
      </c>
      <c r="AK55" s="120">
        <f>SUM(K)/SUM(Calibration!K)-1</f>
        <v>5.9952043329758453E-15</v>
      </c>
    </row>
    <row r="56" spans="2:38" ht="10.5" x14ac:dyDescent="0.25">
      <c r="B56" t="s">
        <v>47</v>
      </c>
      <c r="C56" s="80">
        <f>(aU*CQ^rhoU+bU*CE^rhoU)^(1/rhoU)</f>
        <v>1</v>
      </c>
      <c r="J56" s="113" t="s">
        <v>74</v>
      </c>
      <c r="K56" s="120">
        <f t="array" ref="K56">w/CPI/Calibration!w*10.8%^sigmaw*(10.8%+89.2%*(SUM(Calibration!Labour)-SUM(Labour))/SUM(Calibration!Labour))^-sigmaw-1</f>
        <v>0</v>
      </c>
      <c r="N56" s="78">
        <v>0</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 t="array" ref="K57">I/SUM(K)/Calibration!I*SUM(K)-1</f>
        <v>0</v>
      </c>
      <c r="N57" s="78">
        <v>0</v>
      </c>
      <c r="Q57" s="120">
        <f t="array" ref="Q57">(SUM(pC*Consumption+pG*G+pI*I)+B)/GDP-1</f>
        <v>0</v>
      </c>
      <c r="R57" s="120">
        <f t="array" ref="R57">SUM(w*Labour,pK*K,T)/GDP-1</f>
        <v>2.6645352591003757E-15</v>
      </c>
      <c r="T57" s="113" t="s">
        <v>139</v>
      </c>
      <c r="U57" s="120">
        <f>B/GDP/Calibration!B*Calibration!GDP-1</f>
        <v>5.3290705182007514E-15</v>
      </c>
      <c r="W57" s="120">
        <f>B/GDP/Calibration!B*Calibration!GDP-1</f>
        <v>5.3290705182007514E-15</v>
      </c>
      <c r="Y57" s="120">
        <f>B/GDP/Calibration!B*Calibration!GDP-1</f>
        <v>5.3290705182007514E-15</v>
      </c>
      <c r="AA57" s="120">
        <f>B/GDP/Calibration!B*Calibration!GDP-1</f>
        <v>5.3290705182007514E-15</v>
      </c>
      <c r="AC57" s="120">
        <f>B/GDP/Calibration!B*Calibration!GDP-1</f>
        <v>5.3290705182007514E-15</v>
      </c>
      <c r="AE57" s="120">
        <f>B/GDP/Calibration!B*Calibration!GDP-1</f>
        <v>5.3290705182007514E-15</v>
      </c>
      <c r="AG57" s="120">
        <f>B/GDP/Calibration!B*Calibration!GDP-1</f>
        <v>5.3290705182007514E-15</v>
      </c>
      <c r="AI57" s="120">
        <f t="array" ref="AI57">I/SUM(K)/Calibration!I*SUM(K)-1</f>
        <v>0</v>
      </c>
      <c r="AK57" s="120">
        <f>B/GDP/Calibration!B*Calibration!GDP-1</f>
        <v>5.3290705182007514E-15</v>
      </c>
    </row>
    <row r="58" spans="2:38" ht="10.5" x14ac:dyDescent="0.25">
      <c r="B58" t="s">
        <v>54</v>
      </c>
      <c r="C58" s="117">
        <f t="array" ref="C58">GDP-SUM(pG*G,pI*I,B)</f>
        <v>7019665.6909999903</v>
      </c>
      <c r="J58" s="113" t="s">
        <v>136</v>
      </c>
      <c r="K58" s="120">
        <f t="array" ref="K58:L58">bKL*(KL/Labour)^(1/sigmaKL)*pKL/pL-1</f>
        <v>5.773159728050814E-15</v>
      </c>
      <c r="L58" s="120">
        <v>0</v>
      </c>
      <c r="N58" s="78">
        <v>-8.8817841970012523E-16</v>
      </c>
      <c r="Q58" s="120">
        <f t="array" ref="Q58">SUM(pC*Consumption)-Revenue</f>
        <v>0</v>
      </c>
      <c r="T58" s="113" t="s">
        <v>140</v>
      </c>
      <c r="U58" s="120">
        <f t="array" ref="U58:V58">bKL*(KL/Labour)^(1/sigmaKL)*pKL/pL-1</f>
        <v>5.773159728050814E-15</v>
      </c>
      <c r="V58" s="120">
        <v>0</v>
      </c>
      <c r="W58" s="120">
        <f t="array" ref="W58:X58">bKL*(KL/Labour)^(1/sigmaKL)*pKL/pL-1</f>
        <v>5.773159728050814E-15</v>
      </c>
      <c r="X58" s="120">
        <v>0</v>
      </c>
      <c r="Y58" s="120">
        <f t="array" ref="Y58">omegaI*GDP/SUM(pI*I)-1</f>
        <v>0</v>
      </c>
      <c r="Z58" s="120">
        <f>Labour_Q/KL_Q/Calibration!Labour_Q*Calibration!KL_Q-Labour_E/KL_E/Calibration!Labour_E*Calibration!KL_E</f>
        <v>-1.8873791418627661E-15</v>
      </c>
      <c r="AA58" s="120">
        <f t="array" ref="AA58:AB58">bKL*(KL/Labour)^(1/sigmaKL)*pKL/pL-1</f>
        <v>5.773159728050814E-15</v>
      </c>
      <c r="AB58" s="120">
        <v>0</v>
      </c>
      <c r="AC58" s="120">
        <f t="array" ref="AC58">omegaI*GDP/SUM(pI*I)-1</f>
        <v>0</v>
      </c>
      <c r="AD58" s="120">
        <f>Labour_Q/KL_Q/Calibration!Labour_Q*Calibration!KL_Q-Labour_E/KL_E/Calibration!Labour_E*Calibration!KL_E</f>
        <v>-1.8873791418627661E-15</v>
      </c>
      <c r="AE58" s="120">
        <f t="array" ref="AE58">omegaI*GDP/SUM(pI*I)-1</f>
        <v>0</v>
      </c>
      <c r="AF58" s="120">
        <f>Labour_Q/KL_Q/Calibration!Labour_Q*Calibration!KL_Q-Labour_E/KL_E/Calibration!Labour_E*Calibration!KL_E</f>
        <v>-1.8873791418627661E-15</v>
      </c>
      <c r="AG58" s="120">
        <f t="array" ref="AG58:AH58">bKL*(KL/Labour)^(1/sigmaKL)*pKL/pL-1</f>
        <v>5.773159728050814E-15</v>
      </c>
      <c r="AH58" s="120">
        <v>0</v>
      </c>
      <c r="AI58" s="120">
        <f t="array" ref="AI58:AJ58">bKL*(KL/Labour)^(1/sigmaKL)*pKL/pL-1</f>
        <v>5.773159728050814E-15</v>
      </c>
      <c r="AJ58" s="120">
        <v>0</v>
      </c>
      <c r="AK58" s="120">
        <f t="array" ref="AK58">(pI*I)/(Calibration!pI*Calibration!I)-1</f>
        <v>0</v>
      </c>
      <c r="AL58" s="120">
        <f>Labour_Q/KL_Q/Calibration!Labour_Q*Calibration!KL_Q-Labour_E/KL_E/Calibration!Labour_E*Calibration!KL_E</f>
        <v>-1.8873791418627661E-15</v>
      </c>
    </row>
    <row r="59" spans="2:38" ht="10.5" x14ac:dyDescent="0.25">
      <c r="B59" t="s">
        <v>75</v>
      </c>
      <c r="C59" s="117">
        <f t="array" ref="C59">SUM(pX*X - pW*M)</f>
        <v>1136879.441000015</v>
      </c>
      <c r="J59" s="113" t="s">
        <v>70</v>
      </c>
      <c r="K59" s="120">
        <f t="array" ref="K59">(sL*(SUM(w*Labour))+sG*(T-SUM(pG*G))+sK*SUM(pK*K)-B)/SUM(pI*I)-1</f>
        <v>3.1086244689504383E-15</v>
      </c>
      <c r="N59" s="79">
        <v>5.3290705182007514E-15</v>
      </c>
      <c r="T59" s="113" t="s">
        <v>141</v>
      </c>
      <c r="U59" s="120">
        <f t="array" ref="U59">(sL*(SUM(w*Labour))+sG*(T-SUM(pG*G))+sK*SUM(pK*K)-B)/SUM(pI*I)-1</f>
        <v>3.1086244689504383E-15</v>
      </c>
      <c r="W59" s="120">
        <f t="array" ref="W59">omegaI*GDP/SUM(pI*I)-1</f>
        <v>0</v>
      </c>
      <c r="Y59" s="120">
        <f t="array" ref="Y59">(sL*(SUM(w*Labour))+sG*(T-SUM(pG*G))+sK*SUM(pK*K)-B)/SUM(pI*I)-1</f>
        <v>3.1086244689504383E-15</v>
      </c>
      <c r="AA59" s="120">
        <f t="array" ref="AA59">(sL*(SUM(w*Labour))+sG*(T-SUM(pG*G))+sK*SUM(pK*K)-B)/SUM(pI*I)-1</f>
        <v>3.1086244689504383E-15</v>
      </c>
      <c r="AC59" s="120">
        <f t="array" ref="AC59">(sL*(SUM(w*Labour))+sG*(T-SUM(pG*G))+sK*SUM(pK*K)-B)/SUM(pI*I)-1</f>
        <v>3.1086244689504383E-15</v>
      </c>
      <c r="AE59" s="120">
        <f t="array" ref="AE59">(sL*(SUM(w*Labour))+sG*(T-SUM(pG*G))+sK*SUM(pK*K)-B)/SUM(pI*I)-1</f>
        <v>3.1086244689504383E-15</v>
      </c>
      <c r="AG59" s="120">
        <f t="array" ref="AG59">(sL*(SUM(w*Labour))+sG*(T-SUM(pG*G))+sK*SUM(pK*K)-B)/SUM(pI*I)-1</f>
        <v>3.1086244689504383E-15</v>
      </c>
      <c r="AI59" s="120">
        <f t="array" ref="AI59">(sL*(SUM(w*Labour))+sG*(T-SUM(pG*G))+sK*SUM(pK*K)-B)/SUM(pI*I)-1</f>
        <v>3.1086244689504383E-15</v>
      </c>
      <c r="AK59" s="120">
        <f t="array" ref="AK59">(sL*(SUM(w*Labour))+sG*(T-SUM(pG*G))+sK*SUM(pK*K)-B)/SUM(pI*I)-1</f>
        <v>3.1086244689504383E-15</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0.29754226190682459</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0.47195767671988198</v>
      </c>
      <c r="D70" s="38">
        <v>0.31738834428178964</v>
      </c>
      <c r="E70" t="s">
        <v>24</v>
      </c>
      <c r="N70" s="71">
        <f t="array" ref="N70:O73">FACTORS/Calibration!FACTORS-1</f>
        <v>0</v>
      </c>
      <c r="O70" s="72">
        <v>0</v>
      </c>
    </row>
    <row r="71" spans="2:15" x14ac:dyDescent="0.2">
      <c r="C71" s="39">
        <f t="array" ref="C71:D71">(bKLE/pEY)^sigmaKLE*(aKLE^sigmaKLE*pKL^(1-sigmaKLE)+bKLE^sigmaKLE*pEY^(1-sigmaKLE))^(-1/rhoKLE)*KLE/Y</f>
        <v>2.1403217525954466E-2</v>
      </c>
      <c r="D71" s="40">
        <v>0.3496246130199252</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0.23064923795098771</v>
      </c>
      <c r="D73" s="40">
        <v>0.22092201281804777</v>
      </c>
      <c r="N73" s="75">
        <v>6.2172489379008766E-15</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scenarios current="0">
    <scenario name="a" count="20" user="Louis Daumas" comment="Créé par Louis Daumas le 6/12/2025">
      <inputCells r="C80" val="984.580050867445" numFmtId="3"/>
      <inputCells r="D80" val="6824.37464639664" numFmtId="3"/>
      <inputCells r="C81" val="983.766706443904" numFmtId="3"/>
      <inputCells r="D81" val="1742.71602209647" numFmtId="3"/>
      <inputCells r="C82" val="1218.3198789661" numFmtId="3"/>
      <inputCells r="D82" val="1000" numFmtId="3"/>
      <inputCells r="C83" val="0" numFmtId="3"/>
      <inputCells r="D83" val="1000" numFmtId="3"/>
      <inputCells r="C84" val="641.595495995807" numFmtId="3"/>
      <inputCells r="D84" val="343.47753400999" numFmtId="3"/>
      <inputCells r="C85" val="21889.4175465808" numFmtId="3"/>
      <inputCells r="D85" val="128.875702335123" numFmtId="3"/>
      <inputCells r="C86" val="2882.27055256273" numFmtId="3"/>
      <inputCells r="D86" val="15.7737764692144" numFmtId="9"/>
      <inputCells r="C87" val="13070794.6999873" numFmtId="165"/>
      <inputCells r="D87" val="0"/>
      <inputCells r="C88" val="5111.16167662792" numFmtId="165"/>
      <inputCells r="D88" val="0.0389653720823747" numFmtId="165"/>
      <inputCells r="C89" val="23120.891876694" numFmtId="165"/>
      <inputCells r="D89" val="0.413192675063443" numFmtId="165"/>
    </scenario>
  </scenarios>
  <conditionalFormatting sqref="K21:L21">
    <cfRule type="cellIs" dxfId="87" priority="2084" stopIfTrue="1" operator="notEqual">
      <formula>0</formula>
    </cfRule>
  </conditionalFormatting>
  <conditionalFormatting sqref="Q48:R48">
    <cfRule type="cellIs" dxfId="86" priority="2073" stopIfTrue="1" operator="notEqual">
      <formula>0</formula>
    </cfRule>
  </conditionalFormatting>
  <conditionalFormatting sqref="K39:L39">
    <cfRule type="cellIs" dxfId="85" priority="2081" stopIfTrue="1" operator="notEqual">
      <formula>0</formula>
    </cfRule>
  </conditionalFormatting>
  <conditionalFormatting sqref="K41">
    <cfRule type="cellIs" dxfId="84" priority="2080" stopIfTrue="1" operator="notEqual">
      <formula>0</formula>
    </cfRule>
  </conditionalFormatting>
  <conditionalFormatting sqref="Q47:R47">
    <cfRule type="cellIs" dxfId="83" priority="2078" stopIfTrue="1" operator="notEqual">
      <formula>0</formula>
    </cfRule>
  </conditionalFormatting>
  <conditionalFormatting sqref="Q37:R37">
    <cfRule type="cellIs" dxfId="82" priority="2075" stopIfTrue="1" operator="notEqual">
      <formula>0</formula>
    </cfRule>
  </conditionalFormatting>
  <conditionalFormatting sqref="R57">
    <cfRule type="cellIs" dxfId="81" priority="2069" stopIfTrue="1" operator="notEqual">
      <formula>0</formula>
    </cfRule>
  </conditionalFormatting>
  <conditionalFormatting sqref="Q57:Q58">
    <cfRule type="cellIs" dxfId="80" priority="2071" stopIfTrue="1" operator="notEqual">
      <formula>0</formula>
    </cfRule>
  </conditionalFormatting>
  <conditionalFormatting sqref="W59">
    <cfRule type="cellIs" dxfId="79" priority="2016" stopIfTrue="1" operator="notEqual">
      <formula>0</formula>
    </cfRule>
  </conditionalFormatting>
  <conditionalFormatting sqref="K37:L37">
    <cfRule type="cellIs" dxfId="78" priority="1650" stopIfTrue="1" operator="notEqual">
      <formula>0</formula>
    </cfRule>
  </conditionalFormatting>
  <conditionalFormatting sqref="Q21:R21">
    <cfRule type="cellIs" dxfId="77" priority="1633" stopIfTrue="1" operator="notEqual">
      <formula>0</formula>
    </cfRule>
  </conditionalFormatting>
  <conditionalFormatting sqref="Q23:R23">
    <cfRule type="cellIs" dxfId="76" priority="1637" stopIfTrue="1" operator="notEqual">
      <formula>0</formula>
    </cfRule>
  </conditionalFormatting>
  <conditionalFormatting sqref="Q38:R38">
    <cfRule type="cellIs" dxfId="75" priority="1636" stopIfTrue="1" operator="notEqual">
      <formula>0</formula>
    </cfRule>
  </conditionalFormatting>
  <conditionalFormatting sqref="Q34:R34">
    <cfRule type="cellIs" dxfId="74" priority="1635" stopIfTrue="1" operator="notEqual">
      <formula>0</formula>
    </cfRule>
  </conditionalFormatting>
  <conditionalFormatting sqref="Q35:R35">
    <cfRule type="cellIs" dxfId="73" priority="1634" stopIfTrue="1" operator="notEqual">
      <formula>0</formula>
    </cfRule>
  </conditionalFormatting>
  <conditionalFormatting sqref="K23:L23">
    <cfRule type="cellIs" dxfId="72" priority="1632" stopIfTrue="1" operator="notEqual">
      <formula>0</formula>
    </cfRule>
  </conditionalFormatting>
  <conditionalFormatting sqref="K34:L34">
    <cfRule type="cellIs" dxfId="71" priority="1403" stopIfTrue="1" operator="notEqual">
      <formula>0</formula>
    </cfRule>
  </conditionalFormatting>
  <conditionalFormatting sqref="Q33:R33">
    <cfRule type="cellIs" dxfId="70" priority="1397" stopIfTrue="1" operator="notEqual">
      <formula>0</formula>
    </cfRule>
  </conditionalFormatting>
  <conditionalFormatting sqref="Q46:R46">
    <cfRule type="cellIs" dxfId="69" priority="1401" stopIfTrue="1" operator="notEqual">
      <formula>0</formula>
    </cfRule>
  </conditionalFormatting>
  <conditionalFormatting sqref="Q45:R45">
    <cfRule type="cellIs" dxfId="68" priority="1402" stopIfTrue="1" operator="notEqual">
      <formula>0</formula>
    </cfRule>
  </conditionalFormatting>
  <conditionalFormatting sqref="W58">
    <cfRule type="cellIs" dxfId="67" priority="1388" stopIfTrue="1" operator="notEqual">
      <formula>0</formula>
    </cfRule>
  </conditionalFormatting>
  <conditionalFormatting sqref="Q32:R32">
    <cfRule type="cellIs" dxfId="66" priority="1398" stopIfTrue="1" operator="notEqual">
      <formula>0</formula>
    </cfRule>
  </conditionalFormatting>
  <conditionalFormatting sqref="X58">
    <cfRule type="cellIs" dxfId="65" priority="1387" stopIfTrue="1" operator="notEqual">
      <formula>0</formula>
    </cfRule>
  </conditionalFormatting>
  <conditionalFormatting sqref="W55">
    <cfRule type="cellIs" dxfId="64" priority="1346" stopIfTrue="1" operator="notEqual">
      <formula>0</formula>
    </cfRule>
  </conditionalFormatting>
  <conditionalFormatting sqref="W56">
    <cfRule type="cellIs" dxfId="63" priority="1345" stopIfTrue="1" operator="notEqual">
      <formula>0</formula>
    </cfRule>
  </conditionalFormatting>
  <conditionalFormatting sqref="Y55">
    <cfRule type="cellIs" dxfId="62" priority="1343" stopIfTrue="1" operator="notEqual">
      <formula>0</formula>
    </cfRule>
  </conditionalFormatting>
  <conditionalFormatting sqref="Y56">
    <cfRule type="cellIs" dxfId="61" priority="1342" stopIfTrue="1" operator="notEqual">
      <formula>0</formula>
    </cfRule>
  </conditionalFormatting>
  <conditionalFormatting sqref="AA59">
    <cfRule type="cellIs" dxfId="60" priority="1339" stopIfTrue="1" operator="notEqual">
      <formula>0</formula>
    </cfRule>
  </conditionalFormatting>
  <conditionalFormatting sqref="AA55">
    <cfRule type="cellIs" dxfId="59" priority="1337" stopIfTrue="1" operator="notEqual">
      <formula>0</formula>
    </cfRule>
  </conditionalFormatting>
  <conditionalFormatting sqref="AA58">
    <cfRule type="cellIs" dxfId="58" priority="1333" stopIfTrue="1" operator="notEqual">
      <formula>0</formula>
    </cfRule>
  </conditionalFormatting>
  <conditionalFormatting sqref="AB58">
    <cfRule type="cellIs" dxfId="57" priority="1332" stopIfTrue="1" operator="notEqual">
      <formula>0</formula>
    </cfRule>
  </conditionalFormatting>
  <conditionalFormatting sqref="U58">
    <cfRule type="cellIs" dxfId="56" priority="1310" stopIfTrue="1" operator="notEqual">
      <formula>0</formula>
    </cfRule>
  </conditionalFormatting>
  <conditionalFormatting sqref="V58">
    <cfRule type="cellIs" dxfId="55" priority="1309" stopIfTrue="1" operator="notEqual">
      <formula>0</formula>
    </cfRule>
  </conditionalFormatting>
  <conditionalFormatting sqref="U57">
    <cfRule type="cellIs" dxfId="54" priority="1307" stopIfTrue="1" operator="notEqual">
      <formula>0</formula>
    </cfRule>
  </conditionalFormatting>
  <conditionalFormatting sqref="U55">
    <cfRule type="cellIs" dxfId="53" priority="1311" stopIfTrue="1" operator="notEqual">
      <formula>0</formula>
    </cfRule>
  </conditionalFormatting>
  <conditionalFormatting sqref="U56">
    <cfRule type="cellIs" dxfId="52" priority="1308" stopIfTrue="1" operator="notEqual">
      <formula>0</formula>
    </cfRule>
  </conditionalFormatting>
  <conditionalFormatting sqref="U59">
    <cfRule type="cellIs" dxfId="51" priority="1306" stopIfTrue="1" operator="notEqual">
      <formula>0</formula>
    </cfRule>
  </conditionalFormatting>
  <conditionalFormatting sqref="Z58">
    <cfRule type="cellIs" dxfId="50" priority="1284" stopIfTrue="1" operator="notEqual">
      <formula>0</formula>
    </cfRule>
  </conditionalFormatting>
  <conditionalFormatting sqref="AC59">
    <cfRule type="cellIs" dxfId="49" priority="1277" stopIfTrue="1" operator="notEqual">
      <formula>0</formula>
    </cfRule>
  </conditionalFormatting>
  <conditionalFormatting sqref="AC55">
    <cfRule type="cellIs" dxfId="48" priority="1276" stopIfTrue="1" operator="notEqual">
      <formula>0</formula>
    </cfRule>
  </conditionalFormatting>
  <conditionalFormatting sqref="AC56">
    <cfRule type="cellIs" dxfId="47" priority="1272" stopIfTrue="1" operator="notEqual">
      <formula>0</formula>
    </cfRule>
  </conditionalFormatting>
  <conditionalFormatting sqref="AD58">
    <cfRule type="cellIs" dxfId="46" priority="1270" stopIfTrue="1" operator="notEqual">
      <formula>0</formula>
    </cfRule>
  </conditionalFormatting>
  <conditionalFormatting sqref="AE59">
    <cfRule type="cellIs" dxfId="45" priority="1263" stopIfTrue="1" operator="notEqual">
      <formula>0</formula>
    </cfRule>
  </conditionalFormatting>
  <conditionalFormatting sqref="AE55">
    <cfRule type="cellIs" dxfId="44" priority="1262" stopIfTrue="1" operator="notEqual">
      <formula>0</formula>
    </cfRule>
  </conditionalFormatting>
  <conditionalFormatting sqref="AE56">
    <cfRule type="cellIs" dxfId="43" priority="1260" stopIfTrue="1" operator="notEqual">
      <formula>0</formula>
    </cfRule>
  </conditionalFormatting>
  <conditionalFormatting sqref="AF58">
    <cfRule type="cellIs" dxfId="42" priority="1258" stopIfTrue="1" operator="notEqual">
      <formula>0</formula>
    </cfRule>
  </conditionalFormatting>
  <conditionalFormatting sqref="AI59">
    <cfRule type="cellIs" dxfId="41" priority="1251" stopIfTrue="1" operator="notEqual">
      <formula>0</formula>
    </cfRule>
  </conditionalFormatting>
  <conditionalFormatting sqref="AI57">
    <cfRule type="cellIs" dxfId="40" priority="1249" stopIfTrue="1" operator="notEqual">
      <formula>0</formula>
    </cfRule>
  </conditionalFormatting>
  <conditionalFormatting sqref="AI55">
    <cfRule type="cellIs" dxfId="39" priority="1250" stopIfTrue="1" operator="notEqual">
      <formula>0</formula>
    </cfRule>
  </conditionalFormatting>
  <conditionalFormatting sqref="AI58">
    <cfRule type="cellIs" dxfId="38" priority="1245" stopIfTrue="1" operator="notEqual">
      <formula>0</formula>
    </cfRule>
  </conditionalFormatting>
  <conditionalFormatting sqref="AJ58">
    <cfRule type="cellIs" dxfId="37" priority="1244" stopIfTrue="1" operator="notEqual">
      <formula>0</formula>
    </cfRule>
  </conditionalFormatting>
  <conditionalFormatting sqref="W57">
    <cfRule type="cellIs" dxfId="36" priority="1146" stopIfTrue="1" operator="notEqual">
      <formula>0</formula>
    </cfRule>
  </conditionalFormatting>
  <conditionalFormatting sqref="Y57">
    <cfRule type="cellIs" dxfId="35" priority="1145" stopIfTrue="1" operator="notEqual">
      <formula>0</formula>
    </cfRule>
  </conditionalFormatting>
  <conditionalFormatting sqref="AA57">
    <cfRule type="cellIs" dxfId="34" priority="1144" stopIfTrue="1" operator="notEqual">
      <formula>0</formula>
    </cfRule>
  </conditionalFormatting>
  <conditionalFormatting sqref="AC57">
    <cfRule type="cellIs" dxfId="33" priority="1143" stopIfTrue="1" operator="notEqual">
      <formula>0</formula>
    </cfRule>
  </conditionalFormatting>
  <conditionalFormatting sqref="AE57">
    <cfRule type="cellIs" dxfId="32" priority="1142" stopIfTrue="1" operator="notEqual">
      <formula>0</formula>
    </cfRule>
  </conditionalFormatting>
  <conditionalFormatting sqref="AK57">
    <cfRule type="cellIs" dxfId="31" priority="1042" stopIfTrue="1" operator="notEqual">
      <formula>0</formula>
    </cfRule>
  </conditionalFormatting>
  <conditionalFormatting sqref="AK58">
    <cfRule type="cellIs" dxfId="30" priority="1041" stopIfTrue="1" operator="notEqual">
      <formula>0</formula>
    </cfRule>
  </conditionalFormatting>
  <conditionalFormatting sqref="Y58">
    <cfRule type="cellIs" dxfId="29" priority="1080" stopIfTrue="1" operator="notEqual">
      <formula>0</formula>
    </cfRule>
  </conditionalFormatting>
  <conditionalFormatting sqref="AA56">
    <cfRule type="cellIs" dxfId="28" priority="1073" stopIfTrue="1" operator="notEqual">
      <formula>0</formula>
    </cfRule>
  </conditionalFormatting>
  <conditionalFormatting sqref="AC58">
    <cfRule type="cellIs" dxfId="27" priority="1066" stopIfTrue="1" operator="notEqual">
      <formula>0</formula>
    </cfRule>
  </conditionalFormatting>
  <conditionalFormatting sqref="AE58">
    <cfRule type="cellIs" dxfId="26" priority="1059" stopIfTrue="1" operator="notEqual">
      <formula>0</formula>
    </cfRule>
  </conditionalFormatting>
  <conditionalFormatting sqref="AK59">
    <cfRule type="cellIs" dxfId="25" priority="1046" stopIfTrue="1" operator="notEqual">
      <formula>0</formula>
    </cfRule>
  </conditionalFormatting>
  <conditionalFormatting sqref="AK56">
    <cfRule type="cellIs" dxfId="24" priority="1044" stopIfTrue="1" operator="notEqual">
      <formula>0</formula>
    </cfRule>
  </conditionalFormatting>
  <conditionalFormatting sqref="AK55">
    <cfRule type="cellIs" dxfId="23" priority="1045" stopIfTrue="1" operator="notEqual">
      <formula>0</formula>
    </cfRule>
  </conditionalFormatting>
  <conditionalFormatting sqref="AL58">
    <cfRule type="cellIs" dxfId="22" priority="1043" stopIfTrue="1" operator="notEqual">
      <formula>0</formula>
    </cfRule>
  </conditionalFormatting>
  <conditionalFormatting sqref="T21:U21">
    <cfRule type="cellIs" dxfId="21" priority="1003" stopIfTrue="1" operator="notEqual">
      <formula>0</formula>
    </cfRule>
  </conditionalFormatting>
  <conditionalFormatting sqref="AG58">
    <cfRule type="cellIs" dxfId="20" priority="980" stopIfTrue="1" operator="notEqual">
      <formula>0</formula>
    </cfRule>
  </conditionalFormatting>
  <conditionalFormatting sqref="AH58">
    <cfRule type="cellIs" dxfId="19" priority="979" stopIfTrue="1" operator="notEqual">
      <formula>0</formula>
    </cfRule>
  </conditionalFormatting>
  <conditionalFormatting sqref="AG57">
    <cfRule type="cellIs" dxfId="18" priority="976" stopIfTrue="1" operator="notEqual">
      <formula>0</formula>
    </cfRule>
  </conditionalFormatting>
  <conditionalFormatting sqref="AG59">
    <cfRule type="cellIs" dxfId="17" priority="983" stopIfTrue="1" operator="notEqual">
      <formula>0</formula>
    </cfRule>
  </conditionalFormatting>
  <conditionalFormatting sqref="AG56">
    <cfRule type="cellIs" dxfId="16" priority="855" stopIfTrue="1" operator="notEqual">
      <formula>0</formula>
    </cfRule>
  </conditionalFormatting>
  <conditionalFormatting sqref="AG55">
    <cfRule type="cellIs" dxfId="15" priority="854" stopIfTrue="1" operator="notEqual">
      <formula>0</formula>
    </cfRule>
  </conditionalFormatting>
  <conditionalFormatting sqref="AI56">
    <cfRule type="cellIs" dxfId="14" priority="853" stopIfTrue="1" operator="notEqual">
      <formula>0</formula>
    </cfRule>
  </conditionalFormatting>
  <conditionalFormatting sqref="Y59">
    <cfRule type="cellIs" dxfId="13" priority="732"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S2" activePane="bottomRight" state="frozen"/>
      <selection pane="topRight" activeCell="B1" sqref="B1"/>
      <selection pane="bottomLeft" activeCell="A2" sqref="A2"/>
      <selection pane="bottomRight" activeCell="Y28"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row>
    <row r="2" spans="1:49" x14ac:dyDescent="0.2">
      <c r="A2" s="229" t="s">
        <v>155</v>
      </c>
      <c r="B2" s="226">
        <v>5.7716594496607888E-3</v>
      </c>
      <c r="C2" s="227"/>
      <c r="D2" s="226">
        <v>3.9026796831007619E-2</v>
      </c>
      <c r="E2" s="227"/>
      <c r="F2" s="226">
        <v>7.4352768910207409E-2</v>
      </c>
      <c r="G2" s="227"/>
      <c r="H2" s="226">
        <v>0.1119887396177689</v>
      </c>
      <c r="I2" s="227"/>
      <c r="J2" s="226">
        <v>0.15222913848519373</v>
      </c>
      <c r="K2" s="227"/>
      <c r="L2" s="226">
        <v>0.19544106561300115</v>
      </c>
      <c r="M2" s="227"/>
      <c r="N2" s="226">
        <v>0.24208813993010339</v>
      </c>
      <c r="O2" s="227"/>
      <c r="P2" s="226">
        <v>0.29276360595962542</v>
      </c>
      <c r="Q2" s="227"/>
      <c r="R2" s="226">
        <v>0.34823581169705192</v>
      </c>
      <c r="S2" s="227"/>
      <c r="T2" s="226">
        <v>0.40951708930420155</v>
      </c>
      <c r="U2" s="227"/>
      <c r="V2" s="226">
        <v>0.47797733991469471</v>
      </c>
      <c r="W2" s="227"/>
      <c r="X2" s="226">
        <v>0.55556050681280966</v>
      </c>
      <c r="Y2" s="227"/>
      <c r="Z2" s="226">
        <v>0.64527347345874986</v>
      </c>
      <c r="AA2" s="227"/>
      <c r="AB2" s="226">
        <v>0.7524011991295565</v>
      </c>
      <c r="AC2" s="227"/>
      <c r="AD2" s="226">
        <v>0.88764198147362838</v>
      </c>
      <c r="AE2" s="227"/>
      <c r="AF2" s="226">
        <v>1.0750158813265609</v>
      </c>
      <c r="AG2" s="227"/>
      <c r="AH2" s="226">
        <v>1.3712031675036946</v>
      </c>
      <c r="AI2" s="227"/>
      <c r="AJ2" s="226">
        <v>1.9142556226222847</v>
      </c>
      <c r="AK2" s="227"/>
      <c r="AL2" s="226">
        <v>3.0890202561517297</v>
      </c>
      <c r="AM2" s="227"/>
      <c r="AN2" s="226">
        <v>6.6230569229361889</v>
      </c>
      <c r="AO2" s="227"/>
      <c r="AP2" s="226">
        <v>8.3153867575230453</v>
      </c>
      <c r="AQ2" s="227"/>
      <c r="AR2" s="226">
        <v>11.021216696689862</v>
      </c>
      <c r="AS2" s="227"/>
      <c r="AT2" s="226">
        <v>16.067136217929136</v>
      </c>
      <c r="AU2" s="227"/>
      <c r="AV2" s="226"/>
      <c r="AW2" s="227"/>
    </row>
    <row r="3" spans="1:49" x14ac:dyDescent="0.2">
      <c r="A3" t="s">
        <v>12</v>
      </c>
      <c r="B3" s="84">
        <v>1000</v>
      </c>
      <c r="C3" s="85">
        <v>1000</v>
      </c>
      <c r="D3" s="84">
        <v>998.7016911911312</v>
      </c>
      <c r="E3" s="85">
        <v>1015.508806441855</v>
      </c>
      <c r="F3" s="84">
        <v>997.57239002638335</v>
      </c>
      <c r="G3" s="85">
        <v>1032.2714745446722</v>
      </c>
      <c r="H3" s="84">
        <v>996.66014222427827</v>
      </c>
      <c r="I3" s="85">
        <v>1050.4381932676331</v>
      </c>
      <c r="J3" s="84">
        <v>996.02985045061416</v>
      </c>
      <c r="K3" s="85">
        <v>1070.1919267431981</v>
      </c>
      <c r="L3" s="84">
        <v>995.77047657220032</v>
      </c>
      <c r="M3" s="85">
        <v>1091.7594279123168</v>
      </c>
      <c r="N3" s="84">
        <v>996.00561851152383</v>
      </c>
      <c r="O3" s="85">
        <v>1115.4270841788586</v>
      </c>
      <c r="P3" s="84">
        <v>996.90972885627639</v>
      </c>
      <c r="Q3" s="85">
        <v>1141.5629533136218</v>
      </c>
      <c r="R3" s="84">
        <v>998.73305708748933</v>
      </c>
      <c r="S3" s="85">
        <v>1170.6502461370189</v>
      </c>
      <c r="T3" s="84">
        <v>1001.8411225866662</v>
      </c>
      <c r="U3" s="85">
        <v>1203.3378872591768</v>
      </c>
      <c r="V3" s="84">
        <v>1006.7769565192602</v>
      </c>
      <c r="W3" s="85">
        <v>1240.5235283877209</v>
      </c>
      <c r="X3" s="84">
        <v>1014.3603846666944</v>
      </c>
      <c r="Y3" s="85">
        <v>1283.5024489269463</v>
      </c>
      <c r="Z3" s="84">
        <v>1025.8451143749348</v>
      </c>
      <c r="AA3" s="85">
        <v>1334.2612264200141</v>
      </c>
      <c r="AB3" s="84">
        <v>1043.1646143207829</v>
      </c>
      <c r="AC3" s="85">
        <v>1396.1132506236816</v>
      </c>
      <c r="AD3" s="84">
        <v>1069.3115306174302</v>
      </c>
      <c r="AE3" s="85">
        <v>1475.1426516362581</v>
      </c>
      <c r="AF3" s="84">
        <v>1108.9136610355981</v>
      </c>
      <c r="AG3" s="85">
        <v>1583.5186305810178</v>
      </c>
      <c r="AH3" s="84">
        <v>1169.073446136</v>
      </c>
      <c r="AI3" s="85">
        <v>1747.0273486005087</v>
      </c>
      <c r="AJ3" s="84">
        <v>1260.7670992581657</v>
      </c>
      <c r="AK3" s="85">
        <v>2023.2202876196568</v>
      </c>
      <c r="AL3" s="84">
        <v>1404.4887668908807</v>
      </c>
      <c r="AM3" s="85">
        <v>2562.6308333917241</v>
      </c>
      <c r="AN3" s="84">
        <v>1668.5182279096698</v>
      </c>
      <c r="AO3" s="85">
        <v>4004.6367176574809</v>
      </c>
      <c r="AP3" s="84">
        <v>1757.9251334263388</v>
      </c>
      <c r="AQ3" s="85">
        <v>4651.233553127754</v>
      </c>
      <c r="AR3" s="84">
        <v>1876.9424793178775</v>
      </c>
      <c r="AS3" s="85">
        <v>5653.3838441453336</v>
      </c>
      <c r="AT3" s="84">
        <v>2052.9185873591855</v>
      </c>
      <c r="AU3" s="85">
        <v>7456.6932677950872</v>
      </c>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c r="AW4" s="102"/>
    </row>
    <row r="5" spans="1:49" x14ac:dyDescent="0.2">
      <c r="A5" t="s">
        <v>128</v>
      </c>
      <c r="B5" s="41">
        <v>1000</v>
      </c>
      <c r="C5" s="42">
        <v>1000</v>
      </c>
      <c r="D5" s="41">
        <v>998.63718018884833</v>
      </c>
      <c r="E5" s="42">
        <v>1013.4284216741205</v>
      </c>
      <c r="F5" s="41">
        <v>997.45092930880173</v>
      </c>
      <c r="G5" s="42">
        <v>1027.5070711270703</v>
      </c>
      <c r="H5" s="41">
        <v>996.49210879873306</v>
      </c>
      <c r="I5" s="42">
        <v>1042.237216725516</v>
      </c>
      <c r="J5" s="41">
        <v>995.82934143829448</v>
      </c>
      <c r="K5" s="42">
        <v>1057.6117037065935</v>
      </c>
      <c r="L5" s="41">
        <v>995.55653275580676</v>
      </c>
      <c r="M5" s="42">
        <v>1073.6124500989292</v>
      </c>
      <c r="N5" s="41">
        <v>995.80385608146491</v>
      </c>
      <c r="O5" s="42">
        <v>1090.2077207669261</v>
      </c>
      <c r="P5" s="41">
        <v>996.75448791572637</v>
      </c>
      <c r="Q5" s="42">
        <v>1107.3456455081364</v>
      </c>
      <c r="R5" s="41">
        <v>998.67011636639972</v>
      </c>
      <c r="S5" s="42">
        <v>1124.9496649870778</v>
      </c>
      <c r="T5" s="41">
        <v>1001.9308466718911</v>
      </c>
      <c r="U5" s="42">
        <v>1142.9087768749341</v>
      </c>
      <c r="V5" s="41">
        <v>1007.097084141681</v>
      </c>
      <c r="W5" s="42">
        <v>1161.0671872890216</v>
      </c>
      <c r="X5" s="41">
        <v>1015.0059422810599</v>
      </c>
      <c r="Y5" s="42">
        <v>1179.2172281799635</v>
      </c>
      <c r="Z5" s="41">
        <v>1026.9183876946317</v>
      </c>
      <c r="AA5" s="42">
        <v>1197.0950380076392</v>
      </c>
      <c r="AB5" s="41">
        <v>1044.7369017920619</v>
      </c>
      <c r="AC5" s="42">
        <v>1214.3867156024326</v>
      </c>
      <c r="AD5" s="41">
        <v>1071.3116842663496</v>
      </c>
      <c r="AE5" s="42">
        <v>1230.7134553669098</v>
      </c>
      <c r="AF5" s="41">
        <v>1110.8361950969809</v>
      </c>
      <c r="AG5" s="42">
        <v>1245.529454371881</v>
      </c>
      <c r="AH5" s="41">
        <v>1169.2560392178439</v>
      </c>
      <c r="AI5" s="42">
        <v>1257.8533003648124</v>
      </c>
      <c r="AJ5" s="41">
        <v>1254.6403928889197</v>
      </c>
      <c r="AK5" s="42">
        <v>1266.2612406380888</v>
      </c>
      <c r="AL5" s="41">
        <v>1379.7441966972506</v>
      </c>
      <c r="AM5" s="42">
        <v>1270.1420516839089</v>
      </c>
      <c r="AN5" s="41">
        <v>1581.9672823041201</v>
      </c>
      <c r="AO5" s="42">
        <v>1271.0211910374999</v>
      </c>
      <c r="AP5" s="41">
        <v>1642.4282920820392</v>
      </c>
      <c r="AQ5" s="42">
        <v>1271.0473067356434</v>
      </c>
      <c r="AR5" s="41">
        <v>1716.7997819509969</v>
      </c>
      <c r="AS5" s="42">
        <v>1271.0578024432409</v>
      </c>
      <c r="AT5" s="41">
        <v>1814.5157533658262</v>
      </c>
      <c r="AU5" s="42">
        <v>1271.0608775796079</v>
      </c>
      <c r="AV5" s="41"/>
      <c r="AW5" s="42"/>
    </row>
    <row r="6" spans="1:49" x14ac:dyDescent="0.2">
      <c r="A6" t="s">
        <v>77</v>
      </c>
      <c r="B6" s="41">
        <v>999.99999999999943</v>
      </c>
      <c r="C6" s="42">
        <v>999.99999999999909</v>
      </c>
      <c r="D6" s="41">
        <v>998.53324336310311</v>
      </c>
      <c r="E6" s="42">
        <v>1016.7205790282001</v>
      </c>
      <c r="F6" s="41">
        <v>997.2570185930274</v>
      </c>
      <c r="G6" s="42">
        <v>1034.749689542442</v>
      </c>
      <c r="H6" s="41">
        <v>996.22581057588582</v>
      </c>
      <c r="I6" s="42">
        <v>1054.2416475556579</v>
      </c>
      <c r="J6" s="41">
        <v>995.51318216689742</v>
      </c>
      <c r="K6" s="42">
        <v>1075.3846618293039</v>
      </c>
      <c r="L6" s="41">
        <v>995.21989123248352</v>
      </c>
      <c r="M6" s="42">
        <v>1098.4122404256414</v>
      </c>
      <c r="N6" s="41">
        <v>995.48578238518996</v>
      </c>
      <c r="O6" s="42">
        <v>1123.6195886547978</v>
      </c>
      <c r="P6" s="41">
        <v>996.50796869147587</v>
      </c>
      <c r="Q6" s="42">
        <v>1151.3863598747178</v>
      </c>
      <c r="R6" s="41">
        <v>998.56868463599324</v>
      </c>
      <c r="S6" s="42">
        <v>1182.2112225174553</v>
      </c>
      <c r="T6" s="41">
        <v>1002.0791521283038</v>
      </c>
      <c r="U6" s="42">
        <v>1216.7639977832243</v>
      </c>
      <c r="V6" s="41">
        <v>1007.6482850289564</v>
      </c>
      <c r="W6" s="42">
        <v>1255.9712741451265</v>
      </c>
      <c r="X6" s="41">
        <v>1016.1913041993614</v>
      </c>
      <c r="Y6" s="42">
        <v>1301.1700634519043</v>
      </c>
      <c r="Z6" s="41">
        <v>1029.0994594970271</v>
      </c>
      <c r="AA6" s="42">
        <v>1354.4109802341927</v>
      </c>
      <c r="AB6" s="41">
        <v>1048.5011983205109</v>
      </c>
      <c r="AC6" s="42">
        <v>1419.1142156488909</v>
      </c>
      <c r="AD6" s="41">
        <v>1077.6563329390046</v>
      </c>
      <c r="AE6" s="42">
        <v>1501.5579347176565</v>
      </c>
      <c r="AF6" s="41">
        <v>1121.5390542860728</v>
      </c>
      <c r="AG6" s="42">
        <v>1614.2862415934637</v>
      </c>
      <c r="AH6" s="41">
        <v>1187.6652030784689</v>
      </c>
      <c r="AI6" s="42">
        <v>1783.8294461746841</v>
      </c>
      <c r="AJ6" s="41">
        <v>1287.4749313960219</v>
      </c>
      <c r="AK6" s="42">
        <v>2069.2671620444257</v>
      </c>
      <c r="AL6" s="41">
        <v>1442.2256387633081</v>
      </c>
      <c r="AM6" s="42">
        <v>2624.9261897844112</v>
      </c>
      <c r="AN6" s="41">
        <v>1723.2457937224244</v>
      </c>
      <c r="AO6" s="42">
        <v>4106.4128588337107</v>
      </c>
      <c r="AP6" s="41">
        <v>1817.8033990570161</v>
      </c>
      <c r="AQ6" s="42">
        <v>4770.1023496855996</v>
      </c>
      <c r="AR6" s="41">
        <v>1943.3611529109969</v>
      </c>
      <c r="AS6" s="42">
        <v>5798.4906489555087</v>
      </c>
      <c r="AT6" s="41">
        <v>2128.508783406076</v>
      </c>
      <c r="AU6" s="42">
        <v>7648.6720621432187</v>
      </c>
      <c r="AV6" s="41"/>
      <c r="AW6" s="42"/>
    </row>
    <row r="7" spans="1:49" x14ac:dyDescent="0.2">
      <c r="A7" t="s">
        <v>13</v>
      </c>
      <c r="B7" s="33">
        <v>1015.9116825427475</v>
      </c>
      <c r="C7" s="34">
        <v>1015.9116825427475</v>
      </c>
      <c r="D7" s="33">
        <v>1014.5271779753978</v>
      </c>
      <c r="E7" s="34">
        <v>1014.5271779753978</v>
      </c>
      <c r="F7" s="33">
        <v>1013.3220518479318</v>
      </c>
      <c r="G7" s="34">
        <v>1013.3220518479318</v>
      </c>
      <c r="H7" s="33">
        <v>1012.3479748902914</v>
      </c>
      <c r="I7" s="34">
        <v>1012.3479748902914</v>
      </c>
      <c r="J7" s="33">
        <v>1011.6746617860139</v>
      </c>
      <c r="K7" s="34">
        <v>1011.6746617860139</v>
      </c>
      <c r="L7" s="33">
        <v>1011.3975122583755</v>
      </c>
      <c r="M7" s="34">
        <v>1011.3975122583755</v>
      </c>
      <c r="N7" s="33">
        <v>1011.648770914277</v>
      </c>
      <c r="O7" s="34">
        <v>1011.648770914277</v>
      </c>
      <c r="P7" s="33">
        <v>1012.6145289005002</v>
      </c>
      <c r="Q7" s="34">
        <v>1012.6145289005002</v>
      </c>
      <c r="R7" s="33">
        <v>1014.5606382229505</v>
      </c>
      <c r="S7" s="34">
        <v>1014.5606382229505</v>
      </c>
      <c r="T7" s="33">
        <v>1017.8732522339204</v>
      </c>
      <c r="U7" s="34">
        <v>1017.8732522339204</v>
      </c>
      <c r="V7" s="33">
        <v>1023.12169323427</v>
      </c>
      <c r="W7" s="34">
        <v>1023.12169323427</v>
      </c>
      <c r="X7" s="33">
        <v>1031.1563946136384</v>
      </c>
      <c r="Y7" s="34">
        <v>1031.1563946136384</v>
      </c>
      <c r="Z7" s="33">
        <v>1043.2583870769388</v>
      </c>
      <c r="AA7" s="34">
        <v>1043.2583870769388</v>
      </c>
      <c r="AB7" s="33">
        <v>1061.3604237140707</v>
      </c>
      <c r="AC7" s="34">
        <v>1061.3604237140707</v>
      </c>
      <c r="AD7" s="33">
        <v>1088.3580556907318</v>
      </c>
      <c r="AE7" s="34">
        <v>1088.3580556907318</v>
      </c>
      <c r="AF7" s="33">
        <v>1128.5114679903575</v>
      </c>
      <c r="AG7" s="34">
        <v>1128.5114679903575</v>
      </c>
      <c r="AH7" s="33">
        <v>1187.8608701250685</v>
      </c>
      <c r="AI7" s="34">
        <v>1187.8608701250685</v>
      </c>
      <c r="AJ7" s="33">
        <v>1274.603832525876</v>
      </c>
      <c r="AK7" s="34">
        <v>1274.603832525876</v>
      </c>
      <c r="AL7" s="33">
        <v>1401.6982483452953</v>
      </c>
      <c r="AM7" s="34">
        <v>1401.6982483452953</v>
      </c>
      <c r="AN7" s="33">
        <v>1607.1390434931561</v>
      </c>
      <c r="AO7" s="34">
        <v>1607.1390434931561</v>
      </c>
      <c r="AP7" s="33">
        <v>1668.5620896648754</v>
      </c>
      <c r="AQ7" s="34">
        <v>1668.5620896648754</v>
      </c>
      <c r="AR7" s="33">
        <v>1744.1169550708591</v>
      </c>
      <c r="AS7" s="34">
        <v>1744.1169550708591</v>
      </c>
      <c r="AT7" s="33">
        <v>1843.3877520021974</v>
      </c>
      <c r="AU7" s="34">
        <v>1843.3877520021974</v>
      </c>
      <c r="AV7" s="33"/>
      <c r="AW7" s="34"/>
    </row>
    <row r="8" spans="1:49" x14ac:dyDescent="0.2">
      <c r="B8" s="35">
        <v>1005.7716594496609</v>
      </c>
      <c r="C8" s="36">
        <v>1005.7716594496609</v>
      </c>
      <c r="D8" s="35">
        <v>1052.9792867895651</v>
      </c>
      <c r="E8" s="36">
        <v>1052.9792867895651</v>
      </c>
      <c r="F8" s="35">
        <v>1103.9050669401854</v>
      </c>
      <c r="G8" s="36">
        <v>1103.9050669401854</v>
      </c>
      <c r="H8" s="35">
        <v>1158.9560490093381</v>
      </c>
      <c r="I8" s="36">
        <v>1158.9560490093381</v>
      </c>
      <c r="J8" s="35">
        <v>1218.6110222137063</v>
      </c>
      <c r="K8" s="36">
        <v>1218.6110222137063</v>
      </c>
      <c r="L8" s="35">
        <v>1283.440411401649</v>
      </c>
      <c r="M8" s="36">
        <v>1283.440411401649</v>
      </c>
      <c r="N8" s="35">
        <v>1354.1340800248288</v>
      </c>
      <c r="O8" s="36">
        <v>1354.1340800248288</v>
      </c>
      <c r="P8" s="35">
        <v>1431.5361497307874</v>
      </c>
      <c r="Q8" s="36">
        <v>1431.5361497307874</v>
      </c>
      <c r="R8" s="35">
        <v>1516.6974246921793</v>
      </c>
      <c r="S8" s="36">
        <v>1516.6974246921793</v>
      </c>
      <c r="T8" s="35">
        <v>1610.9494525209823</v>
      </c>
      <c r="U8" s="36">
        <v>1610.9494525209823</v>
      </c>
      <c r="V8" s="35">
        <v>1716.0309929316647</v>
      </c>
      <c r="W8" s="36">
        <v>1716.0309929316647</v>
      </c>
      <c r="X8" s="35">
        <v>1834.3437491100208</v>
      </c>
      <c r="Y8" s="36">
        <v>1834.3437491100208</v>
      </c>
      <c r="Z8" s="35">
        <v>1969.5487112430628</v>
      </c>
      <c r="AA8" s="36">
        <v>1969.5487112430628</v>
      </c>
      <c r="AB8" s="35">
        <v>2128.0927366287065</v>
      </c>
      <c r="AC8" s="36">
        <v>2128.0927366287065</v>
      </c>
      <c r="AD8" s="35">
        <v>2323.1463855150496</v>
      </c>
      <c r="AE8" s="36">
        <v>2323.1463855150496</v>
      </c>
      <c r="AF8" s="35">
        <v>2584.4933984816589</v>
      </c>
      <c r="AG8" s="36">
        <v>2584.4933984816589</v>
      </c>
      <c r="AH8" s="35">
        <v>2982.6257300800198</v>
      </c>
      <c r="AI8" s="36">
        <v>2982.6257300800198</v>
      </c>
      <c r="AJ8" s="35">
        <v>3690.2089402382203</v>
      </c>
      <c r="AK8" s="36">
        <v>3690.2089402382203</v>
      </c>
      <c r="AL8" s="35">
        <v>5193.6365775256209</v>
      </c>
      <c r="AM8" s="36">
        <v>5193.6365775256209</v>
      </c>
      <c r="AN8" s="35">
        <v>9689.0668895370145</v>
      </c>
      <c r="AO8" s="36">
        <v>9689.0668895370145</v>
      </c>
      <c r="AP8" s="35">
        <v>11840.297249350544</v>
      </c>
      <c r="AQ8" s="36">
        <v>11840.297249350544</v>
      </c>
      <c r="AR8" s="35">
        <v>15279.661277188612</v>
      </c>
      <c r="AS8" s="36">
        <v>15279.661277188612</v>
      </c>
      <c r="AT8" s="35">
        <v>21693.369138931717</v>
      </c>
      <c r="AU8" s="36">
        <v>21693.369138931717</v>
      </c>
      <c r="AV8" s="35"/>
      <c r="AW8" s="36"/>
    </row>
    <row r="9" spans="1:49" x14ac:dyDescent="0.2">
      <c r="A9" t="s">
        <v>14</v>
      </c>
      <c r="B9" s="41">
        <v>1015.9116825427475</v>
      </c>
      <c r="C9" s="42">
        <v>1005.7716594496609</v>
      </c>
      <c r="D9" s="41">
        <v>1014.5271779753978</v>
      </c>
      <c r="E9" s="42">
        <v>1052.9792867895651</v>
      </c>
      <c r="F9" s="41">
        <v>1013.3220518479318</v>
      </c>
      <c r="G9" s="42">
        <v>1103.9050669401854</v>
      </c>
      <c r="H9" s="41">
        <v>1012.3479748902914</v>
      </c>
      <c r="I9" s="42">
        <v>1158.9560490093381</v>
      </c>
      <c r="J9" s="41">
        <v>1011.6746617860139</v>
      </c>
      <c r="K9" s="42">
        <v>1218.6110222137063</v>
      </c>
      <c r="L9" s="41">
        <v>1011.3975122583755</v>
      </c>
      <c r="M9" s="42">
        <v>1283.440411401649</v>
      </c>
      <c r="N9" s="41">
        <v>1011.648770914277</v>
      </c>
      <c r="O9" s="42">
        <v>1354.1340800248288</v>
      </c>
      <c r="P9" s="41">
        <v>1012.6145289005002</v>
      </c>
      <c r="Q9" s="42">
        <v>1431.5361497307874</v>
      </c>
      <c r="R9" s="41">
        <v>1014.5606382229505</v>
      </c>
      <c r="S9" s="42">
        <v>1516.6974246921793</v>
      </c>
      <c r="T9" s="41">
        <v>1017.8732522339204</v>
      </c>
      <c r="U9" s="42">
        <v>1610.9494525209823</v>
      </c>
      <c r="V9" s="41">
        <v>1023.12169323427</v>
      </c>
      <c r="W9" s="42">
        <v>1716.0309929316647</v>
      </c>
      <c r="X9" s="41">
        <v>1031.1563946136384</v>
      </c>
      <c r="Y9" s="42">
        <v>1834.3437491100208</v>
      </c>
      <c r="Z9" s="41">
        <v>1043.2583870769388</v>
      </c>
      <c r="AA9" s="42">
        <v>1969.5487112430628</v>
      </c>
      <c r="AB9" s="41">
        <v>1061.3604237140707</v>
      </c>
      <c r="AC9" s="42">
        <v>2128.0927366287065</v>
      </c>
      <c r="AD9" s="41">
        <v>1088.3580556907318</v>
      </c>
      <c r="AE9" s="42">
        <v>2323.1463855150496</v>
      </c>
      <c r="AF9" s="41">
        <v>1128.5114679903575</v>
      </c>
      <c r="AG9" s="42">
        <v>2584.4933984816589</v>
      </c>
      <c r="AH9" s="41">
        <v>1187.8608701250685</v>
      </c>
      <c r="AI9" s="42">
        <v>2982.6257300800198</v>
      </c>
      <c r="AJ9" s="41">
        <v>1274.603832525876</v>
      </c>
      <c r="AK9" s="42">
        <v>3690.2089402382203</v>
      </c>
      <c r="AL9" s="41">
        <v>1401.6982483452953</v>
      </c>
      <c r="AM9" s="42">
        <v>5193.6365775256209</v>
      </c>
      <c r="AN9" s="41">
        <v>1607.1390434931561</v>
      </c>
      <c r="AO9" s="42">
        <v>9689.0668895370145</v>
      </c>
      <c r="AP9" s="41">
        <v>1668.5620896648754</v>
      </c>
      <c r="AQ9" s="42">
        <v>11840.297249350544</v>
      </c>
      <c r="AR9" s="41">
        <v>1744.1169550708591</v>
      </c>
      <c r="AS9" s="42">
        <v>15279.661277188612</v>
      </c>
      <c r="AT9" s="41">
        <v>1843.3877520021974</v>
      </c>
      <c r="AU9" s="42">
        <v>21693.369138931717</v>
      </c>
      <c r="AV9" s="41"/>
      <c r="AW9" s="42"/>
    </row>
    <row r="10" spans="1:49" x14ac:dyDescent="0.2">
      <c r="A10" t="s">
        <v>15</v>
      </c>
      <c r="B10" s="41">
        <v>1015.9116825427475</v>
      </c>
      <c r="C10" s="42">
        <v>1005.7716594496609</v>
      </c>
      <c r="D10" s="41">
        <v>1014.5271779753978</v>
      </c>
      <c r="E10" s="42">
        <v>1052.9792867895651</v>
      </c>
      <c r="F10" s="41">
        <v>1013.3220518479318</v>
      </c>
      <c r="G10" s="42">
        <v>1103.9050669401854</v>
      </c>
      <c r="H10" s="41">
        <v>1012.3479748902914</v>
      </c>
      <c r="I10" s="42">
        <v>1158.9560490093381</v>
      </c>
      <c r="J10" s="41">
        <v>1011.6746617860139</v>
      </c>
      <c r="K10" s="42">
        <v>1218.6110222137063</v>
      </c>
      <c r="L10" s="41">
        <v>1011.3975122583755</v>
      </c>
      <c r="M10" s="42">
        <v>1283.440411401649</v>
      </c>
      <c r="N10" s="41">
        <v>1011.648770914277</v>
      </c>
      <c r="O10" s="42">
        <v>1354.1340800248288</v>
      </c>
      <c r="P10" s="41">
        <v>1012.6145289005002</v>
      </c>
      <c r="Q10" s="42">
        <v>1431.5361497307874</v>
      </c>
      <c r="R10" s="41">
        <v>1014.5606382229505</v>
      </c>
      <c r="S10" s="42">
        <v>1516.6974246921793</v>
      </c>
      <c r="T10" s="41">
        <v>1017.8732522339204</v>
      </c>
      <c r="U10" s="42">
        <v>1610.9494525209823</v>
      </c>
      <c r="V10" s="41">
        <v>1023.12169323427</v>
      </c>
      <c r="W10" s="42">
        <v>1716.0309929316647</v>
      </c>
      <c r="X10" s="41">
        <v>1031.1563946136384</v>
      </c>
      <c r="Y10" s="42">
        <v>1834.3437491100208</v>
      </c>
      <c r="Z10" s="41">
        <v>1043.2583870769388</v>
      </c>
      <c r="AA10" s="42">
        <v>1969.5487112430628</v>
      </c>
      <c r="AB10" s="41">
        <v>1061.3604237140707</v>
      </c>
      <c r="AC10" s="42">
        <v>2128.0927366287065</v>
      </c>
      <c r="AD10" s="41">
        <v>1088.3580556907318</v>
      </c>
      <c r="AE10" s="42">
        <v>2323.1463855150496</v>
      </c>
      <c r="AF10" s="41">
        <v>1128.5114679903575</v>
      </c>
      <c r="AG10" s="42">
        <v>2584.4933984816589</v>
      </c>
      <c r="AH10" s="41">
        <v>1187.8608701250685</v>
      </c>
      <c r="AI10" s="42">
        <v>2982.6257300800198</v>
      </c>
      <c r="AJ10" s="41">
        <v>1274.603832525876</v>
      </c>
      <c r="AK10" s="42">
        <v>3690.2089402382203</v>
      </c>
      <c r="AL10" s="41">
        <v>1401.6982483452953</v>
      </c>
      <c r="AM10" s="42">
        <v>5193.6365775256209</v>
      </c>
      <c r="AN10" s="41">
        <v>1607.1390434931561</v>
      </c>
      <c r="AO10" s="42">
        <v>9689.0668895370145</v>
      </c>
      <c r="AP10" s="41">
        <v>1668.5620896648754</v>
      </c>
      <c r="AQ10" s="42">
        <v>11840.297249350544</v>
      </c>
      <c r="AR10" s="41">
        <v>1744.1169550708591</v>
      </c>
      <c r="AS10" s="42">
        <v>15279.661277188612</v>
      </c>
      <c r="AT10" s="41">
        <v>1843.3877520021974</v>
      </c>
      <c r="AU10" s="42">
        <v>21693.369138931717</v>
      </c>
      <c r="AV10" s="41"/>
      <c r="AW10" s="42"/>
    </row>
    <row r="11" spans="1:49" x14ac:dyDescent="0.2">
      <c r="A11" t="s">
        <v>29</v>
      </c>
      <c r="B11" s="41">
        <v>1015.9116825427475</v>
      </c>
      <c r="C11" s="42">
        <v>1005.7716594496609</v>
      </c>
      <c r="D11" s="41">
        <v>1014.5271779753978</v>
      </c>
      <c r="E11" s="42">
        <v>1052.9792867895651</v>
      </c>
      <c r="F11" s="41">
        <v>1013.3220518479318</v>
      </c>
      <c r="G11" s="42">
        <v>1103.9050669401854</v>
      </c>
      <c r="H11" s="41">
        <v>1012.3479748902914</v>
      </c>
      <c r="I11" s="42">
        <v>1158.9560490093381</v>
      </c>
      <c r="J11" s="41">
        <v>1011.6746617860139</v>
      </c>
      <c r="K11" s="42">
        <v>1218.6110222137063</v>
      </c>
      <c r="L11" s="41">
        <v>1011.3975122583755</v>
      </c>
      <c r="M11" s="42">
        <v>1283.440411401649</v>
      </c>
      <c r="N11" s="41">
        <v>1011.648770914277</v>
      </c>
      <c r="O11" s="42">
        <v>1354.1340800248288</v>
      </c>
      <c r="P11" s="41">
        <v>1012.6145289005002</v>
      </c>
      <c r="Q11" s="42">
        <v>1431.5361497307874</v>
      </c>
      <c r="R11" s="41">
        <v>1014.5606382229505</v>
      </c>
      <c r="S11" s="42">
        <v>1516.6974246921793</v>
      </c>
      <c r="T11" s="41">
        <v>1017.8732522339204</v>
      </c>
      <c r="U11" s="42">
        <v>1610.9494525209823</v>
      </c>
      <c r="V11" s="41">
        <v>1023.12169323427</v>
      </c>
      <c r="W11" s="42">
        <v>1716.0309929316647</v>
      </c>
      <c r="X11" s="41">
        <v>1031.1563946136384</v>
      </c>
      <c r="Y11" s="42">
        <v>1834.3437491100208</v>
      </c>
      <c r="Z11" s="41">
        <v>1043.2583870769388</v>
      </c>
      <c r="AA11" s="42">
        <v>1969.5487112430628</v>
      </c>
      <c r="AB11" s="41">
        <v>1061.3604237140707</v>
      </c>
      <c r="AC11" s="42">
        <v>2128.0927366287065</v>
      </c>
      <c r="AD11" s="41">
        <v>1088.3580556907318</v>
      </c>
      <c r="AE11" s="42">
        <v>2323.1463855150496</v>
      </c>
      <c r="AF11" s="41">
        <v>1128.5114679903575</v>
      </c>
      <c r="AG11" s="42">
        <v>2584.4933984816589</v>
      </c>
      <c r="AH11" s="41">
        <v>1187.8608701250685</v>
      </c>
      <c r="AI11" s="42">
        <v>2982.6257300800198</v>
      </c>
      <c r="AJ11" s="41">
        <v>1274.603832525876</v>
      </c>
      <c r="AK11" s="42">
        <v>3690.2089402382203</v>
      </c>
      <c r="AL11" s="41">
        <v>1401.6982483452953</v>
      </c>
      <c r="AM11" s="42">
        <v>5193.6365775256209</v>
      </c>
      <c r="AN11" s="41">
        <v>1607.1390434931561</v>
      </c>
      <c r="AO11" s="42">
        <v>9689.0668895370145</v>
      </c>
      <c r="AP11" s="41">
        <v>1668.5620896648754</v>
      </c>
      <c r="AQ11" s="42">
        <v>11840.297249350544</v>
      </c>
      <c r="AR11" s="41">
        <v>1744.1169550708591</v>
      </c>
      <c r="AS11" s="42">
        <v>15279.661277188612</v>
      </c>
      <c r="AT11" s="41">
        <v>1843.3877520021974</v>
      </c>
      <c r="AU11" s="42">
        <v>21693.369138931717</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97">
        <v>1000</v>
      </c>
      <c r="C13" s="98">
        <v>1000</v>
      </c>
      <c r="D13" s="97">
        <v>994.98304521202067</v>
      </c>
      <c r="E13" s="98">
        <v>994.98304521202067</v>
      </c>
      <c r="F13" s="97">
        <v>989.93492046868721</v>
      </c>
      <c r="G13" s="98">
        <v>989.93492046868721</v>
      </c>
      <c r="H13" s="97">
        <v>984.88332155321007</v>
      </c>
      <c r="I13" s="98">
        <v>984.88332155321007</v>
      </c>
      <c r="J13" s="97">
        <v>979.86837498943271</v>
      </c>
      <c r="K13" s="98">
        <v>979.86837498943271</v>
      </c>
      <c r="L13" s="97">
        <v>974.94844111528516</v>
      </c>
      <c r="M13" s="98">
        <v>974.94844111528516</v>
      </c>
      <c r="N13" s="97">
        <v>970.20882761690905</v>
      </c>
      <c r="O13" s="98">
        <v>970.20882761690905</v>
      </c>
      <c r="P13" s="97">
        <v>965.7758085160076</v>
      </c>
      <c r="Q13" s="98">
        <v>965.7758085160076</v>
      </c>
      <c r="R13" s="97">
        <v>961.83869920782752</v>
      </c>
      <c r="S13" s="98">
        <v>961.83869920782752</v>
      </c>
      <c r="T13" s="97">
        <v>958.68629938765628</v>
      </c>
      <c r="U13" s="98">
        <v>958.68629938765628</v>
      </c>
      <c r="V13" s="97">
        <v>956.76607992169068</v>
      </c>
      <c r="W13" s="98">
        <v>956.76607992169068</v>
      </c>
      <c r="X13" s="97">
        <v>956.78114368648517</v>
      </c>
      <c r="Y13" s="98">
        <v>956.78114368648517</v>
      </c>
      <c r="Z13" s="97">
        <v>959.84682434106594</v>
      </c>
      <c r="AA13" s="98">
        <v>959.84682434106594</v>
      </c>
      <c r="AB13" s="97">
        <v>967.7380426640176</v>
      </c>
      <c r="AC13" s="98">
        <v>967.7380426640176</v>
      </c>
      <c r="AD13" s="97">
        <v>983.27176450379488</v>
      </c>
      <c r="AE13" s="98">
        <v>983.27176450379488</v>
      </c>
      <c r="AF13" s="97">
        <v>1010.8936427062007</v>
      </c>
      <c r="AG13" s="98">
        <v>1010.8936427062007</v>
      </c>
      <c r="AH13" s="97">
        <v>1057.5882360291071</v>
      </c>
      <c r="AI13" s="98">
        <v>1057.5882360291071</v>
      </c>
      <c r="AJ13" s="97">
        <v>1134.5941220082696</v>
      </c>
      <c r="AK13" s="98">
        <v>1134.5941220082696</v>
      </c>
      <c r="AL13" s="97">
        <v>1264.2393319838764</v>
      </c>
      <c r="AM13" s="98">
        <v>1264.2393319838764</v>
      </c>
      <c r="AN13" s="97">
        <v>1527.0566039889554</v>
      </c>
      <c r="AO13" s="98">
        <v>1527.0566039889554</v>
      </c>
      <c r="AP13" s="97">
        <v>1623.8057349116873</v>
      </c>
      <c r="AQ13" s="98">
        <v>1623.8057349116873</v>
      </c>
      <c r="AR13" s="97">
        <v>1759.244297699549</v>
      </c>
      <c r="AS13" s="98">
        <v>1759.244297699549</v>
      </c>
      <c r="AT13" s="97">
        <v>1974.087625903453</v>
      </c>
      <c r="AU13" s="98">
        <v>1974.087625903453</v>
      </c>
      <c r="AV13" s="97"/>
      <c r="AW13" s="98"/>
    </row>
    <row r="14" spans="1:49" x14ac:dyDescent="0.2">
      <c r="A14" t="s">
        <v>36</v>
      </c>
      <c r="B14" s="41">
        <v>1457.0034251455234</v>
      </c>
      <c r="C14" s="42">
        <v>1457.0034251455236</v>
      </c>
      <c r="D14" s="41">
        <v>1449.6937048356372</v>
      </c>
      <c r="E14" s="42">
        <v>1449.6937048356374</v>
      </c>
      <c r="F14" s="41">
        <v>1442.3385697940384</v>
      </c>
      <c r="G14" s="42">
        <v>1442.3385697940387</v>
      </c>
      <c r="H14" s="41">
        <v>1434.9783728717268</v>
      </c>
      <c r="I14" s="42">
        <v>1434.9783728717271</v>
      </c>
      <c r="J14" s="41">
        <v>1427.6715785513813</v>
      </c>
      <c r="K14" s="42">
        <v>1427.6715785513816</v>
      </c>
      <c r="L14" s="41">
        <v>1420.503218045259</v>
      </c>
      <c r="M14" s="42">
        <v>1420.5032180452592</v>
      </c>
      <c r="N14" s="41">
        <v>1413.5975849442591</v>
      </c>
      <c r="O14" s="42">
        <v>1413.5975849442593</v>
      </c>
      <c r="P14" s="41">
        <v>1407.13866093051</v>
      </c>
      <c r="Q14" s="42">
        <v>1407.1386609305102</v>
      </c>
      <c r="R14" s="41">
        <v>1401.4022791833195</v>
      </c>
      <c r="S14" s="42">
        <v>1401.4022791833197</v>
      </c>
      <c r="T14" s="41">
        <v>1396.8092218479019</v>
      </c>
      <c r="U14" s="42">
        <v>1396.8092218479019</v>
      </c>
      <c r="V14" s="41">
        <v>1394.0114555089588</v>
      </c>
      <c r="W14" s="42">
        <v>1394.011455508959</v>
      </c>
      <c r="X14" s="41">
        <v>1394.0334034658599</v>
      </c>
      <c r="Y14" s="42">
        <v>1394.0334034658601</v>
      </c>
      <c r="Z14" s="41">
        <v>1398.5001106799864</v>
      </c>
      <c r="AA14" s="42">
        <v>1398.5001106799866</v>
      </c>
      <c r="AB14" s="41">
        <v>1409.9976428050982</v>
      </c>
      <c r="AC14" s="42">
        <v>1409.9976428050984</v>
      </c>
      <c r="AD14" s="41">
        <v>1432.6303287309115</v>
      </c>
      <c r="AE14" s="42">
        <v>1432.6303287309117</v>
      </c>
      <c r="AF14" s="41">
        <v>1472.8754998807692</v>
      </c>
      <c r="AG14" s="42">
        <v>1472.8754998807694</v>
      </c>
      <c r="AH14" s="41">
        <v>1540.909682288021</v>
      </c>
      <c r="AI14" s="42">
        <v>1540.9096822880213</v>
      </c>
      <c r="AJ14" s="41">
        <v>1653.1075219160264</v>
      </c>
      <c r="AK14" s="42">
        <v>1653.1075219160268</v>
      </c>
      <c r="AL14" s="41">
        <v>1842.0010369041961</v>
      </c>
      <c r="AM14" s="42">
        <v>1842.0010369041963</v>
      </c>
      <c r="AN14" s="41">
        <v>2224.9267024029991</v>
      </c>
      <c r="AO14" s="42">
        <v>2224.9267024029991</v>
      </c>
      <c r="AP14" s="41">
        <v>2365.890517537272</v>
      </c>
      <c r="AQ14" s="42">
        <v>2365.8905175372724</v>
      </c>
      <c r="AR14" s="41">
        <v>2563.2249674159734</v>
      </c>
      <c r="AS14" s="42">
        <v>2563.2249674159739</v>
      </c>
      <c r="AT14" s="41">
        <v>2876.2524324787255</v>
      </c>
      <c r="AU14" s="42">
        <v>2876.252432478726</v>
      </c>
      <c r="AV14" s="41"/>
      <c r="AW14" s="42"/>
    </row>
    <row r="15" spans="1:49" x14ac:dyDescent="0.2">
      <c r="A15" t="s">
        <v>18</v>
      </c>
      <c r="B15" s="154">
        <v>1000</v>
      </c>
      <c r="C15" s="155">
        <v>1000</v>
      </c>
      <c r="D15" s="154">
        <v>998.63718018884833</v>
      </c>
      <c r="E15" s="155">
        <v>998.63718018884833</v>
      </c>
      <c r="F15" s="154">
        <v>997.45092930880173</v>
      </c>
      <c r="G15" s="155">
        <v>997.45092930880173</v>
      </c>
      <c r="H15" s="154">
        <v>996.49210879873306</v>
      </c>
      <c r="I15" s="155">
        <v>996.49210879873306</v>
      </c>
      <c r="J15" s="154">
        <v>995.82934143829448</v>
      </c>
      <c r="K15" s="155">
        <v>995.82934143829448</v>
      </c>
      <c r="L15" s="154">
        <v>995.55653275580676</v>
      </c>
      <c r="M15" s="155">
        <v>995.55653275580676</v>
      </c>
      <c r="N15" s="154">
        <v>995.80385608146491</v>
      </c>
      <c r="O15" s="155">
        <v>995.80385608146491</v>
      </c>
      <c r="P15" s="154">
        <v>996.75448791572637</v>
      </c>
      <c r="Q15" s="155">
        <v>996.75448791572637</v>
      </c>
      <c r="R15" s="154">
        <v>998.67011636639972</v>
      </c>
      <c r="S15" s="155">
        <v>998.67011636639972</v>
      </c>
      <c r="T15" s="154">
        <v>1001.9308466718911</v>
      </c>
      <c r="U15" s="155">
        <v>1001.9308466718911</v>
      </c>
      <c r="V15" s="154">
        <v>1007.097084141681</v>
      </c>
      <c r="W15" s="155">
        <v>1007.097084141681</v>
      </c>
      <c r="X15" s="154">
        <v>1015.0059422810599</v>
      </c>
      <c r="Y15" s="155">
        <v>1015.0059422810599</v>
      </c>
      <c r="Z15" s="154">
        <v>1026.9183876946317</v>
      </c>
      <c r="AA15" s="155">
        <v>1026.9183876946317</v>
      </c>
      <c r="AB15" s="154">
        <v>1044.7369017920619</v>
      </c>
      <c r="AC15" s="155">
        <v>1044.7369017920619</v>
      </c>
      <c r="AD15" s="154">
        <v>1071.3116842663496</v>
      </c>
      <c r="AE15" s="155">
        <v>1071.3116842663496</v>
      </c>
      <c r="AF15" s="154">
        <v>1110.8361950969809</v>
      </c>
      <c r="AG15" s="155">
        <v>1110.8361950969809</v>
      </c>
      <c r="AH15" s="154">
        <v>1169.2560392178439</v>
      </c>
      <c r="AI15" s="155">
        <v>1169.2560392178439</v>
      </c>
      <c r="AJ15" s="154">
        <v>1254.6403928889197</v>
      </c>
      <c r="AK15" s="155">
        <v>1254.6403928889197</v>
      </c>
      <c r="AL15" s="154">
        <v>1379.7441966972506</v>
      </c>
      <c r="AM15" s="155">
        <v>1379.7441966972506</v>
      </c>
      <c r="AN15" s="154">
        <v>1581.9672823041201</v>
      </c>
      <c r="AO15" s="155">
        <v>1581.9672823041201</v>
      </c>
      <c r="AP15" s="154">
        <v>1642.4282920820392</v>
      </c>
      <c r="AQ15" s="155">
        <v>1642.4282920820392</v>
      </c>
      <c r="AR15" s="154">
        <v>1716.7997819509969</v>
      </c>
      <c r="AS15" s="155">
        <v>1716.7997819509969</v>
      </c>
      <c r="AT15" s="154">
        <v>1814.5157533658262</v>
      </c>
      <c r="AU15" s="155">
        <v>1814.5157533658262</v>
      </c>
      <c r="AV15" s="154"/>
      <c r="AW15" s="155"/>
    </row>
    <row r="16" spans="1:49" s="29" customFormat="1" x14ac:dyDescent="0.2">
      <c r="A16" t="s">
        <v>61</v>
      </c>
      <c r="B16" s="41">
        <v>1000</v>
      </c>
      <c r="C16" s="42">
        <v>1000</v>
      </c>
      <c r="D16" s="41">
        <v>996.68845044146826</v>
      </c>
      <c r="E16" s="42">
        <v>997.59399030208169</v>
      </c>
      <c r="F16" s="41">
        <v>993.4415898657569</v>
      </c>
      <c r="G16" s="42">
        <v>995.30479587494244</v>
      </c>
      <c r="H16" s="41">
        <v>990.29771713847333</v>
      </c>
      <c r="I16" s="42">
        <v>993.17657974484359</v>
      </c>
      <c r="J16" s="41">
        <v>987.31000254537446</v>
      </c>
      <c r="K16" s="42">
        <v>991.26972532044533</v>
      </c>
      <c r="L16" s="41">
        <v>984.55307777835765</v>
      </c>
      <c r="M16" s="42">
        <v>989.66786114032868</v>
      </c>
      <c r="N16" s="41">
        <v>982.13278820619087</v>
      </c>
      <c r="O16" s="42">
        <v>988.48818876153132</v>
      </c>
      <c r="P16" s="41">
        <v>980.20144997270995</v>
      </c>
      <c r="Q16" s="42">
        <v>987.8974306937173</v>
      </c>
      <c r="R16" s="41">
        <v>978.98148803822687</v>
      </c>
      <c r="S16" s="42">
        <v>988.13634243345018</v>
      </c>
      <c r="T16" s="41">
        <v>978.80344530465686</v>
      </c>
      <c r="U16" s="42">
        <v>989.55860987211327</v>
      </c>
      <c r="V16" s="41">
        <v>980.16637483314048</v>
      </c>
      <c r="W16" s="42">
        <v>992.69194072439802</v>
      </c>
      <c r="X16" s="41">
        <v>983.83451035311066</v>
      </c>
      <c r="Y16" s="42">
        <v>998.33461775477792</v>
      </c>
      <c r="Z16" s="41">
        <v>990.98950843503962</v>
      </c>
      <c r="AA16" s="42">
        <v>1007.7053657545805</v>
      </c>
      <c r="AB16" s="41">
        <v>1003.4642496631105</v>
      </c>
      <c r="AC16" s="42">
        <v>1022.6696140890022</v>
      </c>
      <c r="AD16" s="41">
        <v>1024.0906143060756</v>
      </c>
      <c r="AE16" s="42">
        <v>1046.0678375352079</v>
      </c>
      <c r="AF16" s="41">
        <v>1057.1992180833836</v>
      </c>
      <c r="AG16" s="42">
        <v>1082.1665785781408</v>
      </c>
      <c r="AH16" s="41">
        <v>1109.300949964364</v>
      </c>
      <c r="AI16" s="42">
        <v>1137.2125991232931</v>
      </c>
      <c r="AJ16" s="41">
        <v>1190.1859711161592</v>
      </c>
      <c r="AK16" s="42">
        <v>1220.1923656625331</v>
      </c>
      <c r="AL16" s="41">
        <v>1317.7848154529001</v>
      </c>
      <c r="AM16" s="42">
        <v>1346.6223460676692</v>
      </c>
      <c r="AN16" s="41">
        <v>1552.6188064677378</v>
      </c>
      <c r="AO16" s="42">
        <v>1566.2647286173487</v>
      </c>
      <c r="AP16" s="41">
        <v>1632.4916062893019</v>
      </c>
      <c r="AQ16" s="42">
        <v>1637.1096840264358</v>
      </c>
      <c r="AR16" s="41">
        <v>1739.3906996209407</v>
      </c>
      <c r="AS16" s="42">
        <v>1728.8986734699697</v>
      </c>
      <c r="AT16" s="41">
        <v>1899.0908300177398</v>
      </c>
      <c r="AU16" s="42">
        <v>1859.8551434509552</v>
      </c>
      <c r="AV16" s="41"/>
      <c r="AW16" s="42"/>
    </row>
    <row r="17" spans="1:49" x14ac:dyDescent="0.2">
      <c r="A17" t="s">
        <v>62</v>
      </c>
      <c r="B17" s="35">
        <v>1000.0000000000002</v>
      </c>
      <c r="C17" s="36">
        <v>999.99999999999977</v>
      </c>
      <c r="D17" s="35">
        <v>998.76168545637586</v>
      </c>
      <c r="E17" s="36">
        <v>1023.777112508608</v>
      </c>
      <c r="F17" s="35">
        <v>997.68535042137819</v>
      </c>
      <c r="G17" s="36">
        <v>1049.4132957510267</v>
      </c>
      <c r="H17" s="35">
        <v>996.81642078103823</v>
      </c>
      <c r="I17" s="36">
        <v>1077.1204148196541</v>
      </c>
      <c r="J17" s="35">
        <v>996.21633707918227</v>
      </c>
      <c r="K17" s="36">
        <v>1107.1523982621272</v>
      </c>
      <c r="L17" s="35">
        <v>995.96945945311381</v>
      </c>
      <c r="M17" s="36">
        <v>1139.8183994142069</v>
      </c>
      <c r="N17" s="35">
        <v>996.19327149770811</v>
      </c>
      <c r="O17" s="36">
        <v>1175.5015275423859</v>
      </c>
      <c r="P17" s="35">
        <v>997.05410909124168</v>
      </c>
      <c r="Q17" s="36">
        <v>1214.6838220836996</v>
      </c>
      <c r="R17" s="35">
        <v>998.79158915195626</v>
      </c>
      <c r="S17" s="36">
        <v>1257.9843919846553</v>
      </c>
      <c r="T17" s="35">
        <v>1001.7576892309891</v>
      </c>
      <c r="U17" s="36">
        <v>1306.2157040412003</v>
      </c>
      <c r="V17" s="35">
        <v>1006.4793206888831</v>
      </c>
      <c r="W17" s="36">
        <v>1360.477591605659</v>
      </c>
      <c r="X17" s="35">
        <v>1013.7603131690762</v>
      </c>
      <c r="Y17" s="36">
        <v>1422.3340116774341</v>
      </c>
      <c r="Z17" s="35">
        <v>1024.8477380907568</v>
      </c>
      <c r="AA17" s="36">
        <v>1494.1855432731991</v>
      </c>
      <c r="AB17" s="35">
        <v>1041.703968490601</v>
      </c>
      <c r="AC17" s="36">
        <v>1580.1361304473687</v>
      </c>
      <c r="AD17" s="35">
        <v>1067.4538520372525</v>
      </c>
      <c r="AE17" s="36">
        <v>1688.0797649416691</v>
      </c>
      <c r="AF17" s="35">
        <v>1107.127909525346</v>
      </c>
      <c r="AG17" s="36">
        <v>1834.7019752918566</v>
      </c>
      <c r="AH17" s="35">
        <v>1168.9036640841919</v>
      </c>
      <c r="AI17" s="36">
        <v>2057.2442229111252</v>
      </c>
      <c r="AJ17" s="35">
        <v>1266.483339005506</v>
      </c>
      <c r="AK17" s="36">
        <v>2442.6769241631282</v>
      </c>
      <c r="AL17" s="35">
        <v>1427.7769788220883</v>
      </c>
      <c r="AM17" s="36">
        <v>3227.0750248881327</v>
      </c>
      <c r="AN17" s="35">
        <v>1751.9307854400272</v>
      </c>
      <c r="AO17" s="36">
        <v>5445.6806396532538</v>
      </c>
      <c r="AP17" s="35">
        <v>1870.3243645135981</v>
      </c>
      <c r="AQ17" s="36">
        <v>6475.0625568509586</v>
      </c>
      <c r="AR17" s="35">
        <v>2034.9886476208301</v>
      </c>
      <c r="AS17" s="36">
        <v>8097.5123449736948</v>
      </c>
      <c r="AT17" s="35">
        <v>2293.5370106085288</v>
      </c>
      <c r="AU17" s="36">
        <v>11075.230643779785</v>
      </c>
      <c r="AV17" s="35"/>
      <c r="AW17" s="36"/>
    </row>
    <row r="18" spans="1:49" x14ac:dyDescent="0.2">
      <c r="A18" t="s">
        <v>19</v>
      </c>
      <c r="B18" s="33">
        <v>27857.010133999996</v>
      </c>
      <c r="C18" s="34">
        <v>1236.7674480000003</v>
      </c>
      <c r="D18" s="33">
        <v>27624.292164770177</v>
      </c>
      <c r="E18" s="34">
        <v>1142.1088073746691</v>
      </c>
      <c r="F18" s="33">
        <v>27362.270584746446</v>
      </c>
      <c r="G18" s="34">
        <v>1047.2344796246775</v>
      </c>
      <c r="H18" s="33">
        <v>27065.83132539528</v>
      </c>
      <c r="I18" s="34">
        <v>952.31133648322941</v>
      </c>
      <c r="J18" s="33">
        <v>26728.609435957838</v>
      </c>
      <c r="K18" s="34">
        <v>857.57678674495207</v>
      </c>
      <c r="L18" s="33">
        <v>26342.585991026222</v>
      </c>
      <c r="M18" s="34">
        <v>763.36116416403013</v>
      </c>
      <c r="N18" s="33">
        <v>25897.561514418652</v>
      </c>
      <c r="O18" s="34">
        <v>670.11511648072508</v>
      </c>
      <c r="P18" s="33">
        <v>25380.462786089225</v>
      </c>
      <c r="Q18" s="34">
        <v>578.43720658928771</v>
      </c>
      <c r="R18" s="33">
        <v>24774.470268429734</v>
      </c>
      <c r="S18" s="34">
        <v>489.11152165847517</v>
      </c>
      <c r="T18" s="33">
        <v>24058.009219204174</v>
      </c>
      <c r="U18" s="34">
        <v>403.13918870278206</v>
      </c>
      <c r="V18" s="33">
        <v>23203.838888685626</v>
      </c>
      <c r="W18" s="34">
        <v>321.7583931449056</v>
      </c>
      <c r="X18" s="33">
        <v>22178.79244700685</v>
      </c>
      <c r="Y18" s="34">
        <v>246.43576146877029</v>
      </c>
      <c r="Z18" s="33">
        <v>20945.390933022496</v>
      </c>
      <c r="AA18" s="34">
        <v>178.79453646712588</v>
      </c>
      <c r="AB18" s="33">
        <v>19467.143513830793</v>
      </c>
      <c r="AC18" s="34">
        <v>120.47024415990286</v>
      </c>
      <c r="AD18" s="33">
        <v>17718.945908569516</v>
      </c>
      <c r="AE18" s="34">
        <v>72.93097468510372</v>
      </c>
      <c r="AF18" s="33">
        <v>15700.560967200856</v>
      </c>
      <c r="AG18" s="34">
        <v>37.368100463515297</v>
      </c>
      <c r="AH18" s="33">
        <v>13444.923596335735</v>
      </c>
      <c r="AI18" s="34">
        <v>14.501882608036556</v>
      </c>
      <c r="AJ18" s="33">
        <v>11005.761708223554</v>
      </c>
      <c r="AK18" s="34">
        <v>3.4872769964058139</v>
      </c>
      <c r="AL18" s="33">
        <v>8394.5905559827279</v>
      </c>
      <c r="AM18" s="34">
        <v>0.35424835239153363</v>
      </c>
      <c r="AN18" s="33">
        <v>5406.0620548201232</v>
      </c>
      <c r="AO18" s="34">
        <v>4.9542774075406028E-3</v>
      </c>
      <c r="AP18" s="33">
        <v>4700.0823232294724</v>
      </c>
      <c r="AQ18" s="34">
        <v>1.1953663451379111E-3</v>
      </c>
      <c r="AR18" s="33">
        <v>3921.2630964841255</v>
      </c>
      <c r="AS18" s="34">
        <v>1.8801773066811337E-4</v>
      </c>
      <c r="AT18" s="33">
        <v>3028.3554039324176</v>
      </c>
      <c r="AU18" s="34">
        <v>1.3673531972169616E-5</v>
      </c>
      <c r="AV18" s="33"/>
      <c r="AW18" s="34"/>
    </row>
    <row r="19" spans="1:49" x14ac:dyDescent="0.2">
      <c r="A19" t="s">
        <v>3</v>
      </c>
      <c r="B19" s="41">
        <v>1886.3937399999966</v>
      </c>
      <c r="C19" s="42">
        <v>262.78711299999406</v>
      </c>
      <c r="D19" s="41">
        <v>1859.0565492923447</v>
      </c>
      <c r="E19" s="42">
        <v>277.76155087278357</v>
      </c>
      <c r="F19" s="41">
        <v>1831.4865999383594</v>
      </c>
      <c r="G19" s="42">
        <v>293.84964965520879</v>
      </c>
      <c r="H19" s="41">
        <v>1803.731004208789</v>
      </c>
      <c r="I19" s="42">
        <v>310.9966592770121</v>
      </c>
      <c r="J19" s="41">
        <v>1775.8717219843238</v>
      </c>
      <c r="K19" s="42">
        <v>329.08199419879253</v>
      </c>
      <c r="L19" s="41">
        <v>1748.0427284316781</v>
      </c>
      <c r="M19" s="42">
        <v>347.89326766467934</v>
      </c>
      <c r="N19" s="41">
        <v>1720.4557684484037</v>
      </c>
      <c r="O19" s="42">
        <v>367.09294151387695</v>
      </c>
      <c r="P19" s="41">
        <v>1693.4421575935769</v>
      </c>
      <c r="Q19" s="42">
        <v>386.17432586013626</v>
      </c>
      <c r="R19" s="41">
        <v>1667.5198987164849</v>
      </c>
      <c r="S19" s="42">
        <v>404.40887885743871</v>
      </c>
      <c r="T19" s="41">
        <v>1643.5086122378661</v>
      </c>
      <c r="U19" s="42">
        <v>420.78420634105402</v>
      </c>
      <c r="V19" s="41">
        <v>1622.7251695506175</v>
      </c>
      <c r="W19" s="42">
        <v>433.94329986418023</v>
      </c>
      <c r="X19" s="41">
        <v>1607.3262108830515</v>
      </c>
      <c r="Y19" s="42">
        <v>442.14712801359565</v>
      </c>
      <c r="Z19" s="41">
        <v>1600.9096642801853</v>
      </c>
      <c r="AA19" s="42">
        <v>443.29547224510031</v>
      </c>
      <c r="AB19" s="41">
        <v>1609.5629604734436</v>
      </c>
      <c r="AC19" s="42">
        <v>435.03838158169066</v>
      </c>
      <c r="AD19" s="41">
        <v>1643.6484650829855</v>
      </c>
      <c r="AE19" s="42">
        <v>414.93617514843822</v>
      </c>
      <c r="AF19" s="41">
        <v>1720.6952272591786</v>
      </c>
      <c r="AG19" s="42">
        <v>380.51867237957021</v>
      </c>
      <c r="AH19" s="41">
        <v>1869.5487119925785</v>
      </c>
      <c r="AI19" s="42">
        <v>329.36228659476205</v>
      </c>
      <c r="AJ19" s="41">
        <v>2135.408195876566</v>
      </c>
      <c r="AK19" s="42">
        <v>260.54445899193149</v>
      </c>
      <c r="AL19" s="41">
        <v>2593.3437917383899</v>
      </c>
      <c r="AM19" s="42">
        <v>178.00098825544447</v>
      </c>
      <c r="AN19" s="41">
        <v>3443.5018644224178</v>
      </c>
      <c r="AO19" s="42">
        <v>89.494510974974972</v>
      </c>
      <c r="AP19" s="41">
        <v>3716.0711903009574</v>
      </c>
      <c r="AQ19" s="42">
        <v>71.60737820024336</v>
      </c>
      <c r="AR19" s="41">
        <v>4060.1586340229214</v>
      </c>
      <c r="AS19" s="42">
        <v>53.709081552417551</v>
      </c>
      <c r="AT19" s="41">
        <v>4524.9513327396644</v>
      </c>
      <c r="AU19" s="42">
        <v>35.806747391961999</v>
      </c>
      <c r="AV19" s="41"/>
      <c r="AW19" s="42"/>
    </row>
    <row r="20" spans="1:49" x14ac:dyDescent="0.2">
      <c r="A20" t="s">
        <v>127</v>
      </c>
      <c r="B20" s="82">
        <v>26548.356269999993</v>
      </c>
      <c r="C20" s="83">
        <v>1408.5418709999938</v>
      </c>
      <c r="D20" s="82">
        <v>26306.736005031747</v>
      </c>
      <c r="E20" s="83">
        <v>1338.1147774499941</v>
      </c>
      <c r="F20" s="82">
        <v>26040.113865397736</v>
      </c>
      <c r="G20" s="83">
        <v>1267.6876838999945</v>
      </c>
      <c r="H20" s="82">
        <v>25744.330698212823</v>
      </c>
      <c r="I20" s="83">
        <v>1197.2605903499946</v>
      </c>
      <c r="J20" s="82">
        <v>25414.244812662291</v>
      </c>
      <c r="K20" s="83">
        <v>1126.8334967999949</v>
      </c>
      <c r="L20" s="82">
        <v>25043.419517454255</v>
      </c>
      <c r="M20" s="83">
        <v>1056.4064032499953</v>
      </c>
      <c r="N20" s="82">
        <v>24623.715662352271</v>
      </c>
      <c r="O20" s="83">
        <v>985.97930969999561</v>
      </c>
      <c r="P20" s="82">
        <v>24144.758087919927</v>
      </c>
      <c r="Q20" s="83">
        <v>915.55221614999596</v>
      </c>
      <c r="R20" s="82">
        <v>23593.267809160901</v>
      </c>
      <c r="S20" s="83">
        <v>845.12512259999642</v>
      </c>
      <c r="T20" s="82">
        <v>22952.30384880881</v>
      </c>
      <c r="U20" s="83">
        <v>774.69802904999653</v>
      </c>
      <c r="V20" s="82">
        <v>22200.610047830167</v>
      </c>
      <c r="W20" s="83">
        <v>704.27093549999688</v>
      </c>
      <c r="X20" s="82">
        <v>21312.528528668645</v>
      </c>
      <c r="Y20" s="83">
        <v>633.84384194999723</v>
      </c>
      <c r="Z20" s="82">
        <v>20259.484734437021</v>
      </c>
      <c r="AA20" s="83">
        <v>563.41674839999746</v>
      </c>
      <c r="AB20" s="82">
        <v>19014.526731234142</v>
      </c>
      <c r="AC20" s="83">
        <v>492.98965484999781</v>
      </c>
      <c r="AD20" s="82">
        <v>17561.065487797998</v>
      </c>
      <c r="AE20" s="83">
        <v>422.56256129999804</v>
      </c>
      <c r="AF20" s="82">
        <v>15904.102128705716</v>
      </c>
      <c r="AG20" s="83">
        <v>352.13546774999827</v>
      </c>
      <c r="AH20" s="82">
        <v>14076.788610336962</v>
      </c>
      <c r="AI20" s="83">
        <v>281.70837419999856</v>
      </c>
      <c r="AJ20" s="82">
        <v>12128.55701160772</v>
      </c>
      <c r="AK20" s="83">
        <v>211.28128064999876</v>
      </c>
      <c r="AL20" s="82">
        <v>10070.964845210869</v>
      </c>
      <c r="AM20" s="83">
        <v>140.85418709999905</v>
      </c>
      <c r="AN20" s="82">
        <v>7737.7665655210239</v>
      </c>
      <c r="AO20" s="83">
        <v>70.42709354999927</v>
      </c>
      <c r="AP20" s="82">
        <v>7186.9338242021286</v>
      </c>
      <c r="AQ20" s="83">
        <v>56.341674839999328</v>
      </c>
      <c r="AR20" s="82">
        <v>6577.633856959239</v>
      </c>
      <c r="AS20" s="83">
        <v>42.256256129999379</v>
      </c>
      <c r="AT20" s="82">
        <v>5874.5720002848884</v>
      </c>
      <c r="AU20" s="83">
        <v>28.170837419999433</v>
      </c>
      <c r="AV20" s="82"/>
      <c r="AW20" s="83"/>
    </row>
    <row r="21" spans="1:49" x14ac:dyDescent="0.2">
      <c r="A21" t="s">
        <v>76</v>
      </c>
      <c r="B21" s="82">
        <v>24661.962530000055</v>
      </c>
      <c r="C21" s="83">
        <v>1145.7547579999855</v>
      </c>
      <c r="D21" s="82">
        <v>24447.686916086903</v>
      </c>
      <c r="E21" s="83">
        <v>1060.5882756342717</v>
      </c>
      <c r="F21" s="82">
        <v>24208.653058813106</v>
      </c>
      <c r="G21" s="83">
        <v>974.83327451754144</v>
      </c>
      <c r="H21" s="82">
        <v>23940.647921825435</v>
      </c>
      <c r="I21" s="83">
        <v>888.63206123983537</v>
      </c>
      <c r="J21" s="82">
        <v>23638.440328094573</v>
      </c>
      <c r="K21" s="83">
        <v>802.19698100998778</v>
      </c>
      <c r="L21" s="82">
        <v>23295.451968230383</v>
      </c>
      <c r="M21" s="83">
        <v>715.8313570650663</v>
      </c>
      <c r="N21" s="82">
        <v>22903.325836116219</v>
      </c>
      <c r="O21" s="83">
        <v>629.9545608782629</v>
      </c>
      <c r="P21" s="82">
        <v>22451.354662432048</v>
      </c>
      <c r="Q21" s="83">
        <v>545.13285950006639</v>
      </c>
      <c r="R21" s="82">
        <v>21925.754282069069</v>
      </c>
      <c r="S21" s="83">
        <v>462.11244659212264</v>
      </c>
      <c r="T21" s="82">
        <v>21308.80836210015</v>
      </c>
      <c r="U21" s="83">
        <v>381.85301803599174</v>
      </c>
      <c r="V21" s="82">
        <v>20578.057628416998</v>
      </c>
      <c r="W21" s="83">
        <v>305.55045884624087</v>
      </c>
      <c r="X21" s="82">
        <v>19705.951836500233</v>
      </c>
      <c r="Y21" s="83">
        <v>234.62912023615567</v>
      </c>
      <c r="Z21" s="82">
        <v>18660.905473868741</v>
      </c>
      <c r="AA21" s="83">
        <v>170.67785397372705</v>
      </c>
      <c r="AB21" s="82">
        <v>17411.152998827885</v>
      </c>
      <c r="AC21" s="83">
        <v>115.31249689391122</v>
      </c>
      <c r="AD21" s="82">
        <v>15932.469061582011</v>
      </c>
      <c r="AE21" s="83">
        <v>70.005499519123276</v>
      </c>
      <c r="AF21" s="82">
        <v>14218.102353172028</v>
      </c>
      <c r="AG21" s="83">
        <v>35.976525303506897</v>
      </c>
      <c r="AH21" s="82">
        <v>12284.456383011839</v>
      </c>
      <c r="AI21" s="83">
        <v>14.006668345907007</v>
      </c>
      <c r="AJ21" s="82">
        <v>10160.640040017206</v>
      </c>
      <c r="AK21" s="83">
        <v>3.3793791519716425</v>
      </c>
      <c r="AL21" s="82">
        <v>7836.5071350586932</v>
      </c>
      <c r="AM21" s="83">
        <v>0.34432872240983342</v>
      </c>
      <c r="AN21" s="82">
        <v>5105.1287705950372</v>
      </c>
      <c r="AO21" s="83">
        <v>4.8259533034504748E-3</v>
      </c>
      <c r="AP21" s="82">
        <v>4449.2997758123938</v>
      </c>
      <c r="AQ21" s="83">
        <v>1.164726074415252E-3</v>
      </c>
      <c r="AR21" s="82">
        <v>3721.553107370094</v>
      </c>
      <c r="AS21" s="83">
        <v>1.8323804202112658E-4</v>
      </c>
      <c r="AT21" s="82">
        <v>2882.0891667930841</v>
      </c>
      <c r="AU21" s="83">
        <v>1.3327974434841545E-5</v>
      </c>
      <c r="AV21" s="82"/>
      <c r="AW21" s="83"/>
    </row>
    <row r="22" spans="1:49" x14ac:dyDescent="0.2">
      <c r="A22" t="s">
        <v>28</v>
      </c>
      <c r="B22" s="41">
        <v>6533.6044688320662</v>
      </c>
      <c r="C22" s="42">
        <v>379.90788307663394</v>
      </c>
      <c r="D22" s="41">
        <v>6455.3405082733625</v>
      </c>
      <c r="E22" s="42">
        <v>364.69673247211068</v>
      </c>
      <c r="F22" s="41">
        <v>6369.9901350417322</v>
      </c>
      <c r="G22" s="42">
        <v>349.40115906034691</v>
      </c>
      <c r="H22" s="41">
        <v>6276.4251880158454</v>
      </c>
      <c r="I22" s="42">
        <v>334.00322476312039</v>
      </c>
      <c r="J22" s="41">
        <v>6173.2537615939</v>
      </c>
      <c r="K22" s="42">
        <v>318.47790932128908</v>
      </c>
      <c r="L22" s="41">
        <v>6058.7367622970241</v>
      </c>
      <c r="M22" s="42">
        <v>302.79117411845823</v>
      </c>
      <c r="N22" s="41">
        <v>5930.6791289124758</v>
      </c>
      <c r="O22" s="42">
        <v>286.89760729920931</v>
      </c>
      <c r="P22" s="41">
        <v>5786.2902187798509</v>
      </c>
      <c r="Q22" s="42">
        <v>270.7382986001511</v>
      </c>
      <c r="R22" s="41">
        <v>5622.0079527021753</v>
      </c>
      <c r="S22" s="42">
        <v>254.23810668067514</v>
      </c>
      <c r="T22" s="41">
        <v>5433.3054487566742</v>
      </c>
      <c r="U22" s="42">
        <v>237.30411840910222</v>
      </c>
      <c r="V22" s="41">
        <v>5214.5297394187546</v>
      </c>
      <c r="W22" s="42">
        <v>219.82568414437284</v>
      </c>
      <c r="X22" s="41">
        <v>4958.8974501257999</v>
      </c>
      <c r="Y22" s="42">
        <v>201.67767133531402</v>
      </c>
      <c r="Z22" s="41">
        <v>4658.9114872679393</v>
      </c>
      <c r="AA22" s="42">
        <v>182.72912301054811</v>
      </c>
      <c r="AB22" s="41">
        <v>4307.5712128368605</v>
      </c>
      <c r="AC22" s="42">
        <v>162.85554753923978</v>
      </c>
      <c r="AD22" s="41">
        <v>3900.641014656966</v>
      </c>
      <c r="AE22" s="42">
        <v>141.94759238183025</v>
      </c>
      <c r="AF22" s="41">
        <v>3439.4772125607428</v>
      </c>
      <c r="AG22" s="42">
        <v>119.90575702960525</v>
      </c>
      <c r="AH22" s="41">
        <v>2932.5746105027229</v>
      </c>
      <c r="AI22" s="42">
        <v>96.653768518614015</v>
      </c>
      <c r="AJ22" s="41">
        <v>2392.4559076003329</v>
      </c>
      <c r="AK22" s="42">
        <v>72.291911265556195</v>
      </c>
      <c r="AL22" s="41">
        <v>1821.8010283507374</v>
      </c>
      <c r="AM22" s="42">
        <v>47.357691115560804</v>
      </c>
      <c r="AN22" s="41">
        <v>1177.1830846857688</v>
      </c>
      <c r="AO22" s="42">
        <v>22.739064326178603</v>
      </c>
      <c r="AP22" s="41">
        <v>1026.2213287880218</v>
      </c>
      <c r="AQ22" s="42">
        <v>17.94678491404256</v>
      </c>
      <c r="AR22" s="41">
        <v>860.23334807626793</v>
      </c>
      <c r="AS22" s="42">
        <v>13.229273140344251</v>
      </c>
      <c r="AT22" s="41">
        <v>670.49592301823031</v>
      </c>
      <c r="AU22" s="42">
        <v>8.6125313692563417</v>
      </c>
      <c r="AV22" s="41"/>
      <c r="AW22" s="42"/>
    </row>
    <row r="23" spans="1:49" x14ac:dyDescent="0.2">
      <c r="A23" t="s">
        <v>7</v>
      </c>
      <c r="B23" s="116">
        <v>3278.5018080150408</v>
      </c>
      <c r="C23" s="8">
        <v>0</v>
      </c>
      <c r="D23" s="116">
        <v>3252.3007536769642</v>
      </c>
      <c r="E23" s="8">
        <v>0</v>
      </c>
      <c r="F23" s="116">
        <v>3222.408744539568</v>
      </c>
      <c r="G23" s="8">
        <v>0</v>
      </c>
      <c r="H23" s="116">
        <v>3188.2046190830042</v>
      </c>
      <c r="I23" s="8">
        <v>0</v>
      </c>
      <c r="J23" s="116">
        <v>3148.9232863473699</v>
      </c>
      <c r="K23" s="8">
        <v>0</v>
      </c>
      <c r="L23" s="116">
        <v>3103.6105268400561</v>
      </c>
      <c r="M23" s="8">
        <v>0</v>
      </c>
      <c r="N23" s="116">
        <v>3051.0641684518441</v>
      </c>
      <c r="O23" s="8">
        <v>0</v>
      </c>
      <c r="P23" s="116">
        <v>2989.7573501226693</v>
      </c>
      <c r="Q23" s="8">
        <v>0</v>
      </c>
      <c r="R23" s="116">
        <v>2917.742077524937</v>
      </c>
      <c r="S23" s="8">
        <v>0</v>
      </c>
      <c r="T23" s="116">
        <v>2832.5401334759736</v>
      </c>
      <c r="U23" s="8">
        <v>0</v>
      </c>
      <c r="V23" s="116">
        <v>2731.0507454328754</v>
      </c>
      <c r="W23" s="8">
        <v>0</v>
      </c>
      <c r="X23" s="116">
        <v>2609.5436412011927</v>
      </c>
      <c r="Y23" s="8">
        <v>0</v>
      </c>
      <c r="Z23" s="116">
        <v>2463.8907419066672</v>
      </c>
      <c r="AA23" s="8">
        <v>0</v>
      </c>
      <c r="AB23" s="116">
        <v>2290.2646728244968</v>
      </c>
      <c r="AC23" s="8">
        <v>0</v>
      </c>
      <c r="AD23" s="116">
        <v>2086.4899770790662</v>
      </c>
      <c r="AE23" s="8">
        <v>0</v>
      </c>
      <c r="AF23" s="116">
        <v>1853.7924074594173</v>
      </c>
      <c r="AG23" s="8">
        <v>0</v>
      </c>
      <c r="AH23" s="116">
        <v>1597.790849174502</v>
      </c>
      <c r="AI23" s="8">
        <v>0</v>
      </c>
      <c r="AJ23" s="116">
        <v>1326.4120677469475</v>
      </c>
      <c r="AK23" s="8">
        <v>0</v>
      </c>
      <c r="AL23" s="116">
        <v>1041.1435831791591</v>
      </c>
      <c r="AM23" s="8">
        <v>0</v>
      </c>
      <c r="AN23" s="116">
        <v>715.83372742262429</v>
      </c>
      <c r="AO23" s="8">
        <v>0</v>
      </c>
      <c r="AP23" s="116">
        <v>638.01354981499696</v>
      </c>
      <c r="AQ23" s="8">
        <v>0</v>
      </c>
      <c r="AR23" s="116">
        <v>551.13040280549092</v>
      </c>
      <c r="AS23" s="8">
        <v>0</v>
      </c>
      <c r="AT23" s="116">
        <v>449.43981898268601</v>
      </c>
      <c r="AU23" s="8">
        <v>0</v>
      </c>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c r="AW24" s="8"/>
    </row>
    <row r="25" spans="1:49" x14ac:dyDescent="0.2">
      <c r="A25" t="s">
        <v>0</v>
      </c>
      <c r="B25" s="41">
        <v>3195.0476040000012</v>
      </c>
      <c r="C25" s="42">
        <v>91.012690000004397</v>
      </c>
      <c r="D25" s="41">
        <v>3176.599177109214</v>
      </c>
      <c r="E25" s="42">
        <v>81.499322304314532</v>
      </c>
      <c r="F25" s="41">
        <v>3153.5964871066062</v>
      </c>
      <c r="G25" s="42">
        <v>72.321926233398855</v>
      </c>
      <c r="H25" s="41">
        <v>3125.1439087682215</v>
      </c>
      <c r="I25" s="42">
        <v>63.511424097925612</v>
      </c>
      <c r="J25" s="41">
        <v>3090.1139010191337</v>
      </c>
      <c r="K25" s="42">
        <v>55.101520182274918</v>
      </c>
      <c r="L25" s="41">
        <v>3047.0722066087233</v>
      </c>
      <c r="M25" s="42">
        <v>47.129199616375239</v>
      </c>
      <c r="N25" s="41">
        <v>2994.1815350194097</v>
      </c>
      <c r="O25" s="42">
        <v>39.635190365379543</v>
      </c>
      <c r="P25" s="41">
        <v>2929.0763966753916</v>
      </c>
      <c r="Q25" s="42">
        <v>32.664077109394576</v>
      </c>
      <c r="R25" s="41">
        <v>2848.7107764308353</v>
      </c>
      <c r="S25" s="42">
        <v>26.264399546775582</v>
      </c>
      <c r="T25" s="41">
        <v>2749.1903423262756</v>
      </c>
      <c r="U25" s="42">
        <v>20.487725217118001</v>
      </c>
      <c r="V25" s="41">
        <v>2625.6457982019797</v>
      </c>
      <c r="W25" s="42">
        <v>15.386285178382105</v>
      </c>
      <c r="X25" s="41">
        <v>2472.2715338416924</v>
      </c>
      <c r="Y25" s="42">
        <v>11.00840076995188</v>
      </c>
      <c r="Z25" s="41">
        <v>2282.7992056989369</v>
      </c>
      <c r="AA25" s="42">
        <v>7.3907143488098184</v>
      </c>
      <c r="AB25" s="41">
        <v>2051.8205167757083</v>
      </c>
      <c r="AC25" s="42">
        <v>4.548334505108012</v>
      </c>
      <c r="AD25" s="41">
        <v>1777.346951046281</v>
      </c>
      <c r="AE25" s="42">
        <v>2.4663680287485992</v>
      </c>
      <c r="AF25" s="41">
        <v>1464.40948542052</v>
      </c>
      <c r="AG25" s="42">
        <v>1.0966513356215049</v>
      </c>
      <c r="AH25" s="41">
        <v>1128.281785606172</v>
      </c>
      <c r="AI25" s="42">
        <v>0.34965430735939601</v>
      </c>
      <c r="AJ25" s="41">
        <v>794.13292508387849</v>
      </c>
      <c r="AK25" s="42">
        <v>6.2692271731123086E-2</v>
      </c>
      <c r="AL25" s="41">
        <v>488.09663019757289</v>
      </c>
      <c r="AM25" s="42">
        <v>3.9696265282523086E-3</v>
      </c>
      <c r="AN25" s="41">
        <v>222.72139933623021</v>
      </c>
      <c r="AO25" s="42">
        <v>2.2733587492516289E-5</v>
      </c>
      <c r="AP25" s="41">
        <v>174.4405892680011</v>
      </c>
      <c r="AQ25" s="42">
        <v>4.0661054214271926E-6</v>
      </c>
      <c r="AR25" s="41">
        <v>127.66354101418509</v>
      </c>
      <c r="AS25" s="42">
        <v>4.3290815230691587E-7</v>
      </c>
      <c r="AT25" s="41">
        <v>82.414991722284825</v>
      </c>
      <c r="AU25" s="42">
        <v>1.8096811294799023E-8</v>
      </c>
      <c r="AV25" s="41"/>
      <c r="AW25" s="42"/>
    </row>
    <row r="26" spans="1:49" x14ac:dyDescent="0.2">
      <c r="A26" t="s">
        <v>27</v>
      </c>
      <c r="B26" s="33">
        <v>5036.2953101960647</v>
      </c>
      <c r="C26" s="34">
        <v>74.905331803938267</v>
      </c>
      <c r="D26" s="33">
        <v>5001.7724418414518</v>
      </c>
      <c r="E26" s="34">
        <v>69.451744624955936</v>
      </c>
      <c r="F26" s="33">
        <v>4962.2739116920857</v>
      </c>
      <c r="G26" s="34">
        <v>63.95363555818534</v>
      </c>
      <c r="H26" s="33">
        <v>4916.8775456328185</v>
      </c>
      <c r="I26" s="34">
        <v>58.41798091339885</v>
      </c>
      <c r="J26" s="33">
        <v>4864.4297583791085</v>
      </c>
      <c r="K26" s="34">
        <v>52.855990088625248</v>
      </c>
      <c r="L26" s="33">
        <v>4803.4694993284675</v>
      </c>
      <c r="M26" s="34">
        <v>47.284572182449125</v>
      </c>
      <c r="N26" s="33">
        <v>4732.127976902636</v>
      </c>
      <c r="O26" s="34">
        <v>41.728161863050566</v>
      </c>
      <c r="P26" s="33">
        <v>4647.9943880096498</v>
      </c>
      <c r="Q26" s="34">
        <v>36.220706400777885</v>
      </c>
      <c r="R26" s="33">
        <v>4547.9440568054288</v>
      </c>
      <c r="S26" s="34">
        <v>30.808290319873745</v>
      </c>
      <c r="T26" s="33">
        <v>4427.9323711398347</v>
      </c>
      <c r="U26" s="34">
        <v>25.551609197314765</v>
      </c>
      <c r="V26" s="33">
        <v>4282.7936609994413</v>
      </c>
      <c r="W26" s="34">
        <v>20.527916473286535</v>
      </c>
      <c r="X26" s="33">
        <v>4106.1416627767376</v>
      </c>
      <c r="Y26" s="34">
        <v>15.831336446640133</v>
      </c>
      <c r="Z26" s="33">
        <v>3890.5961399069679</v>
      </c>
      <c r="AA26" s="34">
        <v>11.569354999154518</v>
      </c>
      <c r="AB26" s="33">
        <v>3628.6854268888324</v>
      </c>
      <c r="AC26" s="34">
        <v>7.8545260468369245</v>
      </c>
      <c r="AD26" s="33">
        <v>3314.7285811558522</v>
      </c>
      <c r="AE26" s="34">
        <v>4.7932750430675908</v>
      </c>
      <c r="AF26" s="33">
        <v>2947.390658511928</v>
      </c>
      <c r="AG26" s="34">
        <v>2.4780040982568901</v>
      </c>
      <c r="AH26" s="33">
        <v>2531.4169115669138</v>
      </c>
      <c r="AI26" s="34">
        <v>0.97250916666281584</v>
      </c>
      <c r="AJ26" s="33">
        <v>2075.6120219863233</v>
      </c>
      <c r="AK26" s="34">
        <v>0.23777748676741153</v>
      </c>
      <c r="AL26" s="33">
        <v>1581.2088221871929</v>
      </c>
      <c r="AM26" s="34">
        <v>2.4859519182647713E-2</v>
      </c>
      <c r="AN26" s="33">
        <v>1008.3620276743934</v>
      </c>
      <c r="AO26" s="34">
        <v>3.6934491544876884E-4</v>
      </c>
      <c r="AP26" s="33">
        <v>872.30550664857719</v>
      </c>
      <c r="AQ26" s="34">
        <v>9.1046295684716033E-5</v>
      </c>
      <c r="AR26" s="33">
        <v>722.15208517962742</v>
      </c>
      <c r="AS26" s="34">
        <v>1.4733992836555724E-5</v>
      </c>
      <c r="AT26" s="33">
        <v>550.33040872643221</v>
      </c>
      <c r="AU26" s="34">
        <v>1.1163707886330971E-6</v>
      </c>
      <c r="AV26" s="33"/>
      <c r="AW26" s="34"/>
    </row>
    <row r="27" spans="1:49" x14ac:dyDescent="0.2">
      <c r="A27" t="s">
        <v>2</v>
      </c>
      <c r="B27" s="35">
        <v>6425.1981590000414</v>
      </c>
      <c r="C27" s="36">
        <v>273.22915400000028</v>
      </c>
      <c r="D27" s="35">
        <v>6374.1408188582418</v>
      </c>
      <c r="E27" s="36">
        <v>253.19708025000398</v>
      </c>
      <c r="F27" s="35">
        <v>6316.4142339460832</v>
      </c>
      <c r="G27" s="36">
        <v>233.01656639632148</v>
      </c>
      <c r="H27" s="35">
        <v>6250.8345962660587</v>
      </c>
      <c r="I27" s="36">
        <v>212.71468015783569</v>
      </c>
      <c r="J27" s="35">
        <v>6175.9265506481406</v>
      </c>
      <c r="K27" s="36">
        <v>192.33393889950676</v>
      </c>
      <c r="L27" s="35">
        <v>6089.8289424011919</v>
      </c>
      <c r="M27" s="36">
        <v>171.93768093257839</v>
      </c>
      <c r="N27" s="35">
        <v>5990.1713445521964</v>
      </c>
      <c r="O27" s="36">
        <v>151.61678628996137</v>
      </c>
      <c r="P27" s="35">
        <v>5873.9111379906863</v>
      </c>
      <c r="Q27" s="36">
        <v>131.49656787465904</v>
      </c>
      <c r="R27" s="35">
        <v>5737.1276289588632</v>
      </c>
      <c r="S27" s="36">
        <v>111.74647781382829</v>
      </c>
      <c r="T27" s="35">
        <v>5574.7827813275344</v>
      </c>
      <c r="U27" s="36">
        <v>92.588778426609679</v>
      </c>
      <c r="V27" s="35">
        <v>5380.5022772268767</v>
      </c>
      <c r="W27" s="36">
        <v>74.305222094300021</v>
      </c>
      <c r="X27" s="35">
        <v>5146.5058820531549</v>
      </c>
      <c r="Y27" s="36">
        <v>57.237876979120429</v>
      </c>
      <c r="Z27" s="35">
        <v>4863.9745187579629</v>
      </c>
      <c r="AA27" s="36">
        <v>41.77566118365052</v>
      </c>
      <c r="AB27" s="35">
        <v>4524.2846584056933</v>
      </c>
      <c r="AC27" s="36">
        <v>28.323505871386743</v>
      </c>
      <c r="AD27" s="35">
        <v>4121.4556425917881</v>
      </c>
      <c r="AE27" s="36">
        <v>17.260772811979955</v>
      </c>
      <c r="AF27" s="35">
        <v>3655.3559522616197</v>
      </c>
      <c r="AG27" s="36">
        <v>8.91198944879525</v>
      </c>
      <c r="AH27" s="35">
        <v>3133.7266620521696</v>
      </c>
      <c r="AI27" s="36">
        <v>3.4943715994262732</v>
      </c>
      <c r="AJ27" s="35">
        <v>2569.3182115830887</v>
      </c>
      <c r="AK27" s="36">
        <v>0.85434488120580787</v>
      </c>
      <c r="AL27" s="35">
        <v>1965.0508078028422</v>
      </c>
      <c r="AM27" s="36">
        <v>8.9497661049544236E-2</v>
      </c>
      <c r="AN27" s="35">
        <v>1272.8848366816999</v>
      </c>
      <c r="AO27" s="36">
        <v>1.3401241593256653E-3</v>
      </c>
      <c r="AP27" s="35">
        <v>1109.0681888674922</v>
      </c>
      <c r="AQ27" s="36">
        <v>3.3153831703491371E-4</v>
      </c>
      <c r="AR27" s="35">
        <v>928.08116502812629</v>
      </c>
      <c r="AS27" s="36">
        <v>5.3941831254181432E-5</v>
      </c>
      <c r="AT27" s="35">
        <v>720.07967744899622</v>
      </c>
      <c r="AU27" s="36">
        <v>4.1239518678100615E-6</v>
      </c>
      <c r="AV27" s="35"/>
      <c r="AW27" s="36"/>
    </row>
    <row r="28" spans="1:49" x14ac:dyDescent="0.2">
      <c r="A28" t="s">
        <v>35</v>
      </c>
      <c r="B28" s="41">
        <v>13763.097676000029</v>
      </c>
      <c r="C28" s="42">
        <v>382.36647899999997</v>
      </c>
      <c r="D28" s="41">
        <v>13661.73354384587</v>
      </c>
      <c r="E28" s="42">
        <v>354.38843725003528</v>
      </c>
      <c r="F28" s="41">
        <v>13546.435383330181</v>
      </c>
      <c r="G28" s="42">
        <v>326.19694719218273</v>
      </c>
      <c r="H28" s="41">
        <v>13414.673242839988</v>
      </c>
      <c r="I28" s="42">
        <v>297.8292535611248</v>
      </c>
      <c r="J28" s="41">
        <v>13263.288073434531</v>
      </c>
      <c r="K28" s="42">
        <v>269.34422357093183</v>
      </c>
      <c r="L28" s="41">
        <v>13088.286613639775</v>
      </c>
      <c r="M28" s="42">
        <v>240.82985593986288</v>
      </c>
      <c r="N28" s="41">
        <v>12884.571776156432</v>
      </c>
      <c r="O28" s="42">
        <v>212.41266375829727</v>
      </c>
      <c r="P28" s="41">
        <v>12645.58411695997</v>
      </c>
      <c r="Q28" s="42">
        <v>184.26746019290451</v>
      </c>
      <c r="R28" s="41">
        <v>12362.845703629733</v>
      </c>
      <c r="S28" s="42">
        <v>156.63089153398641</v>
      </c>
      <c r="T28" s="41">
        <v>12025.421097808046</v>
      </c>
      <c r="U28" s="42">
        <v>129.81371213323436</v>
      </c>
      <c r="V28" s="41">
        <v>11619.406533421377</v>
      </c>
      <c r="W28" s="42">
        <v>104.21029826793723</v>
      </c>
      <c r="X28" s="41">
        <v>11127.717694895089</v>
      </c>
      <c r="Y28" s="42">
        <v>80.29992715908439</v>
      </c>
      <c r="Z28" s="41">
        <v>10530.791611816214</v>
      </c>
      <c r="AA28" s="42">
        <v>58.628187248063952</v>
      </c>
      <c r="AB28" s="41">
        <v>9809.1437125381399</v>
      </c>
      <c r="AC28" s="42">
        <v>39.764039552266986</v>
      </c>
      <c r="AD28" s="41">
        <v>8948.5677877631915</v>
      </c>
      <c r="AE28" s="42">
        <v>24.241887460475898</v>
      </c>
      <c r="AF28" s="41">
        <v>7947.0747268157893</v>
      </c>
      <c r="AG28" s="42">
        <v>12.520763663554519</v>
      </c>
      <c r="AH28" s="41">
        <v>6819.4421487267164</v>
      </c>
      <c r="AI28" s="42">
        <v>4.910571595192895</v>
      </c>
      <c r="AJ28" s="41">
        <v>5591.3785055971184</v>
      </c>
      <c r="AK28" s="42">
        <v>1.2006036019909554</v>
      </c>
      <c r="AL28" s="41">
        <v>4267.6586286049378</v>
      </c>
      <c r="AM28" s="42">
        <v>0.12570349738870709</v>
      </c>
      <c r="AN28" s="41">
        <v>2741.9439653180093</v>
      </c>
      <c r="AO28" s="42">
        <v>1.8782252356880965E-3</v>
      </c>
      <c r="AP28" s="41">
        <v>2380.0087442109129</v>
      </c>
      <c r="AQ28" s="42">
        <v>4.6419215941339214E-4</v>
      </c>
      <c r="AR28" s="41">
        <v>1980.2151394207526</v>
      </c>
      <c r="AS28" s="42">
        <v>7.5408619628331209E-5</v>
      </c>
      <c r="AT28" s="41">
        <v>1521.5096874268845</v>
      </c>
      <c r="AU28" s="42">
        <v>5.7498778140238287E-6</v>
      </c>
      <c r="AV28" s="41"/>
      <c r="AW28" s="42"/>
    </row>
    <row r="29" spans="1:49" x14ac:dyDescent="0.2">
      <c r="A29" t="s">
        <v>53</v>
      </c>
      <c r="B29" s="35">
        <v>14362.768558000025</v>
      </c>
      <c r="C29" s="36">
        <v>817.26650999999993</v>
      </c>
      <c r="D29" s="35">
        <v>14242.182842806753</v>
      </c>
      <c r="E29" s="36">
        <v>752.57629814916243</v>
      </c>
      <c r="F29" s="35">
        <v>14106.568143743756</v>
      </c>
      <c r="G29" s="36">
        <v>688.04392825766752</v>
      </c>
      <c r="H29" s="35">
        <v>13953.313947600254</v>
      </c>
      <c r="I29" s="36">
        <v>623.7948673887729</v>
      </c>
      <c r="J29" s="35">
        <v>13779.171685585545</v>
      </c>
      <c r="K29" s="36">
        <v>559.99953471047218</v>
      </c>
      <c r="L29" s="35">
        <v>13580.048577264623</v>
      </c>
      <c r="M29" s="36">
        <v>496.88703796504097</v>
      </c>
      <c r="N29" s="35">
        <v>13350.737667735695</v>
      </c>
      <c r="O29" s="36">
        <v>434.76178956178956</v>
      </c>
      <c r="P29" s="35">
        <v>13084.561461467982</v>
      </c>
      <c r="Q29" s="36">
        <v>374.01988546112779</v>
      </c>
      <c r="R29" s="35">
        <v>12772.920844888407</v>
      </c>
      <c r="S29" s="36">
        <v>315.17133816960865</v>
      </c>
      <c r="T29" s="35">
        <v>12404.768555247891</v>
      </c>
      <c r="U29" s="36">
        <v>258.85771618667746</v>
      </c>
      <c r="V29" s="35">
        <v>11966.120965794466</v>
      </c>
      <c r="W29" s="36">
        <v>205.86158182895281</v>
      </c>
      <c r="X29" s="35">
        <v>11439.879581903217</v>
      </c>
      <c r="Y29" s="36">
        <v>157.09692201894632</v>
      </c>
      <c r="Z29" s="35">
        <v>10806.569327374378</v>
      </c>
      <c r="AA29" s="36">
        <v>113.55927660345353</v>
      </c>
      <c r="AB29" s="35">
        <v>10046.894932433679</v>
      </c>
      <c r="AC29" s="36">
        <v>76.231523645393764</v>
      </c>
      <c r="AD29" s="35">
        <v>9146.8201779052342</v>
      </c>
      <c r="AE29" s="36">
        <v>45.971856559665476</v>
      </c>
      <c r="AF29" s="35">
        <v>8104.1745068923665</v>
      </c>
      <c r="AG29" s="36">
        <v>23.452916431749003</v>
      </c>
      <c r="AH29" s="35">
        <v>6932.7597804758489</v>
      </c>
      <c r="AI29" s="36">
        <v>9.0501315283748873</v>
      </c>
      <c r="AJ29" s="35">
        <v>5656.5096952958029</v>
      </c>
      <c r="AK29" s="36">
        <v>2.1573673475329143</v>
      </c>
      <c r="AL29" s="35">
        <v>4278.6198818323692</v>
      </c>
      <c r="AM29" s="36">
        <v>0.21594365137086557</v>
      </c>
      <c r="AN29" s="35">
        <v>2693.7326765390239</v>
      </c>
      <c r="AO29" s="36">
        <v>2.9399152570371029E-3</v>
      </c>
      <c r="AP29" s="35">
        <v>2320.4249991028519</v>
      </c>
      <c r="AQ29" s="36">
        <v>7.035421857172038E-4</v>
      </c>
      <c r="AR29" s="35">
        <v>1910.5214726769429</v>
      </c>
      <c r="AS29" s="36">
        <v>1.0956185139428759E-4</v>
      </c>
      <c r="AT29" s="35">
        <v>1444.829778760072</v>
      </c>
      <c r="AU29" s="36">
        <v>7.8672706676466068E-6</v>
      </c>
      <c r="AV29" s="35"/>
      <c r="AW29" s="36"/>
    </row>
    <row r="30" spans="1:49" x14ac:dyDescent="0.2">
      <c r="A30" t="s">
        <v>48</v>
      </c>
      <c r="B30" s="119">
        <v>2924829.9599999995</v>
      </c>
      <c r="D30" s="119">
        <v>2932695.5367218051</v>
      </c>
      <c r="F30" s="119">
        <v>2937070.1804105984</v>
      </c>
      <c r="H30" s="119">
        <v>2937413.5447844793</v>
      </c>
      <c r="J30" s="119">
        <v>2933080.5600038762</v>
      </c>
      <c r="L30" s="119">
        <v>2923292.587818604</v>
      </c>
      <c r="N30" s="119">
        <v>2907100.3671711395</v>
      </c>
      <c r="P30" s="119">
        <v>2883335.74848474</v>
      </c>
      <c r="R30" s="119">
        <v>2850551.7935044514</v>
      </c>
      <c r="T30" s="119">
        <v>2806959.2449674201</v>
      </c>
      <c r="V30" s="119">
        <v>2750384.6887195203</v>
      </c>
      <c r="X30" s="119">
        <v>2678314.8590304046</v>
      </c>
      <c r="Z30" s="119">
        <v>2588170.7013722109</v>
      </c>
      <c r="AB30" s="119">
        <v>2478041.5035996391</v>
      </c>
      <c r="AD30" s="119">
        <v>2348099.5504539092</v>
      </c>
      <c r="AF30" s="119">
        <v>2202455.1290799323</v>
      </c>
      <c r="AH30" s="119">
        <v>2049866.6608686412</v>
      </c>
      <c r="AJ30" s="119">
        <v>1899333.4161832302</v>
      </c>
      <c r="AL30" s="119">
        <v>1745616.9055344181</v>
      </c>
      <c r="AN30" s="119">
        <v>1535930.3960012293</v>
      </c>
      <c r="AP30" s="119">
        <v>1471482.401631061</v>
      </c>
      <c r="AR30" s="119">
        <v>1388615.1288365314</v>
      </c>
      <c r="AT30" s="119">
        <v>1272147.4768111594</v>
      </c>
      <c r="AV30" s="119"/>
    </row>
    <row r="31" spans="1:49" x14ac:dyDescent="0.2">
      <c r="A31" t="s">
        <v>47</v>
      </c>
      <c r="B31" s="80">
        <v>1</v>
      </c>
      <c r="D31" s="80">
        <v>0.98645947072765583</v>
      </c>
      <c r="F31" s="80">
        <v>0.97181142204574833</v>
      </c>
      <c r="H31" s="80">
        <v>0.95588902809451115</v>
      </c>
      <c r="J31" s="80">
        <v>0.93848707865377445</v>
      </c>
      <c r="L31" s="80">
        <v>0.9193499306109757</v>
      </c>
      <c r="N31" s="80">
        <v>0.89815587179177614</v>
      </c>
      <c r="P31" s="80">
        <v>0.87449729414354993</v>
      </c>
      <c r="R31" s="80">
        <v>0.84785584840214845</v>
      </c>
      <c r="T31" s="80">
        <v>0.81757569533125052</v>
      </c>
      <c r="V31" s="80">
        <v>0.7828420580968426</v>
      </c>
      <c r="X31" s="80">
        <v>0.74268295453166489</v>
      </c>
      <c r="Z31" s="80">
        <v>0.69603111969190079</v>
      </c>
      <c r="AB31" s="80">
        <v>0.6418960927398013</v>
      </c>
      <c r="AD31" s="80">
        <v>0.57967792109741212</v>
      </c>
      <c r="AF31" s="80">
        <v>0.50954447155818028</v>
      </c>
      <c r="AH31" s="80">
        <v>0.43261946780339228</v>
      </c>
      <c r="AJ31" s="80">
        <v>0.35054398648128282</v>
      </c>
      <c r="AL31" s="80">
        <v>0.26357426443249538</v>
      </c>
      <c r="AN31" s="80">
        <v>0.16553216736518614</v>
      </c>
      <c r="AP31" s="80">
        <v>0.14277254663242578</v>
      </c>
      <c r="AR31" s="80">
        <v>0.11793065618254325</v>
      </c>
      <c r="AT31" s="80">
        <v>8.9874974977164387E-2</v>
      </c>
      <c r="AV31" s="80"/>
    </row>
    <row r="32" spans="1:49" x14ac:dyDescent="0.2">
      <c r="A32" t="s">
        <v>64</v>
      </c>
      <c r="B32" s="86">
        <v>14734457.915000005</v>
      </c>
      <c r="D32" s="86">
        <v>14596783.484655919</v>
      </c>
      <c r="F32" s="86">
        <v>14445444.227659693</v>
      </c>
      <c r="H32" s="86">
        <v>14278375.060018627</v>
      </c>
      <c r="J32" s="86">
        <v>14093074.054679094</v>
      </c>
      <c r="L32" s="86">
        <v>13886470.564341217</v>
      </c>
      <c r="N32" s="86">
        <v>13654754.000150414</v>
      </c>
      <c r="P32" s="86">
        <v>13393154.450237287</v>
      </c>
      <c r="R32" s="86">
        <v>13095668.95868836</v>
      </c>
      <c r="T32" s="86">
        <v>12754767.740073107</v>
      </c>
      <c r="V32" s="86">
        <v>12361177.522799909</v>
      </c>
      <c r="X32" s="86">
        <v>11903971.658506908</v>
      </c>
      <c r="Z32" s="86">
        <v>11371456.938586853</v>
      </c>
      <c r="AB32" s="86">
        <v>10753537.261332694</v>
      </c>
      <c r="AD32" s="86">
        <v>10045946.92951265</v>
      </c>
      <c r="AF32" s="86">
        <v>9254860.0633334816</v>
      </c>
      <c r="AH32" s="86">
        <v>8396306.5517313965</v>
      </c>
      <c r="AJ32" s="86">
        <v>7479222.7027947446</v>
      </c>
      <c r="AL32" s="86">
        <v>6456065.6509596044</v>
      </c>
      <c r="AN32" s="86">
        <v>5089421.1393947639</v>
      </c>
      <c r="AP32" s="86">
        <v>4709502.7495160066</v>
      </c>
      <c r="AR32" s="86">
        <v>4252386.7270424776</v>
      </c>
      <c r="AT32" s="86">
        <v>3665143.8548646006</v>
      </c>
      <c r="AV32" s="86"/>
    </row>
    <row r="33" spans="1:49 16319:16321" x14ac:dyDescent="0.2">
      <c r="A33" t="s">
        <v>54</v>
      </c>
      <c r="B33" s="117">
        <v>7019665.6909999903</v>
      </c>
      <c r="D33" s="117">
        <v>6933136.4939818084</v>
      </c>
      <c r="F33" s="117">
        <v>6840557.1837730631</v>
      </c>
      <c r="H33" s="117">
        <v>6741021.386366101</v>
      </c>
      <c r="J33" s="117">
        <v>6633425.1020102454</v>
      </c>
      <c r="L33" s="117">
        <v>6516405.7178949565</v>
      </c>
      <c r="N33" s="117">
        <v>6388262.0789726973</v>
      </c>
      <c r="P33" s="117">
        <v>6246853.205534053</v>
      </c>
      <c r="R33" s="117">
        <v>6089470.2582492139</v>
      </c>
      <c r="T33" s="117">
        <v>5912701.2271383535</v>
      </c>
      <c r="V33" s="117">
        <v>5712326.1834487217</v>
      </c>
      <c r="X33" s="117">
        <v>5483344.9916794831</v>
      </c>
      <c r="Z33" s="117">
        <v>5220342.3924733717</v>
      </c>
      <c r="AB33" s="117">
        <v>4918457.3154730089</v>
      </c>
      <c r="AD33" s="117">
        <v>4575059.1068339897</v>
      </c>
      <c r="AF33" s="117">
        <v>4191385.115749266</v>
      </c>
      <c r="AH33" s="117">
        <v>3771772.6454312624</v>
      </c>
      <c r="AJ33" s="117">
        <v>3316205.7262356202</v>
      </c>
      <c r="AL33" s="117">
        <v>2799573.9470778229</v>
      </c>
      <c r="AN33" s="117">
        <v>2112217.212000038</v>
      </c>
      <c r="AP33" s="117">
        <v>1924809.2728736307</v>
      </c>
      <c r="AR33" s="117">
        <v>1702486.3802250596</v>
      </c>
      <c r="AT33" s="117">
        <v>1422818.7944731205</v>
      </c>
      <c r="AV33" s="117"/>
    </row>
    <row r="34" spans="1:49 16319:16321" x14ac:dyDescent="0.2">
      <c r="A34" t="s">
        <v>75</v>
      </c>
      <c r="B34" s="117">
        <v>1136879.441000015</v>
      </c>
      <c r="D34" s="117">
        <v>1121280.3992484002</v>
      </c>
      <c r="F34" s="117">
        <v>1100582.1637464371</v>
      </c>
      <c r="H34" s="117">
        <v>1073927.6693803463</v>
      </c>
      <c r="J34" s="117">
        <v>1040261.7050182922</v>
      </c>
      <c r="L34" s="117">
        <v>998265.41012874118</v>
      </c>
      <c r="N34" s="117">
        <v>946268.01542250882</v>
      </c>
      <c r="P34" s="117">
        <v>882123.99033107306</v>
      </c>
      <c r="R34" s="117">
        <v>803046.3984036874</v>
      </c>
      <c r="T34" s="117">
        <v>705385.24896447349</v>
      </c>
      <c r="V34" s="117">
        <v>584363.61396556406</v>
      </c>
      <c r="X34" s="117">
        <v>433806.59571499698</v>
      </c>
      <c r="Z34" s="117">
        <v>245984.78352246096</v>
      </c>
      <c r="AB34" s="117">
        <v>11767.50922568189</v>
      </c>
      <c r="AD34" s="117">
        <v>-278771.32115639414</v>
      </c>
      <c r="AF34" s="117">
        <v>-635707.76288260741</v>
      </c>
      <c r="AH34" s="117">
        <v>-1070279.5586738093</v>
      </c>
      <c r="AJ34" s="117">
        <v>-1601757.0375128877</v>
      </c>
      <c r="AL34" s="117">
        <v>-2283244.1801697332</v>
      </c>
      <c r="AN34" s="117">
        <v>-3310274.9533275752</v>
      </c>
      <c r="AP34" s="117">
        <v>-3613237.9751670938</v>
      </c>
      <c r="AR34" s="117">
        <v>-3986204.1741282456</v>
      </c>
      <c r="AT34" s="117">
        <v>-4478343.0883912444</v>
      </c>
      <c r="AV34" s="117"/>
    </row>
    <row r="35" spans="1:49 16319:16321" x14ac:dyDescent="0.2">
      <c r="A35" t="s">
        <v>78</v>
      </c>
      <c r="B35" s="233">
        <v>1</v>
      </c>
      <c r="D35" s="233">
        <v>1.0012309063990572</v>
      </c>
      <c r="F35" s="233">
        <v>1.0027542160680227</v>
      </c>
      <c r="H35" s="233">
        <v>1.004631773441663</v>
      </c>
      <c r="J35" s="233">
        <v>1.0069450651006646</v>
      </c>
      <c r="L35" s="233">
        <v>1.009803205652088</v>
      </c>
      <c r="N35" s="233">
        <v>1.0133545749282125</v>
      </c>
      <c r="P35" s="233">
        <v>1.017804249072094</v>
      </c>
      <c r="R35" s="233">
        <v>1.0234406274931924</v>
      </c>
      <c r="T35" s="233">
        <v>1.0306768327866909</v>
      </c>
      <c r="V35" s="233">
        <v>1.0401155326049272</v>
      </c>
      <c r="X35" s="233">
        <v>1.0526524119864478</v>
      </c>
      <c r="Z35" s="233">
        <v>1.0696421752714032</v>
      </c>
      <c r="AB35" s="233">
        <v>1.0931683401728503</v>
      </c>
      <c r="AD35" s="233">
        <v>1.1264878838902992</v>
      </c>
      <c r="AF35" s="233">
        <v>1.1747745393042155</v>
      </c>
      <c r="AH35" s="233">
        <v>1.2463545535530185</v>
      </c>
      <c r="AJ35" s="233">
        <v>1.3550693655500798</v>
      </c>
      <c r="AL35" s="233">
        <v>1.5291971814351244</v>
      </c>
      <c r="AN35" s="233">
        <v>1.8711415237877991</v>
      </c>
      <c r="AP35" s="233">
        <v>1.9953510512065913</v>
      </c>
      <c r="AR35" s="233">
        <v>2.1683704342906469</v>
      </c>
      <c r="AT35" s="233">
        <v>2.4413993853810716</v>
      </c>
      <c r="AV35" s="233"/>
    </row>
    <row r="36" spans="1:49 16319:16321" x14ac:dyDescent="0.2">
      <c r="A36" t="s">
        <v>21</v>
      </c>
      <c r="B36" s="37">
        <v>0.47195767671988198</v>
      </c>
      <c r="C36" s="38">
        <v>0.31738834428178964</v>
      </c>
      <c r="D36" s="37">
        <v>0.47197901816087384</v>
      </c>
      <c r="E36" s="38">
        <v>0.31925489333679286</v>
      </c>
      <c r="F36" s="37">
        <v>0.47199790552413973</v>
      </c>
      <c r="G36" s="38">
        <v>0.32122312965110184</v>
      </c>
      <c r="H36" s="37">
        <v>0.47201338392851</v>
      </c>
      <c r="I36" s="38">
        <v>0.32329932467891342</v>
      </c>
      <c r="J36" s="37">
        <v>0.47202419433425313</v>
      </c>
      <c r="K36" s="38">
        <v>0.32549013969991997</v>
      </c>
      <c r="L36" s="37">
        <v>0.47202867040971663</v>
      </c>
      <c r="M36" s="38">
        <v>0.32780255253346691</v>
      </c>
      <c r="N36" s="37">
        <v>0.47202461192305528</v>
      </c>
      <c r="O36" s="38">
        <v>0.33024371247163825</v>
      </c>
      <c r="P36" s="37">
        <v>0.47200912954544161</v>
      </c>
      <c r="Q36" s="38">
        <v>0.33282049057083601</v>
      </c>
      <c r="R36" s="37">
        <v>0.47197849769220518</v>
      </c>
      <c r="S36" s="38">
        <v>0.33553880908047401</v>
      </c>
      <c r="T36" s="37">
        <v>0.47192809121474477</v>
      </c>
      <c r="U36" s="38">
        <v>0.33840238748023282</v>
      </c>
      <c r="V36" s="37">
        <v>0.47185265633472689</v>
      </c>
      <c r="W36" s="38">
        <v>0.34141119460472458</v>
      </c>
      <c r="X36" s="37">
        <v>0.47174753677139747</v>
      </c>
      <c r="Y36" s="38">
        <v>0.34456075954378296</v>
      </c>
      <c r="Z36" s="37">
        <v>0.47161233926353135</v>
      </c>
      <c r="AA36" s="38">
        <v>0.34784655024859601</v>
      </c>
      <c r="AB36" s="37">
        <v>0.47146037039277172</v>
      </c>
      <c r="AC36" s="38">
        <v>0.35128594632953125</v>
      </c>
      <c r="AD36" s="37">
        <v>0.4713406976533796</v>
      </c>
      <c r="AE36" s="38">
        <v>0.35498690687636586</v>
      </c>
      <c r="AF36" s="37">
        <v>0.47138575328571708</v>
      </c>
      <c r="AG36" s="38">
        <v>0.35932015505644427</v>
      </c>
      <c r="AH36" s="37">
        <v>0.47190608441079879</v>
      </c>
      <c r="AI36" s="38">
        <v>0.36528135334213008</v>
      </c>
      <c r="AJ36" s="37">
        <v>0.47356977433570685</v>
      </c>
      <c r="AK36" s="38">
        <v>0.37516674970250663</v>
      </c>
      <c r="AL36" s="37">
        <v>0.4778667797664285</v>
      </c>
      <c r="AM36" s="38">
        <v>0.39418635668755914</v>
      </c>
      <c r="AN36" s="37">
        <v>0.48988763220592518</v>
      </c>
      <c r="AO36" s="38">
        <v>0.43930782944922975</v>
      </c>
      <c r="AP36" s="37">
        <v>0.49495170554353696</v>
      </c>
      <c r="AQ36" s="38">
        <v>0.45689833897457138</v>
      </c>
      <c r="AR36" s="37">
        <v>0.5023599104880333</v>
      </c>
      <c r="AS36" s="38">
        <v>0.48166718769193351</v>
      </c>
      <c r="AT36" s="37">
        <v>0.514553744847983</v>
      </c>
      <c r="AU36" s="38">
        <v>0.52049422014917479</v>
      </c>
      <c r="AV36" s="37"/>
      <c r="AW36" s="38"/>
    </row>
    <row r="37" spans="1:49 16319:16321" x14ac:dyDescent="0.2">
      <c r="B37" s="39">
        <v>2.1403217525954466E-2</v>
      </c>
      <c r="C37" s="40">
        <v>0.3496246130199252</v>
      </c>
      <c r="D37" s="39">
        <v>2.0904102356276228E-2</v>
      </c>
      <c r="E37" s="40">
        <v>0.34668946377450899</v>
      </c>
      <c r="F37" s="39">
        <v>2.0404467917842388E-2</v>
      </c>
      <c r="G37" s="40">
        <v>0.34373767357691076</v>
      </c>
      <c r="H37" s="39">
        <v>1.9904680260173183E-2</v>
      </c>
      <c r="I37" s="40">
        <v>0.34077157055508372</v>
      </c>
      <c r="J37" s="39">
        <v>1.9405110821840349E-2</v>
      </c>
      <c r="K37" s="40">
        <v>0.33779359889922411</v>
      </c>
      <c r="L37" s="39">
        <v>1.8906153302106852E-2</v>
      </c>
      <c r="M37" s="40">
        <v>0.33480642604958166</v>
      </c>
      <c r="N37" s="39">
        <v>1.8408248109597621E-2</v>
      </c>
      <c r="O37" s="40">
        <v>0.33181309821310623</v>
      </c>
      <c r="P37" s="39">
        <v>1.7911953003175583E-2</v>
      </c>
      <c r="Q37" s="40">
        <v>0.32881747884809409</v>
      </c>
      <c r="R37" s="39">
        <v>1.7418024997047702E-2</v>
      </c>
      <c r="S37" s="40">
        <v>0.32582476345760947</v>
      </c>
      <c r="T37" s="39">
        <v>1.6927564079388384E-2</v>
      </c>
      <c r="U37" s="40">
        <v>0.3228423760577569</v>
      </c>
      <c r="V37" s="39">
        <v>1.6442146524679992E-2</v>
      </c>
      <c r="W37" s="40">
        <v>0.31988080330996255</v>
      </c>
      <c r="X37" s="39">
        <v>1.5963787538312867E-2</v>
      </c>
      <c r="Y37" s="40">
        <v>0.31695335532511265</v>
      </c>
      <c r="Z37" s="39">
        <v>1.5494258091074093E-2</v>
      </c>
      <c r="AA37" s="40">
        <v>0.31407185169863017</v>
      </c>
      <c r="AB37" s="39">
        <v>1.5032513994099259E-2</v>
      </c>
      <c r="AC37" s="40">
        <v>0.31123038397906971</v>
      </c>
      <c r="AD37" s="39">
        <v>1.456778848719374E-2</v>
      </c>
      <c r="AE37" s="40">
        <v>0.30836161572583493</v>
      </c>
      <c r="AF37" s="39">
        <v>1.4064681523027514E-2</v>
      </c>
      <c r="AG37" s="40">
        <v>0.30524218238188655</v>
      </c>
      <c r="AH37" s="39">
        <v>1.3438874422829178E-2</v>
      </c>
      <c r="AI37" s="40">
        <v>0.30133769993708948</v>
      </c>
      <c r="AJ37" s="39">
        <v>1.2535099762779427E-2</v>
      </c>
      <c r="AK37" s="40">
        <v>0.29566002883799625</v>
      </c>
      <c r="AL37" s="39">
        <v>1.1125606565428433E-2</v>
      </c>
      <c r="AM37" s="40">
        <v>0.28675973364037849</v>
      </c>
      <c r="AN37" s="39">
        <v>8.8209643173834205E-3</v>
      </c>
      <c r="AO37" s="40">
        <v>0.27223768028773909</v>
      </c>
      <c r="AP37" s="39">
        <v>8.168914228185364E-3</v>
      </c>
      <c r="AQ37" s="40">
        <v>0.26817028313494573</v>
      </c>
      <c r="AR37" s="39">
        <v>7.4024447595743949E-3</v>
      </c>
      <c r="AS37" s="40">
        <v>0.26343363182041402</v>
      </c>
      <c r="AT37" s="39">
        <v>6.4583907493760617E-3</v>
      </c>
      <c r="AU37" s="40">
        <v>0.25769204689089048</v>
      </c>
      <c r="AV37" s="39"/>
      <c r="AW37" s="40"/>
    </row>
    <row r="38" spans="1:49 16319:16321" x14ac:dyDescent="0.2">
      <c r="A38" t="s">
        <v>22</v>
      </c>
      <c r="B38" s="37">
        <v>0.18079094942242827</v>
      </c>
      <c r="C38" s="38">
        <v>6.0565413429233668E-2</v>
      </c>
      <c r="D38" s="37">
        <v>0.18106427531273775</v>
      </c>
      <c r="E38" s="38">
        <v>6.0810094604385856E-2</v>
      </c>
      <c r="F38" s="37">
        <v>0.18135461003950409</v>
      </c>
      <c r="G38" s="38">
        <v>6.1069069823890765E-2</v>
      </c>
      <c r="H38" s="37">
        <v>0.18166364396941392</v>
      </c>
      <c r="I38" s="38">
        <v>6.1343363956087499E-2</v>
      </c>
      <c r="J38" s="37">
        <v>0.18199337193483101</v>
      </c>
      <c r="K38" s="38">
        <v>6.1634119422993315E-2</v>
      </c>
      <c r="L38" s="37">
        <v>0.18234616377316948</v>
      </c>
      <c r="M38" s="38">
        <v>6.1942595984996525E-2</v>
      </c>
      <c r="N38" s="37">
        <v>0.18272484744434297</v>
      </c>
      <c r="O38" s="38">
        <v>6.2270139617497819E-2</v>
      </c>
      <c r="P38" s="37">
        <v>0.18313276740395643</v>
      </c>
      <c r="Q38" s="38">
        <v>6.2618216788561387E-2</v>
      </c>
      <c r="R38" s="37">
        <v>0.18357381641378234</v>
      </c>
      <c r="S38" s="38">
        <v>6.2988273544260939E-2</v>
      </c>
      <c r="T38" s="37">
        <v>0.18405231832753902</v>
      </c>
      <c r="U38" s="38">
        <v>6.3381605939959645E-2</v>
      </c>
      <c r="V38" s="37">
        <v>0.18457263393117959</v>
      </c>
      <c r="W38" s="38">
        <v>6.3799163939887271E-2</v>
      </c>
      <c r="X38" s="37">
        <v>0.18513819778907231</v>
      </c>
      <c r="Y38" s="38">
        <v>6.4241230056403031E-2</v>
      </c>
      <c r="Z38" s="37">
        <v>0.18574951178271185</v>
      </c>
      <c r="AA38" s="38">
        <v>6.4707542119340544E-2</v>
      </c>
      <c r="AB38" s="37">
        <v>0.18640050731175661</v>
      </c>
      <c r="AC38" s="38">
        <v>6.5198888751411804E-2</v>
      </c>
      <c r="AD38" s="37">
        <v>0.18707256053830668</v>
      </c>
      <c r="AE38" s="38">
        <v>6.572344691351871E-2</v>
      </c>
      <c r="AF38" s="37">
        <v>0.18772518158231119</v>
      </c>
      <c r="AG38" s="38">
        <v>6.6313354639910393E-2</v>
      </c>
      <c r="AH38" s="37">
        <v>0.18828049809497047</v>
      </c>
      <c r="AI38" s="38">
        <v>6.7060890847639137E-2</v>
      </c>
      <c r="AJ38" s="37">
        <v>0.18859321844442778</v>
      </c>
      <c r="AK38" s="38">
        <v>6.8184284475388254E-2</v>
      </c>
      <c r="AL38" s="37">
        <v>0.18836044612804656</v>
      </c>
      <c r="AM38" s="38">
        <v>7.0175398177072357E-2</v>
      </c>
      <c r="AN38" s="37">
        <v>0.18652431611940584</v>
      </c>
      <c r="AO38" s="38">
        <v>7.4550713467641416E-2</v>
      </c>
      <c r="AP38" s="37">
        <v>0.18559366552737475</v>
      </c>
      <c r="AQ38" s="38">
        <v>7.6166018940588373E-2</v>
      </c>
      <c r="AR38" s="37">
        <v>0.1841631299432884</v>
      </c>
      <c r="AS38" s="38">
        <v>7.8364911565516074E-2</v>
      </c>
      <c r="AT38" s="37">
        <v>0.18172583310790086</v>
      </c>
      <c r="AU38" s="38">
        <v>8.1644654132180278E-2</v>
      </c>
      <c r="AV38" s="37"/>
      <c r="AW38" s="38"/>
    </row>
    <row r="39" spans="1:49 16319:16321" x14ac:dyDescent="0.2">
      <c r="A39" t="s">
        <v>23</v>
      </c>
      <c r="B39" s="39">
        <v>0.23064923795098771</v>
      </c>
      <c r="C39" s="40">
        <v>0.22092201281804777</v>
      </c>
      <c r="D39" s="39">
        <v>0.23074404154280245</v>
      </c>
      <c r="E39" s="40">
        <v>0.22169260810799665</v>
      </c>
      <c r="F39" s="39">
        <v>0.23084393579044837</v>
      </c>
      <c r="G39" s="40">
        <v>0.22250658370208856</v>
      </c>
      <c r="H39" s="39">
        <v>0.23094929252740287</v>
      </c>
      <c r="I39" s="40">
        <v>0.2233667415357726</v>
      </c>
      <c r="J39" s="39">
        <v>0.23106052581769193</v>
      </c>
      <c r="K39" s="40">
        <v>0.22427605536005243</v>
      </c>
      <c r="L39" s="39">
        <v>0.23117809862994212</v>
      </c>
      <c r="M39" s="40">
        <v>0.22523765814163507</v>
      </c>
      <c r="N39" s="39">
        <v>0.23130252403173657</v>
      </c>
      <c r="O39" s="40">
        <v>0.22625483676030819</v>
      </c>
      <c r="P39" s="39">
        <v>0.2314343590775704</v>
      </c>
      <c r="Q39" s="40">
        <v>0.2273307566953012</v>
      </c>
      <c r="R39" s="39">
        <v>0.23157417966146068</v>
      </c>
      <c r="S39" s="40">
        <v>0.22846829989798501</v>
      </c>
      <c r="T39" s="39">
        <v>0.23172253076025487</v>
      </c>
      <c r="U39" s="40">
        <v>0.22966950626789989</v>
      </c>
      <c r="V39" s="39">
        <v>0.23187983260177056</v>
      </c>
      <c r="W39" s="40">
        <v>0.23093483706215637</v>
      </c>
      <c r="X39" s="39">
        <v>0.23204626195722861</v>
      </c>
      <c r="Y39" s="40">
        <v>0.23226286898451598</v>
      </c>
      <c r="Z39" s="39">
        <v>0.2322217109392512</v>
      </c>
      <c r="AA39" s="40">
        <v>0.23365177711306417</v>
      </c>
      <c r="AB39" s="39">
        <v>0.23240619021436459</v>
      </c>
      <c r="AC39" s="40">
        <v>0.23510789796185952</v>
      </c>
      <c r="AD39" s="39">
        <v>0.23260162674792662</v>
      </c>
      <c r="AE39" s="40">
        <v>0.23667272906343725</v>
      </c>
      <c r="AF39" s="39">
        <v>0.23281690124944038</v>
      </c>
      <c r="AG39" s="40">
        <v>0.23849190454560451</v>
      </c>
      <c r="AH39" s="39">
        <v>0.23307880030692268</v>
      </c>
      <c r="AI39" s="40">
        <v>0.24095985975571099</v>
      </c>
      <c r="AJ39" s="39">
        <v>0.23345210260760804</v>
      </c>
      <c r="AK39" s="40">
        <v>0.24498910814550848</v>
      </c>
      <c r="AL39" s="39">
        <v>0.23408536660580465</v>
      </c>
      <c r="AM39" s="40">
        <v>0.25264100861823285</v>
      </c>
      <c r="AN39" s="39">
        <v>0.23545509166820927</v>
      </c>
      <c r="AO39" s="40">
        <v>0.27049840957350191</v>
      </c>
      <c r="AP39" s="39">
        <v>0.23596782196475244</v>
      </c>
      <c r="AQ39" s="40">
        <v>0.2773528955231408</v>
      </c>
      <c r="AR39" s="39">
        <v>0.23667913684757863</v>
      </c>
      <c r="AS39" s="40">
        <v>0.28689757642803859</v>
      </c>
      <c r="AT39" s="39">
        <v>0.23777911816887456</v>
      </c>
      <c r="AU39" s="40">
        <v>0.30160106958492766</v>
      </c>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0.11497663833482664</v>
      </c>
      <c r="E42" s="135"/>
      <c r="F42" s="177">
        <f>10.8%+(1-10.8%)*(1-SUM(F26:G26)/SUM($B$26:$C$26))</f>
        <v>0.1228293925098395</v>
      </c>
      <c r="G42" s="135"/>
      <c r="H42" s="177">
        <f>10.8%+(1-10.8%)*(1-SUM(H26:I26)/SUM($B$26:$C$26))</f>
        <v>0.13171798163989534</v>
      </c>
      <c r="I42" s="135"/>
      <c r="J42" s="177">
        <f>10.8%+(1-10.8%)*(1-SUM(J26:K26)/SUM($B$26:$C$26))</f>
        <v>0.14184177165917344</v>
      </c>
      <c r="K42" s="135"/>
      <c r="L42" s="177">
        <f>10.8%+(1-10.8%)*(1-SUM(L26:M26)/SUM($B$26:$C$26))</f>
        <v>0.15345279223970359</v>
      </c>
      <c r="M42" s="135"/>
      <c r="N42" s="177">
        <f>10.8%+(1-10.8%)*(1-SUM(N26:O26)/SUM($B$26:$C$26))</f>
        <v>0.16687291811875821</v>
      </c>
      <c r="O42" s="135"/>
      <c r="P42" s="177">
        <f>10.8%+(1-10.8%)*(1-SUM(P26:Q26)/SUM($B$26:$C$26))</f>
        <v>0.18251695504187201</v>
      </c>
      <c r="Q42" s="135"/>
      <c r="R42" s="177">
        <f>10.8%+(1-10.8%)*(1-SUM(R26:S26)/SUM($B$26:$C$26))</f>
        <v>0.20092217470891313</v>
      </c>
      <c r="S42" s="135"/>
      <c r="T42" s="177">
        <f>10.8%+(1-10.8%)*(1-SUM(T26:U26)/SUM($B$26:$C$26))</f>
        <v>0.22278384498983347</v>
      </c>
      <c r="U42" s="135"/>
      <c r="V42" s="177">
        <f>10.8%+(1-10.8%)*(1-SUM(V26:W26)/SUM($B$26:$C$26))</f>
        <v>0.24898998963898036</v>
      </c>
      <c r="W42" s="135"/>
      <c r="X42" s="177">
        <f>10.8%+(1-10.8%)*(1-SUM(X26:Y26)/SUM($B$26:$C$26))</f>
        <v>0.28063870451610218</v>
      </c>
      <c r="Y42" s="162"/>
      <c r="Z42" s="177">
        <f>10.8%+(1-10.8%)*(1-SUM(Z26:AA26)/SUM($B$26:$C$26))</f>
        <v>0.31899922048564744</v>
      </c>
      <c r="AA42" s="135"/>
      <c r="AB42" s="177">
        <f>10.8%+(1-10.8%)*(1-SUM(AB26:AC26)/SUM($B$26:$C$26))</f>
        <v>0.36535584000292232</v>
      </c>
      <c r="AC42" s="135"/>
      <c r="AD42" s="177">
        <f>10.8%+(1-10.8%)*(1-SUM(AD26:AE26)/SUM($B$26:$C$26))</f>
        <v>0.42068142044785839</v>
      </c>
      <c r="AE42" s="135"/>
      <c r="AF42" s="177">
        <f>10.8%+(1-10.8%)*(1-SUM(AF26:AG26)/SUM($B$26:$C$26))</f>
        <v>0.48519280862770653</v>
      </c>
      <c r="AG42" s="135"/>
      <c r="AH42" s="177">
        <f>10.8%+(1-10.8%)*(1-SUM(AH26:AI26)/SUM($B$26:$C$26))</f>
        <v>0.55805073572489405</v>
      </c>
      <c r="AI42" s="135"/>
      <c r="AJ42" s="177">
        <f>10.8%+(1-10.8%)*(1-SUM(AJ26:AK26)/SUM($B$26:$C$26))</f>
        <v>0.63772542875455451</v>
      </c>
      <c r="AK42" s="135"/>
      <c r="AL42" s="177">
        <f>10.8%+(1-10.8%)*(1-SUM(AL26:AM26)/SUM($B$26:$C$26))</f>
        <v>0.72404518177353805</v>
      </c>
      <c r="AM42" s="135"/>
      <c r="AN42" s="177">
        <f>10.8%+(1-10.8%)*(1-SUM(AN26:AO26)/SUM($B$26:$C$26))</f>
        <v>0.8240219233911219</v>
      </c>
      <c r="AO42" s="135"/>
      <c r="AP42" s="177">
        <f>10.8%+(1-10.8%)*(1-SUM(AP26:AQ26)/SUM($B$26:$C$26))</f>
        <v>0.84776637670021915</v>
      </c>
      <c r="AQ42" s="135"/>
      <c r="AR42" s="177">
        <f>10.8%+(1-10.8%)*(1-SUM(AR26:AS26)/SUM($B$26:$C$26))</f>
        <v>0.87397096724598733</v>
      </c>
      <c r="AS42" s="135"/>
      <c r="AT42" s="177">
        <f>10.8%+(1-10.8%)*(1-SUM(AT26:AU26)/SUM($B$26:$C$26))</f>
        <v>0.9039570621536599</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0.56740878207189749</v>
      </c>
      <c r="E43" s="135"/>
      <c r="F43" s="162">
        <f t="array" ref="F43">SUM(F15:G15*F27:G27)/SUM(F15:G15*F27:G27,F13:G13*F26:G26)</f>
        <v>0.56765063727759024</v>
      </c>
      <c r="G43" s="135"/>
      <c r="H43" s="162">
        <f t="array" ref="H43">SUM(H15:I15*H27:I27)/SUM(H15:I15*H27:I27,H13:I13*H26:I26)</f>
        <v>0.56793031940194805</v>
      </c>
      <c r="I43" s="135"/>
      <c r="J43" s="162">
        <f t="array" ref="J43">SUM(J15:K15*J27:K27)/SUM(J15:K15*J27:K27,J13:K13*J26:K26)</f>
        <v>0.56825308012925579</v>
      </c>
      <c r="K43" s="135"/>
      <c r="L43" s="162">
        <f t="array" ref="L43">SUM(L15:M15*L27:M27)/SUM(L15:M15*L27:M27,L13:M13*L26:M26)</f>
        <v>0.56862551977170384</v>
      </c>
      <c r="M43" s="135"/>
      <c r="N43" s="162">
        <f t="array" ref="N43">SUM(N15:O15*N27:O27)/SUM(N15:O15*N27:O27,N13:O13*N26:O26)</f>
        <v>0.56905595312659607</v>
      </c>
      <c r="O43" s="135"/>
      <c r="P43" s="162">
        <f t="array" ref="P43">SUM(P15:Q15*P27:Q27)/SUM(P15:Q15*P27:Q27,P13:Q13*P26:Q26)</f>
        <v>0.56955474227870939</v>
      </c>
      <c r="Q43" s="135"/>
      <c r="R43" s="162">
        <f t="array" ref="R43">SUM(R15:S15*R27:S27)/SUM(R15:S15*R27:S27,R13:S13*R26:S26)</f>
        <v>0.57013461072139138</v>
      </c>
      <c r="S43" s="135"/>
      <c r="T43" s="162">
        <f t="array" ref="T43">SUM(T15:U15*T27:U27)/SUM(T15:U15*T27:U27,T13:U13*T26:U26)</f>
        <v>0.57081058678364116</v>
      </c>
      <c r="U43" s="135"/>
      <c r="V43" s="162">
        <f t="array" ref="V43">SUM(V15:W15*V27:W27)/SUM(V15:W15*V27:W27,V13:W13*V26:W26)</f>
        <v>0.57159911951169995</v>
      </c>
      <c r="W43" s="135"/>
      <c r="X43" s="162">
        <f t="array" ref="X43">SUM(X15:Y15*X27:Y27)/SUM(X15:Y15*X27:Y27,X13:Y13*X26:Y26)</f>
        <v>0.57251542165411429</v>
      </c>
      <c r="Y43" s="135"/>
      <c r="Z43" s="162">
        <f t="array" ref="Z43">SUM(Z15:AA15*Z27:AA27)/SUM(Z15:AA15*Z27:AA27,Z13:AA13*Z26:AA26)</f>
        <v>0.57356722039942687</v>
      </c>
      <c r="AA43" s="135"/>
      <c r="AB43" s="162">
        <f t="array" ref="AB43">SUM(AB15:AC15*AB27:AC27)/SUM(AB15:AC15*AB27:AC27,AB13:AC13*AB26:AC26)</f>
        <v>0.5747423309542089</v>
      </c>
      <c r="AC43" s="135"/>
      <c r="AD43" s="162">
        <f t="array" ref="AD43">SUM(AD15:AE15*AD27:AE27)/SUM(AD15:AE15*AD27:AE27,AD13:AE13*AD26:AE26)</f>
        <v>0.5759863819798694</v>
      </c>
      <c r="AE43" s="135"/>
      <c r="AF43" s="162">
        <f t="array" ref="AF43">SUM(AF15:AG15*AF27:AG27)/SUM(AF15:AG15*AF27:AG27,AF13:AG13*AF26:AG26)</f>
        <v>0.57716502315210783</v>
      </c>
      <c r="AG43" s="135"/>
      <c r="AH43" s="162">
        <f t="array" ref="AH43">SUM(AH15:AI15*AH27:AI27)/SUM(AH15:AI15*AH27:AI27,AH13:AI13*AH26:AI26)</f>
        <v>0.57799564756676747</v>
      </c>
      <c r="AI43" s="135"/>
      <c r="AJ43" s="162">
        <f t="array" ref="AJ43">SUM(AJ15:AK15*AJ27:AK27)/SUM(AJ15:AK15*AJ27:AK27,AJ13:AK13*AJ26:AK26)</f>
        <v>0.57790435264140938</v>
      </c>
      <c r="AK43" s="135"/>
      <c r="AL43" s="162">
        <f t="array" ref="AL43">SUM(AL15:AM15*AL27:AM27)/SUM(AL15:AM15*AL27:AM27,AL13:AM13*AL26:AM26)</f>
        <v>0.57561202309541748</v>
      </c>
      <c r="AM43" s="135"/>
      <c r="AN43" s="162">
        <f t="array" ref="AN43">SUM(AN15:AO15*AN27:AO27)/SUM(AN15:AO15*AN27:AO27,AN13:AO13*AN26:AO26)</f>
        <v>0.56667216301371393</v>
      </c>
      <c r="AO43" s="135"/>
      <c r="AP43" s="162">
        <f t="array" ref="AP43">SUM(AP15:AQ15*AP27:AQ27)/SUM(AP15:AQ15*AP27:AQ27,AP13:AQ13*AP26:AQ26)</f>
        <v>0.5625553023318286</v>
      </c>
      <c r="AQ43" s="135"/>
      <c r="AR43" s="162">
        <f t="array" ref="AR43">SUM(AR15:AS15*AR27:AS27)/SUM(AR15:AS15*AR27:AS27,AR13:AS13*AR26:AS26)</f>
        <v>0.55637455003709202</v>
      </c>
      <c r="AS43" s="135"/>
      <c r="AT43" s="162">
        <f t="array" ref="AT43">SUM(AT15:AU15*AT27:AU27)/SUM(AT15:AU15*AT27:AU27,AT13:AU13*AT26:AU26)</f>
        <v>0.54600831737082123</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0.29897679099689911</v>
      </c>
      <c r="F44" s="193">
        <f>(SUM(F11:G11*F24:G24)+F34)/F32</f>
        <v>0.30040953636218692</v>
      </c>
      <c r="H44" s="193">
        <f>(SUM(H11:I11*H24:I24)+H34)/H32</f>
        <v>0.30183975178351641</v>
      </c>
      <c r="J44" s="193">
        <f>(SUM(J11:K11*J24:K24)+J34)/J32</f>
        <v>0.30326691219963153</v>
      </c>
      <c r="L44" s="193">
        <f>(SUM(L11:M11*L24:M24)+L34)/L32</f>
        <v>0.304690875984444</v>
      </c>
      <c r="N44" s="193">
        <f>(SUM(N11:O11*N24:O24)+N34)/N32</f>
        <v>0.30611218665211942</v>
      </c>
      <c r="P44" s="193">
        <f>(SUM(P11:Q11*P24:Q24)+P34)/P32</f>
        <v>0.30753244348712683</v>
      </c>
      <c r="R44" s="193">
        <f>(SUM(R11:S11*R24:S24)+R34)/R32</f>
        <v>0.30895500251716246</v>
      </c>
      <c r="T44" s="193">
        <f>(SUM(T11:U11*T24:U24)+T34)/T32</f>
        <v>0.31038586949351765</v>
      </c>
      <c r="V44" s="193">
        <f>(SUM(V11:W11*V24:W24)+V34)/V32</f>
        <v>0.31183550832963669</v>
      </c>
      <c r="X44" s="193">
        <f>(SUM(X11:Y11*X24:Y24)+X34)/X32</f>
        <v>0.31332223909606283</v>
      </c>
      <c r="Z44" s="193">
        <f>(SUM(Z11:AA11*Z24:AA24)+Z34)/Z32</f>
        <v>0.31487960462022385</v>
      </c>
      <c r="AB44" s="193">
        <f>(SUM(AB11:AC11*AB24:AC24)+AB34)/AB32</f>
        <v>0.31657338227992665</v>
      </c>
      <c r="AD44" s="193">
        <f>(SUM(AD11:AE11*AD24:AE24)+AD34)/AD32</f>
        <v>0.31854036960972959</v>
      </c>
      <c r="AF44" s="193">
        <f>(SUM(AF11:AG11*AF24:AG24)+AF34)/AF32</f>
        <v>0.32106903142331594</v>
      </c>
      <c r="AH44" s="193">
        <f>(SUM(AH11:AI11*AH24:AI24)+AH34)/AH32</f>
        <v>0.32473572291850061</v>
      </c>
      <c r="AJ44" s="193">
        <f>(SUM(AJ11:AK11*AJ24:AK24)+AJ34)/AJ32</f>
        <v>0.33056470835885787</v>
      </c>
      <c r="AL44" s="193">
        <f>(SUM(AL11:AM11*AL24:AM24)+AL34)/AL32</f>
        <v>0.3403191178418451</v>
      </c>
      <c r="AN44" s="193">
        <f>(SUM(AN11:AO11*AN24:AO24)+AN34)/AN32</f>
        <v>0.35893268514655247</v>
      </c>
      <c r="AP44" s="193">
        <f>(SUM(AP11:AQ11*AP24:AQ24)+AP34)/AP32</f>
        <v>0.36524625766602137</v>
      </c>
      <c r="AR44" s="193">
        <f>(SUM(AR11:AS11*AR24:AS24)+AR34)/AR32</f>
        <v>0.37359360020725119</v>
      </c>
      <c r="AT44" s="193">
        <f>(SUM(AT11:AU11*AT24:AU24)+AT34)/AT32</f>
        <v>0.38575108066773062</v>
      </c>
      <c r="AV44" s="193" t="e">
        <f>(SUM(AV11:AW11*AV24:AW24)+AV34)/AV32</f>
        <v>#DIV/0!</v>
      </c>
    </row>
    <row r="45" spans="1:49 16319:16321" x14ac:dyDescent="0.2">
      <c r="A45" t="s">
        <v>82</v>
      </c>
      <c r="B45" s="193">
        <f>SUM(B11:C11*B24:C24)/B32</f>
        <v>0.22038438833194082</v>
      </c>
      <c r="D45" s="193">
        <f>SUM(D11:E11*D24:E24)/D32</f>
        <v>0.22215984016474585</v>
      </c>
      <c r="F45" s="193">
        <f>SUM(F11:G11*F24:G24)/F32</f>
        <v>0.22422066003541558</v>
      </c>
      <c r="H45" s="193">
        <f>SUM(H11:I11*H24:I24)/H32</f>
        <v>0.22662617426743836</v>
      </c>
      <c r="J45" s="193">
        <f>SUM(J11:K11*J24:K24)/J32</f>
        <v>0.22945322889801631</v>
      </c>
      <c r="L45" s="193">
        <f>SUM(L11:M11*L24:M24)/L32</f>
        <v>0.23280324942711225</v>
      </c>
      <c r="N45" s="193">
        <f>SUM(N11:O11*N24:O24)/N32</f>
        <v>0.23681265804749679</v>
      </c>
      <c r="P45" s="193">
        <f>SUM(P11:Q11*P24:Q24)/P32</f>
        <v>0.24166864764958651</v>
      </c>
      <c r="R45" s="193">
        <f>SUM(R11:S11*R24:S24)/R32</f>
        <v>0.24763347698555499</v>
      </c>
      <c r="T45" s="193">
        <f>SUM(T11:U11*T24:U24)/T32</f>
        <v>0.25508221651140306</v>
      </c>
      <c r="V45" s="193">
        <f>SUM(V11:W11*V24:W24)/V32</f>
        <v>0.26456140253447935</v>
      </c>
      <c r="X45" s="193">
        <f>SUM(X11:Y11*X24:Y24)/X32</f>
        <v>0.27688006599957471</v>
      </c>
      <c r="Z45" s="193">
        <f>SUM(Z11:AA11*Z24:AA24)/Z32</f>
        <v>0.29324783088613365</v>
      </c>
      <c r="AB45" s="193">
        <f>SUM(AB11:AC11*AB24:AC24)/AB32</f>
        <v>0.31547909033303445</v>
      </c>
      <c r="AD45" s="193">
        <f>SUM(AD11:AE11*AD24:AE24)/AD32</f>
        <v>0.34629000069103949</v>
      </c>
      <c r="AF45" s="193">
        <f>SUM(AF11:AG11*AF24:AG24)/AF32</f>
        <v>0.38975810489739215</v>
      </c>
      <c r="AH45" s="193">
        <f>SUM(AH11:AI11*AH24:AI24)/AH32</f>
        <v>0.4522060042951504</v>
      </c>
      <c r="AJ45" s="193">
        <f>SUM(AJ11:AK11*AJ24:AK24)/AJ32</f>
        <v>0.54472560463947839</v>
      </c>
      <c r="AL45" s="193">
        <f>SUM(AL11:AM11*AL24:AM24)/AL32</f>
        <v>0.69397787901481445</v>
      </c>
      <c r="AN45" s="193">
        <f>SUM(AN11:AO11*AN24:AO24)/AN32</f>
        <v>1.0093553683284033</v>
      </c>
      <c r="AP45" s="193">
        <f>SUM(AP11:AQ11*AP24:AQ24)/AP32</f>
        <v>1.1324690765800616</v>
      </c>
      <c r="AR45" s="193">
        <f>SUM(AR11:AS11*AR24:AS24)/AR32</f>
        <v>1.3109975641455542</v>
      </c>
      <c r="AT45" s="193">
        <f>SUM(AT11:AU11*AT24:AU24)/AT32</f>
        <v>1.6076248367134358</v>
      </c>
      <c r="AV45" s="193" t="e">
        <f>SUM(AV11:AW11*AV24:AW24)/AV32</f>
        <v>#DIV/0!</v>
      </c>
      <c r="XCQ45" s="193"/>
    </row>
    <row r="46" spans="1:49 16319:16321" x14ac:dyDescent="0.2">
      <c r="A46" t="s">
        <v>139</v>
      </c>
      <c r="B46" s="193">
        <f>B34/B32</f>
        <v>7.7157873574883712E-2</v>
      </c>
      <c r="D46" s="193">
        <f>D34/D32</f>
        <v>7.6816950832153244E-2</v>
      </c>
      <c r="F46" s="193">
        <f>F34/F32</f>
        <v>7.6188876326771321E-2</v>
      </c>
      <c r="H46" s="193">
        <f>H34/H32</f>
        <v>7.5213577516078031E-2</v>
      </c>
      <c r="J46" s="193">
        <f>J34/J32</f>
        <v>7.3813683301615168E-2</v>
      </c>
      <c r="L46" s="193">
        <f>L34/L32</f>
        <v>7.1887626557331746E-2</v>
      </c>
      <c r="N46" s="193">
        <f>N34/N32</f>
        <v>6.9299528604622629E-2</v>
      </c>
      <c r="P46" s="193">
        <f>P34/P32</f>
        <v>6.5863795837540304E-2</v>
      </c>
      <c r="R46" s="193">
        <f>R34/R32</f>
        <v>6.1321525531607447E-2</v>
      </c>
      <c r="T46" s="193">
        <f>T34/T32</f>
        <v>5.5303652982114621E-2</v>
      </c>
      <c r="V46" s="193">
        <f>V34/V32</f>
        <v>4.727410579515736E-2</v>
      </c>
      <c r="X46" s="193">
        <f>X34/X32</f>
        <v>3.6442173096488076E-2</v>
      </c>
      <c r="Z46" s="193">
        <f>Z34/Z32</f>
        <v>2.1631773734090209E-2</v>
      </c>
      <c r="AB46" s="193">
        <f>AB34/AB32</f>
        <v>1.0942919468922296E-3</v>
      </c>
      <c r="AD46" s="193">
        <f>AD34/AD32</f>
        <v>-2.7749631081309917E-2</v>
      </c>
      <c r="AF46" s="193">
        <f>AF34/AF32</f>
        <v>-6.868907347407624E-2</v>
      </c>
      <c r="AH46" s="193">
        <f>AH34/AH32</f>
        <v>-0.12747028137664979</v>
      </c>
      <c r="AJ46" s="193">
        <f>AJ34/AJ32</f>
        <v>-0.21416089628062054</v>
      </c>
      <c r="AL46" s="193">
        <f>AL34/AL32</f>
        <v>-0.35365876117296929</v>
      </c>
      <c r="AN46" s="193">
        <f>AN34/AN32</f>
        <v>-0.65042268318185092</v>
      </c>
      <c r="AP46" s="193">
        <f>AP34/AP32</f>
        <v>-0.76722281891404021</v>
      </c>
      <c r="AR46" s="193">
        <f>AR34/AR32</f>
        <v>-0.93740396393830316</v>
      </c>
      <c r="AT46" s="193">
        <f>AT34/AT32</f>
        <v>-1.2218737560457051</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0</v>
      </c>
    </row>
    <row r="49" spans="1:48 16321:16384" x14ac:dyDescent="0.2">
      <c r="A49" t="s">
        <v>160</v>
      </c>
      <c r="B49" s="191">
        <f>B13/B35/$B$13*$B$35</f>
        <v>1</v>
      </c>
      <c r="C49" s="191"/>
      <c r="D49" s="191">
        <f>D13/D35/$B$13*$B$35</f>
        <v>0.99375981989059137</v>
      </c>
      <c r="E49" s="191"/>
      <c r="F49" s="191">
        <f>F13/F35/$B$13*$B$35</f>
        <v>0.98721591453426916</v>
      </c>
      <c r="G49" s="191"/>
      <c r="H49" s="191">
        <f>H13/H35/$B$13*$B$35</f>
        <v>0.98034259674985325</v>
      </c>
      <c r="I49" s="191"/>
      <c r="J49" s="191">
        <f>J13/J35/$B$13*$B$35</f>
        <v>0.97311006225694641</v>
      </c>
      <c r="K49" s="191"/>
      <c r="L49" s="191">
        <f>L13/L35/$B$13*$B$35</f>
        <v>0.96548360676445355</v>
      </c>
      <c r="M49" s="191"/>
      <c r="N49" s="191">
        <f>N13/N35/$B$13*$B$35</f>
        <v>0.95742285239659575</v>
      </c>
      <c r="O49" s="191"/>
      <c r="P49" s="191">
        <f>P13/P35/$B$13*$B$35</f>
        <v>0.94888168269731699</v>
      </c>
      <c r="Q49" s="191"/>
      <c r="R49" s="191">
        <f>R13/R35/$B$13*$B$35</f>
        <v>0.93980898683272696</v>
      </c>
      <c r="S49" s="191"/>
      <c r="T49" s="191">
        <f>T13/T35/$B$13*$B$35</f>
        <v>0.93015217659992389</v>
      </c>
      <c r="U49" s="191"/>
      <c r="V49" s="191">
        <f>V13/V35/$B$13*$B$35</f>
        <v>0.91986519759541407</v>
      </c>
      <c r="W49" s="191"/>
      <c r="X49" s="191">
        <f>X13/X35/$B$13*$B$35</f>
        <v>0.90892409763347703</v>
      </c>
      <c r="Y49" s="191"/>
      <c r="Z49" s="191">
        <f>Z13/Z35/$B$13*$B$35</f>
        <v>0.89735319579888617</v>
      </c>
      <c r="AA49" s="191"/>
      <c r="AB49" s="191">
        <f>AB13/AB35/$B$13*$B$35</f>
        <v>0.88525985166291965</v>
      </c>
      <c r="AC49" s="191"/>
      <c r="AD49" s="191">
        <f>AD13/AD35/$B$13*$B$35</f>
        <v>0.87286492696937779</v>
      </c>
      <c r="AE49" s="191"/>
      <c r="AF49" s="191">
        <f>AF13/AF35/$B$13*$B$35</f>
        <v>0.86050012907576579</v>
      </c>
      <c r="AG49" s="191"/>
      <c r="AH49" s="191">
        <f>AH13/AH35/$B$13*$B$35</f>
        <v>0.84854524983618029</v>
      </c>
      <c r="AI49" s="191"/>
      <c r="AJ49" s="191">
        <f>AJ13/AJ35/$B$13*$B$35</f>
        <v>0.83729597233399922</v>
      </c>
      <c r="AK49" s="191"/>
      <c r="AL49" s="191">
        <f>AL13/AL35/$B$13*$B$35</f>
        <v>0.82673401921746303</v>
      </c>
      <c r="AM49" s="191"/>
      <c r="AN49" s="191">
        <f>AN13/AN35/$B$13*$B$35</f>
        <v>0.81610962323026015</v>
      </c>
      <c r="AO49" s="191"/>
      <c r="AP49" s="191">
        <f>AP13/AP35/$B$13*$B$35</f>
        <v>0.81379451196308039</v>
      </c>
      <c r="AQ49" s="191"/>
      <c r="AR49" s="191">
        <f>AR13/AR35/$B$13*$B$35</f>
        <v>0.81132092094543884</v>
      </c>
      <c r="AS49" s="191"/>
      <c r="AT49" s="191">
        <f>AT13/AT35/$B$13*$B$35</f>
        <v>0.80858856511726496</v>
      </c>
      <c r="AU49" s="191"/>
      <c r="AV49" s="191" t="e">
        <f>AV13/AV35/$B$13*$B$35</f>
        <v>#DIV/0!</v>
      </c>
    </row>
    <row r="51" spans="1:48 16321:16384" x14ac:dyDescent="0.2">
      <c r="A51" t="s">
        <v>166</v>
      </c>
      <c r="B51" s="29">
        <f>B30-B10*B23</f>
        <v>-405838.32800000021</v>
      </c>
      <c r="D51" s="29">
        <f>D30-D10*D23</f>
        <v>-366851.96883334452</v>
      </c>
      <c r="F51" s="29">
        <f>F30-F10*F23</f>
        <v>-328267.66049895436</v>
      </c>
      <c r="H51" s="29">
        <f>H30-H10*H23</f>
        <v>-290158.94488007296</v>
      </c>
      <c r="J51" s="29">
        <f>J30-J10*J23</f>
        <v>-252605.34070170252</v>
      </c>
      <c r="L51" s="29">
        <f>L30-L10*L23</f>
        <v>-215691.37804633472</v>
      </c>
      <c r="N51" s="29">
        <f>N30-N10*N23</f>
        <v>-179504.94882375933</v>
      </c>
      <c r="P51" s="29">
        <f>P30-P10*P23</f>
        <v>-144135.98213653453</v>
      </c>
      <c r="R51" s="29">
        <f>R30-R10*R23</f>
        <v>-109674.47083920613</v>
      </c>
      <c r="T51" s="29">
        <f>T30-T10*T23</f>
        <v>-76207.592776872218</v>
      </c>
      <c r="V51" s="29">
        <f>V30-V10*V23</f>
        <v>-43812.574256478343</v>
      </c>
      <c r="X51" s="29">
        <f>X30-X10*X23</f>
        <v>-12532.753617563285</v>
      </c>
      <c r="Z51" s="29">
        <f>Z30-Z10*Z23</f>
        <v>17696.020036858972</v>
      </c>
      <c r="AB51" s="29">
        <f>AB30-AB10*AB23</f>
        <v>47245.220033263788</v>
      </c>
      <c r="AD51" s="29">
        <f>AD30-AD10*AD23</f>
        <v>77251.375781937037</v>
      </c>
      <c r="AF51" s="29">
        <f>AF30-AF10*AF23</f>
        <v>110429.13798852637</v>
      </c>
      <c r="AH51" s="29">
        <f>AH30-AH10*AH23</f>
        <v>151913.43249034532</v>
      </c>
      <c r="AJ51" s="29">
        <f>AJ30-AJ10*AJ23</f>
        <v>208683.51112439902</v>
      </c>
      <c r="AL51" s="29">
        <f>AL30-AL10*AL23</f>
        <v>286247.76871624659</v>
      </c>
      <c r="AN51" s="29">
        <f>AN30-AN10*AN23</f>
        <v>385486.0640110923</v>
      </c>
      <c r="AP51" s="29">
        <f>AP30-AP10*AP23</f>
        <v>406917.17971724458</v>
      </c>
      <c r="AQ51" s="29"/>
      <c r="AR51" s="29">
        <f>AR30-AR10*AR23</f>
        <v>427379.24884844257</v>
      </c>
      <c r="AT51" s="29">
        <f>AT30-AT10*AT23</f>
        <v>443655.61923639127</v>
      </c>
      <c r="AV51" s="29">
        <f>AV30-AV10*AV23</f>
        <v>0</v>
      </c>
      <c r="XFD51" s="29"/>
    </row>
    <row r="52" spans="1:48 16321:16384" x14ac:dyDescent="0.2">
      <c r="A52" t="s">
        <v>167</v>
      </c>
      <c r="B52" s="29">
        <f t="array" ref="B52">Calibration!sL*SUM(B13:C13*B26:C26)</f>
        <v>2049247.8195702801</v>
      </c>
      <c r="D52" s="29">
        <f t="array" ref="D52">Calibration!sL*SUM(D13:E13*D26:E26)</f>
        <v>2023019.376054917</v>
      </c>
      <c r="F52" s="29">
        <f t="array" ref="F52">Calibration!sL*SUM(F13:G13*F26:G26)</f>
        <v>1994896.381372951</v>
      </c>
      <c r="H52" s="29">
        <f t="array" ref="H52">Calibration!sL*SUM(H13:I13*H26:I26)</f>
        <v>1964604.8750245583</v>
      </c>
      <c r="J52" s="29">
        <f t="array" ref="J52">Calibration!sL*SUM(J13:K13*J26:K26)</f>
        <v>1931811.46608164</v>
      </c>
      <c r="L52" s="29">
        <f t="array" ref="L52">Calibration!sL*SUM(L13:M13*L26:M26)</f>
        <v>1896105.3257775898</v>
      </c>
      <c r="N52" s="29">
        <f t="array" ref="N52">Calibration!sL*SUM(N13:O13*N26:O26)</f>
        <v>1856975.1886883543</v>
      </c>
      <c r="P52" s="29">
        <f t="array" ref="P52">Calibration!sL*SUM(P13:Q13*P26:Q26)</f>
        <v>1813780.397250348</v>
      </c>
      <c r="R52" s="29">
        <f t="array" ref="R52">Calibration!sL*SUM(R13:S13*R26:S26)</f>
        <v>1765716.4092650348</v>
      </c>
      <c r="T52" s="29">
        <f t="array" ref="T52">Calibration!sL*SUM(T13:U13*T26:U26)</f>
        <v>1711780.076685688</v>
      </c>
      <c r="V52" s="29">
        <f t="array" ref="V52">Calibration!sL*SUM(V13:W13*V26:W26)</f>
        <v>1650749.3048926436</v>
      </c>
      <c r="X52" s="29">
        <f t="array" ref="X52">Calibration!sL*SUM(X13:Y13*X26:Y26)</f>
        <v>1581209.0896469553</v>
      </c>
      <c r="Z52" s="29">
        <f t="array" ref="Z52">Calibration!sL*SUM(Z13:AA13*Z26:AA26)</f>
        <v>1501686.1271100941</v>
      </c>
      <c r="AB52" s="29">
        <f t="array" ref="AB52">Calibration!sL*SUM(AB13:AC13*AB26:AC26)</f>
        <v>1410969.8353147455</v>
      </c>
      <c r="AD52" s="29">
        <f t="array" ref="AD52">Calibration!sL*SUM(AD13:AE13*AD26:AE26)</f>
        <v>1308641.3914955596</v>
      </c>
      <c r="AF52" s="29">
        <f t="array" ref="AF52">Calibration!sL*SUM(AF13:AG13*AF26:AG26)</f>
        <v>1195582.9076093039</v>
      </c>
      <c r="AH52" s="29">
        <f t="array" ref="AH52">Calibration!sL*SUM(AH13:AI13*AH26:AI26)</f>
        <v>1073788.2661304737</v>
      </c>
      <c r="AJ52" s="29">
        <f t="array" ref="AJ52">Calibration!sL*SUM(AJ13:AK13*AJ26:AK26)</f>
        <v>944295.69052615762</v>
      </c>
      <c r="AL52" s="29">
        <f t="array" ref="AL52">Calibration!sL*SUM(AL13:AM13*AL26:AM26)</f>
        <v>801487.78190932889</v>
      </c>
      <c r="AN52" s="29">
        <f t="array" ref="AN52">Calibration!sL*SUM(AN13:AO13*AN26:AO26)</f>
        <v>617366.88338706386</v>
      </c>
      <c r="AP52" s="29">
        <f t="array" ref="AP52">Calibration!sL*SUM(AP13:AQ13*AP26:AQ26)</f>
        <v>567903.15614209743</v>
      </c>
      <c r="AQ52" s="29"/>
      <c r="AR52" s="29">
        <f t="array" ref="AR52">Calibration!sL*SUM(AR13:AS13*AR26:AS26)</f>
        <v>509361.8127424554</v>
      </c>
      <c r="AT52" s="29">
        <f t="array" ref="AT52">Calibration!sL*SUM(AT13:AU13*AT26:AU26)</f>
        <v>435573.54012215132</v>
      </c>
      <c r="AV52" s="29">
        <f t="array" ref="AV52">Calibration!sL*SUM(AV13:AW13*AV26:AW26)</f>
        <v>0</v>
      </c>
    </row>
    <row r="53" spans="1:48 16321:16384" x14ac:dyDescent="0.2">
      <c r="A53" t="s">
        <v>168</v>
      </c>
      <c r="B53" s="29">
        <f t="array" ref="B53">Calibration!sK*SUM(B15:C15*B27:C27)</f>
        <v>2740714.444429745</v>
      </c>
      <c r="D53" s="29">
        <f t="array" ref="D53">Calibration!sK*SUM(D15:E15*D27:E27)</f>
        <v>2707932.1893363893</v>
      </c>
      <c r="F53" s="29">
        <f t="array" ref="F53">Calibration!sK*SUM(F15:G15*F27:G27)</f>
        <v>2672920.4687754777</v>
      </c>
      <c r="H53" s="29">
        <f t="array" ref="H53">Calibration!sK*SUM(H15:I15*H27:I27)</f>
        <v>2635335.2285084845</v>
      </c>
      <c r="J53" s="29">
        <f t="array" ref="J53">Calibration!sK*SUM(J15:K15*J27:K27)</f>
        <v>2594756.9123226576</v>
      </c>
      <c r="L53" s="29">
        <f t="array" ref="L53">Calibration!sK*SUM(L15:M15*L27:M27)</f>
        <v>2550666.8832570724</v>
      </c>
      <c r="N53" s="29">
        <f t="array" ref="N53">Calibration!sK*SUM(N15:O15*N27:O27)</f>
        <v>2502416.3797391304</v>
      </c>
      <c r="P53" s="29">
        <f t="array" ref="P53">Calibration!sK*SUM(P15:Q15*P27:Q27)</f>
        <v>2449185.2557032118</v>
      </c>
      <c r="R53" s="29">
        <f t="array" ref="R53">Calibration!sK*SUM(R15:S15*R27:S27)</f>
        <v>2389930.4778142758</v>
      </c>
      <c r="T53" s="29">
        <f t="array" ref="T53">Calibration!sK*SUM(T15:U15*T27:U27)</f>
        <v>2323327.18241425</v>
      </c>
      <c r="V53" s="29">
        <f t="array" ref="V53">Calibration!sK*SUM(V15:W15*V27:W27)</f>
        <v>2247717.3975409144</v>
      </c>
      <c r="X53" s="29">
        <f t="array" ref="X53">Calibration!sK*SUM(X15:Y15*X27:Y27)</f>
        <v>2161102.8071241179</v>
      </c>
      <c r="Z53" s="29">
        <f t="array" ref="Z53">Calibration!sK*SUM(Z15:AA15*Z27:AA27)</f>
        <v>2061257.7348818383</v>
      </c>
      <c r="AB53" s="29">
        <f t="array" ref="AB53">Calibration!sK*SUM(AB15:AC15*AB27:AC27)</f>
        <v>1946068.6095770383</v>
      </c>
      <c r="AD53" s="29">
        <f t="array" ref="AD53">Calibration!sK*SUM(AD15:AE15*AD27:AE27)</f>
        <v>1814146.8990350447</v>
      </c>
      <c r="AF53" s="29">
        <f t="array" ref="AF53">Calibration!sK*SUM(AF15:AG15*AF27:AG27)</f>
        <v>1665436.907768782</v>
      </c>
      <c r="AH53" s="29">
        <f t="array" ref="AH53">Calibration!sK*SUM(AH15:AI15*AH27:AI27)</f>
        <v>1500878.9943112596</v>
      </c>
      <c r="AJ53" s="29">
        <f t="array" ref="AJ53">Calibration!sK*SUM(AJ15:AK15*AJ27:AK27)</f>
        <v>1319387.8702119223</v>
      </c>
      <c r="AL53" s="29">
        <f t="array" ref="AL53">Calibration!sK*SUM(AL15:AM15*AL27:AM27)</f>
        <v>1109387.0165380093</v>
      </c>
      <c r="AN53" s="29">
        <f t="array" ref="AN53">Calibration!sK*SUM(AN15:AO15*AN27:AO27)</f>
        <v>823906.64800148492</v>
      </c>
      <c r="AP53" s="29">
        <f t="array" ref="AP53">Calibration!sK*SUM(AP15:AQ15*AP27:AQ27)</f>
        <v>745307.918899499</v>
      </c>
      <c r="AQ53" s="29"/>
      <c r="AR53" s="29">
        <f t="array" ref="AR53">Calibration!sK*SUM(AR15:AS15*AR27:AS27)</f>
        <v>651923.40523791115</v>
      </c>
      <c r="AT53" s="29">
        <f t="array" ref="AT53">Calibration!sK*SUM(AT15:AU15*AT27:AU27)</f>
        <v>534604.04357564275</v>
      </c>
      <c r="AV53" s="29">
        <f t="array" ref="AV53">Calibration!sK*SUM(AV15:AW15*AV27:AW27)</f>
        <v>0</v>
      </c>
      <c r="XFD53" s="29"/>
    </row>
    <row r="55" spans="1:48 16321:16384" x14ac:dyDescent="0.2">
      <c r="A55" t="s">
        <v>169</v>
      </c>
      <c r="B55" s="193">
        <f>B30/B32</f>
        <v>0.19850271905982084</v>
      </c>
      <c r="D55" s="193">
        <f>D30/D32</f>
        <v>0.20091382048686571</v>
      </c>
      <c r="F55" s="193">
        <f>F30/F32</f>
        <v>0.20332155481842412</v>
      </c>
      <c r="H55" s="193">
        <f>H30/H32</f>
        <v>0.20572463830353027</v>
      </c>
      <c r="J55" s="193">
        <f>J30/J32</f>
        <v>0.20812212783555573</v>
      </c>
      <c r="L55" s="193">
        <f>L30/L32</f>
        <v>0.21051372083884778</v>
      </c>
      <c r="N55" s="193">
        <f>N30/N32</f>
        <v>0.21290023731947982</v>
      </c>
      <c r="P55" s="193">
        <f>P30/P32</f>
        <v>0.21528429013477521</v>
      </c>
      <c r="R55" s="193">
        <f>R30/R32</f>
        <v>0.21767133870723301</v>
      </c>
      <c r="T55" s="193">
        <f>T30/T32</f>
        <v>0.22007137269528448</v>
      </c>
      <c r="V55" s="193">
        <f>V30/V32</f>
        <v>0.22250183557727399</v>
      </c>
      <c r="X55" s="193">
        <f>X30/X32</f>
        <v>0.22499338337355723</v>
      </c>
      <c r="Z55" s="193">
        <f>Z30/Z32</f>
        <v>0.2276023833489402</v>
      </c>
      <c r="AB55" s="193">
        <f>AB30/AB32</f>
        <v>0.23043966309673003</v>
      </c>
      <c r="AD55" s="193">
        <f>AD30/AD32</f>
        <v>0.23373600984848331</v>
      </c>
      <c r="AF55" s="193">
        <f>AF30/AF32</f>
        <v>0.23797822052499368</v>
      </c>
      <c r="AH55" s="193">
        <f>AH30/AH32</f>
        <v>0.24413909237817666</v>
      </c>
      <c r="AJ55" s="193">
        <f>AJ30/AJ32</f>
        <v>0.2539479691483863</v>
      </c>
      <c r="AL55" s="193">
        <f>AL30/AL32</f>
        <v>0.2703840078322246</v>
      </c>
      <c r="AN55" s="193">
        <f>AN30/AN32</f>
        <v>0.30178881918659278</v>
      </c>
      <c r="AP55" s="193">
        <f>AP30/AP32</f>
        <v>0.31244963213627691</v>
      </c>
      <c r="AR55" s="193">
        <f>AR30/AR32</f>
        <v>0.32654958684867996</v>
      </c>
      <c r="AT55" s="193">
        <f>AT30/AT32</f>
        <v>0.34709346404580771</v>
      </c>
      <c r="AV55" s="193" t="e">
        <f>AV30/AV32</f>
        <v>#DIV/0!</v>
      </c>
      <c r="XCS55" s="193"/>
      <c r="XFD55" s="193"/>
    </row>
    <row r="56" spans="1:48 16321:16384" x14ac:dyDescent="0.2">
      <c r="A56" t="s">
        <v>170</v>
      </c>
      <c r="B56" s="193">
        <f>(Model!$C$52*B5*B20+B2*C5*C20)/B32</f>
        <v>2.9221206744340551E-2</v>
      </c>
      <c r="D56" s="193">
        <f>(Model!$C$52*D5*D20+D2*E5*E20)/D32</f>
        <v>3.2263106078010396E-2</v>
      </c>
      <c r="F56" s="193">
        <f>(Model!$C$52*F5*F20+F2*G5*G20)/F32</f>
        <v>3.5314568968448083E-2</v>
      </c>
      <c r="H56" s="193">
        <f>(Model!$C$52*H5*H20+H2*I5*I20)/H32</f>
        <v>3.8375621589256378E-2</v>
      </c>
      <c r="J56" s="193">
        <f>(Model!$C$52*J5*J20+J2*K5*K20)/J32</f>
        <v>4.1447045069195006E-2</v>
      </c>
      <c r="L56" s="193">
        <f>(Model!$C$52*L5*L20+L2*M5*M20)/L32</f>
        <v>4.453081827280321E-2</v>
      </c>
      <c r="N56" s="193">
        <f>(Model!$C$52*N5*N20+N2*O5*O20)/N32</f>
        <v>4.7630781707449915E-2</v>
      </c>
      <c r="P56" s="193">
        <f>(Model!$C$52*P5*P20+P2*Q5*Q20)/P32</f>
        <v>5.0753553986353873E-2</v>
      </c>
      <c r="R56" s="193">
        <f>(Model!$C$52*R5*R20+R2*S5*S20)/R32</f>
        <v>5.3909824191882089E-2</v>
      </c>
      <c r="T56" s="193">
        <f>(Model!$C$52*T5*T20+T2*U5*U20)/T32</f>
        <v>5.7116298808800099E-2</v>
      </c>
      <c r="V56" s="193">
        <f>(Model!$C$52*V5*V20+V2*W5*W20)/V32</f>
        <v>6.0398855596481692E-2</v>
      </c>
      <c r="X56" s="193">
        <f>(Model!$C$52*X5*X20+X2*Y5*Y20)/X32</f>
        <v>6.3798445499145484E-2</v>
      </c>
      <c r="Z56" s="193">
        <f>(Model!$C$52*Z5*Z20+Z2*AA5*AA20)/Z32</f>
        <v>6.7383916506807848E-2</v>
      </c>
      <c r="AB56" s="193">
        <f>(Model!$C$52*AB5*AB20+AB2*AC5*AC20)/AB32</f>
        <v>7.128222084185204E-2</v>
      </c>
      <c r="AD56" s="193">
        <f>(Model!$C$52*AD5*AD20+AD2*AE5*AE20)/AD32</f>
        <v>7.5749325301450926E-2</v>
      </c>
      <c r="AF56" s="193">
        <f>(Model!$C$52*AF5*AF20+AF2*AG5*AG20)/AF32</f>
        <v>8.1320088565164844E-2</v>
      </c>
      <c r="AH56" s="193">
        <f>(Model!$C$52*AH5*AH20+AH2*AI5*AI20)/AH32</f>
        <v>8.9060482039917691E-2</v>
      </c>
      <c r="AJ56" s="193">
        <f>(Model!$C$52*AJ5*AJ20+AJ2*AK5*AK20)/AJ32</f>
        <v>0.10084771104661808</v>
      </c>
      <c r="AL56" s="193">
        <f>(Model!$C$52*AL5*AL20+AL2*AM5*AM20)/AL32</f>
        <v>0.11984684732428767</v>
      </c>
      <c r="AN56" s="193">
        <f>(Model!$C$52*AN5*AN20+AN2*AO5*AO20)/AN32</f>
        <v>0.15475860269128044</v>
      </c>
      <c r="AP56" s="193">
        <f>(Model!$C$52*AP5*AP20+AP2*AQ5*AQ20)/AP32</f>
        <v>0.16632565241689887</v>
      </c>
      <c r="AR56" s="193">
        <f>(Model!$C$52*AR5*AR20+AR2*AS5*AS20)/AR32</f>
        <v>0.18145891913709652</v>
      </c>
      <c r="AT56" s="193">
        <f>(Model!$C$52*AT5*AT20+AT2*AU5*AU20)/AT32</f>
        <v>0.20324554507306553</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0.15797587854552841</v>
      </c>
      <c r="F57" s="193">
        <f t="array" ref="F57">SUM(Model!tauL*F13:G13*F26:G26)/F32</f>
        <v>0.15741182125515182</v>
      </c>
      <c r="H57" s="193">
        <f t="array" ref="H57">SUM(Model!tauL*H13:I13*H26:I26)/H32</f>
        <v>0.156835486246338</v>
      </c>
      <c r="J57" s="193">
        <f t="array" ref="J57">SUM(Model!tauL*J13:K13*J26:K26)/J32</f>
        <v>0.15624528065701038</v>
      </c>
      <c r="L57" s="193">
        <f t="array" ref="L57">SUM(Model!tauL*L13:M13*L26:M26)/L32</f>
        <v>0.1556390184431822</v>
      </c>
      <c r="N57" s="193">
        <f t="array" ref="N57">SUM(Model!tauL*N13:O13*N26:O26)/N32</f>
        <v>0.15501371471090167</v>
      </c>
      <c r="P57" s="193">
        <f t="array" ref="P57">SUM(Model!tauL*P13:Q13*P26:Q26)/P32</f>
        <v>0.15436531722781902</v>
      </c>
      <c r="R57" s="193">
        <f t="array" ref="R57">SUM(Model!tauL*R13:S13*R26:S26)/R32</f>
        <v>0.15368842782088532</v>
      </c>
      <c r="T57" s="193">
        <f t="array" ref="T57">SUM(Model!tauL*T13:U13*T26:U26)/T32</f>
        <v>0.1529760052364556</v>
      </c>
      <c r="V57" s="193">
        <f t="array" ref="V57">SUM(Model!tauL*V13:W13*V26:W26)/V32</f>
        <v>0.15221911148385955</v>
      </c>
      <c r="X57" s="193">
        <f t="array" ref="X57">SUM(Model!tauL*X13:Y13*X26:Y26)/X32</f>
        <v>0.15140677921322046</v>
      </c>
      <c r="Y57" s="193"/>
      <c r="Z57" s="193">
        <f t="array" ref="Z57">SUM(Model!tauL*Z13:AA13*Z26:AA26)/Z32</f>
        <v>0.15052580574531257</v>
      </c>
      <c r="AB57" s="193">
        <f t="array" ref="AB57">SUM(Model!tauL*AB13:AC13*AB26:AC26)/AB32</f>
        <v>0.14955959759078158</v>
      </c>
      <c r="AD57" s="193">
        <f t="array" ref="AD57">SUM(Model!tauL*AD13:AE13*AD26:AE26)/AD32</f>
        <v>0.14848332224809427</v>
      </c>
      <c r="AF57" s="193">
        <f t="array" ref="AF57">SUM(Model!tauL*AF13:AG13*AF26:AG26)/AF32</f>
        <v>0.14725082754874808</v>
      </c>
      <c r="AH57" s="193">
        <f t="array" ref="AH57">SUM(Model!tauL*AH13:AI13*AH26:AI26)/AH32</f>
        <v>0.14577339569233977</v>
      </c>
      <c r="AJ57" s="193">
        <f t="array" ref="AJ57">SUM(Model!tauL*AJ13:AK13*AJ26:AK26)/AJ32</f>
        <v>0.14391280751948035</v>
      </c>
      <c r="AL57" s="193">
        <f t="array" ref="AL57">SUM(Model!tauL*AL13:AM13*AL26:AM26)/AL32</f>
        <v>0.14150665702792528</v>
      </c>
      <c r="AN57" s="193">
        <f t="array" ref="AN57">SUM(Model!tauL*AN13:AO13*AN26:AO26)/AN32</f>
        <v>0.13826837001124473</v>
      </c>
      <c r="AP57" s="193">
        <f t="array" ref="AP57">SUM(Model!tauL*AP13:AQ13*AP26:AQ26)/AP32</f>
        <v>0.13745075526604289</v>
      </c>
      <c r="AR57" s="193">
        <f t="array" ref="AR57">SUM(Model!tauL*AR13:AS13*AR26:AS26)/AR32</f>
        <v>0.13653422564637666</v>
      </c>
      <c r="AT57" s="193">
        <f t="array" ref="AT57">SUM(Model!tauL*AT13:AU13*AT26:AU26)/AT32</f>
        <v>0.13546227580927089</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1.0674835863326852E-2</v>
      </c>
      <c r="F58" s="193">
        <f t="array" ref="F58">SUM(Model!tauY/(1+Model!tauY)*F3:G3*F18:G18)/F32</f>
        <v>1.0595164594824182E-2</v>
      </c>
      <c r="H58" s="193">
        <f t="array" ref="H58">SUM(Model!tauY/(1+Model!tauY)*H3:I3*H18:I18)/H32</f>
        <v>1.051353046793586E-2</v>
      </c>
      <c r="J58" s="193">
        <f t="array" ref="J58">SUM(Model!tauY/(1+Model!tauY)*J3:K3*J18:K18)/J32</f>
        <v>1.0429802109350348E-2</v>
      </c>
      <c r="L58" s="193">
        <f t="array" ref="L58">SUM(Model!tauY/(1+Model!tauY)*L3:M3*L18:M18)/L32</f>
        <v>1.0343884122862398E-2</v>
      </c>
      <c r="N58" s="193">
        <f t="array" ref="N58">SUM(Model!tauY/(1+Model!tauY)*N3:O3*N18:O18)/N32</f>
        <v>1.0255740901128251E-2</v>
      </c>
      <c r="P58" s="193">
        <f t="array" ref="P58">SUM(Model!tauY/(1+Model!tauY)*P3:Q3*P18:Q18)/P32</f>
        <v>1.0165418920602302E-2</v>
      </c>
      <c r="R58" s="193">
        <f t="array" ref="R58">SUM(Model!tauY/(1+Model!tauY)*R3:S3*R18:S18)/R32</f>
        <v>1.0073086694465576E-2</v>
      </c>
      <c r="T58" s="193">
        <f t="array" ref="T58">SUM(Model!tauY/(1+Model!tauY)*T3:U3*T18:U18)/T32</f>
        <v>9.9790686500287867E-3</v>
      </c>
      <c r="V58" s="193">
        <f t="array" ref="V58">SUM(Model!tauY/(1+Model!tauY)*V3:W3*V18:W18)/V32</f>
        <v>9.8838684969327698E-3</v>
      </c>
      <c r="X58" s="193">
        <f t="array" ref="X58">SUM(Model!tauY/(1+Model!tauY)*X3:Y3*X18:Y18)/X32</f>
        <v>9.7881586611912614E-3</v>
      </c>
      <c r="Y58" s="193"/>
      <c r="Z58" s="193">
        <f t="array" ref="Z58">SUM(Model!tauY/(1+Model!tauY)*Z3:AA3*Z18:AA18)/Z32</f>
        <v>9.6926610968197831E-3</v>
      </c>
      <c r="AB58" s="193">
        <f t="array" ref="AB58">SUM(Model!tauY/(1+Model!tauY)*AB3:AC3*AB18:AC18)/AB32</f>
        <v>9.5978446640964075E-3</v>
      </c>
      <c r="AD58" s="193">
        <f t="array" ref="AD58">SUM(Model!tauY/(1+Model!tauY)*AD3:AE3*AD18:AE18)/AD32</f>
        <v>9.5033622989380909E-3</v>
      </c>
      <c r="AF58" s="193">
        <f t="array" ref="AF58">SUM(Model!tauY/(1+Model!tauY)*AF3:AG3*AF18:AG18)/AF32</f>
        <v>9.4073044110807979E-3</v>
      </c>
      <c r="AH58" s="193">
        <f t="array" ref="AH58">SUM(Model!tauY/(1+Model!tauY)*AH3:AI3*AH18:AI18)/AH32</f>
        <v>9.3052146459191958E-3</v>
      </c>
      <c r="AJ58" s="193">
        <f t="array" ref="AJ58">SUM(Model!tauY/(1+Model!tauY)*AJ3:AK3*AJ18:AK18)/AJ32</f>
        <v>9.1874505822878757E-3</v>
      </c>
      <c r="AL58" s="193">
        <f t="array" ref="AL58">SUM(Model!tauY/(1+Model!tauY)*AL3:AM3*AL18:AM18)/AL32</f>
        <v>9.0305034800116646E-3</v>
      </c>
      <c r="AN58" s="193">
        <f t="array" ref="AN58">SUM(Model!tauY/(1+Model!tauY)*AN3:AO3*AN18:AO18)/AN32</f>
        <v>8.7618464840675658E-3</v>
      </c>
      <c r="AP58" s="193">
        <f t="array" ref="AP58">SUM(Model!tauY/(1+Model!tauY)*AP3:AQ3*AP18:AQ18)/AP32</f>
        <v>8.6732244533351526E-3</v>
      </c>
      <c r="AR58" s="193">
        <f t="array" ref="AR58">SUM(Model!tauY/(1+Model!tauY)*AR3:AS3*AR18:AS18)/AR32</f>
        <v>8.5564420652067558E-3</v>
      </c>
      <c r="AT58" s="193">
        <f t="array" ref="AT58">SUM(Model!tauY/(1+Model!tauY)*AT3:AU3*AT18:AU18)/AT32</f>
        <v>8.3856431634713614E-3</v>
      </c>
      <c r="AV58" s="193" t="e">
        <f t="array" ref="AV58">SUM(Model!tauY/(1+Model!tauY)*AV3:AW3*AV18:AW18)/AV32</f>
        <v>#DIV/0!</v>
      </c>
      <c r="XFD58" s="193"/>
    </row>
    <row r="59" spans="1:48 16321:16384" x14ac:dyDescent="0.2">
      <c r="A59" t="s">
        <v>173</v>
      </c>
      <c r="B59" s="193">
        <f>(B2*C5*C20)/B32</f>
        <v>5.5174232040962052E-4</v>
      </c>
      <c r="D59" s="193">
        <f>(D2*E5*E20)/D32</f>
        <v>3.6257026849470637E-3</v>
      </c>
      <c r="F59" s="193">
        <f>(F2*G5*G20)/F32</f>
        <v>6.7044527562182031E-3</v>
      </c>
      <c r="H59" s="193">
        <f>(H2*I5*I20)/H32</f>
        <v>9.7870281077284162E-3</v>
      </c>
      <c r="J59" s="193">
        <f>(J2*K5*K20)/J32</f>
        <v>1.2872949106199596E-2</v>
      </c>
      <c r="L59" s="193">
        <f>(L2*M5*M20)/L32</f>
        <v>1.5962558727506383E-2</v>
      </c>
      <c r="N59" s="193">
        <f>(N2*O5*O20)/N32</f>
        <v>1.9057533333070184E-2</v>
      </c>
      <c r="P59" s="193">
        <f>(P2*Q5*Q20)/P32</f>
        <v>2.2161570352873382E-2</v>
      </c>
      <c r="R59" s="193">
        <f>(R2*S5*S20)/R32</f>
        <v>2.528132579507477E-2</v>
      </c>
      <c r="T59" s="193">
        <f>(T2*U5*U20)/T32</f>
        <v>2.8427815882450868E-2</v>
      </c>
      <c r="V59" s="193">
        <f>(V2*W5*W20)/V32</f>
        <v>3.16187416488177E-2</v>
      </c>
      <c r="X59" s="193">
        <f>(X2*Y5*Y20)/X32</f>
        <v>3.488314008987875E-2</v>
      </c>
      <c r="Z59" s="193">
        <f>(Z2*AA5*AA20)/Z32</f>
        <v>3.8272434149323797E-2</v>
      </c>
      <c r="AB59" s="193">
        <f>(AB2*AC5*AC20)/AB32</f>
        <v>4.1888320558465551E-2</v>
      </c>
      <c r="AD59" s="193">
        <f>(AD2*AE5*AE20)/AD32</f>
        <v>4.595099498840912E-2</v>
      </c>
      <c r="AF59" s="193">
        <f>(AF2*AG5*AG20)/AF32</f>
        <v>5.0945848076891634E-2</v>
      </c>
      <c r="AH59" s="193">
        <f>(AH2*AI5*AI20)/AH32</f>
        <v>5.7868639507910616E-2</v>
      </c>
      <c r="AJ59" s="193">
        <f>(AJ2*AK5*AK20)/AJ32</f>
        <v>6.8474331431361973E-2</v>
      </c>
      <c r="AL59" s="193">
        <f>(AL2*AM5*AM20)/AL32</f>
        <v>8.5600218756540711E-2</v>
      </c>
      <c r="AN59" s="193">
        <f>(AN2*AO5*AO20)/AN32</f>
        <v>0.11648839341027636</v>
      </c>
      <c r="AP59" s="193">
        <f>(AP2*AQ5*AQ20)/AP32</f>
        <v>0.12644418641239533</v>
      </c>
      <c r="AR59" s="193">
        <f>(AR2*AS5*AS20)/AR32</f>
        <v>0.13920444551479916</v>
      </c>
      <c r="AT59" s="193">
        <f>(AT2*AU5*AU20)/AT32</f>
        <v>0.15696887995489475</v>
      </c>
      <c r="AV59" s="193" t="e">
        <f>(AV2*AW5*AW20)/AV32</f>
        <v>#DIV/0!</v>
      </c>
      <c r="XFD59" s="193"/>
    </row>
    <row r="60" spans="1:48 16321:16384" x14ac:dyDescent="0.2">
      <c r="A60" t="s">
        <v>174</v>
      </c>
      <c r="B60" s="193">
        <f>Model!$C$52*B5*B20/B32</f>
        <v>2.8669464423930927E-2</v>
      </c>
      <c r="D60" s="193">
        <f>Model!$C$52*D5*D20/D32</f>
        <v>2.8637403393063338E-2</v>
      </c>
      <c r="F60" s="193">
        <f>Model!$C$52*F5*F20/F32</f>
        <v>2.8610116212229881E-2</v>
      </c>
      <c r="H60" s="193">
        <f>Model!$C$52*H5*H20/H32</f>
        <v>2.8588593481527962E-2</v>
      </c>
      <c r="J60" s="193">
        <f>Model!$C$52*J5*J20/J32</f>
        <v>2.8574095962995417E-2</v>
      </c>
      <c r="L60" s="193">
        <f>Model!$C$52*L5*L20/L32</f>
        <v>2.8568259545296824E-2</v>
      </c>
      <c r="N60" s="193">
        <f>Model!$C$52*N5*N20/N32</f>
        <v>2.8573248374379731E-2</v>
      </c>
      <c r="P60" s="193">
        <f>Model!$C$52*P5*P20/P32</f>
        <v>2.8591983633480492E-2</v>
      </c>
      <c r="R60" s="193">
        <f>Model!$C$52*R5*R20/R32</f>
        <v>2.8628498396807322E-2</v>
      </c>
      <c r="T60" s="193">
        <f>Model!$C$52*T5*T20/T32</f>
        <v>2.8688482926349235E-2</v>
      </c>
      <c r="V60" s="193">
        <f>Model!$C$52*V5*V20/V32</f>
        <v>2.8780113947663985E-2</v>
      </c>
      <c r="X60" s="193">
        <f>Model!$C$52*X5*X20/X32</f>
        <v>2.8915305409266741E-2</v>
      </c>
      <c r="Z60" s="193">
        <f>Model!$C$52*Z5*Z20/Z32</f>
        <v>2.9111482357484043E-2</v>
      </c>
      <c r="AB60" s="193">
        <f>Model!$C$52*AB5*AB20/AB32</f>
        <v>2.9393900283386492E-2</v>
      </c>
      <c r="AD60" s="193">
        <f>Model!$C$52*AD5*AD20/AD32</f>
        <v>2.9798330313041806E-2</v>
      </c>
      <c r="AF60" s="193">
        <f>Model!$C$52*AF5*AF20/AF32</f>
        <v>3.0374240488273214E-2</v>
      </c>
      <c r="AH60" s="193">
        <f>Model!$C$52*AH5*AH20/AH32</f>
        <v>3.1191842532007085E-2</v>
      </c>
      <c r="AJ60" s="193">
        <f>Model!$C$52*AJ5*AJ20/AJ32</f>
        <v>3.2373379615256111E-2</v>
      </c>
      <c r="AL60" s="193">
        <f>Model!$C$52*AL5*AL20/AL32</f>
        <v>3.4246628567746962E-2</v>
      </c>
      <c r="AN60" s="193">
        <f>Model!$C$52*AN5*AN20/AN32</f>
        <v>3.8270209281004088E-2</v>
      </c>
      <c r="AP60" s="193">
        <f>Model!$C$52*AP5*AP20/AP32</f>
        <v>3.9881466004503548E-2</v>
      </c>
      <c r="AR60" s="193">
        <f>Model!$C$52*AR5*AR20/AR32</f>
        <v>4.225447362229736E-2</v>
      </c>
      <c r="AT60" s="193">
        <f>Model!$C$52*AT5*AT20/AT32</f>
        <v>4.6276665118170773E-2</v>
      </c>
      <c r="AV60" s="193" t="e">
        <f>Model!$C$52*AV5*AV20/AV32</f>
        <v>#DIV/0!</v>
      </c>
      <c r="XFD60" s="193"/>
    </row>
    <row r="62" spans="1:48 16321:16384" x14ac:dyDescent="0.2">
      <c r="A62" t="s">
        <v>175</v>
      </c>
      <c r="B62">
        <f>B13/B15</f>
        <v>1</v>
      </c>
      <c r="D62">
        <f>D13/D15</f>
        <v>0.9963408782996277</v>
      </c>
      <c r="F62">
        <f>F13/F15</f>
        <v>0.99246478335999666</v>
      </c>
      <c r="H62">
        <f>H13/H15</f>
        <v>0.98835034703935853</v>
      </c>
      <c r="J62">
        <f>J13/J15</f>
        <v>0.98397218701568978</v>
      </c>
      <c r="L62">
        <f>L13/L15</f>
        <v>0.97929992826878831</v>
      </c>
      <c r="N62">
        <f>N13/N15</f>
        <v>0.97429711854574097</v>
      </c>
      <c r="P62">
        <f>P13/P15</f>
        <v>0.96892045155021367</v>
      </c>
      <c r="R62">
        <f>R13/R15</f>
        <v>0.96311953611610901</v>
      </c>
      <c r="T62">
        <f>T13/T15</f>
        <v>0.95683879039368835</v>
      </c>
      <c r="V62">
        <f>V13/V15</f>
        <v>0.95002368191455355</v>
      </c>
      <c r="X62">
        <f>X13/X15</f>
        <v>0.94263600224475141</v>
      </c>
      <c r="Z62">
        <f>Z13/Z15</f>
        <v>0.93468656890628155</v>
      </c>
      <c r="AB62">
        <f>AB13/AB15</f>
        <v>0.92629832544828627</v>
      </c>
      <c r="AD62">
        <f>AD13/AD15</f>
        <v>0.91782044286873821</v>
      </c>
      <c r="AF62">
        <f>AF13/AF15</f>
        <v>0.91002944193580693</v>
      </c>
      <c r="AH62">
        <f>AH13/AH15</f>
        <v>0.90449670607351729</v>
      </c>
      <c r="AJ62">
        <f>AJ13/AJ15</f>
        <v>0.9043181842693323</v>
      </c>
      <c r="AL62">
        <f>AL13/AL15</f>
        <v>0.91628530492111304</v>
      </c>
      <c r="AN62">
        <f>AN13/AN15</f>
        <v>0.96528962455204015</v>
      </c>
      <c r="AP62">
        <f>AP13/AP15</f>
        <v>0.98866157063895621</v>
      </c>
      <c r="AR62">
        <f>AR13/AR15</f>
        <v>1.0247230435341257</v>
      </c>
      <c r="AT62">
        <f>AT13/AT15</f>
        <v>1.0879418501832403</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0.99876080668062384</v>
      </c>
      <c r="E65" s="191"/>
      <c r="F65" s="191">
        <f t="array" ref="F65">SQRT((F9:G9*$B$22:$C$22+F10:G10*$B$23:$C$23+F11:G11*$B$24:$C$24+F4:G4*($B$25:$C$25-$B$19:$C$19))/($B$9:$C$9*$B$22:$C$22+$B$10:$C$10*$B$23:$C$23+$B$11:$C$11*$B$24:$C$24+$B$4:$C$4*($B$25:$C$25-$B$19:$C$19))*(F9:G9*F22:G22+F10:G10*F23:G23+F11:G11*F24:G24+F4:G4*(F25:G25-F19:G19))/($B$9:$C$9*F22:G22+$B$10:$C$10*F23:G23+$B$11:$C$11*F24:G24+$B$4:$C$4*(F25:G25-F19:G19)))</f>
        <v>0.99768348658900674</v>
      </c>
      <c r="G65" s="191"/>
      <c r="H65" s="191">
        <f t="array" ref="H65">SQRT((H9:I9*$B$22:$C$22+H10:I10*$B$23:$C$23+H11:I11*$B$24:$C$24+H4:I4*($B$25:$C$25-$B$19:$C$19))/($B$9:$C$9*$B$22:$C$22+$B$10:$C$10*$B$23:$C$23+$B$11:$C$11*$B$24:$C$24+$B$4:$C$4*($B$25:$C$25-$B$19:$C$19))*(H9:I9*H22:I22+H10:I10*H23:I23+H11:I11*H24:I24+H4:I4*(H25:I25-H19:I19))/($B$9:$C$9*H22:I22+$B$10:$C$10*H23:I23+$B$11:$C$11*H24:I24+$B$4:$C$4*(H25:I25-H19:I19)))</f>
        <v>0.9968135456398115</v>
      </c>
      <c r="I65" s="191"/>
      <c r="J65" s="191">
        <f t="array" ref="J65">SQRT((J9:K9*$B$22:$C$22+J10:K10*$B$23:$C$23+J11:K11*$B$24:$C$24+J4:K4*($B$25:$C$25-$B$19:$C$19))/($B$9:$C$9*$B$22:$C$22+$B$10:$C$10*$B$23:$C$23+$B$11:$C$11*$B$24:$C$24+$B$4:$C$4*($B$25:$C$25-$B$19:$C$19))*(J9:K9*J22:K22+J10:K10*J23:K23+J11:K11*J24:K24+J4:K4*(J25:K25-J19:K19))/($B$9:$C$9*J22:K22+$B$10:$C$10*J23:K23+$B$11:$C$11*J24:K24+$B$4:$C$4*(J25:K25-J19:K19)))</f>
        <v>0.99621254658618552</v>
      </c>
      <c r="K65" s="191"/>
      <c r="L65" s="191">
        <f t="array" ref="L65">SQRT((L9:M9*$B$22:$C$22+L10:M10*$B$23:$C$23+L11:M11*$B$24:$C$24+L4:M4*($B$25:$C$25-$B$19:$C$19))/($B$9:$C$9*$B$22:$C$22+$B$10:$C$10*$B$23:$C$23+$B$11:$C$11*$B$24:$C$24+$B$4:$C$4*($B$25:$C$25-$B$19:$C$19))*(L9:M9*L22:M22+L10:M10*L23:M23+L11:M11*L24:M24+L4:M4*(L25:M25-L19:M19))/($B$9:$C$9*L22:M22+$B$10:$C$10*L23:M23+$B$11:$C$11*L24:M24+$B$4:$C$4*(L25:M25-L19:M19)))</f>
        <v>0.99596503161274241</v>
      </c>
      <c r="M65" s="191"/>
      <c r="N65" s="191">
        <f t="array" ref="N65">SQRT((N9:O9*$B$22:$C$22+N10:O10*$B$23:$C$23+N11:O11*$B$24:$C$24+N4:O4*($B$25:$C$25-$B$19:$C$19))/($B$9:$C$9*$B$22:$C$22+$B$10:$C$10*$B$23:$C$23+$B$11:$C$11*$B$24:$C$24+$B$4:$C$4*($B$25:$C$25-$B$19:$C$19))*(N9:O9*N22:O22+N10:O10*N23:O23+N11:O11*N24:O24+N4:O4*(N25:O25-N19:O19))/($B$9:$C$9*N22:O22+$B$10:$C$10*N23:O23+$B$11:$C$11*N24:O24+$B$4:$C$4*(N25:O25-N19:O19)))</f>
        <v>0.99618873723851553</v>
      </c>
      <c r="O65" s="191"/>
      <c r="P65" s="191">
        <f t="array" ref="P65">SQRT((P9:Q9*$B$22:$C$22+P10:Q10*$B$23:$C$23+P11:Q11*$B$24:$C$24+P4:Q4*($B$25:$C$25-$B$19:$C$19))/($B$9:$C$9*$B$22:$C$22+$B$10:$C$10*$B$23:$C$23+$B$11:$C$11*$B$24:$C$24+$B$4:$C$4*($B$25:$C$25-$B$19:$C$19))*(P9:Q9*P22:Q22+P10:Q10*P23:Q23+P11:Q11*P24:Q24+P4:Q4*(P25:Q25-P19:Q19))/($B$9:$C$9*P22:Q22+$B$10:$C$10*P23:Q23+$B$11:$C$11*P24:Q24+$B$4:$C$4*(P25:Q25-P19:Q19)))</f>
        <v>0.99705035431406674</v>
      </c>
      <c r="Q65" s="191"/>
      <c r="R65" s="191">
        <f t="array" ref="R65">SQRT((R9:S9*$B$22:$C$22+R10:S10*$B$23:$C$23+R11:S11*$B$24:$C$24+R4:S4*($B$25:$C$25-$B$19:$C$19))/($B$9:$C$9*$B$22:$C$22+$B$10:$C$10*$B$23:$C$23+$B$11:$C$11*$B$24:$C$24+$B$4:$C$4*($B$25:$C$25-$B$19:$C$19))*(R9:S9*R22:S22+R10:S10*R23:S23+R11:S11*R24:S24+R4:S4*(R25:S25-R19:S19))/($B$9:$C$9*R22:S22+$B$10:$C$10*R23:S23+$B$11:$C$11*R24:S24+$B$4:$C$4*(R25:S25-R19:S19)))</f>
        <v>0.998789966340075</v>
      </c>
      <c r="S65" s="191"/>
      <c r="T65" s="191">
        <f t="array" ref="T65">SQRT((T9:U9*$B$22:$C$22+T10:U10*$B$23:$C$23+T11:U11*$B$24:$C$24+T4:U4*($B$25:$C$25-$B$19:$C$19))/($B$9:$C$9*$B$22:$C$22+$B$10:$C$10*$B$23:$C$23+$B$11:$C$11*$B$24:$C$24+$B$4:$C$4*($B$25:$C$25-$B$19:$C$19))*(T9:U9*T22:U22+T10:U10*T23:U23+T11:U11*T24:U24+T4:U4*(T25:U25-T19:U19))/($B$9:$C$9*T22:U22+$B$10:$C$10*T23:U23+$B$11:$C$11*T24:U24+$B$4:$C$4*(T25:U25-T19:U19)))</f>
        <v>1.0017601403533931</v>
      </c>
      <c r="U65" s="191"/>
      <c r="V65" s="191">
        <f t="array" ref="V65">SQRT((V9:W9*$B$22:$C$22+V10:W10*$B$23:$C$23+V11:W11*$B$24:$C$24+V4:W4*($B$25:$C$25-$B$19:$C$19))/($B$9:$C$9*$B$22:$C$22+$B$10:$C$10*$B$23:$C$23+$B$11:$C$11*$B$24:$C$24+$B$4:$C$4*($B$25:$C$25-$B$19:$C$19))*(V9:W9*V22:W22+V10:W10*V23:W23+V11:W11*V24:W24+V4:W4*(V25:W25-V19:W19))/($B$9:$C$9*V22:W22+$B$10:$C$10*V23:W23+$B$11:$C$11*V24:W24+$B$4:$C$4*(V25:W25-V19:W19)))</f>
        <v>1.0064885314985643</v>
      </c>
      <c r="W65" s="191"/>
      <c r="X65" s="191">
        <f t="array" ref="X65">SQRT((X9:Y9*$B$22:$C$22+X10:Y10*$B$23:$C$23+X11:Y11*$B$24:$C$24+X4:Y4*($B$25:$C$25-$B$19:$C$19))/($B$9:$C$9*$B$22:$C$22+$B$10:$C$10*$B$23:$C$23+$B$11:$C$11*$B$24:$C$24+$B$4:$C$4*($B$25:$C$25-$B$19:$C$19))*(X9:Y9*X22:Y22+X10:Y10*X23:Y23+X11:Y11*X24:Y24+X4:Y4*(X25:Y25-X19:Y19))/($B$9:$C$9*X22:Y22+$B$10:$C$10*X23:Y23+$B$11:$C$11*X24:Y24+$B$4:$C$4*(X25:Y25-X19:Y19)))</f>
        <v>1.0137799795661473</v>
      </c>
      <c r="Y65" s="191"/>
      <c r="Z65" s="191">
        <f t="array" ref="Z65">SQRT((Z9:AA9*$B$22:$C$22+Z10:AA10*$B$23:$C$23+Z11:AA11*$B$24:$C$24+Z4:AA4*($B$25:$C$25-$B$19:$C$19))/($B$9:$C$9*$B$22:$C$22+$B$10:$C$10*$B$23:$C$23+$B$11:$C$11*$B$24:$C$24+$B$4:$C$4*($B$25:$C$25-$B$19:$C$19))*(Z9:AA9*Z22:AA22+Z10:AA10*Z23:AA23+Z11:AA11*Z24:AA24+Z4:AA4*(Z25:AA25-Z19:AA19))/($B$9:$C$9*Z22:AA22+$B$10:$C$10*Z23:AA23+$B$11:$C$11*Z24:AA24+$B$4:$C$4*(Z25:AA25-Z19:AA19)))</f>
        <v>1.0248836276636848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1.0417689999050386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1.0675918360815393</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1.1075198949294858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1.170340286704592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1.2725357209195463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1.4567275065070084</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1.9723567920812817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2.2769342382453597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3.0096662149843603</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0.99863718018884828</v>
      </c>
      <c r="E66" s="191"/>
      <c r="F66" s="191">
        <f t="array" ref="F66">SQRT((F9:G9*$B$22:$C$22)/($B$9:$C$9*$B$22:$C$22)*(F9:G9*F22:G22)/($B$9:$C$9*F22:G22))</f>
        <v>0.99745092930880164</v>
      </c>
      <c r="G66" s="191"/>
      <c r="H66" s="191">
        <f t="array" ref="H66">SQRT((H9:I9*$B$22:$C$22)/($B$9:$C$9*$B$22:$C$22)*(H9:I9*H22:I22)/($B$9:$C$9*H22:I22))</f>
        <v>0.99649210879873296</v>
      </c>
      <c r="I66" s="191"/>
      <c r="J66" s="191">
        <f t="array" ref="J66">SQRT((J9:K9*$B$22:$C$22)/($B$9:$C$9*$B$22:$C$22)*(J9:K9*J22:K22)/($B$9:$C$9*J22:K22))</f>
        <v>0.99582934143829449</v>
      </c>
      <c r="K66" s="191"/>
      <c r="L66" s="191">
        <f t="array" ref="L66">SQRT((L9:M9*$B$22:$C$22)/($B$9:$C$9*$B$22:$C$22)*(L9:M9*L22:M22)/($B$9:$C$9*L22:M22))</f>
        <v>0.99555653275580669</v>
      </c>
      <c r="M66" s="191"/>
      <c r="N66" s="191">
        <f t="array" ref="N66">SQRT((N9:O9*$B$22:$C$22)/($B$9:$C$9*$B$22:$C$22)*(N9:O9*N22:O22)/($B$9:$C$9*N22:O22))</f>
        <v>0.99580385608146482</v>
      </c>
      <c r="O66" s="191"/>
      <c r="P66" s="191">
        <f t="array" ref="P66">SQRT((P9:Q9*$B$22:$C$22)/($B$9:$C$9*$B$22:$C$22)*(P9:Q9*P22:Q22)/($B$9:$C$9*P22:Q22))</f>
        <v>0.99675448791572641</v>
      </c>
      <c r="Q66" s="191"/>
      <c r="R66" s="191">
        <f t="array" ref="R66">SQRT((R9:S9*$B$22:$C$22)/($B$9:$C$9*$B$22:$C$22)*(R9:S9*R22:S22)/($B$9:$C$9*R22:S22))</f>
        <v>0.99867011636639957</v>
      </c>
      <c r="S66" s="191"/>
      <c r="T66" s="191">
        <f t="array" ref="T66">SQRT((T9:U9*$B$22:$C$22)/($B$9:$C$9*$B$22:$C$22)*(T9:U9*T22:U22)/($B$9:$C$9*T22:U22))</f>
        <v>1.0019308466718913</v>
      </c>
      <c r="U66" s="191"/>
      <c r="V66" s="191">
        <f t="array" ref="V66">SQRT((V9:W9*$B$22:$C$22)/($B$9:$C$9*$B$22:$C$22)*(V9:W9*V22:W22)/($B$9:$C$9*V22:W22))</f>
        <v>1.0070970841416809</v>
      </c>
      <c r="W66" s="191"/>
      <c r="X66" s="191">
        <f t="array" ref="X66">SQRT((X9:Y9*$B$22:$C$22)/($B$9:$C$9*$B$22:$C$22)*(X9:Y9*X22:Y22)/($B$9:$C$9*X22:Y22))</f>
        <v>1.01500594228106</v>
      </c>
      <c r="Y66" s="191"/>
      <c r="Z66" s="191">
        <f t="array" ref="Z66">SQRT((Z9:AA9*$B$22:$C$22)/($B$9:$C$9*$B$22:$C$22)*(Z9:AA9*Z22:AA22)/($B$9:$C$9*Z22:AA22))</f>
        <v>1.0269183876946317</v>
      </c>
      <c r="AA66" s="191"/>
      <c r="AB66" s="191">
        <f t="array" ref="AB66">SQRT((AB9:AC9*$B$22:$C$22)/($B$9:$C$9*$B$22:$C$22)*(AB9:AC9*AB22:AC22)/($B$9:$C$9*AB22:AC22))</f>
        <v>1.044736901792062</v>
      </c>
      <c r="AC66" s="191"/>
      <c r="AD66" s="191">
        <f t="array" ref="AD66">SQRT((AD9:AE9*$B$22:$C$22)/($B$9:$C$9*$B$22:$C$22)*(AD9:AE9*AD22:AE22)/($B$9:$C$9*AD22:AE22))</f>
        <v>1.0713116842663495</v>
      </c>
      <c r="AE66" s="191"/>
      <c r="AF66" s="191">
        <f t="array" ref="AF66">SQRT((AF9:AG9*$B$22:$C$22)/($B$9:$C$9*$B$22:$C$22)*(AF9:AG9*AF22:AG22)/($B$9:$C$9*AF22:AG22))</f>
        <v>1.1108361950969807</v>
      </c>
      <c r="AG66" s="191"/>
      <c r="AH66" s="191">
        <f t="array" ref="AH66">SQRT((AH9:AI9*$B$22:$C$22)/($B$9:$C$9*$B$22:$C$22)*(AH9:AI9*AH22:AI22)/($B$9:$C$9*AH22:AI22))</f>
        <v>1.1692560392178437</v>
      </c>
      <c r="AI66" s="191"/>
      <c r="AJ66" s="191">
        <f t="array" ref="AJ66">SQRT((AJ9:AK9*$B$22:$C$22)/($B$9:$C$9*$B$22:$C$22)*(AJ9:AK9*AJ22:AK22)/($B$9:$C$9*AJ22:AK22))</f>
        <v>1.2546403928889196</v>
      </c>
      <c r="AK66" s="191"/>
      <c r="AL66" s="191">
        <f t="array" ref="AL66">SQRT((AL9:AM9*$B$22:$C$22)/($B$9:$C$9*$B$22:$C$22)*(AL9:AM9*AL22:AM22)/($B$9:$C$9*AL22:AM22))</f>
        <v>1.3797441966972506</v>
      </c>
      <c r="AM66" s="191"/>
      <c r="AN66" s="191">
        <f t="array" ref="AN66">SQRT((AN9:AO9*$B$22:$C$22)/($B$9:$C$9*$B$22:$C$22)*(AN9:AO9*AN22:AO22)/($B$9:$C$9*AN22:AO22))</f>
        <v>1.58196728230412</v>
      </c>
      <c r="AO66" s="191"/>
      <c r="AP66" s="191">
        <f t="array" ref="AP66">SQRT((AP9:AQ9*$B$22:$C$22)/($B$9:$C$9*$B$22:$C$22)*(AP9:AQ9*AP22:AQ22)/($B$9:$C$9*AP22:AQ22))</f>
        <v>1.642428292082039</v>
      </c>
      <c r="AQ66" s="191"/>
      <c r="AR66" s="191">
        <f t="array" ref="AR66">SQRT((AR9:AS9*$B$22:$C$22)/($B$9:$C$9*$B$22:$C$22)*(AR9:AS9*AR22:AS22)/($B$9:$C$9*AR22:AS22))</f>
        <v>1.7167997819509968</v>
      </c>
      <c r="AS66" s="191"/>
      <c r="AT66" s="191">
        <f t="array" ref="AT66">SQRT((AT9:AU9*$B$22:$C$22)/($B$9:$C$9*$B$22:$C$22)*(AT9:AU9*AT22:AU22)/($B$9:$C$9*AT22:AU22))</f>
        <v>1.814515753365826</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t="e">
        <f t="array" ref="AV67">SQRT((AV4:AW4*$B$19:$C$19)/($B$4:$C$4*$B$19:$C$19)*(AV4:AW4*AV19:AW19)/($B$4:$C$4*AV19:AW19))</f>
        <v>#DIV/0!</v>
      </c>
      <c r="XFD67" s="191"/>
    </row>
    <row r="68" spans="1:48 16384:16384" x14ac:dyDescent="0.2">
      <c r="A68" t="s">
        <v>181</v>
      </c>
      <c r="B68" s="191">
        <f>B66/B67</f>
        <v>1</v>
      </c>
      <c r="C68" s="191"/>
      <c r="D68" s="191">
        <f>D66/D67</f>
        <v>0.99863718018884828</v>
      </c>
      <c r="E68" s="191"/>
      <c r="F68" s="191">
        <f>F66/F67</f>
        <v>0.99745092930880164</v>
      </c>
      <c r="G68" s="191"/>
      <c r="H68" s="191">
        <f>H66/H67</f>
        <v>0.99649210879873296</v>
      </c>
      <c r="I68" s="191"/>
      <c r="J68" s="191">
        <f>J66/J67</f>
        <v>0.99582934143829449</v>
      </c>
      <c r="K68" s="191"/>
      <c r="L68" s="191">
        <f>L66/L67</f>
        <v>0.99555653275580669</v>
      </c>
      <c r="M68" s="191"/>
      <c r="N68" s="191">
        <f>N66/N67</f>
        <v>0.99580385608146482</v>
      </c>
      <c r="O68" s="191"/>
      <c r="P68" s="191">
        <f>P66/P67</f>
        <v>0.99675448791572641</v>
      </c>
      <c r="Q68" s="191"/>
      <c r="R68" s="191">
        <f>R66/R67</f>
        <v>0.99867011636639957</v>
      </c>
      <c r="S68" s="191"/>
      <c r="T68" s="191">
        <f>T66/T67</f>
        <v>1.0019308466718913</v>
      </c>
      <c r="U68" s="191"/>
      <c r="V68" s="191">
        <f>V66/V67</f>
        <v>1.0070970841416809</v>
      </c>
      <c r="W68" s="191"/>
      <c r="X68" s="191">
        <f>X66/X67</f>
        <v>1.01500594228106</v>
      </c>
      <c r="Y68" s="191"/>
      <c r="Z68" s="191">
        <f>Z66/Z67</f>
        <v>1.0269183876946317</v>
      </c>
      <c r="AA68" s="191"/>
      <c r="AB68" s="191">
        <f>AB66/AB67</f>
        <v>1.044736901792062</v>
      </c>
      <c r="AC68" s="191"/>
      <c r="AD68" s="191">
        <f>AD66/AD67</f>
        <v>1.0713116842663495</v>
      </c>
      <c r="AE68" s="191"/>
      <c r="AF68" s="191">
        <f>AF66/AF67</f>
        <v>1.1108361950969807</v>
      </c>
      <c r="AG68" s="191"/>
      <c r="AH68" s="191">
        <f>AH66/AH67</f>
        <v>1.1692560392178437</v>
      </c>
      <c r="AI68" s="191"/>
      <c r="AJ68" s="191">
        <f>AJ66/AJ67</f>
        <v>1.2546403928889196</v>
      </c>
      <c r="AK68" s="191"/>
      <c r="AL68" s="191">
        <f>AL66/AL67</f>
        <v>1.3797441966972506</v>
      </c>
      <c r="AM68" s="191"/>
      <c r="AN68" s="191">
        <f>AN66/AN67</f>
        <v>1.58196728230412</v>
      </c>
      <c r="AO68" s="191"/>
      <c r="AP68" s="191">
        <f>AP66/AP67</f>
        <v>1.642428292082039</v>
      </c>
      <c r="AQ68" s="191"/>
      <c r="AR68" s="191">
        <f>AR66/AR67</f>
        <v>1.7167997819509968</v>
      </c>
      <c r="AS68" s="191"/>
      <c r="AT68" s="191">
        <f>AT66/AT67</f>
        <v>1.814515753365826</v>
      </c>
      <c r="AU68" s="191"/>
      <c r="AV68" s="191" t="e">
        <f>AV66/AV67</f>
        <v>#DIV/0!</v>
      </c>
      <c r="XFD68" s="191"/>
    </row>
    <row r="69" spans="1:48 16384:16384" x14ac:dyDescent="0.2">
      <c r="A69" t="s">
        <v>177</v>
      </c>
      <c r="B69" s="191">
        <f>B32/B65/($B$32)</f>
        <v>1</v>
      </c>
      <c r="C69" s="191"/>
      <c r="D69" s="191">
        <f>D32/D65/($B$32)</f>
        <v>0.99188543264892604</v>
      </c>
      <c r="E69" s="191"/>
      <c r="F69" s="191">
        <f>F32/F65/($B$32)</f>
        <v>0.98266153217811869</v>
      </c>
      <c r="G69" s="191"/>
      <c r="H69" s="191">
        <f>H32/H65/($B$32)</f>
        <v>0.97214420590900508</v>
      </c>
      <c r="I69" s="191"/>
      <c r="J69" s="191">
        <f>J32/J65/($B$32)</f>
        <v>0.96010684130324775</v>
      </c>
      <c r="K69" s="191"/>
      <c r="L69" s="191">
        <f>L32/L65/($B$32)</f>
        <v>0.94626684711871645</v>
      </c>
      <c r="M69" s="191"/>
      <c r="N69" s="191">
        <f>N32/N65/($B$32)</f>
        <v>0.93026801791315405</v>
      </c>
      <c r="O69" s="191"/>
      <c r="P69" s="191">
        <f>P32/P65/($B$32)</f>
        <v>0.91165731773987824</v>
      </c>
      <c r="Q69" s="191"/>
      <c r="R69" s="191">
        <f>R32/R65/($B$32)</f>
        <v>0.88985522455123833</v>
      </c>
      <c r="S69" s="191"/>
      <c r="T69" s="191">
        <f>T32/T65/($B$32)</f>
        <v>0.86412116944957162</v>
      </c>
      <c r="U69" s="191"/>
      <c r="V69" s="191">
        <f>V32/V65/($B$32)</f>
        <v>0.83352158371841423</v>
      </c>
      <c r="W69" s="191"/>
      <c r="X69" s="191">
        <f>X32/X65/($B$32)</f>
        <v>0.79691868776721508</v>
      </c>
      <c r="Y69" s="191"/>
      <c r="Z69" s="191">
        <f>Z32/Z65/($B$32)</f>
        <v>0.75302152921045706</v>
      </c>
      <c r="AA69" s="191"/>
      <c r="AB69" s="191">
        <f>AB32/AB65/($B$32)</f>
        <v>0.7005606694586084</v>
      </c>
      <c r="AC69" s="191"/>
      <c r="AD69" s="191">
        <f>AD32/AD65/($B$32)</f>
        <v>0.63863317176073831</v>
      </c>
      <c r="AE69" s="191"/>
      <c r="AF69" s="191">
        <f>AF32/AF65/($B$32)</f>
        <v>0.5671320060923668</v>
      </c>
      <c r="AG69" s="191"/>
      <c r="AH69" s="191">
        <f>AH32/AH65/($B$32)</f>
        <v>0.48690245996638243</v>
      </c>
      <c r="AI69" s="191"/>
      <c r="AJ69" s="191">
        <f>AJ32/AJ65/($B$32)</f>
        <v>0.39888923895828443</v>
      </c>
      <c r="AK69" s="191"/>
      <c r="AL69" s="191">
        <f>AL32/AL65/($B$32)</f>
        <v>0.30078450143360486</v>
      </c>
      <c r="AM69" s="191"/>
      <c r="AN69" s="191">
        <f>AN32/AN65/($B$32)</f>
        <v>0.17512524130723883</v>
      </c>
      <c r="AO69" s="191"/>
      <c r="AP69" s="191">
        <f>AP32/AP65/($B$32)</f>
        <v>0.14037520532158929</v>
      </c>
      <c r="AQ69" s="191"/>
      <c r="AR69" s="191">
        <f>AR32/AR65/($B$32)</f>
        <v>9.589153221963323E-2</v>
      </c>
      <c r="AS69" s="191"/>
      <c r="AT69" s="191" t="e">
        <f>AT32/AT65/($B$32)</f>
        <v>#NUM!</v>
      </c>
      <c r="AU69" s="191"/>
      <c r="AV69" s="191" t="e">
        <f>AV32/AV65/($B$32)</f>
        <v>#DIV/0!</v>
      </c>
    </row>
    <row r="70" spans="1:48 16384:16384" x14ac:dyDescent="0.2">
      <c r="A70" t="s">
        <v>178</v>
      </c>
      <c r="B70" s="138">
        <f>B18/$B$18</f>
        <v>1</v>
      </c>
      <c r="C70" s="138"/>
      <c r="D70" s="138">
        <f>D18/$B$18</f>
        <v>0.99164598181533548</v>
      </c>
      <c r="E70" s="138"/>
      <c r="F70" s="138">
        <f>F18/$B$18</f>
        <v>0.98224003412879868</v>
      </c>
      <c r="G70" s="138"/>
      <c r="H70" s="138">
        <f>H18/$B$18</f>
        <v>0.97159857411836648</v>
      </c>
      <c r="I70" s="138"/>
      <c r="J70" s="138">
        <f>J18/$B$18</f>
        <v>0.95949311528357728</v>
      </c>
      <c r="K70" s="138"/>
      <c r="L70" s="138">
        <f>L18/$B$18</f>
        <v>0.94563579739214754</v>
      </c>
      <c r="M70" s="138"/>
      <c r="N70" s="138">
        <f>N18/$B$18</f>
        <v>0.92966048365722487</v>
      </c>
      <c r="O70" s="138"/>
      <c r="P70" s="138">
        <f>P18/$B$18</f>
        <v>0.91109787676430865</v>
      </c>
      <c r="Q70" s="138"/>
      <c r="R70" s="138">
        <f>R18/$B$18</f>
        <v>0.88934419556361632</v>
      </c>
      <c r="S70" s="138"/>
      <c r="T70" s="138">
        <f>T18/$B$18</f>
        <v>0.86362495843877118</v>
      </c>
      <c r="U70" s="138"/>
      <c r="V70" s="138">
        <f>V18/$B$18</f>
        <v>0.83296228766363234</v>
      </c>
      <c r="W70" s="138"/>
      <c r="X70" s="138">
        <f>X18/$B$18</f>
        <v>0.79616557341655358</v>
      </c>
      <c r="Y70" s="138"/>
      <c r="Z70" s="138">
        <f>Z18/$B$18</f>
        <v>0.7518894106822418</v>
      </c>
      <c r="AA70" s="138"/>
      <c r="AB70" s="138">
        <f>AB18/$B$18</f>
        <v>0.69882386588468748</v>
      </c>
      <c r="AC70" s="138"/>
      <c r="AD70" s="138">
        <f>AD18/$B$18</f>
        <v>0.63606775541726979</v>
      </c>
      <c r="AE70" s="138"/>
      <c r="AF70" s="138">
        <f>AF18/$B$18</f>
        <v>0.56361256616114841</v>
      </c>
      <c r="AG70" s="138"/>
      <c r="AH70" s="138">
        <f>AH18/$B$18</f>
        <v>0.48264058244807678</v>
      </c>
      <c r="AI70" s="138"/>
      <c r="AJ70" s="138">
        <f>AJ18/$B$18</f>
        <v>0.39508050775308501</v>
      </c>
      <c r="AK70" s="138"/>
      <c r="AL70" s="138">
        <f>AL18/$B$18</f>
        <v>0.30134571210630301</v>
      </c>
      <c r="AM70" s="138"/>
      <c r="AN70" s="138">
        <f>AN18/$B$18</f>
        <v>0.19406469067625906</v>
      </c>
      <c r="AO70" s="138"/>
      <c r="AP70" s="138">
        <f>AP18/$B$18</f>
        <v>0.16872170777196707</v>
      </c>
      <c r="AQ70" s="138"/>
      <c r="AR70" s="138">
        <f>AR18/$B$18</f>
        <v>0.14076396130172461</v>
      </c>
      <c r="AS70" s="138"/>
      <c r="AT70" s="138">
        <f>AT18/$B$18</f>
        <v>0.10871071193086346</v>
      </c>
      <c r="AU70" s="138"/>
      <c r="AV70" s="138">
        <f>AV18/$B$18</f>
        <v>0</v>
      </c>
    </row>
    <row r="71" spans="1:48 16384:16384" x14ac:dyDescent="0.2">
      <c r="A71" t="s">
        <v>179</v>
      </c>
      <c r="B71" s="138">
        <f>C18/$C$18</f>
        <v>1</v>
      </c>
      <c r="D71" s="138">
        <f>E18/$C$18</f>
        <v>0.92346286217477236</v>
      </c>
      <c r="E71" s="138"/>
      <c r="F71" s="138">
        <f>G18/$C$18</f>
        <v>0.84675132848797074</v>
      </c>
      <c r="G71" s="138"/>
      <c r="H71" s="138">
        <f>I18/$C$18</f>
        <v>0.77000032465539892</v>
      </c>
      <c r="I71" s="138"/>
      <c r="J71" s="138">
        <f>K18/$C$18</f>
        <v>0.69340180980001975</v>
      </c>
      <c r="K71" s="138"/>
      <c r="L71" s="138">
        <f>M18/$C$18</f>
        <v>0.61722287839842138</v>
      </c>
      <c r="M71" s="138"/>
      <c r="N71" s="138">
        <f>O18/$C$18</f>
        <v>0.54182790593686847</v>
      </c>
      <c r="O71" s="138"/>
      <c r="P71" s="138">
        <f>Q18/$C$18</f>
        <v>0.46770086609628131</v>
      </c>
      <c r="Q71" s="138"/>
      <c r="R71" s="138">
        <f>S18/$C$18</f>
        <v>0.39547573996180652</v>
      </c>
      <c r="S71" s="138"/>
      <c r="T71" s="138">
        <f>U18/$C$18</f>
        <v>0.32596199823556643</v>
      </c>
      <c r="U71" s="138"/>
      <c r="V71" s="138">
        <f>W18/$C$18</f>
        <v>0.26016078743439369</v>
      </c>
      <c r="W71" s="138"/>
      <c r="X71" s="138">
        <f>Y18/$C$18</f>
        <v>0.19925796225255293</v>
      </c>
      <c r="Y71" s="138"/>
      <c r="Z71" s="138">
        <f>AA18/$C$18</f>
        <v>0.14456601097987973</v>
      </c>
      <c r="AA71" s="138"/>
      <c r="AB71" s="138">
        <f>AC18/$C$18</f>
        <v>9.7407353625548226E-2</v>
      </c>
      <c r="AC71" s="138"/>
      <c r="AD71" s="138">
        <f>AE18/$C$18</f>
        <v>5.8969028335150442E-2</v>
      </c>
      <c r="AE71" s="138"/>
      <c r="AF71" s="138">
        <f>AG18/$C$18</f>
        <v>3.0214330530726655E-2</v>
      </c>
      <c r="AG71" s="138"/>
      <c r="AH71" s="138">
        <f>AI18/$C$18</f>
        <v>1.1725634137191937E-2</v>
      </c>
      <c r="AI71" s="138"/>
      <c r="AJ71" s="138">
        <f>AK18/$C$18</f>
        <v>2.8196707489715664E-3</v>
      </c>
      <c r="AK71" s="138"/>
      <c r="AL71" s="138">
        <f>AM18/$C$18</f>
        <v>2.8643085081548291E-4</v>
      </c>
      <c r="AM71" s="138"/>
      <c r="AN71" s="138">
        <f>AO18/$C$18</f>
        <v>4.0058277856134206E-6</v>
      </c>
      <c r="AO71" s="138"/>
      <c r="AP71" s="138">
        <f>AQ18/$C$18</f>
        <v>9.6652474729259765E-7</v>
      </c>
      <c r="AQ71" s="138"/>
      <c r="AR71" s="138">
        <f>AS18/$C$18</f>
        <v>1.5202351175409764E-7</v>
      </c>
      <c r="AS71" s="138"/>
      <c r="AT71" s="138">
        <f>AU18/$C$18</f>
        <v>1.1055863407693451E-8</v>
      </c>
      <c r="AU71" s="138"/>
      <c r="AV71" s="138">
        <f>AW18/$C$18</f>
        <v>0</v>
      </c>
      <c r="XFD71" s="138"/>
    </row>
    <row r="72" spans="1:48 16384:16384" x14ac:dyDescent="0.2">
      <c r="A72" t="s">
        <v>180</v>
      </c>
      <c r="B72" s="138">
        <f>C19/$C$19</f>
        <v>1</v>
      </c>
      <c r="D72" s="138">
        <f>E19/$C$19</f>
        <v>1.0569831515017627</v>
      </c>
      <c r="E72" s="138"/>
      <c r="F72" s="138">
        <f>G19/$C$19</f>
        <v>1.118204185512002</v>
      </c>
      <c r="G72" s="138"/>
      <c r="H72" s="138">
        <f>I19/$C$19</f>
        <v>1.1834547582134254</v>
      </c>
      <c r="I72" s="138"/>
      <c r="J72" s="138">
        <f>K19/$C$19</f>
        <v>1.2522759980197353</v>
      </c>
      <c r="K72" s="138"/>
      <c r="L72" s="138">
        <f>M19/$C$19</f>
        <v>1.3238596965167284</v>
      </c>
      <c r="M72" s="138"/>
      <c r="N72" s="138">
        <f>O19/$C$19</f>
        <v>1.3969213989343734</v>
      </c>
      <c r="O72" s="138"/>
      <c r="P72" s="138">
        <f>Q19/$C$19</f>
        <v>1.4695329670148056</v>
      </c>
      <c r="Q72" s="138"/>
      <c r="R72" s="138">
        <f>S19/$C$19</f>
        <v>1.5389220355621009</v>
      </c>
      <c r="S72" s="138"/>
      <c r="T72" s="138">
        <f>U19/$C$19</f>
        <v>1.601236078654525</v>
      </c>
      <c r="U72" s="138"/>
      <c r="V72" s="138">
        <f>W19/$C$19</f>
        <v>1.6513111883998286</v>
      </c>
      <c r="W72" s="138"/>
      <c r="X72" s="138">
        <f>Y19/$C$19</f>
        <v>1.6825297213627277</v>
      </c>
      <c r="Y72" s="138"/>
      <c r="Z72" s="138">
        <f>AA19/$C$19</f>
        <v>1.6868995864538849</v>
      </c>
      <c r="AA72" s="138"/>
      <c r="AB72" s="138">
        <f>AC19/$C$19</f>
        <v>1.6554783703632396</v>
      </c>
      <c r="AC72" s="138"/>
      <c r="AD72" s="138">
        <f>AE19/$C$19</f>
        <v>1.5789822050689661</v>
      </c>
      <c r="AE72" s="138"/>
      <c r="AF72" s="138">
        <f>AG19/$C$19</f>
        <v>1.448011160195587</v>
      </c>
      <c r="AG72" s="138"/>
      <c r="AH72" s="138">
        <f>AI19/$C$19</f>
        <v>1.2533426119520918</v>
      </c>
      <c r="AI72" s="138"/>
      <c r="AJ72" s="138">
        <f>AK19/$C$19</f>
        <v>0.99146589045992284</v>
      </c>
      <c r="AK72" s="138"/>
      <c r="AL72" s="138">
        <f>AM19/$C$19</f>
        <v>0.6773581330658649</v>
      </c>
      <c r="AM72" s="138"/>
      <c r="AN72" s="138">
        <f>AO19/$C$19</f>
        <v>0.34055897929430423</v>
      </c>
      <c r="AO72" s="138"/>
      <c r="AP72" s="138">
        <f>AQ19/$C$19</f>
        <v>0.27249197033587025</v>
      </c>
      <c r="AQ72" s="138"/>
      <c r="AR72" s="138">
        <f>AS19/$C$19</f>
        <v>0.20438247880297983</v>
      </c>
      <c r="AS72" s="138"/>
      <c r="AT72" s="138">
        <f>AU19/$C$19</f>
        <v>0.13625762307439637</v>
      </c>
      <c r="AU72" s="138"/>
      <c r="AV72" s="138">
        <f>AW19/$C$19</f>
        <v>0</v>
      </c>
      <c r="XFD72" s="138"/>
    </row>
    <row r="73" spans="1:48 16384:16384" x14ac:dyDescent="0.2">
      <c r="A73" t="s">
        <v>184</v>
      </c>
      <c r="B73" s="193">
        <f t="array" ref="B73">SUM(B9:C9*B22:C22)/B32</f>
        <v>0.47641153352875076</v>
      </c>
      <c r="D73" s="193">
        <f t="array" ref="D73">SUM(D9:E9*D22:E22)/D32</f>
        <v>0.47497700443867635</v>
      </c>
      <c r="E73" s="138"/>
      <c r="F73" s="193">
        <f t="array" ref="F73">SUM(F9:G9*F22:G22)/F32</f>
        <v>0.47354425907338832</v>
      </c>
      <c r="G73" s="138"/>
      <c r="H73" s="193">
        <f t="array" ref="H73">SUM(H9:I9*H22:I22)/H32</f>
        <v>0.47211404365205872</v>
      </c>
      <c r="I73" s="138"/>
      <c r="J73" s="193">
        <f t="array" ref="J73">SUM(J9:K9*J22:K22)/J32</f>
        <v>0.47068688323594376</v>
      </c>
      <c r="K73" s="138"/>
      <c r="L73" s="193">
        <f t="array" ref="L73">SUM(L9:M9*L22:M22)/L32</f>
        <v>0.46926291945113124</v>
      </c>
      <c r="M73" s="138"/>
      <c r="N73" s="193">
        <f t="array" ref="N73">SUM(N9:O9*N22:O22)/N32</f>
        <v>0.46784160878345593</v>
      </c>
      <c r="O73" s="138"/>
      <c r="P73" s="193">
        <f t="array" ref="P73">SUM(P9:Q9*P22:Q22)/P32</f>
        <v>0.46642135194844858</v>
      </c>
      <c r="Q73" s="138"/>
      <c r="R73" s="193">
        <f t="array" ref="R73">SUM(R9:S9*R22:S22)/R32</f>
        <v>0.46499879291841301</v>
      </c>
      <c r="S73" s="138"/>
      <c r="T73" s="193">
        <f t="array" ref="T73">SUM(T9:U9*T22:U22)/T32</f>
        <v>0.46356792594205753</v>
      </c>
      <c r="U73" s="138"/>
      <c r="V73" s="193">
        <f t="array" ref="V73">SUM(V9:W9*V22:W22)/V32</f>
        <v>0.46211828710593861</v>
      </c>
      <c r="W73" s="138"/>
      <c r="X73" s="193">
        <f t="array" ref="X73">SUM(X9:Y9*X22:Y22)/X32</f>
        <v>0.46063155633951236</v>
      </c>
      <c r="Y73" s="138"/>
      <c r="Z73" s="193">
        <f t="array" ref="Z73">SUM(Z9:AA9*Z22:AA22)/Z32</f>
        <v>0.45907419081535139</v>
      </c>
      <c r="AA73" s="138"/>
      <c r="AB73" s="193">
        <f t="array" ref="AB73">SUM(AB9:AC9*AB22:AC22)/AB32</f>
        <v>0.4573804131556487</v>
      </c>
      <c r="AC73" s="138"/>
      <c r="AD73" s="193">
        <f t="array" ref="AD73">SUM(AD9:AE9*AD22:AE22)/AD32</f>
        <v>0.45541342582584571</v>
      </c>
      <c r="AE73" s="138"/>
      <c r="AF73" s="193">
        <f t="array" ref="AF73">SUM(AF9:AG9*AF22:AG22)/AF32</f>
        <v>0.45288476401225936</v>
      </c>
      <c r="AG73" s="138"/>
      <c r="AH73" s="193">
        <f t="array" ref="AH73">SUM(AH9:AI9*AH22:AI22)/AH32</f>
        <v>0.44921807251707474</v>
      </c>
      <c r="AI73" s="138"/>
      <c r="AJ73" s="193">
        <f t="array" ref="AJ73">SUM(AJ9:AK9*AJ22:AK22)/AJ32</f>
        <v>0.44338908707671743</v>
      </c>
      <c r="AK73" s="138"/>
      <c r="AL73" s="193">
        <f t="array" ref="AL73">SUM(AL9:AM9*AL22:AM22)/AL32</f>
        <v>0.43363467759373009</v>
      </c>
      <c r="AM73" s="138"/>
      <c r="AN73" s="193">
        <f t="array" ref="AN73">SUM(AN9:AO9*AN22:AO22)/AN32</f>
        <v>0.41502111028902289</v>
      </c>
      <c r="AO73" s="138"/>
      <c r="AP73" s="193">
        <f t="array" ref="AP73">SUM(AP9:AQ9*AP22:AQ22)/AP32</f>
        <v>0.40870753776955382</v>
      </c>
      <c r="AQ73" s="138"/>
      <c r="AR73" s="193">
        <f t="array" ref="AR73">SUM(AR9:AS9*AR22:AS22)/AR32</f>
        <v>0.40036019522832406</v>
      </c>
      <c r="AS73" s="138"/>
      <c r="AT73" s="193">
        <f t="array" ref="AT73">SUM(AT9:AU9*AT22:AU22)/AT32</f>
        <v>0.38820271476784451</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0.22604620456442481</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0.22215984016474585</v>
      </c>
      <c r="E75" s="138"/>
      <c r="F75" s="193">
        <f t="array" ref="F75">SUM(F11:G11*F24:G24)/F32</f>
        <v>0.22422066003541558</v>
      </c>
      <c r="G75" s="138"/>
      <c r="H75" s="193">
        <f t="array" ref="H75">SUM(H11:I11*H24:I24)/H32</f>
        <v>0.22662617426743836</v>
      </c>
      <c r="I75" s="138"/>
      <c r="J75" s="193">
        <f t="array" ref="J75">SUM(J11:K11*J24:K24)/J32</f>
        <v>0.22945322889801631</v>
      </c>
      <c r="K75" s="138"/>
      <c r="L75" s="193">
        <f t="array" ref="L75">SUM(L11:M11*L24:M24)/L32</f>
        <v>0.23280324942711225</v>
      </c>
      <c r="M75" s="138"/>
      <c r="N75" s="193">
        <f t="array" ref="N75">SUM(N11:O11*N24:O24)/N32</f>
        <v>0.23681265804749679</v>
      </c>
      <c r="O75" s="138"/>
      <c r="P75" s="193">
        <f t="array" ref="P75">SUM(P11:Q11*P24:Q24)/P32</f>
        <v>0.24166864764958651</v>
      </c>
      <c r="Q75" s="138"/>
      <c r="R75" s="193">
        <f t="array" ref="R75">SUM(R11:S11*R24:S24)/R32</f>
        <v>0.24763347698555499</v>
      </c>
      <c r="S75" s="138"/>
      <c r="T75" s="193">
        <f t="array" ref="T75">SUM(T11:U11*T24:U24)/T32</f>
        <v>0.25508221651140306</v>
      </c>
      <c r="U75" s="138"/>
      <c r="V75" s="193">
        <f t="array" ref="V75">SUM(V11:W11*V24:W24)/V32</f>
        <v>0.26456140253447935</v>
      </c>
      <c r="W75" s="138"/>
      <c r="X75" s="193">
        <f t="array" ref="X75">SUM(X11:Y11*X24:Y24)/X32</f>
        <v>0.27688006599957471</v>
      </c>
      <c r="Y75" s="138"/>
      <c r="Z75" s="193">
        <f t="array" ref="Z75">SUM(Z11:AA11*Z24:AA24)/Z32</f>
        <v>0.29324783088613365</v>
      </c>
      <c r="AA75" s="138"/>
      <c r="AB75" s="193">
        <f t="array" ref="AB75">SUM(AB11:AC11*AB24:AC24)/AB32</f>
        <v>0.31547909033303445</v>
      </c>
      <c r="AC75" s="138"/>
      <c r="AD75" s="193">
        <f t="array" ref="AD75">SUM(AD11:AE11*AD24:AE24)/AD32</f>
        <v>0.34629000069103949</v>
      </c>
      <c r="AE75" s="138"/>
      <c r="AF75" s="193">
        <f t="array" ref="AF75">SUM(AF11:AG11*AF24:AG24)/AF32</f>
        <v>0.38975810489739215</v>
      </c>
      <c r="AG75" s="138"/>
      <c r="AH75" s="193">
        <f t="array" ref="AH75">SUM(AH11:AI11*AH24:AI24)/AH32</f>
        <v>0.4522060042951504</v>
      </c>
      <c r="AI75" s="138"/>
      <c r="AJ75" s="193">
        <f t="array" ref="AJ75">SUM(AJ11:AK11*AJ24:AK24)/AJ32</f>
        <v>0.54472560463947839</v>
      </c>
      <c r="AK75" s="138"/>
      <c r="AL75" s="193">
        <f t="array" ref="AL75">SUM(AL11:AM11*AL24:AM24)/AL32</f>
        <v>0.69397787901481445</v>
      </c>
      <c r="AM75" s="138"/>
      <c r="AN75" s="193">
        <f t="array" ref="AN75">SUM(AN11:AO11*AN24:AO24)/AN32</f>
        <v>1.0093553683284033</v>
      </c>
      <c r="AO75" s="138"/>
      <c r="AP75" s="193">
        <f t="array" ref="AP75">SUM(AP11:AQ11*AP24:AQ24)/AP32</f>
        <v>1.1324690765800616</v>
      </c>
      <c r="AQ75" s="138"/>
      <c r="AR75" s="193">
        <f t="array" ref="AR75">SUM(AR11:AS11*AR24:AS24)/AR32</f>
        <v>1.3109975641455542</v>
      </c>
      <c r="AS75" s="138"/>
      <c r="AT75" s="193">
        <f t="array" ref="AT75">SUM(AT11:AU11*AT24:AU24)/AT32</f>
        <v>1.6076248367134358</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0.22320660595112812</v>
      </c>
      <c r="E76" s="138"/>
      <c r="F76" s="193">
        <f t="array" ref="F76">SUM(F12:G12*F25:G25)/F32</f>
        <v>0.22331735615046822</v>
      </c>
      <c r="G76" s="138"/>
      <c r="H76" s="193">
        <f t="array" ref="H76">SUM(H12:I12*H25:I25)/H32</f>
        <v>0.22332060332234943</v>
      </c>
      <c r="I76" s="138"/>
      <c r="J76" s="193">
        <f t="array" ref="J76">SUM(J12:K12*J25:K25)/J32</f>
        <v>0.22317454722783875</v>
      </c>
      <c r="K76" s="138"/>
      <c r="L76" s="193">
        <f t="array" ref="L76">SUM(L12:M12*L25:M25)/L32</f>
        <v>0.22282129875179624</v>
      </c>
      <c r="M76" s="138"/>
      <c r="N76" s="193">
        <f t="array" ref="N76">SUM(N12:O12*N25:O25)/N32</f>
        <v>0.22218025497576671</v>
      </c>
      <c r="O76" s="138"/>
      <c r="P76" s="193">
        <f t="array" ref="P76">SUM(P12:Q12*P25:Q25)/P32</f>
        <v>0.2211383796691983</v>
      </c>
      <c r="Q76" s="138"/>
      <c r="R76" s="193">
        <f t="array" ref="R76">SUM(R12:S12*R25:S25)/R32</f>
        <v>0.21953633564249503</v>
      </c>
      <c r="S76" s="138"/>
      <c r="T76" s="193">
        <f t="array" ref="T76">SUM(T12:U12*T25:U25)/T32</f>
        <v>0.21714845177788539</v>
      </c>
      <c r="U76" s="138"/>
      <c r="V76" s="193">
        <f t="array" ref="V76">SUM(V12:W12*V25:W25)/V32</f>
        <v>0.21365538020217234</v>
      </c>
      <c r="W76" s="138"/>
      <c r="X76" s="193">
        <f t="array" ref="X76">SUM(X12:Y12*X25:Y25)/X32</f>
        <v>0.20860936213982192</v>
      </c>
      <c r="Y76" s="138"/>
      <c r="Z76" s="193">
        <f t="array" ref="Z76">SUM(Z12:AA12*Z25:AA25)/Z32</f>
        <v>0.20139810865188498</v>
      </c>
      <c r="AA76" s="138"/>
      <c r="AB76" s="193">
        <f t="array" ref="AB76">SUM(AB12:AC12*AB25:AC25)/AB32</f>
        <v>0.19122720285492076</v>
      </c>
      <c r="AC76" s="138"/>
      <c r="AD76" s="193">
        <f t="array" ref="AD76">SUM(AD12:AE12*AD25:AE25)/AD32</f>
        <v>0.17716730255127597</v>
      </c>
      <c r="AE76" s="138"/>
      <c r="AF76" s="193">
        <f t="array" ref="AF76">SUM(AF12:AG12*AF25:AG25)/AF32</f>
        <v>0.15834989688955761</v>
      </c>
      <c r="AG76" s="138"/>
      <c r="AH76" s="193">
        <f t="array" ref="AH76">SUM(AH12:AI12*AH25:AI25)/AH32</f>
        <v>0.13441998966566995</v>
      </c>
      <c r="AI76" s="138"/>
      <c r="AJ76" s="193">
        <f t="array" ref="AJ76">SUM(AJ12:AK12*AJ25:AK25)/AJ32</f>
        <v>0.10618691927155</v>
      </c>
      <c r="AK76" s="138"/>
      <c r="AL76" s="193">
        <f t="array" ref="AL76">SUM(AL12:AM12*AL25:AM25)/AL32</f>
        <v>7.5603413319000529E-2</v>
      </c>
      <c r="AM76" s="138"/>
      <c r="AN76" s="193">
        <f t="array" ref="AN76">SUM(AN12:AO12*AN25:AO25)/AN32</f>
        <v>4.3761641249500494E-2</v>
      </c>
      <c r="AO76" s="138"/>
      <c r="AP76" s="193">
        <f t="array" ref="AP76">SUM(AP12:AQ12*AP25:AQ25)/AP32</f>
        <v>3.704012984216512E-2</v>
      </c>
      <c r="AQ76" s="138"/>
      <c r="AR76" s="193">
        <f t="array" ref="AR76">SUM(AR12:AS12*AR25:AS25)/AR32</f>
        <v>3.0021620713665161E-2</v>
      </c>
      <c r="AS76" s="138"/>
      <c r="AT76" s="193">
        <f t="array" ref="AT76">SUM(AT12:AU12*AT25:AU25)/AT32</f>
        <v>2.2486154706041202E-2</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0.14638965511897487</v>
      </c>
      <c r="E77" s="138"/>
      <c r="F77" s="193">
        <f t="array" ref="F77">SUM(F4:G4*F19:G19)/F32</f>
        <v>0.14712847982369689</v>
      </c>
      <c r="G77" s="138"/>
      <c r="H77" s="193">
        <f t="array" ref="H77">SUM(H4:I4*H19:I19)/H32</f>
        <v>0.14810702580627141</v>
      </c>
      <c r="I77" s="138"/>
      <c r="J77" s="193">
        <f t="array" ref="J77">SUM(J4:K4*J19:K19)/J32</f>
        <v>0.14936086392622358</v>
      </c>
      <c r="K77" s="138"/>
      <c r="L77" s="193">
        <f t="array" ref="L77">SUM(L4:M4*L19:M19)/L32</f>
        <v>0.15093367219446449</v>
      </c>
      <c r="M77" s="138"/>
      <c r="N77" s="193">
        <f t="array" ref="N77">SUM(N4:O4*N19:O19)/N32</f>
        <v>0.15288072637114408</v>
      </c>
      <c r="O77" s="138"/>
      <c r="P77" s="193">
        <f t="array" ref="P77">SUM(P4:Q4*P19:Q19)/P32</f>
        <v>0.15527458383165801</v>
      </c>
      <c r="Q77" s="138"/>
      <c r="R77" s="193">
        <f t="array" ref="R77">SUM(R4:S4*R19:S19)/R32</f>
        <v>0.15821481011088756</v>
      </c>
      <c r="S77" s="138"/>
      <c r="T77" s="193">
        <f t="array" ref="T77">SUM(T4:U4*T19:U19)/T32</f>
        <v>0.16184479879577079</v>
      </c>
      <c r="U77" s="138"/>
      <c r="V77" s="193">
        <f t="array" ref="V77">SUM(V4:W4*V19:W19)/V32</f>
        <v>0.166381274407015</v>
      </c>
      <c r="W77" s="138"/>
      <c r="X77" s="193">
        <f t="array" ref="X77">SUM(X4:Y4*X19:Y19)/X32</f>
        <v>0.17216718904333386</v>
      </c>
      <c r="Y77" s="138"/>
      <c r="Z77" s="193">
        <f t="array" ref="Z77">SUM(Z4:AA4*Z19:AA19)/Z32</f>
        <v>0.17976633491779476</v>
      </c>
      <c r="AA77" s="138"/>
      <c r="AB77" s="193">
        <f t="array" ref="AB77">SUM(AB4:AC4*AB19:AC19)/AB32</f>
        <v>0.19013291090802853</v>
      </c>
      <c r="AC77" s="138"/>
      <c r="AD77" s="193">
        <f t="array" ref="AD77">SUM(AD4:AE4*AD19:AE19)/AD32</f>
        <v>0.2049169336325859</v>
      </c>
      <c r="AE77" s="138"/>
      <c r="AF77" s="193">
        <f t="array" ref="AF77">SUM(AF4:AG4*AF19:AG19)/AF32</f>
        <v>0.22703897036363385</v>
      </c>
      <c r="AG77" s="138"/>
      <c r="AH77" s="193">
        <f t="array" ref="AH77">SUM(AH4:AI4*AH19:AI19)/AH32</f>
        <v>0.26189027104231977</v>
      </c>
      <c r="AI77" s="138"/>
      <c r="AJ77" s="193">
        <f t="array" ref="AJ77">SUM(AJ4:AK4*AJ19:AK19)/AJ32</f>
        <v>0.32034781555217051</v>
      </c>
      <c r="AK77" s="138"/>
      <c r="AL77" s="193">
        <f t="array" ref="AL77">SUM(AL4:AM4*AL19:AM19)/AL32</f>
        <v>0.42926217449196979</v>
      </c>
      <c r="AM77" s="138"/>
      <c r="AN77" s="193">
        <f t="array" ref="AN77">SUM(AN4:AO4*AN19:AO19)/AN32</f>
        <v>0.69418432443135136</v>
      </c>
      <c r="AO77" s="138"/>
      <c r="AP77" s="193">
        <f t="array" ref="AP77">SUM(AP4:AQ4*AP19:AQ19)/AP32</f>
        <v>0.80426294875620541</v>
      </c>
      <c r="AQ77" s="138"/>
      <c r="AR77" s="193">
        <f t="array" ref="AR77">SUM(AR4:AS4*AR19:AS19)/AR32</f>
        <v>0.96742558465196826</v>
      </c>
      <c r="AS77" s="138"/>
      <c r="AT77" s="193">
        <f t="array" ref="AT77">SUM(AT4:AU4*AT19:AU19)/AT32</f>
        <v>1.2443599107517465</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0.34567766859783211</v>
      </c>
      <c r="E78" s="138"/>
      <c r="F78" s="193">
        <f t="array" ref="F78">SUM(F13:G13*F26:G26)/F32</f>
        <v>0.34444341681909113</v>
      </c>
      <c r="G78" s="138"/>
      <c r="H78" s="193">
        <f t="array" ref="H78">SUM(H13:I13*H26:I26)/H32</f>
        <v>0.34318229933702787</v>
      </c>
      <c r="I78" s="138"/>
      <c r="J78" s="193">
        <f t="array" ref="J78">SUM(J13:K13*J26:K26)/J32</f>
        <v>0.34189083070276177</v>
      </c>
      <c r="K78" s="138"/>
      <c r="L78" s="193">
        <f t="array" ref="L78">SUM(L13:M13*L26:M26)/L32</f>
        <v>0.34056422748608967</v>
      </c>
      <c r="M78" s="138"/>
      <c r="N78" s="193">
        <f t="array" ref="N78">SUM(N13:O13*N26:O26)/N32</f>
        <v>0.33919595823935172</v>
      </c>
      <c r="O78" s="138"/>
      <c r="P78" s="193">
        <f t="array" ref="P78">SUM(P13:Q13*P26:Q26)/P32</f>
        <v>0.33777715599979269</v>
      </c>
      <c r="Q78" s="138"/>
      <c r="R78" s="193">
        <f t="array" ref="R78">SUM(R13:S13*R26:S26)/R32</f>
        <v>0.33629600866108694</v>
      </c>
      <c r="S78" s="138"/>
      <c r="T78" s="193">
        <f t="array" ref="T78">SUM(T13:U13*T26:U26)/T32</f>
        <v>0.33473710878150104</v>
      </c>
      <c r="U78" s="138"/>
      <c r="V78" s="193">
        <f t="array" ref="V78">SUM(V13:W13*V26:W26)/V32</f>
        <v>0.33308089854116191</v>
      </c>
      <c r="W78" s="138"/>
      <c r="X78" s="193">
        <f t="array" ref="X78">SUM(X13:Y13*X26:Y26)/X32</f>
        <v>0.33130337954252337</v>
      </c>
      <c r="Y78" s="138"/>
      <c r="Z78" s="193">
        <f t="array" ref="Z78">SUM(Z13:AA13*Z26:AA26)/Z32</f>
        <v>0.32937566211321218</v>
      </c>
      <c r="AA78" s="138"/>
      <c r="AB78" s="193">
        <f t="array" ref="AB78">SUM(AB13:AC13*AB26:AC26)/AB32</f>
        <v>0.32726143692064757</v>
      </c>
      <c r="AC78" s="138"/>
      <c r="AD78" s="193">
        <f t="array" ref="AD78">SUM(AD13:AE13*AD26:AE26)/AD32</f>
        <v>0.32490636629432879</v>
      </c>
      <c r="AE78" s="138"/>
      <c r="AF78" s="193">
        <f t="array" ref="AF78">SUM(AF13:AG13*AF26:AG26)/AF32</f>
        <v>0.32220946156335495</v>
      </c>
      <c r="AG78" s="138"/>
      <c r="AH78" s="193">
        <f t="array" ref="AH78">SUM(AH13:AI13*AH26:AI26)/AH32</f>
        <v>0.31897659332842254</v>
      </c>
      <c r="AI78" s="138"/>
      <c r="AJ78" s="193">
        <f t="array" ref="AJ78">SUM(AJ13:AK13*AJ26:AK26)/AJ32</f>
        <v>0.31490531492987012</v>
      </c>
      <c r="AK78" s="138"/>
      <c r="AL78" s="193">
        <f t="array" ref="AL78">SUM(AL13:AM13*AL26:AM26)/AL32</f>
        <v>0.30964025484681085</v>
      </c>
      <c r="AM78" s="138"/>
      <c r="AN78" s="193">
        <f t="array" ref="AN78">SUM(AN13:AO13*AN26:AO26)/AN32</f>
        <v>0.30255434074091681</v>
      </c>
      <c r="AO78" s="138"/>
      <c r="AP78" s="193">
        <f t="array" ref="AP78">SUM(AP13:AQ13*AP26:AQ26)/AP32</f>
        <v>0.30076526280360921</v>
      </c>
      <c r="AQ78" s="138"/>
      <c r="AR78" s="193">
        <f t="array" ref="AR78">SUM(AR13:AS13*AR26:AS26)/AR32</f>
        <v>0.29875974256188592</v>
      </c>
      <c r="AS78" s="138"/>
      <c r="AT78" s="193">
        <f t="array" ref="AT78">SUM(AT13:AU13*AT26:AU26)/AT32</f>
        <v>0.2964141368659014</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0.4534085224105216</v>
      </c>
      <c r="F79" s="193">
        <f t="array" ref="F79">SUM(F15:G15*F27:G27)/F32</f>
        <v>0.45223502547166661</v>
      </c>
      <c r="H79" s="193">
        <f t="array" ref="H79">SUM(H15:I15*H27:I27)/H32</f>
        <v>0.4510930565778099</v>
      </c>
      <c r="J79" s="193">
        <f t="array" ref="J79">SUM(J15:K15*J27:K27)/J32</f>
        <v>0.44998703794565059</v>
      </c>
      <c r="L79" s="193">
        <f t="array" ref="L79">SUM(L15:M15*L27:M27)/L32</f>
        <v>0.44892203814986775</v>
      </c>
      <c r="N79" s="193">
        <f t="array" ref="N79">SUM(N15:O15*N27:O27)/N32</f>
        <v>0.44790380726453383</v>
      </c>
      <c r="P79" s="193">
        <f t="array" ref="P79">SUM(P15:Q15*P27:Q27)/P32</f>
        <v>0.44693855393259629</v>
      </c>
      <c r="R79" s="193">
        <f t="array" ref="R79">SUM(R15:S15*R27:S27)/R32</f>
        <v>0.44603263897777545</v>
      </c>
      <c r="T79" s="193">
        <f t="array" ref="T79">SUM(T15:U15*T27:U27)/T32</f>
        <v>0.44519151590886746</v>
      </c>
      <c r="V79" s="193">
        <f t="array" ref="V79">SUM(V15:W15*V27:W27)/V32</f>
        <v>0.44441726663886655</v>
      </c>
      <c r="X79" s="193">
        <f t="array" ref="X79">SUM(X15:Y15*X27:Y27)/X32</f>
        <v>0.44370324367760039</v>
      </c>
      <c r="Z79" s="193">
        <f t="array" ref="Z79">SUM(Z15:AA15*Z27:AA27)/Z32</f>
        <v>0.44302195333682071</v>
      </c>
      <c r="AB79" s="193">
        <f t="array" ref="AB79">SUM(AB15:AC15*AB27:AC27)/AB32</f>
        <v>0.44229890435425279</v>
      </c>
      <c r="AD79" s="193">
        <f t="array" ref="AD79">SUM(AD15:AE15*AD27:AE27)/AD32</f>
        <v>0.44135762261110167</v>
      </c>
      <c r="AF79" s="193">
        <f t="array" ref="AF79">SUM(AF15:AG15*AF27:AG27)/AF32</f>
        <v>0.43981231810428228</v>
      </c>
      <c r="AH79" s="193">
        <f t="array" ref="AH79">SUM(AH15:AI15*AH27:AI27)/AH32</f>
        <v>0.4368843154258053</v>
      </c>
      <c r="AJ79" s="193">
        <f t="array" ref="AJ79">SUM(AJ15:AK15*AJ27:AK27)/AJ32</f>
        <v>0.43114671593208964</v>
      </c>
      <c r="AL79" s="193">
        <f t="array" ref="AL79">SUM(AL15:AM15*AL27:AM27)/AL32</f>
        <v>0.41997573735277249</v>
      </c>
      <c r="AN79" s="193">
        <f t="array" ref="AN79">SUM(AN15:AO15*AN27:AO27)/AN32</f>
        <v>0.39565684007111124</v>
      </c>
      <c r="AP79" s="193">
        <f t="array" ref="AP79">SUM(AP15:AQ15*AP27:AQ27)/AP32</f>
        <v>0.38678510506428071</v>
      </c>
      <c r="AR79" s="193">
        <f t="array" ref="AR79">SUM(AR15:AS15*AR27:AS27)/AR32</f>
        <v>0.3746906705892657</v>
      </c>
      <c r="AT79" s="193">
        <f t="array" ref="AT79">SUM(AT15:AU15*AT27:AU27)/AT32</f>
        <v>0.35649239910694608</v>
      </c>
      <c r="AV79" s="193" t="e">
        <f t="array" ref="AV79">SUM(AV15:AW15*AV27:AW27)/AV32</f>
        <v>#DIV/0!</v>
      </c>
      <c r="XFD79" s="193"/>
    </row>
    <row r="80" spans="1:48 16384:16384" x14ac:dyDescent="0.2">
      <c r="A80" t="s">
        <v>169</v>
      </c>
      <c r="B80" s="236">
        <f>B55</f>
        <v>0.19850271905982084</v>
      </c>
      <c r="D80" s="236">
        <f>D55</f>
        <v>0.20091382048686571</v>
      </c>
      <c r="F80" s="236">
        <f>F55</f>
        <v>0.20332155481842412</v>
      </c>
      <c r="H80" s="236">
        <f>H55</f>
        <v>0.20572463830353027</v>
      </c>
      <c r="J80" s="236">
        <f>J55</f>
        <v>0.20812212783555573</v>
      </c>
      <c r="L80" s="236">
        <f>L55</f>
        <v>0.21051372083884778</v>
      </c>
      <c r="N80" s="236">
        <f>N55</f>
        <v>0.21290023731947982</v>
      </c>
      <c r="P80" s="236">
        <f>P55</f>
        <v>0.21528429013477521</v>
      </c>
      <c r="R80" s="236">
        <f>R55</f>
        <v>0.21767133870723301</v>
      </c>
      <c r="T80" s="236">
        <f>T55</f>
        <v>0.22007137269528448</v>
      </c>
      <c r="V80" s="236">
        <f>V55</f>
        <v>0.22250183557727399</v>
      </c>
      <c r="X80" s="236">
        <f>X55</f>
        <v>0.22499338337355723</v>
      </c>
      <c r="Z80" s="236">
        <f>Z55</f>
        <v>0.2276023833489402</v>
      </c>
      <c r="AB80" s="236">
        <f>AB55</f>
        <v>0.23043966309673003</v>
      </c>
      <c r="AD80" s="236">
        <f>AD55</f>
        <v>0.23373600984848331</v>
      </c>
      <c r="AF80" s="236">
        <f>AF55</f>
        <v>0.23797822052499368</v>
      </c>
      <c r="AH80" s="236">
        <f>AH55</f>
        <v>0.24413909237817666</v>
      </c>
      <c r="AJ80" s="236">
        <f>AJ55</f>
        <v>0.2539479691483863</v>
      </c>
      <c r="AL80" s="236">
        <f>AL55</f>
        <v>0.2703840078322246</v>
      </c>
      <c r="AN80" s="236">
        <f>AN55</f>
        <v>0.30178881918659278</v>
      </c>
      <c r="AP80" s="236">
        <f>AP55</f>
        <v>0.31244963213627691</v>
      </c>
      <c r="AR80" s="236">
        <f>AR55</f>
        <v>0.32654958684867996</v>
      </c>
      <c r="AT80" s="236">
        <f>AT55</f>
        <v>0.34709346404580771</v>
      </c>
      <c r="AV80" s="236" t="e">
        <f>AV55</f>
        <v>#DIV/0!</v>
      </c>
      <c r="XFD80" s="236"/>
    </row>
    <row r="81" spans="1:48 16384:16384" x14ac:dyDescent="0.2">
      <c r="A81" t="s">
        <v>191</v>
      </c>
      <c r="B81" s="236">
        <f>B51/B$32</f>
        <v>-2.7543485504603994E-2</v>
      </c>
      <c r="D81" s="236">
        <f>D51/D$32</f>
        <v>-2.5132384077559133E-2</v>
      </c>
      <c r="F81" s="236">
        <f>F51/F$32</f>
        <v>-2.2724649746000716E-2</v>
      </c>
      <c r="H81" s="236">
        <f>H51/H$32</f>
        <v>-2.0321566260894566E-2</v>
      </c>
      <c r="J81" s="236">
        <f>J51/J$32</f>
        <v>-1.7924076728869105E-2</v>
      </c>
      <c r="L81" s="236">
        <f>L51/L$32</f>
        <v>-1.5532483725577051E-2</v>
      </c>
      <c r="N81" s="236">
        <f>N51/N$32</f>
        <v>-1.3145967244945021E-2</v>
      </c>
      <c r="P81" s="236">
        <f>P51/P$32</f>
        <v>-1.0761914429649608E-2</v>
      </c>
      <c r="R81" s="236">
        <f>R51/R$32</f>
        <v>-8.374865857191837E-3</v>
      </c>
      <c r="T81" s="236">
        <f>T51/T$32</f>
        <v>-5.9748318691403637E-3</v>
      </c>
      <c r="V81" s="236">
        <f>V51/V$32</f>
        <v>-3.5443689871508641E-3</v>
      </c>
      <c r="X81" s="236">
        <f>X51/X$32</f>
        <v>-1.0528211908675902E-3</v>
      </c>
      <c r="Z81" s="236">
        <f>Z51/Z$32</f>
        <v>1.5561787845153711E-3</v>
      </c>
      <c r="AB81" s="236">
        <f>AB51/AB$32</f>
        <v>4.3934585323051785E-3</v>
      </c>
      <c r="AD81" s="236">
        <f>AD51/AD$32</f>
        <v>7.68980528405844E-3</v>
      </c>
      <c r="AF81" s="236">
        <f>AF51/AF$32</f>
        <v>1.1932015960568854E-2</v>
      </c>
      <c r="AH81" s="236">
        <f>AH51/AH$32</f>
        <v>1.8092887813751794E-2</v>
      </c>
      <c r="AJ81" s="236">
        <f>AJ51/AJ$32</f>
        <v>2.7901764583961475E-2</v>
      </c>
      <c r="AL81" s="236">
        <f>AL51/AL$32</f>
        <v>4.433780326779977E-2</v>
      </c>
      <c r="AN81" s="236">
        <f>AN51/AN$32</f>
        <v>7.5742614622167914E-2</v>
      </c>
      <c r="AP81" s="236">
        <f>AP51/AP$32</f>
        <v>8.6403427571852098E-2</v>
      </c>
      <c r="AR81" s="236">
        <f>AR51/AR$32</f>
        <v>0.10050338228425512</v>
      </c>
      <c r="AT81" s="236">
        <f>AT51/AT$32</f>
        <v>0.1210472594813829</v>
      </c>
      <c r="AV81" s="236" t="e">
        <f>AV51/AV$32</f>
        <v>#DIV/0!</v>
      </c>
      <c r="XFD81" s="236"/>
    </row>
    <row r="82" spans="1:48 16384:16384" x14ac:dyDescent="0.2">
      <c r="A82" t="s">
        <v>192</v>
      </c>
      <c r="B82" s="236">
        <f>B52/B$32</f>
        <v>0.13907860278212886</v>
      </c>
      <c r="D82" s="236">
        <f>D52/D$32</f>
        <v>0.13859350439646564</v>
      </c>
      <c r="F82" s="236">
        <f>F52/F$32</f>
        <v>0.13809865241479971</v>
      </c>
      <c r="H82" s="236">
        <f>H52/H$32</f>
        <v>0.13759302909234514</v>
      </c>
      <c r="J82" s="236">
        <f>J52/J$32</f>
        <v>0.13707523699843557</v>
      </c>
      <c r="L82" s="236">
        <f>L52/L$32</f>
        <v>0.13654335829916062</v>
      </c>
      <c r="N82" s="236">
        <f>N52/N$32</f>
        <v>0.13599477432313309</v>
      </c>
      <c r="P82" s="236">
        <f>P52/P$32</f>
        <v>0.13542593001443459</v>
      </c>
      <c r="R82" s="236">
        <f>R52/R$32</f>
        <v>0.13483208951258385</v>
      </c>
      <c r="T82" s="236">
        <f>T52/T$32</f>
        <v>0.13420707546932378</v>
      </c>
      <c r="V82" s="236">
        <f>V52/V$32</f>
        <v>0.13354304651380294</v>
      </c>
      <c r="X82" s="236">
        <f>X52/X$32</f>
        <v>0.13283038090207308</v>
      </c>
      <c r="Z82" s="236">
        <f>Z52/Z$32</f>
        <v>0.13205749581783235</v>
      </c>
      <c r="AB82" s="236">
        <f>AB52/AB$32</f>
        <v>0.1312098336598764</v>
      </c>
      <c r="AD82" s="236">
        <f>AD52/AD$32</f>
        <v>0.13026560867558201</v>
      </c>
      <c r="AF82" s="236">
        <f>AF52/AF$32</f>
        <v>0.12918433119762054</v>
      </c>
      <c r="AH82" s="236">
        <f>AH52/AH$32</f>
        <v>0.12788816838864089</v>
      </c>
      <c r="AJ82" s="236">
        <f>AJ52/AJ$32</f>
        <v>0.12625585947230916</v>
      </c>
      <c r="AL82" s="236">
        <f>AL52/AL$32</f>
        <v>0.12414492436120114</v>
      </c>
      <c r="AN82" s="236">
        <f>AN52/AN$32</f>
        <v>0.12130394920717474</v>
      </c>
      <c r="AP82" s="236">
        <f>AP52/AP$32</f>
        <v>0.12058664923817287</v>
      </c>
      <c r="AR82" s="236">
        <f>AR52/AR$32</f>
        <v>0.11978257045701839</v>
      </c>
      <c r="AT82" s="236">
        <f>AT52/AT$32</f>
        <v>0.11884214027343887</v>
      </c>
      <c r="AV82" s="236" t="e">
        <f>AV52/AV$32</f>
        <v>#DIV/0!</v>
      </c>
    </row>
    <row r="83" spans="1:48 16384:16384" x14ac:dyDescent="0.2">
      <c r="A83" t="s">
        <v>193</v>
      </c>
      <c r="B83" s="236">
        <f>B53/B$32</f>
        <v>0.18600714462930035</v>
      </c>
      <c r="D83" s="236">
        <f>D53/D$32</f>
        <v>0.18551567831248281</v>
      </c>
      <c r="F83" s="236">
        <f>F53/F$32</f>
        <v>0.18503553277077153</v>
      </c>
      <c r="H83" s="236">
        <f>H53/H$32</f>
        <v>0.18456828717770399</v>
      </c>
      <c r="J83" s="236">
        <f>J53/J$32</f>
        <v>0.18411575091817267</v>
      </c>
      <c r="L83" s="236">
        <f>L53/L$32</f>
        <v>0.183679997839543</v>
      </c>
      <c r="N83" s="236">
        <f>N53/N$32</f>
        <v>0.18326338063004027</v>
      </c>
      <c r="P83" s="236">
        <f>P53/P$32</f>
        <v>0.18286843960496696</v>
      </c>
      <c r="R83" s="236">
        <f>R53/R$32</f>
        <v>0.182497777345591</v>
      </c>
      <c r="T83" s="236">
        <f>T53/T$32</f>
        <v>0.18215362519811226</v>
      </c>
      <c r="V83" s="236">
        <f>V53/V$32</f>
        <v>0.18183683499367687</v>
      </c>
      <c r="X83" s="236">
        <f>X53/X$32</f>
        <v>0.18154468685917394</v>
      </c>
      <c r="Z83" s="236">
        <f>Z53/Z$32</f>
        <v>0.18126593153489035</v>
      </c>
      <c r="AB83" s="236">
        <f>AB53/AB$32</f>
        <v>0.1809700903324773</v>
      </c>
      <c r="AD83" s="236">
        <f>AD53/AD$32</f>
        <v>0.18058495747230199</v>
      </c>
      <c r="AF83" s="236">
        <f>AF53/AF$32</f>
        <v>0.17995268392733677</v>
      </c>
      <c r="AH83" s="236">
        <f>AH53/AH$32</f>
        <v>0.17875466850382737</v>
      </c>
      <c r="AJ83" s="236">
        <f>AJ53/AJ$32</f>
        <v>0.17640708435101279</v>
      </c>
      <c r="AL83" s="236">
        <f>AL53/AL$32</f>
        <v>0.17183639022832958</v>
      </c>
      <c r="AN83" s="236">
        <f>AN53/AN$32</f>
        <v>0.16188612131623759</v>
      </c>
      <c r="AP83" s="236">
        <f>AP53/AP$32</f>
        <v>0.15825618086242629</v>
      </c>
      <c r="AR83" s="236">
        <f>AR53/AR$32</f>
        <v>0.15330764746585548</v>
      </c>
      <c r="AT83" s="236">
        <f>AT53/AT$32</f>
        <v>0.14586168094496044</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c r="AR1" s="94"/>
      <c r="AT1" s="94"/>
      <c r="AV1" s="94"/>
    </row>
    <row r="2" spans="1:49" x14ac:dyDescent="0.2">
      <c r="A2" s="229" t="s">
        <v>155</v>
      </c>
      <c r="B2" s="226">
        <v>5.7716594496607888E-3</v>
      </c>
      <c r="C2" s="227"/>
      <c r="D2" s="226">
        <v>4.7514111708893948E-2</v>
      </c>
      <c r="E2" s="227"/>
      <c r="F2" s="226">
        <v>9.2849929372285908E-2</v>
      </c>
      <c r="G2" s="227"/>
      <c r="H2" s="226">
        <v>0.14240911825658109</v>
      </c>
      <c r="I2" s="227"/>
      <c r="J2" s="226">
        <v>0.19703383782485873</v>
      </c>
      <c r="K2" s="227"/>
      <c r="L2" s="226">
        <v>0.2578838015505287</v>
      </c>
      <c r="M2" s="227"/>
      <c r="N2" s="226">
        <v>0.3266078129810055</v>
      </c>
      <c r="O2" s="227"/>
      <c r="P2" s="226">
        <v>0.40563537829390528</v>
      </c>
      <c r="Q2" s="227"/>
      <c r="R2" s="226">
        <v>0.4986911346202329</v>
      </c>
      <c r="S2" s="227"/>
      <c r="T2" s="226">
        <v>0.61176120350277607</v>
      </c>
      <c r="U2" s="227"/>
      <c r="V2" s="226">
        <v>0.7549731529820628</v>
      </c>
      <c r="W2" s="227"/>
      <c r="X2" s="226">
        <v>0.94639967244475509</v>
      </c>
      <c r="Y2" s="227"/>
      <c r="Z2" s="226">
        <v>1.2196538777103962</v>
      </c>
      <c r="AA2" s="227"/>
      <c r="AB2" s="226">
        <v>1.6371495408409076</v>
      </c>
      <c r="AC2" s="227"/>
      <c r="AD2" s="226">
        <v>2.3071801128627034</v>
      </c>
      <c r="AE2" s="227"/>
      <c r="AF2" s="226">
        <v>3.4105594141613755</v>
      </c>
      <c r="AG2" s="227"/>
      <c r="AH2" s="226">
        <v>5.3039708821732559</v>
      </c>
      <c r="AI2" s="227"/>
      <c r="AJ2" s="226">
        <v>8.8896204999959778</v>
      </c>
      <c r="AK2" s="227"/>
      <c r="AL2" s="226">
        <v>17.097016313577868</v>
      </c>
      <c r="AM2" s="227"/>
      <c r="AN2" s="226">
        <v>44.850321988963564</v>
      </c>
      <c r="AO2" s="227"/>
      <c r="AP2" s="226"/>
      <c r="AQ2" s="227"/>
      <c r="AR2" s="226"/>
      <c r="AS2" s="227"/>
      <c r="AT2" s="226"/>
      <c r="AU2" s="227"/>
      <c r="AV2" s="226"/>
      <c r="AW2" s="227"/>
    </row>
    <row r="3" spans="1:49" x14ac:dyDescent="0.2">
      <c r="A3" t="s">
        <v>12</v>
      </c>
      <c r="B3" s="84">
        <v>1000</v>
      </c>
      <c r="C3" s="85">
        <v>1000</v>
      </c>
      <c r="D3" s="84">
        <v>998.1687836694897</v>
      </c>
      <c r="E3" s="85">
        <v>1017.9984288948907</v>
      </c>
      <c r="F3" s="84">
        <v>996.23223289361465</v>
      </c>
      <c r="G3" s="85">
        <v>1037.7327180158613</v>
      </c>
      <c r="H3" s="84">
        <v>994.18385083620365</v>
      </c>
      <c r="I3" s="85">
        <v>1059.48135023947</v>
      </c>
      <c r="J3" s="84">
        <v>992.02000946809289</v>
      </c>
      <c r="K3" s="85">
        <v>1083.6075748179117</v>
      </c>
      <c r="L3" s="84">
        <v>989.74203522562368</v>
      </c>
      <c r="M3" s="85">
        <v>1110.5998271095839</v>
      </c>
      <c r="N3" s="84">
        <v>987.35943036753793</v>
      </c>
      <c r="O3" s="85">
        <v>1141.1375422616181</v>
      </c>
      <c r="P3" s="84">
        <v>984.89516166483725</v>
      </c>
      <c r="Q3" s="85">
        <v>1176.1995718823837</v>
      </c>
      <c r="R3" s="84">
        <v>982.39434976427162</v>
      </c>
      <c r="S3" s="85">
        <v>1217.2544356451331</v>
      </c>
      <c r="T3" s="84">
        <v>979.93939688912144</v>
      </c>
      <c r="U3" s="85">
        <v>1266.6057439285416</v>
      </c>
      <c r="V3" s="84">
        <v>977.67599654248045</v>
      </c>
      <c r="W3" s="85">
        <v>1328.0497411856441</v>
      </c>
      <c r="X3" s="84">
        <v>975.85530089729139</v>
      </c>
      <c r="Y3" s="85">
        <v>1408.1613282007538</v>
      </c>
      <c r="Z3" s="84">
        <v>974.88302212110045</v>
      </c>
      <c r="AA3" s="85">
        <v>1518.7465596281017</v>
      </c>
      <c r="AB3" s="84">
        <v>975.28937920528256</v>
      </c>
      <c r="AC3" s="85">
        <v>1680.8488399624391</v>
      </c>
      <c r="AD3" s="84">
        <v>977.40873772854479</v>
      </c>
      <c r="AE3" s="85">
        <v>1929.43923476291</v>
      </c>
      <c r="AF3" s="84">
        <v>980.91783491801903</v>
      </c>
      <c r="AG3" s="85">
        <v>2321.2416775788374</v>
      </c>
      <c r="AH3" s="84">
        <v>985.07648962105111</v>
      </c>
      <c r="AI3" s="85">
        <v>2967.5943775060668</v>
      </c>
      <c r="AJ3" s="84">
        <v>989.35993203542751</v>
      </c>
      <c r="AK3" s="85">
        <v>4148.2384334701283</v>
      </c>
      <c r="AL3" s="84">
        <v>993.56633830219459</v>
      </c>
      <c r="AM3" s="85">
        <v>6758.7283667805923</v>
      </c>
      <c r="AN3" s="84">
        <v>997.75913334183053</v>
      </c>
      <c r="AO3" s="85">
        <v>15294.519295981441</v>
      </c>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c r="AQ4" s="102"/>
      <c r="AR4" s="101"/>
      <c r="AS4" s="102"/>
      <c r="AT4" s="101"/>
      <c r="AU4" s="102"/>
      <c r="AV4" s="101"/>
      <c r="AW4" s="102"/>
    </row>
    <row r="5" spans="1:49" x14ac:dyDescent="0.2">
      <c r="A5" t="s">
        <v>128</v>
      </c>
      <c r="B5" s="41">
        <v>1000</v>
      </c>
      <c r="C5" s="42">
        <v>1000</v>
      </c>
      <c r="D5" s="41">
        <v>998.07749528866952</v>
      </c>
      <c r="E5" s="42">
        <v>1015.5484234111445</v>
      </c>
      <c r="F5" s="41">
        <v>996.04217805583994</v>
      </c>
      <c r="G5" s="42">
        <v>1031.9936985745912</v>
      </c>
      <c r="H5" s="41">
        <v>993.88682624200135</v>
      </c>
      <c r="I5" s="42">
        <v>1049.3597461164995</v>
      </c>
      <c r="J5" s="41">
        <v>991.60718530871134</v>
      </c>
      <c r="K5" s="42">
        <v>1067.66246842239</v>
      </c>
      <c r="L5" s="41">
        <v>989.20418376894986</v>
      </c>
      <c r="M5" s="42">
        <v>1086.9056444332157</v>
      </c>
      <c r="N5" s="41">
        <v>986.68737204944409</v>
      </c>
      <c r="O5" s="42">
        <v>1107.0769303627799</v>
      </c>
      <c r="P5" s="41">
        <v>984.08058477798761</v>
      </c>
      <c r="Q5" s="42">
        <v>1128.1332179110711</v>
      </c>
      <c r="R5" s="41">
        <v>981.43126594927537</v>
      </c>
      <c r="S5" s="42">
        <v>1149.9815648447277</v>
      </c>
      <c r="T5" s="41">
        <v>978.82671610935631</v>
      </c>
      <c r="U5" s="42">
        <v>1172.4297315971965</v>
      </c>
      <c r="V5" s="41">
        <v>976.4220295909314</v>
      </c>
      <c r="W5" s="42">
        <v>1195.0985145741317</v>
      </c>
      <c r="X5" s="41">
        <v>974.48533238101572</v>
      </c>
      <c r="Y5" s="42">
        <v>1217.2552166583921</v>
      </c>
      <c r="Z5" s="41">
        <v>973.4502461659431</v>
      </c>
      <c r="AA5" s="42">
        <v>1237.5508486839612</v>
      </c>
      <c r="AB5" s="41">
        <v>973.88292618676041</v>
      </c>
      <c r="AC5" s="42">
        <v>1253.903884183298</v>
      </c>
      <c r="AD5" s="41">
        <v>976.13787439075509</v>
      </c>
      <c r="AE5" s="42">
        <v>1264.3879974180422</v>
      </c>
      <c r="AF5" s="41">
        <v>979.86523087981061</v>
      </c>
      <c r="AG5" s="42">
        <v>1269.2226602216001</v>
      </c>
      <c r="AH5" s="41">
        <v>984.27252865853188</v>
      </c>
      <c r="AI5" s="42">
        <v>1270.7327891809155</v>
      </c>
      <c r="AJ5" s="41">
        <v>988.80079448491165</v>
      </c>
      <c r="AK5" s="42">
        <v>1271.029985552065</v>
      </c>
      <c r="AL5" s="41">
        <v>993.23656088011285</v>
      </c>
      <c r="AM5" s="42">
        <v>1271.0603658506097</v>
      </c>
      <c r="AN5" s="41">
        <v>997.64714361463484</v>
      </c>
      <c r="AO5" s="42">
        <v>1271.0613911533189</v>
      </c>
      <c r="AP5" s="41"/>
      <c r="AQ5" s="42"/>
      <c r="AR5" s="41"/>
      <c r="AS5" s="42"/>
      <c r="AT5" s="41"/>
      <c r="AU5" s="42"/>
      <c r="AV5" s="41"/>
      <c r="AW5" s="42"/>
    </row>
    <row r="6" spans="1:49" x14ac:dyDescent="0.2">
      <c r="A6" t="s">
        <v>77</v>
      </c>
      <c r="B6" s="41">
        <v>999.99999999999943</v>
      </c>
      <c r="C6" s="42">
        <v>999.99999999999909</v>
      </c>
      <c r="D6" s="41">
        <v>997.93105076603979</v>
      </c>
      <c r="E6" s="42">
        <v>1019.4010668407302</v>
      </c>
      <c r="F6" s="41">
        <v>995.74201524193097</v>
      </c>
      <c r="G6" s="42">
        <v>1040.6143334720775</v>
      </c>
      <c r="H6" s="41">
        <v>993.42535214079533</v>
      </c>
      <c r="I6" s="42">
        <v>1063.9272512322309</v>
      </c>
      <c r="J6" s="41">
        <v>990.97673699514405</v>
      </c>
      <c r="K6" s="42">
        <v>1089.7151833152195</v>
      </c>
      <c r="L6" s="41">
        <v>988.39743116616978</v>
      </c>
      <c r="M6" s="42">
        <v>1118.4833350909382</v>
      </c>
      <c r="N6" s="41">
        <v>985.69794887427827</v>
      </c>
      <c r="O6" s="42">
        <v>1150.9349499073987</v>
      </c>
      <c r="P6" s="41">
        <v>982.90408683774706</v>
      </c>
      <c r="Q6" s="42">
        <v>1188.0834440993522</v>
      </c>
      <c r="R6" s="41">
        <v>980.06684311176377</v>
      </c>
      <c r="S6" s="42">
        <v>1231.4489457083173</v>
      </c>
      <c r="T6" s="41">
        <v>977.27969362015835</v>
      </c>
      <c r="U6" s="42">
        <v>1283.4145338301839</v>
      </c>
      <c r="V6" s="41">
        <v>974.7082994921318</v>
      </c>
      <c r="W6" s="42">
        <v>1347.9031279376873</v>
      </c>
      <c r="X6" s="41">
        <v>972.6386430239944</v>
      </c>
      <c r="Y6" s="42">
        <v>1431.6981885321766</v>
      </c>
      <c r="Z6" s="41">
        <v>971.5329705453081</v>
      </c>
      <c r="AA6" s="42">
        <v>1546.9537804415272</v>
      </c>
      <c r="AB6" s="41">
        <v>971.99511641044592</v>
      </c>
      <c r="AC6" s="42">
        <v>1715.272937421186</v>
      </c>
      <c r="AD6" s="41">
        <v>974.40456361147722</v>
      </c>
      <c r="AE6" s="42">
        <v>1972.4489392768112</v>
      </c>
      <c r="AF6" s="41">
        <v>978.39076198100804</v>
      </c>
      <c r="AG6" s="42">
        <v>2376.4656733893371</v>
      </c>
      <c r="AH6" s="41">
        <v>983.10973198028023</v>
      </c>
      <c r="AI6" s="42">
        <v>3041.3177462737972</v>
      </c>
      <c r="AJ6" s="41">
        <v>987.96462757479208</v>
      </c>
      <c r="AK6" s="42">
        <v>4253.8272850706926</v>
      </c>
      <c r="AL6" s="41">
        <v>992.72671566695499</v>
      </c>
      <c r="AM6" s="42">
        <v>6932.5967983421233</v>
      </c>
      <c r="AN6" s="41">
        <v>997.46808346323087</v>
      </c>
      <c r="AO6" s="42">
        <v>15689.110180126074</v>
      </c>
      <c r="AP6" s="41"/>
      <c r="AQ6" s="42"/>
      <c r="AR6" s="41"/>
      <c r="AS6" s="42"/>
      <c r="AT6" s="41"/>
      <c r="AU6" s="42"/>
      <c r="AV6" s="41"/>
      <c r="AW6" s="42"/>
    </row>
    <row r="7" spans="1:49" x14ac:dyDescent="0.2">
      <c r="A7" t="s">
        <v>13</v>
      </c>
      <c r="B7" s="33">
        <v>1015.9116825427475</v>
      </c>
      <c r="C7" s="34">
        <v>1015.9116825427475</v>
      </c>
      <c r="D7" s="33">
        <v>1013.9585875467633</v>
      </c>
      <c r="E7" s="34">
        <v>1013.9585875467633</v>
      </c>
      <c r="F7" s="33">
        <v>1011.8908849922511</v>
      </c>
      <c r="G7" s="34">
        <v>1011.8908849922511</v>
      </c>
      <c r="H7" s="33">
        <v>1009.7012379045829</v>
      </c>
      <c r="I7" s="34">
        <v>1009.7012379045829</v>
      </c>
      <c r="J7" s="33">
        <v>1007.3853240484509</v>
      </c>
      <c r="K7" s="34">
        <v>1007.3853240484509</v>
      </c>
      <c r="L7" s="33">
        <v>1004.9440867110389</v>
      </c>
      <c r="M7" s="34">
        <v>1004.9440867110389</v>
      </c>
      <c r="N7" s="33">
        <v>1002.3872282824326</v>
      </c>
      <c r="O7" s="34">
        <v>1002.3872282824326</v>
      </c>
      <c r="P7" s="33">
        <v>999.73896263945619</v>
      </c>
      <c r="Q7" s="34">
        <v>999.73896263945619</v>
      </c>
      <c r="R7" s="33">
        <v>997.04748869058699</v>
      </c>
      <c r="S7" s="34">
        <v>997.04748869058699</v>
      </c>
      <c r="T7" s="33">
        <v>994.4014960804484</v>
      </c>
      <c r="U7" s="34">
        <v>994.4014960804484</v>
      </c>
      <c r="V7" s="33">
        <v>991.9585469535275</v>
      </c>
      <c r="W7" s="34">
        <v>991.9585469535275</v>
      </c>
      <c r="X7" s="33">
        <v>989.99103363242614</v>
      </c>
      <c r="Y7" s="34">
        <v>989.99103363242614</v>
      </c>
      <c r="Z7" s="33">
        <v>988.93947745409491</v>
      </c>
      <c r="AA7" s="34">
        <v>988.93947745409491</v>
      </c>
      <c r="AB7" s="33">
        <v>989.37904214204605</v>
      </c>
      <c r="AC7" s="34">
        <v>989.37904214204605</v>
      </c>
      <c r="AD7" s="33">
        <v>991.66987036601301</v>
      </c>
      <c r="AE7" s="34">
        <v>991.66987036601301</v>
      </c>
      <c r="AF7" s="33">
        <v>995.45653536824614</v>
      </c>
      <c r="AG7" s="34">
        <v>995.45653536824614</v>
      </c>
      <c r="AH7" s="33">
        <v>999.93396067009371</v>
      </c>
      <c r="AI7" s="34">
        <v>999.93396067009371</v>
      </c>
      <c r="AJ7" s="33">
        <v>1004.5342788247721</v>
      </c>
      <c r="AK7" s="34">
        <v>1004.5342788247721</v>
      </c>
      <c r="AL7" s="33">
        <v>1009.0406257266875</v>
      </c>
      <c r="AM7" s="34">
        <v>1009.0406257266875</v>
      </c>
      <c r="AN7" s="33">
        <v>1013.5213882535097</v>
      </c>
      <c r="AO7" s="34">
        <v>1013.5213882535097</v>
      </c>
      <c r="AP7" s="33"/>
      <c r="AQ7" s="34"/>
      <c r="AR7" s="33"/>
      <c r="AS7" s="34"/>
      <c r="AT7" s="33"/>
      <c r="AU7" s="34"/>
      <c r="AV7" s="33"/>
      <c r="AW7" s="34"/>
    </row>
    <row r="8" spans="1:49" x14ac:dyDescent="0.2">
      <c r="B8" s="35">
        <v>1005.7716594496609</v>
      </c>
      <c r="C8" s="36">
        <v>1005.7716594496609</v>
      </c>
      <c r="D8" s="35">
        <v>1063.8013046468927</v>
      </c>
      <c r="E8" s="36">
        <v>1063.8013046468927</v>
      </c>
      <c r="F8" s="35">
        <v>1127.8142405998863</v>
      </c>
      <c r="G8" s="36">
        <v>1127.8142405998863</v>
      </c>
      <c r="H8" s="35">
        <v>1198.7981422949001</v>
      </c>
      <c r="I8" s="36">
        <v>1198.7981422949001</v>
      </c>
      <c r="J8" s="35">
        <v>1278.0281020772154</v>
      </c>
      <c r="K8" s="36">
        <v>1278.0281020772154</v>
      </c>
      <c r="L8" s="35">
        <v>1367.2010039463805</v>
      </c>
      <c r="M8" s="36">
        <v>1367.2010039463805</v>
      </c>
      <c r="N8" s="35">
        <v>1468.6569053902924</v>
      </c>
      <c r="O8" s="36">
        <v>1468.6569053902924</v>
      </c>
      <c r="P8" s="35">
        <v>1585.7439625243492</v>
      </c>
      <c r="Q8" s="36">
        <v>1585.7439625243492</v>
      </c>
      <c r="R8" s="35">
        <v>1723.4671762094958</v>
      </c>
      <c r="S8" s="36">
        <v>1723.4671762094958</v>
      </c>
      <c r="T8" s="35">
        <v>1889.676755221534</v>
      </c>
      <c r="U8" s="36">
        <v>1889.676755221534</v>
      </c>
      <c r="V8" s="35">
        <v>2097.3658082463435</v>
      </c>
      <c r="W8" s="36">
        <v>2097.3658082463435</v>
      </c>
      <c r="X8" s="35">
        <v>2369.2651549855636</v>
      </c>
      <c r="Y8" s="36">
        <v>2369.2651549855636</v>
      </c>
      <c r="Z8" s="35">
        <v>2746.934540145146</v>
      </c>
      <c r="AA8" s="36">
        <v>2746.934540145146</v>
      </c>
      <c r="AB8" s="35">
        <v>3306.7320524326151</v>
      </c>
      <c r="AC8" s="36">
        <v>3306.7320524326151</v>
      </c>
      <c r="AD8" s="35">
        <v>4181.5588400032484</v>
      </c>
      <c r="AE8" s="36">
        <v>4181.5588400032484</v>
      </c>
      <c r="AF8" s="35">
        <v>5597.9819527073232</v>
      </c>
      <c r="AG8" s="36">
        <v>5597.9819527073232</v>
      </c>
      <c r="AH8" s="35">
        <v>8010.6625020192978</v>
      </c>
      <c r="AI8" s="36">
        <v>8010.6625020192978</v>
      </c>
      <c r="AJ8" s="35">
        <v>12570.004201225294</v>
      </c>
      <c r="AK8" s="36">
        <v>12570.004201225294</v>
      </c>
      <c r="AL8" s="35">
        <v>23002.400176340736</v>
      </c>
      <c r="AM8" s="36">
        <v>23002.400176340736</v>
      </c>
      <c r="AN8" s="35">
        <v>58278.574052119635</v>
      </c>
      <c r="AO8" s="36">
        <v>58278.574052119635</v>
      </c>
      <c r="AP8" s="35"/>
      <c r="AQ8" s="36"/>
      <c r="AR8" s="35"/>
      <c r="AS8" s="36"/>
      <c r="AT8" s="35"/>
      <c r="AU8" s="36"/>
      <c r="AV8" s="35"/>
      <c r="AW8" s="36"/>
    </row>
    <row r="9" spans="1:49" x14ac:dyDescent="0.2">
      <c r="A9" t="s">
        <v>14</v>
      </c>
      <c r="B9" s="41">
        <v>1015.9116825427475</v>
      </c>
      <c r="C9" s="42">
        <v>1005.7716594496609</v>
      </c>
      <c r="D9" s="41">
        <v>1013.9585875467633</v>
      </c>
      <c r="E9" s="42">
        <v>1063.8013046468927</v>
      </c>
      <c r="F9" s="41">
        <v>1011.8908849922511</v>
      </c>
      <c r="G9" s="42">
        <v>1127.8142405998863</v>
      </c>
      <c r="H9" s="41">
        <v>1009.7012379045829</v>
      </c>
      <c r="I9" s="42">
        <v>1198.7981422949001</v>
      </c>
      <c r="J9" s="41">
        <v>1007.3853240484509</v>
      </c>
      <c r="K9" s="42">
        <v>1278.0281020772154</v>
      </c>
      <c r="L9" s="41">
        <v>1004.9440867110389</v>
      </c>
      <c r="M9" s="42">
        <v>1367.2010039463805</v>
      </c>
      <c r="N9" s="41">
        <v>1002.3872282824326</v>
      </c>
      <c r="O9" s="42">
        <v>1468.6569053902924</v>
      </c>
      <c r="P9" s="41">
        <v>999.73896263945619</v>
      </c>
      <c r="Q9" s="42">
        <v>1585.7439625243492</v>
      </c>
      <c r="R9" s="41">
        <v>997.04748869058699</v>
      </c>
      <c r="S9" s="42">
        <v>1723.4671762094958</v>
      </c>
      <c r="T9" s="41">
        <v>994.4014960804484</v>
      </c>
      <c r="U9" s="42">
        <v>1889.676755221534</v>
      </c>
      <c r="V9" s="41">
        <v>991.9585469535275</v>
      </c>
      <c r="W9" s="42">
        <v>2097.3658082463435</v>
      </c>
      <c r="X9" s="41">
        <v>989.99103363242614</v>
      </c>
      <c r="Y9" s="42">
        <v>2369.2651549855636</v>
      </c>
      <c r="Z9" s="41">
        <v>988.93947745409491</v>
      </c>
      <c r="AA9" s="42">
        <v>2746.934540145146</v>
      </c>
      <c r="AB9" s="41">
        <v>989.37904214204605</v>
      </c>
      <c r="AC9" s="42">
        <v>3306.7320524326151</v>
      </c>
      <c r="AD9" s="41">
        <v>991.66987036601301</v>
      </c>
      <c r="AE9" s="42">
        <v>4181.5588400032484</v>
      </c>
      <c r="AF9" s="41">
        <v>995.45653536824614</v>
      </c>
      <c r="AG9" s="42">
        <v>5597.9819527073232</v>
      </c>
      <c r="AH9" s="41">
        <v>999.93396067009371</v>
      </c>
      <c r="AI9" s="42">
        <v>8010.6625020192978</v>
      </c>
      <c r="AJ9" s="41">
        <v>1004.5342788247721</v>
      </c>
      <c r="AK9" s="42">
        <v>12570.004201225294</v>
      </c>
      <c r="AL9" s="41">
        <v>1009.0406257266875</v>
      </c>
      <c r="AM9" s="42">
        <v>23002.400176340736</v>
      </c>
      <c r="AN9" s="41">
        <v>1013.5213882535097</v>
      </c>
      <c r="AO9" s="42">
        <v>58278.574052119635</v>
      </c>
      <c r="AP9" s="41"/>
      <c r="AQ9" s="42"/>
      <c r="AR9" s="41"/>
      <c r="AS9" s="42"/>
      <c r="AT9" s="41"/>
      <c r="AU9" s="42"/>
      <c r="AV9" s="41"/>
      <c r="AW9" s="42"/>
    </row>
    <row r="10" spans="1:49" x14ac:dyDescent="0.2">
      <c r="A10" t="s">
        <v>15</v>
      </c>
      <c r="B10" s="41">
        <v>1015.9116825427475</v>
      </c>
      <c r="C10" s="42">
        <v>1005.7716594496609</v>
      </c>
      <c r="D10" s="41">
        <v>1013.9585875467633</v>
      </c>
      <c r="E10" s="42">
        <v>1063.8013046468927</v>
      </c>
      <c r="F10" s="41">
        <v>1011.8908849922511</v>
      </c>
      <c r="G10" s="42">
        <v>1127.8142405998863</v>
      </c>
      <c r="H10" s="41">
        <v>1009.7012379045829</v>
      </c>
      <c r="I10" s="42">
        <v>1198.7981422949001</v>
      </c>
      <c r="J10" s="41">
        <v>1007.3853240484509</v>
      </c>
      <c r="K10" s="42">
        <v>1278.0281020772154</v>
      </c>
      <c r="L10" s="41">
        <v>1004.9440867110389</v>
      </c>
      <c r="M10" s="42">
        <v>1367.2010039463805</v>
      </c>
      <c r="N10" s="41">
        <v>1002.3872282824326</v>
      </c>
      <c r="O10" s="42">
        <v>1468.6569053902924</v>
      </c>
      <c r="P10" s="41">
        <v>999.73896263945619</v>
      </c>
      <c r="Q10" s="42">
        <v>1585.7439625243492</v>
      </c>
      <c r="R10" s="41">
        <v>997.04748869058699</v>
      </c>
      <c r="S10" s="42">
        <v>1723.4671762094958</v>
      </c>
      <c r="T10" s="41">
        <v>994.4014960804484</v>
      </c>
      <c r="U10" s="42">
        <v>1889.676755221534</v>
      </c>
      <c r="V10" s="41">
        <v>991.9585469535275</v>
      </c>
      <c r="W10" s="42">
        <v>2097.3658082463435</v>
      </c>
      <c r="X10" s="41">
        <v>989.99103363242614</v>
      </c>
      <c r="Y10" s="42">
        <v>2369.2651549855636</v>
      </c>
      <c r="Z10" s="41">
        <v>988.93947745409491</v>
      </c>
      <c r="AA10" s="42">
        <v>2746.934540145146</v>
      </c>
      <c r="AB10" s="41">
        <v>989.37904214204605</v>
      </c>
      <c r="AC10" s="42">
        <v>3306.7320524326151</v>
      </c>
      <c r="AD10" s="41">
        <v>991.66987036601301</v>
      </c>
      <c r="AE10" s="42">
        <v>4181.5588400032484</v>
      </c>
      <c r="AF10" s="41">
        <v>995.45653536824614</v>
      </c>
      <c r="AG10" s="42">
        <v>5597.9819527073232</v>
      </c>
      <c r="AH10" s="41">
        <v>999.93396067009371</v>
      </c>
      <c r="AI10" s="42">
        <v>8010.6625020192978</v>
      </c>
      <c r="AJ10" s="41">
        <v>1004.5342788247721</v>
      </c>
      <c r="AK10" s="42">
        <v>12570.004201225294</v>
      </c>
      <c r="AL10" s="41">
        <v>1009.0406257266875</v>
      </c>
      <c r="AM10" s="42">
        <v>23002.400176340736</v>
      </c>
      <c r="AN10" s="41">
        <v>1013.5213882535097</v>
      </c>
      <c r="AO10" s="42">
        <v>58278.574052119635</v>
      </c>
      <c r="AP10" s="41"/>
      <c r="AQ10" s="42"/>
      <c r="AR10" s="41"/>
      <c r="AS10" s="42"/>
      <c r="AT10" s="41"/>
      <c r="AU10" s="42"/>
      <c r="AV10" s="41"/>
      <c r="AW10" s="42"/>
    </row>
    <row r="11" spans="1:49" x14ac:dyDescent="0.2">
      <c r="A11" t="s">
        <v>29</v>
      </c>
      <c r="B11" s="41">
        <v>1015.9116825427475</v>
      </c>
      <c r="C11" s="42">
        <v>1005.7716594496609</v>
      </c>
      <c r="D11" s="41">
        <v>1013.9585875467633</v>
      </c>
      <c r="E11" s="42">
        <v>1063.8013046468927</v>
      </c>
      <c r="F11" s="41">
        <v>1011.8908849922511</v>
      </c>
      <c r="G11" s="42">
        <v>1127.8142405998863</v>
      </c>
      <c r="H11" s="41">
        <v>1009.7012379045829</v>
      </c>
      <c r="I11" s="42">
        <v>1198.7981422949001</v>
      </c>
      <c r="J11" s="41">
        <v>1007.3853240484509</v>
      </c>
      <c r="K11" s="42">
        <v>1278.0281020772154</v>
      </c>
      <c r="L11" s="41">
        <v>1004.9440867110389</v>
      </c>
      <c r="M11" s="42">
        <v>1367.2010039463805</v>
      </c>
      <c r="N11" s="41">
        <v>1002.3872282824326</v>
      </c>
      <c r="O11" s="42">
        <v>1468.6569053902924</v>
      </c>
      <c r="P11" s="41">
        <v>999.73896263945619</v>
      </c>
      <c r="Q11" s="42">
        <v>1585.7439625243492</v>
      </c>
      <c r="R11" s="41">
        <v>997.04748869058699</v>
      </c>
      <c r="S11" s="42">
        <v>1723.4671762094958</v>
      </c>
      <c r="T11" s="41">
        <v>994.4014960804484</v>
      </c>
      <c r="U11" s="42">
        <v>1889.676755221534</v>
      </c>
      <c r="V11" s="41">
        <v>991.9585469535275</v>
      </c>
      <c r="W11" s="42">
        <v>2097.3658082463435</v>
      </c>
      <c r="X11" s="41">
        <v>989.99103363242614</v>
      </c>
      <c r="Y11" s="42">
        <v>2369.2651549855636</v>
      </c>
      <c r="Z11" s="41">
        <v>988.93947745409491</v>
      </c>
      <c r="AA11" s="42">
        <v>2746.934540145146</v>
      </c>
      <c r="AB11" s="41">
        <v>989.37904214204605</v>
      </c>
      <c r="AC11" s="42">
        <v>3306.7320524326151</v>
      </c>
      <c r="AD11" s="41">
        <v>991.66987036601301</v>
      </c>
      <c r="AE11" s="42">
        <v>4181.5588400032484</v>
      </c>
      <c r="AF11" s="41">
        <v>995.45653536824614</v>
      </c>
      <c r="AG11" s="42">
        <v>5597.9819527073232</v>
      </c>
      <c r="AH11" s="41">
        <v>999.93396067009371</v>
      </c>
      <c r="AI11" s="42">
        <v>8010.6625020192978</v>
      </c>
      <c r="AJ11" s="41">
        <v>1004.5342788247721</v>
      </c>
      <c r="AK11" s="42">
        <v>12570.004201225294</v>
      </c>
      <c r="AL11" s="41">
        <v>1009.0406257266875</v>
      </c>
      <c r="AM11" s="42">
        <v>23002.400176340736</v>
      </c>
      <c r="AN11" s="41">
        <v>1013.5213882535097</v>
      </c>
      <c r="AO11" s="42">
        <v>58278.574052119635</v>
      </c>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c r="AQ12" s="42"/>
      <c r="AR12" s="41"/>
      <c r="AS12" s="42"/>
      <c r="AT12" s="41"/>
      <c r="AU12" s="42"/>
      <c r="AV12" s="41"/>
      <c r="AW12" s="42"/>
    </row>
    <row r="13" spans="1:49" x14ac:dyDescent="0.2">
      <c r="A13" t="s">
        <v>17</v>
      </c>
      <c r="B13" s="97">
        <v>1000</v>
      </c>
      <c r="C13" s="98">
        <v>1000</v>
      </c>
      <c r="D13" s="97">
        <v>998.93029225730083</v>
      </c>
      <c r="E13" s="98">
        <v>998.93029225730083</v>
      </c>
      <c r="F13" s="97">
        <v>997.60812655364066</v>
      </c>
      <c r="G13" s="98">
        <v>997.60812655364066</v>
      </c>
      <c r="H13" s="97">
        <v>996.00174849652342</v>
      </c>
      <c r="I13" s="98">
        <v>996.00174849652342</v>
      </c>
      <c r="J13" s="97">
        <v>994.0727942826428</v>
      </c>
      <c r="K13" s="98">
        <v>994.0727942826428</v>
      </c>
      <c r="L13" s="97">
        <v>991.77384791334907</v>
      </c>
      <c r="M13" s="98">
        <v>991.77384791334907</v>
      </c>
      <c r="N13" s="97">
        <v>989.04433639738807</v>
      </c>
      <c r="O13" s="98">
        <v>989.04433639738807</v>
      </c>
      <c r="P13" s="97">
        <v>985.80489596345194</v>
      </c>
      <c r="Q13" s="98">
        <v>985.80489596345194</v>
      </c>
      <c r="R13" s="97">
        <v>981.94704302709692</v>
      </c>
      <c r="S13" s="98">
        <v>981.94704302709692</v>
      </c>
      <c r="T13" s="97">
        <v>977.316305764601</v>
      </c>
      <c r="U13" s="98">
        <v>977.316305764601</v>
      </c>
      <c r="V13" s="97">
        <v>971.68116970179835</v>
      </c>
      <c r="W13" s="98">
        <v>971.68116970179835</v>
      </c>
      <c r="X13" s="97">
        <v>964.67592145691697</v>
      </c>
      <c r="Y13" s="98">
        <v>964.67592145691697</v>
      </c>
      <c r="Z13" s="97">
        <v>955.69752410974274</v>
      </c>
      <c r="AA13" s="98">
        <v>955.69752410974274</v>
      </c>
      <c r="AB13" s="97">
        <v>943.74169254244953</v>
      </c>
      <c r="AC13" s="98">
        <v>943.74169254244953</v>
      </c>
      <c r="AD13" s="97">
        <v>927.20978944583567</v>
      </c>
      <c r="AE13" s="98">
        <v>927.20978944583567</v>
      </c>
      <c r="AF13" s="97">
        <v>903.64769908663664</v>
      </c>
      <c r="AG13" s="98">
        <v>903.64769908663664</v>
      </c>
      <c r="AH13" s="97">
        <v>868.91159331879214</v>
      </c>
      <c r="AI13" s="98">
        <v>868.91159331879214</v>
      </c>
      <c r="AJ13" s="97">
        <v>814.7187929184405</v>
      </c>
      <c r="AK13" s="98">
        <v>814.7187929184405</v>
      </c>
      <c r="AL13" s="97">
        <v>721.29089726817381</v>
      </c>
      <c r="AM13" s="98">
        <v>721.29089726817381</v>
      </c>
      <c r="AN13" s="97">
        <v>526.4357418120245</v>
      </c>
      <c r="AO13" s="98">
        <v>526.4357418120245</v>
      </c>
      <c r="AP13" s="97"/>
      <c r="AQ13" s="98"/>
      <c r="AR13" s="97"/>
      <c r="AS13" s="98"/>
      <c r="AT13" s="97"/>
      <c r="AU13" s="98"/>
      <c r="AV13" s="97"/>
      <c r="AW13" s="98"/>
    </row>
    <row r="14" spans="1:49" x14ac:dyDescent="0.2">
      <c r="A14" t="s">
        <v>36</v>
      </c>
      <c r="B14" s="41">
        <v>1457.0034251455234</v>
      </c>
      <c r="C14" s="42">
        <v>1457.0034251455236</v>
      </c>
      <c r="D14" s="41">
        <v>1455.4448573005059</v>
      </c>
      <c r="E14" s="42">
        <v>1455.4448573005061</v>
      </c>
      <c r="F14" s="41">
        <v>1453.5184573416632</v>
      </c>
      <c r="G14" s="42">
        <v>1453.5184573416634</v>
      </c>
      <c r="H14" s="41">
        <v>1451.1779590103647</v>
      </c>
      <c r="I14" s="42">
        <v>1451.1779590103649</v>
      </c>
      <c r="J14" s="41">
        <v>1448.3674661137918</v>
      </c>
      <c r="K14" s="42">
        <v>1448.367466113792</v>
      </c>
      <c r="L14" s="41">
        <v>1445.0178933795048</v>
      </c>
      <c r="M14" s="42">
        <v>1445.017893379505</v>
      </c>
      <c r="N14" s="41">
        <v>1441.0409857517755</v>
      </c>
      <c r="O14" s="42">
        <v>1441.0409857517757</v>
      </c>
      <c r="P14" s="41">
        <v>1436.3211099439757</v>
      </c>
      <c r="Q14" s="42">
        <v>1436.3211099439759</v>
      </c>
      <c r="R14" s="41">
        <v>1430.7002050019987</v>
      </c>
      <c r="S14" s="42">
        <v>1430.7002050019989</v>
      </c>
      <c r="T14" s="41">
        <v>1423.9532049495931</v>
      </c>
      <c r="U14" s="42">
        <v>1423.9532049495933</v>
      </c>
      <c r="V14" s="41">
        <v>1415.7427924049287</v>
      </c>
      <c r="W14" s="42">
        <v>1415.7427924049289</v>
      </c>
      <c r="X14" s="41">
        <v>1405.5361217181419</v>
      </c>
      <c r="Y14" s="42">
        <v>1405.5361217181421</v>
      </c>
      <c r="Z14" s="41">
        <v>1392.4545660309916</v>
      </c>
      <c r="AA14" s="42">
        <v>1392.4545660309916</v>
      </c>
      <c r="AB14" s="41">
        <v>1375.0348784869823</v>
      </c>
      <c r="AC14" s="42">
        <v>1375.0348784869825</v>
      </c>
      <c r="AD14" s="41">
        <v>1350.9478390510421</v>
      </c>
      <c r="AE14" s="42">
        <v>1350.9478390510421</v>
      </c>
      <c r="AF14" s="41">
        <v>1316.6177926941007</v>
      </c>
      <c r="AG14" s="42">
        <v>1316.6177926941009</v>
      </c>
      <c r="AH14" s="41">
        <v>1266.0071676141342</v>
      </c>
      <c r="AI14" s="42">
        <v>1266.0071676141342</v>
      </c>
      <c r="AJ14" s="41">
        <v>1187.0480718125941</v>
      </c>
      <c r="AK14" s="42">
        <v>1187.0480718125943</v>
      </c>
      <c r="AL14" s="41">
        <v>1050.923307846017</v>
      </c>
      <c r="AM14" s="42">
        <v>1050.9233078460172</v>
      </c>
      <c r="AN14" s="41">
        <v>767.01867893914402</v>
      </c>
      <c r="AO14" s="42">
        <v>767.01867893914414</v>
      </c>
      <c r="AP14" s="41"/>
      <c r="AQ14" s="42"/>
      <c r="AR14" s="41"/>
      <c r="AS14" s="42"/>
      <c r="AT14" s="41"/>
      <c r="AU14" s="42"/>
      <c r="AV14" s="41"/>
      <c r="AW14" s="42"/>
    </row>
    <row r="15" spans="1:49" x14ac:dyDescent="0.2">
      <c r="A15" t="s">
        <v>18</v>
      </c>
      <c r="B15" s="154">
        <v>1000</v>
      </c>
      <c r="C15" s="155">
        <v>1000</v>
      </c>
      <c r="D15" s="154">
        <v>992.02063989220505</v>
      </c>
      <c r="E15" s="155">
        <v>992.02063989220505</v>
      </c>
      <c r="F15" s="154">
        <v>983.75409651229097</v>
      </c>
      <c r="G15" s="155">
        <v>983.75409651229097</v>
      </c>
      <c r="H15" s="154">
        <v>975.17588869897247</v>
      </c>
      <c r="I15" s="155">
        <v>975.17588869897247</v>
      </c>
      <c r="J15" s="154">
        <v>966.26105513088658</v>
      </c>
      <c r="K15" s="155">
        <v>966.26105513088658</v>
      </c>
      <c r="L15" s="154">
        <v>956.98450200229752</v>
      </c>
      <c r="M15" s="155">
        <v>956.98450200229752</v>
      </c>
      <c r="N15" s="154">
        <v>947.3213892768573</v>
      </c>
      <c r="O15" s="155">
        <v>947.3213892768573</v>
      </c>
      <c r="P15" s="154">
        <v>937.24690416141073</v>
      </c>
      <c r="Q15" s="155">
        <v>937.24690416141073</v>
      </c>
      <c r="R15" s="154">
        <v>926.73565047897102</v>
      </c>
      <c r="S15" s="155">
        <v>926.73565047897102</v>
      </c>
      <c r="T15" s="154">
        <v>915.75904152625185</v>
      </c>
      <c r="U15" s="155">
        <v>915.75904152625185</v>
      </c>
      <c r="V15" s="154">
        <v>904.27749505569761</v>
      </c>
      <c r="W15" s="155">
        <v>904.27749505569761</v>
      </c>
      <c r="X15" s="154">
        <v>892.21579719839667</v>
      </c>
      <c r="Y15" s="155">
        <v>892.21579719839667</v>
      </c>
      <c r="Z15" s="154">
        <v>879.38489051366844</v>
      </c>
      <c r="AA15" s="155">
        <v>879.38489051366844</v>
      </c>
      <c r="AB15" s="154">
        <v>865.25376545673873</v>
      </c>
      <c r="AC15" s="155">
        <v>865.25376545673873</v>
      </c>
      <c r="AD15" s="154">
        <v>848.46817193156812</v>
      </c>
      <c r="AE15" s="155">
        <v>848.46817193156812</v>
      </c>
      <c r="AF15" s="154">
        <v>826.3410993463018</v>
      </c>
      <c r="AG15" s="155">
        <v>826.3410993463018</v>
      </c>
      <c r="AH15" s="154">
        <v>794.4550964091643</v>
      </c>
      <c r="AI15" s="155">
        <v>794.4550964091643</v>
      </c>
      <c r="AJ15" s="154">
        <v>744.89142283677563</v>
      </c>
      <c r="AK15" s="155">
        <v>744.89142283677563</v>
      </c>
      <c r="AL15" s="154">
        <v>659.47022206984525</v>
      </c>
      <c r="AM15" s="155">
        <v>659.47022206984525</v>
      </c>
      <c r="AN15" s="154">
        <v>481.31577783089688</v>
      </c>
      <c r="AO15" s="155">
        <v>481.31577783089688</v>
      </c>
      <c r="AP15" s="154"/>
      <c r="AQ15" s="155"/>
      <c r="AR15" s="154"/>
      <c r="AS15" s="155"/>
      <c r="AT15" s="154"/>
      <c r="AU15" s="155"/>
      <c r="AV15" s="154"/>
      <c r="AW15" s="155"/>
    </row>
    <row r="16" spans="1:49" s="29" customFormat="1" x14ac:dyDescent="0.2">
      <c r="A16" t="s">
        <v>61</v>
      </c>
      <c r="B16" s="41">
        <v>1000</v>
      </c>
      <c r="C16" s="42">
        <v>1000</v>
      </c>
      <c r="D16" s="41">
        <v>995.70278217453426</v>
      </c>
      <c r="E16" s="42">
        <v>993.99210003083203</v>
      </c>
      <c r="F16" s="41">
        <v>991.13324445801788</v>
      </c>
      <c r="G16" s="42">
        <v>987.70543085877716</v>
      </c>
      <c r="H16" s="41">
        <v>986.26292482723727</v>
      </c>
      <c r="I16" s="42">
        <v>981.11339129193539</v>
      </c>
      <c r="J16" s="41">
        <v>981.05963332920055</v>
      </c>
      <c r="K16" s="42">
        <v>974.18715868576942</v>
      </c>
      <c r="L16" s="41">
        <v>975.4863338104293</v>
      </c>
      <c r="M16" s="42">
        <v>966.89524910885643</v>
      </c>
      <c r="N16" s="41">
        <v>969.4991705037819</v>
      </c>
      <c r="O16" s="42">
        <v>959.20263605744458</v>
      </c>
      <c r="P16" s="41">
        <v>963.04441755565358</v>
      </c>
      <c r="Q16" s="42">
        <v>951.06900495704042</v>
      </c>
      <c r="R16" s="41">
        <v>956.05277605198557</v>
      </c>
      <c r="S16" s="42">
        <v>942.44540533746397</v>
      </c>
      <c r="T16" s="41">
        <v>948.42930474075695</v>
      </c>
      <c r="U16" s="42">
        <v>933.26763188172549</v>
      </c>
      <c r="V16" s="41">
        <v>940.03343942735046</v>
      </c>
      <c r="W16" s="42">
        <v>923.44187432920307</v>
      </c>
      <c r="X16" s="41">
        <v>930.63732559211462</v>
      </c>
      <c r="Y16" s="42">
        <v>912.81092648398158</v>
      </c>
      <c r="Z16" s="41">
        <v>919.83457674804174</v>
      </c>
      <c r="AA16" s="42">
        <v>901.06896845261451</v>
      </c>
      <c r="AB16" s="41">
        <v>906.84590391053689</v>
      </c>
      <c r="AC16" s="42">
        <v>887.55157914376719</v>
      </c>
      <c r="AD16" s="41">
        <v>890.18911581625275</v>
      </c>
      <c r="AE16" s="42">
        <v>870.83572861279185</v>
      </c>
      <c r="AF16" s="41">
        <v>867.29973130043641</v>
      </c>
      <c r="AG16" s="42">
        <v>848.30020471123851</v>
      </c>
      <c r="AH16" s="41">
        <v>833.90326038429407</v>
      </c>
      <c r="AI16" s="42">
        <v>815.60444826837113</v>
      </c>
      <c r="AJ16" s="41">
        <v>781.88695519181636</v>
      </c>
      <c r="AK16" s="42">
        <v>764.72585108235694</v>
      </c>
      <c r="AL16" s="41">
        <v>692.22369110763907</v>
      </c>
      <c r="AM16" s="42">
        <v>677.03035168837653</v>
      </c>
      <c r="AN16" s="41">
        <v>505.22097357026456</v>
      </c>
      <c r="AO16" s="42">
        <v>494.13207937634598</v>
      </c>
      <c r="AP16" s="41"/>
      <c r="AQ16" s="42"/>
      <c r="AR16" s="41"/>
      <c r="AS16" s="42"/>
      <c r="AT16" s="41"/>
      <c r="AU16" s="42"/>
      <c r="AV16" s="41"/>
      <c r="AW16" s="42"/>
    </row>
    <row r="17" spans="1:49" x14ac:dyDescent="0.2">
      <c r="A17" t="s">
        <v>62</v>
      </c>
      <c r="B17" s="35">
        <v>1000.0000000000002</v>
      </c>
      <c r="C17" s="36">
        <v>999.99999999999977</v>
      </c>
      <c r="D17" s="35">
        <v>998.25368543763125</v>
      </c>
      <c r="E17" s="36">
        <v>1027.7687205426985</v>
      </c>
      <c r="F17" s="35">
        <v>996.40899531604975</v>
      </c>
      <c r="G17" s="36">
        <v>1058.2917414260248</v>
      </c>
      <c r="H17" s="35">
        <v>994.46012160705948</v>
      </c>
      <c r="I17" s="36">
        <v>1092.0171723323754</v>
      </c>
      <c r="J17" s="35">
        <v>992.40402296470143</v>
      </c>
      <c r="K17" s="36">
        <v>1129.5268078904971</v>
      </c>
      <c r="L17" s="35">
        <v>990.24238925818668</v>
      </c>
      <c r="M17" s="36">
        <v>1171.5992309728249</v>
      </c>
      <c r="N17" s="35">
        <v>987.98469330075034</v>
      </c>
      <c r="O17" s="36">
        <v>1219.313546068194</v>
      </c>
      <c r="P17" s="35">
        <v>985.6530962114623</v>
      </c>
      <c r="Q17" s="36">
        <v>1274.2193084619721</v>
      </c>
      <c r="R17" s="35">
        <v>983.29055578742611</v>
      </c>
      <c r="S17" s="36">
        <v>1338.637565735979</v>
      </c>
      <c r="T17" s="35">
        <v>980.97492045711795</v>
      </c>
      <c r="U17" s="36">
        <v>1416.2089296270681</v>
      </c>
      <c r="V17" s="35">
        <v>978.84312236615983</v>
      </c>
      <c r="W17" s="36">
        <v>1512.9454645926687</v>
      </c>
      <c r="X17" s="35">
        <v>977.13050024952349</v>
      </c>
      <c r="Y17" s="36">
        <v>1639.3114634836249</v>
      </c>
      <c r="Z17" s="35">
        <v>976.21674289352313</v>
      </c>
      <c r="AA17" s="36">
        <v>1814.2681709790006</v>
      </c>
      <c r="AB17" s="35">
        <v>976.59857257155886</v>
      </c>
      <c r="AC17" s="36">
        <v>2072.1494308337019</v>
      </c>
      <c r="AD17" s="35">
        <v>978.59160444181509</v>
      </c>
      <c r="AE17" s="36">
        <v>2471.463555394932</v>
      </c>
      <c r="AF17" s="35">
        <v>981.89740449885528</v>
      </c>
      <c r="AG17" s="36">
        <v>3109.894987837416</v>
      </c>
      <c r="AH17" s="35">
        <v>985.82453819285854</v>
      </c>
      <c r="AI17" s="36">
        <v>4182.0824193286453</v>
      </c>
      <c r="AJ17" s="35">
        <v>989.88009548567345</v>
      </c>
      <c r="AK17" s="36">
        <v>6180.3113411368759</v>
      </c>
      <c r="AL17" s="35">
        <v>993.87308058702808</v>
      </c>
      <c r="AM17" s="36">
        <v>10695.828967309639</v>
      </c>
      <c r="AN17" s="35">
        <v>997.86328506599114</v>
      </c>
      <c r="AO17" s="36">
        <v>25812.140544760005</v>
      </c>
      <c r="AP17" s="35"/>
      <c r="AQ17" s="36"/>
      <c r="AR17" s="35"/>
      <c r="AS17" s="36"/>
      <c r="AT17" s="35"/>
      <c r="AU17" s="36"/>
      <c r="AV17" s="35"/>
      <c r="AW17" s="36"/>
    </row>
    <row r="18" spans="1:49" x14ac:dyDescent="0.2">
      <c r="A18" t="s">
        <v>19</v>
      </c>
      <c r="B18" s="33">
        <v>27857.010133999996</v>
      </c>
      <c r="C18" s="34">
        <v>1236.7674480000003</v>
      </c>
      <c r="D18" s="33">
        <v>27881.950678579058</v>
      </c>
      <c r="E18" s="34">
        <v>1136.737197694715</v>
      </c>
      <c r="F18" s="33">
        <v>27905.180696797488</v>
      </c>
      <c r="G18" s="34">
        <v>1035.666574479724</v>
      </c>
      <c r="H18" s="33">
        <v>27926.344783143526</v>
      </c>
      <c r="I18" s="34">
        <v>933.61883991821867</v>
      </c>
      <c r="J18" s="33">
        <v>27944.937644213598</v>
      </c>
      <c r="K18" s="34">
        <v>830.73728789213976</v>
      </c>
      <c r="L18" s="33">
        <v>27960.230665604315</v>
      </c>
      <c r="M18" s="34">
        <v>727.28399362109224</v>
      </c>
      <c r="N18" s="33">
        <v>27971.153834830453</v>
      </c>
      <c r="O18" s="34">
        <v>623.70110193282414</v>
      </c>
      <c r="P18" s="33">
        <v>27976.118624147548</v>
      </c>
      <c r="Q18" s="34">
        <v>520.68879029099924</v>
      </c>
      <c r="R18" s="33">
        <v>27972.712688314332</v>
      </c>
      <c r="S18" s="34">
        <v>419.33937266340405</v>
      </c>
      <c r="T18" s="33">
        <v>27957.188093105891</v>
      </c>
      <c r="U18" s="34">
        <v>321.33540459539273</v>
      </c>
      <c r="V18" s="33">
        <v>27923.558765025871</v>
      </c>
      <c r="W18" s="34">
        <v>229.26075034324663</v>
      </c>
      <c r="X18" s="33">
        <v>27862.054704031048</v>
      </c>
      <c r="Y18" s="34">
        <v>147.00894147718358</v>
      </c>
      <c r="Z18" s="33">
        <v>27756.829106121873</v>
      </c>
      <c r="AA18" s="34">
        <v>79.992579960669389</v>
      </c>
      <c r="AB18" s="33">
        <v>27584.177270000549</v>
      </c>
      <c r="AC18" s="34">
        <v>33.899633841960174</v>
      </c>
      <c r="AD18" s="33">
        <v>27315.026609331264</v>
      </c>
      <c r="AE18" s="34">
        <v>10.121776318034691</v>
      </c>
      <c r="AF18" s="33">
        <v>26917.68937924007</v>
      </c>
      <c r="AG18" s="34">
        <v>1.952791130666151</v>
      </c>
      <c r="AH18" s="33">
        <v>26338.529537467624</v>
      </c>
      <c r="AI18" s="34">
        <v>0.21874744473704849</v>
      </c>
      <c r="AJ18" s="33">
        <v>25447.537904816814</v>
      </c>
      <c r="AK18" s="34">
        <v>1.1208684024525815E-2</v>
      </c>
      <c r="AL18" s="33">
        <v>23892.249818785574</v>
      </c>
      <c r="AM18" s="34">
        <v>1.5010254389989641E-4</v>
      </c>
      <c r="AN18" s="33">
        <v>20367.716395621141</v>
      </c>
      <c r="AO18" s="34">
        <v>1.0906333312861541E-7</v>
      </c>
      <c r="AP18" s="33"/>
      <c r="AQ18" s="34"/>
      <c r="AR18" s="33"/>
      <c r="AS18" s="34"/>
      <c r="AT18" s="33"/>
      <c r="AU18" s="34"/>
      <c r="AV18" s="33"/>
      <c r="AW18" s="34"/>
    </row>
    <row r="19" spans="1:49" x14ac:dyDescent="0.2">
      <c r="A19" t="s">
        <v>3</v>
      </c>
      <c r="B19" s="41">
        <v>1886.3937399999966</v>
      </c>
      <c r="C19" s="42">
        <v>262.78711299999406</v>
      </c>
      <c r="D19" s="41">
        <v>1871.6138357481702</v>
      </c>
      <c r="E19" s="42">
        <v>282.4440336324098</v>
      </c>
      <c r="F19" s="41">
        <v>1855.8484152454491</v>
      </c>
      <c r="G19" s="42">
        <v>304.27274525967169</v>
      </c>
      <c r="H19" s="41">
        <v>1839.0348746407258</v>
      </c>
      <c r="I19" s="42">
        <v>328.41156299836837</v>
      </c>
      <c r="J19" s="41">
        <v>1821.1297227485945</v>
      </c>
      <c r="K19" s="42">
        <v>354.94853686499749</v>
      </c>
      <c r="L19" s="41">
        <v>1802.1220944180288</v>
      </c>
      <c r="M19" s="42">
        <v>383.88396415714544</v>
      </c>
      <c r="N19" s="41">
        <v>1782.0536970730179</v>
      </c>
      <c r="O19" s="42">
        <v>415.07270521630915</v>
      </c>
      <c r="P19" s="41">
        <v>1761.0518473594061</v>
      </c>
      <c r="Q19" s="42">
        <v>448.12782922769696</v>
      </c>
      <c r="R19" s="41">
        <v>1739.3817034781875</v>
      </c>
      <c r="S19" s="42">
        <v>482.26218020282971</v>
      </c>
      <c r="T19" s="41">
        <v>1717.5371746708208</v>
      </c>
      <c r="U19" s="42">
        <v>516.01352252437266</v>
      </c>
      <c r="V19" s="41">
        <v>1696.3938526278885</v>
      </c>
      <c r="W19" s="42">
        <v>546.76911053348215</v>
      </c>
      <c r="X19" s="41">
        <v>1677.4487278817669</v>
      </c>
      <c r="Y19" s="42">
        <v>569.99315229132992</v>
      </c>
      <c r="Z19" s="41">
        <v>1663.060098622291</v>
      </c>
      <c r="AA19" s="42">
        <v>578.32048843891209</v>
      </c>
      <c r="AB19" s="41">
        <v>1656.0574064482657</v>
      </c>
      <c r="AC19" s="42">
        <v>562.06446285457719</v>
      </c>
      <c r="AD19" s="41">
        <v>1657.2304093833268</v>
      </c>
      <c r="AE19" s="42">
        <v>514.95376053285236</v>
      </c>
      <c r="AF19" s="41">
        <v>1661.6686270231742</v>
      </c>
      <c r="AG19" s="42">
        <v>442.43208520007778</v>
      </c>
      <c r="AH19" s="41">
        <v>1659.4395357008289</v>
      </c>
      <c r="AI19" s="42">
        <v>357.32874225569788</v>
      </c>
      <c r="AJ19" s="41">
        <v>1637.1306994515573</v>
      </c>
      <c r="AK19" s="42">
        <v>268.49839473314603</v>
      </c>
      <c r="AL19" s="41">
        <v>1568.6982420975933</v>
      </c>
      <c r="AM19" s="42">
        <v>179.03316032641627</v>
      </c>
      <c r="AN19" s="41">
        <v>1364.5291221913506</v>
      </c>
      <c r="AO19" s="42">
        <v>89.517157834510073</v>
      </c>
      <c r="AP19" s="41"/>
      <c r="AQ19" s="42"/>
      <c r="AR19" s="41"/>
      <c r="AS19" s="42"/>
      <c r="AT19" s="41"/>
      <c r="AU19" s="42"/>
      <c r="AV19" s="41"/>
      <c r="AW19" s="42"/>
    </row>
    <row r="20" spans="1:49" x14ac:dyDescent="0.2">
      <c r="A20" t="s">
        <v>127</v>
      </c>
      <c r="B20" s="82">
        <v>26548.356269999993</v>
      </c>
      <c r="C20" s="83">
        <v>1408.5418709999938</v>
      </c>
      <c r="D20" s="82">
        <v>26543.884835600613</v>
      </c>
      <c r="E20" s="83">
        <v>1338.1147774499941</v>
      </c>
      <c r="F20" s="82">
        <v>26536.086472339895</v>
      </c>
      <c r="G20" s="83">
        <v>1267.6876838999945</v>
      </c>
      <c r="H20" s="82">
        <v>26524.519116101579</v>
      </c>
      <c r="I20" s="83">
        <v>1197.2605903499946</v>
      </c>
      <c r="J20" s="82">
        <v>26508.644005636816</v>
      </c>
      <c r="K20" s="83">
        <v>1126.8334967999949</v>
      </c>
      <c r="L20" s="82">
        <v>26487.789949311908</v>
      </c>
      <c r="M20" s="83">
        <v>1056.4064032499953</v>
      </c>
      <c r="N20" s="82">
        <v>26461.09407019625</v>
      </c>
      <c r="O20" s="83">
        <v>985.97930969999561</v>
      </c>
      <c r="P20" s="82">
        <v>26427.420712906307</v>
      </c>
      <c r="Q20" s="83">
        <v>915.55221614999596</v>
      </c>
      <c r="R20" s="82">
        <v>26385.214574408816</v>
      </c>
      <c r="S20" s="83">
        <v>845.12512259999642</v>
      </c>
      <c r="T20" s="82">
        <v>26332.262659507836</v>
      </c>
      <c r="U20" s="83">
        <v>774.69802904999653</v>
      </c>
      <c r="V20" s="82">
        <v>26265.259966750713</v>
      </c>
      <c r="W20" s="83">
        <v>704.27093549999688</v>
      </c>
      <c r="X20" s="82">
        <v>26179.016000366682</v>
      </c>
      <c r="Y20" s="83">
        <v>633.84384194999734</v>
      </c>
      <c r="Z20" s="82">
        <v>26065.028083924204</v>
      </c>
      <c r="AA20" s="83">
        <v>563.41674839999757</v>
      </c>
      <c r="AB20" s="82">
        <v>25909.180102779392</v>
      </c>
      <c r="AC20" s="83">
        <v>492.98965484999775</v>
      </c>
      <c r="AD20" s="82">
        <v>25688.782932330974</v>
      </c>
      <c r="AE20" s="83">
        <v>422.56256129999798</v>
      </c>
      <c r="AF20" s="82">
        <v>25367.888511238321</v>
      </c>
      <c r="AG20" s="83">
        <v>352.13546774999827</v>
      </c>
      <c r="AH20" s="82">
        <v>24883.144835512692</v>
      </c>
      <c r="AI20" s="83">
        <v>281.70837419999856</v>
      </c>
      <c r="AJ20" s="82">
        <v>24102.01854280011</v>
      </c>
      <c r="AK20" s="83">
        <v>211.28128064999879</v>
      </c>
      <c r="AL20" s="82">
        <v>22684.745457621721</v>
      </c>
      <c r="AM20" s="83">
        <v>140.85418709999905</v>
      </c>
      <c r="AN20" s="82">
        <v>19385.644564086742</v>
      </c>
      <c r="AO20" s="83">
        <v>70.427093549999285</v>
      </c>
      <c r="AP20" s="82"/>
      <c r="AQ20" s="83"/>
      <c r="AR20" s="82"/>
      <c r="AS20" s="83"/>
      <c r="AT20" s="82"/>
      <c r="AU20" s="83"/>
      <c r="AV20" s="82"/>
      <c r="AW20" s="83"/>
    </row>
    <row r="21" spans="1:49" x14ac:dyDescent="0.2">
      <c r="A21" t="s">
        <v>76</v>
      </c>
      <c r="B21" s="82">
        <v>24661.962530000055</v>
      </c>
      <c r="C21" s="83">
        <v>1145.7547579999855</v>
      </c>
      <c r="D21" s="82">
        <v>24672.285968326483</v>
      </c>
      <c r="E21" s="83">
        <v>1055.9888697873946</v>
      </c>
      <c r="F21" s="82">
        <v>24680.301298591428</v>
      </c>
      <c r="G21" s="83">
        <v>964.78874800695507</v>
      </c>
      <c r="H21" s="82">
        <v>24685.634602220664</v>
      </c>
      <c r="I21" s="83">
        <v>872.18895297400729</v>
      </c>
      <c r="J21" s="82">
        <v>24687.796628156568</v>
      </c>
      <c r="K21" s="83">
        <v>778.30349250559857</v>
      </c>
      <c r="L21" s="82">
        <v>24686.133100627925</v>
      </c>
      <c r="M21" s="83">
        <v>683.36295974900054</v>
      </c>
      <c r="N21" s="82">
        <v>24679.744641717381</v>
      </c>
      <c r="O21" s="83">
        <v>587.76748161781882</v>
      </c>
      <c r="P21" s="82">
        <v>24667.371015195455</v>
      </c>
      <c r="Q21" s="83">
        <v>492.16867440619848</v>
      </c>
      <c r="R21" s="82">
        <v>24647.189126210378</v>
      </c>
      <c r="S21" s="83">
        <v>397.59372430679429</v>
      </c>
      <c r="T21" s="82">
        <v>24616.478955221948</v>
      </c>
      <c r="U21" s="83">
        <v>305.64202176888858</v>
      </c>
      <c r="V21" s="82">
        <v>24571.0276648492</v>
      </c>
      <c r="W21" s="83">
        <v>218.78730963629241</v>
      </c>
      <c r="X21" s="82">
        <v>24504.083352587568</v>
      </c>
      <c r="Y21" s="83">
        <v>140.78145201801786</v>
      </c>
      <c r="Z21" s="82">
        <v>24404.676552244673</v>
      </c>
      <c r="AA21" s="83">
        <v>76.884267160360537</v>
      </c>
      <c r="AB21" s="82">
        <v>24255.729611288396</v>
      </c>
      <c r="AC21" s="83">
        <v>32.704525171813856</v>
      </c>
      <c r="AD21" s="82">
        <v>24033.717033375393</v>
      </c>
      <c r="AE21" s="83">
        <v>9.7996301231071712</v>
      </c>
      <c r="AF21" s="82">
        <v>23707.749712404766</v>
      </c>
      <c r="AG21" s="83">
        <v>1.8961900168192638</v>
      </c>
      <c r="AH21" s="82">
        <v>23224.626519090969</v>
      </c>
      <c r="AI21" s="83">
        <v>0.21284389003528345</v>
      </c>
      <c r="AJ21" s="82">
        <v>22465.343155900635</v>
      </c>
      <c r="AK21" s="83">
        <v>1.0919191393855493E-2</v>
      </c>
      <c r="AL21" s="82">
        <v>21116.204479888384</v>
      </c>
      <c r="AM21" s="83">
        <v>1.46303105797672E-4</v>
      </c>
      <c r="AN21" s="82">
        <v>18021.13180592913</v>
      </c>
      <c r="AO21" s="83">
        <v>1.0631814413537224E-7</v>
      </c>
      <c r="AP21" s="82"/>
      <c r="AQ21" s="83"/>
      <c r="AR21" s="82"/>
      <c r="AS21" s="83"/>
      <c r="AT21" s="82"/>
      <c r="AU21" s="83"/>
      <c r="AV21" s="82"/>
      <c r="AW21" s="83"/>
    </row>
    <row r="22" spans="1:49" x14ac:dyDescent="0.2">
      <c r="A22" t="s">
        <v>28</v>
      </c>
      <c r="B22" s="41">
        <v>6533.6044688320662</v>
      </c>
      <c r="C22" s="42">
        <v>379.90788307663394</v>
      </c>
      <c r="D22" s="41">
        <v>6505.5810963775357</v>
      </c>
      <c r="E22" s="42">
        <v>365.12492025814691</v>
      </c>
      <c r="F22" s="41">
        <v>6475.9677917145382</v>
      </c>
      <c r="G22" s="42">
        <v>350.29930104741646</v>
      </c>
      <c r="H22" s="41">
        <v>6444.5602932400052</v>
      </c>
      <c r="I22" s="42">
        <v>335.41603404828339</v>
      </c>
      <c r="J22" s="41">
        <v>6411.095989825948</v>
      </c>
      <c r="K22" s="42">
        <v>320.44974098112596</v>
      </c>
      <c r="L22" s="41">
        <v>6375.2261997632068</v>
      </c>
      <c r="M22" s="42">
        <v>305.36016093136567</v>
      </c>
      <c r="N22" s="41">
        <v>6336.4707777877338</v>
      </c>
      <c r="O22" s="42">
        <v>290.08525584408795</v>
      </c>
      <c r="P22" s="41">
        <v>6294.1476126911248</v>
      </c>
      <c r="Q22" s="42">
        <v>274.53236667197132</v>
      </c>
      <c r="R22" s="41">
        <v>6247.2483912601219</v>
      </c>
      <c r="S22" s="42">
        <v>258.56370500432445</v>
      </c>
      <c r="T22" s="41">
        <v>6194.2304912655973</v>
      </c>
      <c r="U22" s="42">
        <v>241.97562301866762</v>
      </c>
      <c r="V22" s="41">
        <v>6132.6358584551608</v>
      </c>
      <c r="W22" s="42">
        <v>224.46825950305347</v>
      </c>
      <c r="X22" s="41">
        <v>6058.4159844258274</v>
      </c>
      <c r="Y22" s="42">
        <v>205.61168189189911</v>
      </c>
      <c r="Z22" s="41">
        <v>5964.8521967007309</v>
      </c>
      <c r="AA22" s="42">
        <v>184.85180965768748</v>
      </c>
      <c r="AB22" s="41">
        <v>5841.4420913826334</v>
      </c>
      <c r="AC22" s="42">
        <v>161.70591169193617</v>
      </c>
      <c r="AD22" s="41">
        <v>5674.3173318050531</v>
      </c>
      <c r="AE22" s="42">
        <v>136.31674774196824</v>
      </c>
      <c r="AF22" s="41">
        <v>5447.5000218056139</v>
      </c>
      <c r="AG22" s="42">
        <v>109.78919412418217</v>
      </c>
      <c r="AH22" s="41">
        <v>5136.8239582450533</v>
      </c>
      <c r="AI22" s="42">
        <v>83.427149522877116</v>
      </c>
      <c r="AJ22" s="41">
        <v>4691.730063291031</v>
      </c>
      <c r="AK22" s="42">
        <v>58.050354642849214</v>
      </c>
      <c r="AL22" s="41">
        <v>3994.0288068686878</v>
      </c>
      <c r="AM22" s="42">
        <v>34.275343029875366</v>
      </c>
      <c r="AN22" s="41">
        <v>2709.5256777068334</v>
      </c>
      <c r="AO22" s="42">
        <v>13.223879262544289</v>
      </c>
      <c r="AP22" s="41"/>
      <c r="AQ22" s="42"/>
      <c r="AR22" s="41"/>
      <c r="AS22" s="42"/>
      <c r="AT22" s="41"/>
      <c r="AU22" s="42"/>
      <c r="AV22" s="41"/>
      <c r="AW22" s="42"/>
    </row>
    <row r="23" spans="1:49" x14ac:dyDescent="0.2">
      <c r="A23" t="s">
        <v>7</v>
      </c>
      <c r="B23" s="116">
        <v>3278.5018080150408</v>
      </c>
      <c r="C23" s="8">
        <v>0</v>
      </c>
      <c r="D23" s="116">
        <v>3283.1843573806573</v>
      </c>
      <c r="E23" s="8">
        <v>0</v>
      </c>
      <c r="F23" s="116">
        <v>3287.4732817474664</v>
      </c>
      <c r="G23" s="8">
        <v>0</v>
      </c>
      <c r="H23" s="116">
        <v>3291.3154870322401</v>
      </c>
      <c r="I23" s="8">
        <v>0</v>
      </c>
      <c r="J23" s="116">
        <v>3294.6498079310909</v>
      </c>
      <c r="K23" s="8">
        <v>0</v>
      </c>
      <c r="L23" s="116">
        <v>3297.4054555911566</v>
      </c>
      <c r="M23" s="8">
        <v>0</v>
      </c>
      <c r="N23" s="116">
        <v>3299.4989998755859</v>
      </c>
      <c r="O23" s="8">
        <v>0</v>
      </c>
      <c r="P23" s="116">
        <v>3300.8329199066893</v>
      </c>
      <c r="Q23" s="8">
        <v>0</v>
      </c>
      <c r="R23" s="116">
        <v>3301.2909000750305</v>
      </c>
      <c r="S23" s="8">
        <v>0</v>
      </c>
      <c r="T23" s="116">
        <v>3300.7337387904677</v>
      </c>
      <c r="U23" s="8">
        <v>0</v>
      </c>
      <c r="V23" s="116">
        <v>3298.9899848964592</v>
      </c>
      <c r="W23" s="8">
        <v>0</v>
      </c>
      <c r="X23" s="116">
        <v>3295.8340040526032</v>
      </c>
      <c r="Y23" s="8">
        <v>0</v>
      </c>
      <c r="Z23" s="116">
        <v>3290.9127521046667</v>
      </c>
      <c r="AA23" s="8">
        <v>0</v>
      </c>
      <c r="AB23" s="116">
        <v>3283.47065005785</v>
      </c>
      <c r="AC23" s="8">
        <v>0</v>
      </c>
      <c r="AD23" s="116">
        <v>3271.5502762464594</v>
      </c>
      <c r="AE23" s="8">
        <v>0</v>
      </c>
      <c r="AF23" s="116">
        <v>3250.6478054888607</v>
      </c>
      <c r="AG23" s="8">
        <v>0</v>
      </c>
      <c r="AH23" s="116">
        <v>3212.1237123395049</v>
      </c>
      <c r="AI23" s="8">
        <v>0</v>
      </c>
      <c r="AJ23" s="116">
        <v>3138.6110870944431</v>
      </c>
      <c r="AK23" s="8">
        <v>0</v>
      </c>
      <c r="AL23" s="116">
        <v>2985.23773957311</v>
      </c>
      <c r="AM23" s="8">
        <v>0</v>
      </c>
      <c r="AN23" s="116">
        <v>2579.9092437075906</v>
      </c>
      <c r="AO23" s="8">
        <v>0</v>
      </c>
      <c r="AP23" s="116"/>
      <c r="AQ23" s="8"/>
      <c r="AR23" s="116"/>
      <c r="AS23" s="8"/>
      <c r="AT23" s="116"/>
      <c r="AU23" s="8"/>
      <c r="AV23" s="116"/>
      <c r="AW23" s="8"/>
    </row>
    <row r="24" spans="1:49" x14ac:dyDescent="0.2">
      <c r="A24" t="s">
        <v>8</v>
      </c>
      <c r="B24" s="97">
        <v>3196.3846373657216</v>
      </c>
      <c r="C24" s="8">
        <v>0</v>
      </c>
      <c r="D24" s="97">
        <v>3231.884910273212</v>
      </c>
      <c r="E24" s="8">
        <v>0</v>
      </c>
      <c r="F24" s="97">
        <v>3267.3621756499674</v>
      </c>
      <c r="G24" s="8">
        <v>0</v>
      </c>
      <c r="H24" s="97">
        <v>3302.8106282430831</v>
      </c>
      <c r="I24" s="8">
        <v>0</v>
      </c>
      <c r="J24" s="97">
        <v>3338.2445600653136</v>
      </c>
      <c r="K24" s="8">
        <v>0</v>
      </c>
      <c r="L24" s="97">
        <v>3373.7152824800323</v>
      </c>
      <c r="M24" s="8">
        <v>0</v>
      </c>
      <c r="N24" s="97">
        <v>3409.3378103265968</v>
      </c>
      <c r="O24" s="8">
        <v>0</v>
      </c>
      <c r="P24" s="97">
        <v>3445.3423912094722</v>
      </c>
      <c r="Q24" s="8">
        <v>0</v>
      </c>
      <c r="R24" s="97">
        <v>3482.1593415401962</v>
      </c>
      <c r="S24" s="8">
        <v>0</v>
      </c>
      <c r="T24" s="97">
        <v>3520.5752493769069</v>
      </c>
      <c r="U24" s="8">
        <v>0</v>
      </c>
      <c r="V24" s="97">
        <v>3562.0161867042366</v>
      </c>
      <c r="W24" s="8">
        <v>0</v>
      </c>
      <c r="X24" s="97">
        <v>3609.0424645544772</v>
      </c>
      <c r="Y24" s="8">
        <v>0</v>
      </c>
      <c r="Z24" s="97">
        <v>3666.0551595735787</v>
      </c>
      <c r="AA24" s="8">
        <v>0</v>
      </c>
      <c r="AB24" s="97">
        <v>3739.5212963224321</v>
      </c>
      <c r="AC24" s="8">
        <v>0</v>
      </c>
      <c r="AD24" s="97">
        <v>3835.5546617080381</v>
      </c>
      <c r="AE24" s="8">
        <v>0</v>
      </c>
      <c r="AF24" s="97">
        <v>3955.3409428235154</v>
      </c>
      <c r="AG24" s="8">
        <v>0</v>
      </c>
      <c r="AH24" s="97">
        <v>4096.3172418259628</v>
      </c>
      <c r="AI24" s="8">
        <v>0</v>
      </c>
      <c r="AJ24" s="97">
        <v>4256.7570783006195</v>
      </c>
      <c r="AK24" s="8">
        <v>0</v>
      </c>
      <c r="AL24" s="97">
        <v>4426.7274777509747</v>
      </c>
      <c r="AM24" s="8">
        <v>0</v>
      </c>
      <c r="AN24" s="97">
        <v>4482.7542013539278</v>
      </c>
      <c r="AO24" s="8">
        <v>0</v>
      </c>
      <c r="AP24" s="97"/>
      <c r="AQ24" s="8"/>
      <c r="AR24" s="97"/>
      <c r="AS24" s="8"/>
      <c r="AT24" s="97"/>
      <c r="AU24" s="8"/>
      <c r="AV24" s="97"/>
      <c r="AW24" s="8"/>
    </row>
    <row r="25" spans="1:49" x14ac:dyDescent="0.2">
      <c r="A25" t="s">
        <v>0</v>
      </c>
      <c r="B25" s="41">
        <v>3195.0476040000012</v>
      </c>
      <c r="C25" s="42">
        <v>91.012690000004397</v>
      </c>
      <c r="D25" s="41">
        <v>3209.65252199001</v>
      </c>
      <c r="E25" s="42">
        <v>80.719741226994643</v>
      </c>
      <c r="F25" s="41">
        <v>3224.8275239126478</v>
      </c>
      <c r="G25" s="42">
        <v>70.772224338490744</v>
      </c>
      <c r="H25" s="41">
        <v>3240.5857502784784</v>
      </c>
      <c r="I25" s="42">
        <v>61.206406028710823</v>
      </c>
      <c r="J25" s="41">
        <v>3256.905155436742</v>
      </c>
      <c r="K25" s="42">
        <v>52.063522068234171</v>
      </c>
      <c r="L25" s="41">
        <v>3273.7050618078169</v>
      </c>
      <c r="M25" s="42">
        <v>43.391306937291873</v>
      </c>
      <c r="N25" s="41">
        <v>3290.8088439628086</v>
      </c>
      <c r="O25" s="42">
        <v>35.246372696244997</v>
      </c>
      <c r="P25" s="41">
        <v>3307.8840951343618</v>
      </c>
      <c r="Q25" s="42">
        <v>27.696832128361461</v>
      </c>
      <c r="R25" s="41">
        <v>3324.3420554150471</v>
      </c>
      <c r="S25" s="42">
        <v>20.826525110573787</v>
      </c>
      <c r="T25" s="41">
        <v>3339.1650270761488</v>
      </c>
      <c r="U25" s="42">
        <v>14.739731651459918</v>
      </c>
      <c r="V25" s="41">
        <v>3350.6085508367519</v>
      </c>
      <c r="W25" s="42">
        <v>9.5656597967818282</v>
      </c>
      <c r="X25" s="41">
        <v>3355.7153961416971</v>
      </c>
      <c r="Y25" s="42">
        <v>5.455729489684118</v>
      </c>
      <c r="Z25" s="41">
        <v>3349.7135375136268</v>
      </c>
      <c r="AA25" s="42">
        <v>2.5520724219699495</v>
      </c>
      <c r="AB25" s="41">
        <v>3326.1043984094263</v>
      </c>
      <c r="AC25" s="42">
        <v>0.88298147978499497</v>
      </c>
      <c r="AD25" s="41">
        <v>3279.3821213799361</v>
      </c>
      <c r="AE25" s="42">
        <v>0.20008218853385479</v>
      </c>
      <c r="AF25" s="41">
        <v>3208.5982809042607</v>
      </c>
      <c r="AG25" s="42">
        <v>2.6670366226743795E-2</v>
      </c>
      <c r="AH25" s="41">
        <v>3113.1098660231746</v>
      </c>
      <c r="AI25" s="42">
        <v>1.8278805604030799E-3</v>
      </c>
      <c r="AJ25" s="41">
        <v>2981.8099876192719</v>
      </c>
      <c r="AK25" s="42">
        <v>4.7933717205224595E-5</v>
      </c>
      <c r="AL25" s="41">
        <v>2775.914845580674</v>
      </c>
      <c r="AM25" s="42">
        <v>2.4180872789207372E-7</v>
      </c>
      <c r="AN25" s="41">
        <v>2346.5712547487847</v>
      </c>
      <c r="AO25" s="42">
        <v>3.4310022861545613E-11</v>
      </c>
      <c r="AP25" s="41"/>
      <c r="AQ25" s="42"/>
      <c r="AR25" s="41"/>
      <c r="AS25" s="42"/>
      <c r="AT25" s="41"/>
      <c r="AU25" s="42"/>
      <c r="AV25" s="41"/>
      <c r="AW25" s="42"/>
    </row>
    <row r="26" spans="1:49" x14ac:dyDescent="0.2">
      <c r="A26" t="s">
        <v>27</v>
      </c>
      <c r="B26" s="33">
        <v>5036.2953101960647</v>
      </c>
      <c r="C26" s="34">
        <v>74.905331803938267</v>
      </c>
      <c r="D26" s="33">
        <v>5042.0592561165286</v>
      </c>
      <c r="E26" s="34">
        <v>69.141385883472964</v>
      </c>
      <c r="F26" s="33">
        <v>5047.9146920332942</v>
      </c>
      <c r="G26" s="34">
        <v>63.28594996671189</v>
      </c>
      <c r="H26" s="33">
        <v>5053.8625689567898</v>
      </c>
      <c r="I26" s="34">
        <v>57.338073043214237</v>
      </c>
      <c r="J26" s="33">
        <v>5059.8995123613158</v>
      </c>
      <c r="K26" s="34">
        <v>51.301129638683975</v>
      </c>
      <c r="L26" s="33">
        <v>5066.0154514965834</v>
      </c>
      <c r="M26" s="34">
        <v>45.185190503418461</v>
      </c>
      <c r="N26" s="33">
        <v>5072.1898718977181</v>
      </c>
      <c r="O26" s="34">
        <v>39.010770102289563</v>
      </c>
      <c r="P26" s="33">
        <v>5078.386802949115</v>
      </c>
      <c r="Q26" s="34">
        <v>32.813839050893122</v>
      </c>
      <c r="R26" s="33">
        <v>5084.5462549985214</v>
      </c>
      <c r="S26" s="34">
        <v>26.65438700148605</v>
      </c>
      <c r="T26" s="33">
        <v>5090.5711218772185</v>
      </c>
      <c r="U26" s="34">
        <v>20.629520122787063</v>
      </c>
      <c r="V26" s="33">
        <v>5096.3060851110977</v>
      </c>
      <c r="W26" s="34">
        <v>14.894556888913325</v>
      </c>
      <c r="X26" s="33">
        <v>5101.5081531126943</v>
      </c>
      <c r="Y26" s="34">
        <v>9.69248888730686</v>
      </c>
      <c r="Z26" s="33">
        <v>5105.8253724953465</v>
      </c>
      <c r="AA26" s="34">
        <v>5.3752695046566661</v>
      </c>
      <c r="AB26" s="33">
        <v>5108.8636065417031</v>
      </c>
      <c r="AC26" s="34">
        <v>2.3370354582993484</v>
      </c>
      <c r="AD26" s="33">
        <v>5110.4778446325608</v>
      </c>
      <c r="AE26" s="34">
        <v>0.72279736744314704</v>
      </c>
      <c r="AF26" s="33">
        <v>5111.0543053144256</v>
      </c>
      <c r="AG26" s="34">
        <v>0.14633668557786383</v>
      </c>
      <c r="AH26" s="33">
        <v>5111.1831283881374</v>
      </c>
      <c r="AI26" s="34">
        <v>1.7513611864650724E-2</v>
      </c>
      <c r="AJ26" s="33">
        <v>5111.1996558821429</v>
      </c>
      <c r="AK26" s="34">
        <v>9.8611786119446481E-4</v>
      </c>
      <c r="AL26" s="33">
        <v>5111.2006267114402</v>
      </c>
      <c r="AM26" s="34">
        <v>1.5288562514829862E-5</v>
      </c>
      <c r="AN26" s="33">
        <v>5111.2006419853615</v>
      </c>
      <c r="AO26" s="34">
        <v>1.4646116718235379E-8</v>
      </c>
      <c r="AP26" s="33"/>
      <c r="AQ26" s="34"/>
      <c r="AR26" s="33"/>
      <c r="AS26" s="34"/>
      <c r="AT26" s="33"/>
      <c r="AU26" s="34"/>
      <c r="AV26" s="33"/>
      <c r="AW26" s="34"/>
    </row>
    <row r="27" spans="1:49" x14ac:dyDescent="0.2">
      <c r="A27" t="s">
        <v>2</v>
      </c>
      <c r="B27" s="35">
        <v>6425.1981590000414</v>
      </c>
      <c r="C27" s="36">
        <v>273.22915400000028</v>
      </c>
      <c r="D27" s="35">
        <v>6445.9603173471305</v>
      </c>
      <c r="E27" s="36">
        <v>252.46701155477137</v>
      </c>
      <c r="F27" s="35">
        <v>6467.0969663100677</v>
      </c>
      <c r="G27" s="36">
        <v>231.33034557463247</v>
      </c>
      <c r="H27" s="35">
        <v>6488.6135643768375</v>
      </c>
      <c r="I27" s="36">
        <v>209.81374631646975</v>
      </c>
      <c r="J27" s="35">
        <v>6510.5000299633248</v>
      </c>
      <c r="K27" s="36">
        <v>187.9272977687034</v>
      </c>
      <c r="L27" s="35">
        <v>6532.7219377377542</v>
      </c>
      <c r="M27" s="36">
        <v>165.70537673932338</v>
      </c>
      <c r="N27" s="35">
        <v>6555.2063382951246</v>
      </c>
      <c r="O27" s="36">
        <v>143.22097904151664</v>
      </c>
      <c r="P27" s="35">
        <v>6577.8232875256299</v>
      </c>
      <c r="Q27" s="36">
        <v>120.60403339790892</v>
      </c>
      <c r="R27" s="35">
        <v>6600.3535635535873</v>
      </c>
      <c r="S27" s="36">
        <v>98.073753586984793</v>
      </c>
      <c r="T27" s="35">
        <v>6622.4399247651418</v>
      </c>
      <c r="U27" s="36">
        <v>75.987395038709423</v>
      </c>
      <c r="V27" s="35">
        <v>6643.5079891730593</v>
      </c>
      <c r="W27" s="36">
        <v>54.919321962301154</v>
      </c>
      <c r="X27" s="35">
        <v>6662.6558776065831</v>
      </c>
      <c r="Y27" s="36">
        <v>35.771436459244597</v>
      </c>
      <c r="Z27" s="35">
        <v>6678.5738732437503</v>
      </c>
      <c r="AA27" s="36">
        <v>19.853438914043142</v>
      </c>
      <c r="AB27" s="35">
        <v>6689.7908473474745</v>
      </c>
      <c r="AC27" s="36">
        <v>8.6364652558651436</v>
      </c>
      <c r="AD27" s="35">
        <v>6695.7554620086703</v>
      </c>
      <c r="AE27" s="36">
        <v>2.67185100271554</v>
      </c>
      <c r="AF27" s="35">
        <v>6697.8863176867926</v>
      </c>
      <c r="AG27" s="36">
        <v>0.54099527764590249</v>
      </c>
      <c r="AH27" s="35">
        <v>6698.362565053345</v>
      </c>
      <c r="AI27" s="36">
        <v>6.4747938052367893E-2</v>
      </c>
      <c r="AJ27" s="35">
        <v>6698.4236673056339</v>
      </c>
      <c r="AK27" s="36">
        <v>3.6456952638179111E-3</v>
      </c>
      <c r="AL27" s="35">
        <v>6698.4272564780358</v>
      </c>
      <c r="AM27" s="36">
        <v>5.6522095786786616E-5</v>
      </c>
      <c r="AN27" s="35">
        <v>6698.4273129458834</v>
      </c>
      <c r="AO27" s="36">
        <v>5.4146959247326075E-8</v>
      </c>
      <c r="AP27" s="35"/>
      <c r="AQ27" s="36"/>
      <c r="AR27" s="35"/>
      <c r="AS27" s="36"/>
      <c r="AT27" s="35"/>
      <c r="AU27" s="36"/>
      <c r="AV27" s="35"/>
      <c r="AW27" s="36"/>
    </row>
    <row r="28" spans="1:49" x14ac:dyDescent="0.2">
      <c r="A28" t="s">
        <v>35</v>
      </c>
      <c r="B28" s="41">
        <v>13763.097676000029</v>
      </c>
      <c r="C28" s="42">
        <v>382.36647899999997</v>
      </c>
      <c r="D28" s="41">
        <v>13792.2331159104</v>
      </c>
      <c r="E28" s="42">
        <v>353.2059870240497</v>
      </c>
      <c r="F28" s="41">
        <v>13821.825053947456</v>
      </c>
      <c r="G28" s="42">
        <v>323.53722223143365</v>
      </c>
      <c r="H28" s="41">
        <v>13851.877754570876</v>
      </c>
      <c r="I28" s="42">
        <v>293.35350725661772</v>
      </c>
      <c r="J28" s="41">
        <v>13882.373708554416</v>
      </c>
      <c r="K28" s="42">
        <v>262.66997451497383</v>
      </c>
      <c r="L28" s="41">
        <v>13913.261677795028</v>
      </c>
      <c r="M28" s="42">
        <v>231.53582193572313</v>
      </c>
      <c r="N28" s="41">
        <v>13944.437580376672</v>
      </c>
      <c r="O28" s="42">
        <v>200.05409516508644</v>
      </c>
      <c r="P28" s="41">
        <v>13975.719537902836</v>
      </c>
      <c r="Q28" s="42">
        <v>168.40730360361371</v>
      </c>
      <c r="R28" s="41">
        <v>14006.804496701508</v>
      </c>
      <c r="S28" s="42">
        <v>136.9022333224552</v>
      </c>
      <c r="T28" s="41">
        <v>14037.202599390452</v>
      </c>
      <c r="U28" s="42">
        <v>106.03776661978233</v>
      </c>
      <c r="V28" s="41">
        <v>14066.130859001756</v>
      </c>
      <c r="W28" s="42">
        <v>76.614641833772382</v>
      </c>
      <c r="X28" s="41">
        <v>14092.364929981701</v>
      </c>
      <c r="Y28" s="42">
        <v>49.88873666668588</v>
      </c>
      <c r="Z28" s="41">
        <v>14114.132188318787</v>
      </c>
      <c r="AA28" s="42">
        <v>27.682268110954883</v>
      </c>
      <c r="AB28" s="41">
        <v>14129.448359374946</v>
      </c>
      <c r="AC28" s="42">
        <v>12.040133330172978</v>
      </c>
      <c r="AD28" s="41">
        <v>14137.5851194676</v>
      </c>
      <c r="AE28" s="42">
        <v>3.7245165431293494</v>
      </c>
      <c r="AF28" s="41">
        <v>14140.490695722674</v>
      </c>
      <c r="AG28" s="42">
        <v>0.75411524466727586</v>
      </c>
      <c r="AH28" s="41">
        <v>14141.140001654911</v>
      </c>
      <c r="AI28" s="42">
        <v>9.0254151599385657E-2</v>
      </c>
      <c r="AJ28" s="41">
        <v>14141.223304786316</v>
      </c>
      <c r="AK28" s="42">
        <v>5.0818426400851676E-3</v>
      </c>
      <c r="AL28" s="41">
        <v>14141.228198031053</v>
      </c>
      <c r="AM28" s="42">
        <v>7.8787820394821768E-5</v>
      </c>
      <c r="AN28" s="41">
        <v>14141.22827501567</v>
      </c>
      <c r="AO28" s="42">
        <v>7.5477048466792601E-8</v>
      </c>
      <c r="AP28" s="41"/>
      <c r="AQ28" s="42"/>
      <c r="AR28" s="41"/>
      <c r="AS28" s="42"/>
      <c r="AT28" s="41"/>
      <c r="AU28" s="42"/>
      <c r="AV28" s="41"/>
      <c r="AW28" s="42"/>
    </row>
    <row r="29" spans="1:49" x14ac:dyDescent="0.2">
      <c r="A29" t="s">
        <v>53</v>
      </c>
      <c r="B29" s="35">
        <v>14362.768558000025</v>
      </c>
      <c r="C29" s="36">
        <v>817.26650999999993</v>
      </c>
      <c r="D29" s="35">
        <v>14374.771781537747</v>
      </c>
      <c r="E29" s="36">
        <v>748.65862364290058</v>
      </c>
      <c r="F29" s="35">
        <v>14385.818075711517</v>
      </c>
      <c r="G29" s="36">
        <v>679.69433773475873</v>
      </c>
      <c r="H29" s="35">
        <v>14395.716589158745</v>
      </c>
      <c r="I29" s="36">
        <v>610.4465022465107</v>
      </c>
      <c r="J29" s="35">
        <v>14404.200129727626</v>
      </c>
      <c r="K29" s="36">
        <v>541.04176008563456</v>
      </c>
      <c r="L29" s="35">
        <v>14410.888624087625</v>
      </c>
      <c r="M29" s="36">
        <v>471.68511360732401</v>
      </c>
      <c r="N29" s="35">
        <v>14415.230317816502</v>
      </c>
      <c r="O29" s="36">
        <v>402.69856129427029</v>
      </c>
      <c r="P29" s="35">
        <v>14416.414505371247</v>
      </c>
      <c r="Q29" s="36">
        <v>334.56982937559462</v>
      </c>
      <c r="R29" s="35">
        <v>14413.220696949447</v>
      </c>
      <c r="S29" s="36">
        <v>268.03574937653099</v>
      </c>
      <c r="T29" s="35">
        <v>14403.766368045894</v>
      </c>
      <c r="U29" s="36">
        <v>204.20397025597151</v>
      </c>
      <c r="V29" s="35">
        <v>14385.061674410836</v>
      </c>
      <c r="W29" s="36">
        <v>144.74122338945983</v>
      </c>
      <c r="X29" s="35">
        <v>14352.243695891995</v>
      </c>
      <c r="Y29" s="36">
        <v>92.112005028039079</v>
      </c>
      <c r="Z29" s="35">
        <v>14297.427081062331</v>
      </c>
      <c r="AA29" s="36">
        <v>49.670633546758886</v>
      </c>
      <c r="AB29" s="35">
        <v>14208.75029451893</v>
      </c>
      <c r="AC29" s="36">
        <v>20.818925909803948</v>
      </c>
      <c r="AD29" s="35">
        <v>14071.40944553265</v>
      </c>
      <c r="AE29" s="36">
        <v>6.133371990200577</v>
      </c>
      <c r="AF29" s="35">
        <v>13868.771745462918</v>
      </c>
      <c r="AG29" s="36">
        <v>1.164856890370038</v>
      </c>
      <c r="AH29" s="35">
        <v>13572.642689881415</v>
      </c>
      <c r="AI29" s="36">
        <v>0.1281955141605696</v>
      </c>
      <c r="AJ29" s="35">
        <v>13115.644558604528</v>
      </c>
      <c r="AK29" s="36">
        <v>6.4421221934528421E-3</v>
      </c>
      <c r="AL29" s="35">
        <v>12315.920202131609</v>
      </c>
      <c r="AM29" s="36">
        <v>8.4467842089107676E-5</v>
      </c>
      <c r="AN29" s="35">
        <v>10500.603671623079</v>
      </c>
      <c r="AO29" s="36">
        <v>6.0007226813498332E-8</v>
      </c>
      <c r="AP29" s="35"/>
      <c r="AQ29" s="36"/>
      <c r="AR29" s="35"/>
      <c r="AS29" s="36"/>
      <c r="AT29" s="35"/>
      <c r="AU29" s="36"/>
      <c r="AV29" s="35"/>
      <c r="AW29" s="36"/>
    </row>
    <row r="30" spans="1:49" x14ac:dyDescent="0.2">
      <c r="A30" t="s">
        <v>48</v>
      </c>
      <c r="B30" s="119">
        <v>2924829.9599999995</v>
      </c>
      <c r="D30" s="119">
        <v>2976424.2764699063</v>
      </c>
      <c r="F30" s="119">
        <v>3027721.487046394</v>
      </c>
      <c r="H30" s="119">
        <v>3078709.9384397496</v>
      </c>
      <c r="J30" s="119">
        <v>3129424.0877793743</v>
      </c>
      <c r="L30" s="119">
        <v>3179982.0292452741</v>
      </c>
      <c r="N30" s="119">
        <v>3230646.8503599097</v>
      </c>
      <c r="P30" s="119">
        <v>3281931.3087952482</v>
      </c>
      <c r="R30" s="119">
        <v>3334776.3454934149</v>
      </c>
      <c r="T30" s="119">
        <v>3390876.6914641033</v>
      </c>
      <c r="V30" s="119">
        <v>3453263.044960863</v>
      </c>
      <c r="X30" s="119">
        <v>3527326.2937546317</v>
      </c>
      <c r="Z30" s="119">
        <v>3622301.2915092548</v>
      </c>
      <c r="AB30" s="119">
        <v>3751892.4537822711</v>
      </c>
      <c r="AD30" s="119">
        <v>3929808.252509526</v>
      </c>
      <c r="AF30" s="119">
        <v>4161209.7680742252</v>
      </c>
      <c r="AH30" s="119">
        <v>4446311.9793150956</v>
      </c>
      <c r="AJ30" s="119">
        <v>4793986.3759918734</v>
      </c>
      <c r="AL30" s="119">
        <v>5221634.1023521386</v>
      </c>
      <c r="AN30" s="119">
        <v>5652739.033643866</v>
      </c>
      <c r="AP30" s="119"/>
      <c r="AR30" s="119"/>
      <c r="AT30" s="119"/>
      <c r="AV30" s="119"/>
    </row>
    <row r="31" spans="1:49" x14ac:dyDescent="0.2">
      <c r="A31" t="s">
        <v>47</v>
      </c>
      <c r="B31" s="80">
        <v>1</v>
      </c>
      <c r="D31" s="80">
        <v>0.99377394688788867</v>
      </c>
      <c r="F31" s="80">
        <v>0.98720033915076844</v>
      </c>
      <c r="H31" s="80">
        <v>0.98023606120743711</v>
      </c>
      <c r="J31" s="80">
        <v>0.97282564313222741</v>
      </c>
      <c r="L31" s="80">
        <v>0.96489543990938731</v>
      </c>
      <c r="N31" s="80">
        <v>0.95634416620007823</v>
      </c>
      <c r="P31" s="80">
        <v>0.94702832340664111</v>
      </c>
      <c r="R31" s="80">
        <v>0.93673682819963666</v>
      </c>
      <c r="T31" s="80">
        <v>0.92514866177075605</v>
      </c>
      <c r="V31" s="80">
        <v>0.9117567196602484</v>
      </c>
      <c r="X31" s="80">
        <v>0.89573562336423407</v>
      </c>
      <c r="Z31" s="80">
        <v>0.87573937854365258</v>
      </c>
      <c r="AB31" s="80">
        <v>0.84972519089397625</v>
      </c>
      <c r="AD31" s="80">
        <v>0.81514729825972798</v>
      </c>
      <c r="AF31" s="80">
        <v>0.76936993467262049</v>
      </c>
      <c r="AH31" s="80">
        <v>0.70872112396133358</v>
      </c>
      <c r="AJ31" s="80">
        <v>0.62577440941320783</v>
      </c>
      <c r="AL31" s="80">
        <v>0.50455523251495105</v>
      </c>
      <c r="AN31" s="80">
        <v>0.30742264395316771</v>
      </c>
      <c r="AP31" s="80"/>
      <c r="AR31" s="80"/>
      <c r="AT31" s="80"/>
      <c r="AV31" s="80"/>
    </row>
    <row r="32" spans="1:49" x14ac:dyDescent="0.2">
      <c r="A32" t="s">
        <v>64</v>
      </c>
      <c r="B32" s="86">
        <v>14734457.915000005</v>
      </c>
      <c r="D32" s="86">
        <v>14727135.012419665</v>
      </c>
      <c r="F32" s="86">
        <v>14716302.159843292</v>
      </c>
      <c r="H32" s="86">
        <v>14701619.644508688</v>
      </c>
      <c r="J32" s="86">
        <v>14682758.645668365</v>
      </c>
      <c r="L32" s="86">
        <v>14659428.237117872</v>
      </c>
      <c r="N32" s="86">
        <v>14631414.243734052</v>
      </c>
      <c r="P32" s="86">
        <v>14598658.205973834</v>
      </c>
      <c r="R32" s="86">
        <v>14561376.1031709</v>
      </c>
      <c r="T32" s="86">
        <v>14520281.702323325</v>
      </c>
      <c r="V32" s="86">
        <v>14476957.567758922</v>
      </c>
      <c r="X32" s="86">
        <v>14434421.133680211</v>
      </c>
      <c r="Z32" s="86">
        <v>14397558.869367551</v>
      </c>
      <c r="AB32" s="86">
        <v>14371385.057827337</v>
      </c>
      <c r="AD32" s="86">
        <v>14352365.900558934</v>
      </c>
      <c r="AF32" s="86">
        <v>14315120.257779352</v>
      </c>
      <c r="AH32" s="86">
        <v>14209093.189735673</v>
      </c>
      <c r="AJ32" s="86">
        <v>13947778.645348884</v>
      </c>
      <c r="AL32" s="86">
        <v>13325709.94715935</v>
      </c>
      <c r="AN32" s="86">
        <v>11567516.487565462</v>
      </c>
      <c r="AP32" s="86"/>
      <c r="AR32" s="86"/>
      <c r="AT32" s="86"/>
      <c r="AV32" s="86"/>
    </row>
    <row r="33" spans="1:49 16319:16321" x14ac:dyDescent="0.2">
      <c r="A33" t="s">
        <v>54</v>
      </c>
      <c r="B33" s="117">
        <v>7019665.6909999903</v>
      </c>
      <c r="D33" s="117">
        <v>6984810.1861835979</v>
      </c>
      <c r="F33" s="117">
        <v>6948045.3201327985</v>
      </c>
      <c r="H33" s="117">
        <v>6909176.6243481599</v>
      </c>
      <c r="J33" s="117">
        <v>6867987.7854937781</v>
      </c>
      <c r="L33" s="117">
        <v>6824234.5894879149</v>
      </c>
      <c r="N33" s="117">
        <v>6777633.094186604</v>
      </c>
      <c r="P33" s="117">
        <v>6727842.6479790322</v>
      </c>
      <c r="R33" s="117">
        <v>6674429.3782662787</v>
      </c>
      <c r="T33" s="117">
        <v>6616807.7777302619</v>
      </c>
      <c r="V33" s="117">
        <v>6554112.6076665483</v>
      </c>
      <c r="X33" s="117">
        <v>6484926.0959613873</v>
      </c>
      <c r="Z33" s="117">
        <v>6406653.6352531677</v>
      </c>
      <c r="AB33" s="117">
        <v>6314118.5023599416</v>
      </c>
      <c r="AD33" s="117">
        <v>6197066.0344076557</v>
      </c>
      <c r="AF33" s="117">
        <v>6037347.4254345139</v>
      </c>
      <c r="AH33" s="117">
        <v>5804791.4641662706</v>
      </c>
      <c r="AJ33" s="117">
        <v>5442696.8773117904</v>
      </c>
      <c r="AL33" s="117">
        <v>4818552.4830077402</v>
      </c>
      <c r="AN33" s="117">
        <v>3516831.053236438</v>
      </c>
      <c r="AP33" s="117"/>
      <c r="AR33" s="117"/>
      <c r="AT33" s="117"/>
      <c r="AV33" s="117"/>
    </row>
    <row r="34" spans="1:49 16319:16321" x14ac:dyDescent="0.2">
      <c r="A34" t="s">
        <v>75</v>
      </c>
      <c r="B34" s="117">
        <v>1136879.441000015</v>
      </c>
      <c r="D34" s="117">
        <v>1136314.3938364247</v>
      </c>
      <c r="F34" s="117">
        <v>1135478.5877460176</v>
      </c>
      <c r="H34" s="117">
        <v>1134345.7186680953</v>
      </c>
      <c r="J34" s="117">
        <v>1132890.4178913841</v>
      </c>
      <c r="L34" s="117">
        <v>1131090.3101699343</v>
      </c>
      <c r="N34" s="117">
        <v>1128928.8143697265</v>
      </c>
      <c r="P34" s="117">
        <v>1126401.25067562</v>
      </c>
      <c r="R34" s="117">
        <v>1123524.6968446034</v>
      </c>
      <c r="T34" s="117">
        <v>1120354.0615324154</v>
      </c>
      <c r="V34" s="117">
        <v>1117011.2474721628</v>
      </c>
      <c r="X34" s="117">
        <v>1113729.2454582844</v>
      </c>
      <c r="Z34" s="117">
        <v>1110885.0228743937</v>
      </c>
      <c r="AB34" s="117">
        <v>1108865.5105863682</v>
      </c>
      <c r="AD34" s="117">
        <v>1107398.0336522907</v>
      </c>
      <c r="AF34" s="117">
        <v>1104524.2390472358</v>
      </c>
      <c r="AH34" s="117">
        <v>1096343.4159472082</v>
      </c>
      <c r="AJ34" s="117">
        <v>1076180.9413682858</v>
      </c>
      <c r="AL34" s="117">
        <v>1028183.4433984729</v>
      </c>
      <c r="AN34" s="117">
        <v>892524.97472295829</v>
      </c>
      <c r="AP34" s="117"/>
      <c r="AR34" s="117"/>
      <c r="AT34" s="117"/>
      <c r="AV34" s="117"/>
    </row>
    <row r="35" spans="1:49 16319:16321" x14ac:dyDescent="0.2">
      <c r="A35" t="s">
        <v>78</v>
      </c>
      <c r="B35" s="233">
        <v>1</v>
      </c>
      <c r="D35" s="233">
        <v>1.0012692835495876</v>
      </c>
      <c r="F35" s="233">
        <v>1.0026368881317183</v>
      </c>
      <c r="H35" s="233">
        <v>1.0041283855750571</v>
      </c>
      <c r="J35" s="233">
        <v>1.005782098044649</v>
      </c>
      <c r="L35" s="233">
        <v>1.0076558792406458</v>
      </c>
      <c r="N35" s="233">
        <v>1.0098380328357277</v>
      </c>
      <c r="P35" s="233">
        <v>1.0124650464271212</v>
      </c>
      <c r="R35" s="233">
        <v>1.0157521964190646</v>
      </c>
      <c r="T35" s="233">
        <v>1.0200480533060396</v>
      </c>
      <c r="V35" s="233">
        <v>1.0259348996459554</v>
      </c>
      <c r="X35" s="233">
        <v>1.0344146397678662</v>
      </c>
      <c r="Z35" s="233">
        <v>1.0472263444031709</v>
      </c>
      <c r="AB35" s="233">
        <v>1.067236731083351</v>
      </c>
      <c r="AD35" s="233">
        <v>1.0985583777859722</v>
      </c>
      <c r="AF35" s="233">
        <v>1.1467523386018936</v>
      </c>
      <c r="AH35" s="233">
        <v>1.2220786886878059</v>
      </c>
      <c r="AJ35" s="233">
        <v>1.3498693241857374</v>
      </c>
      <c r="AL35" s="233">
        <v>1.6036930800477562</v>
      </c>
      <c r="AN35" s="233">
        <v>2.2824910542245811</v>
      </c>
      <c r="AP35" s="233"/>
      <c r="AR35" s="233"/>
      <c r="AT35" s="233"/>
      <c r="AV35" s="233"/>
    </row>
    <row r="36" spans="1:49 16319:16321" x14ac:dyDescent="0.2">
      <c r="A36" t="s">
        <v>21</v>
      </c>
      <c r="B36" s="37">
        <v>0.47195767671988198</v>
      </c>
      <c r="C36" s="38">
        <v>0.31738834428178964</v>
      </c>
      <c r="D36" s="37">
        <v>0.47198789401299557</v>
      </c>
      <c r="E36" s="38">
        <v>0.31959131836660942</v>
      </c>
      <c r="F36" s="37">
        <v>0.47202071287557118</v>
      </c>
      <c r="G36" s="38">
        <v>0.32197614503659222</v>
      </c>
      <c r="H36" s="37">
        <v>0.47205640393278298</v>
      </c>
      <c r="I36" s="38">
        <v>0.32456800531569124</v>
      </c>
      <c r="J36" s="37">
        <v>0.47209520794610671</v>
      </c>
      <c r="K36" s="38">
        <v>0.32739896874847235</v>
      </c>
      <c r="L36" s="37">
        <v>0.47213729155753043</v>
      </c>
      <c r="M36" s="38">
        <v>0.33051110359933578</v>
      </c>
      <c r="N36" s="37">
        <v>0.47218267771424755</v>
      </c>
      <c r="O36" s="38">
        <v>0.33396151590527479</v>
      </c>
      <c r="P36" s="37">
        <v>0.47223110873596497</v>
      </c>
      <c r="Q36" s="38">
        <v>0.33783029716840446</v>
      </c>
      <c r="R36" s="37">
        <v>0.47228182352079107</v>
      </c>
      <c r="S36" s="38">
        <v>0.3422342649867523</v>
      </c>
      <c r="T36" s="37">
        <v>0.47233316141605053</v>
      </c>
      <c r="U36" s="38">
        <v>0.34735091718286143</v>
      </c>
      <c r="V36" s="37">
        <v>0.47238187206763127</v>
      </c>
      <c r="W36" s="38">
        <v>0.35346209173617016</v>
      </c>
      <c r="X36" s="37">
        <v>0.47242202612297474</v>
      </c>
      <c r="Y36" s="38">
        <v>0.36103388235606604</v>
      </c>
      <c r="Z36" s="37">
        <v>0.47244382611123348</v>
      </c>
      <c r="AA36" s="38">
        <v>0.37085233271054829</v>
      </c>
      <c r="AB36" s="37">
        <v>0.47243468456315096</v>
      </c>
      <c r="AC36" s="38">
        <v>0.38419228627107349</v>
      </c>
      <c r="AD36" s="37">
        <v>0.47238771192329754</v>
      </c>
      <c r="AE36" s="38">
        <v>0.402868167741321</v>
      </c>
      <c r="AF36" s="37">
        <v>0.47231251447497702</v>
      </c>
      <c r="AG36" s="38">
        <v>0.42922487018311017</v>
      </c>
      <c r="AH36" s="37">
        <v>0.47222749259369123</v>
      </c>
      <c r="AI36" s="38">
        <v>0.46702721105620409</v>
      </c>
      <c r="AJ36" s="37">
        <v>0.4721444755353546</v>
      </c>
      <c r="AK36" s="38">
        <v>0.52427022114141375</v>
      </c>
      <c r="AL36" s="37">
        <v>0.4720673618334113</v>
      </c>
      <c r="AM36" s="38">
        <v>0.62097665985125472</v>
      </c>
      <c r="AN36" s="37">
        <v>0.47199476143998048</v>
      </c>
      <c r="AO36" s="38">
        <v>0.82515697987474346</v>
      </c>
      <c r="AP36" s="37"/>
      <c r="AQ36" s="38"/>
      <c r="AR36" s="37"/>
      <c r="AS36" s="38"/>
      <c r="AT36" s="37"/>
      <c r="AU36" s="38"/>
      <c r="AV36" s="37"/>
      <c r="AW36" s="38"/>
    </row>
    <row r="37" spans="1:49 16319:16321" x14ac:dyDescent="0.2">
      <c r="B37" s="39">
        <v>2.1403217525954466E-2</v>
      </c>
      <c r="C37" s="40">
        <v>0.3496246130199252</v>
      </c>
      <c r="D37" s="39">
        <v>2.0791848777504736E-2</v>
      </c>
      <c r="E37" s="40">
        <v>0.34596619851652299</v>
      </c>
      <c r="F37" s="39">
        <v>2.0173203045874923E-2</v>
      </c>
      <c r="G37" s="40">
        <v>0.34224478624112215</v>
      </c>
      <c r="H37" s="39">
        <v>1.9546317556514786E-2</v>
      </c>
      <c r="I37" s="40">
        <v>0.33845430675314442</v>
      </c>
      <c r="J37" s="39">
        <v>1.8909722708634932E-2</v>
      </c>
      <c r="K37" s="40">
        <v>0.33458564810349661</v>
      </c>
      <c r="L37" s="39">
        <v>1.8261215697023967E-2</v>
      </c>
      <c r="M37" s="40">
        <v>0.33062524282330935</v>
      </c>
      <c r="N37" s="39">
        <v>1.7597510717887111E-2</v>
      </c>
      <c r="O37" s="40">
        <v>0.326552880403083</v>
      </c>
      <c r="P37" s="39">
        <v>1.6913769749293699E-2</v>
      </c>
      <c r="Q37" s="40">
        <v>0.32233874899079457</v>
      </c>
      <c r="R37" s="39">
        <v>1.6202833896668968E-2</v>
      </c>
      <c r="S37" s="40">
        <v>0.31793860860627771</v>
      </c>
      <c r="T37" s="39">
        <v>1.5454069962227961E-2</v>
      </c>
      <c r="U37" s="40">
        <v>0.31328654655088067</v>
      </c>
      <c r="V37" s="39">
        <v>1.4651615685474531E-2</v>
      </c>
      <c r="W37" s="40">
        <v>0.30828400510999365</v>
      </c>
      <c r="X37" s="39">
        <v>1.3772133146002117E-2</v>
      </c>
      <c r="Y37" s="40">
        <v>0.30278588649075278</v>
      </c>
      <c r="Z37" s="39">
        <v>1.2783863115399486E-2</v>
      </c>
      <c r="AA37" s="40">
        <v>0.29659544607077659</v>
      </c>
      <c r="AB37" s="39">
        <v>1.1654120093791484E-2</v>
      </c>
      <c r="AC37" s="40">
        <v>0.28951429964863529</v>
      </c>
      <c r="AD37" s="39">
        <v>1.0375110028035569E-2</v>
      </c>
      <c r="AE37" s="40">
        <v>0.28151254952215071</v>
      </c>
      <c r="AF37" s="39">
        <v>8.9834392348401432E-3</v>
      </c>
      <c r="AG37" s="40">
        <v>0.27286417955855047</v>
      </c>
      <c r="AH37" s="39">
        <v>7.5259891515864607E-3</v>
      </c>
      <c r="AI37" s="40">
        <v>0.26394416685070476</v>
      </c>
      <c r="AJ37" s="39">
        <v>6.0213317429310825E-3</v>
      </c>
      <c r="AK37" s="40">
        <v>0.25500239237345212</v>
      </c>
      <c r="AL37" s="39">
        <v>4.4608108453963293E-3</v>
      </c>
      <c r="AM37" s="40">
        <v>0.24621520027550703</v>
      </c>
      <c r="AN37" s="39">
        <v>2.8085237024320724E-3</v>
      </c>
      <c r="AO37" s="40">
        <v>0.23782349488926444</v>
      </c>
      <c r="AP37" s="39"/>
      <c r="AQ37" s="40"/>
      <c r="AR37" s="39"/>
      <c r="AS37" s="40"/>
      <c r="AT37" s="39"/>
      <c r="AU37" s="40"/>
      <c r="AV37" s="39"/>
      <c r="AW37" s="40"/>
    </row>
    <row r="38" spans="1:49 16319:16321" x14ac:dyDescent="0.2">
      <c r="A38" t="s">
        <v>22</v>
      </c>
      <c r="B38" s="37">
        <v>0.18079094942242827</v>
      </c>
      <c r="C38" s="38">
        <v>6.0565413429233668E-2</v>
      </c>
      <c r="D38" s="37">
        <v>0.18083595779366346</v>
      </c>
      <c r="E38" s="38">
        <v>6.082442452282779E-2</v>
      </c>
      <c r="F38" s="37">
        <v>0.18089525192046554</v>
      </c>
      <c r="G38" s="38">
        <v>6.110649076272847E-2</v>
      </c>
      <c r="H38" s="37">
        <v>0.18097114420815019</v>
      </c>
      <c r="I38" s="38">
        <v>6.1414862887982022E-2</v>
      </c>
      <c r="J38" s="37">
        <v>0.181066766968043</v>
      </c>
      <c r="K38" s="38">
        <v>6.175373416649229E-2</v>
      </c>
      <c r="L38" s="37">
        <v>0.18118646845530556</v>
      </c>
      <c r="M38" s="38">
        <v>6.2128674492676235E-2</v>
      </c>
      <c r="N38" s="37">
        <v>0.18133645475796165</v>
      </c>
      <c r="O38" s="38">
        <v>6.2547220104945761E-2</v>
      </c>
      <c r="P38" s="37">
        <v>0.18152578172748068</v>
      </c>
      <c r="Q38" s="38">
        <v>6.3020060471350517E-2</v>
      </c>
      <c r="R38" s="37">
        <v>0.18176807918677843</v>
      </c>
      <c r="S38" s="38">
        <v>6.3562805543854892E-2</v>
      </c>
      <c r="T38" s="37">
        <v>0.18208451811834855</v>
      </c>
      <c r="U38" s="38">
        <v>6.4199337601042072E-2</v>
      </c>
      <c r="V38" s="37">
        <v>0.18250918974891545</v>
      </c>
      <c r="W38" s="38">
        <v>6.4967757745769225E-2</v>
      </c>
      <c r="X38" s="37">
        <v>0.18309877743419312</v>
      </c>
      <c r="Y38" s="38">
        <v>6.5931288191821827E-2</v>
      </c>
      <c r="Z38" s="37">
        <v>0.18394843852568293</v>
      </c>
      <c r="AA38" s="38">
        <v>6.71971013723969E-2</v>
      </c>
      <c r="AB38" s="37">
        <v>0.18520993236575156</v>
      </c>
      <c r="AC38" s="38">
        <v>6.8939843692548103E-2</v>
      </c>
      <c r="AD38" s="37">
        <v>0.18709400937895251</v>
      </c>
      <c r="AE38" s="38">
        <v>7.1410130468432448E-2</v>
      </c>
      <c r="AF38" s="37">
        <v>0.18987715599602178</v>
      </c>
      <c r="AG38" s="38">
        <v>7.4937192861964888E-2</v>
      </c>
      <c r="AH38" s="37">
        <v>0.19405726964055728</v>
      </c>
      <c r="AI38" s="38">
        <v>8.0063160900935113E-2</v>
      </c>
      <c r="AJ38" s="37">
        <v>0.20085242332676412</v>
      </c>
      <c r="AK38" s="38">
        <v>8.7978023025426719E-2</v>
      </c>
      <c r="AL38" s="37">
        <v>0.21392713810872244</v>
      </c>
      <c r="AM38" s="38">
        <v>0.10185411997431452</v>
      </c>
      <c r="AN38" s="37">
        <v>0.25094618084353432</v>
      </c>
      <c r="AO38" s="38">
        <v>0.13429001570091034</v>
      </c>
      <c r="AP38" s="37"/>
      <c r="AQ38" s="38"/>
      <c r="AR38" s="37"/>
      <c r="AS38" s="38"/>
      <c r="AT38" s="37"/>
      <c r="AU38" s="38"/>
      <c r="AV38" s="37"/>
      <c r="AW38" s="38"/>
    </row>
    <row r="39" spans="1:49 16319:16321" x14ac:dyDescent="0.2">
      <c r="A39" t="s">
        <v>23</v>
      </c>
      <c r="B39" s="39">
        <v>0.23064923795098771</v>
      </c>
      <c r="C39" s="40">
        <v>0.22092201281804777</v>
      </c>
      <c r="D39" s="39">
        <v>0.23118756616621469</v>
      </c>
      <c r="E39" s="40">
        <v>0.22209795902410029</v>
      </c>
      <c r="F39" s="39">
        <v>0.23175255650834248</v>
      </c>
      <c r="G39" s="40">
        <v>0.22336372658434328</v>
      </c>
      <c r="H39" s="39">
        <v>0.23234739865753556</v>
      </c>
      <c r="I39" s="40">
        <v>0.22473169707548812</v>
      </c>
      <c r="J39" s="39">
        <v>0.23297600849402567</v>
      </c>
      <c r="K39" s="40">
        <v>0.22621748235899972</v>
      </c>
      <c r="L39" s="39">
        <v>0.23364334922222502</v>
      </c>
      <c r="M39" s="40">
        <v>0.22784136347383199</v>
      </c>
      <c r="N39" s="39">
        <v>0.23435595031236792</v>
      </c>
      <c r="O39" s="40">
        <v>0.22963079365689865</v>
      </c>
      <c r="P39" s="39">
        <v>0.23512279797984523</v>
      </c>
      <c r="Q39" s="40">
        <v>0.23162402503519713</v>
      </c>
      <c r="R39" s="39">
        <v>0.2359568640016419</v>
      </c>
      <c r="S39" s="40">
        <v>0.23387680714089965</v>
      </c>
      <c r="T39" s="39">
        <v>0.23687789711577623</v>
      </c>
      <c r="U39" s="40">
        <v>0.23647377149240192</v>
      </c>
      <c r="V39" s="39">
        <v>0.23791766819829649</v>
      </c>
      <c r="W39" s="40">
        <v>0.23954960402108325</v>
      </c>
      <c r="X39" s="39">
        <v>0.23913009820638384</v>
      </c>
      <c r="Y39" s="40">
        <v>0.24332830438614156</v>
      </c>
      <c r="Z39" s="39">
        <v>0.24061011608025376</v>
      </c>
      <c r="AA39" s="40">
        <v>0.248191006263389</v>
      </c>
      <c r="AB39" s="39">
        <v>0.24252276157690678</v>
      </c>
      <c r="AC39" s="40">
        <v>0.25476573865453167</v>
      </c>
      <c r="AD39" s="39">
        <v>0.24513084163429991</v>
      </c>
      <c r="AE39" s="40">
        <v>0.26397056393697543</v>
      </c>
      <c r="AF39" s="39">
        <v>0.24882842740775712</v>
      </c>
      <c r="AG39" s="40">
        <v>0.2770369391535254</v>
      </c>
      <c r="AH39" s="39">
        <v>0.25431801557200273</v>
      </c>
      <c r="AI39" s="40">
        <v>0.29599403151977371</v>
      </c>
      <c r="AJ39" s="39">
        <v>0.26322482325638774</v>
      </c>
      <c r="AK39" s="40">
        <v>0.32525631517854681</v>
      </c>
      <c r="AL39" s="39">
        <v>0.28035983665344549</v>
      </c>
      <c r="AM39" s="40">
        <v>0.37655654806544303</v>
      </c>
      <c r="AN39" s="39">
        <v>0.32887473405639034</v>
      </c>
      <c r="AO39" s="40">
        <v>0.49647262461227043</v>
      </c>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0.10799999999999961</v>
      </c>
      <c r="G42" s="135"/>
      <c r="H42" s="177">
        <f>10.8%+(1-10.8%)*(1-SUM(H26:I26)/SUM($B$26:$C$26))</f>
        <v>0.10799999999999982</v>
      </c>
      <c r="I42" s="135"/>
      <c r="J42" s="177">
        <f>10.8%+(1-10.8%)*(1-SUM(J26:K26)/SUM($B$26:$C$26))</f>
        <v>0.10800000000000061</v>
      </c>
      <c r="K42" s="135"/>
      <c r="L42" s="177">
        <f>10.8%+(1-10.8%)*(1-SUM(L26:M26)/SUM($B$26:$C$26))</f>
        <v>0.1080000000000003</v>
      </c>
      <c r="M42" s="135"/>
      <c r="N42" s="177">
        <f>10.8%+(1-10.8%)*(1-SUM(N26:O26)/SUM($B$26:$C$26))</f>
        <v>0.10799999999999922</v>
      </c>
      <c r="O42" s="135"/>
      <c r="P42" s="177">
        <f>10.8%+(1-10.8%)*(1-SUM(P26:Q26)/SUM($B$26:$C$26))</f>
        <v>0.10799999999999922</v>
      </c>
      <c r="Q42" s="135"/>
      <c r="R42" s="177">
        <f>10.8%+(1-10.8%)*(1-SUM(R26:S26)/SUM($B$26:$C$26))</f>
        <v>0.10799999999999942</v>
      </c>
      <c r="S42" s="135"/>
      <c r="T42" s="177">
        <f>10.8%+(1-10.8%)*(1-SUM(T26:U26)/SUM($B$26:$C$26))</f>
        <v>0.10799999999999961</v>
      </c>
      <c r="U42" s="135"/>
      <c r="V42" s="177">
        <f>10.8%+(1-10.8%)*(1-SUM(V26:W26)/SUM($B$26:$C$26))</f>
        <v>0.10799999999999882</v>
      </c>
      <c r="W42" s="135"/>
      <c r="X42" s="177">
        <f>10.8%+(1-10.8%)*(1-SUM(X26:Y26)/SUM($B$26:$C$26))</f>
        <v>0.1080000000000003</v>
      </c>
      <c r="Y42" s="162"/>
      <c r="Z42" s="177">
        <f>10.8%+(1-10.8%)*(1-SUM(Z26:AA26)/SUM($B$26:$C$26))</f>
        <v>0.10800000000000001</v>
      </c>
      <c r="AA42" s="135"/>
      <c r="AB42" s="177">
        <f>10.8%+(1-10.8%)*(1-SUM(AB26:AC26)/SUM($B$26:$C$26))</f>
        <v>0.10800000000000021</v>
      </c>
      <c r="AC42" s="135"/>
      <c r="AD42" s="177">
        <f>10.8%+(1-10.8%)*(1-SUM(AD26:AE26)/SUM($B$26:$C$26))</f>
        <v>0.10799999999999982</v>
      </c>
      <c r="AE42" s="135"/>
      <c r="AF42" s="177">
        <f>10.8%+(1-10.8%)*(1-SUM(AF26:AG26)/SUM($B$26:$C$26))</f>
        <v>0.10800000000000001</v>
      </c>
      <c r="AG42" s="135"/>
      <c r="AH42" s="177">
        <f>10.8%+(1-10.8%)*(1-SUM(AH26:AI26)/SUM($B$26:$C$26))</f>
        <v>0.10800000000000021</v>
      </c>
      <c r="AI42" s="135"/>
      <c r="AJ42" s="177">
        <f>10.8%+(1-10.8%)*(1-SUM(AJ26:AK26)/SUM($B$26:$C$26))</f>
        <v>0.10799999999999982</v>
      </c>
      <c r="AK42" s="135"/>
      <c r="AL42" s="177">
        <f>10.8%+(1-10.8%)*(1-SUM(AL26:AM26)/SUM($B$26:$C$26))</f>
        <v>0.10800000000000021</v>
      </c>
      <c r="AM42" s="135"/>
      <c r="AN42" s="177">
        <f>10.8%+(1-10.8%)*(1-SUM(AN26:AO26)/SUM($B$26:$C$26))</f>
        <v>0.10799999999999922</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0.5654958228728465</v>
      </c>
      <c r="E43" s="135"/>
      <c r="F43" s="162">
        <f t="array" ref="F43">SUM(F15:G15*F27:G27)/SUM(F15:G15*F27:G27,F13:G13*F26:G26)</f>
        <v>0.56376437232647048</v>
      </c>
      <c r="G43" s="135"/>
      <c r="H43" s="162">
        <f t="array" ref="H43">SUM(H15:I15*H27:I27)/SUM(H15:I15*H27:I27,H13:I13*H26:I26)</f>
        <v>0.56200598994084894</v>
      </c>
      <c r="I43" s="135"/>
      <c r="J43" s="162">
        <f t="array" ref="J43">SUM(J15:K15*J27:K27)/SUM(J15:K15*J27:K27,J13:K13*J26:K26)</f>
        <v>0.56022174366481237</v>
      </c>
      <c r="K43" s="135"/>
      <c r="L43" s="162">
        <f t="array" ref="L43">SUM(L15:M15*L27:M27)/SUM(L15:M15*L27:M27,L13:M13*L26:M26)</f>
        <v>0.55841466433446807</v>
      </c>
      <c r="M43" s="135"/>
      <c r="N43" s="162">
        <f t="array" ref="N43">SUM(N15:O15*N27:O27)/SUM(N15:O15*N27:O27,N13:O13*N26:O26)</f>
        <v>0.55659090157193281</v>
      </c>
      <c r="O43" s="135"/>
      <c r="P43" s="162">
        <f t="array" ref="P43">SUM(P15:Q15*P27:Q27)/SUM(P15:Q15*P27:Q27,P13:Q13*P26:Q26)</f>
        <v>0.554761136527818</v>
      </c>
      <c r="Q43" s="135"/>
      <c r="R43" s="162">
        <f t="array" ref="R43">SUM(R15:S15*R27:S27)/SUM(R15:S15*R27:S27,R13:S13*R26:S26)</f>
        <v>0.55294314691400837</v>
      </c>
      <c r="S43" s="135"/>
      <c r="T43" s="162">
        <f t="array" ref="T43">SUM(T15:U15*T27:U27)/SUM(T15:U15*T27:U27,T13:U13*T26:U26)</f>
        <v>0.55116561223344052</v>
      </c>
      <c r="U43" s="135"/>
      <c r="V43" s="162">
        <f t="array" ref="V43">SUM(V15:W15*V27:W27)/SUM(V15:W15*V27:W27,V13:W13*V26:W26)</f>
        <v>0.54947432335420698</v>
      </c>
      <c r="W43" s="135"/>
      <c r="X43" s="162">
        <f t="array" ref="X43">SUM(X15:Y15*X27:Y27)/SUM(X15:Y15*X27:Y27,X13:Y13*X26:Y26)</f>
        <v>0.54794083533785165</v>
      </c>
      <c r="Y43" s="135"/>
      <c r="Z43" s="162">
        <f t="array" ref="Z43">SUM(Z15:AA15*Z27:AA27)/SUM(Z15:AA15*Z27:AA27,Z13:AA13*Z26:AA26)</f>
        <v>0.54666867420320187</v>
      </c>
      <c r="AA43" s="135"/>
      <c r="AB43" s="162">
        <f t="array" ref="AB43">SUM(AB15:AC15*AB27:AC27)/SUM(AB15:AC15*AB27:AC27,AB13:AC13*AB26:AC26)</f>
        <v>0.54577367049029546</v>
      </c>
      <c r="AC43" s="135"/>
      <c r="AD43" s="162">
        <f t="array" ref="AD43">SUM(AD15:AE15*AD27:AE27)/SUM(AD15:AE15*AD27:AE27,AD13:AE13*AD26:AE26)</f>
        <v>0.54529824338120447</v>
      </c>
      <c r="AE43" s="135"/>
      <c r="AF43" s="162">
        <f t="array" ref="AF43">SUM(AF15:AG15*AF27:AG27)/SUM(AF15:AG15*AF27:AG27,AF13:AG13*AF26:AG26)</f>
        <v>0.54512847985658475</v>
      </c>
      <c r="AG43" s="135"/>
      <c r="AH43" s="162">
        <f t="array" ref="AH43">SUM(AH15:AI15*AH27:AI27)/SUM(AH15:AI15*AH27:AI27,AH13:AI13*AH26:AI26)</f>
        <v>0.54509054357313758</v>
      </c>
      <c r="AI43" s="135"/>
      <c r="AJ43" s="162">
        <f t="array" ref="AJ43">SUM(AJ15:AK15*AJ27:AK27)/SUM(AJ15:AK15*AJ27:AK27,AJ13:AK13*AJ26:AK26)</f>
        <v>0.54508567652874496</v>
      </c>
      <c r="AK43" s="135"/>
      <c r="AL43" s="162">
        <f t="array" ref="AL43">SUM(AL15:AM15*AL27:AM27)/SUM(AL15:AM15*AL27:AM27,AL13:AM13*AL26:AM26)</f>
        <v>0.54508539063742611</v>
      </c>
      <c r="AM43" s="135"/>
      <c r="AN43" s="162">
        <f t="array" ref="AN43">SUM(AN15:AO15*AN27:AO27)/SUM(AN15:AO15*AN27:AO27,AN13:AO13*AN26:AO26)</f>
        <v>0.54508538613953605</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0.29967212555931078</v>
      </c>
      <c r="F44" s="193">
        <f>(SUM(F11:G11*F24:G24)+F34)/F32</f>
        <v>0.30182124170940289</v>
      </c>
      <c r="H44" s="193">
        <f>(SUM(H11:I11*H24:I24)+H34)/H32</f>
        <v>0.30399356034482045</v>
      </c>
      <c r="J44" s="193">
        <f>(SUM(J11:K11*J24:K24)+J34)/J32</f>
        <v>0.30619511661809434</v>
      </c>
      <c r="L44" s="193">
        <f>(SUM(L11:M11*L24:M24)+L34)/L32</f>
        <v>0.30843532642674582</v>
      </c>
      <c r="N44" s="193">
        <f>(SUM(N11:O11*N24:O24)+N34)/N32</f>
        <v>0.31072905302291703</v>
      </c>
      <c r="P44" s="193">
        <f>(SUM(P11:Q11*P24:Q24)+P34)/P32</f>
        <v>0.31310030102154945</v>
      </c>
      <c r="R44" s="193">
        <f>(SUM(R11:S11*R24:S24)+R34)/R32</f>
        <v>0.31558850557723211</v>
      </c>
      <c r="T44" s="193">
        <f>(SUM(T11:U11*T24:U24)+T34)/T32</f>
        <v>0.31825962135687691</v>
      </c>
      <c r="V44" s="193">
        <f>(SUM(V11:W11*V24:W24)+V34)/V32</f>
        <v>0.32122658552353112</v>
      </c>
      <c r="X44" s="193">
        <f>(SUM(X11:Y11*X24:Y24)+X34)/X32</f>
        <v>0.32468561655239564</v>
      </c>
      <c r="Z44" s="193">
        <f>(SUM(Z11:AA11*Z24:AA24)+Z34)/Z32</f>
        <v>0.32897185833205311</v>
      </c>
      <c r="AB44" s="193">
        <f>(SUM(AB11:AC11*AB24:AC24)+AB34)/AB32</f>
        <v>0.33460028309467704</v>
      </c>
      <c r="AD44" s="193">
        <f>(SUM(AD11:AE11*AD24:AE24)+AD34)/AD32</f>
        <v>0.34217369190809199</v>
      </c>
      <c r="AF44" s="193">
        <f>(SUM(AF11:AG11*AF24:AG24)+AF34)/AF32</f>
        <v>0.35220760562249259</v>
      </c>
      <c r="AH44" s="193">
        <f>(SUM(AH11:AI11*AH24:AI24)+AH34)/AH32</f>
        <v>0.3654272704382221</v>
      </c>
      <c r="AJ44" s="193">
        <f>(SUM(AJ11:AK11*AJ24:AK24)+AJ34)/AJ32</f>
        <v>0.38373417583136327</v>
      </c>
      <c r="AL44" s="193">
        <f>(SUM(AL11:AM11*AL24:AM24)+AL34)/AL32</f>
        <v>0.41235561401673726</v>
      </c>
      <c r="AN44" s="193">
        <f>(SUM(AN11:AO11*AN24:AO24)+AN34)/AN32</f>
        <v>0.46992733850189655</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0.22251425385662393</v>
      </c>
      <c r="F45" s="193">
        <f>SUM(F11:G11*F24:G24)/F32</f>
        <v>0.22466336771273926</v>
      </c>
      <c r="H45" s="193">
        <f>SUM(H11:I11*H24:I24)/H32</f>
        <v>0.22683568617197084</v>
      </c>
      <c r="J45" s="193">
        <f>SUM(J11:K11*J24:K24)/J32</f>
        <v>0.22903724422974697</v>
      </c>
      <c r="L45" s="193">
        <f>SUM(L11:M11*L24:M24)/L32</f>
        <v>0.23127745288117335</v>
      </c>
      <c r="N45" s="193">
        <f>SUM(N11:O11*N24:O24)/N32</f>
        <v>0.23357117917943715</v>
      </c>
      <c r="P45" s="193">
        <f>SUM(P11:Q11*P24:Q24)/P32</f>
        <v>0.23594243933432324</v>
      </c>
      <c r="R45" s="193">
        <f>SUM(R11:S11*R24:S24)/R32</f>
        <v>0.2384306402158709</v>
      </c>
      <c r="T45" s="193">
        <f>SUM(T11:U11*T24:U24)/T32</f>
        <v>0.24110174766678502</v>
      </c>
      <c r="V45" s="193">
        <f>SUM(V11:W11*V24:W24)/V32</f>
        <v>0.24406871293572885</v>
      </c>
      <c r="X45" s="193">
        <f>SUM(X11:Y11*X24:Y24)/X32</f>
        <v>0.24752774266581559</v>
      </c>
      <c r="Z45" s="193">
        <f>SUM(Z11:AA11*Z24:AA24)/Z32</f>
        <v>0.25181398504577485</v>
      </c>
      <c r="AB45" s="193">
        <f>SUM(AB11:AC11*AB24:AC24)/AB32</f>
        <v>0.25744240957556014</v>
      </c>
      <c r="AD45" s="193">
        <f>SUM(AD11:AE11*AD24:AE24)/AD32</f>
        <v>0.26501581833345267</v>
      </c>
      <c r="AF45" s="193">
        <f>SUM(AF11:AG11*AF24:AG24)/AF32</f>
        <v>0.27504973204843042</v>
      </c>
      <c r="AH45" s="193">
        <f>SUM(AH11:AI11*AH24:AI24)/AH32</f>
        <v>0.28826939686334946</v>
      </c>
      <c r="AJ45" s="193">
        <f>SUM(AJ11:AK11*AJ24:AK24)/AJ32</f>
        <v>0.30657630225648003</v>
      </c>
      <c r="AL45" s="193">
        <f>SUM(AL11:AM11*AL24:AM24)/AL32</f>
        <v>0.33519774044185496</v>
      </c>
      <c r="AN45" s="193">
        <f>SUM(AN11:AO11*AN24:AO24)/AN32</f>
        <v>0.39276946492701287</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7.7157873574883712E-2</v>
      </c>
      <c r="D46" s="193">
        <f>D34/D32</f>
        <v>7.7157871702686898E-2</v>
      </c>
      <c r="F46" s="193">
        <f>F34/F32</f>
        <v>7.7157873996663628E-2</v>
      </c>
      <c r="H46" s="193">
        <f>H34/H32</f>
        <v>7.7157874172849611E-2</v>
      </c>
      <c r="J46" s="193">
        <f>J34/J32</f>
        <v>7.7157872388347398E-2</v>
      </c>
      <c r="L46" s="193">
        <f>L34/L32</f>
        <v>7.7157873545572409E-2</v>
      </c>
      <c r="N46" s="193">
        <f>N34/N32</f>
        <v>7.7157873843479871E-2</v>
      </c>
      <c r="P46" s="193">
        <f>P34/P32</f>
        <v>7.7157861687226284E-2</v>
      </c>
      <c r="R46" s="193">
        <f>R34/R32</f>
        <v>7.7157865361361253E-2</v>
      </c>
      <c r="T46" s="193">
        <f>T34/T32</f>
        <v>7.7157873690091888E-2</v>
      </c>
      <c r="V46" s="193">
        <f>V34/V32</f>
        <v>7.7157872587802281E-2</v>
      </c>
      <c r="X46" s="193">
        <f>X34/X32</f>
        <v>7.7157873886580103E-2</v>
      </c>
      <c r="Z46" s="193">
        <f>Z34/Z32</f>
        <v>7.7157873286278295E-2</v>
      </c>
      <c r="AB46" s="193">
        <f>AB34/AB32</f>
        <v>7.7157873519116904E-2</v>
      </c>
      <c r="AD46" s="193">
        <f>AD34/AD32</f>
        <v>7.7157873574639324E-2</v>
      </c>
      <c r="AF46" s="193">
        <f>AF34/AF32</f>
        <v>7.7157873574062188E-2</v>
      </c>
      <c r="AH46" s="193">
        <f>AH34/AH32</f>
        <v>7.7157873574872596E-2</v>
      </c>
      <c r="AJ46" s="193">
        <f>AJ34/AJ32</f>
        <v>7.7157873574883268E-2</v>
      </c>
      <c r="AL46" s="193">
        <f>AL34/AL32</f>
        <v>7.7157873574882324E-2</v>
      </c>
      <c r="AN46" s="193">
        <f>AN34/AN32</f>
        <v>7.715787357488367E-2</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1.0111063832845686</v>
      </c>
      <c r="E48" s="191"/>
      <c r="F48" s="191">
        <f>F24/$B$24</f>
        <v>1.0222055685834923</v>
      </c>
      <c r="G48" s="191"/>
      <c r="H48" s="191">
        <f>H24/$B$24</f>
        <v>1.0332957397033018</v>
      </c>
      <c r="I48" s="191"/>
      <c r="J48" s="191">
        <f>J24/$B$24</f>
        <v>1.0443813679496674</v>
      </c>
      <c r="K48" s="191"/>
      <c r="L48" s="191">
        <f>L24/$B$24</f>
        <v>1.0554785062602656</v>
      </c>
      <c r="M48" s="191"/>
      <c r="N48" s="191">
        <f>N24/$B$24</f>
        <v>1.0666231374257822</v>
      </c>
      <c r="O48" s="191"/>
      <c r="P48" s="191">
        <f>P24/$B$24</f>
        <v>1.077887295206414</v>
      </c>
      <c r="Q48" s="191"/>
      <c r="R48" s="191">
        <f>R24/$B$24</f>
        <v>1.0894056055813088</v>
      </c>
      <c r="S48" s="191"/>
      <c r="T48" s="191">
        <f>T24/$B$24</f>
        <v>1.1014241553477009</v>
      </c>
      <c r="U48" s="191"/>
      <c r="V48" s="191">
        <f>V24/$B$24</f>
        <v>1.1143890960631846</v>
      </c>
      <c r="W48" s="191"/>
      <c r="X48" s="191">
        <f>X24/$B$24</f>
        <v>1.1291014298982631</v>
      </c>
      <c r="Y48" s="191"/>
      <c r="Z48" s="191">
        <f>Z24/$B$24</f>
        <v>1.1469380489185848</v>
      </c>
      <c r="AA48" s="191"/>
      <c r="AB48" s="191">
        <f>AB24/$B$24</f>
        <v>1.1699221841475038</v>
      </c>
      <c r="AC48" s="191"/>
      <c r="AD48" s="191">
        <f>AD24/$B$24</f>
        <v>1.1999665549854113</v>
      </c>
      <c r="AE48" s="191"/>
      <c r="AF48" s="191">
        <f>AF24/$B$24</f>
        <v>1.2374421077443554</v>
      </c>
      <c r="AG48" s="191"/>
      <c r="AH48" s="191">
        <f>AH24/$B$24</f>
        <v>1.2815470309611783</v>
      </c>
      <c r="AI48" s="191"/>
      <c r="AJ48" s="191">
        <f>AJ24/$B$24</f>
        <v>1.3317411892608759</v>
      </c>
      <c r="AK48" s="191"/>
      <c r="AL48" s="191">
        <f>AL24/$B$24</f>
        <v>1.3849170171832736</v>
      </c>
      <c r="AM48" s="191"/>
      <c r="AN48" s="191">
        <f>AN24/$B$24</f>
        <v>1.4024451716325226</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0.9976639737873565</v>
      </c>
      <c r="E49" s="191"/>
      <c r="F49" s="191">
        <f>F13/F35/$B$13*$B$35</f>
        <v>0.99498446382972405</v>
      </c>
      <c r="G49" s="191"/>
      <c r="H49" s="191">
        <f>H13/H35/$B$13*$B$35</f>
        <v>0.99190677487532675</v>
      </c>
      <c r="I49" s="191"/>
      <c r="J49" s="191">
        <f>J13/J35/$B$13*$B$35</f>
        <v>0.98835801135775792</v>
      </c>
      <c r="K49" s="191"/>
      <c r="L49" s="191">
        <f>L13/L35/$B$13*$B$35</f>
        <v>0.98423863577388626</v>
      </c>
      <c r="M49" s="191"/>
      <c r="N49" s="191">
        <f>N13/N35/$B$13*$B$35</f>
        <v>0.97940887967949786</v>
      </c>
      <c r="O49" s="191"/>
      <c r="P49" s="191">
        <f>P13/P35/$B$13*$B$35</f>
        <v>0.97366807816452527</v>
      </c>
      <c r="Q49" s="191"/>
      <c r="R49" s="191">
        <f>R13/R35/$B$13*$B$35</f>
        <v>0.96671909397671563</v>
      </c>
      <c r="S49" s="191"/>
      <c r="T49" s="191">
        <f>T13/T35/$B$13*$B$35</f>
        <v>0.95810810343400754</v>
      </c>
      <c r="U49" s="191"/>
      <c r="V49" s="191">
        <f>V13/V35/$B$13*$B$35</f>
        <v>0.94711776550063775</v>
      </c>
      <c r="W49" s="191"/>
      <c r="X49" s="191">
        <f>X13/X35/$B$13*$B$35</f>
        <v>0.93258146624200966</v>
      </c>
      <c r="Y49" s="191"/>
      <c r="Z49" s="191">
        <f>Z13/Z35/$B$13*$B$35</f>
        <v>0.91259881802764264</v>
      </c>
      <c r="AA49" s="191"/>
      <c r="AB49" s="191">
        <f>AB13/AB35/$B$13*$B$35</f>
        <v>0.88428524342903581</v>
      </c>
      <c r="AC49" s="191"/>
      <c r="AD49" s="191">
        <f>AD13/AD35/$B$13*$B$35</f>
        <v>0.84402413944949251</v>
      </c>
      <c r="AE49" s="191"/>
      <c r="AF49" s="191">
        <f>AF13/AF35/$B$13*$B$35</f>
        <v>0.78800597885708512</v>
      </c>
      <c r="AG49" s="191"/>
      <c r="AH49" s="191">
        <f>AH13/AH35/$B$13*$B$35</f>
        <v>0.71101116594364056</v>
      </c>
      <c r="AI49" s="191"/>
      <c r="AJ49" s="191">
        <f>AJ13/AJ35/$B$13*$B$35</f>
        <v>0.60355382430065352</v>
      </c>
      <c r="AK49" s="191"/>
      <c r="AL49" s="191">
        <f>AL13/AL35/$B$13*$B$35</f>
        <v>0.44976866598856596</v>
      </c>
      <c r="AM49" s="191"/>
      <c r="AN49" s="191">
        <f>AN13/AN35/$B$13*$B$35</f>
        <v>0.23064087845499479</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-352588.69719541259</v>
      </c>
      <c r="F51" s="29">
        <f>F30-F10*F23</f>
        <v>-298842.76140942983</v>
      </c>
      <c r="H51" s="29">
        <f>H30-H10*H23</f>
        <v>-244535.38315122807</v>
      </c>
      <c r="J51" s="29">
        <f>J30-J10*J23</f>
        <v>-189557.7766094543</v>
      </c>
      <c r="L51" s="29">
        <f>L30-L10*L23</f>
        <v>-133726.08483977802</v>
      </c>
      <c r="N51" s="29">
        <f>N30-N10*N23</f>
        <v>-76728.806846037507</v>
      </c>
      <c r="P51" s="29">
        <f>P30-P10*P23</f>
        <v>-18039.970398432575</v>
      </c>
      <c r="R51" s="29">
        <f>R30-R10*R23</f>
        <v>43232.544136518147</v>
      </c>
      <c r="T51" s="29">
        <f>T30-T10*T23</f>
        <v>108622.12344765011</v>
      </c>
      <c r="V51" s="29">
        <f>V30-V10*V23</f>
        <v>180801.7331287316</v>
      </c>
      <c r="X51" s="29">
        <f>X30-X10*X23</f>
        <v>264480.18140169745</v>
      </c>
      <c r="Z51" s="29">
        <f>Z30-Z10*Z23</f>
        <v>367787.75409584818</v>
      </c>
      <c r="AB51" s="29">
        <f>AB30-AB10*AB23</f>
        <v>503295.40712651424</v>
      </c>
      <c r="AD51" s="29">
        <f>AD30-AD10*AD23</f>
        <v>685510.4141683057</v>
      </c>
      <c r="AF51" s="29">
        <f>AF30-AF10*AF23</f>
        <v>925331.16591989156</v>
      </c>
      <c r="AH51" s="29">
        <f>AH30-AH10*AH23</f>
        <v>1234400.3934731297</v>
      </c>
      <c r="AJ51" s="29">
        <f>AJ30-AJ10*AJ23</f>
        <v>1641143.951106023</v>
      </c>
      <c r="AL51" s="29">
        <f>AL30-AL10*AL23</f>
        <v>2209407.9456703654</v>
      </c>
      <c r="AN51" s="29">
        <f>AN30-AN10*AN23</f>
        <v>3037945.8353932863</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2047055.7233109761</v>
      </c>
      <c r="F52" s="29">
        <f t="array" ref="F52">Calibration!sL*SUM(F13:G13*F26:G26)</f>
        <v>2044346.2781256414</v>
      </c>
      <c r="H52" s="29">
        <f t="array" ref="H52">Calibration!sL*SUM(H13:I13*H26:I26)</f>
        <v>2041054.4113946878</v>
      </c>
      <c r="J52" s="29">
        <f t="array" ref="J52">Calibration!sL*SUM(J13:K13*J26:K26)</f>
        <v>2037101.5061778405</v>
      </c>
      <c r="L52" s="29">
        <f t="array" ref="L52">Calibration!sL*SUM(L13:M13*L26:M26)</f>
        <v>2032390.3953432566</v>
      </c>
      <c r="N52" s="29">
        <f t="array" ref="N52">Calibration!sL*SUM(N13:O13*N26:O26)</f>
        <v>2026796.949820684</v>
      </c>
      <c r="P52" s="29">
        <f t="array" ref="P52">Calibration!sL*SUM(P13:Q13*P26:Q26)</f>
        <v>2020158.5335748128</v>
      </c>
      <c r="R52" s="29">
        <f t="array" ref="R52">Calibration!sL*SUM(R13:S13*R26:S26)</f>
        <v>2012252.836856764</v>
      </c>
      <c r="T52" s="29">
        <f t="array" ref="T52">Calibration!sL*SUM(T13:U13*T26:U26)</f>
        <v>2002763.3086185907</v>
      </c>
      <c r="V52" s="29">
        <f t="array" ref="V52">Calibration!sL*SUM(V13:W13*V26:W26)</f>
        <v>1991215.5183289128</v>
      </c>
      <c r="X52" s="29">
        <f t="array" ref="X52">Calibration!sL*SUM(X13:Y13*X26:Y26)</f>
        <v>1976860.028637537</v>
      </c>
      <c r="Z52" s="29">
        <f t="array" ref="Z52">Calibration!sL*SUM(Z13:AA13*Z26:AA26)</f>
        <v>1958461.0674506056</v>
      </c>
      <c r="AB52" s="29">
        <f t="array" ref="AB52">Calibration!sL*SUM(AB13:AC13*AB26:AC26)</f>
        <v>1933960.6056801802</v>
      </c>
      <c r="AD52" s="29">
        <f t="array" ref="AD52">Calibration!sL*SUM(AD13:AE13*AD26:AE26)</f>
        <v>1900082.6393060975</v>
      </c>
      <c r="AF52" s="29">
        <f t="array" ref="AF52">Calibration!sL*SUM(AF13:AG13*AF26:AG26)</f>
        <v>1851798.0770129911</v>
      </c>
      <c r="AH52" s="29">
        <f t="array" ref="AH52">Calibration!sL*SUM(AH13:AI13*AH26:AI26)</f>
        <v>1780615.1880078726</v>
      </c>
      <c r="AJ52" s="29">
        <f t="array" ref="AJ52">Calibration!sL*SUM(AJ13:AK13*AJ26:AK26)</f>
        <v>1669560.7099510452</v>
      </c>
      <c r="AL52" s="29">
        <f t="array" ref="AL52">Calibration!sL*SUM(AL13:AM13*AL26:AM26)</f>
        <v>1478103.7985026962</v>
      </c>
      <c r="AN52" s="29">
        <f t="array" ref="AN52">Calibration!sL*SUM(AN13:AO13*AN26:AO26)</f>
        <v>1078797.2960521553</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2718845.3033794602</v>
      </c>
      <c r="F53" s="29">
        <f t="array" ref="F53">Calibration!sK*SUM(F15:G15*F27:G27)</f>
        <v>2696189.0616292325</v>
      </c>
      <c r="H53" s="29">
        <f t="array" ref="H53">Calibration!sK*SUM(H15:I15*H27:I27)</f>
        <v>2672678.6430964982</v>
      </c>
      <c r="J53" s="29">
        <f t="array" ref="J53">Calibration!sK*SUM(J15:K15*J27:K27)</f>
        <v>2648245.6367114871</v>
      </c>
      <c r="L53" s="29">
        <f t="array" ref="L53">Calibration!sK*SUM(L15:M15*L27:M27)</f>
        <v>2622821.2483114479</v>
      </c>
      <c r="N53" s="29">
        <f t="array" ref="N53">Calibration!sK*SUM(N15:O15*N27:O27)</f>
        <v>2596337.4167892197</v>
      </c>
      <c r="P53" s="29">
        <f t="array" ref="P53">Calibration!sK*SUM(P15:Q15*P27:Q27)</f>
        <v>2568726.1312707574</v>
      </c>
      <c r="R53" s="29">
        <f t="array" ref="R53">Calibration!sK*SUM(R15:S15*R27:S27)</f>
        <v>2539917.7850057227</v>
      </c>
      <c r="T53" s="29">
        <f t="array" ref="T53">Calibration!sK*SUM(T15:U15*T27:U27)</f>
        <v>2509834.035277457</v>
      </c>
      <c r="V53" s="29">
        <f t="array" ref="V53">Calibration!sK*SUM(V15:W15*V27:W27)</f>
        <v>2478366.3917819802</v>
      </c>
      <c r="X53" s="29">
        <f t="array" ref="X53">Calibration!sK*SUM(X15:Y15*X27:Y27)</f>
        <v>2445308.7233191188</v>
      </c>
      <c r="Z53" s="29">
        <f t="array" ref="Z53">Calibration!sK*SUM(Z15:AA15*Z27:AA27)</f>
        <v>2410142.8713410338</v>
      </c>
      <c r="AB53" s="29">
        <f t="array" ref="AB53">Calibration!sK*SUM(AB15:AC15*AB27:AC27)</f>
        <v>2371413.4929440678</v>
      </c>
      <c r="AD53" s="29">
        <f t="array" ref="AD53">Calibration!sK*SUM(AD15:AE15*AD27:AE27)</f>
        <v>2325408.9744556877</v>
      </c>
      <c r="AF53" s="29">
        <f t="array" ref="AF53">Calibration!sK*SUM(AF15:AG15*AF27:AG27)</f>
        <v>2264764.986992327</v>
      </c>
      <c r="AH53" s="29">
        <f t="array" ref="AH53">Calibration!sK*SUM(AH15:AI15*AH27:AI27)</f>
        <v>2177374.5581766125</v>
      </c>
      <c r="AJ53" s="29">
        <f t="array" ref="AJ53">Calibration!sK*SUM(AJ15:AK15*AJ27:AK27)</f>
        <v>2041534.6821008367</v>
      </c>
      <c r="AL53" s="29">
        <f t="array" ref="AL53">Calibration!sK*SUM(AL15:AM15*AL27:AM27)</f>
        <v>1807419.5632981407</v>
      </c>
      <c r="AN53" s="29">
        <f t="array" ref="AN53">Calibration!sK*SUM(AN15:AO15*AN27:AO27)</f>
        <v>1319149.104633075</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0.20210477285363601</v>
      </c>
      <c r="F55" s="193">
        <f>F30/F32</f>
        <v>0.20573928519273044</v>
      </c>
      <c r="H55" s="193">
        <f>H30/H32</f>
        <v>0.20941297713342091</v>
      </c>
      <c r="J55" s="193">
        <f>J30/J32</f>
        <v>0.2131359755547437</v>
      </c>
      <c r="L55" s="193">
        <f>L30/L32</f>
        <v>0.21692401489394494</v>
      </c>
      <c r="N55" s="193">
        <f>N30/N32</f>
        <v>0.22080209038872944</v>
      </c>
      <c r="P55" s="193">
        <f>P30/P32</f>
        <v>0.22481047658559933</v>
      </c>
      <c r="R55" s="193">
        <f>R30/R32</f>
        <v>0.2290151920989961</v>
      </c>
      <c r="T55" s="193">
        <f>T30/T32</f>
        <v>0.23352692192752322</v>
      </c>
      <c r="V55" s="193">
        <f>V30/V32</f>
        <v>0.23853513618437985</v>
      </c>
      <c r="X55" s="193">
        <f>X30/X32</f>
        <v>0.24436908561052229</v>
      </c>
      <c r="Z55" s="193">
        <f>Z30/Z32</f>
        <v>0.25159135130998589</v>
      </c>
      <c r="AB55" s="193">
        <f>AB30/AB32</f>
        <v>0.26106686576731952</v>
      </c>
      <c r="AD55" s="193">
        <f>AD30/AD32</f>
        <v>0.27380909041320395</v>
      </c>
      <c r="AF55" s="193">
        <f>AF30/AF32</f>
        <v>0.29068632977867398</v>
      </c>
      <c r="AH55" s="193">
        <f>AH30/AH32</f>
        <v>0.31292017864496874</v>
      </c>
      <c r="AJ55" s="193">
        <f>AJ30/AJ32</f>
        <v>0.34370966860665708</v>
      </c>
      <c r="AL55" s="193">
        <f>AL30/AL32</f>
        <v>0.39184659752145046</v>
      </c>
      <c r="AN55" s="193">
        <f>AN30/AN32</f>
        <v>0.48867352293988908</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3.3008034284233691E-2</v>
      </c>
      <c r="F56" s="193">
        <f>(Model!$C$52*F5*F20+F2*G5*G20)/F32</f>
        <v>3.6832158842764869E-2</v>
      </c>
      <c r="H56" s="193">
        <f>(Model!$C$52*H5*H20+H2*I5*I20)/H32</f>
        <v>4.0702071020253923E-2</v>
      </c>
      <c r="J56" s="193">
        <f>(Model!$C$52*J5*J20+J2*K5*K20)/J32</f>
        <v>4.4630857273843617E-2</v>
      </c>
      <c r="L56" s="193">
        <f>(Model!$C$52*L5*L20+L2*M5*M20)/L32</f>
        <v>4.863907677778339E-2</v>
      </c>
      <c r="N56" s="193">
        <f>(Model!$C$52*N5*N20+N2*O5*O20)/N32</f>
        <v>5.2759475877680345E-2</v>
      </c>
      <c r="P56" s="193">
        <f>(Model!$C$52*P5*P20+P2*Q5*Q20)/P32</f>
        <v>5.7044768021944026E-2</v>
      </c>
      <c r="R56" s="193">
        <f>(Model!$C$52*R5*R20+R2*S5*S20)/R32</f>
        <v>6.1581026348875592E-2</v>
      </c>
      <c r="T56" s="193">
        <f>(Model!$C$52*T5*T20+T2*U5*U20)/T32</f>
        <v>6.6511729758800875E-2</v>
      </c>
      <c r="V56" s="193">
        <f>(Model!$C$52*V5*V20+V2*W5*W20)/V32</f>
        <v>7.2080842511831777E-2</v>
      </c>
      <c r="X56" s="193">
        <f>(Model!$C$52*X5*X20+X2*Y5*Y20)/X32</f>
        <v>7.8708969061497089E-2</v>
      </c>
      <c r="Z56" s="193">
        <f>(Model!$C$52*Z5*Z20+Z2*AA5*AA20)/Z32</f>
        <v>8.7107773715962872E-2</v>
      </c>
      <c r="AB56" s="193">
        <f>(Model!$C$52*AB5*AB20+AB2*AC5*AC20)/AB32</f>
        <v>9.8356192087468153E-2</v>
      </c>
      <c r="AD56" s="193">
        <f>(Model!$C$52*AD5*AD20+AD2*AE5*AE20)/AD32</f>
        <v>0.11368754583125393</v>
      </c>
      <c r="AF56" s="193">
        <f>(Model!$C$52*AF5*AF20+AF2*AG5*AG20)/AF32</f>
        <v>0.13411191227686053</v>
      </c>
      <c r="AH56" s="193">
        <f>(Model!$C$52*AH5*AH20+AH2*AI5*AI20)/AH32</f>
        <v>0.16105182027761503</v>
      </c>
      <c r="AJ56" s="193">
        <f>(Model!$C$52*AJ5*AJ20+AJ2*AK5*AK20)/AJ32</f>
        <v>0.19834487942231949</v>
      </c>
      <c r="AL56" s="193">
        <f>(Model!$C$52*AL5*AL20+AL2*AM5*AM20)/AL32</f>
        <v>0.2566063200684971</v>
      </c>
      <c r="AN56" s="193">
        <f>(Model!$C$52*AN5*AN20+AN2*AO5*AO20)/AN32</f>
        <v>0.37368486970957254</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0.15843798104406831</v>
      </c>
      <c r="F57" s="193">
        <f t="array" ref="F57">SUM(Model!tauL*F13:G13*F26:G26)/F32</f>
        <v>0.15834474925207637</v>
      </c>
      <c r="H57" s="193">
        <f t="array" ref="H57">SUM(Model!tauL*H13:I13*H26:I26)/H32</f>
        <v>0.15824766220709988</v>
      </c>
      <c r="J57" s="193">
        <f t="array" ref="J57">SUM(Model!tauL*J13:K13*J26:K26)/J32</f>
        <v>0.15814407049492502</v>
      </c>
      <c r="L57" s="193">
        <f t="array" ref="L57">SUM(Model!tauL*L13:M13*L26:M26)/L32</f>
        <v>0.1580294414418959</v>
      </c>
      <c r="N57" s="193">
        <f t="array" ref="N57">SUM(Model!tauL*N13:O13*N26:O26)/N32</f>
        <v>0.15789625841202384</v>
      </c>
      <c r="P57" s="193">
        <f t="array" ref="P57">SUM(Model!tauL*P13:Q13*P26:Q26)/P32</f>
        <v>0.15773221960812814</v>
      </c>
      <c r="R57" s="193">
        <f t="array" ref="R57">SUM(Model!tauL*R13:S13*R26:S26)/R32</f>
        <v>0.15751721769525479</v>
      </c>
      <c r="T57" s="193">
        <f t="array" ref="T57">SUM(Model!tauL*T13:U13*T26:U26)/T32</f>
        <v>0.15721807969400176</v>
      </c>
      <c r="V57" s="193">
        <f t="array" ref="V57">SUM(Model!tauL*V13:W13*V26:W26)/V32</f>
        <v>0.15677935370222693</v>
      </c>
      <c r="X57" s="193">
        <f t="array" ref="X57">SUM(Model!tauL*X13:Y13*X26:Y26)/X32</f>
        <v>0.15610774534973765</v>
      </c>
      <c r="Y57" s="193"/>
      <c r="Z57" s="193">
        <f t="array" ref="Z57">SUM(Model!tauL*Z13:AA13*Z26:AA26)/Z32</f>
        <v>0.15505078974294001</v>
      </c>
      <c r="AB57" s="193">
        <f t="array" ref="AB57">SUM(Model!tauL*AB13:AC13*AB26:AC26)/AB32</f>
        <v>0.15338994815181631</v>
      </c>
      <c r="AD57" s="193">
        <f t="array" ref="AD57">SUM(Model!tauL*AD13:AE13*AD26:AE26)/AD32</f>
        <v>0.15090265996476693</v>
      </c>
      <c r="AF57" s="193">
        <f t="array" ref="AF57">SUM(Model!tauL*AF13:AG13*AF26:AG26)/AF32</f>
        <v>0.14745059556354076</v>
      </c>
      <c r="AH57" s="193">
        <f t="array" ref="AH57">SUM(Model!tauL*AH13:AI13*AH26:AI26)/AH32</f>
        <v>0.14284058294021706</v>
      </c>
      <c r="AJ57" s="193">
        <f t="array" ref="AJ57">SUM(Model!tauL*AJ13:AK13*AJ26:AK26)/AJ32</f>
        <v>0.13644105615009886</v>
      </c>
      <c r="AL57" s="193">
        <f t="array" ref="AL57">SUM(Model!tauL*AL13:AM13*AL26:AM26)/AL32</f>
        <v>0.12643359305060026</v>
      </c>
      <c r="AN57" s="193">
        <f t="array" ref="AN57">SUM(Model!tauL*AN13:AO13*AN26:AO26)/AN32</f>
        <v>0.10630351502158793</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1.0658757525334021E-2</v>
      </c>
      <c r="F58" s="193">
        <f t="array" ref="F58">SUM(Model!tauY/(1+Model!tauY)*F3:G3*F18:G18)/F32</f>
        <v>1.0562377097889219E-2</v>
      </c>
      <c r="H58" s="193">
        <f t="array" ref="H58">SUM(Model!tauY/(1+Model!tauY)*H3:I3*H18:I18)/H32</f>
        <v>1.0463243906067126E-2</v>
      </c>
      <c r="J58" s="193">
        <f t="array" ref="J58">SUM(Model!tauY/(1+Model!tauY)*J3:K3*J18:K18)/J32</f>
        <v>1.0361047785975054E-2</v>
      </c>
      <c r="L58" s="193">
        <f t="array" ref="L58">SUM(Model!tauY/(1+Model!tauY)*L3:M3*L18:M18)/L32</f>
        <v>1.0255496674265651E-2</v>
      </c>
      <c r="N58" s="193">
        <f t="array" ref="N58">SUM(Model!tauY/(1+Model!tauY)*N3:O3*N18:O18)/N32</f>
        <v>1.0146356099025261E-2</v>
      </c>
      <c r="P58" s="193">
        <f t="array" ref="P58">SUM(Model!tauY/(1+Model!tauY)*P3:Q3*P18:Q18)/P32</f>
        <v>1.0033488955527203E-2</v>
      </c>
      <c r="R58" s="193">
        <f t="array" ref="R58">SUM(Model!tauY/(1+Model!tauY)*R3:S3*R18:S18)/R32</f>
        <v>9.9169480548657526E-3</v>
      </c>
      <c r="T58" s="193">
        <f t="array" ref="T58">SUM(Model!tauY/(1+Model!tauY)*T3:U3*T18:U18)/T32</f>
        <v>9.7971124747205981E-3</v>
      </c>
      <c r="V58" s="193">
        <f t="array" ref="V58">SUM(Model!tauY/(1+Model!tauY)*V3:W3*V18:W18)/V32</f>
        <v>9.674939970321178E-3</v>
      </c>
      <c r="X58" s="193">
        <f t="array" ref="X58">SUM(Model!tauY/(1+Model!tauY)*X3:Y3*X18:Y18)/X32</f>
        <v>9.5523711992875886E-3</v>
      </c>
      <c r="Y58" s="193"/>
      <c r="Z58" s="193">
        <f t="array" ref="Z58">SUM(Model!tauY/(1+Model!tauY)*Z3:AA3*Z18:AA18)/Z32</f>
        <v>9.4327878510830007E-3</v>
      </c>
      <c r="AB58" s="193">
        <f t="array" ref="AB58">SUM(Model!tauY/(1+Model!tauY)*AB3:AC3*AB18:AC18)/AB32</f>
        <v>9.3207255280350777E-3</v>
      </c>
      <c r="AD58" s="193">
        <f t="array" ref="AD58">SUM(Model!tauY/(1+Model!tauY)*AD3:AE3*AD18:AE18)/AD32</f>
        <v>9.218884617183086E-3</v>
      </c>
      <c r="AF58" s="193">
        <f t="array" ref="AF58">SUM(Model!tauY/(1+Model!tauY)*AF3:AG3*AF18:AG18)/AF32</f>
        <v>9.1238219382726877E-3</v>
      </c>
      <c r="AH58" s="193">
        <f t="array" ref="AH58">SUM(Model!tauY/(1+Model!tauY)*AH3:AI3*AH18:AI18)/AH32</f>
        <v>9.0277754271366421E-3</v>
      </c>
      <c r="AJ58" s="193">
        <f t="array" ref="AJ58">SUM(Model!tauY/(1+Model!tauY)*AJ3:AK3*AJ18:AK18)/AJ32</f>
        <v>8.9237330342387851E-3</v>
      </c>
      <c r="AL58" s="193">
        <f t="array" ref="AL58">SUM(Model!tauY/(1+Model!tauY)*AL3:AM3*AL18:AM18)/AL32</f>
        <v>8.8066844023531408E-3</v>
      </c>
      <c r="AN58" s="193">
        <f t="array" ref="AN58">SUM(Model!tauY/(1+Model!tauY)*AN3:AO3*AN18:AO18)/AN32</f>
        <v>8.685138208728644E-3</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4.3842806752055286E-3</v>
      </c>
      <c r="F59" s="193">
        <f>(F2*G5*G20)/F32</f>
        <v>8.2541469773261076E-3</v>
      </c>
      <c r="H59" s="193">
        <f>(H2*I5*I20)/H32</f>
        <v>1.2169863372593554E-2</v>
      </c>
      <c r="J59" s="193">
        <f>(J2*K5*K20)/J32</f>
        <v>1.6144584835748575E-2</v>
      </c>
      <c r="L59" s="193">
        <f>(L2*M5*M20)/L32</f>
        <v>2.0199001475461567E-2</v>
      </c>
      <c r="N59" s="193">
        <f>(N2*O5*O20)/N32</f>
        <v>2.4366091222633862E-2</v>
      </c>
      <c r="P59" s="193">
        <f>(P2*Q5*Q20)/P32</f>
        <v>2.8698975306736998E-2</v>
      </c>
      <c r="R59" s="193">
        <f>(R2*S5*S20)/R32</f>
        <v>3.3284429588247635E-2</v>
      </c>
      <c r="T59" s="193">
        <f>(T2*U5*U20)/T32</f>
        <v>3.8267153966774874E-2</v>
      </c>
      <c r="V59" s="193">
        <f>(V2*W5*W20)/V32</f>
        <v>4.3893244005960522E-2</v>
      </c>
      <c r="X59" s="193">
        <f>(X2*Y5*Y20)/X32</f>
        <v>5.0587023789273572E-2</v>
      </c>
      <c r="Z59" s="193">
        <f>(Z2*AA5*AA20)/Z32</f>
        <v>5.9066405579378797E-2</v>
      </c>
      <c r="AB59" s="193">
        <f>(AB2*AC5*AC20)/AB32</f>
        <v>7.041931213027991E-2</v>
      </c>
      <c r="AD59" s="193">
        <f>(AD2*AE5*AE20)/AD32</f>
        <v>8.5887385503770675E-2</v>
      </c>
      <c r="AF59" s="193">
        <f>(AF2*AG5*AG20)/AF32</f>
        <v>0.106482491993614</v>
      </c>
      <c r="AH59" s="193">
        <f>(AH2*AI5*AI20)/AH32</f>
        <v>0.13362532121314666</v>
      </c>
      <c r="AJ59" s="193">
        <f>(AJ2*AK5*AK20)/AJ32</f>
        <v>0.17115712853063</v>
      </c>
      <c r="AL59" s="193">
        <f>(AL2*AM5*AM20)/AL32</f>
        <v>0.22970259864112827</v>
      </c>
      <c r="AN59" s="193">
        <f>(AN2*AO5*AO20)/AN32</f>
        <v>0.34708171209805011</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2.862375360902816E-2</v>
      </c>
      <c r="F60" s="193">
        <f>Model!$C$52*F5*F20/F32</f>
        <v>2.8578011865438759E-2</v>
      </c>
      <c r="H60" s="193">
        <f>Model!$C$52*H5*H20/H32</f>
        <v>2.853220764766037E-2</v>
      </c>
      <c r="J60" s="193">
        <f>Model!$C$52*J5*J20/J32</f>
        <v>2.8486272438095043E-2</v>
      </c>
      <c r="L60" s="193">
        <f>Model!$C$52*L5*L20/L32</f>
        <v>2.8440075302321819E-2</v>
      </c>
      <c r="N60" s="193">
        <f>Model!$C$52*N5*N20/N32</f>
        <v>2.839338465504648E-2</v>
      </c>
      <c r="P60" s="193">
        <f>Model!$C$52*P5*P20/P32</f>
        <v>2.8345792715207031E-2</v>
      </c>
      <c r="R60" s="193">
        <f>Model!$C$52*R5*R20/R32</f>
        <v>2.8296596760627957E-2</v>
      </c>
      <c r="T60" s="193">
        <f>Model!$C$52*T5*T20/T32</f>
        <v>2.8244575792025991E-2</v>
      </c>
      <c r="V60" s="193">
        <f>Model!$C$52*V5*V20/V32</f>
        <v>2.8187598505871256E-2</v>
      </c>
      <c r="X60" s="193">
        <f>Model!$C$52*X5*X20/X32</f>
        <v>2.812194527222351E-2</v>
      </c>
      <c r="Z60" s="193">
        <f>Model!$C$52*Z5*Z20/Z32</f>
        <v>2.8041368136584074E-2</v>
      </c>
      <c r="AB60" s="193">
        <f>Model!$C$52*AB5*AB20/AB32</f>
        <v>2.793687995718826E-2</v>
      </c>
      <c r="AD60" s="193">
        <f>Model!$C$52*AD5*AD20/AD32</f>
        <v>2.7800160327483253E-2</v>
      </c>
      <c r="AF60" s="193">
        <f>Model!$C$52*AF5*AF20/AF32</f>
        <v>2.7629420283246539E-2</v>
      </c>
      <c r="AH60" s="193">
        <f>Model!$C$52*AH5*AH20/AH32</f>
        <v>2.7426499064468396E-2</v>
      </c>
      <c r="AJ60" s="193">
        <f>Model!$C$52*AJ5*AJ20/AJ32</f>
        <v>2.7187750891689455E-2</v>
      </c>
      <c r="AL60" s="193">
        <f>Model!$C$52*AL5*AL20/AL32</f>
        <v>2.6903721427368882E-2</v>
      </c>
      <c r="AN60" s="193">
        <f>Model!$C$52*AN5*AN20/AN32</f>
        <v>2.6603157611522422E-2</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1.0069652304470667</v>
      </c>
      <c r="F62">
        <f>F13/F15</f>
        <v>1.0140828181457811</v>
      </c>
      <c r="H62">
        <f>H13/H15</f>
        <v>1.0213560036080627</v>
      </c>
      <c r="J62">
        <f>J13/J15</f>
        <v>1.0287828418666722</v>
      </c>
      <c r="L62">
        <f>L13/L15</f>
        <v>1.0363530922791977</v>
      </c>
      <c r="N62">
        <f>N13/N15</f>
        <v>1.0440430751303738</v>
      </c>
      <c r="P62">
        <f>P13/P15</f>
        <v>1.0518091781220529</v>
      </c>
      <c r="R62">
        <f>R13/R15</f>
        <v>1.0595762044112478</v>
      </c>
      <c r="T62">
        <f>T13/T15</f>
        <v>1.0672199360824814</v>
      </c>
      <c r="V62">
        <f>V13/V15</f>
        <v>1.0745387063314553</v>
      </c>
      <c r="X62">
        <f>X13/X15</f>
        <v>1.0812136755323642</v>
      </c>
      <c r="Z62">
        <f>Z13/Z15</f>
        <v>1.0867795596891576</v>
      </c>
      <c r="AB62">
        <f>AB13/AB15</f>
        <v>1.0907108760679933</v>
      </c>
      <c r="AD62">
        <f>AD13/AD15</f>
        <v>1.092804444667629</v>
      </c>
      <c r="AF62">
        <f>AF13/AF15</f>
        <v>1.0935528921428332</v>
      </c>
      <c r="AH62">
        <f>AH13/AH15</f>
        <v>1.093720208034616</v>
      </c>
      <c r="AJ62">
        <f>AJ13/AJ15</f>
        <v>1.0937416755528486</v>
      </c>
      <c r="AL62">
        <f>AL13/AL15</f>
        <v>1.0937429365715639</v>
      </c>
      <c r="AN62">
        <f>AN13/AN15</f>
        <v>1.0937429564109986</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0.99825240790658953</v>
      </c>
      <c r="E65" s="191"/>
      <c r="F65" s="191">
        <f t="array" ref="F65">SQRT((F9:G9*$B$22:$C$22+F10:G10*$B$23:$C$23+F11:G11*$B$24:$C$24+F4:G4*($B$25:$C$25-$B$19:$C$19))/($B$9:$C$9*$B$22:$C$22+$B$10:$C$10*$B$23:$C$23+$B$11:$C$11*$B$24:$C$24+$B$4:$C$4*($B$25:$C$25-$B$19:$C$19))*(F9:G9*F22:G22+F10:G10*F23:G23+F11:G11*F24:G24+F4:G4*(F25:G25-F19:G19))/($B$9:$C$9*F22:G22+$B$10:$C$10*F23:G23+$B$11:$C$11*F24:G24+$B$4:$C$4*(F25:G25-F19:G19)))</f>
        <v>0.99640594539755223</v>
      </c>
      <c r="G65" s="191"/>
      <c r="H65" s="191">
        <f t="array" ref="H65">SQRT((H9:I9*$B$22:$C$22+H10:I10*$B$23:$C$23+H11:I11*$B$24:$C$24+H4:I4*($B$25:$C$25-$B$19:$C$19))/($B$9:$C$9*$B$22:$C$22+$B$10:$C$10*$B$23:$C$23+$B$11:$C$11*$B$24:$C$24+$B$4:$C$4*($B$25:$C$25-$B$19:$C$19))*(H9:I9*H22:I22+H10:I10*H23:I23+H11:I11*H24:I24+H4:I4*(H25:I25-H19:I19))/($B$9:$C$9*H22:I22+$B$10:$C$10*H23:I23+$B$11:$C$11*H24:I24+$B$4:$C$4*(H25:I25-H19:I19)))</f>
        <v>0.99445469723862312</v>
      </c>
      <c r="I65" s="191"/>
      <c r="J65" s="191">
        <f t="array" ref="J65">SQRT((J9:K9*$B$22:$C$22+J10:K10*$B$23:$C$23+J11:K11*$B$24:$C$24+J4:K4*($B$25:$C$25-$B$19:$C$19))/($B$9:$C$9*$B$22:$C$22+$B$10:$C$10*$B$23:$C$23+$B$11:$C$11*$B$24:$C$24+$B$4:$C$4*($B$25:$C$25-$B$19:$C$19))*(J9:K9*J22:K22+J10:K10*J23:K23+J11:K11*J24:K24+J4:K4*(J25:K25-J19:K19))/($B$9:$C$9*J22:K22+$B$10:$C$10*J23:K23+$B$11:$C$11*J24:K24+$B$4:$C$4*(J25:K25-J19:K19)))</f>
        <v>0.99239551421196615</v>
      </c>
      <c r="K65" s="191"/>
      <c r="L65" s="191">
        <f t="array" ref="L65">SQRT((L9:M9*$B$22:$C$22+L10:M10*$B$23:$C$23+L11:M11*$B$24:$C$24+L4:M4*($B$25:$C$25-$B$19:$C$19))/($B$9:$C$9*$B$22:$C$22+$B$10:$C$10*$B$23:$C$23+$B$11:$C$11*$B$24:$C$24+$B$4:$C$4*($B$25:$C$25-$B$19:$C$19))*(L9:M9*L22:M22+L10:M10*L23:M23+L11:M11*L24:M24+L4:M4*(L25:M25-L19:M19))/($B$9:$C$9*L22:M22+$B$10:$C$10*L23:M23+$B$11:$C$11*L24:M24+$B$4:$C$4*(L25:M25-L19:M19)))</f>
        <v>0.99022998048902267</v>
      </c>
      <c r="M65" s="191"/>
      <c r="N65" s="191">
        <f t="array" ref="N65">SQRT((N9:O9*$B$22:$C$22+N10:O10*$B$23:$C$23+N11:O11*$B$24:$C$24+N4:O4*($B$25:$C$25-$B$19:$C$19))/($B$9:$C$9*$B$22:$C$22+$B$10:$C$10*$B$23:$C$23+$B$11:$C$11*$B$24:$C$24+$B$4:$C$4*($B$25:$C$25-$B$19:$C$19))*(N9:O9*N22:O22+N10:O10*N23:O23+N11:O11*N24:O24+N4:O4*(N25:O25-N19:O19))/($B$9:$C$9*N22:O22+$B$10:$C$10*N23:O23+$B$11:$C$11*N24:O24+$B$4:$C$4*(N25:O25-N19:O19)))</f>
        <v>0.98796744380781587</v>
      </c>
      <c r="O65" s="191"/>
      <c r="P65" s="191">
        <f t="array" ref="P65">SQRT((P9:Q9*$B$22:$C$22+P10:Q10*$B$23:$C$23+P11:Q11*$B$24:$C$24+P4:Q4*($B$25:$C$25-$B$19:$C$19))/($B$9:$C$9*$B$22:$C$22+$B$10:$C$10*$B$23:$C$23+$B$11:$C$11*$B$24:$C$24+$B$4:$C$4*($B$25:$C$25-$B$19:$C$19))*(P9:Q9*P22:Q22+P10:Q10*P23:Q23+P11:Q11*P24:Q24+P4:Q4*(P25:Q25-P19:Q19))/($B$9:$C$9*P22:Q22+$B$10:$C$10*P23:Q23+$B$11:$C$11*P24:Q24+$B$4:$C$4*(P25:Q25-P19:Q19)))</f>
        <v>0.98562997920210793</v>
      </c>
      <c r="Q65" s="191"/>
      <c r="R65" s="191">
        <f t="array" ref="R65">SQRT((R9:S9*$B$22:$C$22+R10:S10*$B$23:$C$23+R11:S11*$B$24:$C$24+R4:S4*($B$25:$C$25-$B$19:$C$19))/($B$9:$C$9*$B$22:$C$22+$B$10:$C$10*$B$23:$C$23+$B$11:$C$11*$B$24:$C$24+$B$4:$C$4*($B$25:$C$25-$B$19:$C$19))*(R9:S9*R22:S22+R10:S10*R23:S23+R11:S11*R24:S24+R4:S4*(R25:S25-R19:S19))/($B$9:$C$9*R22:S22+$B$10:$C$10*R23:S23+$B$11:$C$11*R24:S24+$B$4:$C$4*(R25:S25-R19:S19)))</f>
        <v>0.98326053185599249</v>
      </c>
      <c r="S65" s="191"/>
      <c r="T65" s="191">
        <f t="array" ref="T65">SQRT((T9:U9*$B$22:$C$22+T10:U10*$B$23:$C$23+T11:U11*$B$24:$C$24+T4:U4*($B$25:$C$25-$B$19:$C$19))/($B$9:$C$9*$B$22:$C$22+$B$10:$C$10*$B$23:$C$23+$B$11:$C$11*$B$24:$C$24+$B$4:$C$4*($B$25:$C$25-$B$19:$C$19))*(T9:U9*T22:U22+T10:U10*T23:U23+T11:U11*T24:U24+T4:U4*(T25:U25-T19:U19))/($B$9:$C$9*T22:U22+$B$10:$C$10*T23:U23+$B$11:$C$11*T24:U24+$B$4:$C$4*(T25:U25-T19:U19)))</f>
        <v>0.98093708661373613</v>
      </c>
      <c r="U65" s="191"/>
      <c r="V65" s="191">
        <f t="array" ref="V65">SQRT((V9:W9*$B$22:$C$22+V10:W10*$B$23:$C$23+V11:W11*$B$24:$C$24+V4:W4*($B$25:$C$25-$B$19:$C$19))/($B$9:$C$9*$B$22:$C$22+$B$10:$C$10*$B$23:$C$23+$B$11:$C$11*$B$24:$C$24+$B$4:$C$4*($B$25:$C$25-$B$19:$C$19))*(V9:W9*V22:W22+V10:W10*V23:W23+V11:W11*V24:W24+V4:W4*(V25:W25-V19:W19))/($B$9:$C$9*V22:W22+$B$10:$C$10*V23:W23+$B$11:$C$11*V24:W24+$B$4:$C$4*(V25:W25-V19:W19)))</f>
        <v>0.97879703494173309</v>
      </c>
      <c r="W65" s="191"/>
      <c r="X65" s="191">
        <f t="array" ref="X65">SQRT((X9:Y9*$B$22:$C$22+X10:Y10*$B$23:$C$23+X11:Y11*$B$24:$C$24+X4:Y4*($B$25:$C$25-$B$19:$C$19))/($B$9:$C$9*$B$22:$C$22+$B$10:$C$10*$B$23:$C$23+$B$11:$C$11*$B$24:$C$24+$B$4:$C$4*($B$25:$C$25-$B$19:$C$19))*(X9:Y9*X22:Y22+X10:Y10*X23:Y23+X11:Y11*X24:Y24+X4:Y4*(X25:Y25-X19:Y19))/($B$9:$C$9*X22:Y22+$B$10:$C$10*X23:Y23+$B$11:$C$11*X24:Y24+$B$4:$C$4*(X25:Y25-X19:Y19)))</f>
        <v>0.9770767262324993</v>
      </c>
      <c r="Y65" s="191"/>
      <c r="Z65" s="191">
        <f t="array" ref="Z65">SQRT((Z9:AA9*$B$22:$C$22+Z10:AA10*$B$23:$C$23+Z11:AA11*$B$24:$C$24+Z4:AA4*($B$25:$C$25-$B$19:$C$19))/($B$9:$C$9*$B$22:$C$22+$B$10:$C$10*$B$23:$C$23+$B$11:$C$11*$B$24:$C$24+$B$4:$C$4*($B$25:$C$25-$B$19:$C$19))*(Z9:AA9*Z22:AA22+Z10:AA10*Z23:AA23+Z11:AA11*Z24:AA24+Z4:AA4*(Z25:AA25-Z19:AA19))/($B$9:$C$9*Z22:AA22+$B$10:$C$10*Z23:AA23+$B$11:$C$11*Z24:AA24+$B$4:$C$4*(Z25:AA25-Z19:AA19)))</f>
        <v>0.97615769640031369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0.97653909934179595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0.97853784101459951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0.98185367089015207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0.98579196578652872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0.98985800161264514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0.99386033554863129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0.99785903874175308</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0.99807749528866951</v>
      </c>
      <c r="E66" s="191"/>
      <c r="F66" s="191">
        <f t="array" ref="F66">SQRT((F9:G9*$B$22:$C$22)/($B$9:$C$9*$B$22:$C$22)*(F9:G9*F22:G22)/($B$9:$C$9*F22:G22))</f>
        <v>0.99604217805583994</v>
      </c>
      <c r="G66" s="191"/>
      <c r="H66" s="191">
        <f t="array" ref="H66">SQRT((H9:I9*$B$22:$C$22)/($B$9:$C$9*$B$22:$C$22)*(H9:I9*H22:I22)/($B$9:$C$9*H22:I22))</f>
        <v>0.99388682624200142</v>
      </c>
      <c r="I66" s="191"/>
      <c r="J66" s="191">
        <f t="array" ref="J66">SQRT((J9:K9*$B$22:$C$22)/($B$9:$C$9*$B$22:$C$22)*(J9:K9*J22:K22)/($B$9:$C$9*J22:K22))</f>
        <v>0.99160718530871128</v>
      </c>
      <c r="K66" s="191"/>
      <c r="L66" s="191">
        <f t="array" ref="L66">SQRT((L9:M9*$B$22:$C$22)/($B$9:$C$9*$B$22:$C$22)*(L9:M9*L22:M22)/($B$9:$C$9*L22:M22))</f>
        <v>0.98920418376894981</v>
      </c>
      <c r="M66" s="191"/>
      <c r="N66" s="191">
        <f t="array" ref="N66">SQRT((N9:O9*$B$22:$C$22)/($B$9:$C$9*$B$22:$C$22)*(N9:O9*N22:O22)/($B$9:$C$9*N22:O22))</f>
        <v>0.98668737204944412</v>
      </c>
      <c r="O66" s="191"/>
      <c r="P66" s="191">
        <f t="array" ref="P66">SQRT((P9:Q9*$B$22:$C$22)/($B$9:$C$9*$B$22:$C$22)*(P9:Q9*P22:Q22)/($B$9:$C$9*P22:Q22))</f>
        <v>0.98408058477798765</v>
      </c>
      <c r="Q66" s="191"/>
      <c r="R66" s="191">
        <f t="array" ref="R66">SQRT((R9:S9*$B$22:$C$22)/($B$9:$C$9*$B$22:$C$22)*(R9:S9*R22:S22)/($B$9:$C$9*R22:S22))</f>
        <v>0.98143126594927532</v>
      </c>
      <c r="S66" s="191"/>
      <c r="T66" s="191">
        <f t="array" ref="T66">SQRT((T9:U9*$B$22:$C$22)/($B$9:$C$9*$B$22:$C$22)*(T9:U9*T22:U22)/($B$9:$C$9*T22:U22))</f>
        <v>0.97882671610935623</v>
      </c>
      <c r="U66" s="191"/>
      <c r="V66" s="191">
        <f t="array" ref="V66">SQRT((V9:W9*$B$22:$C$22)/($B$9:$C$9*$B$22:$C$22)*(V9:W9*V22:W22)/($B$9:$C$9*V22:W22))</f>
        <v>0.9764220295909315</v>
      </c>
      <c r="W66" s="191"/>
      <c r="X66" s="191">
        <f t="array" ref="X66">SQRT((X9:Y9*$B$22:$C$22)/($B$9:$C$9*$B$22:$C$22)*(X9:Y9*X22:Y22)/($B$9:$C$9*X22:Y22))</f>
        <v>0.97448533238101565</v>
      </c>
      <c r="Y66" s="191"/>
      <c r="Z66" s="191">
        <f t="array" ref="Z66">SQRT((Z9:AA9*$B$22:$C$22)/($B$9:$C$9*$B$22:$C$22)*(Z9:AA9*Z22:AA22)/($B$9:$C$9*Z22:AA22))</f>
        <v>0.973450246165943</v>
      </c>
      <c r="AA66" s="191"/>
      <c r="AB66" s="191">
        <f t="array" ref="AB66">SQRT((AB9:AC9*$B$22:$C$22)/($B$9:$C$9*$B$22:$C$22)*(AB9:AC9*AB22:AC22)/($B$9:$C$9*AB22:AC22))</f>
        <v>0.97388292618676042</v>
      </c>
      <c r="AC66" s="191"/>
      <c r="AD66" s="191">
        <f t="array" ref="AD66">SQRT((AD9:AE9*$B$22:$C$22)/($B$9:$C$9*$B$22:$C$22)*(AD9:AE9*AD22:AE22)/($B$9:$C$9*AD22:AE22))</f>
        <v>0.97613787439075494</v>
      </c>
      <c r="AE66" s="191"/>
      <c r="AF66" s="191">
        <f t="array" ref="AF66">SQRT((AF9:AG9*$B$22:$C$22)/($B$9:$C$9*$B$22:$C$22)*(AF9:AG9*AF22:AG22)/($B$9:$C$9*AF22:AG22))</f>
        <v>0.97986523087981059</v>
      </c>
      <c r="AG66" s="191"/>
      <c r="AH66" s="191">
        <f t="array" ref="AH66">SQRT((AH9:AI9*$B$22:$C$22)/($B$9:$C$9*$B$22:$C$22)*(AH9:AI9*AH22:AI22)/($B$9:$C$9*AH22:AI22))</f>
        <v>0.98427252865853188</v>
      </c>
      <c r="AI66" s="191"/>
      <c r="AJ66" s="191">
        <f t="array" ref="AJ66">SQRT((AJ9:AK9*$B$22:$C$22)/($B$9:$C$9*$B$22:$C$22)*(AJ9:AK9*AJ22:AK22)/($B$9:$C$9*AJ22:AK22))</f>
        <v>0.98880079448491165</v>
      </c>
      <c r="AK66" s="191"/>
      <c r="AL66" s="191">
        <f t="array" ref="AL66">SQRT((AL9:AM9*$B$22:$C$22)/($B$9:$C$9*$B$22:$C$22)*(AL9:AM9*AL22:AM22)/($B$9:$C$9*AL22:AM22))</f>
        <v>0.99323656088011292</v>
      </c>
      <c r="AM66" s="191"/>
      <c r="AN66" s="191">
        <f t="array" ref="AN66">SQRT((AN9:AO9*$B$22:$C$22)/($B$9:$C$9*$B$22:$C$22)*(AN9:AO9*AN22:AO22)/($B$9:$C$9*AN22:AO22))</f>
        <v>0.9976471436146348</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0.99807749528866951</v>
      </c>
      <c r="E68" s="191"/>
      <c r="F68" s="191">
        <f>F66/F67</f>
        <v>0.99604217805583994</v>
      </c>
      <c r="G68" s="191"/>
      <c r="H68" s="191">
        <f>H66/H67</f>
        <v>0.99388682624200142</v>
      </c>
      <c r="I68" s="191"/>
      <c r="J68" s="191">
        <f>J66/J67</f>
        <v>0.99160718530871128</v>
      </c>
      <c r="K68" s="191"/>
      <c r="L68" s="191">
        <f>L66/L67</f>
        <v>0.98920418376894981</v>
      </c>
      <c r="M68" s="191"/>
      <c r="N68" s="191">
        <f>N66/N67</f>
        <v>0.98668737204944412</v>
      </c>
      <c r="O68" s="191"/>
      <c r="P68" s="191">
        <f>P66/P67</f>
        <v>0.98408058477798765</v>
      </c>
      <c r="Q68" s="191"/>
      <c r="R68" s="191">
        <f>R66/R67</f>
        <v>0.98143126594927532</v>
      </c>
      <c r="S68" s="191"/>
      <c r="T68" s="191">
        <f>T66/T67</f>
        <v>0.97882671610935623</v>
      </c>
      <c r="U68" s="191"/>
      <c r="V68" s="191">
        <f>V66/V67</f>
        <v>0.9764220295909315</v>
      </c>
      <c r="W68" s="191"/>
      <c r="X68" s="191">
        <f>X66/X67</f>
        <v>0.97448533238101565</v>
      </c>
      <c r="Y68" s="191"/>
      <c r="Z68" s="191">
        <f>Z66/Z67</f>
        <v>0.973450246165943</v>
      </c>
      <c r="AA68" s="191"/>
      <c r="AB68" s="191">
        <f>AB66/AB67</f>
        <v>0.97388292618676042</v>
      </c>
      <c r="AC68" s="191"/>
      <c r="AD68" s="191">
        <f>AD66/AD67</f>
        <v>0.97613787439075494</v>
      </c>
      <c r="AE68" s="191"/>
      <c r="AF68" s="191">
        <f>AF66/AF67</f>
        <v>0.97986523087981059</v>
      </c>
      <c r="AG68" s="191"/>
      <c r="AH68" s="191">
        <f>AH66/AH67</f>
        <v>0.98427252865853188</v>
      </c>
      <c r="AI68" s="191"/>
      <c r="AJ68" s="191">
        <f>AJ66/AJ67</f>
        <v>0.98880079448491165</v>
      </c>
      <c r="AK68" s="191"/>
      <c r="AL68" s="191">
        <f>AL66/AL67</f>
        <v>0.99323656088011292</v>
      </c>
      <c r="AM68" s="191"/>
      <c r="AN68" s="191">
        <f>AN66/AN67</f>
        <v>0.9976471436146348</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1.0012527898069827</v>
      </c>
      <c r="E69" s="191"/>
      <c r="F69" s="191">
        <f>F32/F65/($B$32)</f>
        <v>1.0023703768447267</v>
      </c>
      <c r="G69" s="191"/>
      <c r="H69" s="191">
        <f>H32/H65/($B$32)</f>
        <v>1.0033351252646148</v>
      </c>
      <c r="I69" s="191"/>
      <c r="J69" s="191">
        <f>J32/J65/($B$32)</f>
        <v>1.0041271381891446</v>
      </c>
      <c r="K69" s="191"/>
      <c r="L69" s="191">
        <f>L32/L65/($B$32)</f>
        <v>1.0047240501769847</v>
      </c>
      <c r="M69" s="191"/>
      <c r="N69" s="191">
        <f>N32/N65/($B$32)</f>
        <v>1.0051005482849655</v>
      </c>
      <c r="O69" s="191"/>
      <c r="P69" s="191">
        <f>P32/P65/($B$32)</f>
        <v>1.0052286857852994</v>
      </c>
      <c r="Q69" s="191"/>
      <c r="R69" s="191">
        <f>R32/R65/($B$32)</f>
        <v>1.0050777289566684</v>
      </c>
      <c r="S69" s="191"/>
      <c r="T69" s="191">
        <f>T32/T65/($B$32)</f>
        <v>1.0046151541552975</v>
      </c>
      <c r="U69" s="191"/>
      <c r="V69" s="191">
        <f>V32/V65/($B$32)</f>
        <v>1.0038076329648105</v>
      </c>
      <c r="W69" s="191"/>
      <c r="X69" s="191">
        <f>X32/X65/($B$32)</f>
        <v>1.0026204089839241</v>
      </c>
      <c r="Y69" s="191"/>
      <c r="Z69" s="191">
        <f>Z32/Z65/($B$32)</f>
        <v>1.0010014752575849</v>
      </c>
      <c r="AA69" s="191"/>
      <c r="AB69" s="191">
        <f>AB32/AB65/($B$32)</f>
        <v>0.99879147427986503</v>
      </c>
      <c r="AC69" s="191"/>
      <c r="AD69" s="191">
        <f>AD32/AD65/($B$32)</f>
        <v>0.99543225759306209</v>
      </c>
      <c r="AE69" s="191"/>
      <c r="AF69" s="191">
        <f>AF32/AF65/($B$32)</f>
        <v>0.98949606154709968</v>
      </c>
      <c r="AG69" s="191"/>
      <c r="AH69" s="191">
        <f>AH32/AH65/($B$32)</f>
        <v>0.97824339794841209</v>
      </c>
      <c r="AI69" s="191"/>
      <c r="AJ69" s="191">
        <f>AJ32/AJ65/($B$32)</f>
        <v>0.95630843326661441</v>
      </c>
      <c r="AK69" s="191"/>
      <c r="AL69" s="191">
        <f>AL32/AL65/($B$32)</f>
        <v>0.90997787867791513</v>
      </c>
      <c r="AM69" s="191"/>
      <c r="AN69" s="191">
        <f>AN32/AN65/($B$32)</f>
        <v>0.78675003146063183</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1.0008953058658876</v>
      </c>
      <c r="E70" s="138"/>
      <c r="F70" s="138">
        <f>F18/$B$18</f>
        <v>1.00172920792884</v>
      </c>
      <c r="G70" s="138"/>
      <c r="H70" s="138">
        <f>H18/$B$18</f>
        <v>1.0024889479814958</v>
      </c>
      <c r="I70" s="138"/>
      <c r="J70" s="138">
        <f>J18/$B$18</f>
        <v>1.0031563871998699</v>
      </c>
      <c r="K70" s="138"/>
      <c r="L70" s="138">
        <f>L18/$B$18</f>
        <v>1.0037053700705065</v>
      </c>
      <c r="M70" s="138"/>
      <c r="N70" s="138">
        <f>N18/$B$18</f>
        <v>1.0040974857058023</v>
      </c>
      <c r="O70" s="138"/>
      <c r="P70" s="138">
        <f>P18/$B$18</f>
        <v>1.0042757097611914</v>
      </c>
      <c r="Q70" s="138"/>
      <c r="R70" s="138">
        <f>R18/$B$18</f>
        <v>1.0041534448154261</v>
      </c>
      <c r="S70" s="138"/>
      <c r="T70" s="138">
        <f>T18/$B$18</f>
        <v>1.0035961489989058</v>
      </c>
      <c r="U70" s="138"/>
      <c r="V70" s="138">
        <f>V18/$B$18</f>
        <v>1.0023889365982119</v>
      </c>
      <c r="W70" s="138"/>
      <c r="X70" s="138">
        <f>X18/$B$18</f>
        <v>1.0001810879920991</v>
      </c>
      <c r="Y70" s="138"/>
      <c r="Z70" s="138">
        <f>Z18/$B$18</f>
        <v>0.99640374083951488</v>
      </c>
      <c r="AA70" s="138"/>
      <c r="AB70" s="138">
        <f>AB18/$B$18</f>
        <v>0.99020595309090798</v>
      </c>
      <c r="AC70" s="138"/>
      <c r="AD70" s="138">
        <f>AD18/$B$18</f>
        <v>0.98054408846959384</v>
      </c>
      <c r="AE70" s="138"/>
      <c r="AF70" s="138">
        <f>AF18/$B$18</f>
        <v>0.96628063276562948</v>
      </c>
      <c r="AG70" s="138"/>
      <c r="AH70" s="138">
        <f>AH18/$B$18</f>
        <v>0.94549018041677635</v>
      </c>
      <c r="AI70" s="138"/>
      <c r="AJ70" s="138">
        <f>AJ18/$B$18</f>
        <v>0.91350571301108952</v>
      </c>
      <c r="AK70" s="138"/>
      <c r="AL70" s="138">
        <f>AL18/$B$18</f>
        <v>0.85767459263780221</v>
      </c>
      <c r="AM70" s="138"/>
      <c r="AN70" s="138">
        <f>AN18/$B$18</f>
        <v>0.73115227720587161</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0.91911959643905072</v>
      </c>
      <c r="E71" s="138"/>
      <c r="F71" s="138">
        <f>G18/$C$18</f>
        <v>0.83739798953677158</v>
      </c>
      <c r="G71" s="138"/>
      <c r="H71" s="138">
        <f>I18/$C$18</f>
        <v>0.75488633002751737</v>
      </c>
      <c r="I71" s="138"/>
      <c r="J71" s="138">
        <f>K18/$C$18</f>
        <v>0.67170047953278567</v>
      </c>
      <c r="K71" s="138"/>
      <c r="L71" s="138">
        <f>M18/$C$18</f>
        <v>0.58805234144640273</v>
      </c>
      <c r="M71" s="138"/>
      <c r="N71" s="138">
        <f>O18/$C$18</f>
        <v>0.50429941614441975</v>
      </c>
      <c r="O71" s="138"/>
      <c r="P71" s="138">
        <f>Q18/$C$18</f>
        <v>0.42100783872749464</v>
      </c>
      <c r="Q71" s="138"/>
      <c r="R71" s="138">
        <f>S18/$C$18</f>
        <v>0.33906080996999521</v>
      </c>
      <c r="S71" s="138"/>
      <c r="T71" s="138">
        <f>U18/$C$18</f>
        <v>0.25981877604801956</v>
      </c>
      <c r="U71" s="138"/>
      <c r="V71" s="138">
        <f>W18/$C$18</f>
        <v>0.18537094480776356</v>
      </c>
      <c r="W71" s="138"/>
      <c r="X71" s="138">
        <f>Y18/$C$18</f>
        <v>0.11886546797048587</v>
      </c>
      <c r="Y71" s="138"/>
      <c r="Z71" s="138">
        <f>AA18/$C$18</f>
        <v>6.4678755969868773E-2</v>
      </c>
      <c r="AA71" s="138"/>
      <c r="AB71" s="138">
        <f>AC18/$C$18</f>
        <v>2.7409869087984085E-2</v>
      </c>
      <c r="AC71" s="138"/>
      <c r="AD71" s="138">
        <f>AE18/$C$18</f>
        <v>8.1840578310844164E-3</v>
      </c>
      <c r="AE71" s="138"/>
      <c r="AF71" s="138">
        <f>AG18/$C$18</f>
        <v>1.5789477106824294E-3</v>
      </c>
      <c r="AG71" s="138"/>
      <c r="AH71" s="138">
        <f>AI18/$C$18</f>
        <v>1.7687031227316748E-4</v>
      </c>
      <c r="AI71" s="138"/>
      <c r="AJ71" s="138">
        <f>AK18/$C$18</f>
        <v>9.0628873218256082E-6</v>
      </c>
      <c r="AK71" s="138"/>
      <c r="AL71" s="138">
        <f>AM18/$C$18</f>
        <v>1.2136682942507101E-7</v>
      </c>
      <c r="AM71" s="138"/>
      <c r="AN71" s="138">
        <f>AO18/$C$18</f>
        <v>8.8184187985367627E-11</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1.0748016917877408</v>
      </c>
      <c r="E72" s="138"/>
      <c r="F72" s="138">
        <f>G19/$C$19</f>
        <v>1.1578678337231803</v>
      </c>
      <c r="G72" s="138"/>
      <c r="H72" s="138">
        <f>I19/$C$19</f>
        <v>1.2497247648455874</v>
      </c>
      <c r="I72" s="138"/>
      <c r="J72" s="138">
        <f>K19/$C$19</f>
        <v>1.3507075473103793</v>
      </c>
      <c r="K72" s="138"/>
      <c r="L72" s="138">
        <f>M19/$C$19</f>
        <v>1.460817312442388</v>
      </c>
      <c r="M72" s="138"/>
      <c r="N72" s="138">
        <f>O19/$C$19</f>
        <v>1.5795017513523142</v>
      </c>
      <c r="O72" s="138"/>
      <c r="P72" s="138">
        <f>Q19/$C$19</f>
        <v>1.7052884523591805</v>
      </c>
      <c r="Q72" s="138"/>
      <c r="R72" s="138">
        <f>S19/$C$19</f>
        <v>1.8351820022576244</v>
      </c>
      <c r="S72" s="138"/>
      <c r="T72" s="138">
        <f>U19/$C$19</f>
        <v>1.9636180657168845</v>
      </c>
      <c r="U72" s="138"/>
      <c r="V72" s="138">
        <f>W19/$C$19</f>
        <v>2.0806542006247257</v>
      </c>
      <c r="W72" s="138"/>
      <c r="X72" s="138">
        <f>Y19/$C$19</f>
        <v>2.1690300783179683</v>
      </c>
      <c r="Y72" s="138"/>
      <c r="Z72" s="138">
        <f>AA19/$C$19</f>
        <v>2.2007186038796549</v>
      </c>
      <c r="AA72" s="138"/>
      <c r="AB72" s="138">
        <f>AC19/$C$19</f>
        <v>2.1388585476586512</v>
      </c>
      <c r="AC72" s="138"/>
      <c r="AD72" s="138">
        <f>AE19/$C$19</f>
        <v>1.9595852880839859</v>
      </c>
      <c r="AE72" s="138"/>
      <c r="AF72" s="138">
        <f>AG19/$C$19</f>
        <v>1.683614086509972</v>
      </c>
      <c r="AG72" s="138"/>
      <c r="AH72" s="138">
        <f>AI19/$C$19</f>
        <v>1.3597650896058435</v>
      </c>
      <c r="AI72" s="138"/>
      <c r="AJ72" s="138">
        <f>AK19/$C$19</f>
        <v>1.0217334924378583</v>
      </c>
      <c r="AK72" s="138"/>
      <c r="AL72" s="138">
        <f>AM19/$C$19</f>
        <v>0.68128592107338348</v>
      </c>
      <c r="AM72" s="138"/>
      <c r="AN72" s="138">
        <f>AO19/$C$19</f>
        <v>0.3406451587849062</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0.47641153352875076</v>
      </c>
      <c r="D73" s="193">
        <f t="array" ref="D73">SUM(D9:E9*D22:E22)/D32</f>
        <v>0.47428166987626447</v>
      </c>
      <c r="E73" s="138"/>
      <c r="F73" s="193">
        <f t="array" ref="F73">SUM(F9:G9*F22:G22)/F32</f>
        <v>0.47213255372617247</v>
      </c>
      <c r="G73" s="138"/>
      <c r="H73" s="193">
        <f t="array" ref="H73">SUM(H9:I9*H22:I22)/H32</f>
        <v>0.46996023509075469</v>
      </c>
      <c r="I73" s="138"/>
      <c r="J73" s="193">
        <f t="array" ref="J73">SUM(J9:K9*J22:K22)/J32</f>
        <v>0.46775867881748101</v>
      </c>
      <c r="K73" s="138"/>
      <c r="L73" s="193">
        <f t="array" ref="L73">SUM(L9:M9*L22:M22)/L32</f>
        <v>0.46551846900882943</v>
      </c>
      <c r="M73" s="138"/>
      <c r="N73" s="193">
        <f t="array" ref="N73">SUM(N9:O9*N22:O22)/N32</f>
        <v>0.46322474241265826</v>
      </c>
      <c r="O73" s="138"/>
      <c r="P73" s="193">
        <f t="array" ref="P73">SUM(P9:Q9*P22:Q22)/P32</f>
        <v>0.46085349441402579</v>
      </c>
      <c r="Q73" s="138"/>
      <c r="R73" s="193">
        <f t="array" ref="R73">SUM(R9:S9*R22:S22)/R32</f>
        <v>0.45836528985834329</v>
      </c>
      <c r="S73" s="138"/>
      <c r="T73" s="193">
        <f t="array" ref="T73">SUM(T9:U9*T22:U22)/T32</f>
        <v>0.4556941740786985</v>
      </c>
      <c r="U73" s="138"/>
      <c r="V73" s="193">
        <f t="array" ref="V73">SUM(V9:W9*V22:W22)/V32</f>
        <v>0.45272720991204435</v>
      </c>
      <c r="W73" s="138"/>
      <c r="X73" s="193">
        <f t="array" ref="X73">SUM(X9:Y9*X22:Y22)/X32</f>
        <v>0.44926817888317966</v>
      </c>
      <c r="Y73" s="138"/>
      <c r="Z73" s="193">
        <f t="array" ref="Z73">SUM(Z9:AA9*Z22:AA22)/Z32</f>
        <v>0.44498193710352213</v>
      </c>
      <c r="AA73" s="138"/>
      <c r="AB73" s="193">
        <f t="array" ref="AB73">SUM(AB9:AC9*AB22:AC22)/AB32</f>
        <v>0.43935351234089826</v>
      </c>
      <c r="AC73" s="138"/>
      <c r="AD73" s="193">
        <f t="array" ref="AD73">SUM(AD9:AE9*AD22:AE22)/AD32</f>
        <v>0.43178010352748331</v>
      </c>
      <c r="AE73" s="138"/>
      <c r="AF73" s="193">
        <f t="array" ref="AF73">SUM(AF9:AG9*AF22:AG22)/AF32</f>
        <v>0.42174618981308254</v>
      </c>
      <c r="AG73" s="138"/>
      <c r="AH73" s="193">
        <f t="array" ref="AH73">SUM(AH9:AI9*AH22:AI22)/AH32</f>
        <v>0.40852652499735331</v>
      </c>
      <c r="AI73" s="138"/>
      <c r="AJ73" s="193">
        <f t="array" ref="AJ73">SUM(AJ9:AK9*AJ22:AK22)/AJ32</f>
        <v>0.39021961960421186</v>
      </c>
      <c r="AK73" s="138"/>
      <c r="AL73" s="193">
        <f t="array" ref="AL73">SUM(AL9:AM9*AL22:AM22)/AL32</f>
        <v>0.36159818141883798</v>
      </c>
      <c r="AM73" s="138"/>
      <c r="AN73" s="193">
        <f t="array" ref="AN73">SUM(AN9:AO9*AN22:AO22)/AN32</f>
        <v>0.30402645693367858</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0.22251425385662393</v>
      </c>
      <c r="E75" s="138"/>
      <c r="F75" s="193">
        <f t="array" ref="F75">SUM(F11:G11*F24:G24)/F32</f>
        <v>0.22466336771273926</v>
      </c>
      <c r="G75" s="138"/>
      <c r="H75" s="193">
        <f t="array" ref="H75">SUM(H11:I11*H24:I24)/H32</f>
        <v>0.22683568617197084</v>
      </c>
      <c r="I75" s="138"/>
      <c r="J75" s="193">
        <f t="array" ref="J75">SUM(J11:K11*J24:K24)/J32</f>
        <v>0.22903724422974697</v>
      </c>
      <c r="K75" s="138"/>
      <c r="L75" s="193">
        <f t="array" ref="L75">SUM(L11:M11*L24:M24)/L32</f>
        <v>0.23127745288117335</v>
      </c>
      <c r="M75" s="138"/>
      <c r="N75" s="193">
        <f t="array" ref="N75">SUM(N11:O11*N24:O24)/N32</f>
        <v>0.23357117917943715</v>
      </c>
      <c r="O75" s="138"/>
      <c r="P75" s="193">
        <f t="array" ref="P75">SUM(P11:Q11*P24:Q24)/P32</f>
        <v>0.23594243933432324</v>
      </c>
      <c r="Q75" s="138"/>
      <c r="R75" s="193">
        <f t="array" ref="R75">SUM(R11:S11*R24:S24)/R32</f>
        <v>0.2384306402158709</v>
      </c>
      <c r="S75" s="138"/>
      <c r="T75" s="193">
        <f t="array" ref="T75">SUM(T11:U11*T24:U24)/T32</f>
        <v>0.24110174766678502</v>
      </c>
      <c r="U75" s="138"/>
      <c r="V75" s="193">
        <f t="array" ref="V75">SUM(V11:W11*V24:W24)/V32</f>
        <v>0.24406871293572885</v>
      </c>
      <c r="W75" s="138"/>
      <c r="X75" s="193">
        <f t="array" ref="X75">SUM(X11:Y11*X24:Y24)/X32</f>
        <v>0.24752774266581559</v>
      </c>
      <c r="Y75" s="138"/>
      <c r="Z75" s="193">
        <f t="array" ref="Z75">SUM(Z11:AA11*Z24:AA24)/Z32</f>
        <v>0.25181398504577485</v>
      </c>
      <c r="AA75" s="138"/>
      <c r="AB75" s="193">
        <f t="array" ref="AB75">SUM(AB11:AC11*AB24:AC24)/AB32</f>
        <v>0.25744240957556014</v>
      </c>
      <c r="AC75" s="138"/>
      <c r="AD75" s="193">
        <f t="array" ref="AD75">SUM(AD11:AE11*AD24:AE24)/AD32</f>
        <v>0.26501581833345267</v>
      </c>
      <c r="AE75" s="138"/>
      <c r="AF75" s="193">
        <f t="array" ref="AF75">SUM(AF11:AG11*AF24:AG24)/AF32</f>
        <v>0.27504973204843042</v>
      </c>
      <c r="AG75" s="138"/>
      <c r="AH75" s="193">
        <f t="array" ref="AH75">SUM(AH11:AI11*AH24:AI24)/AH32</f>
        <v>0.28826939686334946</v>
      </c>
      <c r="AI75" s="138"/>
      <c r="AJ75" s="193">
        <f t="array" ref="AJ75">SUM(AJ11:AK11*AJ24:AK24)/AJ32</f>
        <v>0.30657630225648003</v>
      </c>
      <c r="AK75" s="138"/>
      <c r="AL75" s="193">
        <f t="array" ref="AL75">SUM(AL11:AM11*AL24:AM24)/AL32</f>
        <v>0.33519774044185496</v>
      </c>
      <c r="AM75" s="138"/>
      <c r="AN75" s="193">
        <f t="array" ref="AN75">SUM(AN11:AO11*AN24:AO24)/AN32</f>
        <v>0.39276946492701287</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0.22342242808544721</v>
      </c>
      <c r="E76" s="138"/>
      <c r="F76" s="193">
        <f t="array" ref="F76">SUM(F12:G12*F25:G25)/F32</f>
        <v>0.22394210940054737</v>
      </c>
      <c r="G76" s="138"/>
      <c r="H76" s="193">
        <f t="array" ref="H76">SUM(H12:I12*H25:I25)/H32</f>
        <v>0.22458696634424674</v>
      </c>
      <c r="I76" s="138"/>
      <c r="J76" s="193">
        <f t="array" ref="J76">SUM(J12:K12*J25:K25)/J32</f>
        <v>0.22536423551994925</v>
      </c>
      <c r="K76" s="138"/>
      <c r="L76" s="193">
        <f t="array" ref="L76">SUM(L12:M12*L25:M25)/L32</f>
        <v>0.22627733599774208</v>
      </c>
      <c r="M76" s="138"/>
      <c r="N76" s="193">
        <f t="array" ref="N76">SUM(N12:O12*N25:O25)/N32</f>
        <v>0.2273228794737629</v>
      </c>
      <c r="O76" s="138"/>
      <c r="P76" s="193">
        <f t="array" ref="P76">SUM(P12:Q12*P25:Q25)/P32</f>
        <v>0.22848544573074456</v>
      </c>
      <c r="Q76" s="138"/>
      <c r="R76" s="193">
        <f t="array" ref="R76">SUM(R12:S12*R25:S25)/R32</f>
        <v>0.22972887705284761</v>
      </c>
      <c r="S76" s="138"/>
      <c r="T76" s="193">
        <f t="array" ref="T76">SUM(T12:U12*T25:U25)/T32</f>
        <v>0.23098069496757528</v>
      </c>
      <c r="U76" s="138"/>
      <c r="V76" s="193">
        <f t="array" ref="V76">SUM(V12:W12*V25:W25)/V32</f>
        <v>0.23210499822952088</v>
      </c>
      <c r="W76" s="138"/>
      <c r="X76" s="193">
        <f t="array" ref="X76">SUM(X12:Y12*X25:Y25)/X32</f>
        <v>0.23285804775285882</v>
      </c>
      <c r="Y76" s="138"/>
      <c r="Z76" s="193">
        <f t="array" ref="Z76">SUM(Z12:AA12*Z25:AA25)/Z32</f>
        <v>0.23283569390835582</v>
      </c>
      <c r="AA76" s="138"/>
      <c r="AB76" s="193">
        <f t="array" ref="AB76">SUM(AB12:AC12*AB25:AC25)/AB32</f>
        <v>0.23150081683165091</v>
      </c>
      <c r="AC76" s="138"/>
      <c r="AD76" s="193">
        <f t="array" ref="AD76">SUM(AD12:AE12*AD25:AE25)/AD32</f>
        <v>0.22850464002180654</v>
      </c>
      <c r="AE76" s="138"/>
      <c r="AF76" s="193">
        <f t="array" ref="AF76">SUM(AF12:AG12*AF25:AG25)/AF32</f>
        <v>0.22414236789431127</v>
      </c>
      <c r="AG76" s="138"/>
      <c r="AH76" s="193">
        <f t="array" ref="AH76">SUM(AH12:AI12*AH25:AI25)/AH32</f>
        <v>0.21909291833996669</v>
      </c>
      <c r="AI76" s="138"/>
      <c r="AJ76" s="193">
        <f t="array" ref="AJ76">SUM(AJ12:AK12*AJ25:AK25)/AJ32</f>
        <v>0.21378386561557045</v>
      </c>
      <c r="AK76" s="138"/>
      <c r="AL76" s="193">
        <f t="array" ref="AL76">SUM(AL12:AM12*AL25:AM25)/AL32</f>
        <v>0.20831271705821766</v>
      </c>
      <c r="AM76" s="138"/>
      <c r="AN76" s="193">
        <f t="array" ref="AN76">SUM(AN12:AO12*AN25:AO25)/AN32</f>
        <v>0.20285869116947214</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0.14626455638276037</v>
      </c>
      <c r="E77" s="138"/>
      <c r="F77" s="193">
        <f t="array" ref="F77">SUM(F4:G4*F19:G19)/F32</f>
        <v>0.14678423540388374</v>
      </c>
      <c r="G77" s="138"/>
      <c r="H77" s="193">
        <f t="array" ref="H77">SUM(H4:I4*H19:I19)/H32</f>
        <v>0.14742909217139713</v>
      </c>
      <c r="I77" s="138"/>
      <c r="J77" s="193">
        <f t="array" ref="J77">SUM(J4:K4*J19:K19)/J32</f>
        <v>0.14820636313160185</v>
      </c>
      <c r="K77" s="138"/>
      <c r="L77" s="193">
        <f t="array" ref="L77">SUM(L4:M4*L19:M19)/L32</f>
        <v>0.14911946245216967</v>
      </c>
      <c r="M77" s="138"/>
      <c r="N77" s="193">
        <f t="array" ref="N77">SUM(N4:O4*N19:O19)/N32</f>
        <v>0.15016500563028304</v>
      </c>
      <c r="O77" s="138"/>
      <c r="P77" s="193">
        <f t="array" ref="P77">SUM(P4:Q4*P19:Q19)/P32</f>
        <v>0.15132758404351826</v>
      </c>
      <c r="Q77" s="138"/>
      <c r="R77" s="193">
        <f t="array" ref="R77">SUM(R4:S4*R19:S19)/R32</f>
        <v>0.15257101169148637</v>
      </c>
      <c r="S77" s="138"/>
      <c r="T77" s="193">
        <f t="array" ref="T77">SUM(T4:U4*T19:U19)/T32</f>
        <v>0.15382282127748342</v>
      </c>
      <c r="U77" s="138"/>
      <c r="V77" s="193">
        <f t="array" ref="V77">SUM(V4:W4*V19:W19)/V32</f>
        <v>0.15494712564171861</v>
      </c>
      <c r="W77" s="138"/>
      <c r="X77" s="193">
        <f t="array" ref="X77">SUM(X4:Y4*X19:Y19)/X32</f>
        <v>0.15570017386627871</v>
      </c>
      <c r="Y77" s="138"/>
      <c r="Z77" s="193">
        <f t="array" ref="Z77">SUM(Z4:AA4*Z19:AA19)/Z32</f>
        <v>0.15567782062207752</v>
      </c>
      <c r="AA77" s="138"/>
      <c r="AB77" s="193">
        <f t="array" ref="AB77">SUM(AB4:AC4*AB19:AC19)/AB32</f>
        <v>0.15434294331253401</v>
      </c>
      <c r="AC77" s="138"/>
      <c r="AD77" s="193">
        <f t="array" ref="AD77">SUM(AD4:AE4*AD19:AE19)/AD32</f>
        <v>0.15134676644716716</v>
      </c>
      <c r="AE77" s="138"/>
      <c r="AF77" s="193">
        <f t="array" ref="AF77">SUM(AF4:AG4*AF19:AG19)/AF32</f>
        <v>0.14698449432024907</v>
      </c>
      <c r="AG77" s="138"/>
      <c r="AH77" s="193">
        <f t="array" ref="AH77">SUM(AH4:AI4*AH19:AI19)/AH32</f>
        <v>0.14193504476509411</v>
      </c>
      <c r="AI77" s="138"/>
      <c r="AJ77" s="193">
        <f t="array" ref="AJ77">SUM(AJ4:AK4*AJ19:AK19)/AJ32</f>
        <v>0.13662599204068721</v>
      </c>
      <c r="AK77" s="138"/>
      <c r="AL77" s="193">
        <f t="array" ref="AL77">SUM(AL4:AM4*AL19:AM19)/AL32</f>
        <v>0.13115484348333534</v>
      </c>
      <c r="AM77" s="138"/>
      <c r="AN77" s="193">
        <f t="array" ref="AN77">SUM(AN4:AO4*AN19:AO19)/AN32</f>
        <v>0.12570081759458845</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0.34668882622404196</v>
      </c>
      <c r="E78" s="138"/>
      <c r="F78" s="193">
        <f t="array" ref="F78">SUM(F13:G13*F26:G26)/F32</f>
        <v>0.34648481945546622</v>
      </c>
      <c r="G78" s="138"/>
      <c r="H78" s="193">
        <f t="array" ref="H78">SUM(H13:I13*H26:I26)/H32</f>
        <v>0.34627237674796241</v>
      </c>
      <c r="I78" s="138"/>
      <c r="J78" s="193">
        <f t="array" ref="J78">SUM(J13:K13*J26:K26)/J32</f>
        <v>0.34604570073969865</v>
      </c>
      <c r="K78" s="138"/>
      <c r="L78" s="193">
        <f t="array" ref="L78">SUM(L13:M13*L26:M26)/L32</f>
        <v>0.34579487318191249</v>
      </c>
      <c r="M78" s="138"/>
      <c r="N78" s="193">
        <f t="array" ref="N78">SUM(N13:O13*N26:O26)/N32</f>
        <v>0.34550344641671998</v>
      </c>
      <c r="O78" s="138"/>
      <c r="P78" s="193">
        <f t="array" ref="P78">SUM(P13:Q13*P26:Q26)/P32</f>
        <v>0.34514450205247704</v>
      </c>
      <c r="Q78" s="138"/>
      <c r="R78" s="193">
        <f t="array" ref="R78">SUM(R13:S13*R26:S26)/R32</f>
        <v>0.34467404187418654</v>
      </c>
      <c r="S78" s="138"/>
      <c r="T78" s="193">
        <f t="array" ref="T78">SUM(T13:U13*T26:U26)/T32</f>
        <v>0.34401947784951259</v>
      </c>
      <c r="U78" s="138"/>
      <c r="V78" s="193">
        <f t="array" ref="V78">SUM(V13:W13*V26:W26)/V32</f>
        <v>0.34305947193350628</v>
      </c>
      <c r="W78" s="138"/>
      <c r="X78" s="193">
        <f t="array" ref="X78">SUM(X13:Y13*X26:Y26)/X32</f>
        <v>0.34158988042601285</v>
      </c>
      <c r="Y78" s="138"/>
      <c r="Z78" s="193">
        <f t="array" ref="Z78">SUM(Z13:AA13*Z26:AA26)/Z32</f>
        <v>0.33927708461608852</v>
      </c>
      <c r="AA78" s="138"/>
      <c r="AB78" s="193">
        <f t="array" ref="AB78">SUM(AB13:AC13*AB26:AC26)/AB32</f>
        <v>0.33564288517744134</v>
      </c>
      <c r="AC78" s="138"/>
      <c r="AD78" s="193">
        <f t="array" ref="AD78">SUM(AD13:AE13*AD26:AE26)/AD32</f>
        <v>0.33020028223358516</v>
      </c>
      <c r="AE78" s="138"/>
      <c r="AF78" s="193">
        <f t="array" ref="AF78">SUM(AF13:AG13*AF26:AG26)/AF32</f>
        <v>0.32264658742237684</v>
      </c>
      <c r="AG78" s="138"/>
      <c r="AH78" s="193">
        <f t="array" ref="AH78">SUM(AH13:AI13*AH26:AI26)/AH32</f>
        <v>0.31255910805205106</v>
      </c>
      <c r="AI78" s="138"/>
      <c r="AJ78" s="193">
        <f t="array" ref="AJ78">SUM(AJ13:AK13*AJ26:AK26)/AJ32</f>
        <v>0.2985558721067616</v>
      </c>
      <c r="AK78" s="138"/>
      <c r="AL78" s="193">
        <f t="array" ref="AL78">SUM(AL13:AM13*AL26:AM26)/AL32</f>
        <v>0.27665786752110244</v>
      </c>
      <c r="AM78" s="138"/>
      <c r="AN78" s="193">
        <f t="array" ref="AN78">SUM(AN13:AO13*AN26:AO26)/AN32</f>
        <v>0.23260988686843601</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0.451206440321547</v>
      </c>
      <c r="F79" s="193">
        <f t="array" ref="F79">SUM(F15:G15*F27:G27)/F32</f>
        <v>0.44777589075587154</v>
      </c>
      <c r="H79" s="193">
        <f t="array" ref="H79">SUM(H15:I15*H27:I27)/H32</f>
        <v>0.44431463767535873</v>
      </c>
      <c r="J79" s="193">
        <f t="array" ref="J79">SUM(J15:K15*J27:K27)/J32</f>
        <v>0.44081835121095436</v>
      </c>
      <c r="L79" s="193">
        <f t="array" ref="L79">SUM(L15:M15*L27:M27)/L32</f>
        <v>0.43728111520151169</v>
      </c>
      <c r="N79" s="193">
        <f t="array" ref="N79">SUM(N15:O15*N27:O27)/N32</f>
        <v>0.43369447180725579</v>
      </c>
      <c r="P79" s="193">
        <f t="array" ref="P79">SUM(P15:Q15*P27:Q27)/P32</f>
        <v>0.43004502062503125</v>
      </c>
      <c r="R79" s="193">
        <f t="array" ref="R79">SUM(R15:S15*R27:S27)/R32</f>
        <v>0.42631076575136245</v>
      </c>
      <c r="T79" s="193">
        <f t="array" ref="T79">SUM(T15:U15*T27:U27)/T32</f>
        <v>0.42245360715938024</v>
      </c>
      <c r="V79" s="193">
        <f t="array" ref="V79">SUM(V15:W15*V27:W27)/V32</f>
        <v>0.41840538948708372</v>
      </c>
      <c r="X79" s="193">
        <f t="array" ref="X79">SUM(X15:Y15*X27:Y27)/X32</f>
        <v>0.41404103501246531</v>
      </c>
      <c r="Z79" s="193">
        <f t="array" ref="Z79">SUM(Z15:AA15*Z27:AA27)/Z32</f>
        <v>0.40913156334080697</v>
      </c>
      <c r="AB79" s="193">
        <f t="array" ref="AB79">SUM(AB15:AC15*AB27:AC27)/AB32</f>
        <v>0.40329024875104952</v>
      </c>
      <c r="AD79" s="193">
        <f t="array" ref="AD79">SUM(AD15:AE15*AD27:AE27)/AD32</f>
        <v>0.3959906273617177</v>
      </c>
      <c r="AF79" s="193">
        <f t="array" ref="AF79">SUM(AF15:AG15*AF27:AG27)/AF32</f>
        <v>0.38666708277761824</v>
      </c>
      <c r="AH79" s="193">
        <f t="array" ref="AH79">SUM(AH15:AI15*AH27:AI27)/AH32</f>
        <v>0.3745207132976342</v>
      </c>
      <c r="AJ79" s="193">
        <f t="array" ref="AJ79">SUM(AJ15:AK15*AJ27:AK27)/AJ32</f>
        <v>0.35773445928709391</v>
      </c>
      <c r="AL79" s="193">
        <f t="array" ref="AL79">SUM(AL15:AM15*AL27:AM27)/AL32</f>
        <v>0.33149553495756345</v>
      </c>
      <c r="AN79" s="193">
        <f t="array" ref="AN79">SUM(AN15:AO15*AN27:AO27)/AN32</f>
        <v>0.27871659019168427</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0.20210477285363601</v>
      </c>
      <c r="F80" s="236">
        <f>F55</f>
        <v>0.20573928519273044</v>
      </c>
      <c r="H80" s="236">
        <f>H55</f>
        <v>0.20941297713342091</v>
      </c>
      <c r="J80" s="236">
        <f>J55</f>
        <v>0.2131359755547437</v>
      </c>
      <c r="L80" s="236">
        <f>L55</f>
        <v>0.21692401489394494</v>
      </c>
      <c r="N80" s="236">
        <f>N55</f>
        <v>0.22080209038872944</v>
      </c>
      <c r="P80" s="236">
        <f>P55</f>
        <v>0.22481047658559933</v>
      </c>
      <c r="R80" s="236">
        <f>R55</f>
        <v>0.2290151920989961</v>
      </c>
      <c r="T80" s="236">
        <f>T55</f>
        <v>0.23352692192752322</v>
      </c>
      <c r="V80" s="236">
        <f>V55</f>
        <v>0.23853513618437985</v>
      </c>
      <c r="X80" s="236">
        <f>X55</f>
        <v>0.24436908561052229</v>
      </c>
      <c r="Z80" s="236">
        <f>Z55</f>
        <v>0.25159135130998589</v>
      </c>
      <c r="AB80" s="236">
        <f>AB55</f>
        <v>0.26106686576731952</v>
      </c>
      <c r="AD80" s="236">
        <f>AD55</f>
        <v>0.27380909041320395</v>
      </c>
      <c r="AF80" s="236">
        <f>AF55</f>
        <v>0.29068632977867398</v>
      </c>
      <c r="AH80" s="236">
        <f>AH55</f>
        <v>0.31292017864496874</v>
      </c>
      <c r="AJ80" s="236">
        <f>AJ55</f>
        <v>0.34370966860665708</v>
      </c>
      <c r="AL80" s="236">
        <f>AL55</f>
        <v>0.39184659752145046</v>
      </c>
      <c r="AN80" s="236">
        <f>AN55</f>
        <v>0.48867352293988908</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-2.3941431710788826E-2</v>
      </c>
      <c r="F81" s="236">
        <f>F51/F$32</f>
        <v>-2.0306919371694397E-2</v>
      </c>
      <c r="H81" s="236">
        <f>H51/H$32</f>
        <v>-1.6633227431003924E-2</v>
      </c>
      <c r="J81" s="236">
        <f>J51/J$32</f>
        <v>-1.291022900968114E-2</v>
      </c>
      <c r="L81" s="236">
        <f>L51/L$32</f>
        <v>-9.1221896704799001E-3</v>
      </c>
      <c r="N81" s="236">
        <f>N51/N$32</f>
        <v>-5.2441141756954116E-3</v>
      </c>
      <c r="P81" s="236">
        <f>P51/P$32</f>
        <v>-1.2357279788255157E-3</v>
      </c>
      <c r="R81" s="236">
        <f>R51/R$32</f>
        <v>2.9689875345712542E-3</v>
      </c>
      <c r="T81" s="236">
        <f>T51/T$32</f>
        <v>7.4807173630984016E-3</v>
      </c>
      <c r="V81" s="236">
        <f>V51/V$32</f>
        <v>1.2488931619955027E-2</v>
      </c>
      <c r="X81" s="236">
        <f>X51/X$32</f>
        <v>1.8322881046097438E-2</v>
      </c>
      <c r="Z81" s="236">
        <f>Z51/Z$32</f>
        <v>2.5545146745561055E-2</v>
      </c>
      <c r="AB81" s="236">
        <f>AB51/AB$32</f>
        <v>3.5020661202894689E-2</v>
      </c>
      <c r="AD81" s="236">
        <f>AD51/AD$32</f>
        <v>4.776288584877908E-2</v>
      </c>
      <c r="AF81" s="236">
        <f>AF51/AF$32</f>
        <v>6.4640125214249125E-2</v>
      </c>
      <c r="AH81" s="236">
        <f>AH51/AH$32</f>
        <v>8.6873974080543898E-2</v>
      </c>
      <c r="AJ81" s="236">
        <f>AJ51/AJ$32</f>
        <v>0.11766346404223223</v>
      </c>
      <c r="AL81" s="236">
        <f>AL51/AL$32</f>
        <v>0.16580039295702562</v>
      </c>
      <c r="AN81" s="236">
        <f>AN51/AN$32</f>
        <v>0.26262731837546421</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0.13899891062210376</v>
      </c>
      <c r="F82" s="236">
        <f>F52/F$32</f>
        <v>0.13891711762375303</v>
      </c>
      <c r="H82" s="236">
        <f>H52/H$32</f>
        <v>0.13883194238105986</v>
      </c>
      <c r="J82" s="236">
        <f>J52/J$32</f>
        <v>0.13874106054169977</v>
      </c>
      <c r="L82" s="236">
        <f>L52/L$32</f>
        <v>0.13864049555474589</v>
      </c>
      <c r="N82" s="236">
        <f>N52/N$32</f>
        <v>0.13852365301520089</v>
      </c>
      <c r="P82" s="236">
        <f>P52/P$32</f>
        <v>0.13837974045780146</v>
      </c>
      <c r="R82" s="236">
        <f>R52/R$32</f>
        <v>0.13819111755643573</v>
      </c>
      <c r="T82" s="236">
        <f>T52/T$32</f>
        <v>0.13792868139039874</v>
      </c>
      <c r="V82" s="236">
        <f>V52/V$32</f>
        <v>0.13754378356150415</v>
      </c>
      <c r="X82" s="236">
        <f>X52/X$32</f>
        <v>0.13695457617104423</v>
      </c>
      <c r="Z82" s="236">
        <f>Z52/Z$32</f>
        <v>0.1360273005458901</v>
      </c>
      <c r="AB82" s="236">
        <f>AB52/AB$32</f>
        <v>0.13457023090664832</v>
      </c>
      <c r="AD82" s="236">
        <f>AD52/AD$32</f>
        <v>0.13238811304497897</v>
      </c>
      <c r="AF82" s="236">
        <f>AF52/AF$32</f>
        <v>0.12935958927810315</v>
      </c>
      <c r="AH82" s="236">
        <f>AH52/AH$32</f>
        <v>0.12531518825523283</v>
      </c>
      <c r="AJ82" s="236">
        <f>AJ52/AJ$32</f>
        <v>0.11970083211119698</v>
      </c>
      <c r="AL82" s="236">
        <f>AL52/AL$32</f>
        <v>0.11092120452597608</v>
      </c>
      <c r="AN82" s="236">
        <f>AN52/AN$32</f>
        <v>9.3260925732140676E-2</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0.18461467903204579</v>
      </c>
      <c r="F83" s="236">
        <f>F53/F$32</f>
        <v>0.18321104258013843</v>
      </c>
      <c r="H83" s="236">
        <f>H53/H$32</f>
        <v>0.18179484354261541</v>
      </c>
      <c r="J83" s="236">
        <f>J53/J$32</f>
        <v>0.18036431031935266</v>
      </c>
      <c r="L83" s="236">
        <f>L53/L$32</f>
        <v>0.17891702226628653</v>
      </c>
      <c r="N83" s="236">
        <f>N53/N$32</f>
        <v>0.17744951879146673</v>
      </c>
      <c r="P83" s="236">
        <f>P53/P$32</f>
        <v>0.17595631701409542</v>
      </c>
      <c r="R83" s="236">
        <f>R53/R$32</f>
        <v>0.17442841713652515</v>
      </c>
      <c r="T83" s="236">
        <f>T53/T$32</f>
        <v>0.17285023023181911</v>
      </c>
      <c r="V83" s="236">
        <f>V53/V$32</f>
        <v>0.17119386999527134</v>
      </c>
      <c r="X83" s="236">
        <f>X53/X$32</f>
        <v>0.16940815988896266</v>
      </c>
      <c r="Z83" s="236">
        <f>Z53/Z$32</f>
        <v>0.16739941077573142</v>
      </c>
      <c r="AB83" s="236">
        <f>AB53/AB$32</f>
        <v>0.16500939077214996</v>
      </c>
      <c r="AD83" s="236">
        <f>AD53/AD$32</f>
        <v>0.16202269302269723</v>
      </c>
      <c r="AF83" s="236">
        <f>AF53/AF$32</f>
        <v>0.15820789111160782</v>
      </c>
      <c r="AH83" s="236">
        <f>AH53/AH$32</f>
        <v>0.15323810809753141</v>
      </c>
      <c r="AJ83" s="236">
        <f>AJ53/AJ$32</f>
        <v>0.14636987967841172</v>
      </c>
      <c r="AL83" s="236">
        <f>AL53/AL$32</f>
        <v>0.135634016533838</v>
      </c>
      <c r="AN83" s="236">
        <f>AN53/AN$32</f>
        <v>0.11403909439429789</v>
      </c>
      <c r="AP83" s="236" t="e">
        <f>AP53/AP$32</f>
        <v>#DIV/0!</v>
      </c>
      <c r="AR83" s="236" t="e">
        <f>AR53/AR$32</f>
        <v>#DIV/0!</v>
      </c>
      <c r="AT83" s="236" t="e">
        <f>AT53/AT$32</f>
        <v>#DIV/0!</v>
      </c>
      <c r="AV83" s="236" t="e">
        <f>AV53/AV$32</f>
        <v>#DIV/0!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4.8970019869446935E-2</v>
      </c>
      <c r="E2" s="227"/>
      <c r="F2" s="226">
        <v>9.5868648270435702E-2</v>
      </c>
      <c r="G2" s="227"/>
      <c r="H2" s="226">
        <v>0.14712455553098699</v>
      </c>
      <c r="I2" s="227"/>
      <c r="J2" s="226">
        <v>0.20362295890514617</v>
      </c>
      <c r="K2" s="227"/>
      <c r="L2" s="226">
        <v>0.26659261976297471</v>
      </c>
      <c r="M2" s="227"/>
      <c r="N2" s="226">
        <v>0.3377952932763828</v>
      </c>
      <c r="O2" s="227"/>
      <c r="P2" s="226">
        <v>0.41985082382356337</v>
      </c>
      <c r="Q2" s="227"/>
      <c r="R2" s="226">
        <v>0.5168160557209357</v>
      </c>
      <c r="S2" s="227"/>
      <c r="T2" s="226">
        <v>0.63528604275816969</v>
      </c>
      <c r="U2" s="227"/>
      <c r="V2" s="226">
        <v>0.78656505983119129</v>
      </c>
      <c r="W2" s="227"/>
      <c r="X2" s="226">
        <v>0.99110228162631941</v>
      </c>
      <c r="Y2" s="227"/>
      <c r="Z2" s="226">
        <v>1.2873199724269535</v>
      </c>
      <c r="AA2" s="227"/>
      <c r="AB2" s="226">
        <v>1.7463931404332922</v>
      </c>
      <c r="AC2" s="227"/>
      <c r="AD2" s="226">
        <v>2.4895190103191429</v>
      </c>
      <c r="AE2" s="227"/>
      <c r="AF2" s="226">
        <v>3.7181263922498613</v>
      </c>
      <c r="AG2" s="227"/>
      <c r="AH2" s="226">
        <v>5.8402470547986063</v>
      </c>
      <c r="AI2" s="227"/>
      <c r="AJ2" s="226">
        <v>9.9058733620442467</v>
      </c>
      <c r="AK2" s="227"/>
      <c r="AL2" s="226">
        <v>19.352457508333249</v>
      </c>
      <c r="AM2" s="227"/>
      <c r="AN2" s="226"/>
      <c r="AO2" s="227"/>
      <c r="AP2" s="226"/>
      <c r="AQ2" s="227"/>
      <c r="AR2" s="226"/>
      <c r="AS2" s="227"/>
      <c r="AT2" s="226"/>
      <c r="AU2" s="227"/>
      <c r="AV2" s="226"/>
      <c r="AW2" s="227"/>
    </row>
    <row r="3" spans="1:49" x14ac:dyDescent="0.2">
      <c r="A3" t="s">
        <v>12</v>
      </c>
      <c r="B3" s="84">
        <v>1000</v>
      </c>
      <c r="C3" s="85">
        <v>1000</v>
      </c>
      <c r="D3" s="84">
        <v>998.08075698104392</v>
      </c>
      <c r="E3" s="85">
        <v>1018.622252646993</v>
      </c>
      <c r="F3" s="84">
        <v>996.04882601964334</v>
      </c>
      <c r="G3" s="85">
        <v>1039.029469404124</v>
      </c>
      <c r="H3" s="84">
        <v>993.8976894284333</v>
      </c>
      <c r="I3" s="85">
        <v>1061.509421161102</v>
      </c>
      <c r="J3" s="84">
        <v>991.62410225607607</v>
      </c>
      <c r="K3" s="85">
        <v>1086.4406251965329</v>
      </c>
      <c r="L3" s="84">
        <v>989.23035705791938</v>
      </c>
      <c r="M3" s="85">
        <v>1114.3363045135477</v>
      </c>
      <c r="N3" s="84">
        <v>986.72776041605744</v>
      </c>
      <c r="O3" s="85">
        <v>1145.9169703587625</v>
      </c>
      <c r="P3" s="84">
        <v>984.1423416973638</v>
      </c>
      <c r="Q3" s="85">
        <v>1182.2309695724839</v>
      </c>
      <c r="R3" s="84">
        <v>981.52428818743647</v>
      </c>
      <c r="S3" s="85">
        <v>1224.868028756503</v>
      </c>
      <c r="T3" s="84">
        <v>978.96451913775138</v>
      </c>
      <c r="U3" s="85">
        <v>1276.3515533903299</v>
      </c>
      <c r="V3" s="84">
        <v>976.62335334493025</v>
      </c>
      <c r="W3" s="85">
        <v>1340.8948321763905</v>
      </c>
      <c r="X3" s="84">
        <v>974.77654162183455</v>
      </c>
      <c r="Y3" s="85">
        <v>1425.8929862298801</v>
      </c>
      <c r="Z3" s="84">
        <v>973.86364511664146</v>
      </c>
      <c r="AA3" s="85">
        <v>1544.7526745783205</v>
      </c>
      <c r="AB3" s="84">
        <v>974.42637141560215</v>
      </c>
      <c r="AC3" s="85">
        <v>1721.2881672976323</v>
      </c>
      <c r="AD3" s="84">
        <v>976.71130375713847</v>
      </c>
      <c r="AE3" s="85">
        <v>1994.3251167538185</v>
      </c>
      <c r="AF3" s="84">
        <v>980.24582502994906</v>
      </c>
      <c r="AG3" s="85">
        <v>2426.7308647501213</v>
      </c>
      <c r="AH3" s="84">
        <v>984.24171983528413</v>
      </c>
      <c r="AI3" s="85">
        <v>3145.470068359381</v>
      </c>
      <c r="AJ3" s="84">
        <v>988.1670343440486</v>
      </c>
      <c r="AK3" s="85">
        <v>4474.7684688893587</v>
      </c>
      <c r="AL3" s="84">
        <v>991.66708723689442</v>
      </c>
      <c r="AM3" s="85">
        <v>7461.3489090463472</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997.98502903418535</v>
      </c>
      <c r="E5" s="42">
        <v>1016.0779276159267</v>
      </c>
      <c r="F5" s="41">
        <v>995.84929824722587</v>
      </c>
      <c r="G5" s="42">
        <v>1033.0516925589957</v>
      </c>
      <c r="H5" s="41">
        <v>993.58551599128225</v>
      </c>
      <c r="I5" s="42">
        <v>1050.9376416778514</v>
      </c>
      <c r="J5" s="41">
        <v>991.18977868612853</v>
      </c>
      <c r="K5" s="42">
        <v>1069.7439155011671</v>
      </c>
      <c r="L5" s="41">
        <v>988.66398066143472</v>
      </c>
      <c r="M5" s="42">
        <v>1089.4653027399681</v>
      </c>
      <c r="N5" s="41">
        <v>986.01953045280413</v>
      </c>
      <c r="O5" s="42">
        <v>1110.0793564432149</v>
      </c>
      <c r="P5" s="41">
        <v>983.28347116672433</v>
      </c>
      <c r="Q5" s="42">
        <v>1131.5305143489186</v>
      </c>
      <c r="R5" s="41">
        <v>980.50861867722131</v>
      </c>
      <c r="S5" s="42">
        <v>1153.7094762958975</v>
      </c>
      <c r="T5" s="41">
        <v>977.79138070193153</v>
      </c>
      <c r="U5" s="42">
        <v>1176.3982182157583</v>
      </c>
      <c r="V5" s="41">
        <v>975.3025756422179</v>
      </c>
      <c r="W5" s="42">
        <v>1199.1718828210719</v>
      </c>
      <c r="X5" s="41">
        <v>973.33685074334039</v>
      </c>
      <c r="Y5" s="42">
        <v>1221.2127555136096</v>
      </c>
      <c r="Z5" s="41">
        <v>972.36437413486931</v>
      </c>
      <c r="AA5" s="42">
        <v>1241.0356314694457</v>
      </c>
      <c r="AB5" s="41">
        <v>972.96388938423536</v>
      </c>
      <c r="AC5" s="42">
        <v>1256.4512906576185</v>
      </c>
      <c r="AD5" s="41">
        <v>975.39613504347267</v>
      </c>
      <c r="AE5" s="42">
        <v>1265.7563381474035</v>
      </c>
      <c r="AF5" s="41">
        <v>979.15202390079571</v>
      </c>
      <c r="AG5" s="42">
        <v>1269.7144913001093</v>
      </c>
      <c r="AH5" s="41">
        <v>983.38871671085064</v>
      </c>
      <c r="AI5" s="42">
        <v>1270.8429204216725</v>
      </c>
      <c r="AJ5" s="41">
        <v>987.54086109913169</v>
      </c>
      <c r="AK5" s="42">
        <v>1271.0429227051125</v>
      </c>
      <c r="AL5" s="41">
        <v>991.23510261085676</v>
      </c>
      <c r="AM5" s="42">
        <v>1271.0608798367662</v>
      </c>
      <c r="AN5" s="41"/>
      <c r="AO5" s="42"/>
      <c r="AP5" s="41"/>
      <c r="AQ5" s="42"/>
      <c r="AR5" s="41"/>
      <c r="AS5" s="42"/>
      <c r="AT5" s="41"/>
      <c r="AU5" s="42"/>
      <c r="AV5" s="41"/>
      <c r="AW5" s="42"/>
    </row>
    <row r="6" spans="1:49" x14ac:dyDescent="0.2">
      <c r="A6" t="s">
        <v>77</v>
      </c>
      <c r="B6" s="41">
        <v>999.99999999999943</v>
      </c>
      <c r="C6" s="42">
        <v>999.99999999999909</v>
      </c>
      <c r="D6" s="41">
        <v>997.83157137416356</v>
      </c>
      <c r="E6" s="42">
        <v>1020.0725612364071</v>
      </c>
      <c r="F6" s="41">
        <v>995.53463829079703</v>
      </c>
      <c r="G6" s="42">
        <v>1042.0062279822228</v>
      </c>
      <c r="H6" s="41">
        <v>993.10161137576256</v>
      </c>
      <c r="I6" s="42">
        <v>1066.0978902002416</v>
      </c>
      <c r="J6" s="41">
        <v>990.52857263761689</v>
      </c>
      <c r="K6" s="42">
        <v>1092.7386089333038</v>
      </c>
      <c r="L6" s="41">
        <v>987.81784939481281</v>
      </c>
      <c r="M6" s="42">
        <v>1122.4592066350244</v>
      </c>
      <c r="N6" s="41">
        <v>984.98197436724524</v>
      </c>
      <c r="O6" s="42">
        <v>1156.0054701111872</v>
      </c>
      <c r="P6" s="41">
        <v>982.05019853133058</v>
      </c>
      <c r="Q6" s="42">
        <v>1194.4628134691116</v>
      </c>
      <c r="R6" s="41">
        <v>979.07926789948306</v>
      </c>
      <c r="S6" s="42">
        <v>1239.476835367168</v>
      </c>
      <c r="T6" s="41">
        <v>976.17236181846295</v>
      </c>
      <c r="U6" s="42">
        <v>1293.6578138435702</v>
      </c>
      <c r="V6" s="41">
        <v>973.51185058404894</v>
      </c>
      <c r="W6" s="42">
        <v>1361.3589555739638</v>
      </c>
      <c r="X6" s="41">
        <v>971.41186233762244</v>
      </c>
      <c r="Y6" s="42">
        <v>1450.2080034735357</v>
      </c>
      <c r="Z6" s="41">
        <v>970.373403443597</v>
      </c>
      <c r="AA6" s="42">
        <v>1574.0015746517579</v>
      </c>
      <c r="AB6" s="41">
        <v>971.01356128406883</v>
      </c>
      <c r="AC6" s="42">
        <v>1757.1746594054841</v>
      </c>
      <c r="AD6" s="41">
        <v>973.61183008893568</v>
      </c>
      <c r="AE6" s="42">
        <v>2039.4455203602374</v>
      </c>
      <c r="AF6" s="41">
        <v>977.62769211081559</v>
      </c>
      <c r="AG6" s="42">
        <v>2485.0761869910916</v>
      </c>
      <c r="AH6" s="41">
        <v>982.16292870723282</v>
      </c>
      <c r="AI6" s="42">
        <v>3224.0984873141738</v>
      </c>
      <c r="AJ6" s="41">
        <v>986.61315764534254</v>
      </c>
      <c r="AK6" s="42">
        <v>4588.9897087405498</v>
      </c>
      <c r="AL6" s="41">
        <v>990.5772336600038</v>
      </c>
      <c r="AM6" s="42">
        <v>7653.4484139939887</v>
      </c>
      <c r="AN6" s="41"/>
      <c r="AO6" s="42"/>
      <c r="AP6" s="41"/>
      <c r="AQ6" s="42"/>
      <c r="AR6" s="41"/>
      <c r="AS6" s="42"/>
      <c r="AT6" s="41"/>
      <c r="AU6" s="42"/>
      <c r="AV6" s="41"/>
      <c r="AW6" s="42"/>
    </row>
    <row r="7" spans="1:49" x14ac:dyDescent="0.2">
      <c r="A7" t="s">
        <v>13</v>
      </c>
      <c r="B7" s="33">
        <v>1015.9116825427475</v>
      </c>
      <c r="C7" s="34">
        <v>1015.9116825427475</v>
      </c>
      <c r="D7" s="33">
        <v>1013.8646499985919</v>
      </c>
      <c r="E7" s="34">
        <v>1013.8646499985919</v>
      </c>
      <c r="F7" s="33">
        <v>1011.6949361413535</v>
      </c>
      <c r="G7" s="34">
        <v>1011.6949361413535</v>
      </c>
      <c r="H7" s="33">
        <v>1009.3951333008074</v>
      </c>
      <c r="I7" s="34">
        <v>1009.3951333008074</v>
      </c>
      <c r="J7" s="33">
        <v>1006.9612757841983</v>
      </c>
      <c r="K7" s="34">
        <v>1006.9612757841983</v>
      </c>
      <c r="L7" s="33">
        <v>1004.3952880631684</v>
      </c>
      <c r="M7" s="34">
        <v>1004.3952880631684</v>
      </c>
      <c r="N7" s="33">
        <v>1001.708760202318</v>
      </c>
      <c r="O7" s="34">
        <v>1001.708760202318</v>
      </c>
      <c r="P7" s="33">
        <v>998.92916560946003</v>
      </c>
      <c r="Q7" s="34">
        <v>998.92916560946003</v>
      </c>
      <c r="R7" s="33">
        <v>996.11016054804111</v>
      </c>
      <c r="S7" s="34">
        <v>996.11016054804111</v>
      </c>
      <c r="T7" s="33">
        <v>993.34968674469542</v>
      </c>
      <c r="U7" s="34">
        <v>993.34968674469542</v>
      </c>
      <c r="V7" s="33">
        <v>990.82128060896082</v>
      </c>
      <c r="W7" s="34">
        <v>990.82128060896082</v>
      </c>
      <c r="X7" s="33">
        <v>988.82427771952598</v>
      </c>
      <c r="Y7" s="34">
        <v>988.82427771952598</v>
      </c>
      <c r="Z7" s="33">
        <v>987.8363273719807</v>
      </c>
      <c r="AA7" s="34">
        <v>987.8363273719807</v>
      </c>
      <c r="AB7" s="33">
        <v>988.44538191767413</v>
      </c>
      <c r="AC7" s="34">
        <v>988.44538191767413</v>
      </c>
      <c r="AD7" s="33">
        <v>990.91632869770717</v>
      </c>
      <c r="AE7" s="34">
        <v>990.91632869770717</v>
      </c>
      <c r="AF7" s="33">
        <v>994.73198006619384</v>
      </c>
      <c r="AG7" s="34">
        <v>994.73198006619384</v>
      </c>
      <c r="AH7" s="33">
        <v>999.03608578727346</v>
      </c>
      <c r="AI7" s="34">
        <v>999.03608578727346</v>
      </c>
      <c r="AJ7" s="33">
        <v>1003.2542977789325</v>
      </c>
      <c r="AK7" s="34">
        <v>1003.2542977789325</v>
      </c>
      <c r="AL7" s="33">
        <v>1007.0073208888284</v>
      </c>
      <c r="AM7" s="34">
        <v>1007.0073208888284</v>
      </c>
      <c r="AN7" s="33"/>
      <c r="AO7" s="34"/>
      <c r="AP7" s="33"/>
      <c r="AQ7" s="34"/>
      <c r="AR7" s="33"/>
      <c r="AS7" s="34"/>
      <c r="AT7" s="33"/>
      <c r="AU7" s="34"/>
      <c r="AV7" s="33"/>
      <c r="AW7" s="34"/>
    </row>
    <row r="8" spans="1:49" x14ac:dyDescent="0.2">
      <c r="B8" s="35">
        <v>1005.7716594496609</v>
      </c>
      <c r="C8" s="36">
        <v>1005.7716594496609</v>
      </c>
      <c r="D8" s="35">
        <v>1065.835283920185</v>
      </c>
      <c r="E8" s="36">
        <v>1065.835283920185</v>
      </c>
      <c r="F8" s="35">
        <v>1132.0889619181123</v>
      </c>
      <c r="G8" s="36">
        <v>1132.0889619181123</v>
      </c>
      <c r="H8" s="35">
        <v>1205.556375100489</v>
      </c>
      <c r="I8" s="36">
        <v>1205.556375100489</v>
      </c>
      <c r="J8" s="35">
        <v>1287.5683368462912</v>
      </c>
      <c r="K8" s="36">
        <v>1287.5683368462912</v>
      </c>
      <c r="L8" s="35">
        <v>1379.9087119382784</v>
      </c>
      <c r="M8" s="36">
        <v>1379.9087119382784</v>
      </c>
      <c r="N8" s="35">
        <v>1485.058938213009</v>
      </c>
      <c r="O8" s="36">
        <v>1485.058938213009</v>
      </c>
      <c r="P8" s="35">
        <v>1606.6045329798126</v>
      </c>
      <c r="Q8" s="36">
        <v>1606.6045329798126</v>
      </c>
      <c r="R8" s="35">
        <v>1749.9650572830096</v>
      </c>
      <c r="S8" s="36">
        <v>1749.9650572830096</v>
      </c>
      <c r="T8" s="35">
        <v>1923.7475869738091</v>
      </c>
      <c r="U8" s="36">
        <v>1923.7475869738091</v>
      </c>
      <c r="V8" s="35">
        <v>2142.3985865801105</v>
      </c>
      <c r="W8" s="36">
        <v>2142.3985865801105</v>
      </c>
      <c r="X8" s="35">
        <v>2431.5595038543124</v>
      </c>
      <c r="Y8" s="36">
        <v>2431.5595038543124</v>
      </c>
      <c r="Z8" s="35">
        <v>2838.6455863535589</v>
      </c>
      <c r="AA8" s="36">
        <v>2838.6455863535589</v>
      </c>
      <c r="AB8" s="35">
        <v>3450.7092059506399</v>
      </c>
      <c r="AC8" s="36">
        <v>3450.7092059506399</v>
      </c>
      <c r="AD8" s="35">
        <v>4416.8808043973104</v>
      </c>
      <c r="AE8" s="36">
        <v>4416.8808043973104</v>
      </c>
      <c r="AF8" s="35">
        <v>5990.6734520251521</v>
      </c>
      <c r="AG8" s="36">
        <v>5990.6734520251521</v>
      </c>
      <c r="AH8" s="35">
        <v>8692.8795435260054</v>
      </c>
      <c r="AI8" s="36">
        <v>8692.8795435260054</v>
      </c>
      <c r="AJ8" s="35">
        <v>13861.83315274455</v>
      </c>
      <c r="AK8" s="36">
        <v>13861.83315274455</v>
      </c>
      <c r="AL8" s="35">
        <v>25869.212547382456</v>
      </c>
      <c r="AM8" s="36">
        <v>25869.212547382456</v>
      </c>
      <c r="AN8" s="35"/>
      <c r="AO8" s="36"/>
      <c r="AP8" s="35"/>
      <c r="AQ8" s="36"/>
      <c r="AR8" s="35"/>
      <c r="AS8" s="36"/>
      <c r="AT8" s="35"/>
      <c r="AU8" s="36"/>
      <c r="AV8" s="35"/>
      <c r="AW8" s="36"/>
    </row>
    <row r="9" spans="1:49" x14ac:dyDescent="0.2">
      <c r="A9" t="s">
        <v>14</v>
      </c>
      <c r="B9" s="41">
        <v>1015.9116825427475</v>
      </c>
      <c r="C9" s="42">
        <v>1005.7716594496609</v>
      </c>
      <c r="D9" s="41">
        <v>1013.8646499985919</v>
      </c>
      <c r="E9" s="42">
        <v>1065.835283920185</v>
      </c>
      <c r="F9" s="41">
        <v>1011.6949361413535</v>
      </c>
      <c r="G9" s="42">
        <v>1132.0889619181123</v>
      </c>
      <c r="H9" s="41">
        <v>1009.3951333008074</v>
      </c>
      <c r="I9" s="42">
        <v>1205.556375100489</v>
      </c>
      <c r="J9" s="41">
        <v>1006.9612757841983</v>
      </c>
      <c r="K9" s="42">
        <v>1287.5683368462912</v>
      </c>
      <c r="L9" s="41">
        <v>1004.3952880631684</v>
      </c>
      <c r="M9" s="42">
        <v>1379.9087119382784</v>
      </c>
      <c r="N9" s="41">
        <v>1001.708760202318</v>
      </c>
      <c r="O9" s="42">
        <v>1485.058938213009</v>
      </c>
      <c r="P9" s="41">
        <v>998.92916560946003</v>
      </c>
      <c r="Q9" s="42">
        <v>1606.6045329798126</v>
      </c>
      <c r="R9" s="41">
        <v>996.11016054804111</v>
      </c>
      <c r="S9" s="42">
        <v>1749.9650572830096</v>
      </c>
      <c r="T9" s="41">
        <v>993.34968674469542</v>
      </c>
      <c r="U9" s="42">
        <v>1923.7475869738091</v>
      </c>
      <c r="V9" s="41">
        <v>990.82128060896082</v>
      </c>
      <c r="W9" s="42">
        <v>2142.3985865801105</v>
      </c>
      <c r="X9" s="41">
        <v>988.82427771952598</v>
      </c>
      <c r="Y9" s="42">
        <v>2431.5595038543124</v>
      </c>
      <c r="Z9" s="41">
        <v>987.8363273719807</v>
      </c>
      <c r="AA9" s="42">
        <v>2838.6455863535589</v>
      </c>
      <c r="AB9" s="41">
        <v>988.44538191767413</v>
      </c>
      <c r="AC9" s="42">
        <v>3450.7092059506399</v>
      </c>
      <c r="AD9" s="41">
        <v>990.91632869770717</v>
      </c>
      <c r="AE9" s="42">
        <v>4416.8808043973104</v>
      </c>
      <c r="AF9" s="41">
        <v>994.73198006619384</v>
      </c>
      <c r="AG9" s="42">
        <v>5990.6734520251521</v>
      </c>
      <c r="AH9" s="41">
        <v>999.03608578727346</v>
      </c>
      <c r="AI9" s="42">
        <v>8692.8795435260054</v>
      </c>
      <c r="AJ9" s="41">
        <v>1003.2542977789325</v>
      </c>
      <c r="AK9" s="42">
        <v>13861.83315274455</v>
      </c>
      <c r="AL9" s="41">
        <v>1007.0073208888284</v>
      </c>
      <c r="AM9" s="42">
        <v>25869.212547382456</v>
      </c>
      <c r="AN9" s="41"/>
      <c r="AO9" s="42"/>
      <c r="AP9" s="41"/>
      <c r="AQ9" s="42"/>
      <c r="AR9" s="41"/>
      <c r="AS9" s="42"/>
      <c r="AT9" s="41"/>
      <c r="AU9" s="42"/>
      <c r="AV9" s="41"/>
      <c r="AW9" s="42"/>
    </row>
    <row r="10" spans="1:49" x14ac:dyDescent="0.2">
      <c r="A10" t="s">
        <v>15</v>
      </c>
      <c r="B10" s="41">
        <v>1015.9116825427475</v>
      </c>
      <c r="C10" s="42">
        <v>1005.7716594496609</v>
      </c>
      <c r="D10" s="41">
        <v>1013.8646499985919</v>
      </c>
      <c r="E10" s="42">
        <v>1065.835283920185</v>
      </c>
      <c r="F10" s="41">
        <v>1011.6949361413535</v>
      </c>
      <c r="G10" s="42">
        <v>1132.0889619181123</v>
      </c>
      <c r="H10" s="41">
        <v>1009.3951333008074</v>
      </c>
      <c r="I10" s="42">
        <v>1205.556375100489</v>
      </c>
      <c r="J10" s="41">
        <v>1006.9612757841983</v>
      </c>
      <c r="K10" s="42">
        <v>1287.5683368462912</v>
      </c>
      <c r="L10" s="41">
        <v>1004.3952880631684</v>
      </c>
      <c r="M10" s="42">
        <v>1379.9087119382784</v>
      </c>
      <c r="N10" s="41">
        <v>1001.708760202318</v>
      </c>
      <c r="O10" s="42">
        <v>1485.058938213009</v>
      </c>
      <c r="P10" s="41">
        <v>998.92916560946003</v>
      </c>
      <c r="Q10" s="42">
        <v>1606.6045329798126</v>
      </c>
      <c r="R10" s="41">
        <v>996.11016054804111</v>
      </c>
      <c r="S10" s="42">
        <v>1749.9650572830096</v>
      </c>
      <c r="T10" s="41">
        <v>993.34968674469542</v>
      </c>
      <c r="U10" s="42">
        <v>1923.7475869738091</v>
      </c>
      <c r="V10" s="41">
        <v>990.82128060896082</v>
      </c>
      <c r="W10" s="42">
        <v>2142.3985865801105</v>
      </c>
      <c r="X10" s="41">
        <v>988.82427771952598</v>
      </c>
      <c r="Y10" s="42">
        <v>2431.5595038543124</v>
      </c>
      <c r="Z10" s="41">
        <v>987.8363273719807</v>
      </c>
      <c r="AA10" s="42">
        <v>2838.6455863535589</v>
      </c>
      <c r="AB10" s="41">
        <v>988.44538191767413</v>
      </c>
      <c r="AC10" s="42">
        <v>3450.7092059506399</v>
      </c>
      <c r="AD10" s="41">
        <v>990.91632869770717</v>
      </c>
      <c r="AE10" s="42">
        <v>4416.8808043973104</v>
      </c>
      <c r="AF10" s="41">
        <v>994.73198006619384</v>
      </c>
      <c r="AG10" s="42">
        <v>5990.6734520251521</v>
      </c>
      <c r="AH10" s="41">
        <v>999.03608578727346</v>
      </c>
      <c r="AI10" s="42">
        <v>8692.8795435260054</v>
      </c>
      <c r="AJ10" s="41">
        <v>1003.2542977789325</v>
      </c>
      <c r="AK10" s="42">
        <v>13861.83315274455</v>
      </c>
      <c r="AL10" s="41">
        <v>1007.0073208888284</v>
      </c>
      <c r="AM10" s="42">
        <v>25869.212547382456</v>
      </c>
      <c r="AN10" s="41"/>
      <c r="AO10" s="42"/>
      <c r="AP10" s="41"/>
      <c r="AQ10" s="42"/>
      <c r="AR10" s="41"/>
      <c r="AS10" s="42"/>
      <c r="AT10" s="41"/>
      <c r="AU10" s="42"/>
      <c r="AV10" s="41"/>
      <c r="AW10" s="42"/>
    </row>
    <row r="11" spans="1:49" x14ac:dyDescent="0.2">
      <c r="A11" t="s">
        <v>29</v>
      </c>
      <c r="B11" s="41">
        <v>1015.9116825427475</v>
      </c>
      <c r="C11" s="42">
        <v>1005.7716594496609</v>
      </c>
      <c r="D11" s="41">
        <v>1013.8646499985919</v>
      </c>
      <c r="E11" s="42">
        <v>1065.835283920185</v>
      </c>
      <c r="F11" s="41">
        <v>1011.6949361413535</v>
      </c>
      <c r="G11" s="42">
        <v>1132.0889619181123</v>
      </c>
      <c r="H11" s="41">
        <v>1009.3951333008074</v>
      </c>
      <c r="I11" s="42">
        <v>1205.556375100489</v>
      </c>
      <c r="J11" s="41">
        <v>1006.9612757841983</v>
      </c>
      <c r="K11" s="42">
        <v>1287.5683368462912</v>
      </c>
      <c r="L11" s="41">
        <v>1004.3952880631684</v>
      </c>
      <c r="M11" s="42">
        <v>1379.9087119382784</v>
      </c>
      <c r="N11" s="41">
        <v>1001.708760202318</v>
      </c>
      <c r="O11" s="42">
        <v>1485.058938213009</v>
      </c>
      <c r="P11" s="41">
        <v>998.92916560946003</v>
      </c>
      <c r="Q11" s="42">
        <v>1606.6045329798126</v>
      </c>
      <c r="R11" s="41">
        <v>996.11016054804111</v>
      </c>
      <c r="S11" s="42">
        <v>1749.9650572830096</v>
      </c>
      <c r="T11" s="41">
        <v>993.34968674469542</v>
      </c>
      <c r="U11" s="42">
        <v>1923.7475869738091</v>
      </c>
      <c r="V11" s="41">
        <v>990.82128060896082</v>
      </c>
      <c r="W11" s="42">
        <v>2142.3985865801105</v>
      </c>
      <c r="X11" s="41">
        <v>988.82427771952598</v>
      </c>
      <c r="Y11" s="42">
        <v>2431.5595038543124</v>
      </c>
      <c r="Z11" s="41">
        <v>987.8363273719807</v>
      </c>
      <c r="AA11" s="42">
        <v>2838.6455863535589</v>
      </c>
      <c r="AB11" s="41">
        <v>988.44538191767413</v>
      </c>
      <c r="AC11" s="42">
        <v>3450.7092059506399</v>
      </c>
      <c r="AD11" s="41">
        <v>990.91632869770717</v>
      </c>
      <c r="AE11" s="42">
        <v>4416.8808043973104</v>
      </c>
      <c r="AF11" s="41">
        <v>994.73198006619384</v>
      </c>
      <c r="AG11" s="42">
        <v>5990.6734520251521</v>
      </c>
      <c r="AH11" s="41">
        <v>999.03608578727346</v>
      </c>
      <c r="AI11" s="42">
        <v>8692.8795435260054</v>
      </c>
      <c r="AJ11" s="41">
        <v>1003.2542977789325</v>
      </c>
      <c r="AK11" s="42">
        <v>13861.83315274455</v>
      </c>
      <c r="AL11" s="41">
        <v>1007.0073208888284</v>
      </c>
      <c r="AM11" s="42">
        <v>25869.212547382456</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998.79670859537964</v>
      </c>
      <c r="E13" s="98">
        <v>998.79670859537964</v>
      </c>
      <c r="F13" s="97">
        <v>997.33271923017787</v>
      </c>
      <c r="G13" s="98">
        <v>997.33271923017787</v>
      </c>
      <c r="H13" s="97">
        <v>995.57546247021071</v>
      </c>
      <c r="I13" s="98">
        <v>995.57546247021071</v>
      </c>
      <c r="J13" s="97">
        <v>993.48524059917031</v>
      </c>
      <c r="K13" s="98">
        <v>993.48524059917031</v>
      </c>
      <c r="L13" s="97">
        <v>991.01276738910087</v>
      </c>
      <c r="M13" s="98">
        <v>991.01276738910087</v>
      </c>
      <c r="N13" s="97">
        <v>988.09459809452267</v>
      </c>
      <c r="O13" s="98">
        <v>988.09459809452267</v>
      </c>
      <c r="P13" s="97">
        <v>984.64681290343356</v>
      </c>
      <c r="Q13" s="98">
        <v>984.64681290343356</v>
      </c>
      <c r="R13" s="97">
        <v>980.55333537341835</v>
      </c>
      <c r="S13" s="98">
        <v>980.55333537341835</v>
      </c>
      <c r="T13" s="97">
        <v>975.64662097108123</v>
      </c>
      <c r="U13" s="98">
        <v>975.64662097108123</v>
      </c>
      <c r="V13" s="97">
        <v>969.67171346945395</v>
      </c>
      <c r="W13" s="98">
        <v>969.67171346945395</v>
      </c>
      <c r="X13" s="97">
        <v>962.21975293534763</v>
      </c>
      <c r="Y13" s="98">
        <v>962.21975293534763</v>
      </c>
      <c r="Z13" s="97">
        <v>952.60928631878198</v>
      </c>
      <c r="AA13" s="98">
        <v>952.60928631878198</v>
      </c>
      <c r="AB13" s="97">
        <v>939.71051402540093</v>
      </c>
      <c r="AC13" s="98">
        <v>939.71051402540093</v>
      </c>
      <c r="AD13" s="97">
        <v>921.77067304485308</v>
      </c>
      <c r="AE13" s="98">
        <v>921.77067304485308</v>
      </c>
      <c r="AF13" s="97">
        <v>896.15796089837136</v>
      </c>
      <c r="AG13" s="98">
        <v>896.15796089837136</v>
      </c>
      <c r="AH13" s="97">
        <v>858.39632185203004</v>
      </c>
      <c r="AI13" s="98">
        <v>858.39632185203004</v>
      </c>
      <c r="AJ13" s="97">
        <v>799.4693344583585</v>
      </c>
      <c r="AK13" s="98">
        <v>799.4693344583585</v>
      </c>
      <c r="AL13" s="97">
        <v>697.99134863324718</v>
      </c>
      <c r="AM13" s="98">
        <v>697.99134863324718</v>
      </c>
      <c r="AN13" s="97"/>
      <c r="AO13" s="98"/>
      <c r="AP13" s="97"/>
      <c r="AQ13" s="98"/>
      <c r="AR13" s="97"/>
      <c r="AS13" s="98"/>
      <c r="AT13" s="97"/>
      <c r="AU13" s="98"/>
      <c r="AV13" s="97"/>
      <c r="AW13" s="98"/>
    </row>
    <row r="14" spans="1:49" x14ac:dyDescent="0.2">
      <c r="A14" t="s">
        <v>36</v>
      </c>
      <c r="B14" s="41">
        <v>1457.0034251455234</v>
      </c>
      <c r="C14" s="42">
        <v>1457.0034251455236</v>
      </c>
      <c r="D14" s="41">
        <v>1455.2502254475432</v>
      </c>
      <c r="E14" s="42">
        <v>1455.2502254475435</v>
      </c>
      <c r="F14" s="41">
        <v>1453.1171879280676</v>
      </c>
      <c r="G14" s="42">
        <v>1453.1171879280678</v>
      </c>
      <c r="H14" s="41">
        <v>1450.5568588099354</v>
      </c>
      <c r="I14" s="42">
        <v>1450.5568588099356</v>
      </c>
      <c r="J14" s="41">
        <v>1447.5113983845154</v>
      </c>
      <c r="K14" s="42">
        <v>1447.5113983845156</v>
      </c>
      <c r="L14" s="41">
        <v>1443.9089964488637</v>
      </c>
      <c r="M14" s="42">
        <v>1443.9089964488639</v>
      </c>
      <c r="N14" s="41">
        <v>1439.6572137915089</v>
      </c>
      <c r="O14" s="42">
        <v>1439.6572137915091</v>
      </c>
      <c r="P14" s="41">
        <v>1434.6337789589259</v>
      </c>
      <c r="Q14" s="42">
        <v>1434.6337789589261</v>
      </c>
      <c r="R14" s="41">
        <v>1428.6695681769374</v>
      </c>
      <c r="S14" s="42">
        <v>1428.6695681769377</v>
      </c>
      <c r="T14" s="41">
        <v>1421.5204684865214</v>
      </c>
      <c r="U14" s="42">
        <v>1421.5204684865216</v>
      </c>
      <c r="V14" s="41">
        <v>1412.8150077917228</v>
      </c>
      <c r="W14" s="42">
        <v>1412.815007791723</v>
      </c>
      <c r="X14" s="41">
        <v>1401.9574757694807</v>
      </c>
      <c r="Y14" s="42">
        <v>1401.9574757694809</v>
      </c>
      <c r="Z14" s="41">
        <v>1387.9549929918978</v>
      </c>
      <c r="AA14" s="42">
        <v>1387.9549929918981</v>
      </c>
      <c r="AB14" s="41">
        <v>1369.1614375802694</v>
      </c>
      <c r="AC14" s="42">
        <v>1369.1614375802696</v>
      </c>
      <c r="AD14" s="41">
        <v>1343.0230278250451</v>
      </c>
      <c r="AE14" s="42">
        <v>1343.0230278250453</v>
      </c>
      <c r="AF14" s="41">
        <v>1305.7052185003549</v>
      </c>
      <c r="AG14" s="42">
        <v>1305.7052185003552</v>
      </c>
      <c r="AH14" s="41">
        <v>1250.6863810707268</v>
      </c>
      <c r="AI14" s="42">
        <v>1250.6863810707268</v>
      </c>
      <c r="AJ14" s="41">
        <v>1164.8295586046402</v>
      </c>
      <c r="AK14" s="42">
        <v>1164.8295586046404</v>
      </c>
      <c r="AL14" s="41">
        <v>1016.9757856805842</v>
      </c>
      <c r="AM14" s="42">
        <v>1016.9757856805844</v>
      </c>
      <c r="AN14" s="41"/>
      <c r="AO14" s="42"/>
      <c r="AP14" s="41"/>
      <c r="AQ14" s="42"/>
      <c r="AR14" s="41"/>
      <c r="AS14" s="42"/>
      <c r="AT14" s="41"/>
      <c r="AU14" s="42"/>
      <c r="AV14" s="41"/>
      <c r="AW14" s="42"/>
    </row>
    <row r="15" spans="1:49" x14ac:dyDescent="0.2">
      <c r="A15" t="s">
        <v>18</v>
      </c>
      <c r="B15" s="154">
        <v>1000</v>
      </c>
      <c r="C15" s="155">
        <v>1000</v>
      </c>
      <c r="D15" s="154">
        <v>991.80295092324991</v>
      </c>
      <c r="E15" s="155">
        <v>991.80295092324991</v>
      </c>
      <c r="F15" s="154">
        <v>983.30723483473776</v>
      </c>
      <c r="G15" s="155">
        <v>983.30723483473776</v>
      </c>
      <c r="H15" s="154">
        <v>974.48842635542337</v>
      </c>
      <c r="I15" s="155">
        <v>974.48842635542337</v>
      </c>
      <c r="J15" s="154">
        <v>965.32205326703991</v>
      </c>
      <c r="K15" s="155">
        <v>965.32205326703991</v>
      </c>
      <c r="L15" s="154">
        <v>955.78373502854083</v>
      </c>
      <c r="M15" s="155">
        <v>955.78373502854083</v>
      </c>
      <c r="N15" s="154">
        <v>945.84949349842441</v>
      </c>
      <c r="O15" s="155">
        <v>945.84949349842441</v>
      </c>
      <c r="P15" s="154">
        <v>935.49522661490914</v>
      </c>
      <c r="Q15" s="155">
        <v>935.49522661490914</v>
      </c>
      <c r="R15" s="154">
        <v>924.69555967322356</v>
      </c>
      <c r="S15" s="155">
        <v>924.69555967322356</v>
      </c>
      <c r="T15" s="154">
        <v>913.42009172496705</v>
      </c>
      <c r="U15" s="155">
        <v>913.42009172496705</v>
      </c>
      <c r="V15" s="154">
        <v>901.62296455606338</v>
      </c>
      <c r="W15" s="155">
        <v>901.62296455606338</v>
      </c>
      <c r="X15" s="154">
        <v>889.21133546332612</v>
      </c>
      <c r="Y15" s="155">
        <v>889.21133546332612</v>
      </c>
      <c r="Z15" s="154">
        <v>875.94815816385494</v>
      </c>
      <c r="AA15" s="155">
        <v>875.94815816385494</v>
      </c>
      <c r="AB15" s="154">
        <v>861.18141960825324</v>
      </c>
      <c r="AC15" s="155">
        <v>861.18141960825324</v>
      </c>
      <c r="AD15" s="154">
        <v>843.33060296473434</v>
      </c>
      <c r="AE15" s="155">
        <v>843.33060296473434</v>
      </c>
      <c r="AF15" s="154">
        <v>819.45077915900276</v>
      </c>
      <c r="AG15" s="155">
        <v>819.45077915900276</v>
      </c>
      <c r="AH15" s="154">
        <v>784.83495665036662</v>
      </c>
      <c r="AI15" s="155">
        <v>784.83495665036662</v>
      </c>
      <c r="AJ15" s="154">
        <v>730.94857594710766</v>
      </c>
      <c r="AK15" s="155">
        <v>730.94857594710766</v>
      </c>
      <c r="AL15" s="154">
        <v>638.16763386642049</v>
      </c>
      <c r="AM15" s="155">
        <v>638.16763386642049</v>
      </c>
      <c r="AN15" s="154"/>
      <c r="AO15" s="155"/>
      <c r="AP15" s="154"/>
      <c r="AQ15" s="155"/>
      <c r="AR15" s="154"/>
      <c r="AS15" s="155"/>
      <c r="AT15" s="154"/>
      <c r="AU15" s="155"/>
      <c r="AV15" s="154"/>
      <c r="AW15" s="155"/>
    </row>
    <row r="16" spans="1:49" s="29" customFormat="1" x14ac:dyDescent="0.2">
      <c r="A16" t="s">
        <v>61</v>
      </c>
      <c r="B16" s="41">
        <v>1000</v>
      </c>
      <c r="C16" s="42">
        <v>1000</v>
      </c>
      <c r="D16" s="41">
        <v>995.52989098930539</v>
      </c>
      <c r="E16" s="42">
        <v>993.79839903608013</v>
      </c>
      <c r="F16" s="41">
        <v>990.77761213967267</v>
      </c>
      <c r="G16" s="42">
        <v>987.30743171434142</v>
      </c>
      <c r="H16" s="41">
        <v>985.71428646891354</v>
      </c>
      <c r="I16" s="42">
        <v>980.50030137111048</v>
      </c>
      <c r="J16" s="41">
        <v>980.30723590813466</v>
      </c>
      <c r="K16" s="42">
        <v>973.34815188172354</v>
      </c>
      <c r="L16" s="41">
        <v>974.51876155009313</v>
      </c>
      <c r="M16" s="42">
        <v>965.81947567098075</v>
      </c>
      <c r="N16" s="41">
        <v>968.30389013996546</v>
      </c>
      <c r="O16" s="42">
        <v>957.87904698627653</v>
      </c>
      <c r="P16" s="41">
        <v>961.60682527249958</v>
      </c>
      <c r="Q16" s="42">
        <v>949.48576964512256</v>
      </c>
      <c r="R16" s="41">
        <v>954.35428066951056</v>
      </c>
      <c r="S16" s="42">
        <v>940.58856216610707</v>
      </c>
      <c r="T16" s="41">
        <v>946.44358662548314</v>
      </c>
      <c r="U16" s="42">
        <v>931.1182279063928</v>
      </c>
      <c r="V16" s="41">
        <v>937.71889729492943</v>
      </c>
      <c r="W16" s="42">
        <v>920.96984150758294</v>
      </c>
      <c r="X16" s="41">
        <v>927.9213502287389</v>
      </c>
      <c r="Y16" s="42">
        <v>909.96137783769836</v>
      </c>
      <c r="Z16" s="41">
        <v>916.58062346265615</v>
      </c>
      <c r="AA16" s="42">
        <v>897.73045753497945</v>
      </c>
      <c r="AB16" s="41">
        <v>902.79409385236909</v>
      </c>
      <c r="AC16" s="42">
        <v>883.4903995907456</v>
      </c>
      <c r="AD16" s="41">
        <v>884.89121707112349</v>
      </c>
      <c r="AE16" s="42">
        <v>865.6122712591241</v>
      </c>
      <c r="AF16" s="41">
        <v>860.0916828695814</v>
      </c>
      <c r="AG16" s="42">
        <v>841.23955889522938</v>
      </c>
      <c r="AH16" s="41">
        <v>823.80884580858844</v>
      </c>
      <c r="AI16" s="42">
        <v>805.7300379901036</v>
      </c>
      <c r="AJ16" s="41">
        <v>767.25184561200194</v>
      </c>
      <c r="AK16" s="42">
        <v>750.41186130663266</v>
      </c>
      <c r="AL16" s="41">
        <v>669.86308497113441</v>
      </c>
      <c r="AM16" s="42">
        <v>655.16052793712413</v>
      </c>
      <c r="AN16" s="41"/>
      <c r="AO16" s="42"/>
      <c r="AP16" s="41"/>
      <c r="AQ16" s="42"/>
      <c r="AR16" s="41"/>
      <c r="AS16" s="42"/>
      <c r="AT16" s="41"/>
      <c r="AU16" s="42"/>
      <c r="AV16" s="41"/>
      <c r="AW16" s="42"/>
    </row>
    <row r="17" spans="1:49" x14ac:dyDescent="0.2">
      <c r="A17" t="s">
        <v>62</v>
      </c>
      <c r="B17" s="35">
        <v>1000.0000000000002</v>
      </c>
      <c r="C17" s="36">
        <v>999.99999999999977</v>
      </c>
      <c r="D17" s="35">
        <v>998.16978401402923</v>
      </c>
      <c r="E17" s="36">
        <v>1028.7456494303119</v>
      </c>
      <c r="F17" s="35">
        <v>996.23440000968753</v>
      </c>
      <c r="G17" s="36">
        <v>1060.3309288224464</v>
      </c>
      <c r="H17" s="35">
        <v>994.18805350399293</v>
      </c>
      <c r="I17" s="36">
        <v>1095.2195235200566</v>
      </c>
      <c r="J17" s="35">
        <v>992.02812080176125</v>
      </c>
      <c r="K17" s="36">
        <v>1134.0182694861753</v>
      </c>
      <c r="L17" s="35">
        <v>989.75725775946194</v>
      </c>
      <c r="M17" s="36">
        <v>1177.5455711716679</v>
      </c>
      <c r="N17" s="35">
        <v>987.38669302505809</v>
      </c>
      <c r="O17" s="36">
        <v>1226.9459209881386</v>
      </c>
      <c r="P17" s="35">
        <v>984.94151495903111</v>
      </c>
      <c r="Q17" s="36">
        <v>1283.8790050245382</v>
      </c>
      <c r="R17" s="35">
        <v>982.46946369459204</v>
      </c>
      <c r="S17" s="36">
        <v>1350.858013208448</v>
      </c>
      <c r="T17" s="35">
        <v>980.05635433323516</v>
      </c>
      <c r="U17" s="36">
        <v>1431.8729659876078</v>
      </c>
      <c r="V17" s="35">
        <v>977.85272594711023</v>
      </c>
      <c r="W17" s="36">
        <v>1533.6026806207703</v>
      </c>
      <c r="X17" s="35">
        <v>976.11670663529924</v>
      </c>
      <c r="Y17" s="36">
        <v>1667.8343786189046</v>
      </c>
      <c r="Z17" s="35">
        <v>975.25933027083363</v>
      </c>
      <c r="AA17" s="36">
        <v>1856.1523535447766</v>
      </c>
      <c r="AB17" s="35">
        <v>975.78777387127457</v>
      </c>
      <c r="AC17" s="36">
        <v>2137.5648400944569</v>
      </c>
      <c r="AD17" s="35">
        <v>977.93544643649204</v>
      </c>
      <c r="AE17" s="36">
        <v>2577.4200958119386</v>
      </c>
      <c r="AF17" s="35">
        <v>981.26376266258558</v>
      </c>
      <c r="AG17" s="36">
        <v>3284.61862173605</v>
      </c>
      <c r="AH17" s="35">
        <v>985.03542697523744</v>
      </c>
      <c r="AI17" s="36">
        <v>4481.8272903176276</v>
      </c>
      <c r="AJ17" s="35">
        <v>988.74958781025441</v>
      </c>
      <c r="AK17" s="36">
        <v>6741.2214725730419</v>
      </c>
      <c r="AL17" s="35">
        <v>992.06892565008172</v>
      </c>
      <c r="AM17" s="36">
        <v>11928.0250015606</v>
      </c>
      <c r="AN17" s="35"/>
      <c r="AO17" s="36"/>
      <c r="AP17" s="35"/>
      <c r="AQ17" s="36"/>
      <c r="AR17" s="35"/>
      <c r="AS17" s="36"/>
      <c r="AT17" s="35"/>
      <c r="AU17" s="36"/>
      <c r="AV17" s="35"/>
      <c r="AW17" s="36"/>
    </row>
    <row r="18" spans="1:49" x14ac:dyDescent="0.2">
      <c r="A18" t="s">
        <v>19</v>
      </c>
      <c r="B18" s="33">
        <v>27857.010133999996</v>
      </c>
      <c r="C18" s="34">
        <v>1236.7674480000003</v>
      </c>
      <c r="D18" s="33">
        <v>27881.510024257284</v>
      </c>
      <c r="E18" s="34">
        <v>1135.3858633676145</v>
      </c>
      <c r="F18" s="33">
        <v>27904.304402285365</v>
      </c>
      <c r="G18" s="34">
        <v>1032.9032231623439</v>
      </c>
      <c r="H18" s="33">
        <v>27925.024966496825</v>
      </c>
      <c r="I18" s="34">
        <v>929.39335654529282</v>
      </c>
      <c r="J18" s="33">
        <v>27943.138567000799</v>
      </c>
      <c r="K18" s="34">
        <v>825.02200916518575</v>
      </c>
      <c r="L18" s="33">
        <v>27957.870081542165</v>
      </c>
      <c r="M18" s="34">
        <v>720.08433108594579</v>
      </c>
      <c r="N18" s="33">
        <v>27968.072758881663</v>
      </c>
      <c r="O18" s="34">
        <v>615.07132629996113</v>
      </c>
      <c r="P18" s="33">
        <v>27972.033226717129</v>
      </c>
      <c r="Q18" s="34">
        <v>510.75341450448263</v>
      </c>
      <c r="R18" s="33">
        <v>27967.132618868458</v>
      </c>
      <c r="S18" s="34">
        <v>408.3254648691036</v>
      </c>
      <c r="T18" s="33">
        <v>27949.272888076393</v>
      </c>
      <c r="U18" s="34">
        <v>309.62209585329731</v>
      </c>
      <c r="V18" s="33">
        <v>27911.855728551716</v>
      </c>
      <c r="W18" s="34">
        <v>217.45641771286313</v>
      </c>
      <c r="X18" s="33">
        <v>27844.03377253373</v>
      </c>
      <c r="Y18" s="34">
        <v>136.05109764830547</v>
      </c>
      <c r="Z18" s="33">
        <v>27728.204960670919</v>
      </c>
      <c r="AA18" s="34">
        <v>71.168584659666493</v>
      </c>
      <c r="AB18" s="33">
        <v>27538.584396607643</v>
      </c>
      <c r="AC18" s="34">
        <v>28.384363922991636</v>
      </c>
      <c r="AD18" s="33">
        <v>27245.134654003865</v>
      </c>
      <c r="AE18" s="34">
        <v>7.8105404793958417</v>
      </c>
      <c r="AF18" s="33">
        <v>26815.406758629415</v>
      </c>
      <c r="AG18" s="34">
        <v>1.3693757502292088</v>
      </c>
      <c r="AH18" s="33">
        <v>26190.034535327584</v>
      </c>
      <c r="AI18" s="34">
        <v>0.13719586800771283</v>
      </c>
      <c r="AJ18" s="33">
        <v>25223.78981487187</v>
      </c>
      <c r="AK18" s="34">
        <v>6.109864477413021E-3</v>
      </c>
      <c r="AL18" s="33">
        <v>23526.141467798123</v>
      </c>
      <c r="AM18" s="34">
        <v>6.8027131940434494E-5</v>
      </c>
      <c r="AN18" s="33"/>
      <c r="AO18" s="34"/>
      <c r="AP18" s="33"/>
      <c r="AQ18" s="34"/>
      <c r="AR18" s="33"/>
      <c r="AS18" s="34"/>
      <c r="AT18" s="33"/>
      <c r="AU18" s="34"/>
      <c r="AV18" s="33"/>
      <c r="AW18" s="34"/>
    </row>
    <row r="19" spans="1:49" x14ac:dyDescent="0.2">
      <c r="A19" t="s">
        <v>3</v>
      </c>
      <c r="B19" s="41">
        <v>1886.3937399999966</v>
      </c>
      <c r="C19" s="42">
        <v>262.78711299999406</v>
      </c>
      <c r="D19" s="41">
        <v>1870.7950651958733</v>
      </c>
      <c r="E19" s="42">
        <v>283.62458514158089</v>
      </c>
      <c r="F19" s="41">
        <v>1854.155020153843</v>
      </c>
      <c r="G19" s="42">
        <v>306.77723713448592</v>
      </c>
      <c r="H19" s="41">
        <v>1836.4122110540993</v>
      </c>
      <c r="I19" s="42">
        <v>332.38303251208038</v>
      </c>
      <c r="J19" s="41">
        <v>1817.5272307229213</v>
      </c>
      <c r="K19" s="42">
        <v>360.52229798967892</v>
      </c>
      <c r="L19" s="41">
        <v>1797.4974065491699</v>
      </c>
      <c r="M19" s="42">
        <v>391.17620159628666</v>
      </c>
      <c r="N19" s="41">
        <v>1776.3780098310622</v>
      </c>
      <c r="O19" s="42">
        <v>424.16410243457432</v>
      </c>
      <c r="P19" s="41">
        <v>1754.3174042963833</v>
      </c>
      <c r="Q19" s="42">
        <v>459.03868857777826</v>
      </c>
      <c r="R19" s="41">
        <v>1731.6128945142141</v>
      </c>
      <c r="S19" s="42">
        <v>494.91233585546291</v>
      </c>
      <c r="T19" s="41">
        <v>1708.8089070403985</v>
      </c>
      <c r="U19" s="42">
        <v>530.15317013208471</v>
      </c>
      <c r="V19" s="41">
        <v>1686.8629566487721</v>
      </c>
      <c r="W19" s="42">
        <v>561.85594588815673</v>
      </c>
      <c r="X19" s="41">
        <v>1667.4018271097491</v>
      </c>
      <c r="Y19" s="42">
        <v>584.98816099867315</v>
      </c>
      <c r="Z19" s="41">
        <v>1652.9381386265275</v>
      </c>
      <c r="AA19" s="42">
        <v>591.47714891974408</v>
      </c>
      <c r="AB19" s="41">
        <v>1646.2400777221358</v>
      </c>
      <c r="AC19" s="42">
        <v>571.26481773271053</v>
      </c>
      <c r="AD19" s="41">
        <v>1647.2875973777598</v>
      </c>
      <c r="AE19" s="42">
        <v>519.42899550525226</v>
      </c>
      <c r="AF19" s="41">
        <v>1649.8831981358599</v>
      </c>
      <c r="AG19" s="42">
        <v>443.80551129491846</v>
      </c>
      <c r="AH19" s="41">
        <v>1643.3558035471738</v>
      </c>
      <c r="AI19" s="42">
        <v>357.57656788435082</v>
      </c>
      <c r="AJ19" s="41">
        <v>1613.3510574523975</v>
      </c>
      <c r="AK19" s="42">
        <v>268.52025869914621</v>
      </c>
      <c r="AL19" s="41">
        <v>1530.547470621163</v>
      </c>
      <c r="AM19" s="42">
        <v>179.03373949982026</v>
      </c>
      <c r="AN19" s="41"/>
      <c r="AO19" s="42"/>
      <c r="AP19" s="41"/>
      <c r="AQ19" s="42"/>
      <c r="AR19" s="41"/>
      <c r="AS19" s="42"/>
      <c r="AT19" s="41"/>
      <c r="AU19" s="42"/>
      <c r="AV19" s="41"/>
      <c r="AW19" s="42"/>
    </row>
    <row r="20" spans="1:49" x14ac:dyDescent="0.2">
      <c r="A20" t="s">
        <v>127</v>
      </c>
      <c r="B20" s="82">
        <v>26548.356269999993</v>
      </c>
      <c r="C20" s="83">
        <v>1408.5418709999938</v>
      </c>
      <c r="D20" s="82">
        <v>26542.107303699413</v>
      </c>
      <c r="E20" s="83">
        <v>1338.1147774499941</v>
      </c>
      <c r="F20" s="82">
        <v>26532.418887933181</v>
      </c>
      <c r="G20" s="83">
        <v>1267.6876838999945</v>
      </c>
      <c r="H20" s="82">
        <v>26518.835825412298</v>
      </c>
      <c r="I20" s="83">
        <v>1197.2605903499946</v>
      </c>
      <c r="J20" s="82">
        <v>26500.798342737267</v>
      </c>
      <c r="K20" s="83">
        <v>1126.8334967999949</v>
      </c>
      <c r="L20" s="82">
        <v>26477.605958753</v>
      </c>
      <c r="M20" s="83">
        <v>1056.4064032499953</v>
      </c>
      <c r="N20" s="82">
        <v>26448.351610118047</v>
      </c>
      <c r="O20" s="83">
        <v>985.97930969999561</v>
      </c>
      <c r="P20" s="82">
        <v>26411.830851002691</v>
      </c>
      <c r="Q20" s="83">
        <v>915.55221614999596</v>
      </c>
      <c r="R20" s="82">
        <v>26366.375923297826</v>
      </c>
      <c r="S20" s="83">
        <v>845.12512259999642</v>
      </c>
      <c r="T20" s="82">
        <v>26309.583397088692</v>
      </c>
      <c r="U20" s="83">
        <v>774.69802904999653</v>
      </c>
      <c r="V20" s="82">
        <v>26237.811483096615</v>
      </c>
      <c r="W20" s="83">
        <v>704.27093549999688</v>
      </c>
      <c r="X20" s="82">
        <v>26145.256022129197</v>
      </c>
      <c r="Y20" s="83">
        <v>633.84384194999734</v>
      </c>
      <c r="Z20" s="82">
        <v>26022.30342159445</v>
      </c>
      <c r="AA20" s="83">
        <v>563.41674839999757</v>
      </c>
      <c r="AB20" s="82">
        <v>25853.037274264901</v>
      </c>
      <c r="AC20" s="83">
        <v>492.98965484999775</v>
      </c>
      <c r="AD20" s="82">
        <v>25612.418978407728</v>
      </c>
      <c r="AE20" s="83">
        <v>422.56256129999798</v>
      </c>
      <c r="AF20" s="82">
        <v>25261.433209764466</v>
      </c>
      <c r="AG20" s="83">
        <v>352.13546774999827</v>
      </c>
      <c r="AH20" s="82">
        <v>24730.677248826349</v>
      </c>
      <c r="AI20" s="83">
        <v>281.70837419999856</v>
      </c>
      <c r="AJ20" s="82">
        <v>23873.377828316006</v>
      </c>
      <c r="AK20" s="83">
        <v>211.28128064999879</v>
      </c>
      <c r="AL20" s="82">
        <v>22312.354493516093</v>
      </c>
      <c r="AM20" s="83">
        <v>140.85418709999902</v>
      </c>
      <c r="AN20" s="82"/>
      <c r="AO20" s="83"/>
      <c r="AP20" s="82"/>
      <c r="AQ20" s="83"/>
      <c r="AR20" s="82"/>
      <c r="AS20" s="83"/>
      <c r="AT20" s="82"/>
      <c r="AU20" s="83"/>
      <c r="AV20" s="82"/>
      <c r="AW20" s="83"/>
    </row>
    <row r="21" spans="1:49" x14ac:dyDescent="0.2">
      <c r="A21" t="s">
        <v>76</v>
      </c>
      <c r="B21" s="82">
        <v>24661.962530000055</v>
      </c>
      <c r="C21" s="83">
        <v>1145.7547579999855</v>
      </c>
      <c r="D21" s="82">
        <v>24671.328678269751</v>
      </c>
      <c r="E21" s="83">
        <v>1054.8311677507463</v>
      </c>
      <c r="F21" s="82">
        <v>24678.333395254358</v>
      </c>
      <c r="G21" s="83">
        <v>962.3836138318768</v>
      </c>
      <c r="H21" s="82">
        <v>24682.589057844398</v>
      </c>
      <c r="I21" s="83">
        <v>868.45992029100842</v>
      </c>
      <c r="J21" s="82">
        <v>24683.581967287759</v>
      </c>
      <c r="K21" s="83">
        <v>773.19570452985135</v>
      </c>
      <c r="L21" s="82">
        <v>24680.62094015181</v>
      </c>
      <c r="M21" s="83">
        <v>676.85477840594899</v>
      </c>
      <c r="N21" s="82">
        <v>24672.749205374286</v>
      </c>
      <c r="O21" s="83">
        <v>579.8857057362643</v>
      </c>
      <c r="P21" s="82">
        <v>24658.616587418317</v>
      </c>
      <c r="Q21" s="83">
        <v>483.00967120473541</v>
      </c>
      <c r="R21" s="82">
        <v>24636.254420022786</v>
      </c>
      <c r="S21" s="83">
        <v>387.35446598104795</v>
      </c>
      <c r="T21" s="82">
        <v>24602.699182198827</v>
      </c>
      <c r="U21" s="83">
        <v>294.66845091815702</v>
      </c>
      <c r="V21" s="82">
        <v>24553.314011210525</v>
      </c>
      <c r="W21" s="83">
        <v>207.64972752569534</v>
      </c>
      <c r="X21" s="82">
        <v>24480.593920346564</v>
      </c>
      <c r="Y21" s="83">
        <v>130.37439370186797</v>
      </c>
      <c r="Z21" s="82">
        <v>24372.290664117714</v>
      </c>
      <c r="AA21" s="83">
        <v>68.451706017214093</v>
      </c>
      <c r="AB21" s="82">
        <v>24209.58116174411</v>
      </c>
      <c r="AC21" s="83">
        <v>27.403474528070625</v>
      </c>
      <c r="AD21" s="82">
        <v>23967.423322233026</v>
      </c>
      <c r="AE21" s="83">
        <v>7.5668813929999672</v>
      </c>
      <c r="AF21" s="82">
        <v>23613.181625406432</v>
      </c>
      <c r="AG21" s="83">
        <v>1.3303399541851719</v>
      </c>
      <c r="AH21" s="82">
        <v>23088.341553894963</v>
      </c>
      <c r="AI21" s="83">
        <v>0.1335335080891582</v>
      </c>
      <c r="AJ21" s="82">
        <v>22260.583968780436</v>
      </c>
      <c r="AK21" s="83">
        <v>5.9528918514706892E-3</v>
      </c>
      <c r="AL21" s="82">
        <v>20782.066077964071</v>
      </c>
      <c r="AM21" s="83">
        <v>6.6307890895109448E-5</v>
      </c>
      <c r="AN21" s="82"/>
      <c r="AO21" s="83"/>
      <c r="AP21" s="82"/>
      <c r="AQ21" s="83"/>
      <c r="AR21" s="82"/>
      <c r="AS21" s="83"/>
      <c r="AT21" s="82"/>
      <c r="AU21" s="83"/>
      <c r="AV21" s="82"/>
      <c r="AW21" s="83"/>
    </row>
    <row r="22" spans="1:49" x14ac:dyDescent="0.2">
      <c r="A22" t="s">
        <v>28</v>
      </c>
      <c r="B22" s="41">
        <v>6533.6044688320662</v>
      </c>
      <c r="C22" s="42">
        <v>379.90788307663394</v>
      </c>
      <c r="D22" s="41">
        <v>6534.8812338284552</v>
      </c>
      <c r="E22" s="42">
        <v>366.32157197939779</v>
      </c>
      <c r="F22" s="41">
        <v>6534.833258974294</v>
      </c>
      <c r="G22" s="42">
        <v>352.62701165547935</v>
      </c>
      <c r="H22" s="41">
        <v>6533.2911442954446</v>
      </c>
      <c r="I22" s="42">
        <v>338.80742716622598</v>
      </c>
      <c r="J22" s="41">
        <v>6530.0503997283604</v>
      </c>
      <c r="K22" s="42">
        <v>324.83469586871502</v>
      </c>
      <c r="L22" s="41">
        <v>6524.8615542128273</v>
      </c>
      <c r="M22" s="42">
        <v>310.66504738796607</v>
      </c>
      <c r="N22" s="41">
        <v>6517.4105453950315</v>
      </c>
      <c r="O22" s="42">
        <v>296.23180819535833</v>
      </c>
      <c r="P22" s="41">
        <v>6507.2954959115441</v>
      </c>
      <c r="Q22" s="42">
        <v>281.43633878424879</v>
      </c>
      <c r="R22" s="41">
        <v>6493.9808055420117</v>
      </c>
      <c r="S22" s="42">
        <v>266.13288385533696</v>
      </c>
      <c r="T22" s="41">
        <v>6476.7299543426961</v>
      </c>
      <c r="U22" s="42">
        <v>250.10693647136623</v>
      </c>
      <c r="V22" s="41">
        <v>6454.4786915552813</v>
      </c>
      <c r="W22" s="42">
        <v>233.0435659431767</v>
      </c>
      <c r="X22" s="41">
        <v>6425.6020337935533</v>
      </c>
      <c r="Y22" s="42">
        <v>214.4937595495384</v>
      </c>
      <c r="Z22" s="41">
        <v>6387.4746318107145</v>
      </c>
      <c r="AA22" s="42">
        <v>193.89079096673328</v>
      </c>
      <c r="AB22" s="41">
        <v>6335.6598653173305</v>
      </c>
      <c r="AC22" s="42">
        <v>170.78780192098222</v>
      </c>
      <c r="AD22" s="41">
        <v>6262.5884038677605</v>
      </c>
      <c r="AE22" s="42">
        <v>145.43998783008652</v>
      </c>
      <c r="AF22" s="41">
        <v>6155.5613423447585</v>
      </c>
      <c r="AG22" s="42">
        <v>118.98061010989208</v>
      </c>
      <c r="AH22" s="41">
        <v>5992.5425807469755</v>
      </c>
      <c r="AI22" s="42">
        <v>92.540912109721489</v>
      </c>
      <c r="AJ22" s="41">
        <v>5730.0206263638556</v>
      </c>
      <c r="AK22" s="42">
        <v>66.738166265832461</v>
      </c>
      <c r="AL22" s="41">
        <v>5263.0021237552246</v>
      </c>
      <c r="AM22" s="42">
        <v>41.990752193367939</v>
      </c>
      <c r="AN22" s="41"/>
      <c r="AO22" s="42"/>
      <c r="AP22" s="41"/>
      <c r="AQ22" s="42"/>
      <c r="AR22" s="41"/>
      <c r="AS22" s="42"/>
      <c r="AT22" s="41"/>
      <c r="AU22" s="42"/>
      <c r="AV22" s="41"/>
      <c r="AW22" s="42"/>
    </row>
    <row r="23" spans="1:49" x14ac:dyDescent="0.2">
      <c r="A23" t="s">
        <v>7</v>
      </c>
      <c r="B23" s="116">
        <v>3278.5018080150408</v>
      </c>
      <c r="C23" s="8">
        <v>0</v>
      </c>
      <c r="D23" s="116">
        <v>3283.3699473778797</v>
      </c>
      <c r="E23" s="8">
        <v>0</v>
      </c>
      <c r="F23" s="116">
        <v>3287.8505613497869</v>
      </c>
      <c r="G23" s="8">
        <v>0</v>
      </c>
      <c r="H23" s="116">
        <v>3291.8917588187123</v>
      </c>
      <c r="I23" s="8">
        <v>0</v>
      </c>
      <c r="J23" s="116">
        <v>3295.4337181516362</v>
      </c>
      <c r="K23" s="8">
        <v>0</v>
      </c>
      <c r="L23" s="116">
        <v>3298.4082806502929</v>
      </c>
      <c r="M23" s="8">
        <v>0</v>
      </c>
      <c r="N23" s="116">
        <v>3300.7364508932997</v>
      </c>
      <c r="O23" s="8">
        <v>0</v>
      </c>
      <c r="P23" s="116">
        <v>3302.3283563845853</v>
      </c>
      <c r="Q23" s="8">
        <v>0</v>
      </c>
      <c r="R23" s="116">
        <v>3303.0807118088323</v>
      </c>
      <c r="S23" s="8">
        <v>0</v>
      </c>
      <c r="T23" s="116">
        <v>3302.8772593727849</v>
      </c>
      <c r="U23" s="8">
        <v>0</v>
      </c>
      <c r="V23" s="116">
        <v>3301.5877715819597</v>
      </c>
      <c r="W23" s="8">
        <v>0</v>
      </c>
      <c r="X23" s="116">
        <v>3299.0611664740386</v>
      </c>
      <c r="Y23" s="8">
        <v>0</v>
      </c>
      <c r="Z23" s="116">
        <v>3295.0698841976159</v>
      </c>
      <c r="AA23" s="8">
        <v>0</v>
      </c>
      <c r="AB23" s="116">
        <v>3289.0198536882613</v>
      </c>
      <c r="AC23" s="8">
        <v>0</v>
      </c>
      <c r="AD23" s="116">
        <v>3279.0464324481586</v>
      </c>
      <c r="AE23" s="8">
        <v>0</v>
      </c>
      <c r="AF23" s="116">
        <v>3260.6565965870436</v>
      </c>
      <c r="AG23" s="8">
        <v>0</v>
      </c>
      <c r="AH23" s="116">
        <v>3225.3819205680566</v>
      </c>
      <c r="AI23" s="8">
        <v>0</v>
      </c>
      <c r="AJ23" s="116">
        <v>3156.2826232739567</v>
      </c>
      <c r="AK23" s="8">
        <v>0</v>
      </c>
      <c r="AL23" s="116">
        <v>3008.9945177333962</v>
      </c>
      <c r="AM23" s="8">
        <v>0</v>
      </c>
      <c r="AN23" s="116"/>
      <c r="AO23" s="8"/>
      <c r="AP23" s="116"/>
      <c r="AQ23" s="8"/>
      <c r="AR23" s="116"/>
      <c r="AS23" s="8"/>
      <c r="AT23" s="116"/>
      <c r="AU23" s="8"/>
      <c r="AV23" s="116"/>
      <c r="AW23" s="8"/>
    </row>
    <row r="24" spans="1:49" x14ac:dyDescent="0.2">
      <c r="A24" t="s">
        <v>8</v>
      </c>
      <c r="B24" s="97">
        <v>3196.3846373657216</v>
      </c>
      <c r="C24" s="8">
        <v>0</v>
      </c>
      <c r="D24" s="97">
        <v>3201.1308433441786</v>
      </c>
      <c r="E24" s="8">
        <v>0</v>
      </c>
      <c r="F24" s="97">
        <v>3205.4992304438492</v>
      </c>
      <c r="G24" s="8">
        <v>0</v>
      </c>
      <c r="H24" s="97">
        <v>3209.4392069740279</v>
      </c>
      <c r="I24" s="8">
        <v>0</v>
      </c>
      <c r="J24" s="97">
        <v>3212.892453373699</v>
      </c>
      <c r="K24" s="8">
        <v>0</v>
      </c>
      <c r="L24" s="97">
        <v>3215.7925096412514</v>
      </c>
      <c r="M24" s="8">
        <v>0</v>
      </c>
      <c r="N24" s="97">
        <v>3218.0623663239926</v>
      </c>
      <c r="O24" s="8">
        <v>0</v>
      </c>
      <c r="P24" s="97">
        <v>3219.6143976257204</v>
      </c>
      <c r="Q24" s="8">
        <v>0</v>
      </c>
      <c r="R24" s="97">
        <v>3220.3479090215278</v>
      </c>
      <c r="S24" s="8">
        <v>0</v>
      </c>
      <c r="T24" s="97">
        <v>3220.1495531673318</v>
      </c>
      <c r="U24" s="8">
        <v>0</v>
      </c>
      <c r="V24" s="97">
        <v>3218.8923635620836</v>
      </c>
      <c r="W24" s="8">
        <v>0</v>
      </c>
      <c r="X24" s="97">
        <v>3216.4290422571398</v>
      </c>
      <c r="Y24" s="8">
        <v>0</v>
      </c>
      <c r="Z24" s="97">
        <v>3212.5377302414986</v>
      </c>
      <c r="AA24" s="8">
        <v>0</v>
      </c>
      <c r="AB24" s="97">
        <v>3206.6392358386079</v>
      </c>
      <c r="AC24" s="8">
        <v>0</v>
      </c>
      <c r="AD24" s="97">
        <v>3196.9156205007826</v>
      </c>
      <c r="AE24" s="8">
        <v>0</v>
      </c>
      <c r="AF24" s="97">
        <v>3178.9863978655258</v>
      </c>
      <c r="AG24" s="8">
        <v>0</v>
      </c>
      <c r="AH24" s="97">
        <v>3144.595252421977</v>
      </c>
      <c r="AI24" s="8">
        <v>0</v>
      </c>
      <c r="AJ24" s="97">
        <v>3077.226696521308</v>
      </c>
      <c r="AK24" s="8">
        <v>0</v>
      </c>
      <c r="AL24" s="97">
        <v>2933.6277402341407</v>
      </c>
      <c r="AM24" s="8">
        <v>0</v>
      </c>
      <c r="AN24" s="97"/>
      <c r="AO24" s="8"/>
      <c r="AP24" s="97"/>
      <c r="AQ24" s="8"/>
      <c r="AR24" s="97"/>
      <c r="AS24" s="8"/>
      <c r="AT24" s="97"/>
      <c r="AU24" s="8"/>
      <c r="AV24" s="97"/>
      <c r="AW24" s="8"/>
    </row>
    <row r="25" spans="1:49" x14ac:dyDescent="0.2">
      <c r="A25" t="s">
        <v>0</v>
      </c>
      <c r="B25" s="41">
        <v>3195.0476040000012</v>
      </c>
      <c r="C25" s="42">
        <v>91.012690000004397</v>
      </c>
      <c r="D25" s="41">
        <v>3210.1679684995224</v>
      </c>
      <c r="E25" s="42">
        <v>80.52506208219782</v>
      </c>
      <c r="F25" s="41">
        <v>3225.9139315671628</v>
      </c>
      <c r="G25" s="42">
        <v>70.407318870688414</v>
      </c>
      <c r="H25" s="41">
        <v>3242.2988269532698</v>
      </c>
      <c r="I25" s="42">
        <v>60.696795424429375</v>
      </c>
      <c r="J25" s="41">
        <v>3259.2964768954171</v>
      </c>
      <c r="K25" s="42">
        <v>51.436030544683021</v>
      </c>
      <c r="L25" s="41">
        <v>3276.8159039759544</v>
      </c>
      <c r="M25" s="42">
        <v>42.674132945768328</v>
      </c>
      <c r="N25" s="41">
        <v>3294.6605699097613</v>
      </c>
      <c r="O25" s="42">
        <v>34.469349202896503</v>
      </c>
      <c r="P25" s="41">
        <v>3312.4629695955673</v>
      </c>
      <c r="Q25" s="42">
        <v>26.891840059953296</v>
      </c>
      <c r="R25" s="41">
        <v>3329.5739970349691</v>
      </c>
      <c r="S25" s="42">
        <v>20.028193195201542</v>
      </c>
      <c r="T25" s="41">
        <v>3344.8715250980954</v>
      </c>
      <c r="U25" s="42">
        <v>13.986376931121033</v>
      </c>
      <c r="V25" s="41">
        <v>3356.4279780612192</v>
      </c>
      <c r="W25" s="42">
        <v>8.9001371693928419</v>
      </c>
      <c r="X25" s="41">
        <v>3360.9716141856898</v>
      </c>
      <c r="Y25" s="42">
        <v>4.9242726264329137</v>
      </c>
      <c r="Z25" s="41">
        <v>3353.268114043</v>
      </c>
      <c r="AA25" s="42">
        <v>2.1947462825652453</v>
      </c>
      <c r="AB25" s="41">
        <v>3326.4912463111409</v>
      </c>
      <c r="AC25" s="42">
        <v>0.70499478516321201</v>
      </c>
      <c r="AD25" s="41">
        <v>3275.6641056764875</v>
      </c>
      <c r="AE25" s="42">
        <v>0.14451172148443167</v>
      </c>
      <c r="AF25" s="41">
        <v>3200.7902657854297</v>
      </c>
      <c r="AG25" s="42">
        <v>1.7111706000124936E-2</v>
      </c>
      <c r="AH25" s="41">
        <v>3100.8114740298211</v>
      </c>
      <c r="AI25" s="42">
        <v>1.0204314204579395E-3</v>
      </c>
      <c r="AJ25" s="41">
        <v>2962.7325358118424</v>
      </c>
      <c r="AK25" s="42">
        <v>2.2454549358046889E-5</v>
      </c>
      <c r="AL25" s="41">
        <v>2743.8586580454062</v>
      </c>
      <c r="AM25" s="42">
        <v>8.9921049677858095E-8</v>
      </c>
      <c r="AN25" s="41"/>
      <c r="AO25" s="42"/>
      <c r="AP25" s="41"/>
      <c r="AQ25" s="42"/>
      <c r="AR25" s="41"/>
      <c r="AS25" s="42"/>
      <c r="AT25" s="41"/>
      <c r="AU25" s="42"/>
      <c r="AV25" s="41"/>
      <c r="AW25" s="42"/>
    </row>
    <row r="26" spans="1:49" x14ac:dyDescent="0.2">
      <c r="A26" t="s">
        <v>27</v>
      </c>
      <c r="B26" s="33">
        <v>5036.2953101960647</v>
      </c>
      <c r="C26" s="34">
        <v>74.905331803938267</v>
      </c>
      <c r="D26" s="33">
        <v>5042.1304623936167</v>
      </c>
      <c r="E26" s="34">
        <v>69.070179606384812</v>
      </c>
      <c r="F26" s="33">
        <v>5048.0629517322186</v>
      </c>
      <c r="G26" s="34">
        <v>63.137690267785779</v>
      </c>
      <c r="H26" s="33">
        <v>5054.093344975191</v>
      </c>
      <c r="I26" s="34">
        <v>57.107297024817171</v>
      </c>
      <c r="J26" s="33">
        <v>5060.2171913745933</v>
      </c>
      <c r="K26" s="34">
        <v>50.983450625423536</v>
      </c>
      <c r="L26" s="33">
        <v>5066.4226641535797</v>
      </c>
      <c r="M26" s="34">
        <v>44.777977846426616</v>
      </c>
      <c r="N26" s="33">
        <v>5072.6864895984254</v>
      </c>
      <c r="O26" s="34">
        <v>38.514152401580205</v>
      </c>
      <c r="P26" s="33">
        <v>5078.9685493430397</v>
      </c>
      <c r="Q26" s="34">
        <v>32.232092656960845</v>
      </c>
      <c r="R26" s="33">
        <v>5085.2025892645397</v>
      </c>
      <c r="S26" s="34">
        <v>25.998052735468388</v>
      </c>
      <c r="T26" s="33">
        <v>5091.2819230144951</v>
      </c>
      <c r="U26" s="34">
        <v>19.918718985512857</v>
      </c>
      <c r="V26" s="33">
        <v>5097.0363303459008</v>
      </c>
      <c r="W26" s="34">
        <v>14.164311654105495</v>
      </c>
      <c r="X26" s="33">
        <v>5102.2005200517697</v>
      </c>
      <c r="Y26" s="34">
        <v>9.0001219482356802</v>
      </c>
      <c r="Z26" s="33">
        <v>5106.3966701996942</v>
      </c>
      <c r="AA26" s="34">
        <v>4.8039718003090286</v>
      </c>
      <c r="AB26" s="33">
        <v>5109.2314348878945</v>
      </c>
      <c r="AC26" s="34">
        <v>1.9692071121085506</v>
      </c>
      <c r="AD26" s="33">
        <v>5110.6379249820275</v>
      </c>
      <c r="AE26" s="34">
        <v>0.56271701797549545</v>
      </c>
      <c r="AF26" s="33">
        <v>5111.0967680193908</v>
      </c>
      <c r="AG26" s="34">
        <v>0.1038739806166452</v>
      </c>
      <c r="AH26" s="33">
        <v>5111.1894749605563</v>
      </c>
      <c r="AI26" s="34">
        <v>1.1167039450006203E-2</v>
      </c>
      <c r="AJ26" s="33">
        <v>5111.2000922036987</v>
      </c>
      <c r="AK26" s="34">
        <v>5.4979630412115856E-4</v>
      </c>
      <c r="AL26" s="33">
        <v>5111.2006348464174</v>
      </c>
      <c r="AM26" s="34">
        <v>7.1535848771507614E-6</v>
      </c>
      <c r="AN26" s="33"/>
      <c r="AO26" s="34"/>
      <c r="AP26" s="33"/>
      <c r="AQ26" s="34"/>
      <c r="AR26" s="33"/>
      <c r="AS26" s="34"/>
      <c r="AT26" s="33"/>
      <c r="AU26" s="34"/>
      <c r="AV26" s="33"/>
      <c r="AW26" s="34"/>
    </row>
    <row r="27" spans="1:49" x14ac:dyDescent="0.2">
      <c r="A27" t="s">
        <v>2</v>
      </c>
      <c r="B27" s="35">
        <v>6425.1981590000414</v>
      </c>
      <c r="C27" s="36">
        <v>273.22915400000028</v>
      </c>
      <c r="D27" s="35">
        <v>6446.2171179148654</v>
      </c>
      <c r="E27" s="36">
        <v>252.21019437719488</v>
      </c>
      <c r="F27" s="35">
        <v>6467.6327333223308</v>
      </c>
      <c r="G27" s="36">
        <v>230.79457833883433</v>
      </c>
      <c r="H27" s="35">
        <v>6489.4493440277593</v>
      </c>
      <c r="I27" s="36">
        <v>208.97796622497427</v>
      </c>
      <c r="J27" s="35">
        <v>6511.653081776718</v>
      </c>
      <c r="K27" s="36">
        <v>186.774247169235</v>
      </c>
      <c r="L27" s="35">
        <v>6534.2032706416394</v>
      </c>
      <c r="M27" s="36">
        <v>164.22404409887096</v>
      </c>
      <c r="N27" s="35">
        <v>6557.0169739935645</v>
      </c>
      <c r="O27" s="36">
        <v>141.41034422079508</v>
      </c>
      <c r="P27" s="35">
        <v>6579.9490889673725</v>
      </c>
      <c r="Q27" s="36">
        <v>118.47823338672558</v>
      </c>
      <c r="R27" s="35">
        <v>6602.7572827441936</v>
      </c>
      <c r="S27" s="36">
        <v>95.67003619615231</v>
      </c>
      <c r="T27" s="35">
        <v>6625.0487835675713</v>
      </c>
      <c r="U27" s="36">
        <v>73.378536234158418</v>
      </c>
      <c r="V27" s="35">
        <v>6646.1937424686548</v>
      </c>
      <c r="W27" s="36">
        <v>52.233584808051646</v>
      </c>
      <c r="X27" s="35">
        <v>6665.2070454159648</v>
      </c>
      <c r="Y27" s="36">
        <v>33.220269359216758</v>
      </c>
      <c r="Z27" s="35">
        <v>6680.6821406843237</v>
      </c>
      <c r="AA27" s="36">
        <v>17.745173335819985</v>
      </c>
      <c r="AB27" s="35">
        <v>6691.1496734114526</v>
      </c>
      <c r="AC27" s="36">
        <v>7.2776404363296798</v>
      </c>
      <c r="AD27" s="35">
        <v>6696.3471465073035</v>
      </c>
      <c r="AE27" s="36">
        <v>2.0801666565744439</v>
      </c>
      <c r="AF27" s="35">
        <v>6698.0432960538155</v>
      </c>
      <c r="AG27" s="36">
        <v>0.38401684676082759</v>
      </c>
      <c r="AH27" s="35">
        <v>6698.3860283259901</v>
      </c>
      <c r="AI27" s="36">
        <v>4.1284662287238386E-2</v>
      </c>
      <c r="AJ27" s="35">
        <v>6698.4252803960153</v>
      </c>
      <c r="AK27" s="36">
        <v>2.0326070883804211E-3</v>
      </c>
      <c r="AL27" s="35">
        <v>6698.4272865531257</v>
      </c>
      <c r="AM27" s="36">
        <v>2.6446938476991656E-5</v>
      </c>
      <c r="AN27" s="35"/>
      <c r="AO27" s="36"/>
      <c r="AP27" s="35"/>
      <c r="AQ27" s="36"/>
      <c r="AR27" s="35"/>
      <c r="AS27" s="36"/>
      <c r="AT27" s="35"/>
      <c r="AU27" s="36"/>
      <c r="AV27" s="35"/>
      <c r="AW27" s="36"/>
    </row>
    <row r="28" spans="1:49" x14ac:dyDescent="0.2">
      <c r="A28" t="s">
        <v>35</v>
      </c>
      <c r="B28" s="41">
        <v>13763.097676000029</v>
      </c>
      <c r="C28" s="42">
        <v>382.36647899999997</v>
      </c>
      <c r="D28" s="41">
        <v>13792.593047119333</v>
      </c>
      <c r="E28" s="42">
        <v>352.84541595922883</v>
      </c>
      <c r="F28" s="41">
        <v>13822.574241776332</v>
      </c>
      <c r="G28" s="42">
        <v>322.78541753954181</v>
      </c>
      <c r="H28" s="41">
        <v>13853.043660815074</v>
      </c>
      <c r="I28" s="42">
        <v>292.18144089498946</v>
      </c>
      <c r="J28" s="41">
        <v>13883.978291217165</v>
      </c>
      <c r="K28" s="42">
        <v>261.05399713665327</v>
      </c>
      <c r="L28" s="41">
        <v>13915.318007797021</v>
      </c>
      <c r="M28" s="42">
        <v>229.46109587216284</v>
      </c>
      <c r="N28" s="41">
        <v>13946.944774394791</v>
      </c>
      <c r="O28" s="42">
        <v>197.51980209108714</v>
      </c>
      <c r="P28" s="41">
        <v>13978.655781638907</v>
      </c>
      <c r="Q28" s="42">
        <v>165.4338334644471</v>
      </c>
      <c r="R28" s="41">
        <v>14010.116368086768</v>
      </c>
      <c r="S28" s="42">
        <v>133.5422197294597</v>
      </c>
      <c r="T28" s="41">
        <v>14040.788399358766</v>
      </c>
      <c r="U28" s="42">
        <v>102.39333006639089</v>
      </c>
      <c r="V28" s="41">
        <v>14069.813848925458</v>
      </c>
      <c r="W28" s="42">
        <v>72.865091383984918</v>
      </c>
      <c r="X28" s="41">
        <v>14095.856094575587</v>
      </c>
      <c r="Y28" s="42">
        <v>46.329030392082579</v>
      </c>
      <c r="Z28" s="41">
        <v>14117.012338882056</v>
      </c>
      <c r="AA28" s="42">
        <v>24.741890352282834</v>
      </c>
      <c r="AB28" s="41">
        <v>14131.302494951156</v>
      </c>
      <c r="AC28" s="42">
        <v>10.145589775067828</v>
      </c>
      <c r="AD28" s="41">
        <v>14138.391991573324</v>
      </c>
      <c r="AE28" s="42">
        <v>2.89969331233628</v>
      </c>
      <c r="AF28" s="41">
        <v>14140.704720544873</v>
      </c>
      <c r="AG28" s="42">
        <v>0.53529544359227965</v>
      </c>
      <c r="AH28" s="41">
        <v>14141.171990134979</v>
      </c>
      <c r="AI28" s="42">
        <v>5.7547947956857817E-2</v>
      </c>
      <c r="AJ28" s="41">
        <v>14141.225503968319</v>
      </c>
      <c r="AK28" s="42">
        <v>2.8333110823466224E-3</v>
      </c>
      <c r="AL28" s="41">
        <v>14141.228239033509</v>
      </c>
      <c r="AM28" s="42">
        <v>3.686516772889381E-5</v>
      </c>
      <c r="AN28" s="41"/>
      <c r="AO28" s="42"/>
      <c r="AP28" s="41"/>
      <c r="AQ28" s="42"/>
      <c r="AR28" s="41"/>
      <c r="AS28" s="42"/>
      <c r="AT28" s="41"/>
      <c r="AU28" s="42"/>
      <c r="AV28" s="41"/>
      <c r="AW28" s="42"/>
    </row>
    <row r="29" spans="1:49" x14ac:dyDescent="0.2">
      <c r="A29" t="s">
        <v>53</v>
      </c>
      <c r="B29" s="35">
        <v>14362.768558000025</v>
      </c>
      <c r="C29" s="36">
        <v>817.26650999999993</v>
      </c>
      <c r="D29" s="35">
        <v>14374.502917951646</v>
      </c>
      <c r="E29" s="36">
        <v>747.68030484731435</v>
      </c>
      <c r="F29" s="35">
        <v>14385.276929038582</v>
      </c>
      <c r="G29" s="36">
        <v>677.7203732791686</v>
      </c>
      <c r="H29" s="35">
        <v>14394.892590119567</v>
      </c>
      <c r="I29" s="36">
        <v>607.46765128942241</v>
      </c>
      <c r="J29" s="35">
        <v>14403.067922261171</v>
      </c>
      <c r="K29" s="36">
        <v>537.06429108644738</v>
      </c>
      <c r="L29" s="35">
        <v>14409.398785129739</v>
      </c>
      <c r="M29" s="36">
        <v>466.73730375116332</v>
      </c>
      <c r="N29" s="35">
        <v>14413.294312884376</v>
      </c>
      <c r="O29" s="36">
        <v>396.84036982977437</v>
      </c>
      <c r="P29" s="35">
        <v>14413.880857706725</v>
      </c>
      <c r="Q29" s="36">
        <v>327.90596347349128</v>
      </c>
      <c r="R29" s="35">
        <v>14409.834579655764</v>
      </c>
      <c r="S29" s="36">
        <v>260.73538790097922</v>
      </c>
      <c r="T29" s="35">
        <v>14399.098631419572</v>
      </c>
      <c r="U29" s="36">
        <v>196.53080954281702</v>
      </c>
      <c r="V29" s="35">
        <v>14378.37911492479</v>
      </c>
      <c r="W29" s="36">
        <v>137.09971191527885</v>
      </c>
      <c r="X29" s="35">
        <v>14342.278066625746</v>
      </c>
      <c r="Y29" s="36">
        <v>85.104908950878922</v>
      </c>
      <c r="Z29" s="35">
        <v>14282.033374807283</v>
      </c>
      <c r="AA29" s="36">
        <v>44.101143823792349</v>
      </c>
      <c r="AB29" s="35">
        <v>14184.722099215862</v>
      </c>
      <c r="AC29" s="36">
        <v>17.387287021664935</v>
      </c>
      <c r="AD29" s="35">
        <v>14034.981257577643</v>
      </c>
      <c r="AE29" s="36">
        <v>4.7181365549834338</v>
      </c>
      <c r="AF29" s="35">
        <v>13815.688013590217</v>
      </c>
      <c r="AG29" s="36">
        <v>0.81392824866107094</v>
      </c>
      <c r="AH29" s="35">
        <v>13495.676983670539</v>
      </c>
      <c r="AI29" s="36">
        <v>8.0093512950489484E-2</v>
      </c>
      <c r="AJ29" s="35">
        <v>12999.744936420864</v>
      </c>
      <c r="AK29" s="36">
        <v>3.4979888824204987E-3</v>
      </c>
      <c r="AL29" s="35">
        <v>12126.3807809633</v>
      </c>
      <c r="AM29" s="36">
        <v>3.8145639570001602E-5</v>
      </c>
      <c r="AN29" s="35"/>
      <c r="AO29" s="36"/>
      <c r="AP29" s="35"/>
      <c r="AQ29" s="36"/>
      <c r="AR29" s="35"/>
      <c r="AS29" s="36"/>
      <c r="AT29" s="35"/>
      <c r="AU29" s="36"/>
      <c r="AV29" s="35"/>
      <c r="AW29" s="36"/>
    </row>
    <row r="30" spans="1:49" x14ac:dyDescent="0.2">
      <c r="A30" t="s">
        <v>48</v>
      </c>
      <c r="B30" s="119">
        <v>2924829.9599999995</v>
      </c>
      <c r="D30" s="119">
        <v>2978032.6385952071</v>
      </c>
      <c r="F30" s="119">
        <v>3030961.2121937559</v>
      </c>
      <c r="H30" s="119">
        <v>3083609.9846245809</v>
      </c>
      <c r="J30" s="119">
        <v>3136028.5616746405</v>
      </c>
      <c r="L30" s="119">
        <v>3188365.6983246431</v>
      </c>
      <c r="N30" s="119">
        <v>3240940.9372087074</v>
      </c>
      <c r="P30" s="119">
        <v>3294367.4904709002</v>
      </c>
      <c r="R30" s="119">
        <v>3349763.161123686</v>
      </c>
      <c r="T30" s="119">
        <v>3409139.1198198609</v>
      </c>
      <c r="V30" s="119">
        <v>3476104.3430238552</v>
      </c>
      <c r="X30" s="119">
        <v>3557110.7357543018</v>
      </c>
      <c r="Z30" s="119">
        <v>3663213.2464007493</v>
      </c>
      <c r="AB30" s="119">
        <v>3810478.2349322489</v>
      </c>
      <c r="AD30" s="119">
        <v>4013977.1674873605</v>
      </c>
      <c r="AF30" s="119">
        <v>4279270.5728948843</v>
      </c>
      <c r="AH30" s="119">
        <v>4610334.7288266215</v>
      </c>
      <c r="AJ30" s="119">
        <v>5025983.3218669547</v>
      </c>
      <c r="AL30" s="119">
        <v>5562397.5908466429</v>
      </c>
      <c r="AN30" s="119"/>
      <c r="AP30" s="119"/>
      <c r="AR30" s="119"/>
      <c r="AT30" s="119"/>
      <c r="AV30" s="119"/>
    </row>
    <row r="31" spans="1:49" x14ac:dyDescent="0.2">
      <c r="A31" t="s">
        <v>47</v>
      </c>
      <c r="B31" s="80">
        <v>1</v>
      </c>
      <c r="D31" s="80">
        <v>0.99818190938924434</v>
      </c>
      <c r="F31" s="80">
        <v>0.99603632727806435</v>
      </c>
      <c r="H31" s="80">
        <v>0.99352305443789324</v>
      </c>
      <c r="J31" s="80">
        <v>0.99059229827538609</v>
      </c>
      <c r="L31" s="80">
        <v>0.98718119586097552</v>
      </c>
      <c r="N31" s="80">
        <v>0.98320756420999589</v>
      </c>
      <c r="P31" s="80">
        <v>0.97856131442106264</v>
      </c>
      <c r="R31" s="80">
        <v>0.97308878088694251</v>
      </c>
      <c r="T31" s="80">
        <v>0.96656762652960948</v>
      </c>
      <c r="V31" s="80">
        <v>0.95866118460338112</v>
      </c>
      <c r="X31" s="80">
        <v>0.9488378000919192</v>
      </c>
      <c r="Z31" s="80">
        <v>0.93623961571583747</v>
      </c>
      <c r="AB31" s="80">
        <v>0.91952869977698637</v>
      </c>
      <c r="AD31" s="80">
        <v>0.89683039916740503</v>
      </c>
      <c r="AF31" s="80">
        <v>0.86563587664335062</v>
      </c>
      <c r="AH31" s="80">
        <v>0.82193104530012839</v>
      </c>
      <c r="AJ31" s="80">
        <v>0.75798691799173923</v>
      </c>
      <c r="AL31" s="80">
        <v>0.65682613047808747</v>
      </c>
      <c r="AN31" s="80"/>
      <c r="AP31" s="80"/>
      <c r="AR31" s="80"/>
      <c r="AT31" s="80"/>
      <c r="AV31" s="80"/>
    </row>
    <row r="32" spans="1:49" x14ac:dyDescent="0.2">
      <c r="A32" t="s">
        <v>64</v>
      </c>
      <c r="B32" s="86">
        <v>14734457.915000005</v>
      </c>
      <c r="D32" s="86">
        <v>14726603.036439879</v>
      </c>
      <c r="F32" s="86">
        <v>14715140.960303385</v>
      </c>
      <c r="H32" s="86">
        <v>14699735.954901269</v>
      </c>
      <c r="J32" s="86">
        <v>14680070.154181574</v>
      </c>
      <c r="L32" s="86">
        <v>14655878.613743717</v>
      </c>
      <c r="N32" s="86">
        <v>14626994.619750779</v>
      </c>
      <c r="P32" s="86">
        <v>14593441.707938667</v>
      </c>
      <c r="R32" s="86">
        <v>14555574.000824656</v>
      </c>
      <c r="T32" s="86">
        <v>14514342.752519209</v>
      </c>
      <c r="V32" s="86">
        <v>14471746.739500696</v>
      </c>
      <c r="X32" s="86">
        <v>14431526.4278701</v>
      </c>
      <c r="Z32" s="86">
        <v>14399665.498086672</v>
      </c>
      <c r="AB32" s="86">
        <v>14382088.350822728</v>
      </c>
      <c r="AD32" s="86">
        <v>14374320.766552752</v>
      </c>
      <c r="AF32" s="86">
        <v>14348745.199632453</v>
      </c>
      <c r="AH32" s="86">
        <v>14254930.470088819</v>
      </c>
      <c r="AJ32" s="86">
        <v>14008437.402903039</v>
      </c>
      <c r="AL32" s="86">
        <v>13404690.929054217</v>
      </c>
      <c r="AN32" s="86"/>
      <c r="AP32" s="86"/>
      <c r="AR32" s="86"/>
      <c r="AT32" s="86"/>
      <c r="AV32" s="86"/>
    </row>
    <row r="33" spans="1:49 16319:16321" x14ac:dyDescent="0.2">
      <c r="A33" t="s">
        <v>54</v>
      </c>
      <c r="B33" s="117">
        <v>7019665.6909999903</v>
      </c>
      <c r="D33" s="117">
        <v>7015923.5315946005</v>
      </c>
      <c r="F33" s="117">
        <v>7010462.8642017283</v>
      </c>
      <c r="H33" s="117">
        <v>7003123.739240719</v>
      </c>
      <c r="J33" s="117">
        <v>6993754.750555235</v>
      </c>
      <c r="L33" s="117">
        <v>6982229.6057012556</v>
      </c>
      <c r="N33" s="117">
        <v>6968468.9317006879</v>
      </c>
      <c r="P33" s="117">
        <v>6952484.1577411294</v>
      </c>
      <c r="R33" s="117">
        <v>6934443.5101451464</v>
      </c>
      <c r="T33" s="117">
        <v>6914800.2867985023</v>
      </c>
      <c r="V33" s="117">
        <v>6894507.0491183009</v>
      </c>
      <c r="X33" s="117">
        <v>6875345.6295291483</v>
      </c>
      <c r="Z33" s="117">
        <v>6860166.7194819069</v>
      </c>
      <c r="AB33" s="117">
        <v>6851792.7756268727</v>
      </c>
      <c r="AD33" s="117">
        <v>6848092.1997439601</v>
      </c>
      <c r="AF33" s="117">
        <v>6835907.7047806028</v>
      </c>
      <c r="AH33" s="117">
        <v>6791213.2856008578</v>
      </c>
      <c r="AJ33" s="117">
        <v>6673781.1454585614</v>
      </c>
      <c r="AL33" s="117">
        <v>6386149.3619896639</v>
      </c>
      <c r="AN33" s="117"/>
      <c r="AP33" s="117"/>
      <c r="AR33" s="117"/>
      <c r="AT33" s="117"/>
      <c r="AV33" s="117"/>
    </row>
    <row r="34" spans="1:49 16319:16321" x14ac:dyDescent="0.2">
      <c r="A34" t="s">
        <v>75</v>
      </c>
      <c r="B34" s="117">
        <v>1136879.441000015</v>
      </c>
      <c r="D34" s="117">
        <v>1136273.3802442662</v>
      </c>
      <c r="F34" s="117">
        <v>1135388.9931495222</v>
      </c>
      <c r="H34" s="117">
        <v>1134200.3788115196</v>
      </c>
      <c r="J34" s="117">
        <v>1132682.9787274997</v>
      </c>
      <c r="L34" s="117">
        <v>1130816.4287762661</v>
      </c>
      <c r="N34" s="117">
        <v>1128587.806847021</v>
      </c>
      <c r="P34" s="117">
        <v>1125998.7167813592</v>
      </c>
      <c r="R34" s="117">
        <v>1123076.9598604939</v>
      </c>
      <c r="T34" s="117">
        <v>1119895.824856733</v>
      </c>
      <c r="V34" s="117">
        <v>1116609.2126936833</v>
      </c>
      <c r="X34" s="117">
        <v>1113505.8987037004</v>
      </c>
      <c r="Z34" s="117">
        <v>1111047.5727792939</v>
      </c>
      <c r="AB34" s="117">
        <v>1109691.3456414577</v>
      </c>
      <c r="AD34" s="117">
        <v>1109092.0245149599</v>
      </c>
      <c r="AF34" s="117">
        <v>1107118.6680606515</v>
      </c>
      <c r="AH34" s="117">
        <v>1099880.1230297168</v>
      </c>
      <c r="AJ34" s="117">
        <v>1080861.2421148482</v>
      </c>
      <c r="AL34" s="117">
        <v>1034277.4480143437</v>
      </c>
      <c r="AN34" s="117"/>
      <c r="AP34" s="117"/>
      <c r="AR34" s="117"/>
      <c r="AT34" s="117"/>
      <c r="AV34" s="117"/>
    </row>
    <row r="35" spans="1:49 16319:16321" x14ac:dyDescent="0.2">
      <c r="A35" t="s">
        <v>78</v>
      </c>
      <c r="B35" s="233">
        <v>1</v>
      </c>
      <c r="D35" s="233">
        <v>1.0012881547179533</v>
      </c>
      <c r="F35" s="233">
        <v>1.0026702661945801</v>
      </c>
      <c r="H35" s="233">
        <v>1.0041729111538831</v>
      </c>
      <c r="J35" s="233">
        <v>1.005836559701526</v>
      </c>
      <c r="L35" s="233">
        <v>1.0077229183395711</v>
      </c>
      <c r="N35" s="233">
        <v>1.0099269017963444</v>
      </c>
      <c r="P35" s="233">
        <v>1.0125961808307313</v>
      </c>
      <c r="R35" s="233">
        <v>1.0159652118787361</v>
      </c>
      <c r="T35" s="233">
        <v>1.0204165104381893</v>
      </c>
      <c r="V35" s="233">
        <v>1.0265948160234213</v>
      </c>
      <c r="X35" s="233">
        <v>1.0356195041391736</v>
      </c>
      <c r="Z35" s="233">
        <v>1.0494413633902662</v>
      </c>
      <c r="AB35" s="233">
        <v>1.0712360082564636</v>
      </c>
      <c r="AD35" s="233">
        <v>1.1054133052241129</v>
      </c>
      <c r="AF35" s="233">
        <v>1.1579445599953979</v>
      </c>
      <c r="AH35" s="233">
        <v>1.2403936353641916</v>
      </c>
      <c r="AJ35" s="233">
        <v>1.3815316060878815</v>
      </c>
      <c r="AL35" s="233">
        <v>1.664281276875569</v>
      </c>
      <c r="AN35" s="233"/>
      <c r="AP35" s="233"/>
      <c r="AR35" s="233"/>
      <c r="AT35" s="233"/>
      <c r="AV35" s="233"/>
    </row>
    <row r="36" spans="1:49 16319:16321" x14ac:dyDescent="0.2">
      <c r="A36" t="s">
        <v>21</v>
      </c>
      <c r="B36" s="37">
        <v>0.47195767671988198</v>
      </c>
      <c r="C36" s="38">
        <v>0.31738834428178964</v>
      </c>
      <c r="D36" s="37">
        <v>0.47198936578337097</v>
      </c>
      <c r="E36" s="38">
        <v>0.31967021271618545</v>
      </c>
      <c r="F36" s="37">
        <v>0.47202386751513858</v>
      </c>
      <c r="G36" s="38">
        <v>0.3221387421013277</v>
      </c>
      <c r="H36" s="37">
        <v>0.47206147043393254</v>
      </c>
      <c r="I36" s="38">
        <v>0.32481979129842109</v>
      </c>
      <c r="J36" s="37">
        <v>0.47210243089096976</v>
      </c>
      <c r="K36" s="38">
        <v>0.32774659831239938</v>
      </c>
      <c r="L36" s="37">
        <v>0.47214691995165076</v>
      </c>
      <c r="M36" s="38">
        <v>0.33096313611674033</v>
      </c>
      <c r="N36" s="37">
        <v>0.4721949470598476</v>
      </c>
      <c r="O36" s="38">
        <v>0.33452967431533315</v>
      </c>
      <c r="P36" s="37">
        <v>0.47224620875624973</v>
      </c>
      <c r="Q36" s="38">
        <v>0.33853161163404988</v>
      </c>
      <c r="R36" s="37">
        <v>0.4722998413636621</v>
      </c>
      <c r="S36" s="38">
        <v>0.34309487570403302</v>
      </c>
      <c r="T36" s="37">
        <v>0.4723539788500134</v>
      </c>
      <c r="U36" s="38">
        <v>0.34841305031050163</v>
      </c>
      <c r="V36" s="37">
        <v>0.47240498198679881</v>
      </c>
      <c r="W36" s="38">
        <v>0.35479733627992727</v>
      </c>
      <c r="X36" s="37">
        <v>0.47244622890567023</v>
      </c>
      <c r="Y36" s="38">
        <v>0.36276826910901788</v>
      </c>
      <c r="Z36" s="37">
        <v>0.47246695112727444</v>
      </c>
      <c r="AA36" s="38">
        <v>0.3732084302050106</v>
      </c>
      <c r="AB36" s="37">
        <v>0.47245415139690072</v>
      </c>
      <c r="AC36" s="38">
        <v>0.38753048803060636</v>
      </c>
      <c r="AD36" s="37">
        <v>0.47240303932516936</v>
      </c>
      <c r="AE36" s="38">
        <v>0.40766760203581187</v>
      </c>
      <c r="AF36" s="37">
        <v>0.47232666840999837</v>
      </c>
      <c r="AG36" s="38">
        <v>0.43606476332708277</v>
      </c>
      <c r="AH36" s="37">
        <v>0.47224420665744299</v>
      </c>
      <c r="AI36" s="38">
        <v>0.47678994863930846</v>
      </c>
      <c r="AJ36" s="37">
        <v>0.47216713581891939</v>
      </c>
      <c r="AK36" s="38">
        <v>0.53860005939004885</v>
      </c>
      <c r="AL36" s="37">
        <v>0.47210164417458511</v>
      </c>
      <c r="AM36" s="38">
        <v>0.64330245718340051</v>
      </c>
      <c r="AN36" s="37"/>
      <c r="AO36" s="38"/>
      <c r="AP36" s="37"/>
      <c r="AQ36" s="38"/>
      <c r="AR36" s="37"/>
      <c r="AS36" s="38"/>
      <c r="AT36" s="37"/>
      <c r="AU36" s="38"/>
      <c r="AV36" s="37"/>
      <c r="AW36" s="38"/>
    </row>
    <row r="37" spans="1:49 16319:16321" x14ac:dyDescent="0.2">
      <c r="B37" s="39">
        <v>2.1403217525954466E-2</v>
      </c>
      <c r="C37" s="40">
        <v>0.3496246130199252</v>
      </c>
      <c r="D37" s="39">
        <v>2.0771067143196112E-2</v>
      </c>
      <c r="E37" s="40">
        <v>0.3458423138925964</v>
      </c>
      <c r="F37" s="39">
        <v>2.013319116054783E-2</v>
      </c>
      <c r="G37" s="40">
        <v>0.34200489149399571</v>
      </c>
      <c r="H37" s="39">
        <v>1.9488592237885603E-2</v>
      </c>
      <c r="I37" s="40">
        <v>0.33810624764209435</v>
      </c>
      <c r="J37" s="39">
        <v>1.883570040425956E-2</v>
      </c>
      <c r="K37" s="40">
        <v>0.33413685015248856</v>
      </c>
      <c r="L37" s="39">
        <v>1.8172138988184892E-2</v>
      </c>
      <c r="M37" s="40">
        <v>0.33008226013712805</v>
      </c>
      <c r="N37" s="39">
        <v>1.7494341751442023E-2</v>
      </c>
      <c r="O37" s="40">
        <v>0.32592073237504865</v>
      </c>
      <c r="P37" s="39">
        <v>1.6797038680325792E-2</v>
      </c>
      <c r="Q37" s="40">
        <v>0.32161996775950991</v>
      </c>
      <c r="R37" s="39">
        <v>1.6072409818329102E-2</v>
      </c>
      <c r="S37" s="40">
        <v>0.31713179518795948</v>
      </c>
      <c r="T37" s="39">
        <v>1.5308807959913982E-2</v>
      </c>
      <c r="U37" s="40">
        <v>0.31238414829673428</v>
      </c>
      <c r="V37" s="39">
        <v>1.4488816422927981E-2</v>
      </c>
      <c r="W37" s="40">
        <v>0.30726893117249804</v>
      </c>
      <c r="X37" s="39">
        <v>1.3586872835531585E-2</v>
      </c>
      <c r="Y37" s="40">
        <v>0.30162737656760963</v>
      </c>
      <c r="Z37" s="39">
        <v>1.256891706875491E-2</v>
      </c>
      <c r="AA37" s="40">
        <v>0.29524892627459709</v>
      </c>
      <c r="AB37" s="39">
        <v>1.1403228502094886E-2</v>
      </c>
      <c r="AC37" s="40">
        <v>0.28794303708947361</v>
      </c>
      <c r="AD37" s="39">
        <v>1.0091256258144773E-2</v>
      </c>
      <c r="AE37" s="40">
        <v>0.27974220382575476</v>
      </c>
      <c r="AF37" s="39">
        <v>8.6809706412367682E-3</v>
      </c>
      <c r="AG37" s="40">
        <v>0.27099857368741659</v>
      </c>
      <c r="AH37" s="39">
        <v>7.2215063976721443E-3</v>
      </c>
      <c r="AI37" s="40">
        <v>0.26210805334780191</v>
      </c>
      <c r="AJ37" s="39">
        <v>5.7303667569419941E-3</v>
      </c>
      <c r="AK37" s="40">
        <v>0.25331885715694052</v>
      </c>
      <c r="AL37" s="39">
        <v>4.2022793404956436E-3</v>
      </c>
      <c r="AM37" s="40">
        <v>0.24482753668828969</v>
      </c>
      <c r="AN37" s="39"/>
      <c r="AO37" s="40"/>
      <c r="AP37" s="39"/>
      <c r="AQ37" s="40"/>
      <c r="AR37" s="39"/>
      <c r="AS37" s="40"/>
      <c r="AT37" s="39"/>
      <c r="AU37" s="40"/>
      <c r="AV37" s="39"/>
      <c r="AW37" s="40"/>
    </row>
    <row r="38" spans="1:49 16319:16321" x14ac:dyDescent="0.2">
      <c r="A38" t="s">
        <v>22</v>
      </c>
      <c r="B38" s="37">
        <v>0.18079094942242827</v>
      </c>
      <c r="C38" s="38">
        <v>6.0565413429233668E-2</v>
      </c>
      <c r="D38" s="37">
        <v>0.18084136971085482</v>
      </c>
      <c r="E38" s="38">
        <v>6.0834102162870871E-2</v>
      </c>
      <c r="F38" s="37">
        <v>0.18090624582345016</v>
      </c>
      <c r="G38" s="38">
        <v>6.1126433582502505E-2</v>
      </c>
      <c r="H38" s="37">
        <v>0.180987961552008</v>
      </c>
      <c r="I38" s="38">
        <v>6.1445777100338161E-2</v>
      </c>
      <c r="J38" s="37">
        <v>0.18108979344755538</v>
      </c>
      <c r="K38" s="38">
        <v>6.1796473377737055E-2</v>
      </c>
      <c r="L38" s="37">
        <v>0.18121633190857556</v>
      </c>
      <c r="M38" s="38">
        <v>6.2184352461742615E-2</v>
      </c>
      <c r="N38" s="37">
        <v>0.18137418810838588</v>
      </c>
      <c r="O38" s="38">
        <v>6.2617375830648664E-2</v>
      </c>
      <c r="P38" s="37">
        <v>0.18157309152957563</v>
      </c>
      <c r="Q38" s="38">
        <v>6.3106954827177097E-2</v>
      </c>
      <c r="R38" s="37">
        <v>0.18182781404746975</v>
      </c>
      <c r="S38" s="38">
        <v>6.3669927477588387E-2</v>
      </c>
      <c r="T38" s="37">
        <v>0.18216151609391304</v>
      </c>
      <c r="U38" s="38">
        <v>6.4332356289425116E-2</v>
      </c>
      <c r="V38" s="37">
        <v>0.18261187575328494</v>
      </c>
      <c r="W38" s="38">
        <v>6.5136323880808769E-2</v>
      </c>
      <c r="X38" s="37">
        <v>0.18324214665637806</v>
      </c>
      <c r="Y38" s="38">
        <v>6.6152512576569997E-2</v>
      </c>
      <c r="Z38" s="37">
        <v>0.18415893410491216</v>
      </c>
      <c r="AA38" s="38">
        <v>6.7501297423322129E-2</v>
      </c>
      <c r="AB38" s="37">
        <v>0.18552992271880461</v>
      </c>
      <c r="AC38" s="38">
        <v>6.9376474930039636E-2</v>
      </c>
      <c r="AD38" s="37">
        <v>0.18757983727678085</v>
      </c>
      <c r="AE38" s="38">
        <v>7.2045848742470456E-2</v>
      </c>
      <c r="AF38" s="37">
        <v>0.19060299230309449</v>
      </c>
      <c r="AG38" s="38">
        <v>7.585498764620198E-2</v>
      </c>
      <c r="AH38" s="37">
        <v>0.19515779821008264</v>
      </c>
      <c r="AI38" s="38">
        <v>8.1394867149923333E-2</v>
      </c>
      <c r="AJ38" s="37">
        <v>0.20263410572784549</v>
      </c>
      <c r="AK38" s="38">
        <v>8.9985024406621192E-2</v>
      </c>
      <c r="AL38" s="37">
        <v>0.21725622290601609</v>
      </c>
      <c r="AM38" s="38">
        <v>0.10515781972720149</v>
      </c>
      <c r="AN38" s="37"/>
      <c r="AO38" s="38"/>
      <c r="AP38" s="37"/>
      <c r="AQ38" s="38"/>
      <c r="AR38" s="37"/>
      <c r="AS38" s="38"/>
      <c r="AT38" s="37"/>
      <c r="AU38" s="38"/>
      <c r="AV38" s="37"/>
      <c r="AW38" s="38"/>
    </row>
    <row r="39" spans="1:49 16319:16321" x14ac:dyDescent="0.2">
      <c r="A39" t="s">
        <v>23</v>
      </c>
      <c r="B39" s="39">
        <v>0.23064923795098771</v>
      </c>
      <c r="C39" s="40">
        <v>0.22092201281804777</v>
      </c>
      <c r="D39" s="39">
        <v>0.23120043040375399</v>
      </c>
      <c r="E39" s="40">
        <v>0.22213610589542315</v>
      </c>
      <c r="F39" s="39">
        <v>0.23177903452030257</v>
      </c>
      <c r="G39" s="40">
        <v>0.22344259671514238</v>
      </c>
      <c r="H39" s="39">
        <v>0.23238830947558706</v>
      </c>
      <c r="I39" s="40">
        <v>0.22485416401272715</v>
      </c>
      <c r="J39" s="39">
        <v>0.23303227252598593</v>
      </c>
      <c r="K39" s="40">
        <v>0.22638698737046553</v>
      </c>
      <c r="L39" s="39">
        <v>0.23371606104413267</v>
      </c>
      <c r="M39" s="40">
        <v>0.22806223800371789</v>
      </c>
      <c r="N39" s="39">
        <v>0.23444650729147185</v>
      </c>
      <c r="O39" s="40">
        <v>0.22990885475261347</v>
      </c>
      <c r="P39" s="39">
        <v>0.23523313574083055</v>
      </c>
      <c r="Q39" s="40">
        <v>0.23196757970119405</v>
      </c>
      <c r="R39" s="39">
        <v>0.23608989068437933</v>
      </c>
      <c r="S39" s="40">
        <v>0.23429848105804799</v>
      </c>
      <c r="T39" s="39">
        <v>0.23703832332589672</v>
      </c>
      <c r="U39" s="40">
        <v>0.23699386192685051</v>
      </c>
      <c r="V39" s="39">
        <v>0.2381136462979816</v>
      </c>
      <c r="W39" s="40">
        <v>0.24020254429566965</v>
      </c>
      <c r="X39" s="39">
        <v>0.23937648904846337</v>
      </c>
      <c r="Y39" s="40">
        <v>0.24417494554209146</v>
      </c>
      <c r="Z39" s="39">
        <v>0.24093453399381812</v>
      </c>
      <c r="AA39" s="40">
        <v>0.24933997803495367</v>
      </c>
      <c r="AB39" s="39">
        <v>0.24297362482567209</v>
      </c>
      <c r="AC39" s="40">
        <v>0.25639610794430079</v>
      </c>
      <c r="AD39" s="39">
        <v>0.24578139295498869</v>
      </c>
      <c r="AE39" s="40">
        <v>0.26632813210070555</v>
      </c>
      <c r="AF39" s="39">
        <v>0.24978339341797717</v>
      </c>
      <c r="AG39" s="40">
        <v>0.28043204846920222</v>
      </c>
      <c r="AH39" s="39">
        <v>0.25576087039100986</v>
      </c>
      <c r="AI39" s="40">
        <v>0.3009176798598443</v>
      </c>
      <c r="AJ39" s="39">
        <v>0.26555982782756316</v>
      </c>
      <c r="AK39" s="40">
        <v>0.33267629681387756</v>
      </c>
      <c r="AL39" s="39">
        <v>0.28472273261306924</v>
      </c>
      <c r="AM39" s="40">
        <v>0.38877044677039985</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0.10799999999999982</v>
      </c>
      <c r="G42" s="135"/>
      <c r="H42" s="177">
        <f>10.8%+(1-10.8%)*(1-SUM(H26:I26)/SUM($B$26:$C$26))</f>
        <v>0.10799999999999922</v>
      </c>
      <c r="I42" s="135"/>
      <c r="J42" s="177">
        <f>10.8%+(1-10.8%)*(1-SUM(J26:K26)/SUM($B$26:$C$26))</f>
        <v>0.10799999999999764</v>
      </c>
      <c r="K42" s="135"/>
      <c r="L42" s="177">
        <f>10.8%+(1-10.8%)*(1-SUM(L26:M26)/SUM($B$26:$C$26))</f>
        <v>0.10799999999999961</v>
      </c>
      <c r="M42" s="135"/>
      <c r="N42" s="177">
        <f>10.8%+(1-10.8%)*(1-SUM(N26:O26)/SUM($B$26:$C$26))</f>
        <v>0.10799999999999961</v>
      </c>
      <c r="O42" s="135"/>
      <c r="P42" s="177">
        <f>10.8%+(1-10.8%)*(1-SUM(P26:Q26)/SUM($B$26:$C$26))</f>
        <v>0.10800000000000051</v>
      </c>
      <c r="Q42" s="135"/>
      <c r="R42" s="177">
        <f>10.8%+(1-10.8%)*(1-SUM(R26:S26)/SUM($B$26:$C$26))</f>
        <v>0.10799999999999922</v>
      </c>
      <c r="S42" s="135"/>
      <c r="T42" s="177">
        <f>10.8%+(1-10.8%)*(1-SUM(T26:U26)/SUM($B$26:$C$26))</f>
        <v>0.10799999999999922</v>
      </c>
      <c r="U42" s="135"/>
      <c r="V42" s="177">
        <f>10.8%+(1-10.8%)*(1-SUM(V26:W26)/SUM($B$26:$C$26))</f>
        <v>0.10799999999999961</v>
      </c>
      <c r="W42" s="135"/>
      <c r="X42" s="177">
        <f>10.8%+(1-10.8%)*(1-SUM(X26:Y26)/SUM($B$26:$C$26))</f>
        <v>0.10799999999999961</v>
      </c>
      <c r="Y42" s="162"/>
      <c r="Z42" s="177">
        <f>10.8%+(1-10.8%)*(1-SUM(Z26:AA26)/SUM($B$26:$C$26))</f>
        <v>0.10800000000000001</v>
      </c>
      <c r="AA42" s="135"/>
      <c r="AB42" s="177">
        <f>10.8%+(1-10.8%)*(1-SUM(AB26:AC26)/SUM($B$26:$C$26))</f>
        <v>0.10800000000000001</v>
      </c>
      <c r="AC42" s="135"/>
      <c r="AD42" s="177">
        <f>10.8%+(1-10.8%)*(1-SUM(AD26:AE26)/SUM($B$26:$C$26))</f>
        <v>0.10800000000000021</v>
      </c>
      <c r="AE42" s="135"/>
      <c r="AF42" s="177">
        <f>10.8%+(1-10.8%)*(1-SUM(AF26:AG26)/SUM($B$26:$C$26))</f>
        <v>0.10799999999999942</v>
      </c>
      <c r="AG42" s="135"/>
      <c r="AH42" s="177">
        <f>10.8%+(1-10.8%)*(1-SUM(AH26:AI26)/SUM($B$26:$C$26))</f>
        <v>0.10799999999999961</v>
      </c>
      <c r="AI42" s="135"/>
      <c r="AJ42" s="177">
        <f>10.8%+(1-10.8%)*(1-SUM(AJ26:AK26)/SUM($B$26:$C$26))</f>
        <v>0.10800000000000021</v>
      </c>
      <c r="AK42" s="135"/>
      <c r="AL42" s="177">
        <f>10.8%+(1-10.8%)*(1-SUM(AL26:AM26)/SUM($B$26:$C$26))</f>
        <v>0.10800000000000021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0.56547475779779111</v>
      </c>
      <c r="E43" s="135"/>
      <c r="F43" s="162">
        <f t="array" ref="F43">SUM(F15:G15*F27:G27)/SUM(F15:G15*F27:G27,F13:G13*F26:G26)</f>
        <v>0.56372053685005563</v>
      </c>
      <c r="G43" s="135"/>
      <c r="H43" s="162">
        <f t="array" ref="H43">SUM(H15:I15*H27:I27)/SUM(H15:I15*H27:I27,H13:I13*H26:I26)</f>
        <v>0.5619377736842982</v>
      </c>
      <c r="I43" s="135"/>
      <c r="J43" s="162">
        <f t="array" ref="J43">SUM(J15:K15*J27:K27)/SUM(J15:K15*J27:K27,J13:K13*J26:K26)</f>
        <v>0.56012786598384123</v>
      </c>
      <c r="K43" s="135"/>
      <c r="L43" s="162">
        <f t="array" ref="L43">SUM(L15:M15*L27:M27)/SUM(L15:M15*L27:M27,L13:M13*L26:M26)</f>
        <v>0.55829436549220124</v>
      </c>
      <c r="M43" s="135"/>
      <c r="N43" s="162">
        <f t="array" ref="N43">SUM(N15:O15*N27:O27)/SUM(N15:O15*N27:O27,N13:O13*N26:O26)</f>
        <v>0.55644424140215909</v>
      </c>
      <c r="O43" s="135"/>
      <c r="P43" s="162">
        <f t="array" ref="P43">SUM(P15:Q15*P27:Q27)/SUM(P15:Q15*P27:Q27,P13:Q13*P26:Q26)</f>
        <v>0.5545894000211391</v>
      </c>
      <c r="Q43" s="135"/>
      <c r="R43" s="162">
        <f t="array" ref="R43">SUM(R15:S15*R27:S27)/SUM(R15:S15*R27:S27,R13:S13*R26:S26)</f>
        <v>0.5527494698355665</v>
      </c>
      <c r="S43" s="135"/>
      <c r="T43" s="162">
        <f t="array" ref="T43">SUM(T15:U15*T27:U27)/SUM(T15:U15*T27:U27,T13:U13*T26:U26)</f>
        <v>0.55095595221265847</v>
      </c>
      <c r="U43" s="135"/>
      <c r="V43" s="162">
        <f t="array" ref="V43">SUM(V15:W15*V27:W27)/SUM(V15:W15*V27:W27,V13:W13*V26:W26)</f>
        <v>0.54925902290341844</v>
      </c>
      <c r="W43" s="135"/>
      <c r="X43" s="162">
        <f t="array" ref="X43">SUM(X15:Y15*X27:Y27)/SUM(X15:Y15*X27:Y27,X13:Y13*X26:Y26)</f>
        <v>0.54773678449232599</v>
      </c>
      <c r="Y43" s="135"/>
      <c r="Z43" s="162">
        <f t="array" ref="Z43">SUM(Z15:AA15*Z27:AA27)/SUM(Z15:AA15*Z27:AA27,Z13:AA13*Z26:AA26)</f>
        <v>0.5465003638045185</v>
      </c>
      <c r="AA43" s="135"/>
      <c r="AB43" s="162">
        <f t="array" ref="AB43">SUM(AB15:AC15*AB27:AC27)/SUM(AB15:AC15*AB27:AC27,AB13:AC13*AB26:AC26)</f>
        <v>0.54566533144933493</v>
      </c>
      <c r="AC43" s="135"/>
      <c r="AD43" s="162">
        <f t="array" ref="AD43">SUM(AD15:AE15*AD27:AE27)/SUM(AD15:AE15*AD27:AE27,AD13:AE13*AD26:AE26)</f>
        <v>0.54525110002204291</v>
      </c>
      <c r="AE43" s="135"/>
      <c r="AF43" s="162">
        <f t="array" ref="AF43">SUM(AF15:AG15*AF27:AG27)/SUM(AF15:AG15*AF27:AG27,AF13:AG13*AF26:AG26)</f>
        <v>0.54511597523139665</v>
      </c>
      <c r="AG43" s="135"/>
      <c r="AH43" s="162">
        <f t="array" ref="AH43">SUM(AH15:AI15*AH27:AI27)/SUM(AH15:AI15*AH27:AI27,AH13:AI13*AH26:AI26)</f>
        <v>0.54508867462235699</v>
      </c>
      <c r="AI43" s="135"/>
      <c r="AJ43" s="162">
        <f t="array" ref="AJ43">SUM(AJ15:AK15*AJ27:AK27)/SUM(AJ15:AK15*AJ27:AK27,AJ13:AK13*AJ26:AK26)</f>
        <v>0.54508554804021203</v>
      </c>
      <c r="AK43" s="135"/>
      <c r="AL43" s="162">
        <f t="array" ref="AL43">SUM(AL15:AM15*AL27:AM27)/SUM(AL15:AM15*AL27:AM27,AL13:AM13*AL26:AM26)</f>
        <v>0.54508538824182307</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0.29754226222358987</v>
      </c>
      <c r="F44" s="193">
        <f>(SUM(F11:G11*F24:G24)+F34)/F32</f>
        <v>0.29754226236812753</v>
      </c>
      <c r="H44" s="193">
        <f>(SUM(H11:I11*H24:I24)+H34)/H32</f>
        <v>0.29754226255319716</v>
      </c>
      <c r="J44" s="193">
        <f>(SUM(J11:K11*J24:K24)+J34)/J32</f>
        <v>0.29754226081064794</v>
      </c>
      <c r="L44" s="193">
        <f>(SUM(L11:M11*L24:M24)+L34)/L32</f>
        <v>0.29754226189888289</v>
      </c>
      <c r="N44" s="193">
        <f>(SUM(N11:O11*N24:O24)+N34)/N32</f>
        <v>0.29754226231781572</v>
      </c>
      <c r="P44" s="193">
        <f>(SUM(P11:Q11*P24:Q24)+P34)/P32</f>
        <v>0.29754224722902306</v>
      </c>
      <c r="R44" s="193">
        <f>(SUM(R11:S11*R24:S24)+R34)/R32</f>
        <v>0.29754224960768333</v>
      </c>
      <c r="T44" s="193">
        <f>(SUM(T11:U11*T24:U24)+T34)/T32</f>
        <v>0.29754226205089462</v>
      </c>
      <c r="V44" s="193">
        <f>(SUM(V11:W11*V24:W24)+V34)/V32</f>
        <v>0.29754226245181209</v>
      </c>
      <c r="X44" s="193">
        <f>(SUM(X11:Y11*X24:Y24)+X34)/X32</f>
        <v>0.29754226240109921</v>
      </c>
      <c r="Z44" s="193">
        <f>(SUM(Z11:AA11*Z24:AA24)+Z34)/Z32</f>
        <v>0.29754226209867651</v>
      </c>
      <c r="AB44" s="193">
        <f>(SUM(AB11:AC11*AB24:AC24)+AB34)/AB32</f>
        <v>0.29754226127649624</v>
      </c>
      <c r="AD44" s="193">
        <f>(SUM(AD11:AE11*AD24:AE24)+AD34)/AD32</f>
        <v>0.2975422619126406</v>
      </c>
      <c r="AF44" s="193">
        <f>(SUM(AF11:AG11*AF24:AG24)+AF34)/AF32</f>
        <v>0.29754226190609917</v>
      </c>
      <c r="AH44" s="193">
        <f>(SUM(AH11:AI11*AH24:AI24)+AH34)/AH32</f>
        <v>0.29754226190681549</v>
      </c>
      <c r="AJ44" s="193">
        <f>(SUM(AJ11:AK11*AJ24:AK24)+AJ34)/AJ32</f>
        <v>0.29754226190682342</v>
      </c>
      <c r="AL44" s="193">
        <f>(SUM(AL11:AM11*AL24:AM24)+AL34)/AL32</f>
        <v>0.29754226190682365</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0.22038438831114429</v>
      </c>
      <c r="F45" s="193">
        <f>SUM(F11:G11*F24:G24)/F32</f>
        <v>0.22038438829730289</v>
      </c>
      <c r="H45" s="193">
        <f>SUM(H11:I11*H24:I24)/H32</f>
        <v>0.22038438826952012</v>
      </c>
      <c r="J45" s="193">
        <f>SUM(J11:K11*J24:K24)/J32</f>
        <v>0.22038438848230227</v>
      </c>
      <c r="L45" s="193">
        <f>SUM(L11:M11*L24:M24)/L32</f>
        <v>0.22038438835346272</v>
      </c>
      <c r="N45" s="193">
        <f>SUM(N11:O11*N24:O24)/N32</f>
        <v>0.22038438838771301</v>
      </c>
      <c r="P45" s="193">
        <f>SUM(P11:Q11*P24:Q24)/P32</f>
        <v>0.220384388286891</v>
      </c>
      <c r="R45" s="193">
        <f>SUM(R11:S11*R24:S24)/R32</f>
        <v>0.2203843883102268</v>
      </c>
      <c r="T45" s="193">
        <f>SUM(T11:U11*T24:U24)/T32</f>
        <v>0.22038438835645147</v>
      </c>
      <c r="V45" s="193">
        <f>SUM(V11:W11*V24:W24)/V32</f>
        <v>0.22038438836838209</v>
      </c>
      <c r="X45" s="193">
        <f>SUM(X11:Y11*X24:Y24)/X32</f>
        <v>0.22038438833496421</v>
      </c>
      <c r="Z45" s="193">
        <f>SUM(Z11:AA11*Z24:AA24)/Z32</f>
        <v>0.22038438833230869</v>
      </c>
      <c r="AB45" s="193">
        <f>SUM(AB11:AC11*AB24:AC24)/AB32</f>
        <v>0.22038438833254526</v>
      </c>
      <c r="AD45" s="193">
        <f>SUM(AD11:AE11*AD24:AE24)/AD32</f>
        <v>0.22038438833188134</v>
      </c>
      <c r="AF45" s="193">
        <f>SUM(AF11:AG11*AF24:AG24)/AF32</f>
        <v>0.2203843883319688</v>
      </c>
      <c r="AH45" s="193">
        <f>SUM(AH11:AI11*AH24:AI24)/AH32</f>
        <v>0.2203843883319426</v>
      </c>
      <c r="AJ45" s="193">
        <f>SUM(AJ11:AK11*AJ24:AK24)/AJ32</f>
        <v>0.22038438833194091</v>
      </c>
      <c r="AL45" s="193">
        <f>SUM(AL11:AM11*AL24:AM24)/AL32</f>
        <v>0.22038438833194085</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7.7157873574883712E-2</v>
      </c>
      <c r="D46" s="193">
        <f>D34/D32</f>
        <v>7.7157873912445565E-2</v>
      </c>
      <c r="F46" s="193">
        <f>F34/F32</f>
        <v>7.7157874070824653E-2</v>
      </c>
      <c r="H46" s="193">
        <f>H34/H32</f>
        <v>7.7157874283677055E-2</v>
      </c>
      <c r="J46" s="193">
        <f>J34/J32</f>
        <v>7.7157872328345672E-2</v>
      </c>
      <c r="L46" s="193">
        <f>L34/L32</f>
        <v>7.7157873545420197E-2</v>
      </c>
      <c r="N46" s="193">
        <f>N34/N32</f>
        <v>7.7157873930102691E-2</v>
      </c>
      <c r="P46" s="193">
        <f>P34/P32</f>
        <v>7.7157858942132104E-2</v>
      </c>
      <c r="R46" s="193">
        <f>R34/R32</f>
        <v>7.7157861297456568E-2</v>
      </c>
      <c r="T46" s="193">
        <f>T34/T32</f>
        <v>7.7157873694443116E-2</v>
      </c>
      <c r="V46" s="193">
        <f>V34/V32</f>
        <v>7.715787408343E-2</v>
      </c>
      <c r="X46" s="193">
        <f>X34/X32</f>
        <v>7.7157874066135002E-2</v>
      </c>
      <c r="Z46" s="193">
        <f>Z34/Z32</f>
        <v>7.7157873766367846E-2</v>
      </c>
      <c r="AB46" s="193">
        <f>AB34/AB32</f>
        <v>7.7157872943950989E-2</v>
      </c>
      <c r="AD46" s="193">
        <f>AD34/AD32</f>
        <v>7.7157873580759262E-2</v>
      </c>
      <c r="AF46" s="193">
        <f>AF34/AF32</f>
        <v>7.7157873574130412E-2</v>
      </c>
      <c r="AH46" s="193">
        <f>AH34/AH32</f>
        <v>7.7157873574872915E-2</v>
      </c>
      <c r="AJ46" s="193">
        <f>AJ34/AJ32</f>
        <v>7.7157873574882518E-2</v>
      </c>
      <c r="AL46" s="193">
        <f>AL34/AL32</f>
        <v>7.715787357488281E-2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1.0014848669721954</v>
      </c>
      <c r="E48" s="191"/>
      <c r="F48" s="191">
        <f>F24/$B$24</f>
        <v>1.0028515320001161</v>
      </c>
      <c r="G48" s="191"/>
      <c r="H48" s="191">
        <f>H24/$B$24</f>
        <v>1.0040841672981713</v>
      </c>
      <c r="I48" s="191"/>
      <c r="J48" s="191">
        <f>J24/$B$24</f>
        <v>1.0051645273897893</v>
      </c>
      <c r="K48" s="191"/>
      <c r="L48" s="191">
        <f>L24/$B$24</f>
        <v>1.0060718200333751</v>
      </c>
      <c r="M48" s="191"/>
      <c r="N48" s="191">
        <f>N24/$B$24</f>
        <v>1.0067819525550394</v>
      </c>
      <c r="O48" s="191"/>
      <c r="P48" s="191">
        <f>P24/$B$24</f>
        <v>1.0072675109210709</v>
      </c>
      <c r="Q48" s="191"/>
      <c r="R48" s="191">
        <f>R24/$B$24</f>
        <v>1.0074969925007384</v>
      </c>
      <c r="S48" s="191"/>
      <c r="T48" s="191">
        <f>T24/$B$24</f>
        <v>1.0074349361850257</v>
      </c>
      <c r="U48" s="191"/>
      <c r="V48" s="191">
        <f>V24/$B$24</f>
        <v>1.0070416200645087</v>
      </c>
      <c r="W48" s="191"/>
      <c r="X48" s="191">
        <f>X24/$B$24</f>
        <v>1.0062709614659948</v>
      </c>
      <c r="Y48" s="191"/>
      <c r="Z48" s="191">
        <f>Z24/$B$24</f>
        <v>1.005053551029794</v>
      </c>
      <c r="AA48" s="191"/>
      <c r="AB48" s="191">
        <f>AB24/$B$24</f>
        <v>1.0032081866346778</v>
      </c>
      <c r="AC48" s="191"/>
      <c r="AD48" s="191">
        <f>AD24/$B$24</f>
        <v>1.0001661199121201</v>
      </c>
      <c r="AE48" s="191"/>
      <c r="AF48" s="191">
        <f>AF24/$B$24</f>
        <v>0.99455690053793577</v>
      </c>
      <c r="AG48" s="191"/>
      <c r="AH48" s="191">
        <f>AH24/$B$24</f>
        <v>0.98379751162037044</v>
      </c>
      <c r="AI48" s="191"/>
      <c r="AJ48" s="191">
        <f>AJ24/$B$24</f>
        <v>0.96272102567023443</v>
      </c>
      <c r="AK48" s="191"/>
      <c r="AL48" s="191">
        <f>AL24/$B$24</f>
        <v>0.91779559504198771</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0.99751175911665957</v>
      </c>
      <c r="E49" s="191"/>
      <c r="F49" s="191">
        <f>F13/F35/$B$13*$B$35</f>
        <v>0.99467666774974817</v>
      </c>
      <c r="G49" s="191"/>
      <c r="H49" s="191">
        <f>H13/H35/$B$13*$B$35</f>
        <v>0.99143827861897504</v>
      </c>
      <c r="I49" s="191"/>
      <c r="J49" s="191">
        <f>J13/J35/$B$13*$B$35</f>
        <v>0.98772035179749207</v>
      </c>
      <c r="K49" s="191"/>
      <c r="L49" s="191">
        <f>L13/L35/$B$13*$B$35</f>
        <v>0.98341791116748289</v>
      </c>
      <c r="M49" s="191"/>
      <c r="N49" s="191">
        <f>N13/N35/$B$13*$B$35</f>
        <v>0.97838229315112912</v>
      </c>
      <c r="O49" s="191"/>
      <c r="P49" s="191">
        <f>P13/P35/$B$13*$B$35</f>
        <v>0.97239830797666227</v>
      </c>
      <c r="Q49" s="191"/>
      <c r="R49" s="191">
        <f>R13/R35/$B$13*$B$35</f>
        <v>0.96514459738258795</v>
      </c>
      <c r="S49" s="191"/>
      <c r="T49" s="191">
        <f>T13/T35/$B$13*$B$35</f>
        <v>0.95612586722270609</v>
      </c>
      <c r="U49" s="191"/>
      <c r="V49" s="191">
        <f>V13/V35/$B$13*$B$35</f>
        <v>0.94455153906342271</v>
      </c>
      <c r="W49" s="191"/>
      <c r="X49" s="191">
        <f>X13/X35/$B$13*$B$35</f>
        <v>0.92912478867918069</v>
      </c>
      <c r="Y49" s="191"/>
      <c r="Z49" s="191">
        <f>Z13/Z35/$B$13*$B$35</f>
        <v>0.90772988329842086</v>
      </c>
      <c r="AA49" s="191"/>
      <c r="AB49" s="191">
        <f>AB13/AB35/$B$13*$B$35</f>
        <v>0.8772208054832541</v>
      </c>
      <c r="AC49" s="191"/>
      <c r="AD49" s="191">
        <f>AD13/AD35/$B$13*$B$35</f>
        <v>0.83386971071238569</v>
      </c>
      <c r="AE49" s="191"/>
      <c r="AF49" s="191">
        <f>AF13/AF35/$B$13*$B$35</f>
        <v>0.77392130146708671</v>
      </c>
      <c r="AG49" s="191"/>
      <c r="AH49" s="191">
        <f>AH13/AH35/$B$13*$B$35</f>
        <v>0.69203541309690497</v>
      </c>
      <c r="AI49" s="191"/>
      <c r="AJ49" s="191">
        <f>AJ13/AJ35/$B$13*$B$35</f>
        <v>0.5786833474785541</v>
      </c>
      <c r="AK49" s="191"/>
      <c r="AL49" s="191">
        <f>AL13/AL35/$B$13*$B$35</f>
        <v>0.41939506159897327</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-350860.0839189617</v>
      </c>
      <c r="F51" s="29">
        <f>F30-F10*F23</f>
        <v>-295340.55151333008</v>
      </c>
      <c r="H51" s="29">
        <f>H30-H10*H23</f>
        <v>-239209.53608006239</v>
      </c>
      <c r="J51" s="29">
        <f>J30-J10*J23</f>
        <v>-182345.57941759517</v>
      </c>
      <c r="L51" s="29">
        <f>L30-L10*L23</f>
        <v>-124540.03686904814</v>
      </c>
      <c r="N51" s="29">
        <f>N30-N10*N23</f>
        <v>-65435.680770218838</v>
      </c>
      <c r="P51" s="29">
        <f>P30-P10*P23</f>
        <v>-4424.6191408131272</v>
      </c>
      <c r="R51" s="29">
        <f>R30-R10*R23</f>
        <v>59530.902980652172</v>
      </c>
      <c r="T51" s="29">
        <f>T30-T10*T23</f>
        <v>128227.02886572666</v>
      </c>
      <c r="V51" s="29">
        <f>V30-V10*V23</f>
        <v>204820.91914213262</v>
      </c>
      <c r="X51" s="29">
        <f>X30-X10*X23</f>
        <v>294918.9606630737</v>
      </c>
      <c r="Z51" s="29">
        <f>Z30-Z10*Z23</f>
        <v>408223.51356095867</v>
      </c>
      <c r="AB51" s="29">
        <f>AB30-AB10*AB23</f>
        <v>559461.74951854302</v>
      </c>
      <c r="AD51" s="29">
        <f>AD30-AD10*AD23</f>
        <v>764716.51501651714</v>
      </c>
      <c r="AF51" s="29">
        <f>AF30-AF10*AF23</f>
        <v>1035791.1802559579</v>
      </c>
      <c r="AH51" s="29">
        <f>AH30-AH10*AH23</f>
        <v>1388061.7997332718</v>
      </c>
      <c r="AJ51" s="29">
        <f>AJ30-AJ10*AJ23</f>
        <v>1859429.2150623943</v>
      </c>
      <c r="AL51" s="29">
        <f>AL30-AL10*AL23</f>
        <v>2532318.0829747631</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2046781.9772830533</v>
      </c>
      <c r="F52" s="29">
        <f t="array" ref="F52">Calibration!sL*SUM(F13:G13*F26:G26)</f>
        <v>2043781.900268541</v>
      </c>
      <c r="H52" s="29">
        <f t="array" ref="H52">Calibration!sL*SUM(H13:I13*H26:I26)</f>
        <v>2040180.8456847547</v>
      </c>
      <c r="J52" s="29">
        <f t="array" ref="J52">Calibration!sL*SUM(J13:K13*J26:K26)</f>
        <v>2035897.4630731104</v>
      </c>
      <c r="L52" s="29">
        <f t="array" ref="L52">Calibration!sL*SUM(L13:M13*L26:M26)</f>
        <v>2030830.7527384255</v>
      </c>
      <c r="N52" s="29">
        <f t="array" ref="N52">Calibration!sL*SUM(N13:O13*N26:O26)</f>
        <v>2024850.7006743737</v>
      </c>
      <c r="P52" s="29">
        <f t="array" ref="P52">Calibration!sL*SUM(P13:Q13*P26:Q26)</f>
        <v>2017785.334389186</v>
      </c>
      <c r="R52" s="29">
        <f t="array" ref="R52">Calibration!sL*SUM(R13:S13*R26:S26)</f>
        <v>2009396.7844863455</v>
      </c>
      <c r="T52" s="29">
        <f t="array" ref="T52">Calibration!sL*SUM(T13:U13*T26:U26)</f>
        <v>1999341.7106961017</v>
      </c>
      <c r="V52" s="29">
        <f t="array" ref="V52">Calibration!sL*SUM(V13:W13*V26:W26)</f>
        <v>1987097.6445262574</v>
      </c>
      <c r="X52" s="29">
        <f t="array" ref="X52">Calibration!sL*SUM(X13:Y13*X26:Y26)</f>
        <v>1971826.7306502156</v>
      </c>
      <c r="Z52" s="29">
        <f t="array" ref="Z52">Calibration!sL*SUM(Z13:AA13*Z26:AA26)</f>
        <v>1952132.5028911647</v>
      </c>
      <c r="AB52" s="29">
        <f t="array" ref="AB52">Calibration!sL*SUM(AB13:AC13*AB26:AC26)</f>
        <v>1925699.72189382</v>
      </c>
      <c r="AD52" s="29">
        <f t="array" ref="AD52">Calibration!sL*SUM(AD13:AE13*AD26:AE26)</f>
        <v>1888936.5418809948</v>
      </c>
      <c r="AF52" s="29">
        <f t="array" ref="AF52">Calibration!sL*SUM(AF13:AG13*AF26:AG26)</f>
        <v>1836449.7473615378</v>
      </c>
      <c r="AH52" s="29">
        <f t="array" ref="AH52">Calibration!sL*SUM(AH13:AI13*AH26:AI26)</f>
        <v>1759066.7908824224</v>
      </c>
      <c r="AJ52" s="29">
        <f t="array" ref="AJ52">Calibration!sL*SUM(AJ13:AK13*AJ26:AK26)</f>
        <v>1638310.7904520943</v>
      </c>
      <c r="AL52" s="29">
        <f t="array" ref="AL52">Calibration!sL*SUM(AL13:AM13*AL26:AM26)</f>
        <v>1430357.2492656007</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2718248.6733360947</v>
      </c>
      <c r="F53" s="29">
        <f t="array" ref="F53">Calibration!sK*SUM(F15:G15*F27:G27)</f>
        <v>2694964.3412851696</v>
      </c>
      <c r="H53" s="29">
        <f t="array" ref="H53">Calibration!sK*SUM(H15:I15*H27:I27)</f>
        <v>2670794.504946515</v>
      </c>
      <c r="J53" s="29">
        <f t="array" ref="J53">Calibration!sK*SUM(J15:K15*J27:K27)</f>
        <v>2645672.1012136987</v>
      </c>
      <c r="L53" s="29">
        <f t="array" ref="L53">Calibration!sK*SUM(L15:M15*L27:M27)</f>
        <v>2619530.2890243726</v>
      </c>
      <c r="N53" s="29">
        <f t="array" ref="N53">Calibration!sK*SUM(N15:O15*N27:O27)</f>
        <v>2592303.3711056402</v>
      </c>
      <c r="P53" s="29">
        <f t="array" ref="P53">Calibration!sK*SUM(P15:Q15*P27:Q27)</f>
        <v>2563925.283858967</v>
      </c>
      <c r="R53" s="29">
        <f t="array" ref="R53">Calibration!sK*SUM(R15:S15*R27:S27)</f>
        <v>2534326.4793439442</v>
      </c>
      <c r="T53" s="29">
        <f t="array" ref="T53">Calibration!sK*SUM(T15:U15*T27:U27)</f>
        <v>2503423.6417649752</v>
      </c>
      <c r="V53" s="29">
        <f t="array" ref="V53">Calibration!sK*SUM(V15:W15*V27:W27)</f>
        <v>2471091.0876551205</v>
      </c>
      <c r="X53" s="29">
        <f t="array" ref="X53">Calibration!sK*SUM(X15:Y15*X27:Y27)</f>
        <v>2437074.3519008467</v>
      </c>
      <c r="Z53" s="29">
        <f t="array" ref="Z53">Calibration!sK*SUM(Z15:AA15*Z27:AA27)</f>
        <v>2400723.7700169142</v>
      </c>
      <c r="AB53" s="29">
        <f t="array" ref="AB53">Calibration!sK*SUM(AB15:AC15*AB27:AC27)</f>
        <v>2360252.3562935619</v>
      </c>
      <c r="AD53" s="29">
        <f t="array" ref="AD53">Calibration!sK*SUM(AD15:AE15*AD27:AE27)</f>
        <v>2311328.3650316265</v>
      </c>
      <c r="AF53" s="29">
        <f t="array" ref="AF53">Calibration!sK*SUM(AF15:AG15*AF27:AG27)</f>
        <v>2245880.5869069388</v>
      </c>
      <c r="AH53" s="29">
        <f t="array" ref="AH53">Calibration!sK*SUM(AH15:AI15*AH27:AI27)</f>
        <v>2151008.5021812748</v>
      </c>
      <c r="AJ53" s="29">
        <f t="array" ref="AJ53">Calibration!sK*SUM(AJ15:AK15*AJ27:AK27)</f>
        <v>2003321.3202345062</v>
      </c>
      <c r="AL53" s="29">
        <f t="array" ref="AL53">Calibration!sK*SUM(AL15:AM15*AL27:AM27)</f>
        <v>1749035.2521052577</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0.20222128831926059</v>
      </c>
      <c r="F55" s="193">
        <f>F30/F32</f>
        <v>0.20597568316676634</v>
      </c>
      <c r="H55" s="193">
        <f>H30/H32</f>
        <v>0.20977315470734195</v>
      </c>
      <c r="J55" s="193">
        <f>J30/J32</f>
        <v>0.21362490292877465</v>
      </c>
      <c r="L55" s="193">
        <f>L30/L32</f>
        <v>0.21754858800036164</v>
      </c>
      <c r="N55" s="193">
        <f>N30/N32</f>
        <v>0.22157258011379019</v>
      </c>
      <c r="P55" s="193">
        <f>P30/P32</f>
        <v>0.22574301226548921</v>
      </c>
      <c r="R55" s="193">
        <f>R30/R32</f>
        <v>0.23013610874664941</v>
      </c>
      <c r="T55" s="193">
        <f>T30/T32</f>
        <v>0.23488070923694751</v>
      </c>
      <c r="V55" s="193">
        <f>V30/V32</f>
        <v>0.24019936263366282</v>
      </c>
      <c r="X55" s="193">
        <f>X30/X32</f>
        <v>0.24648194725159669</v>
      </c>
      <c r="Z55" s="193">
        <f>Z30/Z32</f>
        <v>0.254395718212169</v>
      </c>
      <c r="AB55" s="193">
        <f>AB30/AB32</f>
        <v>0.26494610114909151</v>
      </c>
      <c r="AD55" s="193">
        <f>AD30/AD32</f>
        <v>0.27924638893737391</v>
      </c>
      <c r="AF55" s="193">
        <f>AF30/AF32</f>
        <v>0.29823308682103428</v>
      </c>
      <c r="AH55" s="193">
        <f>AH30/AH32</f>
        <v>0.32342035890673099</v>
      </c>
      <c r="AJ55" s="193">
        <f>AJ30/AJ32</f>
        <v>0.35878258061997659</v>
      </c>
      <c r="AL55" s="193">
        <f>AL30/AL32</f>
        <v>0.41495903339258144</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3.3141360307550938E-2</v>
      </c>
      <c r="F56" s="193">
        <f>(Model!$C$52*F5*F20+F2*G5*G20)/F32</f>
        <v>3.710269784299005E-2</v>
      </c>
      <c r="H56" s="193">
        <f>(Model!$C$52*H5*H20+H2*I5*I20)/H32</f>
        <v>4.1114450205422856E-2</v>
      </c>
      <c r="J56" s="193">
        <f>(Model!$C$52*J5*J20+J2*K5*K20)/J32</f>
        <v>4.5191140885849676E-2</v>
      </c>
      <c r="L56" s="193">
        <f>(Model!$C$52*L5*L20+L2*M5*M20)/L32</f>
        <v>4.9355869744966557E-2</v>
      </c>
      <c r="N56" s="193">
        <f>(Model!$C$52*N5*N20+N2*O5*O20)/N32</f>
        <v>5.3645768969689693E-2</v>
      </c>
      <c r="P56" s="193">
        <f>(Model!$C$52*P5*P20+P2*Q5*Q20)/P32</f>
        <v>5.8121074023230891E-2</v>
      </c>
      <c r="R56" s="193">
        <f>(Model!$C$52*R5*R20+R2*S5*S20)/R32</f>
        <v>6.2880837875573747E-2</v>
      </c>
      <c r="T56" s="193">
        <f>(Model!$C$52*T5*T20+T2*U5*U20)/T32</f>
        <v>6.8091449278101845E-2</v>
      </c>
      <c r="V56" s="193">
        <f>(Model!$C$52*V5*V20+V2*W5*W20)/V32</f>
        <v>7.4038333292524239E-2</v>
      </c>
      <c r="X56" s="193">
        <f>(Model!$C$52*X5*X20+X2*Y5*Y20)/X32</f>
        <v>8.1217574754450073E-2</v>
      </c>
      <c r="Z56" s="193">
        <f>(Model!$C$52*Z5*Z20+Z2*AA5*AA20)/Z32</f>
        <v>9.0469884027945369E-2</v>
      </c>
      <c r="AB56" s="193">
        <f>(Model!$C$52*AB5*AB20+AB2*AC5*AC20)/AB32</f>
        <v>0.10304414906168015</v>
      </c>
      <c r="AD56" s="193">
        <f>(Model!$C$52*AD5*AD20+AD2*AE5*AE20)/AD32</f>
        <v>0.12028790480001189</v>
      </c>
      <c r="AF56" s="193">
        <f>(Model!$C$52*AF5*AF20+AF2*AG5*AG20)/AF32</f>
        <v>0.14328703209527952</v>
      </c>
      <c r="AH56" s="193">
        <f>(Model!$C$52*AH5*AH20+AH2*AI5*AI20)/AH32</f>
        <v>0.17382195654823221</v>
      </c>
      <c r="AJ56" s="193">
        <f>(Model!$C$52*AJ5*AJ20+AJ2*AK5*AK20)/AJ32</f>
        <v>0.21667877777769881</v>
      </c>
      <c r="AL56" s="193">
        <f>(Model!$C$52*AL5*AL20+AL2*AM5*AM20)/AL32</f>
        <v>0.28472629491138451</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0.15842251621810133</v>
      </c>
      <c r="F57" s="193">
        <f t="array" ref="F57">SUM(Model!tauL*F13:G13*F26:G26)/F32</f>
        <v>0.15831352722388434</v>
      </c>
      <c r="H57" s="193">
        <f t="array" ref="H57">SUM(Model!tauL*H13:I13*H26:I26)/H32</f>
        <v>0.15820020252093572</v>
      </c>
      <c r="J57" s="193">
        <f t="array" ref="J57">SUM(Model!tauL*J13:K13*J26:K26)/J32</f>
        <v>0.15807954354334172</v>
      </c>
      <c r="L57" s="193">
        <f t="array" ref="L57">SUM(Model!tauL*L13:M13*L26:M26)/L32</f>
        <v>0.1579464157514836</v>
      </c>
      <c r="N57" s="193">
        <f t="array" ref="N57">SUM(Model!tauL*N13:O13*N26:O26)/N32</f>
        <v>0.15779230055483282</v>
      </c>
      <c r="P57" s="193">
        <f t="array" ref="P57">SUM(Model!tauL*P13:Q13*P26:Q26)/P32</f>
        <v>0.15760323820962027</v>
      </c>
      <c r="R57" s="193">
        <f t="array" ref="R57">SUM(Model!tauL*R13:S13*R26:S26)/R32</f>
        <v>0.15735634861711448</v>
      </c>
      <c r="T57" s="193">
        <f t="array" ref="T57">SUM(Model!tauL*T13:U13*T26:U26)/T32</f>
        <v>0.15701370255131819</v>
      </c>
      <c r="V57" s="193">
        <f t="array" ref="V57">SUM(Model!tauL*V13:W13*V26:W26)/V32</f>
        <v>0.15651146549266698</v>
      </c>
      <c r="X57" s="193">
        <f t="array" ref="X57">SUM(Model!tauL*X13:Y13*X26:Y26)/X32</f>
        <v>0.15574151095485711</v>
      </c>
      <c r="Y57" s="193"/>
      <c r="Z57" s="193">
        <f t="array" ref="Z57">SUM(Model!tauL*Z13:AA13*Z26:AA26)/Z32</f>
        <v>0.15452714896295586</v>
      </c>
      <c r="AB57" s="193">
        <f t="array" ref="AB57">SUM(Model!tauL*AB13:AC13*AB26:AC26)/AB32</f>
        <v>0.15262107856927279</v>
      </c>
      <c r="AD57" s="193">
        <f t="array" ref="AD57">SUM(Model!tauL*AD13:AE13*AD26:AE26)/AD32</f>
        <v>0.14978831634302597</v>
      </c>
      <c r="AF57" s="193">
        <f t="array" ref="AF57">SUM(Model!tauL*AF13:AG13*AF26:AG26)/AF32</f>
        <v>0.14588580233749091</v>
      </c>
      <c r="AH57" s="193">
        <f t="array" ref="AH57">SUM(Model!tauL*AH13:AI13*AH26:AI26)/AH32</f>
        <v>0.14065822395528879</v>
      </c>
      <c r="AJ57" s="193">
        <f t="array" ref="AJ57">SUM(Model!tauL*AJ13:AK13*AJ26:AK26)/AJ32</f>
        <v>0.13330747452465638</v>
      </c>
      <c r="AL57" s="193">
        <f t="array" ref="AL57">SUM(Model!tauL*AL13:AM13*AL26:AM26)/AL32</f>
        <v>0.12162857525424443</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1.0657411793608292E-2</v>
      </c>
      <c r="F58" s="193">
        <f t="array" ref="F58">SUM(Model!tauY/(1+Model!tauY)*F3:G3*F18:G18)/F32</f>
        <v>1.0559458099891931E-2</v>
      </c>
      <c r="H58" s="193">
        <f t="array" ref="H58">SUM(Model!tauY/(1+Model!tauY)*H3:I3*H18:I18)/H32</f>
        <v>1.0458501980983366E-2</v>
      </c>
      <c r="J58" s="193">
        <f t="array" ref="J58">SUM(Model!tauY/(1+Model!tauY)*J3:K3*J18:K18)/J32</f>
        <v>1.0354218499583215E-2</v>
      </c>
      <c r="L58" s="193">
        <f t="array" ref="L58">SUM(Model!tauY/(1+Model!tauY)*L3:M3*L18:M18)/L32</f>
        <v>1.0246302503911451E-2</v>
      </c>
      <c r="N58" s="193">
        <f t="array" ref="N58">SUM(Model!tauY/(1+Model!tauY)*N3:O3*N18:O18)/N32</f>
        <v>1.0134510589267638E-2</v>
      </c>
      <c r="P58" s="193">
        <f t="array" ref="P58">SUM(Model!tauY/(1+Model!tauY)*P3:Q3*P18:Q18)/P32</f>
        <v>1.0018700032638059E-2</v>
      </c>
      <c r="R58" s="193">
        <f t="array" ref="R58">SUM(Model!tauY/(1+Model!tauY)*R3:S3*R18:S18)/R32</f>
        <v>9.898922253961169E-3</v>
      </c>
      <c r="T58" s="193">
        <f t="array" ref="T58">SUM(Model!tauY/(1+Model!tauY)*T3:U3*T18:U18)/T32</f>
        <v>9.7755574075274968E-3</v>
      </c>
      <c r="V58" s="193">
        <f t="array" ref="V58">SUM(Model!tauY/(1+Model!tauY)*V3:W3*V18:W18)/V32</f>
        <v>9.649563848471614E-3</v>
      </c>
      <c r="X58" s="193">
        <f t="array" ref="X58">SUM(Model!tauY/(1+Model!tauY)*X3:Y3*X18:Y18)/X32</f>
        <v>9.5228615422894985E-3</v>
      </c>
      <c r="Y58" s="193"/>
      <c r="Z58" s="193">
        <f t="array" ref="Z58">SUM(Model!tauY/(1+Model!tauY)*Z3:AA3*Z18:AA18)/Z32</f>
        <v>9.3986852212677458E-3</v>
      </c>
      <c r="AB58" s="193">
        <f t="array" ref="AB58">SUM(Model!tauY/(1+Model!tauY)*AB3:AC3*AB18:AC18)/AB32</f>
        <v>9.2808735181385896E-3</v>
      </c>
      <c r="AD58" s="193">
        <f t="array" ref="AD58">SUM(Model!tauY/(1+Model!tauY)*AD3:AE3*AD18:AE18)/AD32</f>
        <v>9.1701677943360361E-3</v>
      </c>
      <c r="AF58" s="193">
        <f t="array" ref="AF58">SUM(Model!tauY/(1+Model!tauY)*AF3:AG3*AF18:AG18)/AF32</f>
        <v>9.0602523882638269E-3</v>
      </c>
      <c r="AH58" s="193">
        <f t="array" ref="AH58">SUM(Model!tauY/(1+Model!tauY)*AH3:AI3*AH18:AI18)/AH32</f>
        <v>8.9401784032100053E-3</v>
      </c>
      <c r="AJ58" s="193">
        <f t="array" ref="AJ58">SUM(Model!tauY/(1+Model!tauY)*AJ3:AK3*AJ18:AK18)/AJ32</f>
        <v>8.7963283176213918E-3</v>
      </c>
      <c r="AL58" s="193">
        <f t="array" ref="AL58">SUM(Model!tauY/(1+Model!tauY)*AL3:AM3*AL18:AM18)/AL32</f>
        <v>8.6041632269525017E-3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4.5211413380820365E-3</v>
      </c>
      <c r="F59" s="193">
        <f>(F2*G5*G20)/F32</f>
        <v>8.5319146416827814E-3</v>
      </c>
      <c r="H59" s="193">
        <f>(H2*I5*I20)/H32</f>
        <v>1.2593349746192691E-2</v>
      </c>
      <c r="J59" s="193">
        <f>(J2*K5*K20)/J32</f>
        <v>1.6720073665509403E-2</v>
      </c>
      <c r="L59" s="193">
        <f>(L2*M5*M20)/L32</f>
        <v>2.0935372443049841E-2</v>
      </c>
      <c r="N59" s="193">
        <f>(N2*O5*O20)/N32</f>
        <v>2.5276696874266986E-2</v>
      </c>
      <c r="P59" s="193">
        <f>(P2*Q5*Q20)/P32</f>
        <v>2.9804831464546756E-2</v>
      </c>
      <c r="R59" s="193">
        <f>(R2*S5*S20)/R32</f>
        <v>3.4619766348899454E-2</v>
      </c>
      <c r="T59" s="193">
        <f>(T2*U5*U20)/T32</f>
        <v>3.9889514314255192E-2</v>
      </c>
      <c r="V59" s="193">
        <f>(V2*W5*W20)/V32</f>
        <v>4.5902347864600332E-2</v>
      </c>
      <c r="X59" s="193">
        <f>(X2*Y5*Y20)/X32</f>
        <v>5.3159368615256164E-2</v>
      </c>
      <c r="Z59" s="193">
        <f>(Z2*AA5*AA20)/Z32</f>
        <v>6.2509799697213514E-2</v>
      </c>
      <c r="AB59" s="193">
        <f>(AB2*AC5*AC20)/AB32</f>
        <v>7.5214838479997312E-2</v>
      </c>
      <c r="AD59" s="193">
        <f>(AD2*AE5*AE20)/AD32</f>
        <v>9.263374924344206E-2</v>
      </c>
      <c r="AF59" s="193">
        <f>(AF2*AG5*AG20)/AF32</f>
        <v>0.11585801188427558</v>
      </c>
      <c r="AH59" s="193">
        <f>(AH2*AI5*AI20)/AH32</f>
        <v>0.14667555725612327</v>
      </c>
      <c r="AJ59" s="193">
        <f>(AJ2*AK5*AK20)/AJ32</f>
        <v>0.18989971598452082</v>
      </c>
      <c r="AL59" s="193">
        <f>(AL2*AM5*AM20)/AL32</f>
        <v>0.25847314761915913</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2.86202189694689E-2</v>
      </c>
      <c r="F60" s="193">
        <f>Model!$C$52*F5*F20/F32</f>
        <v>2.8570783201307272E-2</v>
      </c>
      <c r="H60" s="193">
        <f>Model!$C$52*H5*H20/H32</f>
        <v>2.8521100459230165E-2</v>
      </c>
      <c r="J60" s="193">
        <f>Model!$C$52*J5*J20/J32</f>
        <v>2.847106722034028E-2</v>
      </c>
      <c r="L60" s="193">
        <f>Model!$C$52*L5*L20/L32</f>
        <v>2.8420497301916717E-2</v>
      </c>
      <c r="N60" s="193">
        <f>Model!$C$52*N5*N20/N32</f>
        <v>2.8369072095422703E-2</v>
      </c>
      <c r="P60" s="193">
        <f>Model!$C$52*P5*P20/P32</f>
        <v>2.8316242558684139E-2</v>
      </c>
      <c r="R60" s="193">
        <f>Model!$C$52*R5*R20/R32</f>
        <v>2.8261071526674297E-2</v>
      </c>
      <c r="T60" s="193">
        <f>Model!$C$52*T5*T20/T32</f>
        <v>2.8201934963846657E-2</v>
      </c>
      <c r="V60" s="193">
        <f>Model!$C$52*V5*V20/V32</f>
        <v>2.8135985427923903E-2</v>
      </c>
      <c r="X60" s="193">
        <f>Model!$C$52*X5*X20/X32</f>
        <v>2.8058206139193898E-2</v>
      </c>
      <c r="Z60" s="193">
        <f>Model!$C$52*Z5*Z20/Z32</f>
        <v>2.7960084330731862E-2</v>
      </c>
      <c r="AB60" s="193">
        <f>Model!$C$52*AB5*AB20/AB32</f>
        <v>2.782931058168283E-2</v>
      </c>
      <c r="AD60" s="193">
        <f>Model!$C$52*AD5*AD20/AD32</f>
        <v>2.7654155556569818E-2</v>
      </c>
      <c r="AF60" s="193">
        <f>Model!$C$52*AF5*AF20/AF32</f>
        <v>2.7429020211003928E-2</v>
      </c>
      <c r="AH60" s="193">
        <f>Model!$C$52*AH5*AH20/AH32</f>
        <v>2.7146399292108925E-2</v>
      </c>
      <c r="AJ60" s="193">
        <f>Model!$C$52*AJ5*AJ20/AJ32</f>
        <v>2.6779061793177978E-2</v>
      </c>
      <c r="AL60" s="193">
        <f>Model!$C$52*AL5*AL20/AL32</f>
        <v>2.6253147292225432E-2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1.0070515596526703</v>
      </c>
      <c r="F62">
        <f>F13/F15</f>
        <v>1.0142635830375004</v>
      </c>
      <c r="H62">
        <f>H13/H15</f>
        <v>1.0216390831789071</v>
      </c>
      <c r="J62">
        <f>J13/J15</f>
        <v>1.0291749134258508</v>
      </c>
      <c r="L62">
        <f>L13/L15</f>
        <v>1.0368587904035718</v>
      </c>
      <c r="N62">
        <f>N13/N15</f>
        <v>1.0446636646596339</v>
      </c>
      <c r="P62">
        <f>P13/P15</f>
        <v>1.0525407130791886</v>
      </c>
      <c r="R62">
        <f>R13/R15</f>
        <v>1.0604066658651787</v>
      </c>
      <c r="T62">
        <f>T13/T15</f>
        <v>1.068124765165392</v>
      </c>
      <c r="V62">
        <f>V13/V15</f>
        <v>1.0754736198926522</v>
      </c>
      <c r="X62">
        <f>X13/X15</f>
        <v>1.0821046859844405</v>
      </c>
      <c r="Z62">
        <f>Z13/Z15</f>
        <v>1.0875178826971024</v>
      </c>
      <c r="AB62">
        <f>AB13/AB15</f>
        <v>1.0911876320472289</v>
      </c>
      <c r="AD62">
        <f>AD13/AD15</f>
        <v>1.0930122419420831</v>
      </c>
      <c r="AF62">
        <f>AF13/AF15</f>
        <v>1.0936080405196424</v>
      </c>
      <c r="AH62">
        <f>AH13/AH15</f>
        <v>1.0937284515404606</v>
      </c>
      <c r="AJ62">
        <f>AJ13/AJ15</f>
        <v>1.0937422422944965</v>
      </c>
      <c r="AL62">
        <f>AL13/AL15</f>
        <v>1.0937429471381634</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0.99816844637657731</v>
      </c>
      <c r="E65" s="191"/>
      <c r="F65" s="191">
        <f t="array" ref="F65">SQRT((F9:G9*$B$22:$C$22+F10:G10*$B$23:$C$23+F11:G11*$B$24:$C$24+F4:G4*($B$25:$C$25-$B$19:$C$19))/($B$9:$C$9*$B$22:$C$22+$B$10:$C$10*$B$23:$C$23+$B$11:$C$11*$B$24:$C$24+$B$4:$C$4*($B$25:$C$25-$B$19:$C$19))*(F9:G9*F22:G22+F10:G10*F23:G23+F11:G11*F24:G24+F4:G4*(F25:G25-F19:G19))/($B$9:$C$9*F22:G22+$B$10:$C$10*F23:G23+$B$11:$C$11*F24:G24+$B$4:$C$4*(F25:G25-F19:G19)))</f>
        <v>0.99623118673469668</v>
      </c>
      <c r="G65" s="191"/>
      <c r="H65" s="191">
        <f t="array" ref="H65">SQRT((H9:I9*$B$22:$C$22+H10:I10*$B$23:$C$23+H11:I11*$B$24:$C$24+H4:I4*($B$25:$C$25-$B$19:$C$19))/($B$9:$C$9*$B$22:$C$22+$B$10:$C$10*$B$23:$C$23+$B$11:$C$11*$B$24:$C$24+$B$4:$C$4*($B$25:$C$25-$B$19:$C$19))*(H9:I9*H22:I22+H10:I10*H23:I23+H11:I11*H24:I24+H4:I4*(H25:I25-H19:I19))/($B$9:$C$9*H22:I22+$B$10:$C$10*H23:I23+$B$11:$C$11*H24:I24+$B$4:$C$4*(H25:I25-H19:I19)))</f>
        <v>0.99418232157586939</v>
      </c>
      <c r="I65" s="191"/>
      <c r="J65" s="191">
        <f t="array" ref="J65">SQRT((J9:K9*$B$22:$C$22+J10:K10*$B$23:$C$23+J11:K11*$B$24:$C$24+J4:K4*($B$25:$C$25-$B$19:$C$19))/($B$9:$C$9*$B$22:$C$22+$B$10:$C$10*$B$23:$C$23+$B$11:$C$11*$B$24:$C$24+$B$4:$C$4*($B$25:$C$25-$B$19:$C$19))*(J9:K9*J22:K22+J10:K10*J23:K23+J11:K11*J24:K24+J4:K4*(J25:K25-J19:K19))/($B$9:$C$9*J22:K22+$B$10:$C$10*J23:K23+$B$11:$C$11*J24:K24+$B$4:$C$4*(J25:K25-J19:K19)))</f>
        <v>0.99201910323953291</v>
      </c>
      <c r="K65" s="191"/>
      <c r="L65" s="191">
        <f t="array" ref="L65">SQRT((L9:M9*$B$22:$C$22+L10:M10*$B$23:$C$23+L11:M11*$B$24:$C$24+L4:M4*($B$25:$C$25-$B$19:$C$19))/($B$9:$C$9*$B$22:$C$22+$B$10:$C$10*$B$23:$C$23+$B$11:$C$11*$B$24:$C$24+$B$4:$C$4*($B$25:$C$25-$B$19:$C$19))*(L9:M9*L22:M22+L10:M10*L23:M23+L11:M11*L24:M24+L4:M4*(L25:M25-L19:M19))/($B$9:$C$9*L22:M22+$B$10:$C$10*L23:M23+$B$11:$C$11*L24:M24+$B$4:$C$4*(L25:M25-L19:M19)))</f>
        <v>0.98974407067984171</v>
      </c>
      <c r="M65" s="191"/>
      <c r="N65" s="191">
        <f t="array" ref="N65">SQRT((N9:O9*$B$22:$C$22+N10:O10*$B$23:$C$23+N11:O11*$B$24:$C$24+N4:O4*($B$25:$C$25-$B$19:$C$19))/($B$9:$C$9*$B$22:$C$22+$B$10:$C$10*$B$23:$C$23+$B$11:$C$11*$B$24:$C$24+$B$4:$C$4*($B$25:$C$25-$B$19:$C$19))*(N9:O9*N22:O22+N10:O10*N23:O23+N11:O11*N24:O24+N4:O4*(N25:O25-N19:O19))/($B$9:$C$9*N22:O22+$B$10:$C$10*N23:O23+$B$11:$C$11*N24:O24+$B$4:$C$4*(N25:O25-N19:O19)))</f>
        <v>0.98736831551424853</v>
      </c>
      <c r="O65" s="191"/>
      <c r="P65" s="191">
        <f t="array" ref="P65">SQRT((P9:Q9*$B$22:$C$22+P10:Q10*$B$23:$C$23+P11:Q11*$B$24:$C$24+P4:Q4*($B$25:$C$25-$B$19:$C$19))/($B$9:$C$9*$B$22:$C$22+$B$10:$C$10*$B$23:$C$23+$B$11:$C$11*$B$24:$C$24+$B$4:$C$4*($B$25:$C$25-$B$19:$C$19))*(P9:Q9*P22:Q22+P10:Q10*P23:Q23+P11:Q11*P24:Q24+P4:Q4*(P25:Q25-P19:Q19))/($B$9:$C$9*P22:Q22+$B$10:$C$10*P23:Q23+$B$11:$C$11*P24:Q24+$B$4:$C$4*(P25:Q25-P19:Q19)))</f>
        <v>0.98491683375013439</v>
      </c>
      <c r="Q65" s="191"/>
      <c r="R65" s="191">
        <f t="array" ref="R65">SQRT((R9:S9*$B$22:$C$22+R10:S10*$B$23:$C$23+R11:S11*$B$24:$C$24+R4:S4*($B$25:$C$25-$B$19:$C$19))/($B$9:$C$9*$B$22:$C$22+$B$10:$C$10*$B$23:$C$23+$B$11:$C$11*$B$24:$C$24+$B$4:$C$4*($B$25:$C$25-$B$19:$C$19))*(R9:S9*R22:S22+R10:S10*R23:S23+R11:S11*R24:S24+R4:S4*(R25:S25-R19:S19))/($B$9:$C$9*R22:S22+$B$10:$C$10*R23:S23+$B$11:$C$11*R24:S24+$B$4:$C$4*(R25:S25-R19:S19)))</f>
        <v>0.9824373584638787</v>
      </c>
      <c r="S65" s="191"/>
      <c r="T65" s="191">
        <f t="array" ref="T65">SQRT((T9:U9*$B$22:$C$22+T10:U10*$B$23:$C$23+T11:U11*$B$24:$C$24+T4:U4*($B$25:$C$25-$B$19:$C$19))/($B$9:$C$9*$B$22:$C$22+$B$10:$C$10*$B$23:$C$23+$B$11:$C$11*$B$24:$C$24+$B$4:$C$4*($B$25:$C$25-$B$19:$C$19))*(T9:U9*T22:U22+T10:U10*T23:U23+T11:U11*T24:U24+T4:U4*(T25:U25-T19:U19))/($B$9:$C$9*T22:U22+$B$10:$C$10*T23:U23+$B$11:$C$11*T24:U24+$B$4:$C$4*(T25:U25-T19:U19)))</f>
        <v>0.98001587082655905</v>
      </c>
      <c r="U65" s="191"/>
      <c r="V65" s="191">
        <f t="array" ref="V65">SQRT((V9:W9*$B$22:$C$22+V10:W10*$B$23:$C$23+V11:W11*$B$24:$C$24+V4:W4*($B$25:$C$25-$B$19:$C$19))/($B$9:$C$9*$B$22:$C$22+$B$10:$C$10*$B$23:$C$23+$B$11:$C$11*$B$24:$C$24+$B$4:$C$4*($B$25:$C$25-$B$19:$C$19))*(V9:W9*V22:W22+V10:W10*V23:W23+V11:W11*V24:W24+V4:W4*(V25:W25-V19:W19))/($B$9:$C$9*V22:W22+$B$10:$C$10*V23:W23+$B$11:$C$11*V24:W24+$B$4:$C$4*(V25:W25-V19:W19)))</f>
        <v>0.97780343824665983</v>
      </c>
      <c r="W65" s="191"/>
      <c r="X65" s="191">
        <f t="array" ref="X65">SQRT((X9:Y9*$B$22:$C$22+X10:Y10*$B$23:$C$23+X11:Y11*$B$24:$C$24+X4:Y4*($B$25:$C$25-$B$19:$C$19))/($B$9:$C$9*$B$22:$C$22+$B$10:$C$10*$B$23:$C$23+$B$11:$C$11*$B$24:$C$24+$B$4:$C$4*($B$25:$C$25-$B$19:$C$19))*(X9:Y9*X22:Y22+X10:Y10*X23:Y23+X11:Y11*X24:Y24+X4:Y4*(X25:Y25-X19:Y19))/($B$9:$C$9*X22:Y22+$B$10:$C$10*X23:Y23+$B$11:$C$11*X24:Y24+$B$4:$C$4*(X25:Y25-X19:Y19)))</f>
        <v>0.97605936649798009</v>
      </c>
      <c r="Y65" s="191"/>
      <c r="Z65" s="191">
        <f t="array" ref="Z65">SQRT((Z9:AA9*$B$22:$C$22+Z10:AA10*$B$23:$C$23+Z11:AA11*$B$24:$C$24+Z4:AA4*($B$25:$C$25-$B$19:$C$19))/($B$9:$C$9*$B$22:$C$22+$B$10:$C$10*$B$23:$C$23+$B$11:$C$11*$B$24:$C$24+$B$4:$C$4*($B$25:$C$25-$B$19:$C$19))*(Z9:AA9*Z22:AA22+Z10:AA10*Z23:AA23+Z11:AA11*Z24:AA24+Z4:AA4*(Z25:AA25-Z19:AA19))/($B$9:$C$9*Z22:AA22+$B$10:$C$10*Z23:AA23+$B$11:$C$11*Z24:AA24+$B$4:$C$4*(Z25:AA25-Z19:AA19)))</f>
        <v>0.97519675262764205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0.97572533851047127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0.97787945598654791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0.98121809651006175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0.98500068633935811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0.98872467678325848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0.99205206826583714</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0.99798502903418529</v>
      </c>
      <c r="E66" s="191"/>
      <c r="F66" s="191">
        <f t="array" ref="F66">SQRT((F9:G9*$B$22:$C$22)/($B$9:$C$9*$B$22:$C$22)*(F9:G9*F22:G22)/($B$9:$C$9*F22:G22))</f>
        <v>0.99584929824722579</v>
      </c>
      <c r="G66" s="191"/>
      <c r="H66" s="191">
        <f t="array" ref="H66">SQRT((H9:I9*$B$22:$C$22)/($B$9:$C$9*$B$22:$C$22)*(H9:I9*H22:I22)/($B$9:$C$9*H22:I22))</f>
        <v>0.9935855159912822</v>
      </c>
      <c r="I66" s="191"/>
      <c r="J66" s="191">
        <f t="array" ref="J66">SQRT((J9:K9*$B$22:$C$22)/($B$9:$C$9*$B$22:$C$22)*(J9:K9*J22:K22)/($B$9:$C$9*J22:K22))</f>
        <v>0.99118977868612845</v>
      </c>
      <c r="K66" s="191"/>
      <c r="L66" s="191">
        <f t="array" ref="L66">SQRT((L9:M9*$B$22:$C$22)/($B$9:$C$9*$B$22:$C$22)*(L9:M9*L22:M22)/($B$9:$C$9*L22:M22))</f>
        <v>0.98866398066143468</v>
      </c>
      <c r="M66" s="191"/>
      <c r="N66" s="191">
        <f t="array" ref="N66">SQRT((N9:O9*$B$22:$C$22)/($B$9:$C$9*$B$22:$C$22)*(N9:O9*N22:O22)/($B$9:$C$9*N22:O22))</f>
        <v>0.98601953045280399</v>
      </c>
      <c r="O66" s="191"/>
      <c r="P66" s="191">
        <f t="array" ref="P66">SQRT((P9:Q9*$B$22:$C$22)/($B$9:$C$9*$B$22:$C$22)*(P9:Q9*P22:Q22)/($B$9:$C$9*P22:Q22))</f>
        <v>0.98328347116672432</v>
      </c>
      <c r="Q66" s="191"/>
      <c r="R66" s="191">
        <f t="array" ref="R66">SQRT((R9:S9*$B$22:$C$22)/($B$9:$C$9*$B$22:$C$22)*(R9:S9*R22:S22)/($B$9:$C$9*R22:S22))</f>
        <v>0.98050861867722139</v>
      </c>
      <c r="S66" s="191"/>
      <c r="T66" s="191">
        <f t="array" ref="T66">SQRT((T9:U9*$B$22:$C$22)/($B$9:$C$9*$B$22:$C$22)*(T9:U9*T22:U22)/($B$9:$C$9*T22:U22))</f>
        <v>0.97779138070193161</v>
      </c>
      <c r="U66" s="191"/>
      <c r="V66" s="191">
        <f t="array" ref="V66">SQRT((V9:W9*$B$22:$C$22)/($B$9:$C$9*$B$22:$C$22)*(V9:W9*V22:W22)/($B$9:$C$9*V22:W22))</f>
        <v>0.97530257564221789</v>
      </c>
      <c r="W66" s="191"/>
      <c r="X66" s="191">
        <f t="array" ref="X66">SQRT((X9:Y9*$B$22:$C$22)/($B$9:$C$9*$B$22:$C$22)*(X9:Y9*X22:Y22)/($B$9:$C$9*X22:Y22))</f>
        <v>0.97333685074334042</v>
      </c>
      <c r="Y66" s="191"/>
      <c r="Z66" s="191">
        <f t="array" ref="Z66">SQRT((Z9:AA9*$B$22:$C$22)/($B$9:$C$9*$B$22:$C$22)*(Z9:AA9*Z22:AA22)/($B$9:$C$9*Z22:AA22))</f>
        <v>0.97236437413486931</v>
      </c>
      <c r="AA66" s="191"/>
      <c r="AB66" s="191">
        <f t="array" ref="AB66">SQRT((AB9:AC9*$B$22:$C$22)/($B$9:$C$9*$B$22:$C$22)*(AB9:AC9*AB22:AC22)/($B$9:$C$9*AB22:AC22))</f>
        <v>0.97296388938423528</v>
      </c>
      <c r="AC66" s="191"/>
      <c r="AD66" s="191">
        <f t="array" ref="AD66">SQRT((AD9:AE9*$B$22:$C$22)/($B$9:$C$9*$B$22:$C$22)*(AD9:AE9*AD22:AE22)/($B$9:$C$9*AD22:AE22))</f>
        <v>0.97539613504347256</v>
      </c>
      <c r="AE66" s="191"/>
      <c r="AF66" s="191">
        <f t="array" ref="AF66">SQRT((AF9:AG9*$B$22:$C$22)/($B$9:$C$9*$B$22:$C$22)*(AF9:AG9*AF22:AG22)/($B$9:$C$9*AF22:AG22))</f>
        <v>0.9791520239007957</v>
      </c>
      <c r="AG66" s="191"/>
      <c r="AH66" s="191">
        <f t="array" ref="AH66">SQRT((AH9:AI9*$B$22:$C$22)/($B$9:$C$9*$B$22:$C$22)*(AH9:AI9*AH22:AI22)/($B$9:$C$9*AH22:AI22))</f>
        <v>0.98338871671085049</v>
      </c>
      <c r="AI66" s="191"/>
      <c r="AJ66" s="191">
        <f t="array" ref="AJ66">SQRT((AJ9:AK9*$B$22:$C$22)/($B$9:$C$9*$B$22:$C$22)*(AJ9:AK9*AJ22:AK22)/($B$9:$C$9*AJ22:AK22))</f>
        <v>0.98754086109913164</v>
      </c>
      <c r="AK66" s="191"/>
      <c r="AL66" s="191">
        <f t="array" ref="AL66">SQRT((AL9:AM9*$B$22:$C$22)/($B$9:$C$9*$B$22:$C$22)*(AL9:AM9*AL22:AM22)/($B$9:$C$9*AL22:AM22))</f>
        <v>0.99123510261085679</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0.99798502903418529</v>
      </c>
      <c r="E68" s="191"/>
      <c r="F68" s="191">
        <f>F66/F67</f>
        <v>0.99584929824722579</v>
      </c>
      <c r="G68" s="191"/>
      <c r="H68" s="191">
        <f>H66/H67</f>
        <v>0.9935855159912822</v>
      </c>
      <c r="I68" s="191"/>
      <c r="J68" s="191">
        <f>J66/J67</f>
        <v>0.99118977868612845</v>
      </c>
      <c r="K68" s="191"/>
      <c r="L68" s="191">
        <f>L66/L67</f>
        <v>0.98866398066143468</v>
      </c>
      <c r="M68" s="191"/>
      <c r="N68" s="191">
        <f>N66/N67</f>
        <v>0.98601953045280399</v>
      </c>
      <c r="O68" s="191"/>
      <c r="P68" s="191">
        <f>P66/P67</f>
        <v>0.98328347116672432</v>
      </c>
      <c r="Q68" s="191"/>
      <c r="R68" s="191">
        <f>R66/R67</f>
        <v>0.98050861867722139</v>
      </c>
      <c r="S68" s="191"/>
      <c r="T68" s="191">
        <f>T66/T67</f>
        <v>0.97779138070193161</v>
      </c>
      <c r="U68" s="191"/>
      <c r="V68" s="191">
        <f>V66/V67</f>
        <v>0.97530257564221789</v>
      </c>
      <c r="W68" s="191"/>
      <c r="X68" s="191">
        <f>X66/X67</f>
        <v>0.97333685074334042</v>
      </c>
      <c r="Y68" s="191"/>
      <c r="Z68" s="191">
        <f>Z66/Z67</f>
        <v>0.97236437413486931</v>
      </c>
      <c r="AA68" s="191"/>
      <c r="AB68" s="191">
        <f>AB66/AB67</f>
        <v>0.97296388938423528</v>
      </c>
      <c r="AC68" s="191"/>
      <c r="AD68" s="191">
        <f>AD66/AD67</f>
        <v>0.97539613504347256</v>
      </c>
      <c r="AE68" s="191"/>
      <c r="AF68" s="191">
        <f>AF66/AF67</f>
        <v>0.9791520239007957</v>
      </c>
      <c r="AG68" s="191"/>
      <c r="AH68" s="191">
        <f>AH66/AH67</f>
        <v>0.98338871671085049</v>
      </c>
      <c r="AI68" s="191"/>
      <c r="AJ68" s="191">
        <f>AJ66/AJ67</f>
        <v>0.98754086109913164</v>
      </c>
      <c r="AK68" s="191"/>
      <c r="AL68" s="191">
        <f>AL66/AL67</f>
        <v>0.99123510261085679</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1.0013008403190806</v>
      </c>
      <c r="E69" s="191"/>
      <c r="F69" s="191">
        <f>F32/F65/($B$32)</f>
        <v>1.0024671058720762</v>
      </c>
      <c r="G69" s="191"/>
      <c r="H69" s="191">
        <f>H32/H65/($B$32)</f>
        <v>1.0034814179403662</v>
      </c>
      <c r="I69" s="191"/>
      <c r="J69" s="191">
        <f>J32/J65/($B$32)</f>
        <v>1.0043242126218541</v>
      </c>
      <c r="K69" s="191"/>
      <c r="L69" s="191">
        <f>L32/L65/($B$32)</f>
        <v>1.0049739117357204</v>
      </c>
      <c r="M69" s="191"/>
      <c r="N69" s="191">
        <f>N32/N65/($B$32)</f>
        <v>1.0054066474256125</v>
      </c>
      <c r="O69" s="191"/>
      <c r="P69" s="191">
        <f>P32/P65/($B$32)</f>
        <v>1.0055970827133407</v>
      </c>
      <c r="Q69" s="191"/>
      <c r="R69" s="191">
        <f>R32/R65/($B$32)</f>
        <v>1.0055190552609734</v>
      </c>
      <c r="S69" s="191"/>
      <c r="T69" s="191">
        <f>T32/T65/($B$32)</f>
        <v>1.0051482087523214</v>
      </c>
      <c r="U69" s="191"/>
      <c r="V69" s="191">
        <f>V32/V65/($B$32)</f>
        <v>1.0044659767474255</v>
      </c>
      <c r="W69" s="191"/>
      <c r="X69" s="191">
        <f>X32/X65/($B$32)</f>
        <v>1.0034641767011565</v>
      </c>
      <c r="Y69" s="191"/>
      <c r="Z69" s="191">
        <f>Z32/Z65/($B$32)</f>
        <v>1.0021344559282332</v>
      </c>
      <c r="AA69" s="191"/>
      <c r="AB69" s="191">
        <f>AB32/AB65/($B$32)</f>
        <v>1.0003689569214049</v>
      </c>
      <c r="AC69" s="191"/>
      <c r="AD69" s="191">
        <f>AD32/AD65/($B$32)</f>
        <v>0.99762620207596597</v>
      </c>
      <c r="AE69" s="191"/>
      <c r="AF69" s="191">
        <f>AF32/AF65/($B$32)</f>
        <v>0.9924627414738193</v>
      </c>
      <c r="AG69" s="191"/>
      <c r="AH69" s="191">
        <f>AH32/AH65/($B$32)</f>
        <v>0.9821875110068331</v>
      </c>
      <c r="AI69" s="191"/>
      <c r="AJ69" s="191">
        <f>AJ32/AJ65/($B$32)</f>
        <v>0.96156834456862039</v>
      </c>
      <c r="AK69" s="191"/>
      <c r="AL69" s="191">
        <f>AL32/AL65/($B$32)</f>
        <v>0.91703978039936263</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1.0008794874302531</v>
      </c>
      <c r="E70" s="138"/>
      <c r="F70" s="138">
        <f>F18/$B$18</f>
        <v>1.0016977510528902</v>
      </c>
      <c r="G70" s="138"/>
      <c r="H70" s="138">
        <f>H18/$B$18</f>
        <v>1.0024415697222946</v>
      </c>
      <c r="I70" s="138"/>
      <c r="J70" s="138">
        <f>J18/$B$18</f>
        <v>1.0030918046332502</v>
      </c>
      <c r="K70" s="138"/>
      <c r="L70" s="138">
        <f>L18/$B$18</f>
        <v>1.0036206307517213</v>
      </c>
      <c r="M70" s="138"/>
      <c r="N70" s="138">
        <f>N18/$B$18</f>
        <v>1.0039868824524751</v>
      </c>
      <c r="O70" s="138"/>
      <c r="P70" s="138">
        <f>P18/$B$18</f>
        <v>1.0041290537700867</v>
      </c>
      <c r="Q70" s="138"/>
      <c r="R70" s="138">
        <f>R18/$B$18</f>
        <v>1.0039531336758232</v>
      </c>
      <c r="S70" s="138"/>
      <c r="T70" s="138">
        <f>T18/$B$18</f>
        <v>1.0033120120799965</v>
      </c>
      <c r="U70" s="138"/>
      <c r="V70" s="138">
        <f>V18/$B$18</f>
        <v>1.0019688255949901</v>
      </c>
      <c r="W70" s="138"/>
      <c r="X70" s="138">
        <f>X18/$B$18</f>
        <v>0.99953417967671887</v>
      </c>
      <c r="Y70" s="138"/>
      <c r="Z70" s="138">
        <f>Z18/$B$18</f>
        <v>0.99537620251744574</v>
      </c>
      <c r="AA70" s="138"/>
      <c r="AB70" s="138">
        <f>AB18/$B$18</f>
        <v>0.98856927804309802</v>
      </c>
      <c r="AC70" s="138"/>
      <c r="AD70" s="138">
        <f>AD18/$B$18</f>
        <v>0.97803513452977042</v>
      </c>
      <c r="AE70" s="138"/>
      <c r="AF70" s="138">
        <f>AF18/$B$18</f>
        <v>0.96260893145530768</v>
      </c>
      <c r="AG70" s="138"/>
      <c r="AH70" s="138">
        <f>AH18/$B$18</f>
        <v>0.94015956519907218</v>
      </c>
      <c r="AI70" s="138"/>
      <c r="AJ70" s="138">
        <f>AJ18/$B$18</f>
        <v>0.90547369202719163</v>
      </c>
      <c r="AK70" s="138"/>
      <c r="AL70" s="138">
        <f>AL18/$B$18</f>
        <v>0.84453217896072885</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0.91802696230699488</v>
      </c>
      <c r="E71" s="138"/>
      <c r="F71" s="138">
        <f>G18/$C$18</f>
        <v>0.83516365573226481</v>
      </c>
      <c r="G71" s="138"/>
      <c r="H71" s="138">
        <f>I18/$C$18</f>
        <v>0.75146977554125649</v>
      </c>
      <c r="I71" s="138"/>
      <c r="J71" s="138">
        <f>K18/$C$18</f>
        <v>0.66707933694353305</v>
      </c>
      <c r="K71" s="138"/>
      <c r="L71" s="138">
        <f>M18/$C$18</f>
        <v>0.58223098631065007</v>
      </c>
      <c r="M71" s="138"/>
      <c r="N71" s="138">
        <f>O18/$C$18</f>
        <v>0.49732172955765003</v>
      </c>
      <c r="O71" s="138"/>
      <c r="P71" s="138">
        <f>Q18/$C$18</f>
        <v>0.41297449680651888</v>
      </c>
      <c r="Q71" s="138"/>
      <c r="R71" s="138">
        <f>S18/$C$18</f>
        <v>0.33015541080856736</v>
      </c>
      <c r="S71" s="138"/>
      <c r="T71" s="138">
        <f>U18/$C$18</f>
        <v>0.25034786964517297</v>
      </c>
      <c r="U71" s="138"/>
      <c r="V71" s="138">
        <f>W18/$C$18</f>
        <v>0.17582644018042029</v>
      </c>
      <c r="W71" s="138"/>
      <c r="X71" s="138">
        <f>Y18/$C$18</f>
        <v>0.11000539985776327</v>
      </c>
      <c r="Y71" s="138"/>
      <c r="Z71" s="138">
        <f>AA18/$C$18</f>
        <v>5.7544031236231627E-2</v>
      </c>
      <c r="AA71" s="138"/>
      <c r="AB71" s="138">
        <f>AC18/$C$18</f>
        <v>2.2950445509293215E-2</v>
      </c>
      <c r="AC71" s="138"/>
      <c r="AD71" s="138">
        <f>AE18/$C$18</f>
        <v>6.3152862666513519E-3</v>
      </c>
      <c r="AE71" s="138"/>
      <c r="AF71" s="138">
        <f>AG18/$C$18</f>
        <v>1.1072216951082047E-3</v>
      </c>
      <c r="AG71" s="138"/>
      <c r="AH71" s="138">
        <f>AI18/$C$18</f>
        <v>1.1093101474296953E-4</v>
      </c>
      <c r="AI71" s="138"/>
      <c r="AJ71" s="138">
        <f>AK18/$C$18</f>
        <v>4.9401886242182363E-6</v>
      </c>
      <c r="AK71" s="138"/>
      <c r="AL71" s="138">
        <f>AM18/$C$18</f>
        <v>5.5003979972502056E-8</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1.0792941172179449</v>
      </c>
      <c r="E72" s="138"/>
      <c r="F72" s="138">
        <f>G19/$C$19</f>
        <v>1.1673983310379945</v>
      </c>
      <c r="G72" s="138"/>
      <c r="H72" s="138">
        <f>I19/$C$19</f>
        <v>1.264837642598128</v>
      </c>
      <c r="I72" s="138"/>
      <c r="J72" s="138">
        <f>K19/$C$19</f>
        <v>1.3719177240996863</v>
      </c>
      <c r="K72" s="138"/>
      <c r="L72" s="138">
        <f>M19/$C$19</f>
        <v>1.4885669130825889</v>
      </c>
      <c r="M72" s="138"/>
      <c r="N72" s="138">
        <f>O19/$C$19</f>
        <v>1.6140978056050408</v>
      </c>
      <c r="O72" s="138"/>
      <c r="P72" s="138">
        <f>Q19/$C$19</f>
        <v>1.7468082180186235</v>
      </c>
      <c r="Q72" s="138"/>
      <c r="R72" s="138">
        <f>S19/$C$19</f>
        <v>1.8833204193520483</v>
      </c>
      <c r="S72" s="138"/>
      <c r="T72" s="138">
        <f>U19/$C$19</f>
        <v>2.0174245383642413</v>
      </c>
      <c r="U72" s="138"/>
      <c r="V72" s="138">
        <f>W19/$C$19</f>
        <v>2.1380650651927877</v>
      </c>
      <c r="W72" s="138"/>
      <c r="X72" s="138">
        <f>Y19/$C$19</f>
        <v>2.2260915092844997</v>
      </c>
      <c r="Y72" s="138"/>
      <c r="Z72" s="138">
        <f>AA19/$C$19</f>
        <v>2.2507844550191374</v>
      </c>
      <c r="AA72" s="138"/>
      <c r="AB72" s="138">
        <f>AC19/$C$19</f>
        <v>2.173869225210916</v>
      </c>
      <c r="AC72" s="138"/>
      <c r="AD72" s="138">
        <f>AE19/$C$19</f>
        <v>1.9766151755899233</v>
      </c>
      <c r="AE72" s="138"/>
      <c r="AF72" s="138">
        <f>AG19/$C$19</f>
        <v>1.6888404694903303</v>
      </c>
      <c r="AG72" s="138"/>
      <c r="AH72" s="138">
        <f>AI19/$C$19</f>
        <v>1.3607081557471918</v>
      </c>
      <c r="AI72" s="138"/>
      <c r="AJ72" s="138">
        <f>AK19/$C$19</f>
        <v>1.0218166927354322</v>
      </c>
      <c r="AK72" s="138"/>
      <c r="AL72" s="138">
        <f>AM19/$C$19</f>
        <v>0.68128812503763947</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0.47641153352875076</v>
      </c>
      <c r="D73" s="193">
        <f t="array" ref="D73">SUM(D9:E9*D22:E22)/D32</f>
        <v>0.47641153321198543</v>
      </c>
      <c r="E73" s="138"/>
      <c r="F73" s="193">
        <f t="array" ref="F73">SUM(F9:G9*F22:G22)/F32</f>
        <v>0.47641153306744766</v>
      </c>
      <c r="G73" s="138"/>
      <c r="H73" s="193">
        <f t="array" ref="H73">SUM(H9:I9*H22:I22)/H32</f>
        <v>0.47641153288237825</v>
      </c>
      <c r="I73" s="138"/>
      <c r="J73" s="193">
        <f t="array" ref="J73">SUM(J9:K9*J22:K22)/J32</f>
        <v>0.47641153462492725</v>
      </c>
      <c r="K73" s="138"/>
      <c r="L73" s="193">
        <f t="array" ref="L73">SUM(L9:M9*L22:M22)/L32</f>
        <v>0.47641153353669241</v>
      </c>
      <c r="M73" s="138"/>
      <c r="N73" s="193">
        <f t="array" ref="N73">SUM(N9:O9*N22:O22)/N32</f>
        <v>0.47641153311775947</v>
      </c>
      <c r="O73" s="138"/>
      <c r="P73" s="193">
        <f t="array" ref="P73">SUM(P9:Q9*P22:Q22)/P32</f>
        <v>0.47641154820655229</v>
      </c>
      <c r="Q73" s="138"/>
      <c r="R73" s="193">
        <f t="array" ref="R73">SUM(R9:S9*R22:S22)/R32</f>
        <v>0.47641154582789197</v>
      </c>
      <c r="S73" s="138"/>
      <c r="T73" s="193">
        <f t="array" ref="T73">SUM(T9:U9*T22:U22)/T32</f>
        <v>0.47641153338468079</v>
      </c>
      <c r="U73" s="138"/>
      <c r="V73" s="193">
        <f t="array" ref="V73">SUM(V9:W9*V22:W22)/V32</f>
        <v>0.47641153298376321</v>
      </c>
      <c r="W73" s="138"/>
      <c r="X73" s="193">
        <f t="array" ref="X73">SUM(X9:Y9*X22:Y22)/X32</f>
        <v>0.47641153303447598</v>
      </c>
      <c r="Y73" s="138"/>
      <c r="Z73" s="193">
        <f t="array" ref="Z73">SUM(Z9:AA9*Z22:AA22)/Z32</f>
        <v>0.47641153333689873</v>
      </c>
      <c r="AA73" s="138"/>
      <c r="AB73" s="193">
        <f t="array" ref="AB73">SUM(AB9:AC9*AB22:AC22)/AB32</f>
        <v>0.47641153415907916</v>
      </c>
      <c r="AC73" s="138"/>
      <c r="AD73" s="193">
        <f t="array" ref="AD73">SUM(AD9:AE9*AD22:AE22)/AD32</f>
        <v>0.47641153352293469</v>
      </c>
      <c r="AE73" s="138"/>
      <c r="AF73" s="193">
        <f t="array" ref="AF73">SUM(AF9:AG9*AF22:AG22)/AF32</f>
        <v>0.47641153352947613</v>
      </c>
      <c r="AG73" s="138"/>
      <c r="AH73" s="193">
        <f t="array" ref="AH73">SUM(AH9:AI9*AH22:AI22)/AH32</f>
        <v>0.47641153352875981</v>
      </c>
      <c r="AI73" s="138"/>
      <c r="AJ73" s="193">
        <f t="array" ref="AJ73">SUM(AJ9:AK9*AJ22:AK22)/AJ32</f>
        <v>0.47641153352875187</v>
      </c>
      <c r="AK73" s="138"/>
      <c r="AL73" s="193">
        <f t="array" ref="AL73">SUM(AL9:AM9*AL22:AM22)/AL32</f>
        <v>0.47641153352875149</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0.22604620456442487</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0.22038438831114429</v>
      </c>
      <c r="E75" s="138"/>
      <c r="F75" s="193">
        <f t="array" ref="F75">SUM(F11:G11*F24:G24)/F32</f>
        <v>0.22038438829730289</v>
      </c>
      <c r="G75" s="138"/>
      <c r="H75" s="193">
        <f t="array" ref="H75">SUM(H11:I11*H24:I24)/H32</f>
        <v>0.22038438826952012</v>
      </c>
      <c r="I75" s="138"/>
      <c r="J75" s="193">
        <f t="array" ref="J75">SUM(J11:K11*J24:K24)/J32</f>
        <v>0.22038438848230227</v>
      </c>
      <c r="K75" s="138"/>
      <c r="L75" s="193">
        <f t="array" ref="L75">SUM(L11:M11*L24:M24)/L32</f>
        <v>0.22038438835346272</v>
      </c>
      <c r="M75" s="138"/>
      <c r="N75" s="193">
        <f t="array" ref="N75">SUM(N11:O11*N24:O24)/N32</f>
        <v>0.22038438838771301</v>
      </c>
      <c r="O75" s="138"/>
      <c r="P75" s="193">
        <f t="array" ref="P75">SUM(P11:Q11*P24:Q24)/P32</f>
        <v>0.220384388286891</v>
      </c>
      <c r="Q75" s="138"/>
      <c r="R75" s="193">
        <f t="array" ref="R75">SUM(R11:S11*R24:S24)/R32</f>
        <v>0.2203843883102268</v>
      </c>
      <c r="S75" s="138"/>
      <c r="T75" s="193">
        <f t="array" ref="T75">SUM(T11:U11*T24:U24)/T32</f>
        <v>0.22038438835645147</v>
      </c>
      <c r="U75" s="138"/>
      <c r="V75" s="193">
        <f t="array" ref="V75">SUM(V11:W11*V24:W24)/V32</f>
        <v>0.22038438836838209</v>
      </c>
      <c r="W75" s="138"/>
      <c r="X75" s="193">
        <f t="array" ref="X75">SUM(X11:Y11*X24:Y24)/X32</f>
        <v>0.22038438833496421</v>
      </c>
      <c r="Y75" s="138"/>
      <c r="Z75" s="193">
        <f t="array" ref="Z75">SUM(Z11:AA11*Z24:AA24)/Z32</f>
        <v>0.22038438833230869</v>
      </c>
      <c r="AA75" s="138"/>
      <c r="AB75" s="193">
        <f t="array" ref="AB75">SUM(AB11:AC11*AB24:AC24)/AB32</f>
        <v>0.22038438833254526</v>
      </c>
      <c r="AC75" s="138"/>
      <c r="AD75" s="193">
        <f t="array" ref="AD75">SUM(AD11:AE11*AD24:AE24)/AD32</f>
        <v>0.22038438833188134</v>
      </c>
      <c r="AE75" s="138"/>
      <c r="AF75" s="193">
        <f t="array" ref="AF75">SUM(AF11:AG11*AF24:AG24)/AF32</f>
        <v>0.2203843883319688</v>
      </c>
      <c r="AG75" s="138"/>
      <c r="AH75" s="193">
        <f t="array" ref="AH75">SUM(AH11:AI11*AH24:AI24)/AH32</f>
        <v>0.2203843883319426</v>
      </c>
      <c r="AI75" s="138"/>
      <c r="AJ75" s="193">
        <f t="array" ref="AJ75">SUM(AJ11:AK11*AJ24:AK24)/AJ32</f>
        <v>0.22038438833194091</v>
      </c>
      <c r="AK75" s="138"/>
      <c r="AL75" s="193">
        <f t="array" ref="AL75">SUM(AL11:AM11*AL24:AM24)/AL32</f>
        <v>0.22038438833194085</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0.22345228036901291</v>
      </c>
      <c r="E76" s="138"/>
      <c r="F76" s="193">
        <f t="array" ref="F76">SUM(F12:G12*F25:G25)/F32</f>
        <v>0.22400881237429141</v>
      </c>
      <c r="G76" s="138"/>
      <c r="H76" s="193">
        <f t="array" ref="H76">SUM(H12:I12*H25:I25)/H32</f>
        <v>0.22469761582869766</v>
      </c>
      <c r="I76" s="138"/>
      <c r="J76" s="193">
        <f t="array" ref="J76">SUM(J12:K12*J25:K25)/J32</f>
        <v>0.22552565980054584</v>
      </c>
      <c r="K76" s="138"/>
      <c r="L76" s="193">
        <f t="array" ref="L76">SUM(L12:M12*L25:M25)/L32</f>
        <v>0.22649546468055715</v>
      </c>
      <c r="M76" s="138"/>
      <c r="N76" s="193">
        <f t="array" ref="N76">SUM(N12:O12*N25:O25)/N32</f>
        <v>0.22760177368338846</v>
      </c>
      <c r="O76" s="138"/>
      <c r="P76" s="193">
        <f t="array" ref="P76">SUM(P12:Q12*P25:Q25)/P32</f>
        <v>0.22882572024383729</v>
      </c>
      <c r="Q76" s="138"/>
      <c r="R76" s="193">
        <f t="array" ref="R76">SUM(R12:S12*R25:S25)/R32</f>
        <v>0.23012504969164368</v>
      </c>
      <c r="S76" s="138"/>
      <c r="T76" s="193">
        <f t="array" ref="T76">SUM(T12:U12*T25:U25)/T32</f>
        <v>0.23141646571948496</v>
      </c>
      <c r="U76" s="138"/>
      <c r="V76" s="193">
        <f t="array" ref="V76">SUM(V12:W12*V25:W25)/V32</f>
        <v>0.2325447076851431</v>
      </c>
      <c r="W76" s="138"/>
      <c r="X76" s="193">
        <f t="array" ref="X76">SUM(X12:Y12*X25:Y25)/X32</f>
        <v>0.23323214655325161</v>
      </c>
      <c r="Y76" s="138"/>
      <c r="Z76" s="193">
        <f t="array" ref="Z76">SUM(Z12:AA12*Z25:AA25)/Z32</f>
        <v>0.23302366716583911</v>
      </c>
      <c r="AA76" s="138"/>
      <c r="AB76" s="193">
        <f t="array" ref="AB76">SUM(AB12:AC12*AB25:AC25)/AB32</f>
        <v>0.23134305393875371</v>
      </c>
      <c r="AC76" s="138"/>
      <c r="AD76" s="193">
        <f t="array" ref="AD76">SUM(AD12:AE12*AD25:AE25)/AD32</f>
        <v>0.22789310678389543</v>
      </c>
      <c r="AE76" s="138"/>
      <c r="AF76" s="193">
        <f t="array" ref="AF76">SUM(AF12:AG12*AF25:AG25)/AF32</f>
        <v>0.22307228492519468</v>
      </c>
      <c r="AG76" s="138"/>
      <c r="AH76" s="193">
        <f t="array" ref="AH76">SUM(AH12:AI12*AH25:AI25)/AH32</f>
        <v>0.21752561339865453</v>
      </c>
      <c r="AI76" s="138"/>
      <c r="AJ76" s="193">
        <f t="array" ref="AJ76">SUM(AJ12:AK12*AJ25:AK25)/AJ32</f>
        <v>0.21149629134598624</v>
      </c>
      <c r="AK76" s="138"/>
      <c r="AL76" s="193">
        <f t="array" ref="AL76">SUM(AL12:AM12*AL25:AM25)/AL32</f>
        <v>0.20469391444066087</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0.14629440645656733</v>
      </c>
      <c r="E77" s="138"/>
      <c r="F77" s="193">
        <f t="array" ref="F77">SUM(F4:G4*F19:G19)/F32</f>
        <v>0.14685093830346674</v>
      </c>
      <c r="G77" s="138"/>
      <c r="H77" s="193">
        <f t="array" ref="H77">SUM(H4:I4*H19:I19)/H32</f>
        <v>0.14753974154502059</v>
      </c>
      <c r="I77" s="138"/>
      <c r="J77" s="193">
        <f t="array" ref="J77">SUM(J4:K4*J19:K19)/J32</f>
        <v>0.14836778747220017</v>
      </c>
      <c r="K77" s="138"/>
      <c r="L77" s="193">
        <f t="array" ref="L77">SUM(L4:M4*L19:M19)/L32</f>
        <v>0.14933759113513695</v>
      </c>
      <c r="M77" s="138"/>
      <c r="N77" s="193">
        <f t="array" ref="N77">SUM(N4:O4*N19:O19)/N32</f>
        <v>0.15044389975328579</v>
      </c>
      <c r="O77" s="138"/>
      <c r="P77" s="193">
        <f t="array" ref="P77">SUM(P4:Q4*P19:Q19)/P32</f>
        <v>0.15166786130170518</v>
      </c>
      <c r="Q77" s="138"/>
      <c r="R77" s="193">
        <f t="array" ref="R77">SUM(R4:S4*R19:S19)/R32</f>
        <v>0.1529671883941871</v>
      </c>
      <c r="S77" s="138"/>
      <c r="T77" s="193">
        <f t="array" ref="T77">SUM(T4:U4*T19:U19)/T32</f>
        <v>0.15425859202504183</v>
      </c>
      <c r="U77" s="138"/>
      <c r="V77" s="193">
        <f t="array" ref="V77">SUM(V4:W4*V19:W19)/V32</f>
        <v>0.1553868336017131</v>
      </c>
      <c r="W77" s="138"/>
      <c r="X77" s="193">
        <f t="array" ref="X77">SUM(X4:Y4*X19:Y19)/X32</f>
        <v>0.15607427248711661</v>
      </c>
      <c r="Y77" s="138"/>
      <c r="Z77" s="193">
        <f t="array" ref="Z77">SUM(Z4:AA4*Z19:AA19)/Z32</f>
        <v>0.15586579339947124</v>
      </c>
      <c r="AA77" s="138"/>
      <c r="AB77" s="193">
        <f t="array" ref="AB77">SUM(AB4:AC4*AB19:AC19)/AB32</f>
        <v>0.15418518099480275</v>
      </c>
      <c r="AC77" s="138"/>
      <c r="AD77" s="193">
        <f t="array" ref="AD77">SUM(AD4:AE4*AD19:AE19)/AD32</f>
        <v>0.15073523320313617</v>
      </c>
      <c r="AE77" s="138"/>
      <c r="AF77" s="193">
        <f t="array" ref="AF77">SUM(AF4:AG4*AF19:AG19)/AF32</f>
        <v>0.14591441135106425</v>
      </c>
      <c r="AG77" s="138"/>
      <c r="AH77" s="193">
        <f t="array" ref="AH77">SUM(AH4:AI4*AH19:AI19)/AH32</f>
        <v>0.14036773982378165</v>
      </c>
      <c r="AI77" s="138"/>
      <c r="AJ77" s="193">
        <f t="array" ref="AJ77">SUM(AJ4:AK4*AJ19:AK19)/AJ32</f>
        <v>0.1343384177711037</v>
      </c>
      <c r="AK77" s="138"/>
      <c r="AL77" s="193">
        <f t="array" ref="AL77">SUM(AL4:AM4*AL19:AM19)/AL32</f>
        <v>0.12753604086577805</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0.346654986595899</v>
      </c>
      <c r="E78" s="138"/>
      <c r="F78" s="193">
        <f t="array" ref="F78">SUM(F13:G13*F26:G26)/F32</f>
        <v>0.34641650043098177</v>
      </c>
      <c r="G78" s="138"/>
      <c r="H78" s="193">
        <f t="array" ref="H78">SUM(H13:I13*H26:I26)/H32</f>
        <v>0.34616852700952983</v>
      </c>
      <c r="I78" s="138"/>
      <c r="J78" s="193">
        <f t="array" ref="J78">SUM(J13:K13*J26:K26)/J32</f>
        <v>0.34590450496734138</v>
      </c>
      <c r="K78" s="138"/>
      <c r="L78" s="193">
        <f t="array" ref="L78">SUM(L13:M13*L26:M26)/L32</f>
        <v>0.34561319907217064</v>
      </c>
      <c r="M78" s="138"/>
      <c r="N78" s="193">
        <f t="array" ref="N78">SUM(N13:O13*N26:O26)/N32</f>
        <v>0.34527596922186543</v>
      </c>
      <c r="O78" s="138"/>
      <c r="P78" s="193">
        <f t="array" ref="P78">SUM(P13:Q13*P26:Q26)/P32</f>
        <v>0.34486226916009383</v>
      </c>
      <c r="Q78" s="138"/>
      <c r="R78" s="193">
        <f t="array" ref="R78">SUM(R13:S13*R26:S26)/R32</f>
        <v>0.34432203340053219</v>
      </c>
      <c r="S78" s="138"/>
      <c r="T78" s="193">
        <f t="array" ref="T78">SUM(T13:U13*T26:U26)/T32</f>
        <v>0.34357226644706307</v>
      </c>
      <c r="U78" s="138"/>
      <c r="V78" s="193">
        <f t="array" ref="V78">SUM(V13:W13*V26:W26)/V32</f>
        <v>0.34247328768450502</v>
      </c>
      <c r="W78" s="138"/>
      <c r="X78" s="193">
        <f t="array" ref="X78">SUM(X13:Y13*X26:Y26)/X32</f>
        <v>0.3407884982596453</v>
      </c>
      <c r="Y78" s="138"/>
      <c r="Z78" s="193">
        <f t="array" ref="Z78">SUM(Z13:AA13*Z26:AA26)/Z32</f>
        <v>0.33813127092811146</v>
      </c>
      <c r="AA78" s="138"/>
      <c r="AB78" s="193">
        <f t="array" ref="AB78">SUM(AB13:AC13*AB26:AC26)/AB32</f>
        <v>0.33396046981633398</v>
      </c>
      <c r="AC78" s="138"/>
      <c r="AD78" s="193">
        <f t="array" ref="AD78">SUM(AD13:AE13*AD26:AE26)/AD32</f>
        <v>0.3277619118397832</v>
      </c>
      <c r="AE78" s="138"/>
      <c r="AF78" s="193">
        <f t="array" ref="AF78">SUM(AF13:AG13*AF26:AG26)/AF32</f>
        <v>0.3192225578857239</v>
      </c>
      <c r="AG78" s="138"/>
      <c r="AH78" s="193">
        <f t="array" ref="AH78">SUM(AH13:AI13*AH26:AI26)/AH32</f>
        <v>0.30778374124985847</v>
      </c>
      <c r="AI78" s="138"/>
      <c r="AJ78" s="193">
        <f t="array" ref="AJ78">SUM(AJ13:AK13*AJ26:AK26)/AJ32</f>
        <v>0.29169907092535985</v>
      </c>
      <c r="AK78" s="138"/>
      <c r="AL78" s="193">
        <f t="array" ref="AL78">SUM(AL13:AM13*AL26:AM26)/AL32</f>
        <v>0.26614368418686207</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0.45112372204487788</v>
      </c>
      <c r="F79" s="193">
        <f t="array" ref="F79">SUM(F15:G15*F27:G27)/F32</f>
        <v>0.44760781125641547</v>
      </c>
      <c r="H79" s="193">
        <f t="array" ref="H79">SUM(H15:I15*H27:I27)/H32</f>
        <v>0.44405830884655645</v>
      </c>
      <c r="J79" s="193">
        <f t="array" ref="J79">SUM(J15:K15*J27:K27)/J32</f>
        <v>0.44047062138843396</v>
      </c>
      <c r="L79" s="193">
        <f t="array" ref="L79">SUM(L15:M15*L27:M27)/L32</f>
        <v>0.43683821669320477</v>
      </c>
      <c r="N79" s="193">
        <f t="array" ref="N79">SUM(N15:O15*N27:O27)/N32</f>
        <v>0.43315146076651878</v>
      </c>
      <c r="P79" s="193">
        <f t="array" ref="P79">SUM(P15:Q15*P27:Q27)/P32</f>
        <v>0.42939471793554523</v>
      </c>
      <c r="R79" s="193">
        <f t="array" ref="R79">SUM(R15:S15*R27:S27)/R32</f>
        <v>0.42554185759125873</v>
      </c>
      <c r="T79" s="193">
        <f t="array" ref="T79">SUM(T15:U15*T27:U27)/T32</f>
        <v>0.42154703118088871</v>
      </c>
      <c r="V79" s="193">
        <f t="array" ref="V79">SUM(V15:W15*V27:W27)/V32</f>
        <v>0.41732736299190826</v>
      </c>
      <c r="X79" s="193">
        <f t="array" ref="X79">SUM(X15:Y15*X27:Y27)/X32</f>
        <v>0.41272955621468055</v>
      </c>
      <c r="Z79" s="193">
        <f t="array" ref="Z79">SUM(Z15:AA15*Z27:AA27)/Z32</f>
        <v>0.40747301172308709</v>
      </c>
      <c r="AB79" s="193">
        <f t="array" ref="AB79">SUM(AB15:AC15*AB27:AC27)/AB32</f>
        <v>0.40109342972796719</v>
      </c>
      <c r="AD79" s="193">
        <f t="array" ref="AD79">SUM(AD15:AE15*AD27:AE27)/AD32</f>
        <v>0.39299169934139982</v>
      </c>
      <c r="AF79" s="193">
        <f t="array" ref="AF79">SUM(AF15:AG15*AF27:AG27)/AF32</f>
        <v>0.38254435522605318</v>
      </c>
      <c r="AH79" s="193">
        <f t="array" ref="AH79">SUM(AH15:AI15*AH27:AI27)/AH32</f>
        <v>0.36879589983591343</v>
      </c>
      <c r="AJ79" s="193">
        <f t="array" ref="AJ79">SUM(AJ15:AK15*AJ27:AK27)/AJ32</f>
        <v>0.34951834845692098</v>
      </c>
      <c r="AL79" s="193">
        <f t="array" ref="AL79">SUM(AL15:AM15*AL27:AM27)/AL32</f>
        <v>0.31889728242059989</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0.20222128831926059</v>
      </c>
      <c r="F80" s="236">
        <f>F55</f>
        <v>0.20597568316676634</v>
      </c>
      <c r="H80" s="236">
        <f>H55</f>
        <v>0.20977315470734195</v>
      </c>
      <c r="J80" s="236">
        <f>J55</f>
        <v>0.21362490292877465</v>
      </c>
      <c r="L80" s="236">
        <f>L55</f>
        <v>0.21754858800036164</v>
      </c>
      <c r="N80" s="236">
        <f>N55</f>
        <v>0.22157258011379019</v>
      </c>
      <c r="P80" s="236">
        <f>P55</f>
        <v>0.22574301226548921</v>
      </c>
      <c r="R80" s="236">
        <f>R55</f>
        <v>0.23013610874664941</v>
      </c>
      <c r="T80" s="236">
        <f>T55</f>
        <v>0.23488070923694751</v>
      </c>
      <c r="V80" s="236">
        <f>V55</f>
        <v>0.24019936263366282</v>
      </c>
      <c r="X80" s="236">
        <f>X55</f>
        <v>0.24648194725159669</v>
      </c>
      <c r="Z80" s="236">
        <f>Z55</f>
        <v>0.254395718212169</v>
      </c>
      <c r="AB80" s="236">
        <f>AB55</f>
        <v>0.26494610114909151</v>
      </c>
      <c r="AD80" s="236">
        <f>AD55</f>
        <v>0.27924638893737391</v>
      </c>
      <c r="AF80" s="236">
        <f>AF55</f>
        <v>0.29823308682103428</v>
      </c>
      <c r="AH80" s="236">
        <f>AH55</f>
        <v>0.32342035890673099</v>
      </c>
      <c r="AJ80" s="236">
        <f>AJ55</f>
        <v>0.35878258061997659</v>
      </c>
      <c r="AL80" s="236">
        <f>AL55</f>
        <v>0.41495903339258144</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-2.3824916245164255E-2</v>
      </c>
      <c r="F81" s="236">
        <f>F51/F$32</f>
        <v>-2.0070521397658497E-2</v>
      </c>
      <c r="H81" s="236">
        <f>H51/H$32</f>
        <v>-1.6273049857082895E-2</v>
      </c>
      <c r="J81" s="236">
        <f>J51/J$32</f>
        <v>-1.2421301635650193E-2</v>
      </c>
      <c r="L81" s="236">
        <f>L51/L$32</f>
        <v>-8.497616564063195E-3</v>
      </c>
      <c r="N81" s="236">
        <f>N51/N$32</f>
        <v>-4.4736244506346692E-3</v>
      </c>
      <c r="P81" s="236">
        <f>P51/P$32</f>
        <v>-3.0319229893563659E-4</v>
      </c>
      <c r="R81" s="236">
        <f>R51/R$32</f>
        <v>4.0899041822245836E-3</v>
      </c>
      <c r="T81" s="236">
        <f>T51/T$32</f>
        <v>8.8345046725226816E-3</v>
      </c>
      <c r="V81" s="236">
        <f>V51/V$32</f>
        <v>1.4153158069237975E-2</v>
      </c>
      <c r="X81" s="236">
        <f>X51/X$32</f>
        <v>2.043574268717185E-2</v>
      </c>
      <c r="Z81" s="236">
        <f>Z51/Z$32</f>
        <v>2.834951364774415E-2</v>
      </c>
      <c r="AB81" s="236">
        <f>AB51/AB$32</f>
        <v>3.8899896584666645E-2</v>
      </c>
      <c r="AD81" s="236">
        <f>AD51/AD$32</f>
        <v>5.3200184372949079E-2</v>
      </c>
      <c r="AF81" s="236">
        <f>AF51/AF$32</f>
        <v>7.218688225660945E-2</v>
      </c>
      <c r="AH81" s="236">
        <f>AH51/AH$32</f>
        <v>9.7374154342306174E-2</v>
      </c>
      <c r="AJ81" s="236">
        <f>AJ51/AJ$32</f>
        <v>0.13273637605555175</v>
      </c>
      <c r="AL81" s="236">
        <f>AL51/AL$32</f>
        <v>0.18891282882815663</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0.1389853432063351</v>
      </c>
      <c r="F82" s="236">
        <f>F52/F$32</f>
        <v>0.13888972628818119</v>
      </c>
      <c r="H82" s="236">
        <f>H52/H$32</f>
        <v>0.13879030561800712</v>
      </c>
      <c r="J82" s="236">
        <f>J52/J$32</f>
        <v>0.13868445052990372</v>
      </c>
      <c r="L82" s="236">
        <f>L52/L$32</f>
        <v>0.13856765645111108</v>
      </c>
      <c r="N82" s="236">
        <f>N52/N$32</f>
        <v>0.13843244995388354</v>
      </c>
      <c r="P82" s="236">
        <f>P52/P$32</f>
        <v>0.13826658404312764</v>
      </c>
      <c r="R82" s="236">
        <f>R52/R$32</f>
        <v>0.13804998582484632</v>
      </c>
      <c r="T82" s="236">
        <f>T52/T$32</f>
        <v>0.13774937968507614</v>
      </c>
      <c r="V82" s="236">
        <f>V52/V$32</f>
        <v>0.13730876308818105</v>
      </c>
      <c r="X82" s="236">
        <f>X52/X$32</f>
        <v>0.13663327580111226</v>
      </c>
      <c r="Z82" s="236">
        <f>Z52/Z$32</f>
        <v>0.13556790629272261</v>
      </c>
      <c r="AB82" s="236">
        <f>AB52/AB$32</f>
        <v>0.13389569545953042</v>
      </c>
      <c r="AD82" s="236">
        <f>AD52/AD$32</f>
        <v>0.1314104904543604</v>
      </c>
      <c r="AF82" s="236">
        <f>AF52/AF$32</f>
        <v>0.1279867836393512</v>
      </c>
      <c r="AH82" s="236">
        <f>AH52/AH$32</f>
        <v>0.12340058722653749</v>
      </c>
      <c r="AJ82" s="236">
        <f>AJ52/AJ$32</f>
        <v>0.11695171583609881</v>
      </c>
      <c r="AL82" s="236">
        <f>AL52/AL$32</f>
        <v>0.106705723901873</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0.18458083419577423</v>
      </c>
      <c r="F83" s="236">
        <f>F53/F$32</f>
        <v>0.18314227152531518</v>
      </c>
      <c r="H83" s="236">
        <f>H53/H$32</f>
        <v>0.18168996457762929</v>
      </c>
      <c r="J83" s="236">
        <f>J53/J$32</f>
        <v>0.18022203391583161</v>
      </c>
      <c r="L83" s="236">
        <f>L53/L$32</f>
        <v>0.17873580684326071</v>
      </c>
      <c r="N83" s="236">
        <f>N53/N$32</f>
        <v>0.17722734153503156</v>
      </c>
      <c r="P83" s="236">
        <f>P53/P$32</f>
        <v>0.17569024053210289</v>
      </c>
      <c r="R83" s="236">
        <f>R53/R$32</f>
        <v>0.17411381228939238</v>
      </c>
      <c r="T83" s="236">
        <f>T53/T$32</f>
        <v>0.17247929750938695</v>
      </c>
      <c r="V83" s="236">
        <f>V53/V$32</f>
        <v>0.17075278693969034</v>
      </c>
      <c r="X83" s="236">
        <f>X53/X$32</f>
        <v>0.16887155797978373</v>
      </c>
      <c r="Z83" s="236">
        <f>Z53/Z$32</f>
        <v>0.16672080128082875</v>
      </c>
      <c r="AB83" s="236">
        <f>AB53/AB$32</f>
        <v>0.1641105449166945</v>
      </c>
      <c r="AD83" s="236">
        <f>AD53/AD$32</f>
        <v>0.16079565793535086</v>
      </c>
      <c r="AF83" s="236">
        <f>AF53/AF$32</f>
        <v>0.15652104456942115</v>
      </c>
      <c r="AH83" s="236">
        <f>AH53/AH$32</f>
        <v>0.15089575545070144</v>
      </c>
      <c r="AJ83" s="236">
        <f>AJ53/AJ$32</f>
        <v>0.1430081930351024</v>
      </c>
      <c r="AL83" s="236">
        <f>AL53/AL$32</f>
        <v>0.13047934199767952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topLeftCell="E1" workbookViewId="0">
      <pane ySplit="1" topLeftCell="A2" activePane="bottomLeft" state="frozen"/>
      <selection pane="bottomLeft" activeCell="V36" sqref="V3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5.0986595952439685E-2</v>
      </c>
      <c r="E2" s="227"/>
      <c r="F2" s="226">
        <v>0.1002024731226754</v>
      </c>
      <c r="G2" s="227"/>
      <c r="H2" s="226">
        <v>0.15441513320563208</v>
      </c>
      <c r="I2" s="227"/>
      <c r="J2" s="226">
        <v>0.21505920820076083</v>
      </c>
      <c r="K2" s="227"/>
      <c r="L2" s="226">
        <v>0.28426081021791094</v>
      </c>
      <c r="M2" s="227"/>
      <c r="N2" s="226">
        <v>0.36529133159058286</v>
      </c>
      <c r="O2" s="227"/>
      <c r="P2" s="226">
        <v>0.46343161747934436</v>
      </c>
      <c r="Q2" s="227"/>
      <c r="R2" s="226">
        <v>0.58772450364103568</v>
      </c>
      <c r="S2" s="227"/>
      <c r="T2" s="226">
        <v>0.75472753268333159</v>
      </c>
      <c r="U2" s="227"/>
      <c r="V2" s="226">
        <v>0.99663154414350219</v>
      </c>
      <c r="W2" s="227"/>
      <c r="X2" s="226">
        <v>1.376307064075603</v>
      </c>
      <c r="Y2" s="227"/>
      <c r="Z2" s="226">
        <v>2.0012418218519104</v>
      </c>
      <c r="AA2" s="227"/>
      <c r="AB2" s="226">
        <v>3.0218989434079977</v>
      </c>
      <c r="AC2" s="227"/>
      <c r="AD2" s="226">
        <v>4.6791262984123501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997.1165208261109</v>
      </c>
      <c r="E3" s="85">
        <v>1027.2150451099362</v>
      </c>
      <c r="F3" s="84">
        <v>994.13362050643605</v>
      </c>
      <c r="G3" s="85">
        <v>1056.4435609513719</v>
      </c>
      <c r="H3" s="84">
        <v>991.06079673623049</v>
      </c>
      <c r="I3" s="85">
        <v>1088.1178731047166</v>
      </c>
      <c r="J3" s="84">
        <v>987.91765929307473</v>
      </c>
      <c r="K3" s="85">
        <v>1122.8703270526746</v>
      </c>
      <c r="L3" s="84">
        <v>984.73785969195251</v>
      </c>
      <c r="M3" s="85">
        <v>1161.6445002541318</v>
      </c>
      <c r="N3" s="84">
        <v>981.57617258164839</v>
      </c>
      <c r="O3" s="85">
        <v>1205.8902644535399</v>
      </c>
      <c r="P3" s="84">
        <v>978.52171787819611</v>
      </c>
      <c r="Q3" s="85">
        <v>1257.9280367730455</v>
      </c>
      <c r="R3" s="84">
        <v>975.72311444784248</v>
      </c>
      <c r="S3" s="85">
        <v>1321.6702170830167</v>
      </c>
      <c r="T3" s="84">
        <v>973.43520110665474</v>
      </c>
      <c r="U3" s="85">
        <v>1404.1200913243229</v>
      </c>
      <c r="V3" s="84">
        <v>972.09067464628095</v>
      </c>
      <c r="W3" s="85">
        <v>1518.4655030708029</v>
      </c>
      <c r="X3" s="84">
        <v>972.31313497927681</v>
      </c>
      <c r="Y3" s="85">
        <v>1689.3043725548241</v>
      </c>
      <c r="Z3" s="84">
        <v>974.52092254868433</v>
      </c>
      <c r="AA3" s="85">
        <v>1955.9152123151412</v>
      </c>
      <c r="AB3" s="84">
        <v>978.19344259924719</v>
      </c>
      <c r="AC3" s="85">
        <v>2368.9823196157367</v>
      </c>
      <c r="AD3" s="84">
        <v>982.2980580440327</v>
      </c>
      <c r="AE3" s="85">
        <v>3008.091899342603</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996.97185035139717</v>
      </c>
      <c r="E5" s="42">
        <v>1023.3087260792122</v>
      </c>
      <c r="F5" s="41">
        <v>993.8339404627244</v>
      </c>
      <c r="G5" s="42">
        <v>1046.9829754416567</v>
      </c>
      <c r="H5" s="41">
        <v>990.59571660754034</v>
      </c>
      <c r="I5" s="42">
        <v>1070.9692917560062</v>
      </c>
      <c r="J5" s="41">
        <v>987.27736069622017</v>
      </c>
      <c r="K5" s="42">
        <v>1095.2157726252724</v>
      </c>
      <c r="L5" s="41">
        <v>983.91405689274018</v>
      </c>
      <c r="M5" s="42">
        <v>1119.6642299596269</v>
      </c>
      <c r="N5" s="41">
        <v>980.56365224297633</v>
      </c>
      <c r="O5" s="42">
        <v>1144.231359897002</v>
      </c>
      <c r="P5" s="41">
        <v>977.32092095292114</v>
      </c>
      <c r="Q5" s="42">
        <v>1168.770907736071</v>
      </c>
      <c r="R5" s="41">
        <v>974.34464217049344</v>
      </c>
      <c r="S5" s="42">
        <v>1192.9945258897912</v>
      </c>
      <c r="T5" s="41">
        <v>971.90778486913473</v>
      </c>
      <c r="U5" s="42">
        <v>1216.3096496506187</v>
      </c>
      <c r="V5" s="41">
        <v>970.47417410061587</v>
      </c>
      <c r="W5" s="42">
        <v>1237.5109419796527</v>
      </c>
      <c r="X5" s="41">
        <v>970.71145364488655</v>
      </c>
      <c r="Y5" s="42">
        <v>1254.474598064415</v>
      </c>
      <c r="Z5" s="41">
        <v>973.06460214968274</v>
      </c>
      <c r="AA5" s="42">
        <v>1264.9894886364832</v>
      </c>
      <c r="AB5" s="41">
        <v>976.97206081632589</v>
      </c>
      <c r="AC5" s="42">
        <v>1269.466952879048</v>
      </c>
      <c r="AD5" s="41">
        <v>981.32917781096342</v>
      </c>
      <c r="AE5" s="42">
        <v>1270.7625842297293</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996.74173335620117</v>
      </c>
      <c r="E6" s="42">
        <v>1029.3157955647794</v>
      </c>
      <c r="F6" s="41">
        <v>993.368527234471</v>
      </c>
      <c r="G6" s="42">
        <v>1060.6748863945234</v>
      </c>
      <c r="H6" s="41">
        <v>989.89083224657929</v>
      </c>
      <c r="I6" s="42">
        <v>1094.5281114966438</v>
      </c>
      <c r="J6" s="41">
        <v>986.3305775431096</v>
      </c>
      <c r="K6" s="42">
        <v>1131.5344180513762</v>
      </c>
      <c r="L6" s="41">
        <v>982.72568134140022</v>
      </c>
      <c r="M6" s="42">
        <v>1172.6757419302439</v>
      </c>
      <c r="N6" s="41">
        <v>979.13816675325995</v>
      </c>
      <c r="O6" s="42">
        <v>1219.4584048630861</v>
      </c>
      <c r="P6" s="41">
        <v>975.66929695820829</v>
      </c>
      <c r="Q6" s="42">
        <v>1274.2888958674803</v>
      </c>
      <c r="R6" s="41">
        <v>972.48833924443193</v>
      </c>
      <c r="S6" s="42">
        <v>1341.2171629512729</v>
      </c>
      <c r="T6" s="41">
        <v>969.88593490630308</v>
      </c>
      <c r="U6" s="42">
        <v>1427.4778583597545</v>
      </c>
      <c r="V6" s="41">
        <v>968.35578369757206</v>
      </c>
      <c r="W6" s="42">
        <v>1546.661359977601</v>
      </c>
      <c r="X6" s="41">
        <v>968.60899840592253</v>
      </c>
      <c r="Y6" s="42">
        <v>1724.0367692470804</v>
      </c>
      <c r="Z6" s="41">
        <v>971.12111244714868</v>
      </c>
      <c r="AA6" s="42">
        <v>1999.7914558948394</v>
      </c>
      <c r="AB6" s="41">
        <v>975.29630364831451</v>
      </c>
      <c r="AC6" s="42">
        <v>2425.62555354593</v>
      </c>
      <c r="AD6" s="41">
        <v>979.95755775065777</v>
      </c>
      <c r="AE6" s="42">
        <v>3082.9369605201359</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1012.8353499382441</v>
      </c>
      <c r="E7" s="34">
        <v>1012.8353499382441</v>
      </c>
      <c r="F7" s="33">
        <v>1009.647510623575</v>
      </c>
      <c r="G7" s="34">
        <v>1009.647510623575</v>
      </c>
      <c r="H7" s="33">
        <v>1006.357761178405</v>
      </c>
      <c r="I7" s="34">
        <v>1006.357761178405</v>
      </c>
      <c r="J7" s="33">
        <v>1002.98660464126</v>
      </c>
      <c r="K7" s="34">
        <v>1002.98660464126</v>
      </c>
      <c r="L7" s="33">
        <v>999.56978501536423</v>
      </c>
      <c r="M7" s="34">
        <v>999.56978501536423</v>
      </c>
      <c r="N7" s="33">
        <v>996.16606979042353</v>
      </c>
      <c r="O7" s="34">
        <v>996.16606979042353</v>
      </c>
      <c r="P7" s="33">
        <v>992.87174118950963</v>
      </c>
      <c r="Q7" s="34">
        <v>992.87174118950963</v>
      </c>
      <c r="R7" s="33">
        <v>989.84810480393719</v>
      </c>
      <c r="S7" s="34">
        <v>989.84810480393719</v>
      </c>
      <c r="T7" s="33">
        <v>987.37247300279728</v>
      </c>
      <c r="U7" s="34">
        <v>987.37247300279728</v>
      </c>
      <c r="V7" s="33">
        <v>985.91605107483986</v>
      </c>
      <c r="W7" s="34">
        <v>985.91605107483986</v>
      </c>
      <c r="X7" s="33">
        <v>986.15710613589283</v>
      </c>
      <c r="Y7" s="34">
        <v>986.15710613589283</v>
      </c>
      <c r="Z7" s="33">
        <v>988.54769719267335</v>
      </c>
      <c r="AA7" s="34">
        <v>988.54769719267335</v>
      </c>
      <c r="AB7" s="33">
        <v>992.51733010116902</v>
      </c>
      <c r="AC7" s="34">
        <v>992.51733010116902</v>
      </c>
      <c r="AD7" s="33">
        <v>996.9437761582268</v>
      </c>
      <c r="AE7" s="34">
        <v>996.9437761582268</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1075.4837546304186</v>
      </c>
      <c r="E8" s="36">
        <v>1075.4837546304186</v>
      </c>
      <c r="F8" s="35">
        <v>1151.893258898248</v>
      </c>
      <c r="G8" s="36">
        <v>1151.893258898248</v>
      </c>
      <c r="H8" s="35">
        <v>1236.3431576016512</v>
      </c>
      <c r="I8" s="36">
        <v>1236.3431576016512</v>
      </c>
      <c r="J8" s="35">
        <v>1330.7520094950478</v>
      </c>
      <c r="K8" s="36">
        <v>1330.7520094950478</v>
      </c>
      <c r="L8" s="35">
        <v>1437.9408911399639</v>
      </c>
      <c r="M8" s="36">
        <v>1437.9408911399639</v>
      </c>
      <c r="N8" s="35">
        <v>1562.2091570014813</v>
      </c>
      <c r="O8" s="36">
        <v>1562.2091570014813</v>
      </c>
      <c r="P8" s="35">
        <v>1710.4162999709999</v>
      </c>
      <c r="Q8" s="36">
        <v>1710.4162999709999</v>
      </c>
      <c r="R8" s="35">
        <v>1894.1466414648414</v>
      </c>
      <c r="S8" s="36">
        <v>1894.1466414648414</v>
      </c>
      <c r="T8" s="35">
        <v>2134.2920305103576</v>
      </c>
      <c r="U8" s="36">
        <v>2134.2920305103576</v>
      </c>
      <c r="V8" s="35">
        <v>2470.8533829793137</v>
      </c>
      <c r="W8" s="36">
        <v>2470.8533829793137</v>
      </c>
      <c r="X8" s="35">
        <v>2981.0168490838723</v>
      </c>
      <c r="Y8" s="36">
        <v>2981.0168490838723</v>
      </c>
      <c r="Z8" s="35">
        <v>3796.5393574988752</v>
      </c>
      <c r="AA8" s="36">
        <v>3796.5393574988752</v>
      </c>
      <c r="AB8" s="35">
        <v>5105.6677964756127</v>
      </c>
      <c r="AC8" s="36">
        <v>5105.6677964756127</v>
      </c>
      <c r="AD8" s="35">
        <v>7216.8212111374951</v>
      </c>
      <c r="AE8" s="36">
        <v>7216.8212111374951</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1012.8353499382441</v>
      </c>
      <c r="E9" s="42">
        <v>1075.4837546304186</v>
      </c>
      <c r="F9" s="41">
        <v>1009.647510623575</v>
      </c>
      <c r="G9" s="42">
        <v>1151.893258898248</v>
      </c>
      <c r="H9" s="41">
        <v>1006.357761178405</v>
      </c>
      <c r="I9" s="42">
        <v>1236.3431576016512</v>
      </c>
      <c r="J9" s="41">
        <v>1002.98660464126</v>
      </c>
      <c r="K9" s="42">
        <v>1330.7520094950478</v>
      </c>
      <c r="L9" s="41">
        <v>999.56978501536423</v>
      </c>
      <c r="M9" s="42">
        <v>1437.9408911399639</v>
      </c>
      <c r="N9" s="41">
        <v>996.16606979042353</v>
      </c>
      <c r="O9" s="42">
        <v>1562.2091570014813</v>
      </c>
      <c r="P9" s="41">
        <v>992.87174118950963</v>
      </c>
      <c r="Q9" s="42">
        <v>1710.4162999709999</v>
      </c>
      <c r="R9" s="41">
        <v>989.84810480393719</v>
      </c>
      <c r="S9" s="42">
        <v>1894.1466414648414</v>
      </c>
      <c r="T9" s="41">
        <v>987.37247300279728</v>
      </c>
      <c r="U9" s="42">
        <v>2134.2920305103576</v>
      </c>
      <c r="V9" s="41">
        <v>985.91605107483986</v>
      </c>
      <c r="W9" s="42">
        <v>2470.8533829793137</v>
      </c>
      <c r="X9" s="41">
        <v>986.15710613589283</v>
      </c>
      <c r="Y9" s="42">
        <v>2981.0168490838723</v>
      </c>
      <c r="Z9" s="41">
        <v>988.54769719267335</v>
      </c>
      <c r="AA9" s="42">
        <v>3796.5393574988752</v>
      </c>
      <c r="AB9" s="41">
        <v>992.51733010116902</v>
      </c>
      <c r="AC9" s="42">
        <v>5105.6677964756127</v>
      </c>
      <c r="AD9" s="41">
        <v>996.9437761582268</v>
      </c>
      <c r="AE9" s="42">
        <v>7216.8212111374951</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1012.8353499382441</v>
      </c>
      <c r="E10" s="42">
        <v>1075.4837546304186</v>
      </c>
      <c r="F10" s="41">
        <v>1009.647510623575</v>
      </c>
      <c r="G10" s="42">
        <v>1151.893258898248</v>
      </c>
      <c r="H10" s="41">
        <v>1006.357761178405</v>
      </c>
      <c r="I10" s="42">
        <v>1236.3431576016512</v>
      </c>
      <c r="J10" s="41">
        <v>1002.98660464126</v>
      </c>
      <c r="K10" s="42">
        <v>1330.7520094950478</v>
      </c>
      <c r="L10" s="41">
        <v>999.56978501536423</v>
      </c>
      <c r="M10" s="42">
        <v>1437.9408911399639</v>
      </c>
      <c r="N10" s="41">
        <v>996.16606979042353</v>
      </c>
      <c r="O10" s="42">
        <v>1562.2091570014813</v>
      </c>
      <c r="P10" s="41">
        <v>992.87174118950963</v>
      </c>
      <c r="Q10" s="42">
        <v>1710.4162999709999</v>
      </c>
      <c r="R10" s="41">
        <v>989.84810480393719</v>
      </c>
      <c r="S10" s="42">
        <v>1894.1466414648414</v>
      </c>
      <c r="T10" s="41">
        <v>987.37247300279728</v>
      </c>
      <c r="U10" s="42">
        <v>2134.2920305103576</v>
      </c>
      <c r="V10" s="41">
        <v>985.91605107483986</v>
      </c>
      <c r="W10" s="42">
        <v>2470.8533829793137</v>
      </c>
      <c r="X10" s="41">
        <v>986.15710613589283</v>
      </c>
      <c r="Y10" s="42">
        <v>2981.0168490838723</v>
      </c>
      <c r="Z10" s="41">
        <v>988.54769719267335</v>
      </c>
      <c r="AA10" s="42">
        <v>3796.5393574988752</v>
      </c>
      <c r="AB10" s="41">
        <v>992.51733010116902</v>
      </c>
      <c r="AC10" s="42">
        <v>5105.6677964756127</v>
      </c>
      <c r="AD10" s="41">
        <v>996.9437761582268</v>
      </c>
      <c r="AE10" s="42">
        <v>7216.8212111374951</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1012.8353499382441</v>
      </c>
      <c r="E11" s="42">
        <v>1075.4837546304186</v>
      </c>
      <c r="F11" s="41">
        <v>1009.647510623575</v>
      </c>
      <c r="G11" s="42">
        <v>1151.893258898248</v>
      </c>
      <c r="H11" s="41">
        <v>1006.357761178405</v>
      </c>
      <c r="I11" s="42">
        <v>1236.3431576016512</v>
      </c>
      <c r="J11" s="41">
        <v>1002.98660464126</v>
      </c>
      <c r="K11" s="42">
        <v>1330.7520094950478</v>
      </c>
      <c r="L11" s="41">
        <v>999.56978501536423</v>
      </c>
      <c r="M11" s="42">
        <v>1437.9408911399639</v>
      </c>
      <c r="N11" s="41">
        <v>996.16606979042353</v>
      </c>
      <c r="O11" s="42">
        <v>1562.2091570014813</v>
      </c>
      <c r="P11" s="41">
        <v>992.87174118950963</v>
      </c>
      <c r="Q11" s="42">
        <v>1710.4162999709999</v>
      </c>
      <c r="R11" s="41">
        <v>989.84810480393719</v>
      </c>
      <c r="S11" s="42">
        <v>1894.1466414648414</v>
      </c>
      <c r="T11" s="41">
        <v>987.37247300279728</v>
      </c>
      <c r="U11" s="42">
        <v>2134.2920305103576</v>
      </c>
      <c r="V11" s="41">
        <v>985.91605107483986</v>
      </c>
      <c r="W11" s="42">
        <v>2470.8533829793137</v>
      </c>
      <c r="X11" s="41">
        <v>986.15710613589283</v>
      </c>
      <c r="Y11" s="42">
        <v>2981.0168490838723</v>
      </c>
      <c r="Z11" s="41">
        <v>988.54769719267335</v>
      </c>
      <c r="AA11" s="42">
        <v>3796.5393574988752</v>
      </c>
      <c r="AB11" s="41">
        <v>992.51733010116902</v>
      </c>
      <c r="AC11" s="42">
        <v>5105.6677964756127</v>
      </c>
      <c r="AD11" s="41">
        <v>996.9437761582268</v>
      </c>
      <c r="AE11" s="42">
        <v>7216.8212111374951</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962.19388243502988</v>
      </c>
      <c r="E13" s="98">
        <v>962.19388243502988</v>
      </c>
      <c r="F13" s="97">
        <v>924.44944132328158</v>
      </c>
      <c r="G13" s="98">
        <v>924.44944132328158</v>
      </c>
      <c r="H13" s="97">
        <v>886.60736024704681</v>
      </c>
      <c r="I13" s="98">
        <v>886.60736024704681</v>
      </c>
      <c r="J13" s="97">
        <v>848.41123652811314</v>
      </c>
      <c r="K13" s="98">
        <v>848.41123652811314</v>
      </c>
      <c r="L13" s="97">
        <v>809.45490315487473</v>
      </c>
      <c r="M13" s="98">
        <v>809.45490315487473</v>
      </c>
      <c r="N13" s="97">
        <v>769.09264935167039</v>
      </c>
      <c r="O13" s="98">
        <v>769.09264935167039</v>
      </c>
      <c r="P13" s="97">
        <v>726.27794557661559</v>
      </c>
      <c r="Q13" s="98">
        <v>726.27794557661559</v>
      </c>
      <c r="R13" s="97">
        <v>679.26250503109986</v>
      </c>
      <c r="S13" s="98">
        <v>679.26250503109986</v>
      </c>
      <c r="T13" s="97">
        <v>625.03778495639642</v>
      </c>
      <c r="U13" s="98">
        <v>625.03778495639642</v>
      </c>
      <c r="V13" s="97">
        <v>558.44240540522173</v>
      </c>
      <c r="W13" s="98">
        <v>558.44240540522173</v>
      </c>
      <c r="X13" s="97">
        <v>471.75770222301907</v>
      </c>
      <c r="Y13" s="98">
        <v>471.75770222301907</v>
      </c>
      <c r="Z13" s="97">
        <v>358.67969340440243</v>
      </c>
      <c r="AA13" s="98">
        <v>358.67969340440243</v>
      </c>
      <c r="AB13" s="97">
        <v>223.38236955054077</v>
      </c>
      <c r="AC13" s="98">
        <v>223.38236955054077</v>
      </c>
      <c r="AD13" s="97">
        <v>82.286377730781084</v>
      </c>
      <c r="AE13" s="98">
        <v>82.286377730781084</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1401.9197823619074</v>
      </c>
      <c r="E14" s="42">
        <v>1401.9197823619077</v>
      </c>
      <c r="F14" s="41">
        <v>1346.9260023818867</v>
      </c>
      <c r="G14" s="42">
        <v>1346.926002381887</v>
      </c>
      <c r="H14" s="41">
        <v>1291.7899606391782</v>
      </c>
      <c r="I14" s="42">
        <v>1291.7899606391782</v>
      </c>
      <c r="J14" s="41">
        <v>1236.1380775534096</v>
      </c>
      <c r="K14" s="42">
        <v>1236.1380775534096</v>
      </c>
      <c r="L14" s="41">
        <v>1179.3785663974902</v>
      </c>
      <c r="M14" s="42">
        <v>1179.3785663974904</v>
      </c>
      <c r="N14" s="41">
        <v>1120.5706243596287</v>
      </c>
      <c r="O14" s="42">
        <v>1120.5706243596289</v>
      </c>
      <c r="P14" s="41">
        <v>1058.1894543127828</v>
      </c>
      <c r="Q14" s="42">
        <v>1058.189454312783</v>
      </c>
      <c r="R14" s="41">
        <v>989.68779640324078</v>
      </c>
      <c r="S14" s="42">
        <v>989.6877964032409</v>
      </c>
      <c r="T14" s="41">
        <v>910.68219352684059</v>
      </c>
      <c r="U14" s="42">
        <v>910.68219352684071</v>
      </c>
      <c r="V14" s="41">
        <v>813.65249742191293</v>
      </c>
      <c r="W14" s="42">
        <v>813.65249742191304</v>
      </c>
      <c r="X14" s="41">
        <v>687.35258797772065</v>
      </c>
      <c r="Y14" s="42">
        <v>687.35258797772076</v>
      </c>
      <c r="Z14" s="41">
        <v>522.59754182036045</v>
      </c>
      <c r="AA14" s="42">
        <v>522.59754182036056</v>
      </c>
      <c r="AB14" s="41">
        <v>325.46887755226095</v>
      </c>
      <c r="AC14" s="42">
        <v>325.46887755226101</v>
      </c>
      <c r="AD14" s="41">
        <v>119.89153419656635</v>
      </c>
      <c r="AE14" s="42">
        <v>119.89153419656637</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1031.0658535725875</v>
      </c>
      <c r="E15" s="155">
        <v>1031.0658535725875</v>
      </c>
      <c r="F15" s="154">
        <v>1062.2834231001173</v>
      </c>
      <c r="G15" s="155">
        <v>1062.2834231001173</v>
      </c>
      <c r="H15" s="154">
        <v>1093.8112076171224</v>
      </c>
      <c r="I15" s="155">
        <v>1093.8112076171224</v>
      </c>
      <c r="J15" s="154">
        <v>1125.9349566420794</v>
      </c>
      <c r="K15" s="155">
        <v>1125.9349566420794</v>
      </c>
      <c r="L15" s="154">
        <v>1159.1411955964088</v>
      </c>
      <c r="M15" s="155">
        <v>1159.1411955964088</v>
      </c>
      <c r="N15" s="154">
        <v>1194.2463276388337</v>
      </c>
      <c r="O15" s="155">
        <v>1194.2463276388337</v>
      </c>
      <c r="P15" s="154">
        <v>1232.6364337777857</v>
      </c>
      <c r="Q15" s="155">
        <v>1232.6364337777857</v>
      </c>
      <c r="R15" s="154">
        <v>1276.7343215376675</v>
      </c>
      <c r="S15" s="155">
        <v>1276.7343215376675</v>
      </c>
      <c r="T15" s="154">
        <v>1330.9263474506545</v>
      </c>
      <c r="U15" s="155">
        <v>1330.9263474506545</v>
      </c>
      <c r="V15" s="154">
        <v>1403.2686946273805</v>
      </c>
      <c r="W15" s="155">
        <v>1403.2686946273805</v>
      </c>
      <c r="X15" s="154">
        <v>1507.3626194643793</v>
      </c>
      <c r="Y15" s="155">
        <v>1507.3626194643793</v>
      </c>
      <c r="Z15" s="154">
        <v>1659.3494018234699</v>
      </c>
      <c r="AA15" s="155">
        <v>1659.3494018234699</v>
      </c>
      <c r="AB15" s="154">
        <v>1867.5845183561623</v>
      </c>
      <c r="AC15" s="155">
        <v>1867.5845183561623</v>
      </c>
      <c r="AD15" s="154">
        <v>2136.9646716103261</v>
      </c>
      <c r="AE15" s="155">
        <v>2136.9646716103261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994.16844939865246</v>
      </c>
      <c r="E16" s="42">
        <v>1011.3354351630493</v>
      </c>
      <c r="F16" s="41">
        <v>988.08093740972231</v>
      </c>
      <c r="G16" s="42">
        <v>1022.6512012720602</v>
      </c>
      <c r="H16" s="41">
        <v>981.71459230169944</v>
      </c>
      <c r="I16" s="42">
        <v>1034.0120045894903</v>
      </c>
      <c r="J16" s="41">
        <v>975.04136965580108</v>
      </c>
      <c r="K16" s="42">
        <v>1045.5407920987523</v>
      </c>
      <c r="L16" s="41">
        <v>968.02403675634889</v>
      </c>
      <c r="M16" s="42">
        <v>1057.4523564639915</v>
      </c>
      <c r="N16" s="41">
        <v>960.60966153429865</v>
      </c>
      <c r="O16" s="42">
        <v>1070.1128305969892</v>
      </c>
      <c r="P16" s="41">
        <v>952.71812009951475</v>
      </c>
      <c r="Q16" s="42">
        <v>1084.1510105043244</v>
      </c>
      <c r="R16" s="41">
        <v>944.22003915235769</v>
      </c>
      <c r="S16" s="42">
        <v>1100.6767438075726</v>
      </c>
      <c r="T16" s="41">
        <v>934.89060586973142</v>
      </c>
      <c r="U16" s="42">
        <v>1121.7178222271116</v>
      </c>
      <c r="V16" s="41">
        <v>924.30768476347077</v>
      </c>
      <c r="W16" s="42">
        <v>1151.0344712397264</v>
      </c>
      <c r="X16" s="41">
        <v>911.64287657146895</v>
      </c>
      <c r="Y16" s="42">
        <v>1195.0535003203925</v>
      </c>
      <c r="Z16" s="41">
        <v>895.39680835719241</v>
      </c>
      <c r="AA16" s="42">
        <v>1261.6085410030605</v>
      </c>
      <c r="AB16" s="41">
        <v>873.40359886181773</v>
      </c>
      <c r="AC16" s="42">
        <v>1355.4443746562824</v>
      </c>
      <c r="AD16" s="41">
        <v>842.82388326126238</v>
      </c>
      <c r="AE16" s="42">
        <v>1481.6280695894898</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997.25106867569809</v>
      </c>
      <c r="E17" s="36">
        <v>1042.0865600651157</v>
      </c>
      <c r="F17" s="35">
        <v>994.41236209365854</v>
      </c>
      <c r="G17" s="36">
        <v>1087.4767001166338</v>
      </c>
      <c r="H17" s="35">
        <v>991.49343117504463</v>
      </c>
      <c r="I17" s="36">
        <v>1136.8560342361061</v>
      </c>
      <c r="J17" s="35">
        <v>988.5133596852221</v>
      </c>
      <c r="K17" s="36">
        <v>1191.2211362382836</v>
      </c>
      <c r="L17" s="35">
        <v>985.50438046757142</v>
      </c>
      <c r="M17" s="36">
        <v>1252.0553014260279</v>
      </c>
      <c r="N17" s="35">
        <v>982.51841382147506</v>
      </c>
      <c r="O17" s="36">
        <v>1321.637624318852</v>
      </c>
      <c r="P17" s="35">
        <v>979.63931686840056</v>
      </c>
      <c r="Q17" s="36">
        <v>1403.6223439117648</v>
      </c>
      <c r="R17" s="35">
        <v>977.00623623446916</v>
      </c>
      <c r="S17" s="36">
        <v>1504.1925066209014</v>
      </c>
      <c r="T17" s="35">
        <v>974.85711537998645</v>
      </c>
      <c r="U17" s="36">
        <v>1634.4786099996493</v>
      </c>
      <c r="V17" s="35">
        <v>973.59561501259577</v>
      </c>
      <c r="W17" s="36">
        <v>1815.629979431764</v>
      </c>
      <c r="X17" s="35">
        <v>973.80426300319016</v>
      </c>
      <c r="Y17" s="36">
        <v>2087.7122230275731</v>
      </c>
      <c r="Z17" s="35">
        <v>975.87658290160982</v>
      </c>
      <c r="AA17" s="36">
        <v>2516.5414174441862</v>
      </c>
      <c r="AB17" s="35">
        <v>979.33021422229103</v>
      </c>
      <c r="AC17" s="36">
        <v>3190.7869975002732</v>
      </c>
      <c r="AD17" s="35">
        <v>983.19966010896621</v>
      </c>
      <c r="AE17" s="36">
        <v>4252.4565923399414</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28238.984449743839</v>
      </c>
      <c r="E18" s="34">
        <v>1116.6100915905843</v>
      </c>
      <c r="F18" s="33">
        <v>28619.770715088787</v>
      </c>
      <c r="G18" s="34">
        <v>995.21570529524013</v>
      </c>
      <c r="H18" s="33">
        <v>29000.228675124799</v>
      </c>
      <c r="I18" s="34">
        <v>872.98285984860104</v>
      </c>
      <c r="J18" s="33">
        <v>29381.714437435039</v>
      </c>
      <c r="K18" s="34">
        <v>750.51116425365285</v>
      </c>
      <c r="L18" s="33">
        <v>29766.403563472402</v>
      </c>
      <c r="M18" s="34">
        <v>628.66443270866057</v>
      </c>
      <c r="N18" s="33">
        <v>30157.851312121904</v>
      </c>
      <c r="O18" s="34">
        <v>508.67742192313472</v>
      </c>
      <c r="P18" s="33">
        <v>30562.011073594771</v>
      </c>
      <c r="Q18" s="34">
        <v>392.34577092416271</v>
      </c>
      <c r="R18" s="33">
        <v>30989.162919647344</v>
      </c>
      <c r="S18" s="34">
        <v>282.35937621797109</v>
      </c>
      <c r="T18" s="33">
        <v>31457.536256389219</v>
      </c>
      <c r="U18" s="34">
        <v>182.85995755951043</v>
      </c>
      <c r="V18" s="33">
        <v>31999.224317276901</v>
      </c>
      <c r="W18" s="34">
        <v>100.11702533331972</v>
      </c>
      <c r="X18" s="33">
        <v>32663.33977942853</v>
      </c>
      <c r="Y18" s="34">
        <v>41.990018230644601</v>
      </c>
      <c r="Z18" s="33">
        <v>33492.607572362416</v>
      </c>
      <c r="AA18" s="34">
        <v>12.130991530866565</v>
      </c>
      <c r="AB18" s="33">
        <v>34474.740098724877</v>
      </c>
      <c r="AC18" s="34">
        <v>2.3238773866839488</v>
      </c>
      <c r="AD18" s="33">
        <v>35568.113966569901</v>
      </c>
      <c r="AE18" s="34">
        <v>0.29434748495035473</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1886.3937399999966</v>
      </c>
      <c r="C19" s="42">
        <v>262.78711299999406</v>
      </c>
      <c r="D19" s="41">
        <v>1886.0402192134043</v>
      </c>
      <c r="E19" s="42">
        <v>300.17969311585671</v>
      </c>
      <c r="F19" s="41">
        <v>1884.2427318794817</v>
      </c>
      <c r="G19" s="42">
        <v>341.47858486417022</v>
      </c>
      <c r="H19" s="41">
        <v>1881.1459205991434</v>
      </c>
      <c r="I19" s="42">
        <v>386.57964643640429</v>
      </c>
      <c r="J19" s="41">
        <v>1877.0181101328592</v>
      </c>
      <c r="K19" s="42">
        <v>435.20283642473782</v>
      </c>
      <c r="L19" s="41">
        <v>1872.3057554130812</v>
      </c>
      <c r="M19" s="42">
        <v>486.81942610488585</v>
      </c>
      <c r="N19" s="41">
        <v>1867.730036560215</v>
      </c>
      <c r="O19" s="42">
        <v>540.52123950453154</v>
      </c>
      <c r="P19" s="41">
        <v>1864.4668504127314</v>
      </c>
      <c r="Q19" s="42">
        <v>594.7742987469087</v>
      </c>
      <c r="R19" s="41">
        <v>1864.4936915034157</v>
      </c>
      <c r="S19" s="42">
        <v>646.93877867041522</v>
      </c>
      <c r="T19" s="41">
        <v>1871.252631390186</v>
      </c>
      <c r="U19" s="42">
        <v>692.34069463304138</v>
      </c>
      <c r="V19" s="41">
        <v>1890.7471142358477</v>
      </c>
      <c r="W19" s="42">
        <v>722.71403945892382</v>
      </c>
      <c r="X19" s="41">
        <v>1932.1334696232345</v>
      </c>
      <c r="Y19" s="42">
        <v>725.28986429312158</v>
      </c>
      <c r="Z19" s="41">
        <v>2003.1102137496862</v>
      </c>
      <c r="AA19" s="42">
        <v>689.22242438399076</v>
      </c>
      <c r="AB19" s="41">
        <v>2099.75594869617</v>
      </c>
      <c r="AC19" s="42">
        <v>620.35932233584674</v>
      </c>
      <c r="AD19" s="41">
        <v>2210.6282233602842</v>
      </c>
      <c r="AE19" s="42">
        <v>536.09366190626793</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26867.339044850371</v>
      </c>
      <c r="E20" s="83">
        <v>1338.1147774499941</v>
      </c>
      <c r="F20" s="82">
        <v>27182.340113732083</v>
      </c>
      <c r="G20" s="83">
        <v>1267.6876838999945</v>
      </c>
      <c r="H20" s="82">
        <v>27494.257305607436</v>
      </c>
      <c r="I20" s="83">
        <v>1197.2605903499946</v>
      </c>
      <c r="J20" s="82">
        <v>27804.624876542352</v>
      </c>
      <c r="K20" s="83">
        <v>1126.8334967999951</v>
      </c>
      <c r="L20" s="82">
        <v>28115.991402068998</v>
      </c>
      <c r="M20" s="83">
        <v>1056.4064032499953</v>
      </c>
      <c r="N20" s="82">
        <v>28432.577457885131</v>
      </c>
      <c r="O20" s="83">
        <v>985.97930969999561</v>
      </c>
      <c r="P20" s="82">
        <v>28761.476320823942</v>
      </c>
      <c r="Q20" s="83">
        <v>915.55221614999596</v>
      </c>
      <c r="R20" s="82">
        <v>29114.933560739617</v>
      </c>
      <c r="S20" s="83">
        <v>845.12512259999642</v>
      </c>
      <c r="T20" s="82">
        <v>29514.638716178724</v>
      </c>
      <c r="U20" s="83">
        <v>774.69802904999653</v>
      </c>
      <c r="V20" s="82">
        <v>29998.725661968499</v>
      </c>
      <c r="W20" s="83">
        <v>704.27093549999688</v>
      </c>
      <c r="X20" s="82">
        <v>30625.402010773589</v>
      </c>
      <c r="Y20" s="83">
        <v>633.84384194999723</v>
      </c>
      <c r="Z20" s="82">
        <v>31444.409185666715</v>
      </c>
      <c r="AA20" s="83">
        <v>563.41674839999746</v>
      </c>
      <c r="AB20" s="82">
        <v>32437.362527526806</v>
      </c>
      <c r="AC20" s="83">
        <v>492.98965484999769</v>
      </c>
      <c r="AD20" s="82">
        <v>33547.653860905441</v>
      </c>
      <c r="AE20" s="83">
        <v>422.56256129999804</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24661.962530000055</v>
      </c>
      <c r="C21" s="83">
        <v>1145.7547579999855</v>
      </c>
      <c r="D21" s="82">
        <v>24981.336356802025</v>
      </c>
      <c r="E21" s="83">
        <v>1038.6753283305547</v>
      </c>
      <c r="F21" s="82">
        <v>25298.254137748801</v>
      </c>
      <c r="G21" s="83">
        <v>929.37885911286594</v>
      </c>
      <c r="H21" s="82">
        <v>25613.478549083735</v>
      </c>
      <c r="I21" s="83">
        <v>818.29750617227126</v>
      </c>
      <c r="J21" s="82">
        <v>25928.283209949077</v>
      </c>
      <c r="K21" s="83">
        <v>706.05279236244985</v>
      </c>
      <c r="L21" s="82">
        <v>26244.77399788213</v>
      </c>
      <c r="M21" s="83">
        <v>593.51537604937118</v>
      </c>
      <c r="N21" s="82">
        <v>26566.446739576993</v>
      </c>
      <c r="O21" s="83">
        <v>481.90833635556424</v>
      </c>
      <c r="P21" s="82">
        <v>26899.202174209855</v>
      </c>
      <c r="Q21" s="83">
        <v>372.98950309916398</v>
      </c>
      <c r="R21" s="82">
        <v>27253.268508291807</v>
      </c>
      <c r="S21" s="83">
        <v>269.37542449653358</v>
      </c>
      <c r="T21" s="82">
        <v>27646.812413066469</v>
      </c>
      <c r="U21" s="83">
        <v>175.08640283701607</v>
      </c>
      <c r="V21" s="82">
        <v>28111.817841052023</v>
      </c>
      <c r="W21" s="83">
        <v>96.22595082412397</v>
      </c>
      <c r="X21" s="82">
        <v>28697.126580959553</v>
      </c>
      <c r="Y21" s="83">
        <v>40.516042901490636</v>
      </c>
      <c r="Z21" s="82">
        <v>29444.66033518433</v>
      </c>
      <c r="AA21" s="83">
        <v>11.748146040948368</v>
      </c>
      <c r="AB21" s="82">
        <v>30340.154942223566</v>
      </c>
      <c r="AC21" s="83">
        <v>2.2570482590038607</v>
      </c>
      <c r="AD21" s="82">
        <v>31338.768821723799</v>
      </c>
      <c r="AE21" s="83">
        <v>0.28642513272649206</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6533.6044688320662</v>
      </c>
      <c r="C22" s="42">
        <v>379.90788307663394</v>
      </c>
      <c r="D22" s="41">
        <v>6614.9102932871956</v>
      </c>
      <c r="E22" s="42">
        <v>368.54648218521152</v>
      </c>
      <c r="F22" s="41">
        <v>6694.5485972062206</v>
      </c>
      <c r="G22" s="42">
        <v>357.0025867266375</v>
      </c>
      <c r="H22" s="41">
        <v>6772.6633542710561</v>
      </c>
      <c r="I22" s="42">
        <v>345.22449946655485</v>
      </c>
      <c r="J22" s="41">
        <v>6849.5443316427754</v>
      </c>
      <c r="K22" s="42">
        <v>333.1351247966175</v>
      </c>
      <c r="L22" s="41">
        <v>6925.7172226070697</v>
      </c>
      <c r="M22" s="42">
        <v>320.62448972062066</v>
      </c>
      <c r="N22" s="41">
        <v>7002.1016133720104</v>
      </c>
      <c r="O22" s="42">
        <v>307.53732879833018</v>
      </c>
      <c r="P22" s="41">
        <v>7080.3005490068381</v>
      </c>
      <c r="Q22" s="42">
        <v>293.65159510208287</v>
      </c>
      <c r="R22" s="41">
        <v>7163.1524836053413</v>
      </c>
      <c r="S22" s="42">
        <v>278.64206755779986</v>
      </c>
      <c r="T22" s="41">
        <v>7255.7692453455365</v>
      </c>
      <c r="U22" s="42">
        <v>262.02335394363803</v>
      </c>
      <c r="V22" s="41">
        <v>7367.2029208618496</v>
      </c>
      <c r="W22" s="42">
        <v>243.09515444931071</v>
      </c>
      <c r="X22" s="41">
        <v>7511.0985718600596</v>
      </c>
      <c r="Y22" s="42">
        <v>221.06309627928908</v>
      </c>
      <c r="Z22" s="41">
        <v>7697.85476166236</v>
      </c>
      <c r="AA22" s="42">
        <v>195.7760703861197</v>
      </c>
      <c r="AB22" s="41">
        <v>7918.7743417434431</v>
      </c>
      <c r="AC22" s="42">
        <v>168.5093926284332</v>
      </c>
      <c r="AD22" s="41">
        <v>8153.4119876597069</v>
      </c>
      <c r="AE22" s="42">
        <v>140.86575604070603</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3324.304300823107</v>
      </c>
      <c r="E23" s="8">
        <v>0</v>
      </c>
      <c r="F23" s="116">
        <v>3369.6619032981457</v>
      </c>
      <c r="G23" s="8">
        <v>0</v>
      </c>
      <c r="H23" s="116">
        <v>3414.706262410406</v>
      </c>
      <c r="I23" s="8">
        <v>0</v>
      </c>
      <c r="J23" s="116">
        <v>3459.668464152297</v>
      </c>
      <c r="K23" s="8">
        <v>0</v>
      </c>
      <c r="L23" s="116">
        <v>3504.9383985336626</v>
      </c>
      <c r="M23" s="8">
        <v>0</v>
      </c>
      <c r="N23" s="116">
        <v>3551.1683688844259</v>
      </c>
      <c r="O23" s="8">
        <v>0</v>
      </c>
      <c r="P23" s="116">
        <v>3599.4628494546805</v>
      </c>
      <c r="Q23" s="8">
        <v>0</v>
      </c>
      <c r="R23" s="116">
        <v>3651.7413723204631</v>
      </c>
      <c r="S23" s="8">
        <v>0</v>
      </c>
      <c r="T23" s="116">
        <v>3711.43113671216</v>
      </c>
      <c r="U23" s="8">
        <v>0</v>
      </c>
      <c r="V23" s="116">
        <v>3784.6334813364811</v>
      </c>
      <c r="W23" s="8">
        <v>0</v>
      </c>
      <c r="X23" s="116">
        <v>3880.9076626061983</v>
      </c>
      <c r="Y23" s="8">
        <v>0</v>
      </c>
      <c r="Z23" s="116">
        <v>4009.2039489437611</v>
      </c>
      <c r="AA23" s="8">
        <v>0</v>
      </c>
      <c r="AB23" s="116">
        <v>4168.5695406486584</v>
      </c>
      <c r="AC23" s="8">
        <v>0</v>
      </c>
      <c r="AD23" s="116">
        <v>4352.4377631109819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3241.0399035861287</v>
      </c>
      <c r="E24" s="8">
        <v>0</v>
      </c>
      <c r="F24" s="97">
        <v>3285.2614313322706</v>
      </c>
      <c r="G24" s="8">
        <v>0</v>
      </c>
      <c r="H24" s="97">
        <v>3329.1775574694666</v>
      </c>
      <c r="I24" s="8">
        <v>0</v>
      </c>
      <c r="J24" s="97">
        <v>3373.0135812515787</v>
      </c>
      <c r="K24" s="8">
        <v>0</v>
      </c>
      <c r="L24" s="97">
        <v>3417.14963317815</v>
      </c>
      <c r="M24" s="8">
        <v>0</v>
      </c>
      <c r="N24" s="97">
        <v>3462.2216741272241</v>
      </c>
      <c r="O24" s="8">
        <v>0</v>
      </c>
      <c r="P24" s="97">
        <v>3509.3065147093098</v>
      </c>
      <c r="Q24" s="8">
        <v>0</v>
      </c>
      <c r="R24" s="97">
        <v>3560.2756088146734</v>
      </c>
      <c r="S24" s="8">
        <v>0</v>
      </c>
      <c r="T24" s="97">
        <v>3618.4703144388554</v>
      </c>
      <c r="U24" s="8">
        <v>0</v>
      </c>
      <c r="V24" s="97">
        <v>3689.8391479366669</v>
      </c>
      <c r="W24" s="8">
        <v>0</v>
      </c>
      <c r="X24" s="97">
        <v>3783.7019340754164</v>
      </c>
      <c r="Y24" s="8">
        <v>0</v>
      </c>
      <c r="Z24" s="97">
        <v>3908.7847623419548</v>
      </c>
      <c r="AA24" s="8">
        <v>0</v>
      </c>
      <c r="AB24" s="97">
        <v>4064.1586980262987</v>
      </c>
      <c r="AC24" s="8">
        <v>0</v>
      </c>
      <c r="AD24" s="97">
        <v>4243.4215430577497</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3257.6174400093551</v>
      </c>
      <c r="E25" s="42">
        <v>77.874040723999201</v>
      </c>
      <c r="F25" s="41">
        <v>3321.3868230624889</v>
      </c>
      <c r="G25" s="42">
        <v>65.620347328815186</v>
      </c>
      <c r="H25" s="41">
        <v>3386.4421357743677</v>
      </c>
      <c r="I25" s="42">
        <v>54.258493793366263</v>
      </c>
      <c r="J25" s="41">
        <v>3452.856004996414</v>
      </c>
      <c r="K25" s="42">
        <v>43.803806420107584</v>
      </c>
      <c r="L25" s="41">
        <v>3520.6911280687418</v>
      </c>
      <c r="M25" s="42">
        <v>34.283591672589559</v>
      </c>
      <c r="N25" s="41">
        <v>3590.0063083161895</v>
      </c>
      <c r="O25" s="42">
        <v>25.741911228036805</v>
      </c>
      <c r="P25" s="41">
        <v>3660.8659080419325</v>
      </c>
      <c r="Q25" s="42">
        <v>18.246151931619892</v>
      </c>
      <c r="R25" s="41">
        <v>3733.3567292034286</v>
      </c>
      <c r="S25" s="42">
        <v>11.895149681952153</v>
      </c>
      <c r="T25" s="41">
        <v>3807.6186275799664</v>
      </c>
      <c r="U25" s="42">
        <v>6.8253356263301859</v>
      </c>
      <c r="V25" s="41">
        <v>3883.9061581131664</v>
      </c>
      <c r="W25" s="42">
        <v>3.1953025223957532</v>
      </c>
      <c r="X25" s="41">
        <v>3962.6992650541824</v>
      </c>
      <c r="Y25" s="42">
        <v>1.0827897988204929</v>
      </c>
      <c r="Z25" s="41">
        <v>4044.915529636723</v>
      </c>
      <c r="AA25" s="42">
        <v>0.2333512627197015</v>
      </c>
      <c r="AB25" s="41">
        <v>4132.3237325983127</v>
      </c>
      <c r="AC25" s="42">
        <v>3.0472176535433621E-2</v>
      </c>
      <c r="AD25" s="41">
        <v>4227.825920215817</v>
      </c>
      <c r="AE25" s="42">
        <v>2.393822991183776E-3</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5163.1675516523946</v>
      </c>
      <c r="E26" s="34">
        <v>68.30279314906511</v>
      </c>
      <c r="F26" s="33">
        <v>5294.4080772012021</v>
      </c>
      <c r="G26" s="34">
        <v>61.516395210444344</v>
      </c>
      <c r="H26" s="33">
        <v>5430.9261744922451</v>
      </c>
      <c r="I26" s="34">
        <v>54.561230174246205</v>
      </c>
      <c r="J26" s="33">
        <v>5574.1069833497049</v>
      </c>
      <c r="K26" s="34">
        <v>47.464939392522524</v>
      </c>
      <c r="L26" s="33">
        <v>5726.1241179821</v>
      </c>
      <c r="M26" s="34">
        <v>40.271880165442248</v>
      </c>
      <c r="N26" s="33">
        <v>5890.5081133046124</v>
      </c>
      <c r="O26" s="34">
        <v>33.050182647396049</v>
      </c>
      <c r="P26" s="33">
        <v>6073.247229767413</v>
      </c>
      <c r="Q26" s="34">
        <v>25.904409973039169</v>
      </c>
      <c r="R26" s="33">
        <v>6285.0645330820653</v>
      </c>
      <c r="S26" s="34">
        <v>18.998445307774467</v>
      </c>
      <c r="T26" s="33">
        <v>6546.4234032114246</v>
      </c>
      <c r="U26" s="34">
        <v>12.595706283818028</v>
      </c>
      <c r="V26" s="33">
        <v>6898.875834682065</v>
      </c>
      <c r="W26" s="34">
        <v>7.1148546821242507</v>
      </c>
      <c r="X26" s="33">
        <v>7428.9356780258195</v>
      </c>
      <c r="Y26" s="34">
        <v>3.1210800542781847</v>
      </c>
      <c r="Z26" s="33">
        <v>8309.6998852745328</v>
      </c>
      <c r="AA26" s="34">
        <v>0.96541628052841122</v>
      </c>
      <c r="AB26" s="33">
        <v>9927.3084260127198</v>
      </c>
      <c r="AC26" s="34">
        <v>0.2058634716685907</v>
      </c>
      <c r="AD26" s="33">
        <v>13948.699834688347</v>
      </c>
      <c r="AE26" s="34">
        <v>3.1713914473091187E-2</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6425.1981590000414</v>
      </c>
      <c r="C27" s="36">
        <v>273.22915400000028</v>
      </c>
      <c r="D27" s="35">
        <v>6451.8523844261326</v>
      </c>
      <c r="E27" s="36">
        <v>246.57505655781929</v>
      </c>
      <c r="F27" s="35">
        <v>6478.665816937475</v>
      </c>
      <c r="G27" s="36">
        <v>219.76150027943461</v>
      </c>
      <c r="H27" s="35">
        <v>6505.5785649579411</v>
      </c>
      <c r="I27" s="36">
        <v>192.84875396536759</v>
      </c>
      <c r="J27" s="35">
        <v>6532.4873188383581</v>
      </c>
      <c r="K27" s="36">
        <v>165.94003188335827</v>
      </c>
      <c r="L27" s="35">
        <v>6559.2320029126249</v>
      </c>
      <c r="M27" s="36">
        <v>139.19531702626355</v>
      </c>
      <c r="N27" s="35">
        <v>6585.5722844777983</v>
      </c>
      <c r="O27" s="36">
        <v>112.85502479490947</v>
      </c>
      <c r="P27" s="35">
        <v>6611.1445719981966</v>
      </c>
      <c r="Q27" s="36">
        <v>87.282717284124743</v>
      </c>
      <c r="R27" s="35">
        <v>6635.3863631691484</v>
      </c>
      <c r="S27" s="36">
        <v>63.040968866190042</v>
      </c>
      <c r="T27" s="35">
        <v>6657.4069261665336</v>
      </c>
      <c r="U27" s="36">
        <v>41.020383262641118</v>
      </c>
      <c r="V27" s="35">
        <v>6675.8248411532295</v>
      </c>
      <c r="W27" s="36">
        <v>22.602472999750695</v>
      </c>
      <c r="X27" s="35">
        <v>6688.8632082289605</v>
      </c>
      <c r="Y27" s="36">
        <v>9.5641054574551507</v>
      </c>
      <c r="Z27" s="35">
        <v>6695.6286910373829</v>
      </c>
      <c r="AA27" s="36">
        <v>2.7986220484034701</v>
      </c>
      <c r="AB27" s="35">
        <v>6697.8812307929393</v>
      </c>
      <c r="AC27" s="36">
        <v>0.54608323547665749</v>
      </c>
      <c r="AD27" s="35">
        <v>6698.3563373283241</v>
      </c>
      <c r="AE27" s="36">
        <v>7.0973086853010278E-2</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13972.11051714697</v>
      </c>
      <c r="E28" s="42">
        <v>346.06733478014291</v>
      </c>
      <c r="F28" s="41">
        <v>14182.396070308976</v>
      </c>
      <c r="G28" s="42">
        <v>309.30099202201512</v>
      </c>
      <c r="H28" s="41">
        <v>14394.70366968443</v>
      </c>
      <c r="I28" s="42">
        <v>272.16490382721048</v>
      </c>
      <c r="J28" s="41">
        <v>14610.171619229273</v>
      </c>
      <c r="K28" s="42">
        <v>234.81714304752853</v>
      </c>
      <c r="L28" s="41">
        <v>14830.565714717201</v>
      </c>
      <c r="M28" s="42">
        <v>197.49619665733363</v>
      </c>
      <c r="N28" s="41">
        <v>15058.69288107258</v>
      </c>
      <c r="O28" s="42">
        <v>160.55481049152391</v>
      </c>
      <c r="P28" s="41">
        <v>15299.15671709924</v>
      </c>
      <c r="Q28" s="42">
        <v>124.52105791166645</v>
      </c>
      <c r="R28" s="41">
        <v>15559.802370566489</v>
      </c>
      <c r="S28" s="42">
        <v>90.207319000958577</v>
      </c>
      <c r="T28" s="41">
        <v>15854.506835373764</v>
      </c>
      <c r="U28" s="42">
        <v>58.896981911271183</v>
      </c>
      <c r="V28" s="41">
        <v>16208.091539448078</v>
      </c>
      <c r="W28" s="42">
        <v>32.584916439463804</v>
      </c>
      <c r="X28" s="41">
        <v>16660.954550748364</v>
      </c>
      <c r="Y28" s="42">
        <v>13.858674531206201</v>
      </c>
      <c r="Z28" s="41">
        <v>17258.288227769521</v>
      </c>
      <c r="AA28" s="42">
        <v>4.0808347674243679</v>
      </c>
      <c r="AB28" s="41">
        <v>18021.323983338985</v>
      </c>
      <c r="AC28" s="42">
        <v>0.80184681104864264</v>
      </c>
      <c r="AD28" s="41">
        <v>18967.76086962724</v>
      </c>
      <c r="AE28" s="42">
        <v>0.1049313335045705</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14558.335227233525</v>
      </c>
      <c r="E29" s="36">
        <v>734.16276865311863</v>
      </c>
      <c r="F29" s="35">
        <v>14753.144053797669</v>
      </c>
      <c r="G29" s="36">
        <v>651.0166512666525</v>
      </c>
      <c r="H29" s="35">
        <v>14947.632152553397</v>
      </c>
      <c r="I29" s="36">
        <v>568.09509510391047</v>
      </c>
      <c r="J29" s="35">
        <v>15142.498433408604</v>
      </c>
      <c r="K29" s="36">
        <v>485.79253671004665</v>
      </c>
      <c r="L29" s="35">
        <v>15338.873964502742</v>
      </c>
      <c r="M29" s="36">
        <v>404.67087813345222</v>
      </c>
      <c r="N29" s="35">
        <v>15538.617358537185</v>
      </c>
      <c r="O29" s="36">
        <v>325.52661900587771</v>
      </c>
      <c r="P29" s="35">
        <v>15744.85164436963</v>
      </c>
      <c r="Q29" s="36">
        <v>249.50920305658803</v>
      </c>
      <c r="R29" s="35">
        <v>15962.980588530603</v>
      </c>
      <c r="S29" s="36">
        <v>178.32603725533261</v>
      </c>
      <c r="T29" s="35">
        <v>16202.596726252867</v>
      </c>
      <c r="U29" s="36">
        <v>114.57847195419964</v>
      </c>
      <c r="V29" s="35">
        <v>16480.592774684759</v>
      </c>
      <c r="W29" s="36">
        <v>62.146367474636158</v>
      </c>
      <c r="X29" s="35">
        <v>16822.804022075758</v>
      </c>
      <c r="Y29" s="36">
        <v>25.765273980690338</v>
      </c>
      <c r="Z29" s="35">
        <v>17251.625053862794</v>
      </c>
      <c r="AA29" s="36">
        <v>7.339441883905919</v>
      </c>
      <c r="AB29" s="35">
        <v>17760.352303496096</v>
      </c>
      <c r="AC29" s="36">
        <v>1.3836341379086707</v>
      </c>
      <c r="AD29" s="35">
        <v>18326.755801215706</v>
      </c>
      <c r="AE29" s="36">
        <v>0.17231135988610569</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2954856.2409581072</v>
      </c>
      <c r="F30" s="119">
        <v>2983866.179350012</v>
      </c>
      <c r="H30" s="119">
        <v>3011984.8594938135</v>
      </c>
      <c r="J30" s="119">
        <v>3039450.4902393557</v>
      </c>
      <c r="L30" s="119">
        <v>3066675.6999740815</v>
      </c>
      <c r="N30" s="119">
        <v>3094354.4977317438</v>
      </c>
      <c r="P30" s="119">
        <v>3123659.2414351245</v>
      </c>
      <c r="R30" s="119">
        <v>3156616.8364580804</v>
      </c>
      <c r="T30" s="119">
        <v>3196826.5977406222</v>
      </c>
      <c r="V30" s="119">
        <v>3250647.5285603777</v>
      </c>
      <c r="X30" s="119">
        <v>3327895.0160063803</v>
      </c>
      <c r="Z30" s="119">
        <v>3437195.6653316058</v>
      </c>
      <c r="AB30" s="119">
        <v>3575727.3150536735</v>
      </c>
      <c r="AD30" s="119">
        <v>3733698.0669231731</v>
      </c>
      <c r="AF30" s="119"/>
      <c r="AH30" s="119"/>
      <c r="AJ30" s="119"/>
      <c r="AL30" s="119"/>
      <c r="AN30" s="119"/>
      <c r="AP30" s="119"/>
      <c r="AR30" s="119"/>
      <c r="AT30" s="119"/>
      <c r="AV30" s="119"/>
    </row>
    <row r="31" spans="1:49" x14ac:dyDescent="0.2">
      <c r="A31" t="s">
        <v>47</v>
      </c>
      <c r="B31" s="80">
        <v>1</v>
      </c>
      <c r="D31" s="80">
        <v>1.0100615684299605</v>
      </c>
      <c r="F31" s="80">
        <v>1.0196913666835627</v>
      </c>
      <c r="H31" s="80">
        <v>1.0288853017727049</v>
      </c>
      <c r="J31" s="80">
        <v>1.0376498188359475</v>
      </c>
      <c r="L31" s="80">
        <v>1.046009460975057</v>
      </c>
      <c r="N31" s="80">
        <v>1.0540203551623042</v>
      </c>
      <c r="P31" s="80">
        <v>1.0617950402786056</v>
      </c>
      <c r="R31" s="80">
        <v>1.0695495837406441</v>
      </c>
      <c r="T31" s="80">
        <v>1.0776885544448778</v>
      </c>
      <c r="V31" s="80">
        <v>1.0869213635734369</v>
      </c>
      <c r="X31" s="80">
        <v>1.0981841293302346</v>
      </c>
      <c r="Z31" s="80">
        <v>1.1115572297563883</v>
      </c>
      <c r="AB31" s="80">
        <v>1.1245056302445802</v>
      </c>
      <c r="AD31" s="80">
        <v>1.1328128910289637</v>
      </c>
      <c r="AF31" s="80"/>
      <c r="AH31" s="80"/>
      <c r="AJ31" s="80"/>
      <c r="AL31" s="80"/>
      <c r="AN31" s="80"/>
      <c r="AP31" s="80"/>
      <c r="AR31" s="80"/>
      <c r="AT31" s="80"/>
      <c r="AV31" s="80"/>
    </row>
    <row r="32" spans="1:49" x14ac:dyDescent="0.2">
      <c r="A32" t="s">
        <v>64</v>
      </c>
      <c r="B32" s="86">
        <v>14734457.915000005</v>
      </c>
      <c r="D32" s="86">
        <v>14895064.999269957</v>
      </c>
      <c r="F32" s="86">
        <v>15050775.83082545</v>
      </c>
      <c r="H32" s="86">
        <v>15202273.163324939</v>
      </c>
      <c r="J32" s="86">
        <v>15350848.879462514</v>
      </c>
      <c r="L32" s="86">
        <v>15498736.323687686</v>
      </c>
      <c r="N32" s="86">
        <v>15649691.814168191</v>
      </c>
      <c r="P32" s="86">
        <v>15810063.936138602</v>
      </c>
      <c r="R32" s="86">
        <v>15990842.596055763</v>
      </c>
      <c r="T32" s="86">
        <v>16211574.739316802</v>
      </c>
      <c r="V32" s="86">
        <v>16506938.941420846</v>
      </c>
      <c r="X32" s="86">
        <v>16930983.986707747</v>
      </c>
      <c r="Z32" s="86">
        <v>17533093.904147197</v>
      </c>
      <c r="AB32" s="86">
        <v>18303238.131328501</v>
      </c>
      <c r="AD32" s="86">
        <v>19195791.176457651</v>
      </c>
      <c r="AF32" s="86"/>
      <c r="AH32" s="86"/>
      <c r="AJ32" s="86"/>
      <c r="AL32" s="86"/>
      <c r="AN32" s="86"/>
      <c r="AP32" s="86"/>
      <c r="AR32" s="86"/>
      <c r="AT32" s="86"/>
      <c r="AV32" s="86"/>
    </row>
    <row r="33" spans="1:49 16319:16321" x14ac:dyDescent="0.2">
      <c r="A33" t="s">
        <v>54</v>
      </c>
      <c r="B33" s="117">
        <v>7019665.6909999903</v>
      </c>
      <c r="D33" s="117">
        <v>7096180.7361280117</v>
      </c>
      <c r="F33" s="117">
        <v>7170363.1989774564</v>
      </c>
      <c r="H33" s="117">
        <v>7242538.2781711742</v>
      </c>
      <c r="J33" s="117">
        <v>7313321.4492906565</v>
      </c>
      <c r="L33" s="117">
        <v>7383776.7397487191</v>
      </c>
      <c r="N33" s="117">
        <v>7455693.6756345062</v>
      </c>
      <c r="P33" s="117">
        <v>7532096.8090125453</v>
      </c>
      <c r="R33" s="117">
        <v>7618221.8467537863</v>
      </c>
      <c r="T33" s="117">
        <v>7723381.1794439629</v>
      </c>
      <c r="V33" s="117">
        <v>7864096.0959600974</v>
      </c>
      <c r="X33" s="117">
        <v>8066116.0462461654</v>
      </c>
      <c r="Z33" s="117">
        <v>8352968.1544423532</v>
      </c>
      <c r="AB33" s="117">
        <v>8719873.7466875017</v>
      </c>
      <c r="AD33" s="117">
        <v>9145096.3116687052</v>
      </c>
      <c r="AF33" s="117"/>
      <c r="AH33" s="117"/>
      <c r="AJ33" s="117"/>
      <c r="AL33" s="117"/>
      <c r="AN33" s="117"/>
      <c r="AP33" s="117"/>
      <c r="AR33" s="117"/>
      <c r="AT33" s="117"/>
      <c r="AV33" s="117"/>
    </row>
    <row r="34" spans="1:49 16319:16321" x14ac:dyDescent="0.2">
      <c r="A34" t="s">
        <v>75</v>
      </c>
      <c r="B34" s="117">
        <v>1136879.441000015</v>
      </c>
      <c r="D34" s="117">
        <v>1149271.5684040934</v>
      </c>
      <c r="F34" s="117">
        <v>1161285.8536476521</v>
      </c>
      <c r="H34" s="117">
        <v>1172975.062532186</v>
      </c>
      <c r="J34" s="117">
        <v>1184438.8648589244</v>
      </c>
      <c r="L34" s="117">
        <v>1195849.5382233644</v>
      </c>
      <c r="N34" s="117">
        <v>1207496.9434794795</v>
      </c>
      <c r="P34" s="117">
        <v>1219870.9108139123</v>
      </c>
      <c r="R34" s="117">
        <v>1233819.4087115501</v>
      </c>
      <c r="T34" s="117">
        <v>1250850.6371830693</v>
      </c>
      <c r="V34" s="117">
        <v>1273640.3069407903</v>
      </c>
      <c r="X34" s="117">
        <v>1306358.7209366469</v>
      </c>
      <c r="Z34" s="117">
        <v>1352816.2427657656</v>
      </c>
      <c r="AB34" s="117">
        <v>1412238.9337428315</v>
      </c>
      <c r="AD34" s="117">
        <v>1481106.4287722562</v>
      </c>
      <c r="AF34" s="117"/>
      <c r="AH34" s="117"/>
      <c r="AJ34" s="117"/>
      <c r="AL34" s="117"/>
      <c r="AN34" s="117"/>
      <c r="AP34" s="117"/>
      <c r="AR34" s="117"/>
      <c r="AT34" s="117"/>
      <c r="AV34" s="117"/>
    </row>
    <row r="35" spans="1:49 16319:16321" x14ac:dyDescent="0.2">
      <c r="A35" t="s">
        <v>78</v>
      </c>
      <c r="B35" s="233">
        <v>1</v>
      </c>
      <c r="D35" s="233">
        <v>1.0008314819535895</v>
      </c>
      <c r="F35" s="233">
        <v>1.0017531947247713</v>
      </c>
      <c r="H35" s="233">
        <v>1.0028231532435063</v>
      </c>
      <c r="J35" s="233">
        <v>1.0041306419419971</v>
      </c>
      <c r="L35" s="233">
        <v>1.0058115400074701</v>
      </c>
      <c r="N35" s="233">
        <v>1.0080752766968959</v>
      </c>
      <c r="P35" s="233">
        <v>1.0112549471560903</v>
      </c>
      <c r="R35" s="233">
        <v>1.0159049104179405</v>
      </c>
      <c r="T35" s="233">
        <v>1.0229964418623729</v>
      </c>
      <c r="V35" s="233">
        <v>1.0342918631069327</v>
      </c>
      <c r="X35" s="233">
        <v>1.0528539772889611</v>
      </c>
      <c r="Z35" s="233">
        <v>1.0829134932000275</v>
      </c>
      <c r="AB35" s="233">
        <v>1.1287095464763486</v>
      </c>
      <c r="AD35" s="233">
        <v>1.1963333719487692</v>
      </c>
      <c r="AF35" s="233"/>
      <c r="AH35" s="233"/>
      <c r="AJ35" s="233"/>
      <c r="AL35" s="233"/>
      <c r="AN35" s="233"/>
      <c r="AP35" s="233"/>
      <c r="AR35" s="233"/>
      <c r="AT35" s="233"/>
      <c r="AV35" s="233"/>
    </row>
    <row r="36" spans="1:49 16319:16321" x14ac:dyDescent="0.2">
      <c r="A36" t="s">
        <v>21</v>
      </c>
      <c r="B36" s="37">
        <v>0.47195767671988198</v>
      </c>
      <c r="C36" s="38">
        <v>0.31738834428178964</v>
      </c>
      <c r="D36" s="37">
        <v>0.47200561562842408</v>
      </c>
      <c r="E36" s="38">
        <v>0.32072546206013197</v>
      </c>
      <c r="F36" s="37">
        <v>0.47205729190054219</v>
      </c>
      <c r="G36" s="38">
        <v>0.3242480258791019</v>
      </c>
      <c r="H36" s="37">
        <v>0.47211277321421641</v>
      </c>
      <c r="I36" s="38">
        <v>0.32799241363513409</v>
      </c>
      <c r="J36" s="37">
        <v>0.47217191749723608</v>
      </c>
      <c r="K36" s="38">
        <v>0.33201111467469407</v>
      </c>
      <c r="L36" s="37">
        <v>0.4722342515056237</v>
      </c>
      <c r="M36" s="38">
        <v>0.33638111017777728</v>
      </c>
      <c r="N36" s="37">
        <v>0.47229876119802822</v>
      </c>
      <c r="O36" s="38">
        <v>0.34121818932088616</v>
      </c>
      <c r="P36" s="37">
        <v>0.47236351584343705</v>
      </c>
      <c r="Q36" s="38">
        <v>0.34670291046338803</v>
      </c>
      <c r="R36" s="37">
        <v>0.47242497516481452</v>
      </c>
      <c r="S36" s="38">
        <v>0.35313002800730314</v>
      </c>
      <c r="T36" s="37">
        <v>0.47247675297722264</v>
      </c>
      <c r="U36" s="38">
        <v>0.36100539457786968</v>
      </c>
      <c r="V36" s="37">
        <v>0.47250783101778548</v>
      </c>
      <c r="W36" s="38">
        <v>0.37122593109487301</v>
      </c>
      <c r="X36" s="37">
        <v>0.47250265551336101</v>
      </c>
      <c r="Y36" s="38">
        <v>0.38530725526327597</v>
      </c>
      <c r="Z36" s="37">
        <v>0.47245200892357997</v>
      </c>
      <c r="AA36" s="38">
        <v>0.40524148328035792</v>
      </c>
      <c r="AB36" s="37">
        <v>0.4723706186444086</v>
      </c>
      <c r="AC36" s="38">
        <v>0.43274181286614272</v>
      </c>
      <c r="AD36" s="37">
        <v>0.47228380779675561</v>
      </c>
      <c r="AE36" s="38">
        <v>0.46974017974573345</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2.0667505945132326E-2</v>
      </c>
      <c r="E37" s="40">
        <v>0.3456344185852705</v>
      </c>
      <c r="F37" s="39">
        <v>1.9939794311306124E-2</v>
      </c>
      <c r="G37" s="40">
        <v>0.34164730347808747</v>
      </c>
      <c r="H37" s="39">
        <v>1.921637597641639E-2</v>
      </c>
      <c r="I37" s="40">
        <v>0.33764329017878059</v>
      </c>
      <c r="J37" s="39">
        <v>1.8492184267453794E-2</v>
      </c>
      <c r="K37" s="40">
        <v>0.33359435026382872</v>
      </c>
      <c r="L37" s="39">
        <v>1.7760327838581978E-2</v>
      </c>
      <c r="M37" s="40">
        <v>0.32946165155201901</v>
      </c>
      <c r="N37" s="39">
        <v>1.7011313115846291E-2</v>
      </c>
      <c r="O37" s="40">
        <v>0.32519101686908436</v>
      </c>
      <c r="P37" s="39">
        <v>1.6231697349089327E-2</v>
      </c>
      <c r="Q37" s="40">
        <v>0.32070512142209706</v>
      </c>
      <c r="R37" s="39">
        <v>1.5401786939486073E-2</v>
      </c>
      <c r="S37" s="40">
        <v>0.31589022785768101</v>
      </c>
      <c r="T37" s="39">
        <v>1.4492008522193138E-2</v>
      </c>
      <c r="U37" s="40">
        <v>0.31057532729919385</v>
      </c>
      <c r="V37" s="39">
        <v>1.3459356498169065E-2</v>
      </c>
      <c r="W37" s="40">
        <v>0.30451177730781104</v>
      </c>
      <c r="X37" s="39">
        <v>1.225509040926725E-2</v>
      </c>
      <c r="Y37" s="40">
        <v>0.29741744813000204</v>
      </c>
      <c r="Z37" s="39">
        <v>1.0872005091396922E-2</v>
      </c>
      <c r="AA37" s="40">
        <v>0.28924906971649861</v>
      </c>
      <c r="AB37" s="39">
        <v>9.3932088313864997E-3</v>
      </c>
      <c r="AC37" s="40">
        <v>0.28049205492160728</v>
      </c>
      <c r="AD37" s="39">
        <v>7.9176763481301881E-3</v>
      </c>
      <c r="AE37" s="40">
        <v>0.27175544636826826</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0.18283828729185161</v>
      </c>
      <c r="E38" s="38">
        <v>6.1169779552833363E-2</v>
      </c>
      <c r="F38" s="37">
        <v>0.18499128207235804</v>
      </c>
      <c r="G38" s="38">
        <v>6.1812122621391838E-2</v>
      </c>
      <c r="H38" s="37">
        <v>0.18727183965796346</v>
      </c>
      <c r="I38" s="38">
        <v>6.2499772542737669E-2</v>
      </c>
      <c r="J38" s="37">
        <v>0.1897134694171479</v>
      </c>
      <c r="K38" s="38">
        <v>6.3243482113586033E-2</v>
      </c>
      <c r="L38" s="37">
        <v>0.19236869196414666</v>
      </c>
      <c r="M38" s="38">
        <v>6.4059421958909013E-2</v>
      </c>
      <c r="N38" s="37">
        <v>0.1953225398036541</v>
      </c>
      <c r="O38" s="38">
        <v>6.4972772965713035E-2</v>
      </c>
      <c r="P38" s="37">
        <v>0.19871883480255098</v>
      </c>
      <c r="Q38" s="38">
        <v>6.6024440411379587E-2</v>
      </c>
      <c r="R38" s="37">
        <v>0.20281491789174114</v>
      </c>
      <c r="S38" s="38">
        <v>6.7284626996442873E-2</v>
      </c>
      <c r="T38" s="37">
        <v>0.20810350021870533</v>
      </c>
      <c r="U38" s="38">
        <v>6.888170845013375E-2</v>
      </c>
      <c r="V38" s="37">
        <v>0.21559509587728506</v>
      </c>
      <c r="W38" s="38">
        <v>7.1065382320706763E-2</v>
      </c>
      <c r="X38" s="37">
        <v>0.22743956154491543</v>
      </c>
      <c r="Y38" s="38">
        <v>7.4329095003831155E-2</v>
      </c>
      <c r="Z38" s="37">
        <v>0.24810549215438124</v>
      </c>
      <c r="AA38" s="38">
        <v>7.9582635769876564E-2</v>
      </c>
      <c r="AB38" s="37">
        <v>0.28795890549381992</v>
      </c>
      <c r="AC38" s="38">
        <v>8.8586202029508565E-2</v>
      </c>
      <c r="AD38" s="37">
        <v>0.39216866679516893</v>
      </c>
      <c r="AE38" s="38">
        <v>0.10774311347841183</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0.23064923795098771</v>
      </c>
      <c r="C39" s="40">
        <v>0.22092201281804777</v>
      </c>
      <c r="D39" s="39">
        <v>0.22847324399743626</v>
      </c>
      <c r="E39" s="40">
        <v>0.22082467140036235</v>
      </c>
      <c r="F39" s="39">
        <v>0.2263702907138184</v>
      </c>
      <c r="G39" s="40">
        <v>0.22081795846885302</v>
      </c>
      <c r="H39" s="39">
        <v>0.22432852643462631</v>
      </c>
      <c r="I39" s="40">
        <v>0.22090783546290108</v>
      </c>
      <c r="J39" s="39">
        <v>0.22233172719544783</v>
      </c>
      <c r="K39" s="40">
        <v>0.22110268279403628</v>
      </c>
      <c r="L39" s="39">
        <v>0.22035688620985214</v>
      </c>
      <c r="M39" s="40">
        <v>0.22141433455448922</v>
      </c>
      <c r="N39" s="39">
        <v>0.21837007604818109</v>
      </c>
      <c r="O39" s="40">
        <v>0.22185970898461221</v>
      </c>
      <c r="P39" s="39">
        <v>0.21631902940150918</v>
      </c>
      <c r="Q39" s="40">
        <v>0.22246376475151505</v>
      </c>
      <c r="R39" s="39">
        <v>0.21411957400637846</v>
      </c>
      <c r="S39" s="40">
        <v>0.22326500968582932</v>
      </c>
      <c r="T39" s="39">
        <v>0.21163154265821987</v>
      </c>
      <c r="U39" s="40">
        <v>0.22432676792726114</v>
      </c>
      <c r="V39" s="39">
        <v>0.20862458336369244</v>
      </c>
      <c r="W39" s="40">
        <v>0.22576053298128124</v>
      </c>
      <c r="X39" s="39">
        <v>0.20478197432957015</v>
      </c>
      <c r="Y39" s="40">
        <v>0.22777092891270054</v>
      </c>
      <c r="Z39" s="39">
        <v>0.19991362800197476</v>
      </c>
      <c r="AA39" s="40">
        <v>0.23070018978107007</v>
      </c>
      <c r="AB39" s="39">
        <v>0.19428373387623232</v>
      </c>
      <c r="AC39" s="40">
        <v>0.23498797251772807</v>
      </c>
      <c r="AD39" s="39">
        <v>0.18832475468404197</v>
      </c>
      <c r="AE39" s="40">
        <v>0.24112007230155458</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8.7010689970307892E-2</v>
      </c>
      <c r="E42" s="135"/>
      <c r="F42" s="177">
        <f>10.8%+(1-10.8%)*(1-SUM(F26:G26)/SUM($B$26:$C$26))</f>
        <v>6.5291119637642087E-2</v>
      </c>
      <c r="G42" s="135"/>
      <c r="H42" s="177">
        <f>10.8%+(1-10.8%)*(1-SUM(H26:I26)/SUM($B$26:$C$26))</f>
        <v>4.2679967451274517E-2</v>
      </c>
      <c r="I42" s="135"/>
      <c r="J42" s="177">
        <f>10.8%+(1-10.8%)*(1-SUM(J26:K26)/SUM($B$26:$C$26))</f>
        <v>1.8930676702230781E-2</v>
      </c>
      <c r="K42" s="135"/>
      <c r="L42" s="177">
        <f>10.8%+(1-10.8%)*(1-SUM(L26:M26)/SUM($B$26:$C$26))</f>
        <v>-6.3438300741243819E-3</v>
      </c>
      <c r="M42" s="135"/>
      <c r="N42" s="177">
        <f>10.8%+(1-10.8%)*(1-SUM(N26:O26)/SUM($B$26:$C$26))</f>
        <v>-3.3771587163059419E-2</v>
      </c>
      <c r="O42" s="135"/>
      <c r="P42" s="177">
        <f>10.8%+(1-10.8%)*(1-SUM(P26:Q26)/SUM($B$26:$C$26))</f>
        <v>-6.4415906106876697E-2</v>
      </c>
      <c r="Q42" s="135"/>
      <c r="R42" s="177">
        <f>10.8%+(1-10.8%)*(1-SUM(R26:S26)/SUM($B$26:$C$26))</f>
        <v>-0.10017676287569482</v>
      </c>
      <c r="S42" s="135"/>
      <c r="T42" s="177">
        <f>10.8%+(1-10.8%)*(1-SUM(T26:U26)/SUM($B$26:$C$26))</f>
        <v>-0.14467137086999768</v>
      </c>
      <c r="U42" s="135"/>
      <c r="V42" s="177">
        <f>10.8%+(1-10.8%)*(1-SUM(V26:W26)/SUM($B$26:$C$26))</f>
        <v>-0.20522439371552512</v>
      </c>
      <c r="W42" s="135"/>
      <c r="X42" s="177">
        <f>10.8%+(1-10.8%)*(1-SUM(X26:Y26)/SUM($B$26:$C$26))</f>
        <v>-0.29703275072632984</v>
      </c>
      <c r="Y42" s="162"/>
      <c r="Z42" s="177">
        <f>10.8%+(1-10.8%)*(1-SUM(Z26:AA26)/SUM($B$26:$C$26))</f>
        <v>-0.45036635581701168</v>
      </c>
      <c r="AA42" s="135"/>
      <c r="AB42" s="177">
        <f>10.8%+(1-10.8%)*(1-SUM(AB26:AC26)/SUM($B$26:$C$26))</f>
        <v>-0.73253671034815715</v>
      </c>
      <c r="AC42" s="135"/>
      <c r="AD42" s="177">
        <f>10.8%+(1-10.8%)*(1-SUM(AD26:AE26)/SUM($B$26:$C$26))</f>
        <v>-1.4343142468547425</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0.57842539074215349</v>
      </c>
      <c r="E43" s="135"/>
      <c r="F43" s="162">
        <f t="array" ref="F43">SUM(F15:G15*F27:G27)/SUM(F15:G15*F27:G27,F13:G13*F26:G26)</f>
        <v>0.58968107700777239</v>
      </c>
      <c r="G43" s="135"/>
      <c r="H43" s="162">
        <f t="array" ref="H43">SUM(H15:I15*H27:I27)/SUM(H15:I15*H27:I27,H13:I13*H26:I26)</f>
        <v>0.6010370423594924</v>
      </c>
      <c r="I43" s="135"/>
      <c r="J43" s="162">
        <f t="array" ref="J43">SUM(J15:K15*J27:K27)/SUM(J15:K15*J27:K27,J13:K13*J26:K26)</f>
        <v>0.61260251094490692</v>
      </c>
      <c r="K43" s="135"/>
      <c r="L43" s="162">
        <f t="array" ref="L43">SUM(L15:M15*L27:M27)/SUM(L15:M15*L27:M27,L13:M13*L26:M26)</f>
        <v>0.62454836112870393</v>
      </c>
      <c r="M43" s="135"/>
      <c r="N43" s="162">
        <f t="array" ref="N43">SUM(N15:O15*N27:O27)/SUM(N15:O15*N27:O27,N13:O13*N26:O26)</f>
        <v>0.6371451428705156</v>
      </c>
      <c r="O43" s="135"/>
      <c r="P43" s="162">
        <f t="array" ref="P43">SUM(P15:Q15*P27:Q27)/SUM(P15:Q15*P27:Q27,P13:Q13*P26:Q26)</f>
        <v>0.65083257427248542</v>
      </c>
      <c r="Q43" s="135"/>
      <c r="R43" s="162">
        <f t="array" ref="R43">SUM(R15:S15*R27:S27)/SUM(R15:S15*R27:S27,R13:S13*R26:S26)</f>
        <v>0.66635200942877348</v>
      </c>
      <c r="S43" s="135"/>
      <c r="T43" s="162">
        <f t="array" ref="T43">SUM(T15:U15*T27:U27)/SUM(T15:U15*T27:U27,T13:U13*T26:U26)</f>
        <v>0.68500083730587447</v>
      </c>
      <c r="U43" s="135"/>
      <c r="V43" s="162">
        <f t="array" ref="V43">SUM(V15:W15*V27:W27)/SUM(V15:W15*V27:W27,V13:W13*V26:W26)</f>
        <v>0.7090741343626894</v>
      </c>
      <c r="W43" s="135"/>
      <c r="X43" s="162">
        <f t="array" ref="X43">SUM(X15:Y15*X27:Y27)/SUM(X15:Y15*X27:Y27,X13:Y13*X26:Y26)</f>
        <v>0.74225486365059989</v>
      </c>
      <c r="Y43" s="135"/>
      <c r="Z43" s="162">
        <f t="array" ref="Z43">SUM(Z15:AA15*Z27:AA27)/SUM(Z15:AA15*Z27:AA27,Z13:AA13*Z26:AA26)</f>
        <v>0.78852948339088735</v>
      </c>
      <c r="AA43" s="135"/>
      <c r="AB43" s="162">
        <f t="array" ref="AB43">SUM(AB15:AC15*AB27:AC27)/SUM(AB15:AC15*AB27:AC27,AB13:AC13*AB26:AC26)</f>
        <v>0.84942250638094574</v>
      </c>
      <c r="AC43" s="135"/>
      <c r="AD43" s="162">
        <f t="array" ref="AD43">SUM(AD15:AE15*AD27:AE27)/SUM(AD15:AE15*AD27:AE27,AD13:AE13*AD26:AE26)</f>
        <v>0.92576745044477049</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0.29754226339621759</v>
      </c>
      <c r="F44" s="193">
        <f>(SUM(F11:G11*F24:G24)+F34)/F32</f>
        <v>0.29754226160009956</v>
      </c>
      <c r="H44" s="193">
        <f>(SUM(H11:I11*H24:I24)+H34)/H32</f>
        <v>0.29754226142606949</v>
      </c>
      <c r="J44" s="193">
        <f>(SUM(J11:K11*J24:K24)+J34)/J32</f>
        <v>0.29754226231997322</v>
      </c>
      <c r="L44" s="193">
        <f>(SUM(L11:M11*L24:M24)+L34)/L32</f>
        <v>0.29754226190534588</v>
      </c>
      <c r="N44" s="193">
        <f>(SUM(N11:O11*N24:O24)+N34)/N32</f>
        <v>0.29754226195830774</v>
      </c>
      <c r="P44" s="193">
        <f>(SUM(P11:Q11*P24:Q24)+P34)/P32</f>
        <v>0.29754226165324182</v>
      </c>
      <c r="R44" s="193">
        <f>(SUM(R11:S11*R24:S24)+R34)/R32</f>
        <v>0.29754226170983733</v>
      </c>
      <c r="T44" s="193">
        <f>(SUM(T11:U11*T24:U24)+T34)/T32</f>
        <v>0.29754226209372253</v>
      </c>
      <c r="V44" s="193">
        <f>(SUM(V11:W11*V24:W24)+V34)/V32</f>
        <v>0.29754226184549631</v>
      </c>
      <c r="X44" s="193">
        <f>(SUM(X11:Y11*X24:Y24)+X34)/X32</f>
        <v>0.29754226184846949</v>
      </c>
      <c r="Z44" s="193">
        <f>(SUM(Z11:AA11*Z24:AA24)+Z34)/Z32</f>
        <v>0.2975422619031744</v>
      </c>
      <c r="AB44" s="193">
        <f>(SUM(AB11:AC11*AB24:AC24)+AB34)/AB32</f>
        <v>0.29754226190685812</v>
      </c>
      <c r="AD44" s="193">
        <f>(SUM(AD11:AE11*AD24:AE24)+AD34)/AD32</f>
        <v>0.29754226190709254</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0.22038438805559826</v>
      </c>
      <c r="F45" s="193">
        <f>SUM(F11:G11*F24:G24)/F32</f>
        <v>0.22038438836480592</v>
      </c>
      <c r="H45" s="193">
        <f>SUM(H11:I11*H24:I24)/H32</f>
        <v>0.22038438839416291</v>
      </c>
      <c r="J45" s="193">
        <f>SUM(J11:K11*J24:K24)/J32</f>
        <v>0.22038438824021769</v>
      </c>
      <c r="L45" s="193">
        <f>SUM(L11:M11*L24:M24)/L32</f>
        <v>0.22038438830531093</v>
      </c>
      <c r="N45" s="193">
        <f>SUM(N11:O11*N24:O24)/N32</f>
        <v>0.22038438831978077</v>
      </c>
      <c r="P45" s="193">
        <f>SUM(P11:Q11*P24:Q24)/P32</f>
        <v>0.2203843883048909</v>
      </c>
      <c r="R45" s="193">
        <f>SUM(R11:S11*R24:S24)/R32</f>
        <v>0.22038438830197329</v>
      </c>
      <c r="T45" s="193">
        <f>SUM(T11:U11*T24:U24)/T32</f>
        <v>0.22038438833396565</v>
      </c>
      <c r="V45" s="193">
        <f>SUM(V11:W11*V24:W24)/V32</f>
        <v>0.22038438833177984</v>
      </c>
      <c r="X45" s="193">
        <f>SUM(X11:Y11*X24:Y24)/X32</f>
        <v>0.22038438833312926</v>
      </c>
      <c r="Z45" s="193">
        <f>SUM(Z11:AA11*Z24:AA24)/Z32</f>
        <v>0.22038438833211138</v>
      </c>
      <c r="AB45" s="193">
        <f>SUM(AB11:AC11*AB24:AC24)/AB32</f>
        <v>0.22038438833225871</v>
      </c>
      <c r="AD45" s="193">
        <f>SUM(AD11:AE11*AD24:AE24)/AD32</f>
        <v>0.22038438833172599</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7.7157873574883712E-2</v>
      </c>
      <c r="D46" s="193">
        <f>D34/D32</f>
        <v>7.7157875340619325E-2</v>
      </c>
      <c r="F46" s="193">
        <f>F34/F32</f>
        <v>7.7157873235293689E-2</v>
      </c>
      <c r="H46" s="193">
        <f>H34/H32</f>
        <v>7.7157873031906549E-2</v>
      </c>
      <c r="J46" s="193">
        <f>J34/J32</f>
        <v>7.7157874079755495E-2</v>
      </c>
      <c r="L46" s="193">
        <f>L34/L32</f>
        <v>7.7157873600034926E-2</v>
      </c>
      <c r="N46" s="193">
        <f>N34/N32</f>
        <v>7.7157873638526997E-2</v>
      </c>
      <c r="P46" s="193">
        <f>P34/P32</f>
        <v>7.7157873348350892E-2</v>
      </c>
      <c r="R46" s="193">
        <f>R34/R32</f>
        <v>7.7157873407864008E-2</v>
      </c>
      <c r="T46" s="193">
        <f>T34/T32</f>
        <v>7.715787375975687E-2</v>
      </c>
      <c r="V46" s="193">
        <f>V34/V32</f>
        <v>7.715787351371646E-2</v>
      </c>
      <c r="X46" s="193">
        <f>X34/X32</f>
        <v>7.7157873515340217E-2</v>
      </c>
      <c r="Z46" s="193">
        <f>Z34/Z32</f>
        <v>7.7157873571063046E-2</v>
      </c>
      <c r="AB46" s="193">
        <f>AB34/AB32</f>
        <v>7.7157873574599398E-2</v>
      </c>
      <c r="AD46" s="193">
        <f>AD34/AD32</f>
        <v>7.7157873575366548E-2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1.013970554638008</v>
      </c>
      <c r="E48" s="191"/>
      <c r="F48" s="191">
        <f>F24/$B$24</f>
        <v>1.0278054126926965</v>
      </c>
      <c r="G48" s="191"/>
      <c r="H48" s="191">
        <f>H24/$B$24</f>
        <v>1.0415447247966958</v>
      </c>
      <c r="I48" s="191"/>
      <c r="J48" s="191">
        <f>J24/$B$24</f>
        <v>1.0552589766015847</v>
      </c>
      <c r="K48" s="191"/>
      <c r="L48" s="191">
        <f>L24/$B$24</f>
        <v>1.0690670932501949</v>
      </c>
      <c r="M48" s="191"/>
      <c r="N48" s="191">
        <f>N24/$B$24</f>
        <v>1.0831680373049817</v>
      </c>
      <c r="O48" s="191"/>
      <c r="P48" s="191">
        <f>P24/$B$24</f>
        <v>1.0978986926934677</v>
      </c>
      <c r="Q48" s="191"/>
      <c r="R48" s="191">
        <f>R24/$B$24</f>
        <v>1.1138445502443817</v>
      </c>
      <c r="S48" s="191"/>
      <c r="T48" s="191">
        <f>T24/$B$24</f>
        <v>1.1320509653747406</v>
      </c>
      <c r="U48" s="191"/>
      <c r="V48" s="191">
        <f>V24/$B$24</f>
        <v>1.1543789520204999</v>
      </c>
      <c r="W48" s="191"/>
      <c r="X48" s="191">
        <f>X24/$B$24</f>
        <v>1.1837442496262678</v>
      </c>
      <c r="Y48" s="191"/>
      <c r="Z48" s="191">
        <f>Z24/$B$24</f>
        <v>1.2228768454985921</v>
      </c>
      <c r="AA48" s="191"/>
      <c r="AB48" s="191">
        <f>AB24/$B$24</f>
        <v>1.2714861191973903</v>
      </c>
      <c r="AC48" s="191"/>
      <c r="AD48" s="191">
        <f>AD24/$B$24</f>
        <v>1.3275691208912004</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0.96139450025778539</v>
      </c>
      <c r="E49" s="191"/>
      <c r="F49" s="191">
        <f>F13/F35/$B$13*$B$35</f>
        <v>0.9228315379391141</v>
      </c>
      <c r="G49" s="191"/>
      <c r="H49" s="191">
        <f>H13/H35/$B$13*$B$35</f>
        <v>0.88411137834166076</v>
      </c>
      <c r="I49" s="191"/>
      <c r="J49" s="191">
        <f>J13/J35/$B$13*$B$35</f>
        <v>0.84492116970684084</v>
      </c>
      <c r="K49" s="191"/>
      <c r="L49" s="191">
        <f>L13/L35/$B$13*$B$35</f>
        <v>0.80477790416767625</v>
      </c>
      <c r="M49" s="191"/>
      <c r="N49" s="191">
        <f>N13/N35/$B$13*$B$35</f>
        <v>0.76293176425446463</v>
      </c>
      <c r="O49" s="191"/>
      <c r="P49" s="191">
        <f>P13/P35/$B$13*$B$35</f>
        <v>0.71819470215606507</v>
      </c>
      <c r="Q49" s="191"/>
      <c r="R49" s="191">
        <f>R13/R35/$B$13*$B$35</f>
        <v>0.66862803601535226</v>
      </c>
      <c r="S49" s="191"/>
      <c r="T49" s="191">
        <f>T13/T35/$B$13*$B$35</f>
        <v>0.61098725213404481</v>
      </c>
      <c r="U49" s="191"/>
      <c r="V49" s="191">
        <f>V13/V35/$B$13*$B$35</f>
        <v>0.53992729259969618</v>
      </c>
      <c r="W49" s="191"/>
      <c r="X49" s="191">
        <f>X13/X35/$B$13*$B$35</f>
        <v>0.44807514850042945</v>
      </c>
      <c r="Y49" s="191"/>
      <c r="Z49" s="191">
        <f>Z13/Z35/$B$13*$B$35</f>
        <v>0.33121730928340165</v>
      </c>
      <c r="AA49" s="191"/>
      <c r="AB49" s="191">
        <f>AB13/AB35/$B$13*$B$35</f>
        <v>0.19790952441919621</v>
      </c>
      <c r="AC49" s="191"/>
      <c r="AD49" s="191">
        <f>AD13/AD35/$B$13*$B$35</f>
        <v>6.8782146900023822E-2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-412116.66886727419</v>
      </c>
      <c r="F51" s="29">
        <f>F30-F10*F23</f>
        <v>-418304.57295805868</v>
      </c>
      <c r="H51" s="29">
        <f>H30-H10*H23</f>
        <v>-424431.28982740175</v>
      </c>
      <c r="J51" s="29">
        <f>J30-J10*J23</f>
        <v>-430550.63580519939</v>
      </c>
      <c r="L51" s="29">
        <f>L30-L10*L23</f>
        <v>-436754.82154030679</v>
      </c>
      <c r="N51" s="29">
        <f>N30-N10*N23</f>
        <v>-443198.93946392369</v>
      </c>
      <c r="P51" s="29">
        <f>P30-P10*P23</f>
        <v>-450145.70524989767</v>
      </c>
      <c r="R51" s="29">
        <f>R30-R10*R23</f>
        <v>-458052.44016745873</v>
      </c>
      <c r="T51" s="29">
        <f>T30-T10*T23</f>
        <v>-467738.34209444607</v>
      </c>
      <c r="V51" s="29">
        <f>V30-V10*V23</f>
        <v>-480683.36812450923</v>
      </c>
      <c r="X51" s="29">
        <f>X30-X10*X23</f>
        <v>-499289.65372996032</v>
      </c>
      <c r="Z51" s="29">
        <f>Z30-Z10*Z23</f>
        <v>-526093.66597252153</v>
      </c>
      <c r="AB51" s="29">
        <f>AB30-AB10*AB23</f>
        <v>-561650.19577198941</v>
      </c>
      <c r="AD51" s="29">
        <f>AD30-AD10*AD23</f>
        <v>-605437.67212635465</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2018170.7669569273</v>
      </c>
      <c r="F52" s="29">
        <f t="array" ref="F52">Calibration!sL*SUM(F13:G13*F26:G26)</f>
        <v>1985130.9497732294</v>
      </c>
      <c r="H52" s="29">
        <f t="array" ref="H52">Calibration!sL*SUM(H13:I13*H26:I26)</f>
        <v>1949925.8939134264</v>
      </c>
      <c r="J52" s="29">
        <f t="array" ref="J52">Calibration!sL*SUM(J13:K13*J26:K26)</f>
        <v>1912210.6611246553</v>
      </c>
      <c r="L52" s="29">
        <f t="array" ref="L52">Calibration!sL*SUM(L13:M13*L26:M26)</f>
        <v>1871408.8271134577</v>
      </c>
      <c r="N52" s="29">
        <f t="array" ref="N52">Calibration!sL*SUM(N13:O13*N26:O26)</f>
        <v>1826555.5278574105</v>
      </c>
      <c r="P52" s="29">
        <f t="array" ref="P52">Calibration!sL*SUM(P13:Q13*P26:Q26)</f>
        <v>1776003.5907780312</v>
      </c>
      <c r="R52" s="29">
        <f t="array" ref="R52">Calibration!sL*SUM(R13:S13*R26:S26)</f>
        <v>1716839.661412538</v>
      </c>
      <c r="T52" s="29">
        <f t="array" ref="T52">Calibration!sL*SUM(T13:U13*T26:U26)</f>
        <v>1643677.9170971487</v>
      </c>
      <c r="V52" s="29">
        <f t="array" ref="V52">Calibration!sL*SUM(V13:W13*V26:W26)</f>
        <v>1546236.5309318483</v>
      </c>
      <c r="X52" s="29">
        <f t="array" ref="X52">Calibration!sL*SUM(X13:Y13*X26:Y26)</f>
        <v>1405722.412360478</v>
      </c>
      <c r="Z52" s="29">
        <f t="array" ref="Z52">Calibration!sL*SUM(Z13:AA13*Z26:AA26)</f>
        <v>1195127.2092287515</v>
      </c>
      <c r="AB52" s="29">
        <f t="array" ref="AB52">Calibration!sL*SUM(AB13:AC13*AB26:AC26)</f>
        <v>889121.20143904386</v>
      </c>
      <c r="AD52" s="29">
        <f t="array" ref="AD52">Calibration!sL*SUM(AD13:AE13*AD26:AE26)</f>
        <v>460186.85919928335</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2825857.1320370855</v>
      </c>
      <c r="F53" s="29">
        <f t="array" ref="F53">Calibration!sK*SUM(F15:G15*F27:G27)</f>
        <v>2911415.5236015921</v>
      </c>
      <c r="H53" s="29">
        <f t="array" ref="H53">Calibration!sK*SUM(H15:I15*H27:I27)</f>
        <v>2997824.1788462983</v>
      </c>
      <c r="J53" s="29">
        <f t="array" ref="J53">Calibration!sK*SUM(J15:K15*J27:K27)</f>
        <v>3085866.2165351426</v>
      </c>
      <c r="L53" s="29">
        <f t="array" ref="L53">Calibration!sK*SUM(L15:M15*L27:M27)</f>
        <v>3176875.0211955411</v>
      </c>
      <c r="N53" s="29">
        <f t="array" ref="N53">Calibration!sK*SUM(N15:O15*N27:O27)</f>
        <v>3273088.1585456221</v>
      </c>
      <c r="P53" s="29">
        <f t="array" ref="P53">Calibration!sK*SUM(P15:Q15*P27:Q27)</f>
        <v>3378304.4668232813</v>
      </c>
      <c r="R53" s="29">
        <f t="array" ref="R53">Calibration!sK*SUM(R15:S15*R27:S27)</f>
        <v>3499164.2066812674</v>
      </c>
      <c r="T53" s="29">
        <f t="array" ref="T53">Calibration!sK*SUM(T15:U15*T27:U27)</f>
        <v>3647689.0629855827</v>
      </c>
      <c r="V53" s="29">
        <f t="array" ref="V53">Calibration!sK*SUM(V15:W15*V27:W27)</f>
        <v>3845958.7814433039</v>
      </c>
      <c r="X53" s="29">
        <f t="array" ref="X53">Calibration!sK*SUM(X15:Y15*X27:Y27)</f>
        <v>4131250.5045828023</v>
      </c>
      <c r="Z53" s="29">
        <f t="array" ref="Z53">Calibration!sK*SUM(Z15:AA15*Z27:AA27)</f>
        <v>4547802.873991657</v>
      </c>
      <c r="AB53" s="29">
        <f t="array" ref="AB53">Calibration!sK*SUM(AB15:AC15*AB27:AC27)</f>
        <v>5118515.8664379213</v>
      </c>
      <c r="AD53" s="29">
        <f t="array" ref="AD53">Calibration!sK*SUM(AD15:AE15*AD27:AE27)</f>
        <v>5856809.9404583955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0.19837820386167712</v>
      </c>
      <c r="F55" s="193">
        <f>F30/F32</f>
        <v>0.1982533135095112</v>
      </c>
      <c r="H55" s="193">
        <f>H30/H32</f>
        <v>0.19812726867453895</v>
      </c>
      <c r="J55" s="193">
        <f>J30/J32</f>
        <v>0.19799885427220604</v>
      </c>
      <c r="L55" s="193">
        <f>L30/L32</f>
        <v>0.19786617669513415</v>
      </c>
      <c r="N55" s="193">
        <f>N30/N32</f>
        <v>0.19772622582448052</v>
      </c>
      <c r="P55" s="193">
        <f>P30/P32</f>
        <v>0.19757410558568789</v>
      </c>
      <c r="R55" s="193">
        <f>R30/R32</f>
        <v>0.19740153262697233</v>
      </c>
      <c r="T55" s="193">
        <f>T30/T32</f>
        <v>0.1971940819535305</v>
      </c>
      <c r="V55" s="193">
        <f>V30/V32</f>
        <v>0.19692612543707488</v>
      </c>
      <c r="X55" s="193">
        <f>X30/X32</f>
        <v>0.19655650366328734</v>
      </c>
      <c r="Z55" s="193">
        <f>Z30/Z32</f>
        <v>0.19604045265043538</v>
      </c>
      <c r="AB55" s="193">
        <f>AB30/AB32</f>
        <v>0.19536036680489482</v>
      </c>
      <c r="AD55" s="193">
        <f>AD30/AD32</f>
        <v>0.19450607857738644</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3.3301378582786881E-2</v>
      </c>
      <c r="F56" s="193">
        <f>(Model!$C$52*F5*F20+F2*G5*G20)/F32</f>
        <v>3.7396299240882253E-2</v>
      </c>
      <c r="H56" s="193">
        <f>(Model!$C$52*H5*H20+H2*I5*I20)/H32</f>
        <v>4.1530718107852783E-2</v>
      </c>
      <c r="J56" s="193">
        <f>(Model!$C$52*J5*J20+J2*K5*K20)/J32</f>
        <v>4.5743382787154091E-2</v>
      </c>
      <c r="L56" s="193">
        <f>(Model!$C$52*L5*L20+L2*M5*M20)/L32</f>
        <v>5.0094782177701559E-2</v>
      </c>
      <c r="N56" s="193">
        <f>(Model!$C$52*N5*N20+N2*O5*O20)/N32</f>
        <v>5.4680591507389034E-2</v>
      </c>
      <c r="P56" s="193">
        <f>(Model!$C$52*P5*P20+P2*Q5*Q20)/P32</f>
        <v>5.9656253829325732E-2</v>
      </c>
      <c r="R56" s="193">
        <f>(Model!$C$52*R5*R20+R2*S5*S20)/R32</f>
        <v>6.5283836414488358E-2</v>
      </c>
      <c r="T56" s="193">
        <f>(Model!$C$52*T5*T20+T2*U5*U20)/T32</f>
        <v>7.2022233685072379E-2</v>
      </c>
      <c r="V56" s="193">
        <f>(Model!$C$52*V5*V20+V2*W5*W20)/V32</f>
        <v>8.0683879094524472E-2</v>
      </c>
      <c r="X56" s="193">
        <f>(Model!$C$52*X5*X20+X2*Y5*Y20)/X32</f>
        <v>9.2575097334063883E-2</v>
      </c>
      <c r="Z56" s="193">
        <f>(Model!$C$52*Z5*Z20+Z2*AA5*AA20)/Z32</f>
        <v>0.10911789909861383</v>
      </c>
      <c r="AB56" s="193">
        <f>(Model!$C$52*AB5*AB20+AB2*AC5*AC20)/AB32</f>
        <v>0.13087601483478911</v>
      </c>
      <c r="AD56" s="193">
        <f>(Model!$C$52*AD5*AD20+AD2*AE5*AE20)/AD32</f>
        <v>0.15818128440994475</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0.15444128679004382</v>
      </c>
      <c r="F57" s="193">
        <f t="array" ref="F57">SUM(Model!tauL*F13:G13*F26:G26)/F32</f>
        <v>0.15034125667859324</v>
      </c>
      <c r="H57" s="193">
        <f t="array" ref="H57">SUM(Model!tauL*H13:I13*H26:I26)/H32</f>
        <v>0.14620340176514332</v>
      </c>
      <c r="J57" s="193">
        <f t="array" ref="J57">SUM(Model!tauL*J13:K13*J26:K26)/J32</f>
        <v>0.14198786922574813</v>
      </c>
      <c r="L57" s="193">
        <f t="array" ref="L57">SUM(Model!tauL*L13:M13*L26:M26)/L32</f>
        <v>0.13763227445079557</v>
      </c>
      <c r="N57" s="193">
        <f t="array" ref="N57">SUM(Model!tauL*N13:O13*N26:O26)/N32</f>
        <v>0.13303778115412468</v>
      </c>
      <c r="P57" s="193">
        <f t="array" ref="P57">SUM(Model!tauL*P13:Q13*P26:Q26)/P32</f>
        <v>0.1280436708500339</v>
      </c>
      <c r="R57" s="193">
        <f t="array" ref="R57">SUM(Model!tauL*R13:S13*R26:S26)/R32</f>
        <v>0.12237882870397859</v>
      </c>
      <c r="T57" s="193">
        <f t="array" ref="T57">SUM(Model!tauL*T13:U13*T26:U26)/T32</f>
        <v>0.11556848513859837</v>
      </c>
      <c r="V57" s="193">
        <f t="array" ref="V57">SUM(Model!tauL*V13:W13*V26:W26)/V32</f>
        <v>0.10677197786662082</v>
      </c>
      <c r="X57" s="193">
        <f t="array" ref="X57">SUM(Model!tauL*X13:Y13*X26:Y26)/X32</f>
        <v>9.4637938878135361E-2</v>
      </c>
      <c r="Y57" s="193"/>
      <c r="Z57" s="193">
        <f t="array" ref="Z57">SUM(Model!tauL*Z13:AA13*Z26:AA26)/Z32</f>
        <v>7.7696861864969588E-2</v>
      </c>
      <c r="AB57" s="193">
        <f t="array" ref="AB57">SUM(Model!tauL*AB13:AC13*AB26:AC26)/AB32</f>
        <v>5.5370817976517217E-2</v>
      </c>
      <c r="AD57" s="193">
        <f t="array" ref="AD57">SUM(Model!tauL*AD13:AE13*AD26:AE26)/AD32</f>
        <v>2.7326002224266881E-2</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1.0635538488846435E-2</v>
      </c>
      <c r="F58" s="193">
        <f t="array" ref="F58">SUM(Model!tauY/(1+Model!tauY)*F3:G3*F18:G18)/F32</f>
        <v>1.0515757590035721E-2</v>
      </c>
      <c r="H58" s="193">
        <f t="array" ref="H58">SUM(Model!tauY/(1+Model!tauY)*H3:I3*H18:I18)/H32</f>
        <v>1.0393148801542846E-2</v>
      </c>
      <c r="J58" s="193">
        <f t="array" ref="J58">SUM(Model!tauY/(1+Model!tauY)*J3:K3*J18:K18)/J32</f>
        <v>1.0267602259303834E-2</v>
      </c>
      <c r="L58" s="193">
        <f t="array" ref="L58">SUM(Model!tauY/(1+Model!tauY)*L3:M3*L18:M18)/L32</f>
        <v>1.0139120066637019E-2</v>
      </c>
      <c r="N58" s="193">
        <f t="array" ref="N58">SUM(Model!tauY/(1+Model!tauY)*N3:O3*N18:O18)/N32</f>
        <v>1.0007853162966813E-2</v>
      </c>
      <c r="P58" s="193">
        <f t="array" ref="P58">SUM(Model!tauY/(1+Model!tauY)*P3:Q3*P18:Q18)/P32</f>
        <v>9.8741809063282605E-3</v>
      </c>
      <c r="R58" s="193">
        <f t="array" ref="R58">SUM(Model!tauY/(1+Model!tauY)*R3:S3*R18:S18)/R32</f>
        <v>9.738867508505401E-3</v>
      </c>
      <c r="T58" s="193">
        <f t="array" ref="T58">SUM(Model!tauY/(1+Model!tauY)*T3:U3*T18:U18)/T32</f>
        <v>9.6033631298597585E-3</v>
      </c>
      <c r="V58" s="193">
        <f t="array" ref="V58">SUM(Model!tauY/(1+Model!tauY)*V3:W3*V18:W18)/V32</f>
        <v>9.4702684759295913E-3</v>
      </c>
      <c r="X58" s="193">
        <f t="array" ref="X58">SUM(Model!tauY/(1+Model!tauY)*X3:Y3*X18:Y18)/X32</f>
        <v>9.3434674510880708E-3</v>
      </c>
      <c r="Y58" s="193"/>
      <c r="Z58" s="193">
        <f t="array" ref="Z58">SUM(Model!tauY/(1+Model!tauY)*Z3:AA3*Z18:AA18)/Z32</f>
        <v>9.2256916868519862E-3</v>
      </c>
      <c r="AB58" s="193">
        <f t="array" ref="AB58">SUM(Model!tauY/(1+Model!tauY)*AB3:AC3*AB18:AC18)/AB32</f>
        <v>9.1135339935884772E-3</v>
      </c>
      <c r="AD58" s="193">
        <f t="array" ref="AD58">SUM(Model!tauY/(1+Model!tauY)*AD3:AE3*AD18:AE18)/AD32</f>
        <v>8.9987919431748012E-3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4.6872018834202287E-3</v>
      </c>
      <c r="F59" s="193">
        <f>(F2*G5*G20)/F32</f>
        <v>8.8363201835744976E-3</v>
      </c>
      <c r="H59" s="193">
        <f>(H2*I5*I20)/H32</f>
        <v>1.3024079367845909E-2</v>
      </c>
      <c r="J59" s="193">
        <f>(J2*K5*K20)/J32</f>
        <v>1.7289605512967186E-2</v>
      </c>
      <c r="L59" s="193">
        <f>(L2*M5*M20)/L32</f>
        <v>2.1693994649231926E-2</v>
      </c>
      <c r="N59" s="193">
        <f>(N2*O5*O20)/N32</f>
        <v>2.6333902593908946E-2</v>
      </c>
      <c r="P59" s="193">
        <f>(P2*Q5*Q20)/P32</f>
        <v>3.1366390498559937E-2</v>
      </c>
      <c r="R59" s="193">
        <f>(R2*S5*S20)/R32</f>
        <v>3.705628793962177E-2</v>
      </c>
      <c r="T59" s="193">
        <f>(T2*U5*U20)/T32</f>
        <v>4.3867369616471509E-2</v>
      </c>
      <c r="V59" s="193">
        <f>(V2*W5*W20)/V32</f>
        <v>5.2620733486514928E-2</v>
      </c>
      <c r="X59" s="193">
        <f>(X2*Y5*Y20)/X32</f>
        <v>6.4636418918967306E-2</v>
      </c>
      <c r="Z59" s="193">
        <f>(Z2*AA5*AA20)/Z32</f>
        <v>8.1350023180421935E-2</v>
      </c>
      <c r="AB59" s="193">
        <f>(AB2*AC5*AC20)/AB32</f>
        <v>0.1033263795318753</v>
      </c>
      <c r="AD59" s="193">
        <f>(AD2*AE5*AE20)/AD32</f>
        <v>0.13089232634014106</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2.8614176699366656E-2</v>
      </c>
      <c r="F60" s="193">
        <f>Model!$C$52*F5*F20/F32</f>
        <v>2.8559979057307752E-2</v>
      </c>
      <c r="H60" s="193">
        <f>Model!$C$52*H5*H20/H32</f>
        <v>2.8506638740006873E-2</v>
      </c>
      <c r="J60" s="193">
        <f>Model!$C$52*J5*J20/J32</f>
        <v>2.8453777274186909E-2</v>
      </c>
      <c r="L60" s="193">
        <f>Model!$C$52*L5*L20/L32</f>
        <v>2.840078752846964E-2</v>
      </c>
      <c r="N60" s="193">
        <f>Model!$C$52*N5*N20/N32</f>
        <v>2.8346688913480085E-2</v>
      </c>
      <c r="P60" s="193">
        <f>Model!$C$52*P5*P20/P32</f>
        <v>2.8289863330765792E-2</v>
      </c>
      <c r="R60" s="193">
        <f>Model!$C$52*R5*R20/R32</f>
        <v>2.8227548474866592E-2</v>
      </c>
      <c r="T60" s="193">
        <f>Model!$C$52*T5*T20/T32</f>
        <v>2.8154864068600866E-2</v>
      </c>
      <c r="V60" s="193">
        <f>Model!$C$52*V5*V20/V32</f>
        <v>2.8063145608009547E-2</v>
      </c>
      <c r="X60" s="193">
        <f>Model!$C$52*X5*X20/X32</f>
        <v>2.7938678415096563E-2</v>
      </c>
      <c r="Z60" s="193">
        <f>Model!$C$52*Z5*Z20/Z32</f>
        <v>2.7767875918191891E-2</v>
      </c>
      <c r="AB60" s="193">
        <f>Model!$C$52*AB5*AB20/AB32</f>
        <v>2.7549635302913805E-2</v>
      </c>
      <c r="AD60" s="193">
        <f>Model!$C$52*AD5*AD20/AD32</f>
        <v>2.7288958069803713E-2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0.93320313062553673</v>
      </c>
      <c r="F62">
        <f>F13/F15</f>
        <v>0.87024745112317803</v>
      </c>
      <c r="H62">
        <f>H13/H15</f>
        <v>0.81056708330730032</v>
      </c>
      <c r="J62">
        <f>J13/J15</f>
        <v>0.75351709396994271</v>
      </c>
      <c r="L62">
        <f>L13/L15</f>
        <v>0.69832295343311368</v>
      </c>
      <c r="N62">
        <f>N13/N15</f>
        <v>0.64399833732146161</v>
      </c>
      <c r="P62">
        <f>P13/P15</f>
        <v>0.58920694348674896</v>
      </c>
      <c r="R62">
        <f>R13/R15</f>
        <v>0.53203120929107062</v>
      </c>
      <c r="T62">
        <f>T13/T15</f>
        <v>0.46962612630942024</v>
      </c>
      <c r="V62">
        <f>V13/V15</f>
        <v>0.39795828663697852</v>
      </c>
      <c r="X62">
        <f>X13/X15</f>
        <v>0.31296895394065943</v>
      </c>
      <c r="Z62">
        <f>Z13/Z15</f>
        <v>0.216156822071498</v>
      </c>
      <c r="AB62">
        <f>AB13/AB15</f>
        <v>0.11961031340480414</v>
      </c>
      <c r="AD62">
        <f>AD13/AD15</f>
        <v>3.8506194708765845E-2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0.99724895261486035</v>
      </c>
      <c r="E65" s="191"/>
      <c r="F65" s="191">
        <f t="array" ref="F65">SQRT((F9:G9*$B$22:$C$22+F10:G10*$B$23:$C$23+F11:G11*$B$24:$C$24+F4:G4*($B$25:$C$25-$B$19:$C$19))/($B$9:$C$9*$B$22:$C$22+$B$10:$C$10*$B$23:$C$23+$B$11:$C$11*$B$24:$C$24+$B$4:$C$4*($B$25:$C$25-$B$19:$C$19))*(F9:G9*F22:G22+F10:G10*F23:G23+F11:G11*F24:G24+F4:G4*(F25:G25-F19:G19))/($B$9:$C$9*F22:G22+$B$10:$C$10*F23:G23+$B$11:$C$11*F24:G24+$B$4:$C$4*(F25:G25-F19:G19)))</f>
        <v>0.99440713056879881</v>
      </c>
      <c r="G65" s="191"/>
      <c r="H65" s="191">
        <f t="array" ref="H65">SQRT((H9:I9*$B$22:$C$22+H10:I10*$B$23:$C$23+H11:I11*$B$24:$C$24+H4:I4*($B$25:$C$25-$B$19:$C$19))/($B$9:$C$9*$B$22:$C$22+$B$10:$C$10*$B$23:$C$23+$B$11:$C$11*$B$24:$C$24+$B$4:$C$4*($B$25:$C$25-$B$19:$C$19))*(H9:I9*H22:I22+H10:I10*H23:I23+H11:I11*H24:I24+H4:I4*(H25:I25-H19:I19))/($B$9:$C$9*H22:I22+$B$10:$C$10*H23:I23+$B$11:$C$11*H24:I24+$B$4:$C$4*(H25:I25-H19:I19)))</f>
        <v>0.99148392568002242</v>
      </c>
      <c r="I65" s="191"/>
      <c r="J65" s="191">
        <f t="array" ref="J65">SQRT((J9:K9*$B$22:$C$22+J10:K10*$B$23:$C$23+J11:K11*$B$24:$C$24+J4:K4*($B$25:$C$25-$B$19:$C$19))/($B$9:$C$9*$B$22:$C$22+$B$10:$C$10*$B$23:$C$23+$B$11:$C$11*$B$24:$C$24+$B$4:$C$4*($B$25:$C$25-$B$19:$C$19))*(J9:K9*J22:K22+J10:K10*J23:K23+J11:K11*J24:K24+J4:K4*(J25:K25-J19:K19))/($B$9:$C$9*J22:K22+$B$10:$C$10*J23:K23+$B$11:$C$11*J24:K24+$B$4:$C$4*(J25:K25-J19:K19)))</f>
        <v>0.98849827429514092</v>
      </c>
      <c r="K65" s="191"/>
      <c r="L65" s="191">
        <f t="array" ref="L65">SQRT((L9:M9*$B$22:$C$22+L10:M10*$B$23:$C$23+L11:M11*$B$24:$C$24+L4:M4*($B$25:$C$25-$B$19:$C$19))/($B$9:$C$9*$B$22:$C$22+$B$10:$C$10*$B$23:$C$23+$B$11:$C$11*$B$24:$C$24+$B$4:$C$4*($B$25:$C$25-$B$19:$C$19))*(L9:M9*L22:M22+L10:M10*L23:M23+L11:M11*L24:M24+L4:M4*(L25:M25-L19:M19))/($B$9:$C$9*L22:M22+$B$10:$C$10*L23:M23+$B$11:$C$11*L24:M24+$B$4:$C$4*(L25:M25-L19:M19)))</f>
        <v>0.98548230284194338</v>
      </c>
      <c r="M65" s="191"/>
      <c r="N65" s="191">
        <f t="array" ref="N65">SQRT((N9:O9*$B$22:$C$22+N10:O10*$B$23:$C$23+N11:O11*$B$24:$C$24+N4:O4*($B$25:$C$25-$B$19:$C$19))/($B$9:$C$9*$B$22:$C$22+$B$10:$C$10*$B$23:$C$23+$B$11:$C$11*$B$24:$C$24+$B$4:$C$4*($B$25:$C$25-$B$19:$C$19))*(N9:O9*N22:O22+N10:O10*N23:O23+N11:O11*N24:O24+N4:O4*(N25:O25-N19:O19))/($B$9:$C$9*N22:O22+$B$10:$C$10*N23:O23+$B$11:$C$11*N24:O24+$B$4:$C$4*(N25:O25-N19:O19)))</f>
        <v>0.98248792119343542</v>
      </c>
      <c r="O65" s="191"/>
      <c r="P65" s="191">
        <f t="array" ref="P65">SQRT((P9:Q9*$B$22:$C$22+P10:Q10*$B$23:$C$23+P11:Q11*$B$24:$C$24+P4:Q4*($B$25:$C$25-$B$19:$C$19))/($B$9:$C$9*$B$22:$C$22+$B$10:$C$10*$B$23:$C$23+$B$11:$C$11*$B$24:$C$24+$B$4:$C$4*($B$25:$C$25-$B$19:$C$19))*(P9:Q9*P22:Q22+P10:Q10*P23:Q23+P11:Q11*P24:Q24+P4:Q4*(P25:Q25-P19:Q19))/($B$9:$C$9*P22:Q22+$B$10:$C$10*P23:Q23+$B$11:$C$11*P24:Q24+$B$4:$C$4*(P25:Q25-P19:Q19)))</f>
        <v>0.97959916479110143</v>
      </c>
      <c r="Q65" s="191"/>
      <c r="R65" s="191">
        <f t="array" ref="R65">SQRT((R9:S9*$B$22:$C$22+R10:S10*$B$23:$C$23+R11:S11*$B$24:$C$24+R4:S4*($B$25:$C$25-$B$19:$C$19))/($B$9:$C$9*$B$22:$C$22+$B$10:$C$10*$B$23:$C$23+$B$11:$C$11*$B$24:$C$24+$B$4:$C$4*($B$25:$C$25-$B$19:$C$19))*(R9:S9*R22:S22+R10:S10*R23:S23+R11:S11*R24:S24+R4:S4*(R25:S25-R19:S19))/($B$9:$C$9*R22:S22+$B$10:$C$10*R23:S23+$B$11:$C$11*R24:S24+$B$4:$C$4*(R25:S25-R19:S19)))</f>
        <v>0.97695571806516102</v>
      </c>
      <c r="S65" s="191"/>
      <c r="T65" s="191">
        <f t="array" ref="T65">SQRT((T9:U9*$B$22:$C$22+T10:U10*$B$23:$C$23+T11:U11*$B$24:$C$24+T4:U4*($B$25:$C$25-$B$19:$C$19))/($B$9:$C$9*$B$22:$C$22+$B$10:$C$10*$B$23:$C$23+$B$11:$C$11*$B$24:$C$24+$B$4:$C$4*($B$25:$C$25-$B$19:$C$19))*(T9:U9*T22:U22+T10:U10*T23:U23+T11:U11*T24:U24+T4:U4*(T25:U25-T19:U19))/($B$9:$C$9*T22:U22+$B$10:$C$10*T23:U23+$B$11:$C$11*T24:U24+$B$4:$C$4*(T25:U25-T19:U19)))</f>
        <v>0.97479668825795163</v>
      </c>
      <c r="U65" s="191"/>
      <c r="V65" s="191">
        <f t="array" ref="V65">SQRT((V9:W9*$B$22:$C$22+V10:W10*$B$23:$C$23+V11:W11*$B$24:$C$24+V4:W4*($B$25:$C$25-$B$19:$C$19))/($B$9:$C$9*$B$22:$C$22+$B$10:$C$10*$B$23:$C$23+$B$11:$C$11*$B$24:$C$24+$B$4:$C$4*($B$25:$C$25-$B$19:$C$19))*(V9:W9*V22:W22+V10:W10*V23:W23+V11:W11*V24:W24+V4:W4*(V25:W25-V19:W19))/($B$9:$C$9*V22:W22+$B$10:$C$10*V23:W23+$B$11:$C$11*V24:W24+$B$4:$C$4*(V25:W25-V19:W19)))</f>
        <v>0.97352793773860224</v>
      </c>
      <c r="W65" s="191"/>
      <c r="X65" s="191">
        <f t="array" ref="X65">SQRT((X9:Y9*$B$22:$C$22+X10:Y10*$B$23:$C$23+X11:Y11*$B$24:$C$24+X4:Y4*($B$25:$C$25-$B$19:$C$19))/($B$9:$C$9*$B$22:$C$22+$B$10:$C$10*$B$23:$C$23+$B$11:$C$11*$B$24:$C$24+$B$4:$C$4*($B$25:$C$25-$B$19:$C$19))*(X9:Y9*X22:Y22+X10:Y10*X23:Y23+X11:Y11*X24:Y24+X4:Y4*(X25:Y25-X19:Y19))/($B$9:$C$9*X22:Y22+$B$10:$C$10*X23:Y23+$B$11:$C$11*X24:Y24+$B$4:$C$4*(X25:Y25-X19:Y19)))</f>
        <v>0.97373515464361704</v>
      </c>
      <c r="Y65" s="191"/>
      <c r="Z65" s="191">
        <f t="array" ref="Z65">SQRT((Z9:AA9*$B$22:$C$22+Z10:AA10*$B$23:$C$23+Z11:AA11*$B$24:$C$24+Z4:AA4*($B$25:$C$25-$B$19:$C$19))/($B$9:$C$9*$B$22:$C$22+$B$10:$C$10*$B$23:$C$23+$B$11:$C$11*$B$24:$C$24+$B$4:$C$4*($B$25:$C$25-$B$19:$C$19))*(Z9:AA9*Z22:AA22+Z10:AA10*Z23:AA23+Z11:AA11*Z24:AA24+Z4:AA4*(Z25:AA25-Z19:AA19))/($B$9:$C$9*Z22:AA22+$B$10:$C$10*Z23:AA23+$B$11:$C$11*Z24:AA24+$B$4:$C$4*(Z25:AA25-Z19:AA19)))</f>
        <v>0.9758137152756764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0.97927853107097063</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0.98315971361268384</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0.99697185035139713</v>
      </c>
      <c r="E66" s="191"/>
      <c r="F66" s="191">
        <f t="array" ref="F66">SQRT((F9:G9*$B$22:$C$22)/($B$9:$C$9*$B$22:$C$22)*(F9:G9*F22:G22)/($B$9:$C$9*F22:G22))</f>
        <v>0.99383394046272444</v>
      </c>
      <c r="G66" s="191"/>
      <c r="H66" s="191">
        <f t="array" ref="H66">SQRT((H9:I9*$B$22:$C$22)/($B$9:$C$9*$B$22:$C$22)*(H9:I9*H22:I22)/($B$9:$C$9*H22:I22))</f>
        <v>0.99059571660754031</v>
      </c>
      <c r="I66" s="191"/>
      <c r="J66" s="191">
        <f t="array" ref="J66">SQRT((J9:K9*$B$22:$C$22)/($B$9:$C$9*$B$22:$C$22)*(J9:K9*J22:K22)/($B$9:$C$9*J22:K22))</f>
        <v>0.98727736069622019</v>
      </c>
      <c r="K66" s="191"/>
      <c r="L66" s="191">
        <f t="array" ref="L66">SQRT((L9:M9*$B$22:$C$22)/($B$9:$C$9*$B$22:$C$22)*(L9:M9*L22:M22)/($B$9:$C$9*L22:M22))</f>
        <v>0.98391405689274014</v>
      </c>
      <c r="M66" s="191"/>
      <c r="N66" s="191">
        <f t="array" ref="N66">SQRT((N9:O9*$B$22:$C$22)/($B$9:$C$9*$B$22:$C$22)*(N9:O9*N22:O22)/($B$9:$C$9*N22:O22))</f>
        <v>0.98056365224297626</v>
      </c>
      <c r="O66" s="191"/>
      <c r="P66" s="191">
        <f t="array" ref="P66">SQRT((P9:Q9*$B$22:$C$22)/($B$9:$C$9*$B$22:$C$22)*(P9:Q9*P22:Q22)/($B$9:$C$9*P22:Q22))</f>
        <v>0.97732092095292111</v>
      </c>
      <c r="Q66" s="191"/>
      <c r="R66" s="191">
        <f t="array" ref="R66">SQRT((R9:S9*$B$22:$C$22)/($B$9:$C$9*$B$22:$C$22)*(R9:S9*R22:S22)/($B$9:$C$9*R22:S22))</f>
        <v>0.97434464217049344</v>
      </c>
      <c r="S66" s="191"/>
      <c r="T66" s="191">
        <f t="array" ref="T66">SQRT((T9:U9*$B$22:$C$22)/($B$9:$C$9*$B$22:$C$22)*(T9:U9*T22:U22)/($B$9:$C$9*T22:U22))</f>
        <v>0.97190778486913476</v>
      </c>
      <c r="U66" s="191"/>
      <c r="V66" s="191">
        <f t="array" ref="V66">SQRT((V9:W9*$B$22:$C$22)/($B$9:$C$9*$B$22:$C$22)*(V9:W9*V22:W22)/($B$9:$C$9*V22:W22))</f>
        <v>0.97047417410061587</v>
      </c>
      <c r="W66" s="191"/>
      <c r="X66" s="191">
        <f t="array" ref="X66">SQRT((X9:Y9*$B$22:$C$22)/($B$9:$C$9*$B$22:$C$22)*(X9:Y9*X22:Y22)/($B$9:$C$9*X22:Y22))</f>
        <v>0.97071145364488653</v>
      </c>
      <c r="Y66" s="191"/>
      <c r="Z66" s="191">
        <f t="array" ref="Z66">SQRT((Z9:AA9*$B$22:$C$22)/($B$9:$C$9*$B$22:$C$22)*(Z9:AA9*Z22:AA22)/($B$9:$C$9*Z22:AA22))</f>
        <v>0.97306460214968282</v>
      </c>
      <c r="AA66" s="191"/>
      <c r="AB66" s="191">
        <f t="array" ref="AB66">SQRT((AB9:AC9*$B$22:$C$22)/($B$9:$C$9*$B$22:$C$22)*(AB9:AC9*AB22:AC22)/($B$9:$C$9*AB22:AC22))</f>
        <v>0.97697206081632593</v>
      </c>
      <c r="AC66" s="191"/>
      <c r="AD66" s="191">
        <f t="array" ref="AD66">SQRT((AD9:AE9*$B$22:$C$22)/($B$9:$C$9*$B$22:$C$22)*(AD9:AE9*AD22:AE22)/($B$9:$C$9*AD22:AE22))</f>
        <v>0.98132917781096329</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0.99697185035139713</v>
      </c>
      <c r="E68" s="191"/>
      <c r="F68" s="191">
        <f>F66/F67</f>
        <v>0.99383394046272444</v>
      </c>
      <c r="G68" s="191"/>
      <c r="H68" s="191">
        <f>H66/H67</f>
        <v>0.99059571660754031</v>
      </c>
      <c r="I68" s="191"/>
      <c r="J68" s="191">
        <f>J66/J67</f>
        <v>0.98727736069622019</v>
      </c>
      <c r="K68" s="191"/>
      <c r="L68" s="191">
        <f>L66/L67</f>
        <v>0.98391405689274014</v>
      </c>
      <c r="M68" s="191"/>
      <c r="N68" s="191">
        <f>N66/N67</f>
        <v>0.98056365224297626</v>
      </c>
      <c r="O68" s="191"/>
      <c r="P68" s="191">
        <f>P66/P67</f>
        <v>0.97732092095292111</v>
      </c>
      <c r="Q68" s="191"/>
      <c r="R68" s="191">
        <f>R66/R67</f>
        <v>0.97434464217049344</v>
      </c>
      <c r="S68" s="191"/>
      <c r="T68" s="191">
        <f>T66/T67</f>
        <v>0.97190778486913476</v>
      </c>
      <c r="U68" s="191"/>
      <c r="V68" s="191">
        <f>V66/V67</f>
        <v>0.97047417410061587</v>
      </c>
      <c r="W68" s="191"/>
      <c r="X68" s="191">
        <f>X66/X67</f>
        <v>0.97071145364488653</v>
      </c>
      <c r="Y68" s="191"/>
      <c r="Z68" s="191">
        <f>Z66/Z67</f>
        <v>0.97306460214968282</v>
      </c>
      <c r="AA68" s="191"/>
      <c r="AB68" s="191">
        <f>AB66/AB67</f>
        <v>0.97697206081632593</v>
      </c>
      <c r="AC68" s="191"/>
      <c r="AD68" s="191">
        <f>AD66/AD67</f>
        <v>0.98132917781096329</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1.0136888072694505</v>
      </c>
      <c r="E69" s="191"/>
      <c r="F69" s="191">
        <f>F32/F65/($B$32)</f>
        <v>1.0272129711989233</v>
      </c>
      <c r="G69" s="191"/>
      <c r="H69" s="191">
        <f>H32/H65/($B$32)</f>
        <v>1.0406116690594338</v>
      </c>
      <c r="I69" s="191"/>
      <c r="J69" s="191">
        <f>J32/J65/($B$32)</f>
        <v>1.0539556059889976</v>
      </c>
      <c r="K69" s="191"/>
      <c r="L69" s="191">
        <f>L32/L65/($B$32)</f>
        <v>1.0673658348851487</v>
      </c>
      <c r="M69" s="191"/>
      <c r="N69" s="191">
        <f>N32/N65/($B$32)</f>
        <v>1.0810465796068756</v>
      </c>
      <c r="O69" s="191"/>
      <c r="P69" s="191">
        <f>P32/P65/($B$32)</f>
        <v>1.0953453209779977</v>
      </c>
      <c r="Q69" s="191"/>
      <c r="R69" s="191">
        <f>R32/R65/($B$32)</f>
        <v>1.1108676164343858</v>
      </c>
      <c r="S69" s="191"/>
      <c r="T69" s="191">
        <f>T32/T65/($B$32)</f>
        <v>1.1286960238575121</v>
      </c>
      <c r="U69" s="191"/>
      <c r="V69" s="191">
        <f>V32/V65/($B$32)</f>
        <v>1.1507578946982955</v>
      </c>
      <c r="W69" s="191"/>
      <c r="X69" s="191">
        <f>X32/X65/($B$32)</f>
        <v>1.180068415741701</v>
      </c>
      <c r="Y69" s="191"/>
      <c r="Z69" s="191">
        <f>Z32/Z65/($B$32)</f>
        <v>1.2194316932777043</v>
      </c>
      <c r="AA69" s="191"/>
      <c r="AB69" s="191">
        <f>AB32/AB65/($B$32)</f>
        <v>1.2684914197100983</v>
      </c>
      <c r="AC69" s="191"/>
      <c r="AD69" s="191">
        <f>AD32/AD65/($B$32)</f>
        <v>1.3250973324623903</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1.0137119638434433</v>
      </c>
      <c r="E70" s="138"/>
      <c r="F70" s="138">
        <f>F18/$B$18</f>
        <v>1.0273812795206556</v>
      </c>
      <c r="G70" s="138"/>
      <c r="H70" s="138">
        <f>H18/$B$18</f>
        <v>1.0410388098229351</v>
      </c>
      <c r="I70" s="138"/>
      <c r="J70" s="138">
        <f>J18/$B$18</f>
        <v>1.0547332357672554</v>
      </c>
      <c r="K70" s="138"/>
      <c r="L70" s="138">
        <f>L18/$B$18</f>
        <v>1.0685426548035015</v>
      </c>
      <c r="M70" s="138"/>
      <c r="N70" s="138">
        <f>N18/$B$18</f>
        <v>1.0825946922176579</v>
      </c>
      <c r="O70" s="138"/>
      <c r="P70" s="138">
        <f>P18/$B$18</f>
        <v>1.0971030604714205</v>
      </c>
      <c r="Q70" s="138"/>
      <c r="R70" s="138">
        <f>R18/$B$18</f>
        <v>1.1124367895398974</v>
      </c>
      <c r="S70" s="138"/>
      <c r="T70" s="138">
        <f>T18/$B$18</f>
        <v>1.1292502714781554</v>
      </c>
      <c r="U70" s="138"/>
      <c r="V70" s="138">
        <f>V18/$B$18</f>
        <v>1.1486955765658877</v>
      </c>
      <c r="W70" s="138"/>
      <c r="X70" s="138">
        <f>X18/$B$18</f>
        <v>1.1725357323814991</v>
      </c>
      <c r="Y70" s="138"/>
      <c r="Z70" s="138">
        <f>Z18/$B$18</f>
        <v>1.2023044616508958</v>
      </c>
      <c r="AA70" s="138"/>
      <c r="AB70" s="138">
        <f>AB18/$B$18</f>
        <v>1.2375606690341767</v>
      </c>
      <c r="AC70" s="138"/>
      <c r="AD70" s="138">
        <f>AD18/$B$18</f>
        <v>1.2768101743682234</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0.90284563471999146</v>
      </c>
      <c r="E71" s="138"/>
      <c r="F71" s="138">
        <f>G18/$C$18</f>
        <v>0.80469105724331769</v>
      </c>
      <c r="G71" s="138"/>
      <c r="H71" s="138">
        <f>I18/$C$18</f>
        <v>0.70585853570153212</v>
      </c>
      <c r="I71" s="138"/>
      <c r="J71" s="138">
        <f>K18/$C$18</f>
        <v>0.60683288961665227</v>
      </c>
      <c r="K71" s="138"/>
      <c r="L71" s="138">
        <f>M18/$C$18</f>
        <v>0.50831256411646797</v>
      </c>
      <c r="M71" s="138"/>
      <c r="N71" s="138">
        <f>O18/$C$18</f>
        <v>0.41129593339938442</v>
      </c>
      <c r="O71" s="138"/>
      <c r="P71" s="138">
        <f>Q18/$C$18</f>
        <v>0.31723487835860525</v>
      </c>
      <c r="Q71" s="138"/>
      <c r="R71" s="138">
        <f>S18/$C$18</f>
        <v>0.22830434021737855</v>
      </c>
      <c r="S71" s="138"/>
      <c r="T71" s="138">
        <f>U18/$C$18</f>
        <v>0.14785314559759533</v>
      </c>
      <c r="U71" s="138"/>
      <c r="V71" s="138">
        <f>W18/$C$18</f>
        <v>8.0950566329361942E-2</v>
      </c>
      <c r="W71" s="138"/>
      <c r="X71" s="138">
        <f>Y18/$C$18</f>
        <v>3.395142579031122E-2</v>
      </c>
      <c r="Y71" s="138"/>
      <c r="Z71" s="138">
        <f>AA18/$C$18</f>
        <v>9.8086277662658549E-3</v>
      </c>
      <c r="AA71" s="138"/>
      <c r="AB71" s="138">
        <f>AC18/$C$18</f>
        <v>1.8789930074905629E-3</v>
      </c>
      <c r="AC71" s="138"/>
      <c r="AD71" s="138">
        <f>AE18/$C$18</f>
        <v>2.3799743874755884E-4</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1.1422922900936299</v>
      </c>
      <c r="E72" s="138"/>
      <c r="F72" s="138">
        <f>G19/$C$19</f>
        <v>1.2994495086377311</v>
      </c>
      <c r="G72" s="138"/>
      <c r="H72" s="138">
        <f>I19/$C$19</f>
        <v>1.4710753583887237</v>
      </c>
      <c r="I72" s="138"/>
      <c r="J72" s="138">
        <f>K19/$C$19</f>
        <v>1.6561041805149237</v>
      </c>
      <c r="K72" s="138"/>
      <c r="L72" s="138">
        <f>M19/$C$19</f>
        <v>1.8525239710095558</v>
      </c>
      <c r="M72" s="138"/>
      <c r="N72" s="138">
        <f>O19/$C$19</f>
        <v>2.0568787918627645</v>
      </c>
      <c r="O72" s="138"/>
      <c r="P72" s="138">
        <f>Q19/$C$19</f>
        <v>2.2633313025015886</v>
      </c>
      <c r="Q72" s="138"/>
      <c r="R72" s="138">
        <f>S19/$C$19</f>
        <v>2.461836013512694</v>
      </c>
      <c r="S72" s="138"/>
      <c r="T72" s="138">
        <f>U19/$C$19</f>
        <v>2.6346067230209154</v>
      </c>
      <c r="U72" s="138"/>
      <c r="V72" s="138">
        <f>W19/$C$19</f>
        <v>2.7501882843811298</v>
      </c>
      <c r="W72" s="138"/>
      <c r="X72" s="138">
        <f>Y19/$C$19</f>
        <v>2.7599902294034409</v>
      </c>
      <c r="Y72" s="138"/>
      <c r="Z72" s="138">
        <f>AA19/$C$19</f>
        <v>2.6227405770236776</v>
      </c>
      <c r="AA72" s="138"/>
      <c r="AB72" s="138">
        <f>AC19/$C$19</f>
        <v>2.3606915698939193</v>
      </c>
      <c r="AC72" s="138"/>
      <c r="AD72" s="138">
        <f>AE19/$C$19</f>
        <v>2.040030257900356</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0.47641153352875076</v>
      </c>
      <c r="D73" s="193">
        <f t="array" ref="D73">SUM(D9:E9*D22:E22)/D32</f>
        <v>0.47641153203935765</v>
      </c>
      <c r="E73" s="138"/>
      <c r="F73" s="193">
        <f t="array" ref="F73">SUM(F9:G9*F22:G22)/F32</f>
        <v>0.47641153383547569</v>
      </c>
      <c r="G73" s="138"/>
      <c r="H73" s="193">
        <f t="array" ref="H73">SUM(H9:I9*H22:I22)/H32</f>
        <v>0.47641153400950581</v>
      </c>
      <c r="I73" s="138"/>
      <c r="J73" s="193">
        <f t="array" ref="J73">SUM(J9:K9*J22:K22)/J32</f>
        <v>0.47641153311560208</v>
      </c>
      <c r="K73" s="138"/>
      <c r="L73" s="193">
        <f t="array" ref="L73">SUM(L9:M9*L22:M22)/L32</f>
        <v>0.47641153353022936</v>
      </c>
      <c r="M73" s="138"/>
      <c r="N73" s="193">
        <f t="array" ref="N73">SUM(N9:O9*N22:O22)/N32</f>
        <v>0.47641153347726739</v>
      </c>
      <c r="O73" s="138"/>
      <c r="P73" s="193">
        <f t="array" ref="P73">SUM(P9:Q9*P22:Q22)/P32</f>
        <v>0.47641153378233342</v>
      </c>
      <c r="Q73" s="138"/>
      <c r="R73" s="193">
        <f t="array" ref="R73">SUM(R9:S9*R22:S22)/R32</f>
        <v>0.47641153372573802</v>
      </c>
      <c r="S73" s="138"/>
      <c r="T73" s="193">
        <f t="array" ref="T73">SUM(T9:U9*T22:U22)/T32</f>
        <v>0.47641153334185271</v>
      </c>
      <c r="U73" s="138"/>
      <c r="V73" s="193">
        <f t="array" ref="V73">SUM(V9:W9*V22:W22)/V32</f>
        <v>0.47641153359007887</v>
      </c>
      <c r="W73" s="138"/>
      <c r="X73" s="193">
        <f t="array" ref="X73">SUM(X9:Y9*X22:Y22)/X32</f>
        <v>0.47641153358710564</v>
      </c>
      <c r="Y73" s="138"/>
      <c r="Z73" s="193">
        <f t="array" ref="Z73">SUM(Z9:AA9*Z22:AA22)/Z32</f>
        <v>0.47641153353240084</v>
      </c>
      <c r="AA73" s="138"/>
      <c r="AB73" s="193">
        <f t="array" ref="AB73">SUM(AB9:AC9*AB22:AC22)/AB32</f>
        <v>0.47641153352871712</v>
      </c>
      <c r="AC73" s="138"/>
      <c r="AD73" s="193">
        <f t="array" ref="AD73">SUM(AD9:AE9*AD22:AE22)/AD32</f>
        <v>0.47641153352848281</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0.22604620456442481</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0.22038438805559826</v>
      </c>
      <c r="E75" s="138"/>
      <c r="F75" s="193">
        <f t="array" ref="F75">SUM(F11:G11*F24:G24)/F32</f>
        <v>0.22038438836480592</v>
      </c>
      <c r="G75" s="138"/>
      <c r="H75" s="193">
        <f t="array" ref="H75">SUM(H11:I11*H24:I24)/H32</f>
        <v>0.22038438839416291</v>
      </c>
      <c r="I75" s="138"/>
      <c r="J75" s="193">
        <f t="array" ref="J75">SUM(J11:K11*J24:K24)/J32</f>
        <v>0.22038438824021769</v>
      </c>
      <c r="K75" s="138"/>
      <c r="L75" s="193">
        <f t="array" ref="L75">SUM(L11:M11*L24:M24)/L32</f>
        <v>0.22038438830531093</v>
      </c>
      <c r="M75" s="138"/>
      <c r="N75" s="193">
        <f t="array" ref="N75">SUM(N11:O11*N24:O24)/N32</f>
        <v>0.22038438831978077</v>
      </c>
      <c r="O75" s="138"/>
      <c r="P75" s="193">
        <f t="array" ref="P75">SUM(P11:Q11*P24:Q24)/P32</f>
        <v>0.2203843883048909</v>
      </c>
      <c r="Q75" s="138"/>
      <c r="R75" s="193">
        <f t="array" ref="R75">SUM(R11:S11*R24:S24)/R32</f>
        <v>0.22038438830197329</v>
      </c>
      <c r="S75" s="138"/>
      <c r="T75" s="193">
        <f t="array" ref="T75">SUM(T11:U11*T24:U24)/T32</f>
        <v>0.22038438833396565</v>
      </c>
      <c r="U75" s="138"/>
      <c r="V75" s="193">
        <f t="array" ref="V75">SUM(V11:W11*V24:W24)/V32</f>
        <v>0.22038438833177984</v>
      </c>
      <c r="W75" s="138"/>
      <c r="X75" s="193">
        <f t="array" ref="X75">SUM(X11:Y11*X24:Y24)/X32</f>
        <v>0.22038438833312926</v>
      </c>
      <c r="Y75" s="138"/>
      <c r="Z75" s="193">
        <f t="array" ref="Z75">SUM(Z11:AA11*Z24:AA24)/Z32</f>
        <v>0.22038438833211138</v>
      </c>
      <c r="AA75" s="138"/>
      <c r="AB75" s="193">
        <f t="array" ref="AB75">SUM(AB11:AC11*AB24:AC24)/AB32</f>
        <v>0.22038438833225871</v>
      </c>
      <c r="AC75" s="138"/>
      <c r="AD75" s="193">
        <f t="array" ref="AD75">SUM(AD11:AE11*AD24:AE24)/AD32</f>
        <v>0.22038438833172599</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0.22393265695026068</v>
      </c>
      <c r="E76" s="138"/>
      <c r="F76" s="193">
        <f t="array" ref="F76">SUM(F12:G12*F25:G25)/F32</f>
        <v>0.22503870952980273</v>
      </c>
      <c r="G76" s="138"/>
      <c r="H76" s="193">
        <f t="array" ref="H76">SUM(H12:I12*H25:I25)/H32</f>
        <v>0.2263280361168834</v>
      </c>
      <c r="I76" s="138"/>
      <c r="J76" s="193">
        <f t="array" ref="J76">SUM(J12:K12*J25:K25)/J32</f>
        <v>0.22778283070030139</v>
      </c>
      <c r="K76" s="138"/>
      <c r="L76" s="193">
        <f t="array" ref="L76">SUM(L12:M12*L25:M25)/L32</f>
        <v>0.2293719078443861</v>
      </c>
      <c r="M76" s="138"/>
      <c r="N76" s="193">
        <f t="array" ref="N76">SUM(N12:O12*N25:O25)/N32</f>
        <v>0.23104277467437206</v>
      </c>
      <c r="O76" s="138"/>
      <c r="P76" s="193">
        <f t="array" ref="P76">SUM(P12:Q12*P25:Q25)/P32</f>
        <v>0.23270696910743338</v>
      </c>
      <c r="Q76" s="138"/>
      <c r="R76" s="193">
        <f t="array" ref="R76">SUM(R12:S12*R25:S25)/R32</f>
        <v>0.23421229096515339</v>
      </c>
      <c r="S76" s="138"/>
      <c r="T76" s="193">
        <f t="array" ref="T76">SUM(T12:U12*T25:U25)/T32</f>
        <v>0.23529139053687312</v>
      </c>
      <c r="U76" s="138"/>
      <c r="V76" s="193">
        <f t="array" ref="V76">SUM(V12:W12*V25:W25)/V32</f>
        <v>0.23548287628796288</v>
      </c>
      <c r="W76" s="138"/>
      <c r="X76" s="193">
        <f t="array" ref="X76">SUM(X12:Y12*X25:Y25)/X32</f>
        <v>0.23411409862326413</v>
      </c>
      <c r="Y76" s="138"/>
      <c r="Z76" s="193">
        <f t="array" ref="Z76">SUM(Z12:AA12*Z25:AA25)/Z32</f>
        <v>0.23071506392506244</v>
      </c>
      <c r="AA76" s="138"/>
      <c r="AB76" s="193">
        <f t="array" ref="AB76">SUM(AB12:AC12*AB25:AC25)/AB32</f>
        <v>0.22577175552897155</v>
      </c>
      <c r="AC76" s="138"/>
      <c r="AD76" s="193">
        <f t="array" ref="AD76">SUM(AD12:AE12*AD25:AE25)/AD32</f>
        <v>0.22024767175129287</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0.14677478160964139</v>
      </c>
      <c r="E77" s="138"/>
      <c r="F77" s="193">
        <f t="array" ref="F77">SUM(F4:G4*F19:G19)/F32</f>
        <v>0.14788083629450904</v>
      </c>
      <c r="G77" s="138"/>
      <c r="H77" s="193">
        <f t="array" ref="H77">SUM(H4:I4*H19:I19)/H32</f>
        <v>0.14917016308497685</v>
      </c>
      <c r="I77" s="138"/>
      <c r="J77" s="193">
        <f t="array" ref="J77">SUM(J4:K4*J19:K19)/J32</f>
        <v>0.1506249566205459</v>
      </c>
      <c r="K77" s="138"/>
      <c r="L77" s="193">
        <f t="array" ref="L77">SUM(L4:M4*L19:M19)/L32</f>
        <v>0.15221403424435118</v>
      </c>
      <c r="M77" s="138"/>
      <c r="N77" s="193">
        <f t="array" ref="N77">SUM(N4:O4*N19:O19)/N32</f>
        <v>0.15388490103584507</v>
      </c>
      <c r="O77" s="138"/>
      <c r="P77" s="193">
        <f t="array" ref="P77">SUM(P4:Q4*P19:Q19)/P32</f>
        <v>0.15554909575908249</v>
      </c>
      <c r="Q77" s="138"/>
      <c r="R77" s="193">
        <f t="array" ref="R77">SUM(R4:S4*R19:S19)/R32</f>
        <v>0.15705441755728936</v>
      </c>
      <c r="S77" s="138"/>
      <c r="T77" s="193">
        <f t="array" ref="T77">SUM(T4:U4*T19:U19)/T32</f>
        <v>0.15813351677711623</v>
      </c>
      <c r="U77" s="138"/>
      <c r="V77" s="193">
        <f t="array" ref="V77">SUM(V4:W4*V19:W19)/V32</f>
        <v>0.15832500277424641</v>
      </c>
      <c r="W77" s="138"/>
      <c r="X77" s="193">
        <f t="array" ref="X77">SUM(X4:Y4*X19:Y19)/X32</f>
        <v>0.15695622510792392</v>
      </c>
      <c r="Y77" s="138"/>
      <c r="Z77" s="193">
        <f t="array" ref="Z77">SUM(Z4:AA4*Z19:AA19)/Z32</f>
        <v>0.15355719035399934</v>
      </c>
      <c r="AA77" s="138"/>
      <c r="AB77" s="193">
        <f t="array" ref="AB77">SUM(AB4:AC4*AB19:AC19)/AB32</f>
        <v>0.14861388195437214</v>
      </c>
      <c r="AC77" s="138"/>
      <c r="AD77" s="193">
        <f t="array" ref="AD77">SUM(AD4:AE4*AD19:AE19)/AD32</f>
        <v>0.14308979817592629</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0.33794339011981178</v>
      </c>
      <c r="E78" s="138"/>
      <c r="F78" s="193">
        <f t="array" ref="F78">SUM(F13:G13*F26:G26)/F32</f>
        <v>0.32897183786034029</v>
      </c>
      <c r="G78" s="138"/>
      <c r="H78" s="193">
        <f t="array" ref="H78">SUM(H13:I13*H26:I26)/H32</f>
        <v>0.31991751860194012</v>
      </c>
      <c r="I78" s="138"/>
      <c r="J78" s="193">
        <f t="array" ref="J78">SUM(J13:K13*J26:K26)/J32</f>
        <v>0.31069322769415791</v>
      </c>
      <c r="K78" s="138"/>
      <c r="L78" s="193">
        <f t="array" ref="L78">SUM(L13:M13*L26:M26)/L32</f>
        <v>0.30116245716751333</v>
      </c>
      <c r="M78" s="138"/>
      <c r="N78" s="193">
        <f t="array" ref="N78">SUM(N13:O13*N26:O26)/N32</f>
        <v>0.29110893668195492</v>
      </c>
      <c r="O78" s="138"/>
      <c r="P78" s="193">
        <f t="array" ref="P78">SUM(P13:Q13*P26:Q26)/P32</f>
        <v>0.28018098728529445</v>
      </c>
      <c r="Q78" s="138"/>
      <c r="R78" s="193">
        <f t="array" ref="R78">SUM(R13:S13*R26:S26)/R32</f>
        <v>0.26778536433290312</v>
      </c>
      <c r="S78" s="138"/>
      <c r="T78" s="193">
        <f t="array" ref="T78">SUM(T13:U13*T26:U26)/T32</f>
        <v>0.25288319250954838</v>
      </c>
      <c r="U78" s="138"/>
      <c r="V78" s="193">
        <f t="array" ref="V78">SUM(V13:W13*V26:W26)/V32</f>
        <v>0.23363496199754188</v>
      </c>
      <c r="W78" s="138"/>
      <c r="X78" s="193">
        <f t="array" ref="X78">SUM(X13:Y13*X26:Y26)/X32</f>
        <v>0.20708365336211618</v>
      </c>
      <c r="Y78" s="138"/>
      <c r="Z78" s="193">
        <f t="array" ref="Z78">SUM(Z13:AA13*Z26:AA26)/Z32</f>
        <v>0.17001374079467485</v>
      </c>
      <c r="AA78" s="138"/>
      <c r="AB78" s="193">
        <f t="array" ref="AB78">SUM(AB13:AC13*AB26:AC26)/AB32</f>
        <v>0.12116061922049165</v>
      </c>
      <c r="AC78" s="138"/>
      <c r="AD78" s="193">
        <f t="array" ref="AD78">SUM(AD13:AE13*AD26:AE26)/AD32</f>
        <v>5.9793867443259256E-2</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0.46367839330480703</v>
      </c>
      <c r="F79" s="193">
        <f t="array" ref="F79">SUM(F15:G15*F27:G27)/F32</f>
        <v>0.47277485093805038</v>
      </c>
      <c r="H79" s="193">
        <f t="array" ref="H79">SUM(H15:I15*H27:I27)/H32</f>
        <v>0.48195521788956963</v>
      </c>
      <c r="J79" s="193">
        <f t="array" ref="J79">SUM(J15:K15*J27:K27)/J32</f>
        <v>0.4913079118898242</v>
      </c>
      <c r="L79" s="193">
        <f t="array" ref="L79">SUM(L15:M15*L27:M27)/L32</f>
        <v>0.50097136244474072</v>
      </c>
      <c r="N79" s="193">
        <f t="array" ref="N79">SUM(N15:O15*N27:O27)/N32</f>
        <v>0.51116484017994046</v>
      </c>
      <c r="P79" s="193">
        <f t="array" ref="P79">SUM(P15:Q15*P27:Q27)/P32</f>
        <v>0.52224491685372365</v>
      </c>
      <c r="R79" s="193">
        <f t="array" ref="R79">SUM(R15:S15*R27:S27)/R32</f>
        <v>0.53481309841952518</v>
      </c>
      <c r="T79" s="193">
        <f t="array" ref="T79">SUM(T15:U15*T27:U27)/T32</f>
        <v>0.54992272718461355</v>
      </c>
      <c r="V79" s="193">
        <f t="array" ref="V79">SUM(V15:W15*V27:W27)/V32</f>
        <v>0.56943891211720676</v>
      </c>
      <c r="X79" s="193">
        <f t="array" ref="X79">SUM(X15:Y15*X27:Y27)/X32</f>
        <v>0.59635984239173978</v>
      </c>
      <c r="Z79" s="193">
        <f t="array" ref="Z79">SUM(Z15:AA15*Z27:AA27)/Z32</f>
        <v>0.63394580647844445</v>
      </c>
      <c r="AB79" s="193">
        <f t="array" ref="AB79">SUM(AB15:AC15*AB27:AC27)/AB32</f>
        <v>0.68347901389105292</v>
      </c>
      <c r="AD79" s="193">
        <f t="array" ref="AD79">SUM(AD15:AE15*AD27:AE27)/AD32</f>
        <v>0.74570005404427087</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0.19837820386167712</v>
      </c>
      <c r="F80" s="236">
        <f>F55</f>
        <v>0.1982533135095112</v>
      </c>
      <c r="H80" s="236">
        <f>H55</f>
        <v>0.19812726867453895</v>
      </c>
      <c r="J80" s="236">
        <f>J55</f>
        <v>0.19799885427220604</v>
      </c>
      <c r="L80" s="236">
        <f>L55</f>
        <v>0.19786617669513415</v>
      </c>
      <c r="N80" s="236">
        <f>N55</f>
        <v>0.19772622582448052</v>
      </c>
      <c r="P80" s="236">
        <f>P55</f>
        <v>0.19757410558568789</v>
      </c>
      <c r="R80" s="236">
        <f>R55</f>
        <v>0.19740153262697233</v>
      </c>
      <c r="T80" s="236">
        <f>T55</f>
        <v>0.1971940819535305</v>
      </c>
      <c r="V80" s="236">
        <f>V55</f>
        <v>0.19692612543707488</v>
      </c>
      <c r="X80" s="236">
        <f>X55</f>
        <v>0.19655650366328734</v>
      </c>
      <c r="Z80" s="236">
        <f>Z55</f>
        <v>0.19604045265043538</v>
      </c>
      <c r="AB80" s="236">
        <f>AB55</f>
        <v>0.19536036680489482</v>
      </c>
      <c r="AD80" s="236">
        <f>AD55</f>
        <v>0.19450607857738644</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-2.7668000702747723E-2</v>
      </c>
      <c r="F81" s="236">
        <f>F51/F$32</f>
        <v>-2.7792891054913615E-2</v>
      </c>
      <c r="H81" s="236">
        <f>H51/H$32</f>
        <v>-2.791893588988589E-2</v>
      </c>
      <c r="J81" s="236">
        <f>J51/J$32</f>
        <v>-2.8047350292218786E-2</v>
      </c>
      <c r="L81" s="236">
        <f>L51/L$32</f>
        <v>-2.8180027869290681E-2</v>
      </c>
      <c r="N81" s="236">
        <f>N51/N$32</f>
        <v>-2.8319978739944313E-2</v>
      </c>
      <c r="P81" s="236">
        <f>P51/P$32</f>
        <v>-2.8472098978736943E-2</v>
      </c>
      <c r="R81" s="236">
        <f>R51/R$32</f>
        <v>-2.8644671937452508E-2</v>
      </c>
      <c r="T81" s="236">
        <f>T51/T$32</f>
        <v>-2.8852122610894353E-2</v>
      </c>
      <c r="V81" s="236">
        <f>V51/V$32</f>
        <v>-2.912007912734995E-2</v>
      </c>
      <c r="X81" s="236">
        <f>X51/X$32</f>
        <v>-2.9489700901137516E-2</v>
      </c>
      <c r="Z81" s="236">
        <f>Z51/Z$32</f>
        <v>-3.0005751913989451E-2</v>
      </c>
      <c r="AB81" s="236">
        <f>AB51/AB$32</f>
        <v>-3.0685837759529998E-2</v>
      </c>
      <c r="AD81" s="236">
        <f>AD51/AD$32</f>
        <v>-3.1540125987038412E-2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0.13549257872025686</v>
      </c>
      <c r="F82" s="236">
        <f>F52/F$32</f>
        <v>0.13189558944247171</v>
      </c>
      <c r="H82" s="236">
        <f>H52/H$32</f>
        <v>0.12826541616273338</v>
      </c>
      <c r="J82" s="236">
        <f>J52/J$32</f>
        <v>0.12456709567918099</v>
      </c>
      <c r="L82" s="236">
        <f>L52/L$32</f>
        <v>0.1207458974738003</v>
      </c>
      <c r="N82" s="236">
        <f>N52/N$32</f>
        <v>0.11671511168058712</v>
      </c>
      <c r="P82" s="236">
        <f>P52/P$32</f>
        <v>0.11233373868390543</v>
      </c>
      <c r="R82" s="236">
        <f>R52/R$32</f>
        <v>0.1073639272664723</v>
      </c>
      <c r="T82" s="236">
        <f>T52/T$32</f>
        <v>0.10138915827287594</v>
      </c>
      <c r="V82" s="236">
        <f>V52/V$32</f>
        <v>9.3671911940734112E-2</v>
      </c>
      <c r="X82" s="236">
        <f>X52/X$32</f>
        <v>8.3026622283978821E-2</v>
      </c>
      <c r="Z82" s="236">
        <f>Z52/Z$32</f>
        <v>6.8164079640619601E-2</v>
      </c>
      <c r="AB82" s="236">
        <f>AB52/AB$32</f>
        <v>4.8577262398022951E-2</v>
      </c>
      <c r="AD82" s="236">
        <f>AD52/AD$32</f>
        <v>2.3973320764380458E-2</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0.18971767710819573</v>
      </c>
      <c r="F83" s="236">
        <f>F53/F$32</f>
        <v>0.19343956459963549</v>
      </c>
      <c r="H83" s="236">
        <f>H53/H$32</f>
        <v>0.19719578425142797</v>
      </c>
      <c r="J83" s="236">
        <f>J53/J$32</f>
        <v>0.20102251287638168</v>
      </c>
      <c r="L83" s="236">
        <f>L53/L$32</f>
        <v>0.2049763900002689</v>
      </c>
      <c r="N83" s="236">
        <f>N53/N$32</f>
        <v>0.20914713193153017</v>
      </c>
      <c r="P83" s="236">
        <f>P53/P$32</f>
        <v>0.2136806328215512</v>
      </c>
      <c r="R83" s="236">
        <f>R53/R$32</f>
        <v>0.21882300358233514</v>
      </c>
      <c r="T83" s="236">
        <f>T53/T$32</f>
        <v>0.22500522753900623</v>
      </c>
      <c r="V83" s="236">
        <f>V53/V$32</f>
        <v>0.2329904287579718</v>
      </c>
      <c r="X83" s="236">
        <f>X53/X$32</f>
        <v>0.24400534002194929</v>
      </c>
      <c r="Z83" s="236">
        <f>Z53/Z$32</f>
        <v>0.25938393411079269</v>
      </c>
      <c r="AB83" s="236">
        <f>AB53/AB$32</f>
        <v>0.27965083717491934</v>
      </c>
      <c r="AD83" s="236">
        <f>AD53/AD$32</f>
        <v>0.30510906722309938</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topLeftCell="E1" workbookViewId="0">
      <pane ySplit="1" topLeftCell="A2" activePane="bottomLeft" state="frozen"/>
      <selection pane="bottomLeft" activeCell="AE17" sqref="AE17"/>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6.1523794427630472E-2</v>
      </c>
      <c r="E2" s="227"/>
      <c r="F2" s="226">
        <v>0.12286646391601222</v>
      </c>
      <c r="G2" s="227"/>
      <c r="H2" s="226">
        <v>0.19082706635634183</v>
      </c>
      <c r="I2" s="227"/>
      <c r="J2" s="226">
        <v>0.26674945685701446</v>
      </c>
      <c r="K2" s="227"/>
      <c r="L2" s="226">
        <v>0.35243922216532536</v>
      </c>
      <c r="M2" s="227"/>
      <c r="N2" s="226">
        <v>0.45039681041417007</v>
      </c>
      <c r="O2" s="227"/>
      <c r="P2" s="226">
        <v>0.56420433350983312</v>
      </c>
      <c r="Q2" s="227"/>
      <c r="R2" s="226">
        <v>0.69919712522062705</v>
      </c>
      <c r="S2" s="227"/>
      <c r="T2" s="226">
        <v>0.86368887874841127</v>
      </c>
      <c r="U2" s="227"/>
      <c r="V2" s="226">
        <v>1.0713410800859129</v>
      </c>
      <c r="W2" s="227"/>
      <c r="X2" s="226">
        <v>1.346051370381814</v>
      </c>
      <c r="Y2" s="227"/>
      <c r="Z2" s="226">
        <v>1.7327289508778689</v>
      </c>
      <c r="AA2" s="227"/>
      <c r="AB2" s="226">
        <v>2.3223251545078041</v>
      </c>
      <c r="AC2" s="227"/>
      <c r="AD2" s="226">
        <v>3.3103559860164053</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997.56950109437253</v>
      </c>
      <c r="E3" s="85">
        <v>1034.9010366871335</v>
      </c>
      <c r="F3" s="84">
        <v>995.14179644293722</v>
      </c>
      <c r="G3" s="85">
        <v>1073.7875934803469</v>
      </c>
      <c r="H3" s="84">
        <v>992.70309621658214</v>
      </c>
      <c r="I3" s="85">
        <v>1117.3944925250883</v>
      </c>
      <c r="J3" s="84">
        <v>990.24118405703609</v>
      </c>
      <c r="K3" s="85">
        <v>1166.6654880034432</v>
      </c>
      <c r="L3" s="84">
        <v>987.7466234466275</v>
      </c>
      <c r="M3" s="85">
        <v>1222.8422948861603</v>
      </c>
      <c r="N3" s="84">
        <v>985.21474367930296</v>
      </c>
      <c r="O3" s="85">
        <v>1287.6047621695573</v>
      </c>
      <c r="P3" s="84">
        <v>982.64890844369188</v>
      </c>
      <c r="Q3" s="85">
        <v>1363.3005868029936</v>
      </c>
      <c r="R3" s="84">
        <v>980.06602205277272</v>
      </c>
      <c r="S3" s="85">
        <v>1453.3373167965206</v>
      </c>
      <c r="T3" s="84">
        <v>977.5060116035894</v>
      </c>
      <c r="U3" s="85">
        <v>1562.8847931291477</v>
      </c>
      <c r="V3" s="84">
        <v>975.04862756398541</v>
      </c>
      <c r="W3" s="85">
        <v>1700.2050775643306</v>
      </c>
      <c r="X3" s="84">
        <v>972.84358598760059</v>
      </c>
      <c r="Y3" s="85">
        <v>1879.3293840105162</v>
      </c>
      <c r="Z3" s="84">
        <v>971.16266130815632</v>
      </c>
      <c r="AA3" s="85">
        <v>2125.7904973391364</v>
      </c>
      <c r="AB3" s="84">
        <v>970.47213980981076</v>
      </c>
      <c r="AC3" s="85">
        <v>2489.4994104807388</v>
      </c>
      <c r="AD3" s="84">
        <v>971.44266843124115</v>
      </c>
      <c r="AE3" s="85">
        <v>3073.8150354926479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997.44839001299999</v>
      </c>
      <c r="E5" s="42">
        <v>1030.131880327516</v>
      </c>
      <c r="F5" s="41">
        <v>994.89709618413121</v>
      </c>
      <c r="G5" s="42">
        <v>1062.5097298393919</v>
      </c>
      <c r="H5" s="41">
        <v>992.33159220562766</v>
      </c>
      <c r="I5" s="42">
        <v>1097.3440916519755</v>
      </c>
      <c r="J5" s="41">
        <v>989.73894853076331</v>
      </c>
      <c r="K5" s="42">
        <v>1134.8611816642897</v>
      </c>
      <c r="L5" s="41">
        <v>987.1091113158061</v>
      </c>
      <c r="M5" s="42">
        <v>1175.3023001119006</v>
      </c>
      <c r="N5" s="41">
        <v>984.43701308030916</v>
      </c>
      <c r="O5" s="42">
        <v>1218.9196780740042</v>
      </c>
      <c r="P5" s="41">
        <v>981.72605390167712</v>
      </c>
      <c r="Q5" s="42">
        <v>1265.968034580819</v>
      </c>
      <c r="R5" s="41">
        <v>978.99397665036156</v>
      </c>
      <c r="S5" s="42">
        <v>1316.6839424655313</v>
      </c>
      <c r="T5" s="41">
        <v>976.28299792426321</v>
      </c>
      <c r="U5" s="42">
        <v>1371.2407176988061</v>
      </c>
      <c r="V5" s="41">
        <v>973.6777701850483</v>
      </c>
      <c r="W5" s="42">
        <v>1429.6482821464062</v>
      </c>
      <c r="X5" s="41">
        <v>971.33760503869769</v>
      </c>
      <c r="Y5" s="42">
        <v>1491.5326128470458</v>
      </c>
      <c r="Z5" s="41">
        <v>969.55209874571085</v>
      </c>
      <c r="AA5" s="42">
        <v>1555.659782665364</v>
      </c>
      <c r="AB5" s="41">
        <v>968.81821814907312</v>
      </c>
      <c r="AC5" s="42">
        <v>1619.0074963451746</v>
      </c>
      <c r="AD5" s="41">
        <v>969.84962201247833</v>
      </c>
      <c r="AE5" s="42">
        <v>1675.5569393136832</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997.25375332382441</v>
      </c>
      <c r="E6" s="42">
        <v>1037.5740363558491</v>
      </c>
      <c r="F6" s="41">
        <v>994.50891829569662</v>
      </c>
      <c r="G6" s="42">
        <v>1079.2277355195399</v>
      </c>
      <c r="H6" s="41">
        <v>991.74987478974788</v>
      </c>
      <c r="I6" s="42">
        <v>1125.7122158530449</v>
      </c>
      <c r="J6" s="41">
        <v>988.96274339206354</v>
      </c>
      <c r="K6" s="42">
        <v>1177.9929569711815</v>
      </c>
      <c r="L6" s="41">
        <v>986.13675661570369</v>
      </c>
      <c r="M6" s="42">
        <v>1237.3412813281489</v>
      </c>
      <c r="N6" s="41">
        <v>983.26651981612156</v>
      </c>
      <c r="O6" s="42">
        <v>1305.4783109066541</v>
      </c>
      <c r="P6" s="41">
        <v>980.35573783896655</v>
      </c>
      <c r="Q6" s="42">
        <v>1384.8107848215336</v>
      </c>
      <c r="R6" s="41">
        <v>977.42350054086091</v>
      </c>
      <c r="S6" s="42">
        <v>1478.8333108362583</v>
      </c>
      <c r="T6" s="41">
        <v>974.51511669228807</v>
      </c>
      <c r="U6" s="42">
        <v>1592.848924917497</v>
      </c>
      <c r="V6" s="41">
        <v>971.72131853178769</v>
      </c>
      <c r="W6" s="42">
        <v>1735.3329247601866</v>
      </c>
      <c r="X6" s="41">
        <v>969.21271582212034</v>
      </c>
      <c r="Y6" s="42">
        <v>1920.6773938080862</v>
      </c>
      <c r="Z6" s="41">
        <v>967.29929713678393</v>
      </c>
      <c r="AA6" s="42">
        <v>2175.0672617661762</v>
      </c>
      <c r="AB6" s="41">
        <v>966.51299305489647</v>
      </c>
      <c r="AC6" s="42">
        <v>2549.6782018326858</v>
      </c>
      <c r="AD6" s="41">
        <v>967.61809855211368</v>
      </c>
      <c r="AE6" s="42">
        <v>3150.4740863457055</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1013.3194721476614</v>
      </c>
      <c r="E7" s="34">
        <v>1013.3194721476614</v>
      </c>
      <c r="F7" s="33">
        <v>1010.7275829413144</v>
      </c>
      <c r="G7" s="34">
        <v>1010.7275829413144</v>
      </c>
      <c r="H7" s="33">
        <v>1008.1212574779427</v>
      </c>
      <c r="I7" s="34">
        <v>1008.1212574779427</v>
      </c>
      <c r="J7" s="33">
        <v>1005.4873604799775</v>
      </c>
      <c r="K7" s="34">
        <v>1005.4873604799775</v>
      </c>
      <c r="L7" s="33">
        <v>1002.8156781301168</v>
      </c>
      <c r="M7" s="34">
        <v>1002.8156781301168</v>
      </c>
      <c r="N7" s="33">
        <v>1000.1010623157736</v>
      </c>
      <c r="O7" s="34">
        <v>1000.1010623157736</v>
      </c>
      <c r="P7" s="33">
        <v>997.34696721530474</v>
      </c>
      <c r="Q7" s="34">
        <v>997.34696721530474</v>
      </c>
      <c r="R7" s="33">
        <v>994.57141801808405</v>
      </c>
      <c r="S7" s="34">
        <v>994.57141801808405</v>
      </c>
      <c r="T7" s="33">
        <v>991.81730305911583</v>
      </c>
      <c r="U7" s="34">
        <v>991.81730305911583</v>
      </c>
      <c r="V7" s="33">
        <v>989.17062176316301</v>
      </c>
      <c r="W7" s="34">
        <v>989.17062176316301</v>
      </c>
      <c r="X7" s="33">
        <v>986.79322065190604</v>
      </c>
      <c r="Y7" s="34">
        <v>986.79322065190604</v>
      </c>
      <c r="Z7" s="33">
        <v>984.97930394960713</v>
      </c>
      <c r="AA7" s="34">
        <v>984.97930394960713</v>
      </c>
      <c r="AB7" s="33">
        <v>984.2337460778914</v>
      </c>
      <c r="AC7" s="34">
        <v>984.2337460778914</v>
      </c>
      <c r="AD7" s="33">
        <v>985.2815613121445</v>
      </c>
      <c r="AE7" s="34">
        <v>985.2815613121445</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1093.5095023661347</v>
      </c>
      <c r="E8" s="36">
        <v>1093.5095023661347</v>
      </c>
      <c r="F8" s="35">
        <v>1193.0565432211154</v>
      </c>
      <c r="G8" s="36">
        <v>1193.0565432211154</v>
      </c>
      <c r="H8" s="35">
        <v>1306.7470454453867</v>
      </c>
      <c r="I8" s="36">
        <v>1306.7470454453867</v>
      </c>
      <c r="J8" s="35">
        <v>1437.5847854813485</v>
      </c>
      <c r="K8" s="36">
        <v>1437.5847854813485</v>
      </c>
      <c r="L8" s="35">
        <v>1589.5249285724567</v>
      </c>
      <c r="M8" s="36">
        <v>1589.5249285724567</v>
      </c>
      <c r="N8" s="35">
        <v>1767.9172132296026</v>
      </c>
      <c r="O8" s="36">
        <v>1767.9172132296026</v>
      </c>
      <c r="P8" s="35">
        <v>1980.2326857762434</v>
      </c>
      <c r="Q8" s="36">
        <v>1980.2326857762434</v>
      </c>
      <c r="R8" s="35">
        <v>2237.3055698615922</v>
      </c>
      <c r="S8" s="36">
        <v>2237.3055698615922</v>
      </c>
      <c r="T8" s="35">
        <v>2555.5660756622547</v>
      </c>
      <c r="U8" s="36">
        <v>2555.5660756622547</v>
      </c>
      <c r="V8" s="35">
        <v>2961.2892168841072</v>
      </c>
      <c r="W8" s="36">
        <v>2961.2892168841072</v>
      </c>
      <c r="X8" s="35">
        <v>3499.2121303389799</v>
      </c>
      <c r="Y8" s="36">
        <v>3499.2121303389799</v>
      </c>
      <c r="Z8" s="35">
        <v>4251.1965258060136</v>
      </c>
      <c r="AA8" s="36">
        <v>4251.1965258060136</v>
      </c>
      <c r="AB8" s="35">
        <v>5378.869330444275</v>
      </c>
      <c r="AC8" s="36">
        <v>5378.869330444275</v>
      </c>
      <c r="AD8" s="35">
        <v>7222.2468832820623</v>
      </c>
      <c r="AE8" s="36">
        <v>7222.2468832820623</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1013.3194721476614</v>
      </c>
      <c r="E9" s="42">
        <v>1093.5095023661347</v>
      </c>
      <c r="F9" s="41">
        <v>1010.7275829413144</v>
      </c>
      <c r="G9" s="42">
        <v>1193.0565432211154</v>
      </c>
      <c r="H9" s="41">
        <v>1008.1212574779427</v>
      </c>
      <c r="I9" s="42">
        <v>1306.7470454453867</v>
      </c>
      <c r="J9" s="41">
        <v>1005.4873604799775</v>
      </c>
      <c r="K9" s="42">
        <v>1437.5847854813485</v>
      </c>
      <c r="L9" s="41">
        <v>1002.8156781301168</v>
      </c>
      <c r="M9" s="42">
        <v>1589.5249285724567</v>
      </c>
      <c r="N9" s="41">
        <v>1000.1010623157736</v>
      </c>
      <c r="O9" s="42">
        <v>1767.9172132296026</v>
      </c>
      <c r="P9" s="41">
        <v>997.34696721530474</v>
      </c>
      <c r="Q9" s="42">
        <v>1980.2326857762434</v>
      </c>
      <c r="R9" s="41">
        <v>994.57141801808405</v>
      </c>
      <c r="S9" s="42">
        <v>2237.3055698615922</v>
      </c>
      <c r="T9" s="41">
        <v>991.81730305911583</v>
      </c>
      <c r="U9" s="42">
        <v>2555.5660756622547</v>
      </c>
      <c r="V9" s="41">
        <v>989.17062176316301</v>
      </c>
      <c r="W9" s="42">
        <v>2961.2892168841072</v>
      </c>
      <c r="X9" s="41">
        <v>986.79322065190604</v>
      </c>
      <c r="Y9" s="42">
        <v>3499.2121303389799</v>
      </c>
      <c r="Z9" s="41">
        <v>984.97930394960713</v>
      </c>
      <c r="AA9" s="42">
        <v>4251.1965258060136</v>
      </c>
      <c r="AB9" s="41">
        <v>984.2337460778914</v>
      </c>
      <c r="AC9" s="42">
        <v>5378.869330444275</v>
      </c>
      <c r="AD9" s="41">
        <v>985.2815613121445</v>
      </c>
      <c r="AE9" s="42">
        <v>7222.2468832820623</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1013.3194721476614</v>
      </c>
      <c r="E10" s="42">
        <v>1093.5095023661347</v>
      </c>
      <c r="F10" s="41">
        <v>1010.7275829413144</v>
      </c>
      <c r="G10" s="42">
        <v>1193.0565432211154</v>
      </c>
      <c r="H10" s="41">
        <v>1008.1212574779427</v>
      </c>
      <c r="I10" s="42">
        <v>1306.7470454453867</v>
      </c>
      <c r="J10" s="41">
        <v>1005.4873604799775</v>
      </c>
      <c r="K10" s="42">
        <v>1437.5847854813485</v>
      </c>
      <c r="L10" s="41">
        <v>1002.8156781301168</v>
      </c>
      <c r="M10" s="42">
        <v>1589.5249285724567</v>
      </c>
      <c r="N10" s="41">
        <v>1000.1010623157736</v>
      </c>
      <c r="O10" s="42">
        <v>1767.9172132296026</v>
      </c>
      <c r="P10" s="41">
        <v>997.34696721530474</v>
      </c>
      <c r="Q10" s="42">
        <v>1980.2326857762434</v>
      </c>
      <c r="R10" s="41">
        <v>994.57141801808405</v>
      </c>
      <c r="S10" s="42">
        <v>2237.3055698615922</v>
      </c>
      <c r="T10" s="41">
        <v>991.81730305911583</v>
      </c>
      <c r="U10" s="42">
        <v>2555.5660756622547</v>
      </c>
      <c r="V10" s="41">
        <v>989.17062176316301</v>
      </c>
      <c r="W10" s="42">
        <v>2961.2892168841072</v>
      </c>
      <c r="X10" s="41">
        <v>986.79322065190604</v>
      </c>
      <c r="Y10" s="42">
        <v>3499.2121303389799</v>
      </c>
      <c r="Z10" s="41">
        <v>984.97930394960713</v>
      </c>
      <c r="AA10" s="42">
        <v>4251.1965258060136</v>
      </c>
      <c r="AB10" s="41">
        <v>984.2337460778914</v>
      </c>
      <c r="AC10" s="42">
        <v>5378.869330444275</v>
      </c>
      <c r="AD10" s="41">
        <v>985.2815613121445</v>
      </c>
      <c r="AE10" s="42">
        <v>7222.2468832820623</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1013.3194721476614</v>
      </c>
      <c r="E11" s="42">
        <v>1093.5095023661347</v>
      </c>
      <c r="F11" s="41">
        <v>1010.7275829413144</v>
      </c>
      <c r="G11" s="42">
        <v>1193.0565432211154</v>
      </c>
      <c r="H11" s="41">
        <v>1008.1212574779427</v>
      </c>
      <c r="I11" s="42">
        <v>1306.7470454453867</v>
      </c>
      <c r="J11" s="41">
        <v>1005.4873604799775</v>
      </c>
      <c r="K11" s="42">
        <v>1437.5847854813485</v>
      </c>
      <c r="L11" s="41">
        <v>1002.8156781301168</v>
      </c>
      <c r="M11" s="42">
        <v>1589.5249285724567</v>
      </c>
      <c r="N11" s="41">
        <v>1000.1010623157736</v>
      </c>
      <c r="O11" s="42">
        <v>1767.9172132296026</v>
      </c>
      <c r="P11" s="41">
        <v>997.34696721530474</v>
      </c>
      <c r="Q11" s="42">
        <v>1980.2326857762434</v>
      </c>
      <c r="R11" s="41">
        <v>994.57141801808405</v>
      </c>
      <c r="S11" s="42">
        <v>2237.3055698615922</v>
      </c>
      <c r="T11" s="41">
        <v>991.81730305911583</v>
      </c>
      <c r="U11" s="42">
        <v>2555.5660756622547</v>
      </c>
      <c r="V11" s="41">
        <v>989.17062176316301</v>
      </c>
      <c r="W11" s="42">
        <v>2961.2892168841072</v>
      </c>
      <c r="X11" s="41">
        <v>986.79322065190604</v>
      </c>
      <c r="Y11" s="42">
        <v>3499.2121303389799</v>
      </c>
      <c r="Z11" s="41">
        <v>984.97930394960713</v>
      </c>
      <c r="AA11" s="42">
        <v>4251.1965258060136</v>
      </c>
      <c r="AB11" s="41">
        <v>984.2337460778914</v>
      </c>
      <c r="AC11" s="42">
        <v>5378.869330444275</v>
      </c>
      <c r="AD11" s="41">
        <v>985.2815613121445</v>
      </c>
      <c r="AE11" s="42">
        <v>7222.2468832820623</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954.69610087905744</v>
      </c>
      <c r="E13" s="98">
        <v>954.69610087905744</v>
      </c>
      <c r="F13" s="97">
        <v>908.69364115222629</v>
      </c>
      <c r="G13" s="98">
        <v>908.69364115222629</v>
      </c>
      <c r="H13" s="97">
        <v>861.81553683178072</v>
      </c>
      <c r="I13" s="98">
        <v>861.81553683178072</v>
      </c>
      <c r="J13" s="97">
        <v>813.85225033782319</v>
      </c>
      <c r="K13" s="98">
        <v>813.85225033782319</v>
      </c>
      <c r="L13" s="97">
        <v>764.54273302963372</v>
      </c>
      <c r="M13" s="98">
        <v>764.54273302963372</v>
      </c>
      <c r="N13" s="97">
        <v>713.54559076093437</v>
      </c>
      <c r="O13" s="98">
        <v>713.54559076093437</v>
      </c>
      <c r="P13" s="97">
        <v>660.39277368704802</v>
      </c>
      <c r="Q13" s="98">
        <v>660.39277368704802</v>
      </c>
      <c r="R13" s="97">
        <v>604.41558409332629</v>
      </c>
      <c r="S13" s="98">
        <v>604.41558409332629</v>
      </c>
      <c r="T13" s="97">
        <v>544.62328590133757</v>
      </c>
      <c r="U13" s="98">
        <v>544.62328590133757</v>
      </c>
      <c r="V13" s="97">
        <v>479.50404910857822</v>
      </c>
      <c r="W13" s="98">
        <v>479.50404910857822</v>
      </c>
      <c r="X13" s="97">
        <v>406.7105149844765</v>
      </c>
      <c r="Y13" s="98">
        <v>406.7105149844765</v>
      </c>
      <c r="Z13" s="97">
        <v>322.6543367123495</v>
      </c>
      <c r="AA13" s="98">
        <v>322.6543367123495</v>
      </c>
      <c r="AB13" s="97">
        <v>222.52934606197272</v>
      </c>
      <c r="AC13" s="98">
        <v>222.52934606197272</v>
      </c>
      <c r="AD13" s="97">
        <v>104.04882866091093</v>
      </c>
      <c r="AE13" s="98">
        <v>104.04882866091093</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1390.9954889538626</v>
      </c>
      <c r="E14" s="42">
        <v>1390.9954889538628</v>
      </c>
      <c r="F14" s="41">
        <v>1323.9697475667508</v>
      </c>
      <c r="G14" s="42">
        <v>1323.969747566751</v>
      </c>
      <c r="H14" s="41">
        <v>1255.6681890075324</v>
      </c>
      <c r="I14" s="42">
        <v>1255.6681890075326</v>
      </c>
      <c r="J14" s="41">
        <v>1185.7855163046002</v>
      </c>
      <c r="K14" s="42">
        <v>1185.7855163046004</v>
      </c>
      <c r="L14" s="41">
        <v>1113.9413806942957</v>
      </c>
      <c r="M14" s="42">
        <v>1113.941380694296</v>
      </c>
      <c r="N14" s="41">
        <v>1039.6383697361673</v>
      </c>
      <c r="O14" s="42">
        <v>1039.6383697361673</v>
      </c>
      <c r="P14" s="41">
        <v>962.19453320338141</v>
      </c>
      <c r="Q14" s="42">
        <v>962.19453320338152</v>
      </c>
      <c r="R14" s="41">
        <v>880.63557623530846</v>
      </c>
      <c r="S14" s="42">
        <v>880.63557623530858</v>
      </c>
      <c r="T14" s="41">
        <v>793.51799297225841</v>
      </c>
      <c r="U14" s="42">
        <v>793.51799297225853</v>
      </c>
      <c r="V14" s="41">
        <v>698.63904192234565</v>
      </c>
      <c r="W14" s="42">
        <v>698.63904192234577</v>
      </c>
      <c r="X14" s="41">
        <v>592.57861337508189</v>
      </c>
      <c r="Y14" s="42">
        <v>592.578613375082</v>
      </c>
      <c r="Z14" s="41">
        <v>470.10847372795018</v>
      </c>
      <c r="AA14" s="42">
        <v>470.10847372795024</v>
      </c>
      <c r="AB14" s="41">
        <v>324.22601940768772</v>
      </c>
      <c r="AC14" s="42">
        <v>324.22601940768777</v>
      </c>
      <c r="AD14" s="41">
        <v>151.59949974132692</v>
      </c>
      <c r="AE14" s="42">
        <v>151.59949974132692</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1039.1767083937189</v>
      </c>
      <c r="E15" s="155">
        <v>1039.1767083937189</v>
      </c>
      <c r="F15" s="154">
        <v>1079.7191876480344</v>
      </c>
      <c r="G15" s="155">
        <v>1079.7191876480344</v>
      </c>
      <c r="H15" s="154">
        <v>1121.8252567352422</v>
      </c>
      <c r="I15" s="155">
        <v>1121.8252567352422</v>
      </c>
      <c r="J15" s="154">
        <v>1165.7471300592538</v>
      </c>
      <c r="K15" s="155">
        <v>1165.7471300592538</v>
      </c>
      <c r="L15" s="154">
        <v>1211.8219027100081</v>
      </c>
      <c r="M15" s="155">
        <v>1211.8219027100081</v>
      </c>
      <c r="N15" s="154">
        <v>1260.5203332270635</v>
      </c>
      <c r="O15" s="155">
        <v>1260.5203332270635</v>
      </c>
      <c r="P15" s="154">
        <v>1312.5293633979825</v>
      </c>
      <c r="Q15" s="155">
        <v>1312.5293633979825</v>
      </c>
      <c r="R15" s="154">
        <v>1368.8934011579361</v>
      </c>
      <c r="S15" s="155">
        <v>1368.8934011579361</v>
      </c>
      <c r="T15" s="154">
        <v>1431.2665044960452</v>
      </c>
      <c r="U15" s="155">
        <v>1431.2665044960452</v>
      </c>
      <c r="V15" s="154">
        <v>1502.3788611272489</v>
      </c>
      <c r="W15" s="155">
        <v>1502.3788611272489</v>
      </c>
      <c r="X15" s="154">
        <v>1586.9319005185396</v>
      </c>
      <c r="Y15" s="155">
        <v>1586.9319005185396</v>
      </c>
      <c r="Z15" s="154">
        <v>1693.349129340673</v>
      </c>
      <c r="AA15" s="155">
        <v>1693.349129340673</v>
      </c>
      <c r="AB15" s="154">
        <v>1837.0672809194898</v>
      </c>
      <c r="AC15" s="155">
        <v>1837.0672809194898</v>
      </c>
      <c r="AD15" s="154">
        <v>2045.5124356234951</v>
      </c>
      <c r="AE15" s="155">
        <v>2045.5124356234951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993.86774776621235</v>
      </c>
      <c r="E16" s="42">
        <v>1014.9546631142504</v>
      </c>
      <c r="F16" s="41">
        <v>987.43453463985452</v>
      </c>
      <c r="G16" s="42">
        <v>1030.4571828033577</v>
      </c>
      <c r="H16" s="41">
        <v>980.64128271504558</v>
      </c>
      <c r="I16" s="42">
        <v>1046.5789231600672</v>
      </c>
      <c r="J16" s="41">
        <v>973.41943708645113</v>
      </c>
      <c r="K16" s="42">
        <v>1063.4146735942447</v>
      </c>
      <c r="L16" s="41">
        <v>965.68762410227907</v>
      </c>
      <c r="M16" s="42">
        <v>1081.096444296456</v>
      </c>
      <c r="N16" s="41">
        <v>957.34665513233824</v>
      </c>
      <c r="O16" s="42">
        <v>1099.8158294594323</v>
      </c>
      <c r="P16" s="41">
        <v>948.27161485258046</v>
      </c>
      <c r="Q16" s="42">
        <v>1119.8623017896571</v>
      </c>
      <c r="R16" s="41">
        <v>938.29895491154741</v>
      </c>
      <c r="S16" s="42">
        <v>1141.6896437946723</v>
      </c>
      <c r="T16" s="41">
        <v>927.2043407868656</v>
      </c>
      <c r="U16" s="42">
        <v>1166.0362875948674</v>
      </c>
      <c r="V16" s="41">
        <v>914.66275230474673</v>
      </c>
      <c r="W16" s="42">
        <v>1194.1520067866127</v>
      </c>
      <c r="X16" s="41">
        <v>900.17249132950758</v>
      </c>
      <c r="Y16" s="42">
        <v>1228.2437347509444</v>
      </c>
      <c r="Z16" s="41">
        <v>882.90233670377097</v>
      </c>
      <c r="AA16" s="42">
        <v>1272.381901082013</v>
      </c>
      <c r="AB16" s="41">
        <v>861.37340010085211</v>
      </c>
      <c r="AC16" s="42">
        <v>1334.3411432258479</v>
      </c>
      <c r="AD16" s="41">
        <v>832.81963228292102</v>
      </c>
      <c r="AE16" s="42">
        <v>1429.1216268862522</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997.68213194075588</v>
      </c>
      <c r="E17" s="36">
        <v>1053.2628977516381</v>
      </c>
      <c r="F17" s="35">
        <v>995.36937226165958</v>
      </c>
      <c r="G17" s="36">
        <v>1112.6581385842667</v>
      </c>
      <c r="H17" s="35">
        <v>993.04861673317487</v>
      </c>
      <c r="I17" s="36">
        <v>1179.3380407855175</v>
      </c>
      <c r="J17" s="35">
        <v>990.70831395734581</v>
      </c>
      <c r="K17" s="36">
        <v>1254.781585591069</v>
      </c>
      <c r="L17" s="35">
        <v>988.33960151624024</v>
      </c>
      <c r="M17" s="36">
        <v>1340.9334673538885</v>
      </c>
      <c r="N17" s="35">
        <v>985.93818038686936</v>
      </c>
      <c r="O17" s="36">
        <v>1440.4228482736053</v>
      </c>
      <c r="P17" s="35">
        <v>983.50738115532693</v>
      </c>
      <c r="Q17" s="36">
        <v>1556.9225471501015</v>
      </c>
      <c r="R17" s="35">
        <v>981.0633295495328</v>
      </c>
      <c r="S17" s="36">
        <v>1695.7624239598958</v>
      </c>
      <c r="T17" s="35">
        <v>978.64382304981984</v>
      </c>
      <c r="U17" s="36">
        <v>1865.0306604665554</v>
      </c>
      <c r="V17" s="35">
        <v>976.32404954882929</v>
      </c>
      <c r="W17" s="36">
        <v>2077.66331939777</v>
      </c>
      <c r="X17" s="35">
        <v>974.24479200079634</v>
      </c>
      <c r="Y17" s="36">
        <v>2355.6624354426854</v>
      </c>
      <c r="Z17" s="35">
        <v>972.66122840867354</v>
      </c>
      <c r="AA17" s="36">
        <v>2739.1636699204901</v>
      </c>
      <c r="AB17" s="35">
        <v>972.01107510111876</v>
      </c>
      <c r="AC17" s="36">
        <v>3306.9165501304774</v>
      </c>
      <c r="AD17" s="35">
        <v>972.92492857867023</v>
      </c>
      <c r="AE17" s="36">
        <v>4222.8825670457791</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28274.166467130832</v>
      </c>
      <c r="E18" s="34">
        <v>1135.7062952749411</v>
      </c>
      <c r="F18" s="33">
        <v>28693.263743243962</v>
      </c>
      <c r="G18" s="34">
        <v>1035.1907809578004</v>
      </c>
      <c r="H18" s="33">
        <v>29115.355339082114</v>
      </c>
      <c r="I18" s="34">
        <v>935.24861301585508</v>
      </c>
      <c r="J18" s="33">
        <v>29541.642516027096</v>
      </c>
      <c r="K18" s="34">
        <v>835.960175551161</v>
      </c>
      <c r="L18" s="33">
        <v>29973.583120944084</v>
      </c>
      <c r="M18" s="34">
        <v>737.48220864452298</v>
      </c>
      <c r="N18" s="33">
        <v>30413.057967801502</v>
      </c>
      <c r="O18" s="34">
        <v>640.07909757538221</v>
      </c>
      <c r="P18" s="33">
        <v>30862.65902726377</v>
      </c>
      <c r="Q18" s="34">
        <v>544.16799562901406</v>
      </c>
      <c r="R18" s="33">
        <v>31326.162745001213</v>
      </c>
      <c r="S18" s="34">
        <v>450.38401101643427</v>
      </c>
      <c r="T18" s="33">
        <v>31809.360368009544</v>
      </c>
      <c r="U18" s="34">
        <v>359.67641156614422</v>
      </c>
      <c r="V18" s="33">
        <v>32321.528291939667</v>
      </c>
      <c r="W18" s="34">
        <v>273.45171631978968</v>
      </c>
      <c r="X18" s="33">
        <v>32878.063565340708</v>
      </c>
      <c r="Y18" s="34">
        <v>193.78084136471355</v>
      </c>
      <c r="Z18" s="33">
        <v>33505.04647537908</v>
      </c>
      <c r="AA18" s="34">
        <v>123.65488285119392</v>
      </c>
      <c r="AB18" s="33">
        <v>34245.769827129567</v>
      </c>
      <c r="AC18" s="34">
        <v>67.090860917111399</v>
      </c>
      <c r="AD18" s="33">
        <v>35163.150340221167</v>
      </c>
      <c r="AE18" s="34">
        <v>28.258301221950177</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1902.9354095611914</v>
      </c>
      <c r="E19" s="42">
        <v>281.12471227851245</v>
      </c>
      <c r="F19" s="41">
        <v>1919.2987862072009</v>
      </c>
      <c r="G19" s="42">
        <v>301.42433378726162</v>
      </c>
      <c r="H19" s="41">
        <v>1935.4849719361266</v>
      </c>
      <c r="I19" s="42">
        <v>323.88758291041438</v>
      </c>
      <c r="J19" s="41">
        <v>1951.5075576413315</v>
      </c>
      <c r="K19" s="42">
        <v>348.71050507103354</v>
      </c>
      <c r="L19" s="41">
        <v>1967.4059771287598</v>
      </c>
      <c r="M19" s="42">
        <v>376.06562902148681</v>
      </c>
      <c r="N19" s="41">
        <v>1983.266773941966</v>
      </c>
      <c r="O19" s="42">
        <v>406.07145523793747</v>
      </c>
      <c r="P19" s="41">
        <v>1999.259706045925</v>
      </c>
      <c r="Q19" s="42">
        <v>438.74116281843459</v>
      </c>
      <c r="R19" s="41">
        <v>2015.6980947084783</v>
      </c>
      <c r="S19" s="42">
        <v>473.894284692974</v>
      </c>
      <c r="T19" s="41">
        <v>2033.1444152131637</v>
      </c>
      <c r="U19" s="42">
        <v>511.00077079336552</v>
      </c>
      <c r="V19" s="41">
        <v>2052.5989604966062</v>
      </c>
      <c r="W19" s="42">
        <v>548.89705769066757</v>
      </c>
      <c r="X19" s="41">
        <v>2075.8427359614875</v>
      </c>
      <c r="Y19" s="42">
        <v>585.25829788761462</v>
      </c>
      <c r="Z19" s="41">
        <v>2106.0447974227413</v>
      </c>
      <c r="AA19" s="42">
        <v>615.63402430715166</v>
      </c>
      <c r="AB19" s="41">
        <v>2148.6685155811192</v>
      </c>
      <c r="AC19" s="42">
        <v>631.92791378355423</v>
      </c>
      <c r="AD19" s="41">
        <v>2211.9087344660497</v>
      </c>
      <c r="AE19" s="42">
        <v>621.38694030204897</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26918.352172784929</v>
      </c>
      <c r="E20" s="83">
        <v>1338.1147774499941</v>
      </c>
      <c r="F20" s="82">
        <v>27289.247025738448</v>
      </c>
      <c r="G20" s="83">
        <v>1267.6876838999945</v>
      </c>
      <c r="H20" s="82">
        <v>27661.865052039375</v>
      </c>
      <c r="I20" s="83">
        <v>1197.2605903499946</v>
      </c>
      <c r="J20" s="82">
        <v>28037.171997352834</v>
      </c>
      <c r="K20" s="83">
        <v>1126.8334967999949</v>
      </c>
      <c r="L20" s="82">
        <v>28416.393351910978</v>
      </c>
      <c r="M20" s="83">
        <v>1056.4064032499953</v>
      </c>
      <c r="N20" s="82">
        <v>28801.198382642826</v>
      </c>
      <c r="O20" s="83">
        <v>985.97930969999561</v>
      </c>
      <c r="P20" s="82">
        <v>29194.017902072053</v>
      </c>
      <c r="Q20" s="83">
        <v>915.55221614999607</v>
      </c>
      <c r="R20" s="82">
        <v>29598.570468165039</v>
      </c>
      <c r="S20" s="83">
        <v>845.12512259999642</v>
      </c>
      <c r="T20" s="82">
        <v>30020.786522037837</v>
      </c>
      <c r="U20" s="83">
        <v>774.69802904999653</v>
      </c>
      <c r="V20" s="82">
        <v>30470.451219802682</v>
      </c>
      <c r="W20" s="83">
        <v>704.27093549999688</v>
      </c>
      <c r="X20" s="82">
        <v>30964.162211326064</v>
      </c>
      <c r="Y20" s="83">
        <v>633.84384194999734</v>
      </c>
      <c r="Z20" s="82">
        <v>31530.480835642058</v>
      </c>
      <c r="AA20" s="83">
        <v>563.41674839999757</v>
      </c>
      <c r="AB20" s="82">
        <v>32217.372383146281</v>
      </c>
      <c r="AC20" s="83">
        <v>492.98965484999775</v>
      </c>
      <c r="AD20" s="82">
        <v>33095.099596197171</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25015.430168685347</v>
      </c>
      <c r="E21" s="83">
        <v>1057.5727375807317</v>
      </c>
      <c r="F21" s="82">
        <v>25370.002593471501</v>
      </c>
      <c r="G21" s="83">
        <v>968.75403340375829</v>
      </c>
      <c r="H21" s="82">
        <v>25726.504501929314</v>
      </c>
      <c r="I21" s="83">
        <v>879.37150447235933</v>
      </c>
      <c r="J21" s="82">
        <v>26085.890239042783</v>
      </c>
      <c r="K21" s="83">
        <v>789.55404176857871</v>
      </c>
      <c r="L21" s="82">
        <v>26449.348567832239</v>
      </c>
      <c r="M21" s="83">
        <v>699.50888960678833</v>
      </c>
      <c r="N21" s="82">
        <v>26818.465190708375</v>
      </c>
      <c r="O21" s="83">
        <v>609.55293113263565</v>
      </c>
      <c r="P21" s="82">
        <v>27195.503894513637</v>
      </c>
      <c r="Q21" s="83">
        <v>520.15675052030394</v>
      </c>
      <c r="R21" s="82">
        <v>27583.871368048432</v>
      </c>
      <c r="S21" s="83">
        <v>432.00838729857458</v>
      </c>
      <c r="T21" s="82">
        <v>27988.933761328062</v>
      </c>
      <c r="U21" s="83">
        <v>346.10734348692642</v>
      </c>
      <c r="V21" s="82">
        <v>28419.467097272605</v>
      </c>
      <c r="W21" s="83">
        <v>263.90479505833275</v>
      </c>
      <c r="X21" s="82">
        <v>28890.265234146569</v>
      </c>
      <c r="Y21" s="83">
        <v>187.50700041638495</v>
      </c>
      <c r="Z21" s="82">
        <v>29426.67192615012</v>
      </c>
      <c r="AA21" s="83">
        <v>119.92768576911656</v>
      </c>
      <c r="AB21" s="82">
        <v>30071.099922040037</v>
      </c>
      <c r="AC21" s="83">
        <v>65.194905656996497</v>
      </c>
      <c r="AD21" s="82">
        <v>30885.49205941187</v>
      </c>
      <c r="AE21" s="83">
        <v>27.500847646545971</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6629.0668014580579</v>
      </c>
      <c r="E22" s="42">
        <v>365.71594312317552</v>
      </c>
      <c r="F22" s="41">
        <v>6723.8881775158507</v>
      </c>
      <c r="G22" s="42">
        <v>351.19799782926418</v>
      </c>
      <c r="H22" s="41">
        <v>6818.1489378736451</v>
      </c>
      <c r="I22" s="42">
        <v>336.35695124108798</v>
      </c>
      <c r="J22" s="41">
        <v>6911.9376537001663</v>
      </c>
      <c r="K22" s="42">
        <v>321.18931999858387</v>
      </c>
      <c r="L22" s="41">
        <v>7005.3728811088858</v>
      </c>
      <c r="M22" s="42">
        <v>305.68281301290943</v>
      </c>
      <c r="N22" s="41">
        <v>7098.6387681756351</v>
      </c>
      <c r="O22" s="42">
        <v>289.81311740070731</v>
      </c>
      <c r="P22" s="41">
        <v>7192.0488021777128</v>
      </c>
      <c r="Q22" s="42">
        <v>273.53941751843456</v>
      </c>
      <c r="R22" s="41">
        <v>7286.153995499747</v>
      </c>
      <c r="S22" s="42">
        <v>256.79810737742122</v>
      </c>
      <c r="T22" s="41">
        <v>7381.9364603897766</v>
      </c>
      <c r="U22" s="42">
        <v>239.49389753608918</v>
      </c>
      <c r="V22" s="41">
        <v>7481.157299765161</v>
      </c>
      <c r="W22" s="42">
        <v>221.4873282441207</v>
      </c>
      <c r="X22" s="41">
        <v>7586.9834192413637</v>
      </c>
      <c r="Y22" s="42">
        <v>202.5784244246085</v>
      </c>
      <c r="Z22" s="41">
        <v>7705.0577806775673</v>
      </c>
      <c r="AA22" s="42">
        <v>182.4914730044172</v>
      </c>
      <c r="AB22" s="41">
        <v>7844.9040556140935</v>
      </c>
      <c r="AC22" s="42">
        <v>160.88813860339368</v>
      </c>
      <c r="AD22" s="41">
        <v>8019.6410434279687</v>
      </c>
      <c r="AE22" s="42">
        <v>137.5005986184766</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3332.5938810786788</v>
      </c>
      <c r="E23" s="8">
        <v>0</v>
      </c>
      <c r="F23" s="116">
        <v>3387.0239937459482</v>
      </c>
      <c r="G23" s="8">
        <v>0</v>
      </c>
      <c r="H23" s="116">
        <v>3441.9216505560316</v>
      </c>
      <c r="I23" s="8">
        <v>0</v>
      </c>
      <c r="J23" s="116">
        <v>3497.4416252449514</v>
      </c>
      <c r="K23" s="8">
        <v>0</v>
      </c>
      <c r="L23" s="116">
        <v>3553.7830986211484</v>
      </c>
      <c r="M23" s="8">
        <v>0</v>
      </c>
      <c r="N23" s="116">
        <v>3611.2201831477637</v>
      </c>
      <c r="O23" s="8">
        <v>0</v>
      </c>
      <c r="P23" s="116">
        <v>3670.1543748084764</v>
      </c>
      <c r="Q23" s="8">
        <v>0</v>
      </c>
      <c r="R23" s="116">
        <v>3731.2026329041519</v>
      </c>
      <c r="S23" s="8">
        <v>0</v>
      </c>
      <c r="T23" s="116">
        <v>3795.3531477657375</v>
      </c>
      <c r="U23" s="8">
        <v>0</v>
      </c>
      <c r="V23" s="116">
        <v>3864.2460085141815</v>
      </c>
      <c r="W23" s="8">
        <v>0</v>
      </c>
      <c r="X23" s="116">
        <v>3940.688703865952</v>
      </c>
      <c r="Y23" s="8">
        <v>0</v>
      </c>
      <c r="Z23" s="116">
        <v>4029.5868376276094</v>
      </c>
      <c r="AA23" s="8">
        <v>0</v>
      </c>
      <c r="AB23" s="116">
        <v>4139.4126378031306</v>
      </c>
      <c r="AC23" s="8">
        <v>0</v>
      </c>
      <c r="AD23" s="116">
        <v>4283.3575195101512</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3249.1218537627788</v>
      </c>
      <c r="E24" s="8">
        <v>0</v>
      </c>
      <c r="F24" s="97">
        <v>3302.1886451665082</v>
      </c>
      <c r="G24" s="8">
        <v>0</v>
      </c>
      <c r="H24" s="97">
        <v>3355.7112764421481</v>
      </c>
      <c r="I24" s="8">
        <v>0</v>
      </c>
      <c r="J24" s="97">
        <v>3409.8406320129229</v>
      </c>
      <c r="K24" s="8">
        <v>0</v>
      </c>
      <c r="L24" s="97">
        <v>3464.7709125136525</v>
      </c>
      <c r="M24" s="8">
        <v>0</v>
      </c>
      <c r="N24" s="97">
        <v>3520.7693605015293</v>
      </c>
      <c r="O24" s="8">
        <v>0</v>
      </c>
      <c r="P24" s="97">
        <v>3578.2274180523727</v>
      </c>
      <c r="Q24" s="8">
        <v>0</v>
      </c>
      <c r="R24" s="97">
        <v>3637.7465905433587</v>
      </c>
      <c r="S24" s="8">
        <v>0</v>
      </c>
      <c r="T24" s="97">
        <v>3700.2903170008776</v>
      </c>
      <c r="U24" s="8">
        <v>0</v>
      </c>
      <c r="V24" s="97">
        <v>3767.457607077436</v>
      </c>
      <c r="W24" s="8">
        <v>0</v>
      </c>
      <c r="X24" s="97">
        <v>3841.985629787755</v>
      </c>
      <c r="Y24" s="8">
        <v>0</v>
      </c>
      <c r="Z24" s="97">
        <v>3928.6571173247598</v>
      </c>
      <c r="AA24" s="8">
        <v>0</v>
      </c>
      <c r="AB24" s="97">
        <v>4035.7320928849817</v>
      </c>
      <c r="AC24" s="8">
        <v>0</v>
      </c>
      <c r="AD24" s="97">
        <v>4176.0715633904965</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3258.7145212035839</v>
      </c>
      <c r="E25" s="42">
        <v>78.033716921749047</v>
      </c>
      <c r="F25" s="41">
        <v>3323.1722063609504</v>
      </c>
      <c r="G25" s="42">
        <v>66.068970062811658</v>
      </c>
      <c r="H25" s="41">
        <v>3388.6457739633629</v>
      </c>
      <c r="I25" s="42">
        <v>55.122375420202133</v>
      </c>
      <c r="J25" s="41">
        <v>3455.3774937248741</v>
      </c>
      <c r="K25" s="42">
        <v>45.196706780847556</v>
      </c>
      <c r="L25" s="41">
        <v>3523.630709273637</v>
      </c>
      <c r="M25" s="42">
        <v>36.293140463197361</v>
      </c>
      <c r="N25" s="41">
        <v>3593.6941771997472</v>
      </c>
      <c r="O25" s="42">
        <v>28.410730554425299</v>
      </c>
      <c r="P25" s="41">
        <v>3665.889919413924</v>
      </c>
      <c r="Q25" s="42">
        <v>21.545851253820508</v>
      </c>
      <c r="R25" s="41">
        <v>3740.5835972963414</v>
      </c>
      <c r="S25" s="42">
        <v>15.691484032171255</v>
      </c>
      <c r="T25" s="41">
        <v>3818.2019350240535</v>
      </c>
      <c r="U25" s="42">
        <v>10.836073206310186</v>
      </c>
      <c r="V25" s="41">
        <v>3899.2597622714102</v>
      </c>
      <c r="W25" s="42">
        <v>6.9613254915935112</v>
      </c>
      <c r="X25" s="41">
        <v>3984.4008308966677</v>
      </c>
      <c r="Y25" s="42">
        <v>4.0375594829064001</v>
      </c>
      <c r="Z25" s="41">
        <v>4074.4510314769173</v>
      </c>
      <c r="AA25" s="42">
        <v>2.0136512329474932</v>
      </c>
      <c r="AB25" s="41">
        <v>4170.4567334674866</v>
      </c>
      <c r="AC25" s="42">
        <v>0.79662368390314109</v>
      </c>
      <c r="AD25" s="41">
        <v>4273.6234981908228</v>
      </c>
      <c r="AE25" s="42">
        <v>0.22009212000532533</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5183.4649292350778</v>
      </c>
      <c r="E26" s="34">
        <v>69.849589953169797</v>
      </c>
      <c r="F26" s="33">
        <v>5339.3341418710779</v>
      </c>
      <c r="G26" s="34">
        <v>64.724298852723706</v>
      </c>
      <c r="H26" s="33">
        <v>5505.601932470252</v>
      </c>
      <c r="I26" s="34">
        <v>59.521164561041012</v>
      </c>
      <c r="J26" s="33">
        <v>5684.455414014521</v>
      </c>
      <c r="K26" s="34">
        <v>54.233342963379741</v>
      </c>
      <c r="L26" s="33">
        <v>5878.8090969597815</v>
      </c>
      <c r="M26" s="34">
        <v>48.856783725951047</v>
      </c>
      <c r="N26" s="33">
        <v>6092.6983986590631</v>
      </c>
      <c r="O26" s="34">
        <v>43.392209664933361</v>
      </c>
      <c r="P26" s="33">
        <v>6331.9701255256978</v>
      </c>
      <c r="Q26" s="34">
        <v>37.848129921093893</v>
      </c>
      <c r="R26" s="33">
        <v>6605.5481934113959</v>
      </c>
      <c r="S26" s="34">
        <v>32.245490800102189</v>
      </c>
      <c r="T26" s="33">
        <v>6927.924887359819</v>
      </c>
      <c r="U26" s="34">
        <v>26.625003149229112</v>
      </c>
      <c r="V26" s="33">
        <v>7324.4831609227494</v>
      </c>
      <c r="W26" s="34">
        <v>21.058935222514624</v>
      </c>
      <c r="X26" s="33">
        <v>7844.1776259576327</v>
      </c>
      <c r="Y26" s="34">
        <v>15.670152892487536</v>
      </c>
      <c r="Z26" s="33">
        <v>8594.6768584201582</v>
      </c>
      <c r="AA26" s="34">
        <v>10.661076807820699</v>
      </c>
      <c r="AB26" s="33">
        <v>9865.608961563863</v>
      </c>
      <c r="AC26" s="34">
        <v>6.3464316517022095</v>
      </c>
      <c r="AD26" s="33">
        <v>12817.138391144019</v>
      </c>
      <c r="AE26" s="34">
        <v>3.1444346872297251</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6446.8599191500007</v>
      </c>
      <c r="E27" s="36">
        <v>251.56747606021474</v>
      </c>
      <c r="F27" s="35">
        <v>6468.3639933302957</v>
      </c>
      <c r="G27" s="36">
        <v>230.06343604268184</v>
      </c>
      <c r="H27" s="35">
        <v>6489.733745957049</v>
      </c>
      <c r="I27" s="36">
        <v>208.69358599668629</v>
      </c>
      <c r="J27" s="35">
        <v>6510.9831285973696</v>
      </c>
      <c r="K27" s="36">
        <v>187.4441492413176</v>
      </c>
      <c r="L27" s="35">
        <v>6532.1114924171097</v>
      </c>
      <c r="M27" s="36">
        <v>166.31585518543648</v>
      </c>
      <c r="N27" s="35">
        <v>6553.0967692569302</v>
      </c>
      <c r="O27" s="36">
        <v>145.33053242269747</v>
      </c>
      <c r="P27" s="35">
        <v>6573.8861970218522</v>
      </c>
      <c r="Q27" s="36">
        <v>124.54110977404807</v>
      </c>
      <c r="R27" s="35">
        <v>6594.3806338437143</v>
      </c>
      <c r="S27" s="36">
        <v>104.04667497271174</v>
      </c>
      <c r="T27" s="35">
        <v>6614.4116316716863</v>
      </c>
      <c r="U27" s="36">
        <v>84.015677405285174</v>
      </c>
      <c r="V27" s="35">
        <v>6633.7052114377075</v>
      </c>
      <c r="W27" s="36">
        <v>64.722104490012811</v>
      </c>
      <c r="X27" s="35">
        <v>6651.8261678397557</v>
      </c>
      <c r="Y27" s="36">
        <v>46.601148300892596</v>
      </c>
      <c r="Z27" s="35">
        <v>6668.1014186697548</v>
      </c>
      <c r="AA27" s="36">
        <v>30.325918295899314</v>
      </c>
      <c r="AB27" s="35">
        <v>6681.5604934977609</v>
      </c>
      <c r="AC27" s="36">
        <v>16.866821832133969</v>
      </c>
      <c r="AD27" s="35">
        <v>6691.0901123184804</v>
      </c>
      <c r="AE27" s="36">
        <v>7.337060155948266</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13763.097676000007</v>
      </c>
      <c r="C28" s="42">
        <v>382.36647900000003</v>
      </c>
      <c r="D28" s="41">
        <v>13995.426504385452</v>
      </c>
      <c r="E28" s="42">
        <v>353.30004343286021</v>
      </c>
      <c r="F28" s="41">
        <v>14231.964887161213</v>
      </c>
      <c r="G28" s="42">
        <v>324.22203072407069</v>
      </c>
      <c r="H28" s="41">
        <v>14473.749670147074</v>
      </c>
      <c r="I28" s="42">
        <v>295.11063317878268</v>
      </c>
      <c r="J28" s="41">
        <v>14722.024534226237</v>
      </c>
      <c r="K28" s="42">
        <v>265.95607416925048</v>
      </c>
      <c r="L28" s="41">
        <v>14978.347194592412</v>
      </c>
      <c r="M28" s="42">
        <v>236.76776542093282</v>
      </c>
      <c r="N28" s="41">
        <v>15244.754540635948</v>
      </c>
      <c r="O28" s="42">
        <v>207.58411654506725</v>
      </c>
      <c r="P28" s="41">
        <v>15524.039189469571</v>
      </c>
      <c r="Q28" s="42">
        <v>178.48723626955649</v>
      </c>
      <c r="R28" s="41">
        <v>15820.208261026864</v>
      </c>
      <c r="S28" s="42">
        <v>149.62501770084799</v>
      </c>
      <c r="T28" s="41">
        <v>16139.289056183907</v>
      </c>
      <c r="U28" s="42">
        <v>121.24514947949079</v>
      </c>
      <c r="V28" s="41">
        <v>16490.786734661462</v>
      </c>
      <c r="W28" s="42">
        <v>93.748296140023655</v>
      </c>
      <c r="X28" s="41">
        <v>16890.41510301653</v>
      </c>
      <c r="Y28" s="42">
        <v>67.770462781446383</v>
      </c>
      <c r="Z28" s="41">
        <v>17365.288940270624</v>
      </c>
      <c r="AA28" s="42">
        <v>44.298201559745138</v>
      </c>
      <c r="AB28" s="41">
        <v>17963.363259315585</v>
      </c>
      <c r="AC28" s="42">
        <v>24.763655801008785</v>
      </c>
      <c r="AD28" s="41">
        <v>18767.304526553598</v>
      </c>
      <c r="AE28" s="42">
        <v>10.835146709352312</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14577.273756555363</v>
      </c>
      <c r="E29" s="36">
        <v>748.17819339437449</v>
      </c>
      <c r="F29" s="35">
        <v>14792.747808024318</v>
      </c>
      <c r="G29" s="36">
        <v>679.81925762488277</v>
      </c>
      <c r="H29" s="35">
        <v>15009.729234541959</v>
      </c>
      <c r="I29" s="36">
        <v>612.2124652220034</v>
      </c>
      <c r="J29" s="35">
        <v>15228.832521483493</v>
      </c>
      <c r="K29" s="36">
        <v>545.41544550283766</v>
      </c>
      <c r="L29" s="35">
        <v>15450.804507923453</v>
      </c>
      <c r="M29" s="36">
        <v>479.53550541930872</v>
      </c>
      <c r="N29" s="35">
        <v>15676.610786755058</v>
      </c>
      <c r="O29" s="36">
        <v>414.74914752486319</v>
      </c>
      <c r="P29" s="35">
        <v>15907.585429868328</v>
      </c>
      <c r="Q29" s="36">
        <v>351.33018145720445</v>
      </c>
      <c r="R29" s="35">
        <v>16145.677054513606</v>
      </c>
      <c r="S29" s="36">
        <v>289.69024371937718</v>
      </c>
      <c r="T29" s="35">
        <v>16393.88063343559</v>
      </c>
      <c r="U29" s="36">
        <v>230.43836580342702</v>
      </c>
      <c r="V29" s="35">
        <v>16657.002415120103</v>
      </c>
      <c r="W29" s="36">
        <v>174.46904512478508</v>
      </c>
      <c r="X29" s="35">
        <v>16943.031386869203</v>
      </c>
      <c r="Y29" s="36">
        <v>123.08842578152539</v>
      </c>
      <c r="Z29" s="35">
        <v>17265.51411855052</v>
      </c>
      <c r="AA29" s="36">
        <v>78.166355002720366</v>
      </c>
      <c r="AB29" s="35">
        <v>17646.953613675119</v>
      </c>
      <c r="AC29" s="36">
        <v>42.185146361201959</v>
      </c>
      <c r="AD29" s="35">
        <v>18120.062151133166</v>
      </c>
      <c r="AE29" s="36">
        <v>17.663783526348396</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2963176.4616097715</v>
      </c>
      <c r="F30" s="119">
        <v>3001453.8000054909</v>
      </c>
      <c r="H30" s="119">
        <v>3039713.681100619</v>
      </c>
      <c r="J30" s="119">
        <v>3078026.8612930616</v>
      </c>
      <c r="L30" s="119">
        <v>3116501.6324128993</v>
      </c>
      <c r="N30" s="119">
        <v>3155314.5743270856</v>
      </c>
      <c r="P30" s="119">
        <v>3194761.7939546532</v>
      </c>
      <c r="R30" s="119">
        <v>3235346.4489850001</v>
      </c>
      <c r="T30" s="119">
        <v>3277932.0555042587</v>
      </c>
      <c r="V30" s="119">
        <v>3324018.3480762444</v>
      </c>
      <c r="X30" s="119">
        <v>3376245.5905367825</v>
      </c>
      <c r="Z30" s="119">
        <v>3439295.2608562931</v>
      </c>
      <c r="AB30" s="119">
        <v>3521264.4051610837</v>
      </c>
      <c r="AD30" s="119">
        <v>3634483.7906117165</v>
      </c>
      <c r="AF30" s="119"/>
      <c r="AH30" s="119"/>
      <c r="AJ30" s="119"/>
      <c r="AL30" s="119"/>
      <c r="AN30" s="119"/>
      <c r="AP30" s="119"/>
      <c r="AR30" s="119"/>
      <c r="AT30" s="119"/>
      <c r="AV30" s="119"/>
    </row>
    <row r="31" spans="1:49" x14ac:dyDescent="0.2">
      <c r="A31" t="s">
        <v>47</v>
      </c>
      <c r="B31" s="80">
        <v>1</v>
      </c>
      <c r="D31" s="80">
        <v>1.011664907786441</v>
      </c>
      <c r="F31" s="80">
        <v>1.0229336239405502</v>
      </c>
      <c r="H31" s="80">
        <v>1.0337805373824198</v>
      </c>
      <c r="J31" s="80">
        <v>1.0441725952070524</v>
      </c>
      <c r="L31" s="80">
        <v>1.0540692630642488</v>
      </c>
      <c r="N31" s="80">
        <v>1.0634227948076387</v>
      </c>
      <c r="P31" s="80">
        <v>1.0721796865772462</v>
      </c>
      <c r="R31" s="80">
        <v>1.0802835502926891</v>
      </c>
      <c r="T31" s="80">
        <v>1.0876812258962563</v>
      </c>
      <c r="V31" s="80">
        <v>1.0943339453160903</v>
      </c>
      <c r="X31" s="80">
        <v>1.1002348667412578</v>
      </c>
      <c r="Z31" s="80">
        <v>1.1054232652472213</v>
      </c>
      <c r="AB31" s="80">
        <v>1.1099228412238444</v>
      </c>
      <c r="AD31" s="80">
        <v>1.1132796288556681</v>
      </c>
      <c r="AF31" s="80"/>
      <c r="AH31" s="80"/>
      <c r="AJ31" s="80"/>
      <c r="AL31" s="80"/>
      <c r="AN31" s="80"/>
      <c r="AP31" s="80"/>
      <c r="AR31" s="80"/>
      <c r="AT31" s="80"/>
      <c r="AV31" s="80"/>
    </row>
    <row r="32" spans="1:49" x14ac:dyDescent="0.2">
      <c r="A32" t="s">
        <v>64</v>
      </c>
      <c r="B32" s="86">
        <v>14734457.915000005</v>
      </c>
      <c r="D32" s="86">
        <v>14939345.161598181</v>
      </c>
      <c r="F32" s="86">
        <v>15144508.09364241</v>
      </c>
      <c r="H32" s="86">
        <v>15350288.181946283</v>
      </c>
      <c r="J32" s="86">
        <v>15557143.969643967</v>
      </c>
      <c r="L32" s="86">
        <v>15765756.451599294</v>
      </c>
      <c r="N32" s="86">
        <v>15977198.769523744</v>
      </c>
      <c r="P32" s="86">
        <v>16193226.256466389</v>
      </c>
      <c r="R32" s="86">
        <v>16416765.327562239</v>
      </c>
      <c r="T32" s="86">
        <v>16652776.499510247</v>
      </c>
      <c r="V32" s="86">
        <v>16909811.134645183</v>
      </c>
      <c r="X32" s="86">
        <v>17202876.310918882</v>
      </c>
      <c r="Z32" s="86">
        <v>17558621.018119019</v>
      </c>
      <c r="AB32" s="86">
        <v>18023525.831445571</v>
      </c>
      <c r="AD32" s="86">
        <v>18670135.128405817</v>
      </c>
      <c r="AF32" s="86"/>
      <c r="AH32" s="86"/>
      <c r="AJ32" s="86"/>
      <c r="AL32" s="86"/>
      <c r="AN32" s="86"/>
      <c r="AP32" s="86"/>
      <c r="AR32" s="86"/>
      <c r="AT32" s="86"/>
      <c r="AV32" s="86"/>
    </row>
    <row r="33" spans="1:49 16319:16321" x14ac:dyDescent="0.2">
      <c r="A33" t="s">
        <v>54</v>
      </c>
      <c r="B33" s="117">
        <v>7019665.6909999885</v>
      </c>
      <c r="D33" s="117">
        <v>7117276.3310570493</v>
      </c>
      <c r="F33" s="117">
        <v>7215018.314904632</v>
      </c>
      <c r="H33" s="117">
        <v>7313054.333170386</v>
      </c>
      <c r="J33" s="117">
        <v>7411602.8269102098</v>
      </c>
      <c r="L33" s="117">
        <v>7510988.2078437097</v>
      </c>
      <c r="N33" s="117">
        <v>7611721.7719208272</v>
      </c>
      <c r="P33" s="117">
        <v>7714639.7563346028</v>
      </c>
      <c r="R33" s="117">
        <v>7821136.3471677285</v>
      </c>
      <c r="T33" s="117">
        <v>7933574.7913689017</v>
      </c>
      <c r="V33" s="117">
        <v>8056029.0545225125</v>
      </c>
      <c r="X33" s="117">
        <v>8195648.6833973415</v>
      </c>
      <c r="Z33" s="117">
        <v>8365129.5657288954</v>
      </c>
      <c r="AB33" s="117">
        <v>8586615.5806447603</v>
      </c>
      <c r="AD33" s="117">
        <v>8894667.7182533741</v>
      </c>
      <c r="AF33" s="117"/>
      <c r="AH33" s="117"/>
      <c r="AJ33" s="117"/>
      <c r="AL33" s="117"/>
      <c r="AN33" s="117"/>
      <c r="AP33" s="117"/>
      <c r="AR33" s="117"/>
      <c r="AT33" s="117"/>
      <c r="AV33" s="117"/>
    </row>
    <row r="34" spans="1:49 16319:16321" x14ac:dyDescent="0.2">
      <c r="A34" t="s">
        <v>75</v>
      </c>
      <c r="B34" s="117">
        <v>1136879.4410000162</v>
      </c>
      <c r="D34" s="117">
        <v>1152688.1162856291</v>
      </c>
      <c r="F34" s="117">
        <v>1168518.0564292998</v>
      </c>
      <c r="H34" s="117">
        <v>1184395.5945370239</v>
      </c>
      <c r="J34" s="117">
        <v>1200356.1377933566</v>
      </c>
      <c r="L34" s="117">
        <v>1216452.2435865877</v>
      </c>
      <c r="N34" s="117">
        <v>1232766.6785742687</v>
      </c>
      <c r="P34" s="117">
        <v>1249434.9018033848</v>
      </c>
      <c r="R34" s="117">
        <v>1266682.7019270603</v>
      </c>
      <c r="T34" s="117">
        <v>1284892.8222238342</v>
      </c>
      <c r="V34" s="117">
        <v>1304725.06957573</v>
      </c>
      <c r="X34" s="117">
        <v>1327337.3565304719</v>
      </c>
      <c r="Z34" s="117">
        <v>1354785.8609799715</v>
      </c>
      <c r="AB34" s="117">
        <v>1390656.9277867163</v>
      </c>
      <c r="AD34" s="117">
        <v>1440547.9155427297</v>
      </c>
      <c r="AF34" s="117"/>
      <c r="AH34" s="117"/>
      <c r="AJ34" s="117"/>
      <c r="AL34" s="117"/>
      <c r="AN34" s="117"/>
      <c r="AP34" s="117"/>
      <c r="AR34" s="117"/>
      <c r="AT34" s="117"/>
      <c r="AV34" s="117"/>
    </row>
    <row r="35" spans="1:49 16319:16321" x14ac:dyDescent="0.2">
      <c r="A35" t="s">
        <v>78</v>
      </c>
      <c r="B35" s="233">
        <v>1</v>
      </c>
      <c r="D35" s="233">
        <v>1.0022170119799316</v>
      </c>
      <c r="F35" s="233">
        <v>1.0048070306290982</v>
      </c>
      <c r="H35" s="233">
        <v>1.0078299718124122</v>
      </c>
      <c r="J35" s="233">
        <v>1.0113676532043547</v>
      </c>
      <c r="L35" s="233">
        <v>1.015533573128836</v>
      </c>
      <c r="N35" s="233">
        <v>1.0204882282310748</v>
      </c>
      <c r="P35" s="233">
        <v>1.0264640213138156</v>
      </c>
      <c r="R35" s="233">
        <v>1.0338072585273463</v>
      </c>
      <c r="T35" s="233">
        <v>1.0430522315282253</v>
      </c>
      <c r="V35" s="233">
        <v>1.0550585651908757</v>
      </c>
      <c r="X35" s="233">
        <v>1.07127966888767</v>
      </c>
      <c r="Z35" s="233">
        <v>1.0943127093346108</v>
      </c>
      <c r="AB35" s="233">
        <v>1.1290475099214421</v>
      </c>
      <c r="AD35" s="233">
        <v>1.1849406735788375</v>
      </c>
      <c r="AF35" s="233"/>
      <c r="AH35" s="233"/>
      <c r="AJ35" s="233"/>
      <c r="AL35" s="233"/>
      <c r="AN35" s="233"/>
      <c r="AP35" s="233"/>
      <c r="AR35" s="233"/>
      <c r="AT35" s="233"/>
      <c r="AV35" s="233"/>
    </row>
    <row r="36" spans="1:49 16319:16321" x14ac:dyDescent="0.2">
      <c r="A36" t="s">
        <v>21</v>
      </c>
      <c r="B36" s="37">
        <v>0.4719576767198812</v>
      </c>
      <c r="C36" s="38">
        <v>0.31738834428178975</v>
      </c>
      <c r="D36" s="37">
        <v>0.47197773286940131</v>
      </c>
      <c r="E36" s="38">
        <v>0.31944231280108848</v>
      </c>
      <c r="F36" s="37">
        <v>0.47199830166438572</v>
      </c>
      <c r="G36" s="38">
        <v>0.3216551518550827</v>
      </c>
      <c r="H36" s="37">
        <v>0.47201951038603152</v>
      </c>
      <c r="I36" s="38">
        <v>0.32405010973441184</v>
      </c>
      <c r="J36" s="37">
        <v>0.47204148491606535</v>
      </c>
      <c r="K36" s="38">
        <v>0.32665587175825644</v>
      </c>
      <c r="L36" s="37">
        <v>0.47206433714954432</v>
      </c>
      <c r="M36" s="38">
        <v>0.32950871077446242</v>
      </c>
      <c r="N36" s="37">
        <v>0.4720881438090711</v>
      </c>
      <c r="O36" s="38">
        <v>0.33265575083816068</v>
      </c>
      <c r="P36" s="37">
        <v>0.47211290879314577</v>
      </c>
      <c r="Q36" s="38">
        <v>0.33616012931239603</v>
      </c>
      <c r="R36" s="37">
        <v>0.47213849810842801</v>
      </c>
      <c r="S36" s="38">
        <v>0.34010936827954852</v>
      </c>
      <c r="T36" s="37">
        <v>0.47216452408449677</v>
      </c>
      <c r="U36" s="38">
        <v>0.34462949267188542</v>
      </c>
      <c r="V36" s="37">
        <v>0.47219013740060711</v>
      </c>
      <c r="W36" s="38">
        <v>0.34990974131600922</v>
      </c>
      <c r="X36" s="37">
        <v>0.4722136541583708</v>
      </c>
      <c r="Y36" s="38">
        <v>0.35624739442161008</v>
      </c>
      <c r="Z36" s="37">
        <v>0.47223192454807966</v>
      </c>
      <c r="AA36" s="38">
        <v>0.36413053817742652</v>
      </c>
      <c r="AB36" s="37">
        <v>0.47223951692611654</v>
      </c>
      <c r="AC36" s="38">
        <v>0.37438477293230504</v>
      </c>
      <c r="AD36" s="37">
        <v>0.47222886034084466</v>
      </c>
      <c r="AE36" s="38">
        <v>0.38838397840895317</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0.34962461301992531</v>
      </c>
      <c r="D37" s="39">
        <v>2.0502008905026171E-2</v>
      </c>
      <c r="E37" s="40">
        <v>0.34579503992399663</v>
      </c>
      <c r="F37" s="39">
        <v>1.9604493589849985E-2</v>
      </c>
      <c r="G37" s="40">
        <v>0.34193963060281829</v>
      </c>
      <c r="H37" s="39">
        <v>1.8709636818082489E-2</v>
      </c>
      <c r="I37" s="40">
        <v>0.33805548027946797</v>
      </c>
      <c r="J37" s="39">
        <v>1.7816124717602702E-2</v>
      </c>
      <c r="K37" s="40">
        <v>0.33413864074990934</v>
      </c>
      <c r="L37" s="39">
        <v>1.6922205473977568E-2</v>
      </c>
      <c r="M37" s="40">
        <v>0.33018351221429471</v>
      </c>
      <c r="N37" s="39">
        <v>1.6025480821631827E-2</v>
      </c>
      <c r="O37" s="40">
        <v>0.3261820566308532</v>
      </c>
      <c r="P37" s="39">
        <v>1.512260905803285E-2</v>
      </c>
      <c r="Q37" s="40">
        <v>0.32212271466218823</v>
      </c>
      <c r="R37" s="39">
        <v>1.4208886114228813E-2</v>
      </c>
      <c r="S37" s="40">
        <v>0.3179889445201794</v>
      </c>
      <c r="T37" s="39">
        <v>1.3277634424752934E-2</v>
      </c>
      <c r="U37" s="40">
        <v>0.31375722538795808</v>
      </c>
      <c r="V37" s="39">
        <v>1.2319317385016531E-2</v>
      </c>
      <c r="W37" s="40">
        <v>0.30939444209498634</v>
      </c>
      <c r="X37" s="39">
        <v>1.1320325058514769E-2</v>
      </c>
      <c r="Y37" s="40">
        <v>0.30485496107425958</v>
      </c>
      <c r="Z37" s="39">
        <v>1.0261706846883357E-2</v>
      </c>
      <c r="AA37" s="40">
        <v>0.30007960605212108</v>
      </c>
      <c r="AB37" s="39">
        <v>9.1196468832789659E-3</v>
      </c>
      <c r="AC37" s="40">
        <v>0.29500572641446937</v>
      </c>
      <c r="AD37" s="39">
        <v>7.8740924249151873E-3</v>
      </c>
      <c r="AE37" s="40">
        <v>0.28961632773116608</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0.18332865569214704</v>
      </c>
      <c r="E38" s="38">
        <v>6.1503216319022017E-2</v>
      </c>
      <c r="F38" s="37">
        <v>0.18608319324176786</v>
      </c>
      <c r="G38" s="38">
        <v>6.2524029428506087E-2</v>
      </c>
      <c r="H38" s="37">
        <v>0.18909616140181446</v>
      </c>
      <c r="I38" s="38">
        <v>6.3642077339313805E-2</v>
      </c>
      <c r="J38" s="37">
        <v>0.19242177921997936</v>
      </c>
      <c r="K38" s="38">
        <v>6.4875510280884965E-2</v>
      </c>
      <c r="L38" s="37">
        <v>0.1961330106326846</v>
      </c>
      <c r="M38" s="38">
        <v>6.6248084568370544E-2</v>
      </c>
      <c r="N38" s="37">
        <v>0.20033166033844546</v>
      </c>
      <c r="O38" s="38">
        <v>6.7791949197064744E-2</v>
      </c>
      <c r="P38" s="37">
        <v>0.20516605908557969</v>
      </c>
      <c r="Q38" s="38">
        <v>6.9552289412655594E-2</v>
      </c>
      <c r="R38" s="37">
        <v>0.21086362371227413</v>
      </c>
      <c r="S38" s="38">
        <v>7.1595549600728545E-2</v>
      </c>
      <c r="T38" s="37">
        <v>0.21779516492029766</v>
      </c>
      <c r="U38" s="38">
        <v>7.4024879844901345E-2</v>
      </c>
      <c r="V38" s="37">
        <v>0.22661314448888009</v>
      </c>
      <c r="W38" s="38">
        <v>7.7011530612911314E-2</v>
      </c>
      <c r="X38" s="37">
        <v>0.23858393029651487</v>
      </c>
      <c r="Y38" s="38">
        <v>8.0865336233084326E-2</v>
      </c>
      <c r="Z38" s="37">
        <v>0.25651887588742456</v>
      </c>
      <c r="AA38" s="38">
        <v>8.6216383550742764E-2</v>
      </c>
      <c r="AB38" s="37">
        <v>0.28808255768127916</v>
      </c>
      <c r="AC38" s="38">
        <v>9.4594577636185381E-2</v>
      </c>
      <c r="AD38" s="37">
        <v>0.36450483722680582</v>
      </c>
      <c r="AE38" s="38">
        <v>0.11127472463869219</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0.22801237754062806</v>
      </c>
      <c r="E39" s="40">
        <v>0.22150751220350789</v>
      </c>
      <c r="F39" s="39">
        <v>0.22543144799459486</v>
      </c>
      <c r="G39" s="40">
        <v>0.22224254724314474</v>
      </c>
      <c r="H39" s="39">
        <v>0.22289728805905218</v>
      </c>
      <c r="I39" s="40">
        <v>0.22314236353018613</v>
      </c>
      <c r="J39" s="39">
        <v>0.22040017324916836</v>
      </c>
      <c r="K39" s="40">
        <v>0.22422617096290848</v>
      </c>
      <c r="L39" s="39">
        <v>0.21792894983759173</v>
      </c>
      <c r="M39" s="40">
        <v>0.22551846435878306</v>
      </c>
      <c r="N39" s="39">
        <v>0.21546984115161111</v>
      </c>
      <c r="O39" s="40">
        <v>0.22705089569899894</v>
      </c>
      <c r="P39" s="39">
        <v>0.21300453053039098</v>
      </c>
      <c r="Q39" s="40">
        <v>0.22886518643950871</v>
      </c>
      <c r="R39" s="39">
        <v>0.21050713065378537</v>
      </c>
      <c r="S39" s="40">
        <v>0.23101769251954002</v>
      </c>
      <c r="T39" s="39">
        <v>0.20793915863595153</v>
      </c>
      <c r="U39" s="40">
        <v>0.2335868427942063</v>
      </c>
      <c r="V39" s="39">
        <v>0.2052410749739213</v>
      </c>
      <c r="W39" s="40">
        <v>0.23668567658329551</v>
      </c>
      <c r="X39" s="39">
        <v>0.20231806397661317</v>
      </c>
      <c r="Y39" s="40">
        <v>0.24048377524166542</v>
      </c>
      <c r="Z39" s="39">
        <v>0.19901782328729961</v>
      </c>
      <c r="AA39" s="40">
        <v>0.24524642777263778</v>
      </c>
      <c r="AB39" s="39">
        <v>0.19510615551134772</v>
      </c>
      <c r="AC39" s="40">
        <v>0.25140267394947258</v>
      </c>
      <c r="AD39" s="39">
        <v>0.19028699213747396</v>
      </c>
      <c r="AE39" s="40">
        <v>0.25964264795397762</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8.3198473444722726E-2</v>
      </c>
      <c r="E42" s="135"/>
      <c r="F42" s="177">
        <f>10.8%+(1-10.8%)*(1-SUM(F26:G26)/SUM($B$26:$C$26))</f>
        <v>5.6890842923472171E-2</v>
      </c>
      <c r="G42" s="135"/>
      <c r="H42" s="177">
        <f>10.8%+(1-10.8%)*(1-SUM(H26:I26)/SUM($B$26:$C$26))</f>
        <v>2.87820513715005E-2</v>
      </c>
      <c r="I42" s="135"/>
      <c r="J42" s="177">
        <f>10.8%+(1-10.8%)*(1-SUM(J26:K26)/SUM($B$26:$C$26))</f>
        <v>-1.5083988605203852E-3</v>
      </c>
      <c r="K42" s="135"/>
      <c r="L42" s="177">
        <f>10.8%+(1-10.8%)*(1-SUM(L26:M26)/SUM($B$26:$C$26))</f>
        <v>-3.4488437437410452E-2</v>
      </c>
      <c r="M42" s="135"/>
      <c r="N42" s="177">
        <f>10.8%+(1-10.8%)*(1-SUM(N26:O26)/SUM($B$26:$C$26))</f>
        <v>-7.086244622227858E-2</v>
      </c>
      <c r="O42" s="135"/>
      <c r="P42" s="177">
        <f>10.8%+(1-10.8%)*(1-SUM(P26:Q26)/SUM($B$26:$C$26))</f>
        <v>-0.11165228716891634</v>
      </c>
      <c r="Q42" s="135"/>
      <c r="R42" s="177">
        <f>10.8%+(1-10.8%)*(1-SUM(R26:S26)/SUM($B$26:$C$26))</f>
        <v>-0.15841900583261267</v>
      </c>
      <c r="S42" s="135"/>
      <c r="T42" s="177">
        <f>10.8%+(1-10.8%)*(1-SUM(T26:U26)/SUM($B$26:$C$26))</f>
        <v>-0.21369888150324476</v>
      </c>
      <c r="U42" s="135"/>
      <c r="V42" s="177">
        <f>10.8%+(1-10.8%)*(1-SUM(V26:W26)/SUM($B$26:$C$26))</f>
        <v>-0.28193432594297496</v>
      </c>
      <c r="W42" s="135"/>
      <c r="X42" s="177">
        <f>10.8%+(1-10.8%)*(1-SUM(X26:Y26)/SUM($B$26:$C$26))</f>
        <v>-0.3716902758861218</v>
      </c>
      <c r="Y42" s="162"/>
      <c r="Z42" s="177">
        <f>10.8%+(1-10.8%)*(1-SUM(Z26:AA26)/SUM($B$26:$C$26))</f>
        <v>-0.50179223549709218</v>
      </c>
      <c r="AA42" s="135"/>
      <c r="AB42" s="177">
        <f>10.8%+(1-10.8%)*(1-SUM(AB26:AC26)/SUM($B$26:$C$26))</f>
        <v>-0.72284064499228839</v>
      </c>
      <c r="AC42" s="135"/>
      <c r="AD42" s="177">
        <f>10.8%+(1-10.8%)*(1-SUM(AD26:AE26)/SUM($B$26:$C$26))</f>
        <v>-1.2373788629371254</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0.58122509399786282</v>
      </c>
      <c r="E43" s="135"/>
      <c r="F43" s="162">
        <f t="array" ref="F43">SUM(F15:G15*F27:G27)/SUM(F15:G15*F27:G27,F13:G13*F26:G26)</f>
        <v>0.59560144629563205</v>
      </c>
      <c r="G43" s="135"/>
      <c r="H43" s="162">
        <f t="array" ref="H43">SUM(H15:I15*H27:I27)/SUM(H15:I15*H27:I27,H13:I13*H26:I26)</f>
        <v>0.61040733353284404</v>
      </c>
      <c r="I43" s="135"/>
      <c r="J43" s="162">
        <f t="array" ref="J43">SUM(J15:K15*J27:K27)/SUM(J15:K15*J27:K27,J13:K13*J26:K26)</f>
        <v>0.62573916818480846</v>
      </c>
      <c r="K43" s="135"/>
      <c r="L43" s="162">
        <f t="array" ref="L43">SUM(L15:M15*L27:M27)/SUM(L15:M15*L27:M27,L13:M13*L26:M26)</f>
        <v>0.64172167231016197</v>
      </c>
      <c r="M43" s="135"/>
      <c r="N43" s="162">
        <f t="array" ref="N43">SUM(N15:O15*N27:O27)/SUM(N15:O15*N27:O27,N13:O13*N26:O26)</f>
        <v>0.65852285627300833</v>
      </c>
      <c r="O43" s="135"/>
      <c r="P43" s="162">
        <f t="array" ref="P43">SUM(P15:Q15*P27:Q27)/SUM(P15:Q15*P27:Q27,P13:Q13*P26:Q26)</f>
        <v>0.67637854810491682</v>
      </c>
      <c r="Q43" s="135"/>
      <c r="R43" s="162">
        <f t="array" ref="R43">SUM(R15:S15*R27:S27)/SUM(R15:S15*R27:S27,R13:S13*R26:S26)</f>
        <v>0.69563322576646858</v>
      </c>
      <c r="S43" s="135"/>
      <c r="T43" s="162">
        <f t="array" ref="T43">SUM(T15:U15*T27:U27)/SUM(T15:U15*T27:U27,T13:U13*T26:U26)</f>
        <v>0.7168109261779525</v>
      </c>
      <c r="U43" s="135"/>
      <c r="V43" s="162">
        <f t="array" ref="V43">SUM(V15:W15*V27:W27)/SUM(V15:W15*V27:W27,V13:W13*V26:W26)</f>
        <v>0.74074260994761687</v>
      </c>
      <c r="W43" s="135"/>
      <c r="X43" s="162">
        <f t="array" ref="X43">SUM(X15:Y15*X27:Y27)/SUM(X15:Y15*X27:Y27,X13:Y13*X26:Y26)</f>
        <v>0.76880247976086424</v>
      </c>
      <c r="Y43" s="135"/>
      <c r="Z43" s="162">
        <f t="array" ref="Z43">SUM(Z15:AA15*Z27:AA27)/SUM(Z15:AA15*Z27:AA27,Z13:AA13*Z26:AA26)</f>
        <v>0.80335111873297527</v>
      </c>
      <c r="AA43" s="135"/>
      <c r="AB43" s="162">
        <f t="array" ref="AB43">SUM(AB15:AC15*AB27:AC27)/SUM(AB15:AC15*AB27:AC27,AB13:AC13*AB26:AC26)</f>
        <v>0.84852019195677397</v>
      </c>
      <c r="AC43" s="135"/>
      <c r="AD43" s="162">
        <f t="array" ref="AD43">SUM(AD15:AE15*AD27:AE27)/SUM(AD15:AE15*AD27:AE27,AD13:AE13*AD26:AE26)</f>
        <v>0.91128183491885761</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0.29754226239514986</v>
      </c>
      <c r="F44" s="193">
        <f>(SUM(F11:G11*F24:G24)+F34)/F32</f>
        <v>0.29754226260187017</v>
      </c>
      <c r="H44" s="193">
        <f>(SUM(H11:I11*H24:I24)+H34)/H32</f>
        <v>0.29754226188720928</v>
      </c>
      <c r="J44" s="193">
        <f>(SUM(J11:K11*J24:K24)+J34)/J32</f>
        <v>0.29754226119945998</v>
      </c>
      <c r="L44" s="193">
        <f>(SUM(L11:M11*L24:M24)+L34)/L32</f>
        <v>0.2975422619387611</v>
      </c>
      <c r="N44" s="193">
        <f>(SUM(N11:O11*N24:O24)+N34)/N32</f>
        <v>0.29754226161651376</v>
      </c>
      <c r="P44" s="193">
        <f>(SUM(P11:Q11*P24:Q24)+P34)/P32</f>
        <v>0.29754226173925935</v>
      </c>
      <c r="R44" s="193">
        <f>(SUM(R11:S11*R24:S24)+R34)/R32</f>
        <v>0.29754226179217463</v>
      </c>
      <c r="T44" s="193">
        <f>(SUM(T11:U11*T24:U24)+T34)/T32</f>
        <v>0.29754226180319709</v>
      </c>
      <c r="V44" s="193">
        <f>(SUM(V11:W11*V24:W24)+V34)/V32</f>
        <v>0.29754226189590433</v>
      </c>
      <c r="X44" s="193">
        <f>(SUM(X11:Y11*X24:Y24)+X34)/X32</f>
        <v>0.29754226196454392</v>
      </c>
      <c r="Z44" s="193">
        <f>(SUM(Z11:AA11*Z24:AA24)+Z34)/Z32</f>
        <v>0.29754226191612709</v>
      </c>
      <c r="AB44" s="193">
        <f>(SUM(AB11:AC11*AB24:AC24)+AB34)/AB32</f>
        <v>0.29754226192398409</v>
      </c>
      <c r="AD44" s="193">
        <f>(SUM(AD11:AE11*AD24:AE24)+AD34)/AD32</f>
        <v>0.29754226134225642</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0.22038438808291885</v>
      </c>
      <c r="F45" s="193">
        <f>SUM(F11:G11*F24:G24)/F32</f>
        <v>0.22038438799781895</v>
      </c>
      <c r="H45" s="193">
        <f>SUM(H11:I11*H24:I24)/H32</f>
        <v>0.22038438833471072</v>
      </c>
      <c r="J45" s="193">
        <f>SUM(J11:K11*J24:K24)/J32</f>
        <v>0.22038438825468529</v>
      </c>
      <c r="L45" s="193">
        <f>SUM(L11:M11*L24:M24)/L32</f>
        <v>0.22038438833332494</v>
      </c>
      <c r="N45" s="193">
        <f>SUM(N11:O11*N24:O24)/N32</f>
        <v>0.22038438830234103</v>
      </c>
      <c r="P45" s="193">
        <f>SUM(P11:Q11*P24:Q24)/P32</f>
        <v>0.22038438831644763</v>
      </c>
      <c r="R45" s="193">
        <f>SUM(R11:S11*R24:S24)/R32</f>
        <v>0.22038438832239818</v>
      </c>
      <c r="T45" s="193">
        <f>SUM(T11:U11*T24:U24)/T32</f>
        <v>0.22038438832416354</v>
      </c>
      <c r="V45" s="193">
        <f>SUM(V11:W11*V24:W24)/V32</f>
        <v>0.22038438832849461</v>
      </c>
      <c r="X45" s="193">
        <f>SUM(X11:Y11*X24:Y24)/X32</f>
        <v>0.22038438833105189</v>
      </c>
      <c r="Z45" s="193">
        <f>SUM(Z11:AA11*Z24:AA24)/Z32</f>
        <v>0.22038438832332352</v>
      </c>
      <c r="AB45" s="193">
        <f>SUM(AB11:AC11*AB24:AC24)/AB32</f>
        <v>0.22038438833187907</v>
      </c>
      <c r="AD45" s="193">
        <f>SUM(AD11:AE11*AD24:AE24)/AD32</f>
        <v>0.22038438832017013</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7.715787431223102E-2</v>
      </c>
      <c r="F46" s="193">
        <f>F34/F32</f>
        <v>7.7157874604051213E-2</v>
      </c>
      <c r="H46" s="193">
        <f>H34/H32</f>
        <v>7.7157873552498535E-2</v>
      </c>
      <c r="J46" s="193">
        <f>J34/J32</f>
        <v>7.7157872944774664E-2</v>
      </c>
      <c r="L46" s="193">
        <f>L34/L32</f>
        <v>7.7157873605436134E-2</v>
      </c>
      <c r="N46" s="193">
        <f>N34/N32</f>
        <v>7.715787331417269E-2</v>
      </c>
      <c r="P46" s="193">
        <f>P34/P32</f>
        <v>7.7157873422811718E-2</v>
      </c>
      <c r="R46" s="193">
        <f>R34/R32</f>
        <v>7.7157873469776442E-2</v>
      </c>
      <c r="T46" s="193">
        <f>T34/T32</f>
        <v>7.7157873479033509E-2</v>
      </c>
      <c r="V46" s="193">
        <f>V34/V32</f>
        <v>7.7157873567409718E-2</v>
      </c>
      <c r="X46" s="193">
        <f>X34/X32</f>
        <v>7.7157873633491983E-2</v>
      </c>
      <c r="Z46" s="193">
        <f>Z34/Z32</f>
        <v>7.7157873592803586E-2</v>
      </c>
      <c r="AB46" s="193">
        <f>AB34/AB32</f>
        <v>7.7157873592104978E-2</v>
      </c>
      <c r="AD46" s="193">
        <f>AD34/AD32</f>
        <v>7.7157873022086335E-2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1.0164990207312847</v>
      </c>
      <c r="E48" s="191"/>
      <c r="F48" s="191">
        <f>F24/$B$24</f>
        <v>1.0331011501444283</v>
      </c>
      <c r="G48" s="191"/>
      <c r="H48" s="191">
        <f>H24/$B$24</f>
        <v>1.0498458906396617</v>
      </c>
      <c r="I48" s="191"/>
      <c r="J48" s="191">
        <f>J24/$B$24</f>
        <v>1.0667804469311677</v>
      </c>
      <c r="K48" s="191"/>
      <c r="L48" s="191">
        <f>L24/$B$24</f>
        <v>1.0839655753598916</v>
      </c>
      <c r="M48" s="191"/>
      <c r="N48" s="191">
        <f>N24/$B$24</f>
        <v>1.1014848836850708</v>
      </c>
      <c r="O48" s="191"/>
      <c r="P48" s="191">
        <f>P24/$B$24</f>
        <v>1.1194608359153373</v>
      </c>
      <c r="Q48" s="191"/>
      <c r="R48" s="191">
        <f>R24/$B$24</f>
        <v>1.1380816150904112</v>
      </c>
      <c r="S48" s="191"/>
      <c r="T48" s="191">
        <f>T24/$B$24</f>
        <v>1.1576486364452203</v>
      </c>
      <c r="U48" s="191"/>
      <c r="V48" s="191">
        <f>V24/$B$24</f>
        <v>1.178662155685481</v>
      </c>
      <c r="W48" s="191"/>
      <c r="X48" s="191">
        <f>X24/$B$24</f>
        <v>1.201978505613799</v>
      </c>
      <c r="Y48" s="191"/>
      <c r="Z48" s="191">
        <f>Z24/$B$24</f>
        <v>1.2290939805550234</v>
      </c>
      <c r="AA48" s="191"/>
      <c r="AB48" s="191">
        <f>AB24/$B$24</f>
        <v>1.2625927573632072</v>
      </c>
      <c r="AC48" s="191"/>
      <c r="AD48" s="191">
        <f>AD24/$B$24</f>
        <v>1.3064984465800014</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0.95258421027298856</v>
      </c>
      <c r="E49" s="191"/>
      <c r="F49" s="191">
        <f>F13/F35/$B$13*$B$35</f>
        <v>0.9043464202109569</v>
      </c>
      <c r="G49" s="191"/>
      <c r="H49" s="191">
        <f>H13/H35/$B$13*$B$35</f>
        <v>0.85511997155824893</v>
      </c>
      <c r="I49" s="191"/>
      <c r="J49" s="191">
        <f>J13/J35/$B$13*$B$35</f>
        <v>0.80470464697903288</v>
      </c>
      <c r="K49" s="191"/>
      <c r="L49" s="191">
        <f>L13/L35/$B$13*$B$35</f>
        <v>0.75284830877042785</v>
      </c>
      <c r="M49" s="191"/>
      <c r="N49" s="191">
        <f>N13/N35/$B$13*$B$35</f>
        <v>0.69921981559532731</v>
      </c>
      <c r="O49" s="191"/>
      <c r="P49" s="191">
        <f>P13/P35/$B$13*$B$35</f>
        <v>0.64336670353217318</v>
      </c>
      <c r="Q49" s="191"/>
      <c r="R49" s="191">
        <f>R13/R35/$B$13*$B$35</f>
        <v>0.58465016482309629</v>
      </c>
      <c r="S49" s="191"/>
      <c r="T49" s="191">
        <f>T13/T35/$B$13*$B$35</f>
        <v>0.52214382888897537</v>
      </c>
      <c r="U49" s="191"/>
      <c r="V49" s="191">
        <f>V13/V35/$B$13*$B$35</f>
        <v>0.45448097852447539</v>
      </c>
      <c r="W49" s="191"/>
      <c r="X49" s="191">
        <f>X13/X35/$B$13*$B$35</f>
        <v>0.3796492426732711</v>
      </c>
      <c r="Y49" s="191"/>
      <c r="Z49" s="191">
        <f>Z13/Z35/$B$13*$B$35</f>
        <v>0.29484655890411543</v>
      </c>
      <c r="AA49" s="191"/>
      <c r="AB49" s="191">
        <f>AB13/AB35/$B$13*$B$35</f>
        <v>0.19709475828652778</v>
      </c>
      <c r="AC49" s="191"/>
      <c r="AD49" s="191">
        <f>AD13/AD35/$B$13*$B$35</f>
        <v>8.7809314829792845E-2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-413805.81084740162</v>
      </c>
      <c r="F51" s="29">
        <f>F30-F10*F23</f>
        <v>-421904.77455758909</v>
      </c>
      <c r="H51" s="29">
        <f>H30-H10*H23</f>
        <v>-430160.70139848348</v>
      </c>
      <c r="J51" s="29">
        <f>J30-J10*J23</f>
        <v>-438606.48690728704</v>
      </c>
      <c r="L51" s="29">
        <f>L30-L10*L23</f>
        <v>-447287.77555821557</v>
      </c>
      <c r="N51" s="29">
        <f>N30-N10*N23</f>
        <v>-456270.56709515536</v>
      </c>
      <c r="P51" s="29">
        <f>P30-P10*P23</f>
        <v>-465655.54097256344</v>
      </c>
      <c r="R51" s="29">
        <f>R30-R10*R23</f>
        <v>-475601.04453529092</v>
      </c>
      <c r="T51" s="29">
        <f>T30-T10*T23</f>
        <v>-486364.86766968109</v>
      </c>
      <c r="V51" s="29">
        <f>V30-V10*V23</f>
        <v>-498380.2788115493</v>
      </c>
      <c r="X51" s="29">
        <f>X30-X10*X23</f>
        <v>-512399.30713768536</v>
      </c>
      <c r="Z51" s="29">
        <f>Z30-Z10*Z23</f>
        <v>-529764.37767464807</v>
      </c>
      <c r="AB51" s="29">
        <f>AB30-AB10*AB23</f>
        <v>-552885.20190605754</v>
      </c>
      <c r="AD51" s="29">
        <f>AD30-AD10*AD23</f>
        <v>-585829.39386935951</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2010805.6826332379</v>
      </c>
      <c r="F52" s="29">
        <f t="array" ref="F52">Calibration!sL*SUM(F13:G13*F26:G26)</f>
        <v>1968833.8968613422</v>
      </c>
      <c r="H52" s="29">
        <f t="array" ref="H52">Calibration!sL*SUM(H13:I13*H26:I26)</f>
        <v>1922917.4757437003</v>
      </c>
      <c r="J52" s="29">
        <f t="array" ref="J52">Calibration!sL*SUM(J13:K13*J26:K26)</f>
        <v>1872534.3434691757</v>
      </c>
      <c r="L52" s="29">
        <f t="array" ref="L52">Calibration!sL*SUM(L13:M13*L26:M26)</f>
        <v>1817008.8092671011</v>
      </c>
      <c r="N52" s="29">
        <f t="array" ref="N52">Calibration!sL*SUM(N13:O13*N26:O26)</f>
        <v>1755436.1709623889</v>
      </c>
      <c r="P52" s="29">
        <f t="array" ref="P52">Calibration!sL*SUM(P13:Q13*P26:Q26)</f>
        <v>1686556.54192535</v>
      </c>
      <c r="R52" s="29">
        <f t="array" ref="R52">Calibration!sL*SUM(R13:S13*R26:S26)</f>
        <v>1608536.6295214605</v>
      </c>
      <c r="T52" s="29">
        <f t="array" ref="T52">Calibration!sL*SUM(T13:U13*T26:U26)</f>
        <v>1518576.8853558798</v>
      </c>
      <c r="V52" s="29">
        <f t="array" ref="V52">Calibration!sL*SUM(V13:W13*V26:W26)</f>
        <v>1412172.2815489846</v>
      </c>
      <c r="X52" s="29">
        <f t="array" ref="X52">Calibration!sL*SUM(X13:Y13*X26:Y26)</f>
        <v>1281654.8574787513</v>
      </c>
      <c r="Z52" s="29">
        <f t="array" ref="Z52">Calibration!sL*SUM(Z13:AA13*Z26:AA26)</f>
        <v>1113209.717205815</v>
      </c>
      <c r="AB52" s="29">
        <f t="array" ref="AB52">Calibration!sL*SUM(AB13:AC13*AB26:AC26)</f>
        <v>880769.01503677643</v>
      </c>
      <c r="AD52" s="29">
        <f t="array" ref="AD52">Calibration!sL*SUM(AD13:AE13*AD26:AE26)</f>
        <v>534818.41629185888</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2848086.6499643489</v>
      </c>
      <c r="F53" s="29">
        <f t="array" ref="F53">Calibration!sK*SUM(F15:G15*F27:G27)</f>
        <v>2959202.0249256459</v>
      </c>
      <c r="H53" s="29">
        <f t="array" ref="H53">Calibration!sK*SUM(H15:I15*H27:I27)</f>
        <v>3074602.6939602005</v>
      </c>
      <c r="J53" s="29">
        <f t="array" ref="J53">Calibration!sK*SUM(J15:K15*J27:K27)</f>
        <v>3194979.9811348426</v>
      </c>
      <c r="L53" s="29">
        <f t="array" ref="L53">Calibration!sK*SUM(L15:M15*L27:M27)</f>
        <v>3321257.809990495</v>
      </c>
      <c r="N53" s="29">
        <f t="array" ref="N53">Calibration!sK*SUM(N15:O15*N27:O27)</f>
        <v>3454726.2789342841</v>
      </c>
      <c r="P53" s="29">
        <f t="array" ref="P53">Calibration!sK*SUM(P15:Q15*P27:Q27)</f>
        <v>3597268.1816712073</v>
      </c>
      <c r="R53" s="29">
        <f t="array" ref="R53">Calibration!sK*SUM(R15:S15*R27:S27)</f>
        <v>3751745.9150949013</v>
      </c>
      <c r="T53" s="29">
        <f t="array" ref="T53">Calibration!sK*SUM(T15:U15*T27:U27)</f>
        <v>3922692.780403377</v>
      </c>
      <c r="V53" s="29">
        <f t="array" ref="V53">Calibration!sK*SUM(V15:W15*V27:W27)</f>
        <v>4117591.4474970349</v>
      </c>
      <c r="X53" s="29">
        <f t="array" ref="X53">Calibration!sK*SUM(X15:Y15*X27:Y27)</f>
        <v>4349327.184116723</v>
      </c>
      <c r="Z53" s="29">
        <f t="array" ref="Z53">Calibration!sK*SUM(Z15:AA15*Z27:AA27)</f>
        <v>4640986.4348510215</v>
      </c>
      <c r="AB53" s="29">
        <f t="array" ref="AB53">Calibration!sK*SUM(AB15:AC15*AB27:AC27)</f>
        <v>5034876.8339565573</v>
      </c>
      <c r="AD53" s="29">
        <f t="array" ref="AD53">Calibration!sK*SUM(AD15:AE15*AD27:AE27)</f>
        <v>5606165.3609628165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0.19834714504265305</v>
      </c>
      <c r="F55" s="193">
        <f>F30/F32</f>
        <v>0.19818760579391062</v>
      </c>
      <c r="H55" s="193">
        <f>H30/H32</f>
        <v>0.19802323220717605</v>
      </c>
      <c r="J55" s="193">
        <f>J30/J32</f>
        <v>0.1978529521420572</v>
      </c>
      <c r="L55" s="193">
        <f>L30/L32</f>
        <v>0.19767536318225684</v>
      </c>
      <c r="N55" s="193">
        <f>N30/N32</f>
        <v>0.19748859733445884</v>
      </c>
      <c r="P55" s="193">
        <f>P30/P32</f>
        <v>0.19729001147494615</v>
      </c>
      <c r="R55" s="193">
        <f>R30/R32</f>
        <v>0.19707575666889451</v>
      </c>
      <c r="T55" s="193">
        <f>T30/T32</f>
        <v>0.19683997173688494</v>
      </c>
      <c r="V55" s="193">
        <f>V30/V32</f>
        <v>0.19657335742005566</v>
      </c>
      <c r="X55" s="193">
        <f>X30/X32</f>
        <v>0.19626052815329706</v>
      </c>
      <c r="Z55" s="193">
        <f>Z30/Z32</f>
        <v>0.19587502101145812</v>
      </c>
      <c r="AB55" s="193">
        <f>AB30/AB32</f>
        <v>0.19537045293421712</v>
      </c>
      <c r="AD55" s="193">
        <f>AD30/AD32</f>
        <v>0.19466831737505766</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3.4273919327448762E-2</v>
      </c>
      <c r="F56" s="193">
        <f>(Model!$C$52*F5*F20+F2*G5*G20)/F32</f>
        <v>3.9452892590263883E-2</v>
      </c>
      <c r="H56" s="193">
        <f>(Model!$C$52*H5*H20+H2*I5*I20)/H32</f>
        <v>4.4786227197215971E-2</v>
      </c>
      <c r="J56" s="193">
        <f>(Model!$C$52*J5*J20+J2*K5*K20)/J32</f>
        <v>5.0308722030568818E-2</v>
      </c>
      <c r="L56" s="193">
        <f>(Model!$C$52*L5*L20+L2*M5*M20)/L32</f>
        <v>5.6065271628031196E-2</v>
      </c>
      <c r="N56" s="193">
        <f>(Model!$C$52*N5*N20+N2*O5*O20)/N32</f>
        <v>6.2116245442153668E-2</v>
      </c>
      <c r="P56" s="193">
        <f>(Model!$C$52*P5*P20+P2*Q5*Q20)/P32</f>
        <v>6.8546180338898893E-2</v>
      </c>
      <c r="R56" s="193">
        <f>(Model!$C$52*R5*R20+R2*S5*S20)/R32</f>
        <v>7.5478356243370057E-2</v>
      </c>
      <c r="T56" s="193">
        <f>(Model!$C$52*T5*T20+T2*U5*U20)/T32</f>
        <v>8.3100051143454826E-2</v>
      </c>
      <c r="V56" s="193">
        <f>(Model!$C$52*V5*V20+V2*W5*W20)/V32</f>
        <v>9.170796526799517E-2</v>
      </c>
      <c r="X56" s="193">
        <f>(Model!$C$52*X5*X20+X2*Y5*Y20)/X32</f>
        <v>0.10179259886808766</v>
      </c>
      <c r="Z56" s="193">
        <f>(Model!$C$52*Z5*Z20+Z2*AA5*AA20)/Z32</f>
        <v>0.11419676653268282</v>
      </c>
      <c r="AB56" s="193">
        <f>(Model!$C$52*AB5*AB20+AB2*AC5*AC20)/AB32</f>
        <v>0.13039739358551627</v>
      </c>
      <c r="AD56" s="193">
        <f>(Model!$C$52*AD5*AD20+AD2*AE5*AE20)/AD32</f>
        <v>0.15289364848795731</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0.15342157807411735</v>
      </c>
      <c r="F57" s="193">
        <f t="array" ref="F57">SUM(Model!tauL*F13:G13*F26:G26)/F32</f>
        <v>0.14818416908783066</v>
      </c>
      <c r="H57" s="193">
        <f t="array" ref="H57">SUM(Model!tauL*H13:I13*H26:I26)/H32</f>
        <v>0.1427881004884432</v>
      </c>
      <c r="J57" s="193">
        <f t="array" ref="J57">SUM(Model!tauL*J13:K13*J26:K26)/J32</f>
        <v>0.13719801371732515</v>
      </c>
      <c r="L57" s="193">
        <f t="array" ref="L57">SUM(Model!tauL*L13:M13*L26:M26)/L32</f>
        <v>0.131368161678627</v>
      </c>
      <c r="N57" s="193">
        <f t="array" ref="N57">SUM(Model!tauL*N13:O13*N26:O26)/N32</f>
        <v>0.12523689962028584</v>
      </c>
      <c r="P57" s="193">
        <f t="array" ref="P57">SUM(Model!tauL*P13:Q13*P26:Q26)/P32</f>
        <v>0.11871768644777801</v>
      </c>
      <c r="R57" s="193">
        <f t="array" ref="R57">SUM(Model!tauL*R13:S13*R26:S26)/R32</f>
        <v>0.11168407921472423</v>
      </c>
      <c r="T57" s="193">
        <f t="array" ref="T57">SUM(Model!tauL*T13:U13*T26:U26)/T32</f>
        <v>0.10394366716320615</v>
      </c>
      <c r="V57" s="193">
        <f t="array" ref="V57">SUM(Model!tauL*V13:W13*V26:W26)/V32</f>
        <v>9.5191205959367697E-2</v>
      </c>
      <c r="X57" s="193">
        <f t="array" ref="X57">SUM(Model!tauL*X13:Y13*X26:Y26)/X32</f>
        <v>8.4921552296882336E-2</v>
      </c>
      <c r="Y57" s="193"/>
      <c r="Z57" s="193">
        <f t="array" ref="Z57">SUM(Model!tauL*Z13:AA13*Z26:AA26)/Z32</f>
        <v>7.2266078165094089E-2</v>
      </c>
      <c r="AB57" s="193">
        <f t="array" ref="AB57">SUM(Model!tauL*AB13:AC13*AB26:AC26)/AB32</f>
        <v>5.5701921604913406E-2</v>
      </c>
      <c r="AD57" s="193">
        <f t="array" ref="AD57">SUM(Model!tauL*AD13:AE13*AD26:AE26)/AD32</f>
        <v>3.2651775020176875E-2</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1.065164764108693E-2</v>
      </c>
      <c r="F58" s="193">
        <f t="array" ref="F58">SUM(Model!tauY/(1+Model!tauY)*F3:G3*F18:G18)/F32</f>
        <v>1.0550544115816103E-2</v>
      </c>
      <c r="H58" s="193">
        <f t="array" ref="H58">SUM(Model!tauY/(1+Model!tauY)*H3:I3*H18:I18)/H32</f>
        <v>1.0448904521516852E-2</v>
      </c>
      <c r="J58" s="193">
        <f t="array" ref="J58">SUM(Model!tauY/(1+Model!tauY)*J3:K3*J18:K18)/J32</f>
        <v>1.0346216394163239E-2</v>
      </c>
      <c r="L58" s="193">
        <f t="array" ref="L58">SUM(Model!tauY/(1+Model!tauY)*L3:M3*L18:M18)/L32</f>
        <v>1.0241929875598644E-2</v>
      </c>
      <c r="N58" s="193">
        <f t="array" ref="N58">SUM(Model!tauY/(1+Model!tauY)*N3:O3*N18:O18)/N32</f>
        <v>1.0135452272019346E-2</v>
      </c>
      <c r="P58" s="193">
        <f t="array" ref="P58">SUM(Model!tauY/(1+Model!tauY)*P3:Q3*P18:Q18)/P32</f>
        <v>1.002614468826925E-2</v>
      </c>
      <c r="R58" s="193">
        <f t="array" ref="R58">SUM(Model!tauY/(1+Model!tauY)*R3:S3*R18:S18)/R32</f>
        <v>9.9133212108002064E-3</v>
      </c>
      <c r="T58" s="193">
        <f t="array" ref="T58">SUM(Model!tauY/(1+Model!tauY)*T3:U3*T18:U18)/T32</f>
        <v>9.7962534302239498E-3</v>
      </c>
      <c r="V58" s="193">
        <f t="array" ref="V58">SUM(Model!tauY/(1+Model!tauY)*V3:W3*V18:W18)/V32</f>
        <v>9.6741861926927866E-3</v>
      </c>
      <c r="X58" s="193">
        <f t="array" ref="X58">SUM(Model!tauY/(1+Model!tauY)*X3:Y3*X18:Y18)/X32</f>
        <v>9.5463769883270769E-3</v>
      </c>
      <c r="Y58" s="193"/>
      <c r="Z58" s="193">
        <f t="array" ref="Z58">SUM(Model!tauY/(1+Model!tauY)*Z3:AA3*Z18:AA18)/Z32</f>
        <v>9.4121763136812298E-3</v>
      </c>
      <c r="AB58" s="193">
        <f t="array" ref="AB58">SUM(Model!tauY/(1+Model!tauY)*AB3:AC3*AB18:AC18)/AB32</f>
        <v>9.2711377437874262E-3</v>
      </c>
      <c r="AD58" s="193">
        <f t="array" ref="AD58">SUM(Model!tauY/(1+Model!tauY)*AD3:AE3*AD18:AE18)/AD32</f>
        <v>9.122893866923474E-3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5.6767235573023907E-3</v>
      </c>
      <c r="F59" s="193">
        <f>(F2*G5*G20)/F32</f>
        <v>1.0927564399788915E-2</v>
      </c>
      <c r="H59" s="193">
        <f>(H2*I5*I20)/H32</f>
        <v>1.6332586144838377E-2</v>
      </c>
      <c r="J59" s="193">
        <f>(J2*K5*K20)/J32</f>
        <v>2.192684580914625E-2</v>
      </c>
      <c r="L59" s="193">
        <f>(L2*M5*M20)/L32</f>
        <v>2.7755562406419503E-2</v>
      </c>
      <c r="N59" s="193">
        <f>(N2*O5*O20)/N32</f>
        <v>3.3879544127111805E-2</v>
      </c>
      <c r="P59" s="193">
        <f>(P2*Q5*Q20)/P32</f>
        <v>4.0383958944465205E-2</v>
      </c>
      <c r="R59" s="193">
        <f>(R2*S5*S20)/R32</f>
        <v>4.7393043038450815E-2</v>
      </c>
      <c r="T59" s="193">
        <f>(T2*U5*U20)/T32</f>
        <v>5.5095588450082091E-2</v>
      </c>
      <c r="V59" s="193">
        <f>(V2*W5*W20)/V32</f>
        <v>6.3790788990408451E-2</v>
      </c>
      <c r="X59" s="193">
        <f>(X2*Y5*Y20)/X32</f>
        <v>7.3973402806116625E-2</v>
      </c>
      <c r="Z59" s="193">
        <f>(Z2*AA5*AA20)/Z32</f>
        <v>8.6493725529233928E-2</v>
      </c>
      <c r="AB59" s="193">
        <f>(AB2*AC5*AC20)/AB32</f>
        <v>0.10284186375133517</v>
      </c>
      <c r="AD59" s="193">
        <f>(AD2*AE5*AE20)/AD32</f>
        <v>0.1255386473284916</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2.8597195770146376E-2</v>
      </c>
      <c r="F60" s="193">
        <f>Model!$C$52*F5*F20/F32</f>
        <v>2.8525328190474972E-2</v>
      </c>
      <c r="H60" s="193">
        <f>Model!$C$52*H5*H20/H32</f>
        <v>2.8453641052377594E-2</v>
      </c>
      <c r="J60" s="193">
        <f>Model!$C$52*J5*J20/J32</f>
        <v>2.8381876221422565E-2</v>
      </c>
      <c r="L60" s="193">
        <f>Model!$C$52*L5*L20/L32</f>
        <v>2.830970922161169E-2</v>
      </c>
      <c r="N60" s="193">
        <f>Model!$C$52*N5*N20/N32</f>
        <v>2.8236701315041864E-2</v>
      </c>
      <c r="P60" s="193">
        <f>Model!$C$52*P5*P20/P32</f>
        <v>2.8162221394433685E-2</v>
      </c>
      <c r="R60" s="193">
        <f>Model!$C$52*R5*R20/R32</f>
        <v>2.8085313204919238E-2</v>
      </c>
      <c r="T60" s="193">
        <f>Model!$C$52*T5*T20/T32</f>
        <v>2.8004462693372738E-2</v>
      </c>
      <c r="V60" s="193">
        <f>Model!$C$52*V5*V20/V32</f>
        <v>2.7917176277586733E-2</v>
      </c>
      <c r="X60" s="193">
        <f>Model!$C$52*X5*X20/X32</f>
        <v>2.7819196061971019E-2</v>
      </c>
      <c r="Z60" s="193">
        <f>Model!$C$52*Z5*Z20/Z32</f>
        <v>2.7703041003448892E-2</v>
      </c>
      <c r="AB60" s="193">
        <f>Model!$C$52*AB5*AB20/AB32</f>
        <v>2.7555529834181119E-2</v>
      </c>
      <c r="AD60" s="193">
        <f>Model!$C$52*AD5*AD20/AD32</f>
        <v>2.7355001159465712E-2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0.91870429077914462</v>
      </c>
      <c r="F62">
        <f>F13/F15</f>
        <v>0.84160182716734411</v>
      </c>
      <c r="H62">
        <f>H13/H15</f>
        <v>0.76822618465540093</v>
      </c>
      <c r="J62">
        <f>J13/J15</f>
        <v>0.69813789744990051</v>
      </c>
      <c r="L62">
        <f>L13/L15</f>
        <v>0.63090354392826209</v>
      </c>
      <c r="N62">
        <f>N13/N15</f>
        <v>0.56607225758444002</v>
      </c>
      <c r="P62">
        <f>P13/P15</f>
        <v>0.50314514257979692</v>
      </c>
      <c r="R62">
        <f>R13/R15</f>
        <v>0.44153590307474339</v>
      </c>
      <c r="T62">
        <f>T13/T15</f>
        <v>0.38051843188568274</v>
      </c>
      <c r="V62">
        <f>V13/V15</f>
        <v>0.31916320278148869</v>
      </c>
      <c r="X62">
        <f>X13/X15</f>
        <v>0.25628731444089148</v>
      </c>
      <c r="Z62">
        <f>Z13/Z15</f>
        <v>0.19054212218952099</v>
      </c>
      <c r="AB62">
        <f>AB13/AB15</f>
        <v>0.12113293202336728</v>
      </c>
      <c r="AD62">
        <f>AD13/AD15</f>
        <v>5.0866876606983656E-2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0.9976803986721422</v>
      </c>
      <c r="E65" s="191"/>
      <c r="F65" s="191">
        <f t="array" ref="F65">SQRT((F9:G9*$B$22:$C$22+F10:G10*$B$23:$C$23+F11:G11*$B$24:$C$24+F4:G4*($B$25:$C$25-$B$19:$C$19))/($B$9:$C$9*$B$22:$C$22+$B$10:$C$10*$B$23:$C$23+$B$11:$C$11*$B$24:$C$24+$B$4:$C$4*($B$25:$C$25-$B$19:$C$19))*(F9:G9*F22:G22+F10:G10*F23:G23+F11:G11*F24:G24+F4:G4*(F25:G25-F19:G19))/($B$9:$C$9*F22:G22+$B$10:$C$10*F23:G23+$B$11:$C$11*F24:G24+$B$4:$C$4*(F25:G25-F19:G19)))</f>
        <v>0.99536529856605627</v>
      </c>
      <c r="G65" s="191"/>
      <c r="H65" s="191">
        <f t="array" ref="H65">SQRT((H9:I9*$B$22:$C$22+H10:I10*$B$23:$C$23+H11:I11*$B$24:$C$24+H4:I4*($B$25:$C$25-$B$19:$C$19))/($B$9:$C$9*$B$22:$C$22+$B$10:$C$10*$B$23:$C$23+$B$11:$C$11*$B$24:$C$24+$B$4:$C$4*($B$25:$C$25-$B$19:$C$19))*(H9:I9*H22:I22+H10:I10*H23:I23+H11:I11*H24:I24+H4:I4*(H25:I25-H19:I19))/($B$9:$C$9*H22:I22+$B$10:$C$10*H23:I23+$B$11:$C$11*H24:I24+$B$4:$C$4*(H25:I25-H19:I19)))</f>
        <v>0.99304156921383746</v>
      </c>
      <c r="I65" s="191"/>
      <c r="J65" s="191">
        <f t="array" ref="J65">SQRT((J9:K9*$B$22:$C$22+J10:K10*$B$23:$C$23+J11:K11*$B$24:$C$24+J4:K4*($B$25:$C$25-$B$19:$C$19))/($B$9:$C$9*$B$22:$C$22+$B$10:$C$10*$B$23:$C$23+$B$11:$C$11*$B$24:$C$24+$B$4:$C$4*($B$25:$C$25-$B$19:$C$19))*(J9:K9*J22:K22+J10:K10*J23:K23+J11:K11*J24:K24+J4:K4*(J25:K25-J19:K19))/($B$9:$C$9*J22:K22+$B$10:$C$10*J23:K23+$B$11:$C$11*J24:K24+$B$4:$C$4*(J25:K25-J19:K19)))</f>
        <v>0.99069762582141585</v>
      </c>
      <c r="K65" s="191"/>
      <c r="L65" s="191">
        <f t="array" ref="L65">SQRT((L9:M9*$B$22:$C$22+L10:M10*$B$23:$C$23+L11:M11*$B$24:$C$24+L4:M4*($B$25:$C$25-$B$19:$C$19))/($B$9:$C$9*$B$22:$C$22+$B$10:$C$10*$B$23:$C$23+$B$11:$C$11*$B$24:$C$24+$B$4:$C$4*($B$25:$C$25-$B$19:$C$19))*(L9:M9*L22:M22+L10:M10*L23:M23+L11:M11*L24:M24+L4:M4*(L25:M25-L19:M19))/($B$9:$C$9*L22:M22+$B$10:$C$10*L23:M23+$B$11:$C$11*L24:M24+$B$4:$C$4*(L25:M25-L19:M19)))</f>
        <v>0.98832457067133506</v>
      </c>
      <c r="M65" s="191"/>
      <c r="N65" s="191">
        <f t="array" ref="N65">SQRT((N9:O9*$B$22:$C$22+N10:O10*$B$23:$C$23+N11:O11*$B$24:$C$24+N4:O4*($B$25:$C$25-$B$19:$C$19))/($B$9:$C$9*$B$22:$C$22+$B$10:$C$10*$B$23:$C$23+$B$11:$C$11*$B$24:$C$24+$B$4:$C$4*($B$25:$C$25-$B$19:$C$19))*(N9:O9*N22:O22+N10:O10*N23:O23+N11:O11*N24:O24+N4:O4*(N25:O25-N19:O19))/($B$9:$C$9*N22:O22+$B$10:$C$10*N23:O23+$B$11:$C$11*N24:O24+$B$4:$C$4*(N25:O25-N19:O19)))</f>
        <v>0.98591806919574609</v>
      </c>
      <c r="O65" s="191"/>
      <c r="P65" s="191">
        <f t="array" ref="P65">SQRT((P9:Q9*$B$22:$C$22+P10:Q10*$B$23:$C$23+P11:Q11*$B$24:$C$24+P4:Q4*($B$25:$C$25-$B$19:$C$19))/($B$9:$C$9*$B$22:$C$22+$B$10:$C$10*$B$23:$C$23+$B$11:$C$11*$B$24:$C$24+$B$4:$C$4*($B$25:$C$25-$B$19:$C$19))*(P9:Q9*P22:Q22+P10:Q10*P23:Q23+P11:Q11*P24:Q24+P4:Q4*(P25:Q25-P19:Q19))/($B$9:$C$9*P22:Q22+$B$10:$C$10*P23:Q23+$B$11:$C$11*P24:Q24+$B$4:$C$4*(P25:Q25-P19:Q19)))</f>
        <v>0.98348143187604886</v>
      </c>
      <c r="Q65" s="191"/>
      <c r="R65" s="191">
        <f t="array" ref="R65">SQRT((R9:S9*$B$22:$C$22+R10:S10*$B$23:$C$23+R11:S11*$B$24:$C$24+R4:S4*($B$25:$C$25-$B$19:$C$19))/($B$9:$C$9*$B$22:$C$22+$B$10:$C$10*$B$23:$C$23+$B$11:$C$11*$B$24:$C$24+$B$4:$C$4*($B$25:$C$25-$B$19:$C$19))*(R9:S9*R22:S22+R10:S10*R23:S23+R11:S11*R24:S24+R4:S4*(R25:S25-R19:S19))/($B$9:$C$9*R22:S22+$B$10:$C$10*R23:S23+$B$11:$C$11*R24:S24+$B$4:$C$4*(R25:S25-R19:S19)))</f>
        <v>0.98103079822197092</v>
      </c>
      <c r="S65" s="191"/>
      <c r="T65" s="191">
        <f t="array" ref="T65">SQRT((T9:U9*$B$22:$C$22+T10:U10*$B$23:$C$23+T11:U11*$B$24:$C$24+T4:U4*($B$25:$C$25-$B$19:$C$19))/($B$9:$C$9*$B$22:$C$22+$B$10:$C$10*$B$23:$C$23+$B$11:$C$11*$B$24:$C$24+$B$4:$C$4*($B$25:$C$25-$B$19:$C$19))*(T9:U9*T22:U22+T10:U10*T23:U23+T11:U11*T24:U24+T4:U4*(T25:U25-T19:U19))/($B$9:$C$9*T22:U22+$B$10:$C$10*T23:U23+$B$11:$C$11*T24:U24+$B$4:$C$4*(T25:U25-T19:U19)))</f>
        <v>0.97860405346761004</v>
      </c>
      <c r="U65" s="191"/>
      <c r="V65" s="191">
        <f t="array" ref="V65">SQRT((V9:W9*$B$22:$C$22+V10:W10*$B$23:$C$23+V11:W11*$B$24:$C$24+V4:W4*($B$25:$C$25-$B$19:$C$19))/($B$9:$C$9*$B$22:$C$22+$B$10:$C$10*$B$23:$C$23+$B$11:$C$11*$B$24:$C$24+$B$4:$C$4*($B$25:$C$25-$B$19:$C$19))*(V9:W9*V22:W22+V10:W10*V23:W23+V11:W11*V24:W24+V4:W4*(V25:W25-V19:W19))/($B$9:$C$9*V22:W22+$B$10:$C$10*V23:W23+$B$11:$C$11*V24:W24+$B$4:$C$4*(V25:W25-V19:W19)))</f>
        <v>0.976276617556608</v>
      </c>
      <c r="W65" s="191"/>
      <c r="X65" s="191">
        <f t="array" ref="X65">SQRT((X9:Y9*$B$22:$C$22+X10:Y10*$B$23:$C$23+X11:Y11*$B$24:$C$24+X4:Y4*($B$25:$C$25-$B$19:$C$19))/($B$9:$C$9*$B$22:$C$22+$B$10:$C$10*$B$23:$C$23+$B$11:$C$11*$B$24:$C$24+$B$4:$C$4*($B$25:$C$25-$B$19:$C$19))*(X9:Y9*X22:Y22+X10:Y10*X23:Y23+X11:Y11*X24:Y24+X4:Y4*(X25:Y25-X19:Y19))/($B$9:$C$9*X22:Y22+$B$10:$C$10*X23:Y23+$B$11:$C$11*X24:Y24+$B$4:$C$4*(X25:Y25-X19:Y19)))</f>
        <v>0.97418977356998626</v>
      </c>
      <c r="Y65" s="191"/>
      <c r="Z65" s="191">
        <f t="array" ref="Z65">SQRT((Z9:AA9*$B$22:$C$22+Z10:AA10*$B$23:$C$23+Z11:AA11*$B$24:$C$24+Z4:AA4*($B$25:$C$25-$B$19:$C$19))/($B$9:$C$9*$B$22:$C$22+$B$10:$C$10*$B$23:$C$23+$B$11:$C$11*$B$24:$C$24+$B$4:$C$4*($B$25:$C$25-$B$19:$C$19))*(Z9:AA9*Z22:AA22+Z10:AA10*Z23:AA23+Z11:AA11*Z24:AA24+Z4:AA4*(Z25:AA25-Z19:AA19))/($B$9:$C$9*Z22:AA22+$B$10:$C$10*Z23:AA23+$B$11:$C$11*Z24:AA24+$B$4:$C$4*(Z25:AA25-Z19:AA19)))</f>
        <v>0.97259967447230911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0.97194572900787501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0.9728608501696504</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0.9974483900129999</v>
      </c>
      <c r="E66" s="191"/>
      <c r="F66" s="191">
        <f t="array" ref="F66">SQRT((F9:G9*$B$22:$C$22)/($B$9:$C$9*$B$22:$C$22)*(F9:G9*F22:G22)/($B$9:$C$9*F22:G22))</f>
        <v>0.99489709618413114</v>
      </c>
      <c r="G66" s="191"/>
      <c r="H66" s="191">
        <f t="array" ref="H66">SQRT((H9:I9*$B$22:$C$22)/($B$9:$C$9*$B$22:$C$22)*(H9:I9*H22:I22)/($B$9:$C$9*H22:I22))</f>
        <v>0.99233159220562761</v>
      </c>
      <c r="I66" s="191"/>
      <c r="J66" s="191">
        <f t="array" ref="J66">SQRT((J9:K9*$B$22:$C$22)/($B$9:$C$9*$B$22:$C$22)*(J9:K9*J22:K22)/($B$9:$C$9*J22:K22))</f>
        <v>0.98973894853076327</v>
      </c>
      <c r="K66" s="191"/>
      <c r="L66" s="191">
        <f t="array" ref="L66">SQRT((L9:M9*$B$22:$C$22)/($B$9:$C$9*$B$22:$C$22)*(L9:M9*L22:M22)/($B$9:$C$9*L22:M22))</f>
        <v>0.98710911131580614</v>
      </c>
      <c r="M66" s="191"/>
      <c r="N66" s="191">
        <f t="array" ref="N66">SQRT((N9:O9*$B$22:$C$22)/($B$9:$C$9*$B$22:$C$22)*(N9:O9*N22:O22)/($B$9:$C$9*N22:O22))</f>
        <v>0.98443701308030918</v>
      </c>
      <c r="O66" s="191"/>
      <c r="P66" s="191">
        <f t="array" ref="P66">SQRT((P9:Q9*$B$22:$C$22)/($B$9:$C$9*$B$22:$C$22)*(P9:Q9*P22:Q22)/($B$9:$C$9*P22:Q22))</f>
        <v>0.98172605390167711</v>
      </c>
      <c r="Q66" s="191"/>
      <c r="R66" s="191">
        <f t="array" ref="R66">SQRT((R9:S9*$B$22:$C$22)/($B$9:$C$9*$B$22:$C$22)*(R9:S9*R22:S22)/($B$9:$C$9*R22:S22))</f>
        <v>0.97899397665036159</v>
      </c>
      <c r="S66" s="191"/>
      <c r="T66" s="191">
        <f t="array" ref="T66">SQRT((T9:U9*$B$22:$C$22)/($B$9:$C$9*$B$22:$C$22)*(T9:U9*T22:U22)/($B$9:$C$9*T22:U22))</f>
        <v>0.97628299792426321</v>
      </c>
      <c r="U66" s="191"/>
      <c r="V66" s="191">
        <f t="array" ref="V66">SQRT((V9:W9*$B$22:$C$22)/($B$9:$C$9*$B$22:$C$22)*(V9:W9*V22:W22)/($B$9:$C$9*V22:W22))</f>
        <v>0.97367777018504831</v>
      </c>
      <c r="W66" s="191"/>
      <c r="X66" s="191">
        <f t="array" ref="X66">SQRT((X9:Y9*$B$22:$C$22)/($B$9:$C$9*$B$22:$C$22)*(X9:Y9*X22:Y22)/($B$9:$C$9*X22:Y22))</f>
        <v>0.9713376050386977</v>
      </c>
      <c r="Y66" s="191"/>
      <c r="Z66" s="191">
        <f t="array" ref="Z66">SQRT((Z9:AA9*$B$22:$C$22)/($B$9:$C$9*$B$22:$C$22)*(Z9:AA9*Z22:AA22)/($B$9:$C$9*Z22:AA22))</f>
        <v>0.9695520987457108</v>
      </c>
      <c r="AA66" s="191"/>
      <c r="AB66" s="191">
        <f t="array" ref="AB66">SQRT((AB9:AC9*$B$22:$C$22)/($B$9:$C$9*$B$22:$C$22)*(AB9:AC9*AB22:AC22)/($B$9:$C$9*AB22:AC22))</f>
        <v>0.9688182181490731</v>
      </c>
      <c r="AC66" s="191"/>
      <c r="AD66" s="191">
        <f t="array" ref="AD66">SQRT((AD9:AE9*$B$22:$C$22)/($B$9:$C$9*$B$22:$C$22)*(AD9:AE9*AD22:AE22)/($B$9:$C$9*AD22:AE22))</f>
        <v>0.96984962201247837</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0.9974483900129999</v>
      </c>
      <c r="E68" s="191"/>
      <c r="F68" s="191">
        <f>F66/F67</f>
        <v>0.99489709618413114</v>
      </c>
      <c r="G68" s="191"/>
      <c r="H68" s="191">
        <f>H66/H67</f>
        <v>0.99233159220562761</v>
      </c>
      <c r="I68" s="191"/>
      <c r="J68" s="191">
        <f>J66/J67</f>
        <v>0.98973894853076327</v>
      </c>
      <c r="K68" s="191"/>
      <c r="L68" s="191">
        <f>L66/L67</f>
        <v>0.98710911131580614</v>
      </c>
      <c r="M68" s="191"/>
      <c r="N68" s="191">
        <f>N66/N67</f>
        <v>0.98443701308030918</v>
      </c>
      <c r="O68" s="191"/>
      <c r="P68" s="191">
        <f>P66/P67</f>
        <v>0.98172605390167711</v>
      </c>
      <c r="Q68" s="191"/>
      <c r="R68" s="191">
        <f>R66/R67</f>
        <v>0.97899397665036159</v>
      </c>
      <c r="S68" s="191"/>
      <c r="T68" s="191">
        <f>T66/T67</f>
        <v>0.97628299792426321</v>
      </c>
      <c r="U68" s="191"/>
      <c r="V68" s="191">
        <f>V66/V67</f>
        <v>0.97367777018504831</v>
      </c>
      <c r="W68" s="191"/>
      <c r="X68" s="191">
        <f>X66/X67</f>
        <v>0.9713376050386977</v>
      </c>
      <c r="Y68" s="191"/>
      <c r="Z68" s="191">
        <f>Z66/Z67</f>
        <v>0.9695520987457108</v>
      </c>
      <c r="AA68" s="191"/>
      <c r="AB68" s="191">
        <f>AB66/AB67</f>
        <v>0.9688182181490731</v>
      </c>
      <c r="AC68" s="191"/>
      <c r="AD68" s="191">
        <f>AD66/AD67</f>
        <v>0.96984962201247837</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1.0162626369860721</v>
      </c>
      <c r="E69" s="191"/>
      <c r="F69" s="191">
        <f>F32/F65/($B$32)</f>
        <v>1.0326151990451831</v>
      </c>
      <c r="G69" s="191"/>
      <c r="H69" s="191">
        <f>H32/H65/($B$32)</f>
        <v>1.0490953012577875</v>
      </c>
      <c r="I69" s="191"/>
      <c r="J69" s="191">
        <f>J32/J65/($B$32)</f>
        <v>1.0657481462656486</v>
      </c>
      <c r="K69" s="191"/>
      <c r="L69" s="191">
        <f>L32/L65/($B$32)</f>
        <v>1.0826324949676196</v>
      </c>
      <c r="M69" s="191"/>
      <c r="N69" s="191">
        <f>N32/N65/($B$32)</f>
        <v>1.0998302220774019</v>
      </c>
      <c r="O69" s="191"/>
      <c r="P69" s="191">
        <f>P32/P65/($B$32)</f>
        <v>1.1174627536398758</v>
      </c>
      <c r="Q69" s="191"/>
      <c r="R69" s="191">
        <f>R32/R65/($B$32)</f>
        <v>1.1357187237929862</v>
      </c>
      <c r="S69" s="191"/>
      <c r="T69" s="191">
        <f>T32/T65/($B$32)</f>
        <v>1.1549029225525953</v>
      </c>
      <c r="U69" s="191"/>
      <c r="V69" s="191">
        <f>V32/V65/($B$32)</f>
        <v>1.1755245582338689</v>
      </c>
      <c r="W69" s="191"/>
      <c r="X69" s="191">
        <f>X32/X65/($B$32)</f>
        <v>1.1984594322696758</v>
      </c>
      <c r="Y69" s="191"/>
      <c r="Z69" s="191">
        <f>Z32/Z65/($B$32)</f>
        <v>1.2252426972032331</v>
      </c>
      <c r="AA69" s="191"/>
      <c r="AB69" s="191">
        <f>AB32/AB65/($B$32)</f>
        <v>1.2585300073137922</v>
      </c>
      <c r="AC69" s="191"/>
      <c r="AD69" s="191">
        <f>AD32/AD65/($B$32)</f>
        <v>1.3024545333715696</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1.0149749140745614</v>
      </c>
      <c r="E70" s="138"/>
      <c r="F70" s="138">
        <f>F18/$B$18</f>
        <v>1.0300195033573722</v>
      </c>
      <c r="G70" s="138"/>
      <c r="H70" s="138">
        <f>H18/$B$18</f>
        <v>1.045171581552691</v>
      </c>
      <c r="I70" s="138"/>
      <c r="J70" s="138">
        <f>J18/$B$18</f>
        <v>1.0604742710694202</v>
      </c>
      <c r="K70" s="138"/>
      <c r="L70" s="138">
        <f>L18/$B$18</f>
        <v>1.0759799051212884</v>
      </c>
      <c r="M70" s="138"/>
      <c r="N70" s="138">
        <f>N18/$B$18</f>
        <v>1.09175600042884</v>
      </c>
      <c r="O70" s="138"/>
      <c r="P70" s="138">
        <f>P18/$B$18</f>
        <v>1.1078956025361575</v>
      </c>
      <c r="Q70" s="138"/>
      <c r="R70" s="138">
        <f>R18/$B$18</f>
        <v>1.1245342768055016</v>
      </c>
      <c r="S70" s="138"/>
      <c r="T70" s="138">
        <f>T18/$B$18</f>
        <v>1.1418799151451515</v>
      </c>
      <c r="U70" s="138"/>
      <c r="V70" s="138">
        <f>V18/$B$18</f>
        <v>1.1602655179598993</v>
      </c>
      <c r="W70" s="138"/>
      <c r="X70" s="138">
        <f>X18/$B$18</f>
        <v>1.1802438024464235</v>
      </c>
      <c r="Y70" s="138"/>
      <c r="Z70" s="138">
        <f>Z18/$B$18</f>
        <v>1.2027509885020127</v>
      </c>
      <c r="AA70" s="138"/>
      <c r="AB70" s="138">
        <f>AB18/$B$18</f>
        <v>1.2293411842260835</v>
      </c>
      <c r="AC70" s="138"/>
      <c r="AD70" s="138">
        <f>AD18/$B$18</f>
        <v>1.2622729492891231</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0.91828605055179369</v>
      </c>
      <c r="E71" s="138"/>
      <c r="F71" s="138">
        <f>G18/$C$18</f>
        <v>0.83701328219126947</v>
      </c>
      <c r="G71" s="138"/>
      <c r="H71" s="138">
        <f>I18/$C$18</f>
        <v>0.75620409845704062</v>
      </c>
      <c r="I71" s="138"/>
      <c r="J71" s="138">
        <f>K18/$C$18</f>
        <v>0.67592349467396462</v>
      </c>
      <c r="K71" s="138"/>
      <c r="L71" s="138">
        <f>M18/$C$18</f>
        <v>0.59629820451461524</v>
      </c>
      <c r="M71" s="138"/>
      <c r="N71" s="138">
        <f>O18/$C$18</f>
        <v>0.5175419991935154</v>
      </c>
      <c r="O71" s="138"/>
      <c r="P71" s="138">
        <f>Q18/$C$18</f>
        <v>0.43999217193903212</v>
      </c>
      <c r="Q71" s="138"/>
      <c r="R71" s="138">
        <f>S18/$C$18</f>
        <v>0.36416224549308657</v>
      </c>
      <c r="S71" s="138"/>
      <c r="T71" s="138">
        <f>U18/$C$18</f>
        <v>0.29081975932321286</v>
      </c>
      <c r="U71" s="138"/>
      <c r="V71" s="138">
        <f>W18/$C$18</f>
        <v>0.22110196768357185</v>
      </c>
      <c r="W71" s="138"/>
      <c r="X71" s="138">
        <f>Y18/$C$18</f>
        <v>0.1566833293341284</v>
      </c>
      <c r="Y71" s="138"/>
      <c r="Z71" s="138">
        <f>AA18/$C$18</f>
        <v>9.9982323314830562E-2</v>
      </c>
      <c r="AA71" s="138"/>
      <c r="AB71" s="138">
        <f>AC18/$C$18</f>
        <v>5.424694919453555E-2</v>
      </c>
      <c r="AC71" s="138"/>
      <c r="AD71" s="138">
        <f>AE18/$C$18</f>
        <v>2.2848516321841428E-2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1.0697811969132407</v>
      </c>
      <c r="E72" s="138"/>
      <c r="F72" s="138">
        <f>G19/$C$19</f>
        <v>1.1470285979634944</v>
      </c>
      <c r="G72" s="138"/>
      <c r="H72" s="138">
        <f>I19/$C$19</f>
        <v>1.2325093845466362</v>
      </c>
      <c r="I72" s="138"/>
      <c r="J72" s="138">
        <f>K19/$C$19</f>
        <v>1.3269695803958117</v>
      </c>
      <c r="K72" s="138"/>
      <c r="L72" s="138">
        <f>M19/$C$19</f>
        <v>1.4310657198075396</v>
      </c>
      <c r="M72" s="138"/>
      <c r="N72" s="138">
        <f>O19/$C$19</f>
        <v>1.5452487399484509</v>
      </c>
      <c r="O72" s="138"/>
      <c r="P72" s="138">
        <f>Q19/$C$19</f>
        <v>1.6695687920527467</v>
      </c>
      <c r="Q72" s="138"/>
      <c r="R72" s="138">
        <f>S19/$C$19</f>
        <v>1.8033391336544664</v>
      </c>
      <c r="S72" s="138"/>
      <c r="T72" s="138">
        <f>U19/$C$19</f>
        <v>1.944542732555421</v>
      </c>
      <c r="U72" s="138"/>
      <c r="V72" s="138">
        <f>W19/$C$19</f>
        <v>2.0887518091142949</v>
      </c>
      <c r="W72" s="138"/>
      <c r="X72" s="138">
        <f>Y19/$C$19</f>
        <v>2.2271194778399197</v>
      </c>
      <c r="Y72" s="138"/>
      <c r="Z72" s="138">
        <f>AA19/$C$19</f>
        <v>2.3427101020252743</v>
      </c>
      <c r="AA72" s="138"/>
      <c r="AB72" s="138">
        <f>AC19/$C$19</f>
        <v>2.4047142440487943</v>
      </c>
      <c r="AC72" s="138"/>
      <c r="AD72" s="138">
        <f>AE19/$C$19</f>
        <v>2.3646020278857991</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0.47641153304042533</v>
      </c>
      <c r="E73" s="138"/>
      <c r="F73" s="193">
        <f t="array" ref="F73">SUM(F9:G9*F22:G22)/F32</f>
        <v>0.47641153283370513</v>
      </c>
      <c r="G73" s="138"/>
      <c r="H73" s="193">
        <f t="array" ref="H73">SUM(H9:I9*H22:I22)/H32</f>
        <v>0.47641153354836602</v>
      </c>
      <c r="I73" s="138"/>
      <c r="J73" s="193">
        <f t="array" ref="J73">SUM(J9:K9*J22:K22)/J32</f>
        <v>0.47641153423611543</v>
      </c>
      <c r="K73" s="138"/>
      <c r="L73" s="193">
        <f t="array" ref="L73">SUM(L9:M9*L22:M22)/L32</f>
        <v>0.47641153349681414</v>
      </c>
      <c r="M73" s="138"/>
      <c r="N73" s="193">
        <f t="array" ref="N73">SUM(N9:O9*N22:O22)/N32</f>
        <v>0.47641153381906154</v>
      </c>
      <c r="O73" s="138"/>
      <c r="P73" s="193">
        <f t="array" ref="P73">SUM(P9:Q9*P22:Q22)/P32</f>
        <v>0.476411533696316</v>
      </c>
      <c r="Q73" s="138"/>
      <c r="R73" s="193">
        <f t="array" ref="R73">SUM(R9:S9*R22:S22)/R32</f>
        <v>0.47641153364340072</v>
      </c>
      <c r="S73" s="138"/>
      <c r="T73" s="193">
        <f t="array" ref="T73">SUM(T9:U9*T22:U22)/T32</f>
        <v>0.47641153363237831</v>
      </c>
      <c r="U73" s="138"/>
      <c r="V73" s="193">
        <f t="array" ref="V73">SUM(V9:W9*V22:W22)/V32</f>
        <v>0.47641153353967097</v>
      </c>
      <c r="W73" s="138"/>
      <c r="X73" s="193">
        <f t="array" ref="X73">SUM(X9:Y9*X22:Y22)/X32</f>
        <v>0.47641153347103132</v>
      </c>
      <c r="Y73" s="138"/>
      <c r="Z73" s="193">
        <f t="array" ref="Z73">SUM(Z9:AA9*Z22:AA22)/Z32</f>
        <v>0.47641153351944815</v>
      </c>
      <c r="AA73" s="138"/>
      <c r="AB73" s="193">
        <f t="array" ref="AB73">SUM(AB9:AC9*AB22:AC22)/AB32</f>
        <v>0.47641153351159132</v>
      </c>
      <c r="AC73" s="138"/>
      <c r="AD73" s="193">
        <f t="array" ref="AD73">SUM(AD9:AE9*AD22:AE22)/AD32</f>
        <v>0.47641153409331877</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0.22604620456442487</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0.22038438808291885</v>
      </c>
      <c r="E75" s="138"/>
      <c r="F75" s="193">
        <f t="array" ref="F75">SUM(F11:G11*F24:G24)/F32</f>
        <v>0.22038438799781895</v>
      </c>
      <c r="G75" s="138"/>
      <c r="H75" s="193">
        <f t="array" ref="H75">SUM(H11:I11*H24:I24)/H32</f>
        <v>0.22038438833471072</v>
      </c>
      <c r="I75" s="138"/>
      <c r="J75" s="193">
        <f t="array" ref="J75">SUM(J11:K11*J24:K24)/J32</f>
        <v>0.22038438825468529</v>
      </c>
      <c r="K75" s="138"/>
      <c r="L75" s="193">
        <f t="array" ref="L75">SUM(L11:M11*L24:M24)/L32</f>
        <v>0.22038438833332494</v>
      </c>
      <c r="M75" s="138"/>
      <c r="N75" s="193">
        <f t="array" ref="N75">SUM(N11:O11*N24:O24)/N32</f>
        <v>0.22038438830234103</v>
      </c>
      <c r="O75" s="138"/>
      <c r="P75" s="193">
        <f t="array" ref="P75">SUM(P11:Q11*P24:Q24)/P32</f>
        <v>0.22038438831644763</v>
      </c>
      <c r="Q75" s="138"/>
      <c r="R75" s="193">
        <f t="array" ref="R75">SUM(R11:S11*R24:S24)/R32</f>
        <v>0.22038438832239818</v>
      </c>
      <c r="S75" s="138"/>
      <c r="T75" s="193">
        <f t="array" ref="T75">SUM(T11:U11*T24:U24)/T32</f>
        <v>0.22038438832416354</v>
      </c>
      <c r="U75" s="138"/>
      <c r="V75" s="193">
        <f t="array" ref="V75">SUM(V11:W11*V24:W24)/V32</f>
        <v>0.22038438832849461</v>
      </c>
      <c r="W75" s="138"/>
      <c r="X75" s="193">
        <f t="array" ref="X75">SUM(X11:Y11*X24:Y24)/X32</f>
        <v>0.22038438833105189</v>
      </c>
      <c r="Y75" s="138"/>
      <c r="Z75" s="193">
        <f t="array" ref="Z75">SUM(Z11:AA11*Z24:AA24)/Z32</f>
        <v>0.22038438832332352</v>
      </c>
      <c r="AA75" s="138"/>
      <c r="AB75" s="193">
        <f t="array" ref="AB75">SUM(AB11:AC11*AB24:AC24)/AB32</f>
        <v>0.22038438833187907</v>
      </c>
      <c r="AC75" s="138"/>
      <c r="AD75" s="193">
        <f t="array" ref="AD75">SUM(AD11:AE11*AD24:AE24)/AD32</f>
        <v>0.22038438832017013</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0.22335304540004178</v>
      </c>
      <c r="E76" s="138"/>
      <c r="F76" s="193">
        <f t="array" ref="F76">SUM(F12:G12*F25:G25)/F32</f>
        <v>0.22379341444880269</v>
      </c>
      <c r="G76" s="138"/>
      <c r="H76" s="193">
        <f t="array" ref="H76">SUM(H12:I12*H25:I25)/H32</f>
        <v>0.2243455046944223</v>
      </c>
      <c r="I76" s="138"/>
      <c r="J76" s="193">
        <f t="array" ref="J76">SUM(J12:K12*J25:K25)/J32</f>
        <v>0.22501393619138912</v>
      </c>
      <c r="K76" s="138"/>
      <c r="L76" s="193">
        <f t="array" ref="L76">SUM(L12:M12*L25:M25)/L32</f>
        <v>0.22580101758299784</v>
      </c>
      <c r="M76" s="138"/>
      <c r="N76" s="193">
        <f t="array" ref="N76">SUM(N12:O12*N25:O25)/N32</f>
        <v>0.22670462826457918</v>
      </c>
      <c r="O76" s="138"/>
      <c r="P76" s="193">
        <f t="array" ref="P76">SUM(P12:Q12*P25:Q25)/P32</f>
        <v>0.22771470689451107</v>
      </c>
      <c r="Q76" s="138"/>
      <c r="R76" s="193">
        <f t="array" ref="R76">SUM(R12:S12*R25:S25)/R32</f>
        <v>0.22880725930960785</v>
      </c>
      <c r="S76" s="138"/>
      <c r="T76" s="193">
        <f t="array" ref="T76">SUM(T12:U12*T25:U25)/T32</f>
        <v>0.22993390972027844</v>
      </c>
      <c r="U76" s="138"/>
      <c r="V76" s="193">
        <f t="array" ref="V76">SUM(V12:W12*V25:W25)/V32</f>
        <v>0.23100323573454079</v>
      </c>
      <c r="W76" s="138"/>
      <c r="X76" s="193">
        <f t="array" ref="X76">SUM(X12:Y12*X25:Y25)/X32</f>
        <v>0.23184718173251423</v>
      </c>
      <c r="Y76" s="138"/>
      <c r="Z76" s="193">
        <f t="array" ref="Z76">SUM(Z12:AA12*Z25:AA25)/Z32</f>
        <v>0.2321631453007213</v>
      </c>
      <c r="AA76" s="138"/>
      <c r="AB76" s="193">
        <f t="array" ref="AB76">SUM(AB12:AC12*AB25:AC25)/AB32</f>
        <v>0.23143381578946232</v>
      </c>
      <c r="AC76" s="138"/>
      <c r="AD76" s="193">
        <f t="array" ref="AD76">SUM(AD12:AE12*AD25:AE25)/AD32</f>
        <v>0.22891337212703713</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0.14619517108781077</v>
      </c>
      <c r="E77" s="138"/>
      <c r="F77" s="193">
        <f t="array" ref="F77">SUM(F4:G4*F19:G19)/F32</f>
        <v>0.14663553984475144</v>
      </c>
      <c r="G77" s="138"/>
      <c r="H77" s="193">
        <f t="array" ref="H77">SUM(H4:I4*H19:I19)/H32</f>
        <v>0.14718763114192376</v>
      </c>
      <c r="I77" s="138"/>
      <c r="J77" s="193">
        <f t="array" ref="J77">SUM(J4:K4*J19:K19)/J32</f>
        <v>0.14785606324661446</v>
      </c>
      <c r="K77" s="138"/>
      <c r="L77" s="193">
        <f t="array" ref="L77">SUM(L4:M4*L19:M19)/L32</f>
        <v>0.14864314397756173</v>
      </c>
      <c r="M77" s="138"/>
      <c r="N77" s="193">
        <f t="array" ref="N77">SUM(N4:O4*N19:O19)/N32</f>
        <v>0.14954675495040648</v>
      </c>
      <c r="O77" s="138"/>
      <c r="P77" s="193">
        <f t="array" ref="P77">SUM(P4:Q4*P19:Q19)/P32</f>
        <v>0.15055683347169935</v>
      </c>
      <c r="Q77" s="138"/>
      <c r="R77" s="193">
        <f t="array" ref="R77">SUM(R4:S4*R19:S19)/R32</f>
        <v>0.15164938583983142</v>
      </c>
      <c r="S77" s="138"/>
      <c r="T77" s="193">
        <f t="array" ref="T77">SUM(T4:U4*T19:U19)/T32</f>
        <v>0.15277603624124492</v>
      </c>
      <c r="U77" s="138"/>
      <c r="V77" s="193">
        <f t="array" ref="V77">SUM(V4:W4*V19:W19)/V32</f>
        <v>0.15384536216713107</v>
      </c>
      <c r="W77" s="138"/>
      <c r="X77" s="193">
        <f t="array" ref="X77">SUM(X4:Y4*X19:Y19)/X32</f>
        <v>0.15468930809902223</v>
      </c>
      <c r="Y77" s="138"/>
      <c r="Z77" s="193">
        <f t="array" ref="Z77">SUM(Z4:AA4*Z19:AA19)/Z32</f>
        <v>0.15500527170791772</v>
      </c>
      <c r="AA77" s="138"/>
      <c r="AB77" s="193">
        <f t="array" ref="AB77">SUM(AB4:AC4*AB19:AC19)/AB32</f>
        <v>0.15427594219735735</v>
      </c>
      <c r="AC77" s="138"/>
      <c r="AD77" s="193">
        <f t="array" ref="AD77">SUM(AD4:AE4*AD19:AE19)/AD32</f>
        <v>0.15175549910495076</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0.33571209674252089</v>
      </c>
      <c r="E78" s="138"/>
      <c r="F78" s="193">
        <f t="array" ref="F78">SUM(F13:G13*F26:G26)/F32</f>
        <v>0.32425176909920189</v>
      </c>
      <c r="G78" s="138"/>
      <c r="H78" s="193">
        <f t="array" ref="H78">SUM(H13:I13*H26:I26)/H32</f>
        <v>0.31244426766161598</v>
      </c>
      <c r="I78" s="138"/>
      <c r="J78" s="193">
        <f t="array" ref="J78">SUM(J13:K13*J26:K26)/J32</f>
        <v>0.30021222198419473</v>
      </c>
      <c r="K78" s="138"/>
      <c r="L78" s="193">
        <f t="array" ref="L78">SUM(L13:M13*L26:M26)/L32</f>
        <v>0.28745552976281419</v>
      </c>
      <c r="M78" s="138"/>
      <c r="N78" s="193">
        <f t="array" ref="N78">SUM(N13:O13*N26:O26)/N32</f>
        <v>0.27403930196016957</v>
      </c>
      <c r="O78" s="138"/>
      <c r="P78" s="193">
        <f t="array" ref="P78">SUM(P13:Q13*P26:Q26)/P32</f>
        <v>0.2597741721738186</v>
      </c>
      <c r="Q78" s="138"/>
      <c r="R78" s="193">
        <f t="array" ref="R78">SUM(R13:S13*R26:S26)/R32</f>
        <v>0.24438346206959111</v>
      </c>
      <c r="S78" s="138"/>
      <c r="T78" s="193">
        <f t="array" ref="T78">SUM(T13:U13*T26:U26)/T32</f>
        <v>0.22744614469816596</v>
      </c>
      <c r="U78" s="138"/>
      <c r="V78" s="193">
        <f t="array" ref="V78">SUM(V13:W13*V26:W26)/V32</f>
        <v>0.20829429435688807</v>
      </c>
      <c r="W78" s="138"/>
      <c r="X78" s="193">
        <f t="array" ref="X78">SUM(X13:Y13*X26:Y26)/X32</f>
        <v>0.18582257292675827</v>
      </c>
      <c r="Y78" s="138"/>
      <c r="Z78" s="193">
        <f t="array" ref="Z78">SUM(Z13:AA13*Z26:AA26)/Z32</f>
        <v>0.15813027690565434</v>
      </c>
      <c r="AA78" s="138"/>
      <c r="AB78" s="193">
        <f t="array" ref="AB78">SUM(AB13:AC13*AB26:AC26)/AB32</f>
        <v>0.12188512938863921</v>
      </c>
      <c r="AC78" s="138"/>
      <c r="AD78" s="193">
        <f t="array" ref="AD78">SUM(AD13:AE13*AD26:AE26)/AD32</f>
        <v>7.1447549894794737E-2</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0.46594075286926473</v>
      </c>
      <c r="F79" s="193">
        <f t="array" ref="F79">SUM(F15:G15*F27:G27)/F32</f>
        <v>0.47756061655102799</v>
      </c>
      <c r="H79" s="193">
        <f t="array" ref="H79">SUM(H15:I15*H27:I27)/H32</f>
        <v>0.48953250077931726</v>
      </c>
      <c r="J79" s="193">
        <f t="array" ref="J79">SUM(J15:K15*J27:K27)/J32</f>
        <v>0.50193482751640139</v>
      </c>
      <c r="L79" s="193">
        <f t="array" ref="L79">SUM(L15:M15*L27:M27)/L32</f>
        <v>0.5148691087837427</v>
      </c>
      <c r="N79" s="193">
        <f t="array" ref="N79">SUM(N15:O15*N27:O27)/N32</f>
        <v>0.52847210178772486</v>
      </c>
      <c r="P79" s="193">
        <f t="array" ref="P79">SUM(P15:Q15*P27:Q27)/P32</f>
        <v>0.54293581708250693</v>
      </c>
      <c r="R79" s="193">
        <f t="array" ref="R79">SUM(R15:S15*R27:S27)/R32</f>
        <v>0.55854078182991895</v>
      </c>
      <c r="T79" s="193">
        <f t="array" ref="T79">SUM(T15:U15*T27:U27)/T32</f>
        <v>0.57571388414210711</v>
      </c>
      <c r="V79" s="193">
        <f t="array" ref="V79">SUM(V15:W15*V27:W27)/V32</f>
        <v>0.59513234784915336</v>
      </c>
      <c r="X79" s="193">
        <f t="array" ref="X79">SUM(X15:Y15*X27:Y27)/X32</f>
        <v>0.6179168994281159</v>
      </c>
      <c r="Z79" s="193">
        <f t="array" ref="Z79">SUM(Z15:AA15*Z27:AA27)/Z32</f>
        <v>0.64599469897423967</v>
      </c>
      <c r="AB79" s="193">
        <f t="array" ref="AB79">SUM(AB15:AC15*AB27:AC27)/AB32</f>
        <v>0.68274441802838814</v>
      </c>
      <c r="AD79" s="193">
        <f t="array" ref="AD79">SUM(AD15:AE15*AD27:AE27)/AD32</f>
        <v>0.7338841409652247</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0.19834714504265305</v>
      </c>
      <c r="F80" s="236">
        <f>F55</f>
        <v>0.19818760579391062</v>
      </c>
      <c r="H80" s="236">
        <f>H55</f>
        <v>0.19802323220717605</v>
      </c>
      <c r="J80" s="236">
        <f>J55</f>
        <v>0.1978529521420572</v>
      </c>
      <c r="L80" s="236">
        <f>L55</f>
        <v>0.19767536318225684</v>
      </c>
      <c r="N80" s="236">
        <f>N55</f>
        <v>0.19748859733445884</v>
      </c>
      <c r="P80" s="236">
        <f>P55</f>
        <v>0.19729001147494615</v>
      </c>
      <c r="R80" s="236">
        <f>R55</f>
        <v>0.19707575666889451</v>
      </c>
      <c r="T80" s="236">
        <f>T55</f>
        <v>0.19683997173688494</v>
      </c>
      <c r="V80" s="236">
        <f>V55</f>
        <v>0.19657335742005566</v>
      </c>
      <c r="X80" s="236">
        <f>X55</f>
        <v>0.19626052815329706</v>
      </c>
      <c r="Z80" s="236">
        <f>Z55</f>
        <v>0.19587502101145812</v>
      </c>
      <c r="AB80" s="236">
        <f>AB55</f>
        <v>0.19537045293421712</v>
      </c>
      <c r="AD80" s="236">
        <f>AD55</f>
        <v>0.19466831737505766</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-2.7699059521771804E-2</v>
      </c>
      <c r="F81" s="236">
        <f>F51/F$32</f>
        <v>-2.785859877051422E-2</v>
      </c>
      <c r="H81" s="236">
        <f>H51/H$32</f>
        <v>-2.802297235724879E-2</v>
      </c>
      <c r="J81" s="236">
        <f>J51/J$32</f>
        <v>-2.819325242236765E-2</v>
      </c>
      <c r="L81" s="236">
        <f>L51/L$32</f>
        <v>-2.837084138216801E-2</v>
      </c>
      <c r="N81" s="236">
        <f>N51/N$32</f>
        <v>-2.8557607229966014E-2</v>
      </c>
      <c r="P81" s="236">
        <f>P51/P$32</f>
        <v>-2.8756193089478677E-2</v>
      </c>
      <c r="R81" s="236">
        <f>R51/R$32</f>
        <v>-2.8970447895530341E-2</v>
      </c>
      <c r="T81" s="236">
        <f>T51/T$32</f>
        <v>-2.9206232827539896E-2</v>
      </c>
      <c r="V81" s="236">
        <f>V51/V$32</f>
        <v>-2.9472847144369173E-2</v>
      </c>
      <c r="X81" s="236">
        <f>X51/X$32</f>
        <v>-2.9785676411127775E-2</v>
      </c>
      <c r="Z81" s="236">
        <f>Z51/Z$32</f>
        <v>-3.0171183552966708E-2</v>
      </c>
      <c r="AB81" s="236">
        <f>AB51/AB$32</f>
        <v>-3.0675751630207727E-2</v>
      </c>
      <c r="AD81" s="236">
        <f>AD51/AD$32</f>
        <v>-3.1377887189367203E-2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0.13459798009099122</v>
      </c>
      <c r="F82" s="236">
        <f>F52/F$32</f>
        <v>0.13000315921042355</v>
      </c>
      <c r="H82" s="236">
        <f>H52/H$32</f>
        <v>0.12526914497965413</v>
      </c>
      <c r="J82" s="236">
        <f>J52/J$32</f>
        <v>0.12036491705180444</v>
      </c>
      <c r="L82" s="236">
        <f>L52/L$32</f>
        <v>0.11525034113303088</v>
      </c>
      <c r="N82" s="236">
        <f>N52/N$32</f>
        <v>0.10987133578827697</v>
      </c>
      <c r="P82" s="236">
        <f>P52/P$32</f>
        <v>0.10415197782170571</v>
      </c>
      <c r="R82" s="236">
        <f>R52/R$32</f>
        <v>9.7981337823040901E-2</v>
      </c>
      <c r="T82" s="236">
        <f>T52/T$32</f>
        <v>9.1190612292222903E-2</v>
      </c>
      <c r="V82" s="236">
        <f>V52/V$32</f>
        <v>8.3512007928680868E-2</v>
      </c>
      <c r="X82" s="236">
        <f>X52/X$32</f>
        <v>7.4502358461141102E-2</v>
      </c>
      <c r="Z82" s="236">
        <f>Z52/Z$32</f>
        <v>6.3399609573956656E-2</v>
      </c>
      <c r="AB82" s="236">
        <f>AB52/AB$32</f>
        <v>4.8867742264951421E-2</v>
      </c>
      <c r="AD82" s="236">
        <f>AD52/AD$32</f>
        <v>2.8645663923350797E-2</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0.19064333939384437</v>
      </c>
      <c r="F83" s="236">
        <f>F53/F$32</f>
        <v>0.19539769840183216</v>
      </c>
      <c r="H83" s="236">
        <f>H53/H$32</f>
        <v>0.20029608939695931</v>
      </c>
      <c r="J83" s="236">
        <f>J53/J$32</f>
        <v>0.2053705993445249</v>
      </c>
      <c r="L83" s="236">
        <f>L53/L$32</f>
        <v>0.21066276268993001</v>
      </c>
      <c r="N83" s="236">
        <f>N53/N$32</f>
        <v>0.21622853472437986</v>
      </c>
      <c r="P83" s="236">
        <f>P53/P$32</f>
        <v>0.22214647808275523</v>
      </c>
      <c r="R83" s="236">
        <f>R53/R$32</f>
        <v>0.22853137266913751</v>
      </c>
      <c r="T83" s="236">
        <f>T53/T$32</f>
        <v>0.23555788312650097</v>
      </c>
      <c r="V83" s="236">
        <f>V53/V$32</f>
        <v>0.24350310093415684</v>
      </c>
      <c r="X83" s="236">
        <f>X53/X$32</f>
        <v>0.25282558018255064</v>
      </c>
      <c r="Z83" s="236">
        <f>Z53/Z$32</f>
        <v>0.26431383364684014</v>
      </c>
      <c r="AB83" s="236">
        <f>AB53/AB$32</f>
        <v>0.27935027147530861</v>
      </c>
      <c r="AD83" s="236">
        <f>AD53/AD$32</f>
        <v>0.30027449305566484</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3.2700247246584303E-2</v>
      </c>
      <c r="E2" s="227"/>
      <c r="F2" s="226">
        <v>6.0770453461181692E-2</v>
      </c>
      <c r="G2" s="227"/>
      <c r="H2" s="226">
        <v>8.9980309539193962E-2</v>
      </c>
      <c r="I2" s="227"/>
      <c r="J2" s="226">
        <v>0.12029589031905873</v>
      </c>
      <c r="K2" s="227"/>
      <c r="L2" s="226">
        <v>0.15163824321778269</v>
      </c>
      <c r="M2" s="227"/>
      <c r="N2" s="226">
        <v>0.18386361198041745</v>
      </c>
      <c r="O2" s="227"/>
      <c r="P2" s="226">
        <v>0.21674015067427413</v>
      </c>
      <c r="Q2" s="227"/>
      <c r="R2" s="226">
        <v>0.24991870569496261</v>
      </c>
      <c r="S2" s="227"/>
      <c r="T2" s="226">
        <v>0.28289901872395939</v>
      </c>
      <c r="U2" s="227"/>
      <c r="V2" s="226">
        <v>0.31498714385678389</v>
      </c>
      <c r="W2" s="227"/>
      <c r="X2" s="226">
        <v>0.34523655566153816</v>
      </c>
      <c r="Y2" s="227"/>
      <c r="Z2" s="226">
        <v>0.37229202933472877</v>
      </c>
      <c r="AA2" s="227"/>
      <c r="AB2" s="226">
        <v>0.39406865407931663</v>
      </c>
      <c r="AC2" s="227"/>
      <c r="AD2" s="226">
        <v>0.40881535512895384</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998.85493124924551</v>
      </c>
      <c r="E3" s="85">
        <v>1011.0908141379417</v>
      </c>
      <c r="F3" s="84">
        <v>997.71995984065074</v>
      </c>
      <c r="G3" s="85">
        <v>1022.3592538296732</v>
      </c>
      <c r="H3" s="84">
        <v>996.60081217585116</v>
      </c>
      <c r="I3" s="85">
        <v>1033.7703776728442</v>
      </c>
      <c r="J3" s="84">
        <v>995.50389249784143</v>
      </c>
      <c r="K3" s="85">
        <v>1045.2809578936005</v>
      </c>
      <c r="L3" s="84">
        <v>994.43590571887887</v>
      </c>
      <c r="M3" s="85">
        <v>1056.8399075449947</v>
      </c>
      <c r="N3" s="84">
        <v>993.40265821483854</v>
      </c>
      <c r="O3" s="85">
        <v>1068.3965587073201</v>
      </c>
      <c r="P3" s="84">
        <v>992.40661078998585</v>
      </c>
      <c r="Q3" s="85">
        <v>1079.9208446481873</v>
      </c>
      <c r="R3" s="84">
        <v>991.44142587005797</v>
      </c>
      <c r="S3" s="85">
        <v>1091.4547757012472</v>
      </c>
      <c r="T3" s="84">
        <v>990.47961658029362</v>
      </c>
      <c r="U3" s="85">
        <v>1103.2386247295315</v>
      </c>
      <c r="V3" s="84">
        <v>989.4423324103476</v>
      </c>
      <c r="W3" s="85">
        <v>1116.0348280327737</v>
      </c>
      <c r="X3" s="84">
        <v>988.11635007600285</v>
      </c>
      <c r="Y3" s="85">
        <v>1132.0520350908773</v>
      </c>
      <c r="Z3" s="84">
        <v>985.89078299294408</v>
      </c>
      <c r="AA3" s="85">
        <v>1158.0467893425105</v>
      </c>
      <c r="AB3" s="84">
        <v>980.94732223486199</v>
      </c>
      <c r="AC3" s="85">
        <v>1217.0086514798941</v>
      </c>
      <c r="AD3" s="84">
        <v>970.09423762656979</v>
      </c>
      <c r="AE3" s="85">
        <v>1387.2613140008157</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998.79808779125619</v>
      </c>
      <c r="E5" s="42">
        <v>1009.6418646863993</v>
      </c>
      <c r="F5" s="41">
        <v>997.60598503520646</v>
      </c>
      <c r="G5" s="42">
        <v>1019.237494922782</v>
      </c>
      <c r="H5" s="41">
        <v>996.42973209798333</v>
      </c>
      <c r="I5" s="42">
        <v>1028.7434398824421</v>
      </c>
      <c r="J5" s="41">
        <v>995.27609739544948</v>
      </c>
      <c r="K5" s="42">
        <v>1038.1123824105985</v>
      </c>
      <c r="L5" s="41">
        <v>994.15218273617484</v>
      </c>
      <c r="M5" s="42">
        <v>1047.2939401065094</v>
      </c>
      <c r="N5" s="41">
        <v>993.06415987851244</v>
      </c>
      <c r="O5" s="42">
        <v>1056.2425031713967</v>
      </c>
      <c r="P5" s="41">
        <v>992.01468743596922</v>
      </c>
      <c r="Q5" s="42">
        <v>1064.9322180130978</v>
      </c>
      <c r="R5" s="41">
        <v>990.9971496228261</v>
      </c>
      <c r="S5" s="42">
        <v>1073.3923488725407</v>
      </c>
      <c r="T5" s="41">
        <v>989.98259852845626</v>
      </c>
      <c r="U5" s="42">
        <v>1081.7884673935362</v>
      </c>
      <c r="V5" s="41">
        <v>988.88779286460181</v>
      </c>
      <c r="W5" s="42">
        <v>1090.620411796192</v>
      </c>
      <c r="X5" s="41">
        <v>987.48730903418334</v>
      </c>
      <c r="Y5" s="42">
        <v>1101.2539666126797</v>
      </c>
      <c r="Z5" s="41">
        <v>985.13424235796981</v>
      </c>
      <c r="AA5" s="42">
        <v>1117.5115172975445</v>
      </c>
      <c r="AB5" s="41">
        <v>979.89651938518477</v>
      </c>
      <c r="AC5" s="42">
        <v>1149.8598405475057</v>
      </c>
      <c r="AD5" s="41">
        <v>968.34332767926526</v>
      </c>
      <c r="AE5" s="42">
        <v>1212.1815817722731</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998.70639118064173</v>
      </c>
      <c r="E6" s="42">
        <v>1011.9614313562834</v>
      </c>
      <c r="F6" s="41">
        <v>997.42380883828287</v>
      </c>
      <c r="G6" s="42">
        <v>1024.0938492615383</v>
      </c>
      <c r="H6" s="41">
        <v>996.15873513102929</v>
      </c>
      <c r="I6" s="42">
        <v>1036.3597495587751</v>
      </c>
      <c r="J6" s="41">
        <v>994.91842633281328</v>
      </c>
      <c r="K6" s="42">
        <v>1048.7129916674678</v>
      </c>
      <c r="L6" s="41">
        <v>993.71048703580777</v>
      </c>
      <c r="M6" s="42">
        <v>1061.0992994106832</v>
      </c>
      <c r="N6" s="41">
        <v>992.54151330847685</v>
      </c>
      <c r="O6" s="42">
        <v>1073.4651438805474</v>
      </c>
      <c r="P6" s="41">
        <v>991.41432119281421</v>
      </c>
      <c r="Q6" s="42">
        <v>1085.7792572745841</v>
      </c>
      <c r="R6" s="41">
        <v>990.3217680918259</v>
      </c>
      <c r="S6" s="42">
        <v>1098.0873543098078</v>
      </c>
      <c r="T6" s="41">
        <v>989.23275377800769</v>
      </c>
      <c r="U6" s="42">
        <v>1110.646039107025</v>
      </c>
      <c r="V6" s="41">
        <v>988.05796526342965</v>
      </c>
      <c r="W6" s="42">
        <v>1124.2660573206369</v>
      </c>
      <c r="X6" s="41">
        <v>986.55572617039218</v>
      </c>
      <c r="Y6" s="42">
        <v>1141.2899514716039</v>
      </c>
      <c r="Z6" s="41">
        <v>984.03309993385415</v>
      </c>
      <c r="AA6" s="42">
        <v>1168.8643836200858</v>
      </c>
      <c r="AB6" s="41">
        <v>978.42424162984173</v>
      </c>
      <c r="AC6" s="42">
        <v>1231.1897165101284</v>
      </c>
      <c r="AD6" s="41">
        <v>966.08260391784415</v>
      </c>
      <c r="AE6" s="42">
        <v>1409.8647110486609</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1014.6906458884938</v>
      </c>
      <c r="E7" s="34">
        <v>1014.6906458884938</v>
      </c>
      <c r="F7" s="33">
        <v>1013.4795747718315</v>
      </c>
      <c r="G7" s="34">
        <v>1013.4795747718315</v>
      </c>
      <c r="H7" s="33">
        <v>1012.2846056712813</v>
      </c>
      <c r="I7" s="34">
        <v>1012.2846056712813</v>
      </c>
      <c r="J7" s="33">
        <v>1011.1126146995905</v>
      </c>
      <c r="K7" s="34">
        <v>1011.1126146995905</v>
      </c>
      <c r="L7" s="33">
        <v>1009.9708166670523</v>
      </c>
      <c r="M7" s="34">
        <v>1009.9708166670523</v>
      </c>
      <c r="N7" s="33">
        <v>1008.8654815350795</v>
      </c>
      <c r="O7" s="34">
        <v>1008.8654815350795</v>
      </c>
      <c r="P7" s="33">
        <v>1007.7993102201932</v>
      </c>
      <c r="Q7" s="34">
        <v>1007.7993102201932</v>
      </c>
      <c r="R7" s="33">
        <v>1006.7655816683921</v>
      </c>
      <c r="S7" s="34">
        <v>1006.7655816683921</v>
      </c>
      <c r="T7" s="33">
        <v>1005.7348873590853</v>
      </c>
      <c r="U7" s="34">
        <v>1005.7348873590853</v>
      </c>
      <c r="V7" s="33">
        <v>1004.6226614950615</v>
      </c>
      <c r="W7" s="34">
        <v>1004.6226614950615</v>
      </c>
      <c r="X7" s="33">
        <v>1003.1998936105272</v>
      </c>
      <c r="Y7" s="34">
        <v>1003.1998936105272</v>
      </c>
      <c r="Z7" s="33">
        <v>1000.8093856843599</v>
      </c>
      <c r="AA7" s="34">
        <v>1000.8093856843599</v>
      </c>
      <c r="AB7" s="33">
        <v>995.48832172638504</v>
      </c>
      <c r="AC7" s="34">
        <v>995.48832172638504</v>
      </c>
      <c r="AD7" s="33">
        <v>983.75129930168544</v>
      </c>
      <c r="AE7" s="34">
        <v>983.75129930168544</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1042.6574032921469</v>
      </c>
      <c r="E8" s="36">
        <v>1042.6574032921469</v>
      </c>
      <c r="F8" s="35">
        <v>1081.1770196738785</v>
      </c>
      <c r="G8" s="36">
        <v>1081.1770196738785</v>
      </c>
      <c r="H8" s="35">
        <v>1121.3100930394794</v>
      </c>
      <c r="I8" s="36">
        <v>1121.3100930394794</v>
      </c>
      <c r="J8" s="35">
        <v>1162.9930357039207</v>
      </c>
      <c r="K8" s="36">
        <v>1162.9930357039207</v>
      </c>
      <c r="L8" s="35">
        <v>1206.1037533168901</v>
      </c>
      <c r="M8" s="36">
        <v>1206.1037533168901</v>
      </c>
      <c r="N8" s="35">
        <v>1250.4470649317275</v>
      </c>
      <c r="O8" s="36">
        <v>1250.4470649317275</v>
      </c>
      <c r="P8" s="35">
        <v>1295.7457874031454</v>
      </c>
      <c r="Q8" s="36">
        <v>1295.7457874031454</v>
      </c>
      <c r="R8" s="35">
        <v>1341.6531754056416</v>
      </c>
      <c r="S8" s="36">
        <v>1341.6531754056416</v>
      </c>
      <c r="T8" s="35">
        <v>1387.8253632860633</v>
      </c>
      <c r="U8" s="36">
        <v>1387.8253632860633</v>
      </c>
      <c r="V8" s="35">
        <v>1434.1518203397841</v>
      </c>
      <c r="W8" s="36">
        <v>1434.1518203397841</v>
      </c>
      <c r="X8" s="35">
        <v>1481.4470929546478</v>
      </c>
      <c r="Y8" s="36">
        <v>1481.4470929546478</v>
      </c>
      <c r="Z8" s="35">
        <v>1533.5521478771791</v>
      </c>
      <c r="AA8" s="36">
        <v>1533.5521478771791</v>
      </c>
      <c r="AB8" s="35">
        <v>1602.9835602919188</v>
      </c>
      <c r="AC8" s="36">
        <v>1602.9835602919188</v>
      </c>
      <c r="AD8" s="35">
        <v>1707.7400256052822</v>
      </c>
      <c r="AE8" s="36">
        <v>1707.7400256052822</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1014.6906458884938</v>
      </c>
      <c r="E9" s="42">
        <v>1042.6574032921469</v>
      </c>
      <c r="F9" s="41">
        <v>1013.4795747718315</v>
      </c>
      <c r="G9" s="42">
        <v>1081.1770196738785</v>
      </c>
      <c r="H9" s="41">
        <v>1012.2846056712813</v>
      </c>
      <c r="I9" s="42">
        <v>1121.3100930394794</v>
      </c>
      <c r="J9" s="41">
        <v>1011.1126146995905</v>
      </c>
      <c r="K9" s="42">
        <v>1162.9930357039207</v>
      </c>
      <c r="L9" s="41">
        <v>1009.9708166670523</v>
      </c>
      <c r="M9" s="42">
        <v>1206.1037533168901</v>
      </c>
      <c r="N9" s="41">
        <v>1008.8654815350795</v>
      </c>
      <c r="O9" s="42">
        <v>1250.4470649317275</v>
      </c>
      <c r="P9" s="41">
        <v>1007.7993102201932</v>
      </c>
      <c r="Q9" s="42">
        <v>1295.7457874031454</v>
      </c>
      <c r="R9" s="41">
        <v>1006.7655816683921</v>
      </c>
      <c r="S9" s="42">
        <v>1341.6531754056416</v>
      </c>
      <c r="T9" s="41">
        <v>1005.7348873590853</v>
      </c>
      <c r="U9" s="42">
        <v>1387.8253632860633</v>
      </c>
      <c r="V9" s="41">
        <v>1004.6226614950615</v>
      </c>
      <c r="W9" s="42">
        <v>1434.1518203397841</v>
      </c>
      <c r="X9" s="41">
        <v>1003.1998936105272</v>
      </c>
      <c r="Y9" s="42">
        <v>1481.4470929546478</v>
      </c>
      <c r="Z9" s="41">
        <v>1000.8093856843599</v>
      </c>
      <c r="AA9" s="42">
        <v>1533.5521478771791</v>
      </c>
      <c r="AB9" s="41">
        <v>995.48832172638504</v>
      </c>
      <c r="AC9" s="42">
        <v>1602.9835602919188</v>
      </c>
      <c r="AD9" s="41">
        <v>983.75129930168544</v>
      </c>
      <c r="AE9" s="42">
        <v>1707.7400256052822</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1014.6906458884938</v>
      </c>
      <c r="E10" s="42">
        <v>1042.6574032921469</v>
      </c>
      <c r="F10" s="41">
        <v>1013.4795747718315</v>
      </c>
      <c r="G10" s="42">
        <v>1081.1770196738785</v>
      </c>
      <c r="H10" s="41">
        <v>1012.2846056712813</v>
      </c>
      <c r="I10" s="42">
        <v>1121.3100930394794</v>
      </c>
      <c r="J10" s="41">
        <v>1011.1126146995905</v>
      </c>
      <c r="K10" s="42">
        <v>1162.9930357039207</v>
      </c>
      <c r="L10" s="41">
        <v>1009.9708166670523</v>
      </c>
      <c r="M10" s="42">
        <v>1206.1037533168901</v>
      </c>
      <c r="N10" s="41">
        <v>1008.8654815350795</v>
      </c>
      <c r="O10" s="42">
        <v>1250.4470649317275</v>
      </c>
      <c r="P10" s="41">
        <v>1007.7993102201932</v>
      </c>
      <c r="Q10" s="42">
        <v>1295.7457874031454</v>
      </c>
      <c r="R10" s="41">
        <v>1006.7655816683921</v>
      </c>
      <c r="S10" s="42">
        <v>1341.6531754056416</v>
      </c>
      <c r="T10" s="41">
        <v>1005.7348873590853</v>
      </c>
      <c r="U10" s="42">
        <v>1387.8253632860633</v>
      </c>
      <c r="V10" s="41">
        <v>1004.6226614950615</v>
      </c>
      <c r="W10" s="42">
        <v>1434.1518203397841</v>
      </c>
      <c r="X10" s="41">
        <v>1003.1998936105272</v>
      </c>
      <c r="Y10" s="42">
        <v>1481.4470929546478</v>
      </c>
      <c r="Z10" s="41">
        <v>1000.8093856843599</v>
      </c>
      <c r="AA10" s="42">
        <v>1533.5521478771791</v>
      </c>
      <c r="AB10" s="41">
        <v>995.48832172638504</v>
      </c>
      <c r="AC10" s="42">
        <v>1602.9835602919188</v>
      </c>
      <c r="AD10" s="41">
        <v>983.75129930168544</v>
      </c>
      <c r="AE10" s="42">
        <v>1707.7400256052822</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1014.6906458884938</v>
      </c>
      <c r="E11" s="42">
        <v>1042.6574032921469</v>
      </c>
      <c r="F11" s="41">
        <v>1013.4795747718315</v>
      </c>
      <c r="G11" s="42">
        <v>1081.1770196738785</v>
      </c>
      <c r="H11" s="41">
        <v>1012.2846056712813</v>
      </c>
      <c r="I11" s="42">
        <v>1121.3100930394794</v>
      </c>
      <c r="J11" s="41">
        <v>1011.1126146995905</v>
      </c>
      <c r="K11" s="42">
        <v>1162.9930357039207</v>
      </c>
      <c r="L11" s="41">
        <v>1009.9708166670523</v>
      </c>
      <c r="M11" s="42">
        <v>1206.1037533168901</v>
      </c>
      <c r="N11" s="41">
        <v>1008.8654815350795</v>
      </c>
      <c r="O11" s="42">
        <v>1250.4470649317275</v>
      </c>
      <c r="P11" s="41">
        <v>1007.7993102201932</v>
      </c>
      <c r="Q11" s="42">
        <v>1295.7457874031454</v>
      </c>
      <c r="R11" s="41">
        <v>1006.7655816683921</v>
      </c>
      <c r="S11" s="42">
        <v>1341.6531754056416</v>
      </c>
      <c r="T11" s="41">
        <v>1005.7348873590853</v>
      </c>
      <c r="U11" s="42">
        <v>1387.8253632860633</v>
      </c>
      <c r="V11" s="41">
        <v>1004.6226614950615</v>
      </c>
      <c r="W11" s="42">
        <v>1434.1518203397841</v>
      </c>
      <c r="X11" s="41">
        <v>1003.1998936105272</v>
      </c>
      <c r="Y11" s="42">
        <v>1481.4470929546478</v>
      </c>
      <c r="Z11" s="41">
        <v>1000.8093856843599</v>
      </c>
      <c r="AA11" s="42">
        <v>1533.5521478771791</v>
      </c>
      <c r="AB11" s="41">
        <v>995.48832172638504</v>
      </c>
      <c r="AC11" s="42">
        <v>1602.9835602919188</v>
      </c>
      <c r="AD11" s="41">
        <v>983.75129930168544</v>
      </c>
      <c r="AE11" s="42">
        <v>1707.7400256052822</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1000.8378782618314</v>
      </c>
      <c r="E13" s="98">
        <v>1000.8378782618314</v>
      </c>
      <c r="F13" s="97">
        <v>1001.7283736772079</v>
      </c>
      <c r="G13" s="98">
        <v>1001.7283736772079</v>
      </c>
      <c r="H13" s="97">
        <v>1002.6744679507282</v>
      </c>
      <c r="I13" s="98">
        <v>1002.6744679507282</v>
      </c>
      <c r="J13" s="97">
        <v>1003.6780047962699</v>
      </c>
      <c r="K13" s="98">
        <v>1003.6780047962699</v>
      </c>
      <c r="L13" s="97">
        <v>1004.73875852452</v>
      </c>
      <c r="M13" s="98">
        <v>1004.73875852452</v>
      </c>
      <c r="N13" s="97">
        <v>1005.8527315721327</v>
      </c>
      <c r="O13" s="98">
        <v>1005.8527315721327</v>
      </c>
      <c r="P13" s="97">
        <v>1007.0095006465932</v>
      </c>
      <c r="Q13" s="98">
        <v>1007.0095006465932</v>
      </c>
      <c r="R13" s="97">
        <v>1008.1874884061334</v>
      </c>
      <c r="S13" s="98">
        <v>1008.1874884061334</v>
      </c>
      <c r="T13" s="97">
        <v>1009.3448618126528</v>
      </c>
      <c r="U13" s="98">
        <v>1009.3448618126528</v>
      </c>
      <c r="V13" s="97">
        <v>1010.3990519015175</v>
      </c>
      <c r="W13" s="98">
        <v>1010.3990519015175</v>
      </c>
      <c r="X13" s="97">
        <v>1011.1721822512618</v>
      </c>
      <c r="Y13" s="98">
        <v>1011.1721822512618</v>
      </c>
      <c r="Z13" s="97">
        <v>1011.2116378566725</v>
      </c>
      <c r="AA13" s="98">
        <v>1011.2116378566725</v>
      </c>
      <c r="AB13" s="97">
        <v>1009.1901890202555</v>
      </c>
      <c r="AC13" s="98">
        <v>1009.1901890202555</v>
      </c>
      <c r="AD13" s="97">
        <v>1002.5086420339863</v>
      </c>
      <c r="AE13" s="98">
        <v>1002.5086420339863</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1458.2242166428666</v>
      </c>
      <c r="E14" s="42">
        <v>1458.2242166428668</v>
      </c>
      <c r="F14" s="41">
        <v>1459.5216715131464</v>
      </c>
      <c r="G14" s="42">
        <v>1459.5216715131467</v>
      </c>
      <c r="H14" s="41">
        <v>1460.9001341101762</v>
      </c>
      <c r="I14" s="42">
        <v>1460.9001341101764</v>
      </c>
      <c r="J14" s="41">
        <v>1462.3622907313902</v>
      </c>
      <c r="K14" s="42">
        <v>1462.3622907313904</v>
      </c>
      <c r="L14" s="41">
        <v>1463.9078125466865</v>
      </c>
      <c r="M14" s="42">
        <v>1463.9078125466867</v>
      </c>
      <c r="N14" s="41">
        <v>1465.5308750925781</v>
      </c>
      <c r="O14" s="42">
        <v>1465.5308750925783</v>
      </c>
      <c r="P14" s="41">
        <v>1467.2162915961694</v>
      </c>
      <c r="Q14" s="42">
        <v>1467.2162915961696</v>
      </c>
      <c r="R14" s="41">
        <v>1468.9326237965988</v>
      </c>
      <c r="S14" s="42">
        <v>1468.932623796599</v>
      </c>
      <c r="T14" s="41">
        <v>1470.61892081407</v>
      </c>
      <c r="U14" s="42">
        <v>1470.6189208140702</v>
      </c>
      <c r="V14" s="41">
        <v>1472.1548793843003</v>
      </c>
      <c r="W14" s="42">
        <v>1472.1548793843006</v>
      </c>
      <c r="X14" s="41">
        <v>1473.2813329519618</v>
      </c>
      <c r="Y14" s="42">
        <v>1473.281332951962</v>
      </c>
      <c r="Z14" s="41">
        <v>1473.3388199041863</v>
      </c>
      <c r="AA14" s="42">
        <v>1473.3388199041865</v>
      </c>
      <c r="AB14" s="41">
        <v>1470.3935620257703</v>
      </c>
      <c r="AC14" s="42">
        <v>1470.3935620257705</v>
      </c>
      <c r="AD14" s="41">
        <v>1460.6585251815054</v>
      </c>
      <c r="AE14" s="42">
        <v>1460.6585251815056</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992.08024465914275</v>
      </c>
      <c r="E15" s="155">
        <v>992.08024465914275</v>
      </c>
      <c r="F15" s="154">
        <v>981.56563829531967</v>
      </c>
      <c r="G15" s="155">
        <v>981.56563829531967</v>
      </c>
      <c r="H15" s="154">
        <v>968.12122541817348</v>
      </c>
      <c r="I15" s="155">
        <v>968.12122541817348</v>
      </c>
      <c r="J15" s="154">
        <v>951.37066087232529</v>
      </c>
      <c r="K15" s="155">
        <v>951.37066087232529</v>
      </c>
      <c r="L15" s="154">
        <v>930.90205911422663</v>
      </c>
      <c r="M15" s="155">
        <v>930.90205911422663</v>
      </c>
      <c r="N15" s="154">
        <v>906.27508495918482</v>
      </c>
      <c r="O15" s="155">
        <v>906.27508495918482</v>
      </c>
      <c r="P15" s="154">
        <v>877.04486471598875</v>
      </c>
      <c r="Q15" s="155">
        <v>877.04486471598875</v>
      </c>
      <c r="R15" s="154">
        <v>842.80888096620845</v>
      </c>
      <c r="S15" s="155">
        <v>842.80888096620845</v>
      </c>
      <c r="T15" s="154">
        <v>803.30132742327999</v>
      </c>
      <c r="U15" s="155">
        <v>803.30132742327999</v>
      </c>
      <c r="V15" s="154">
        <v>758.58438580911468</v>
      </c>
      <c r="W15" s="155">
        <v>758.58438580911468</v>
      </c>
      <c r="X15" s="154">
        <v>709.50047777081602</v>
      </c>
      <c r="Y15" s="155">
        <v>709.50047777081602</v>
      </c>
      <c r="Z15" s="154">
        <v>658.89149993805734</v>
      </c>
      <c r="AA15" s="155">
        <v>658.89149993805734</v>
      </c>
      <c r="AB15" s="154">
        <v>614.83770170018761</v>
      </c>
      <c r="AC15" s="155">
        <v>614.83770170018761</v>
      </c>
      <c r="AD15" s="154">
        <v>588.13871902546941</v>
      </c>
      <c r="AE15" s="155">
        <v>588.13871902546941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997.27821365347279</v>
      </c>
      <c r="E16" s="42">
        <v>994.96777394170556</v>
      </c>
      <c r="F16" s="41">
        <v>994.52990707604954</v>
      </c>
      <c r="G16" s="42">
        <v>988.97425152049072</v>
      </c>
      <c r="H16" s="41">
        <v>991.76384621764782</v>
      </c>
      <c r="I16" s="42">
        <v>981.9587606096926</v>
      </c>
      <c r="J16" s="41">
        <v>988.9909920885749</v>
      </c>
      <c r="K16" s="42">
        <v>973.88123882043556</v>
      </c>
      <c r="L16" s="41">
        <v>986.22454721459428</v>
      </c>
      <c r="M16" s="42">
        <v>964.73829082259147</v>
      </c>
      <c r="N16" s="41">
        <v>983.47913165294972</v>
      </c>
      <c r="O16" s="42">
        <v>954.60298376190735</v>
      </c>
      <c r="P16" s="41">
        <v>980.76847099058534</v>
      </c>
      <c r="Q16" s="42">
        <v>943.69472011180972</v>
      </c>
      <c r="R16" s="41">
        <v>978.09935510859509</v>
      </c>
      <c r="S16" s="42">
        <v>932.52411079302499</v>
      </c>
      <c r="T16" s="41">
        <v>975.45677063584537</v>
      </c>
      <c r="U16" s="42">
        <v>922.2086989195526</v>
      </c>
      <c r="V16" s="41">
        <v>972.76628360217364</v>
      </c>
      <c r="W16" s="42">
        <v>915.24584082605952</v>
      </c>
      <c r="X16" s="41">
        <v>969.78964032207693</v>
      </c>
      <c r="Y16" s="42">
        <v>917.70472062666306</v>
      </c>
      <c r="Z16" s="41">
        <v>965.79929763852249</v>
      </c>
      <c r="AA16" s="42">
        <v>946.91372765723224</v>
      </c>
      <c r="AB16" s="41">
        <v>958.61832890544486</v>
      </c>
      <c r="AC16" s="42">
        <v>1063.5801148862856</v>
      </c>
      <c r="AD16" s="41">
        <v>944.66009946818804</v>
      </c>
      <c r="AE16" s="42">
        <v>1511.6715360060475</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998.90779423152685</v>
      </c>
      <c r="E17" s="36">
        <v>1017.1080733224408</v>
      </c>
      <c r="F17" s="35">
        <v>997.82595888871356</v>
      </c>
      <c r="G17" s="36">
        <v>1034.5144024765775</v>
      </c>
      <c r="H17" s="35">
        <v>996.75992475058342</v>
      </c>
      <c r="I17" s="36">
        <v>1052.1644775652633</v>
      </c>
      <c r="J17" s="35">
        <v>995.71576097164609</v>
      </c>
      <c r="K17" s="36">
        <v>1069.9905373719259</v>
      </c>
      <c r="L17" s="35">
        <v>994.69980151234722</v>
      </c>
      <c r="M17" s="36">
        <v>1087.9121775236013</v>
      </c>
      <c r="N17" s="35">
        <v>993.71751367391948</v>
      </c>
      <c r="O17" s="36">
        <v>1105.849445205552</v>
      </c>
      <c r="P17" s="35">
        <v>992.77117373837007</v>
      </c>
      <c r="Q17" s="36">
        <v>1123.754596136328</v>
      </c>
      <c r="R17" s="35">
        <v>991.85470217910461</v>
      </c>
      <c r="S17" s="36">
        <v>1141.6932526492726</v>
      </c>
      <c r="T17" s="35">
        <v>990.94197041697362</v>
      </c>
      <c r="U17" s="36">
        <v>1160.0433536259866</v>
      </c>
      <c r="V17" s="35">
        <v>989.9582169263856</v>
      </c>
      <c r="W17" s="36">
        <v>1180.0062742217892</v>
      </c>
      <c r="X17" s="35">
        <v>988.70157270992763</v>
      </c>
      <c r="Y17" s="36">
        <v>1205.0672495704564</v>
      </c>
      <c r="Z17" s="35">
        <v>986.59468588056711</v>
      </c>
      <c r="AA17" s="36">
        <v>1245.9144794453223</v>
      </c>
      <c r="AB17" s="35">
        <v>981.92521439119309</v>
      </c>
      <c r="AC17" s="36">
        <v>1339.0945479658742</v>
      </c>
      <c r="AD17" s="35">
        <v>971.72446797094221</v>
      </c>
      <c r="AE17" s="36">
        <v>1610.1195347296575</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27325.70214637047</v>
      </c>
      <c r="E18" s="34">
        <v>1151.5722610232542</v>
      </c>
      <c r="F18" s="33">
        <v>26736.551477407647</v>
      </c>
      <c r="G18" s="34">
        <v>1067.9309486496923</v>
      </c>
      <c r="H18" s="33">
        <v>26082.861402971113</v>
      </c>
      <c r="I18" s="34">
        <v>986.06701354339066</v>
      </c>
      <c r="J18" s="33">
        <v>25357.267931559218</v>
      </c>
      <c r="K18" s="34">
        <v>906.21789548653271</v>
      </c>
      <c r="L18" s="33">
        <v>24551.899382980893</v>
      </c>
      <c r="M18" s="34">
        <v>828.62158837065272</v>
      </c>
      <c r="N18" s="33">
        <v>23658.699556265405</v>
      </c>
      <c r="O18" s="34">
        <v>753.49562899585158</v>
      </c>
      <c r="P18" s="33">
        <v>22670.124881447031</v>
      </c>
      <c r="Q18" s="34">
        <v>680.99757411706582</v>
      </c>
      <c r="R18" s="33">
        <v>21580.49588148656</v>
      </c>
      <c r="S18" s="34">
        <v>611.15281406261215</v>
      </c>
      <c r="T18" s="33">
        <v>20388.653897276839</v>
      </c>
      <c r="U18" s="34">
        <v>543.71550012632133</v>
      </c>
      <c r="V18" s="33">
        <v>19103.493263340246</v>
      </c>
      <c r="W18" s="34">
        <v>477.87187017135557</v>
      </c>
      <c r="X18" s="33">
        <v>17757.333539850893</v>
      </c>
      <c r="Y18" s="34">
        <v>411.50330666694703</v>
      </c>
      <c r="Z18" s="33">
        <v>16444.186091842552</v>
      </c>
      <c r="AA18" s="34">
        <v>338.98066700537356</v>
      </c>
      <c r="AB18" s="33">
        <v>15427.440135443438</v>
      </c>
      <c r="AC18" s="34">
        <v>244.82338384563468</v>
      </c>
      <c r="AD18" s="33">
        <v>15091.085498709042</v>
      </c>
      <c r="AE18" s="34">
        <v>107.27361018675064</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1886.3937399999966</v>
      </c>
      <c r="C19" s="42">
        <v>262.78711299999406</v>
      </c>
      <c r="D19" s="41">
        <v>1840.3113871932117</v>
      </c>
      <c r="E19" s="42">
        <v>269.56686221773469</v>
      </c>
      <c r="F19" s="41">
        <v>1790.870974542094</v>
      </c>
      <c r="G19" s="42">
        <v>275.45429400008277</v>
      </c>
      <c r="H19" s="41">
        <v>1737.7283646780133</v>
      </c>
      <c r="I19" s="42">
        <v>280.20745128997237</v>
      </c>
      <c r="J19" s="41">
        <v>1680.5027395389948</v>
      </c>
      <c r="K19" s="42">
        <v>283.56268344615199</v>
      </c>
      <c r="L19" s="41">
        <v>1618.7828171096498</v>
      </c>
      <c r="M19" s="42">
        <v>285.24246525041229</v>
      </c>
      <c r="N19" s="41">
        <v>1552.1373874784031</v>
      </c>
      <c r="O19" s="42">
        <v>284.97797479473792</v>
      </c>
      <c r="P19" s="41">
        <v>1480.142701558432</v>
      </c>
      <c r="Q19" s="42">
        <v>282.54858857554746</v>
      </c>
      <c r="R19" s="41">
        <v>1402.4361333828529</v>
      </c>
      <c r="S19" s="42">
        <v>277.85822527448619</v>
      </c>
      <c r="T19" s="41">
        <v>1318.8221684267028</v>
      </c>
      <c r="U19" s="42">
        <v>271.08502357868673</v>
      </c>
      <c r="V19" s="41">
        <v>1229.4877334441167</v>
      </c>
      <c r="W19" s="42">
        <v>263.00439859988967</v>
      </c>
      <c r="X19" s="41">
        <v>1135.5052739809382</v>
      </c>
      <c r="Y19" s="42">
        <v>255.80939839144881</v>
      </c>
      <c r="Z19" s="41">
        <v>1040.1856453492992</v>
      </c>
      <c r="AA19" s="42">
        <v>255.67017210650786</v>
      </c>
      <c r="AB19" s="41">
        <v>952.49689402639331</v>
      </c>
      <c r="AC19" s="42">
        <v>281.0809220545529</v>
      </c>
      <c r="AD19" s="41">
        <v>882.82789186528953</v>
      </c>
      <c r="AE19" s="42">
        <v>367.50797352688392</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26024.703785342244</v>
      </c>
      <c r="E20" s="83">
        <v>1338.1147774499941</v>
      </c>
      <c r="F20" s="82">
        <v>25446.813341489273</v>
      </c>
      <c r="G20" s="83">
        <v>1267.6876838999945</v>
      </c>
      <c r="H20" s="82">
        <v>24808.497893644471</v>
      </c>
      <c r="I20" s="83">
        <v>1197.2605903499946</v>
      </c>
      <c r="J20" s="82">
        <v>24102.951045774535</v>
      </c>
      <c r="K20" s="83">
        <v>1126.8334967999949</v>
      </c>
      <c r="L20" s="82">
        <v>23322.891656564123</v>
      </c>
      <c r="M20" s="83">
        <v>1056.4064032499953</v>
      </c>
      <c r="N20" s="82">
        <v>22460.851553321681</v>
      </c>
      <c r="O20" s="83">
        <v>985.97930969999561</v>
      </c>
      <c r="P20" s="82">
        <v>21509.804824883031</v>
      </c>
      <c r="Q20" s="83">
        <v>915.55221614999596</v>
      </c>
      <c r="R20" s="82">
        <v>20464.388028246245</v>
      </c>
      <c r="S20" s="83">
        <v>845.12512259999642</v>
      </c>
      <c r="T20" s="82">
        <v>19323.299530216478</v>
      </c>
      <c r="U20" s="83">
        <v>774.69802904999653</v>
      </c>
      <c r="V20" s="82">
        <v>18094.285032234802</v>
      </c>
      <c r="W20" s="83">
        <v>704.27093549999688</v>
      </c>
      <c r="X20" s="82">
        <v>16806.154615206746</v>
      </c>
      <c r="Y20" s="83">
        <v>633.84384194999734</v>
      </c>
      <c r="Z20" s="82">
        <v>15542.987108912946</v>
      </c>
      <c r="AA20" s="83">
        <v>563.41674839999746</v>
      </c>
      <c r="AB20" s="82">
        <v>14539.450677144268</v>
      </c>
      <c r="AC20" s="83">
        <v>492.98965484999781</v>
      </c>
      <c r="AD20" s="82">
        <v>14130.706583307703</v>
      </c>
      <c r="AE20" s="83">
        <v>422.56256129999804</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24661.962530000055</v>
      </c>
      <c r="C21" s="83">
        <v>1145.7547579999855</v>
      </c>
      <c r="D21" s="82">
        <v>24184.398139884364</v>
      </c>
      <c r="E21" s="83">
        <v>1068.6670617668333</v>
      </c>
      <c r="F21" s="82">
        <v>23655.964604223875</v>
      </c>
      <c r="G21" s="83">
        <v>992.70244258293474</v>
      </c>
      <c r="H21" s="82">
        <v>23070.817666995375</v>
      </c>
      <c r="I21" s="83">
        <v>918.08520016545424</v>
      </c>
      <c r="J21" s="82">
        <v>22422.530051616992</v>
      </c>
      <c r="K21" s="83">
        <v>845.0521245144995</v>
      </c>
      <c r="L21" s="82">
        <v>21704.229866805465</v>
      </c>
      <c r="M21" s="83">
        <v>773.84425828389521</v>
      </c>
      <c r="N21" s="82">
        <v>20908.877878245905</v>
      </c>
      <c r="O21" s="83">
        <v>704.68548183648636</v>
      </c>
      <c r="P21" s="82">
        <v>20029.869635744933</v>
      </c>
      <c r="Q21" s="83">
        <v>637.7469977031169</v>
      </c>
      <c r="R21" s="82">
        <v>19062.202487392609</v>
      </c>
      <c r="S21" s="83">
        <v>573.08064580392443</v>
      </c>
      <c r="T21" s="82">
        <v>18004.769903446148</v>
      </c>
      <c r="U21" s="83">
        <v>510.49060502905394</v>
      </c>
      <c r="V21" s="82">
        <v>16865.13386962263</v>
      </c>
      <c r="W21" s="83">
        <v>449.26007454027217</v>
      </c>
      <c r="X21" s="82">
        <v>15671.044941824246</v>
      </c>
      <c r="Y21" s="83">
        <v>387.46827907853714</v>
      </c>
      <c r="Z21" s="82">
        <v>14503.316183276145</v>
      </c>
      <c r="AA21" s="83">
        <v>319.92977872350735</v>
      </c>
      <c r="AB21" s="82">
        <v>13587.827910152149</v>
      </c>
      <c r="AC21" s="83">
        <v>232.12351586308853</v>
      </c>
      <c r="AD21" s="82">
        <v>13249.95139293807</v>
      </c>
      <c r="AE21" s="83">
        <v>102.64430290039188</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6533.6044688320662</v>
      </c>
      <c r="C22" s="42">
        <v>379.90788307663394</v>
      </c>
      <c r="D22" s="41">
        <v>6406.537116890876</v>
      </c>
      <c r="E22" s="42">
        <v>364.15681825266211</v>
      </c>
      <c r="F22" s="41">
        <v>6265.8678143935967</v>
      </c>
      <c r="G22" s="42">
        <v>348.11223764715254</v>
      </c>
      <c r="H22" s="41">
        <v>6110.071282767618</v>
      </c>
      <c r="I22" s="42">
        <v>331.75398649566574</v>
      </c>
      <c r="J22" s="41">
        <v>5937.4719385385633</v>
      </c>
      <c r="K22" s="42">
        <v>315.06140592589605</v>
      </c>
      <c r="L22" s="41">
        <v>5746.2803836076773</v>
      </c>
      <c r="M22" s="42">
        <v>298.01526618442449</v>
      </c>
      <c r="N22" s="41">
        <v>5534.6639815145809</v>
      </c>
      <c r="O22" s="42">
        <v>280.60000423892319</v>
      </c>
      <c r="P22" s="41">
        <v>5300.9016066609083</v>
      </c>
      <c r="Q22" s="42">
        <v>262.80813237099932</v>
      </c>
      <c r="R22" s="41">
        <v>5043.682161330682</v>
      </c>
      <c r="S22" s="42">
        <v>244.64785569088335</v>
      </c>
      <c r="T22" s="41">
        <v>4762.6905545970276</v>
      </c>
      <c r="U22" s="42">
        <v>226.15751983479407</v>
      </c>
      <c r="V22" s="41">
        <v>4459.8227708711584</v>
      </c>
      <c r="W22" s="42">
        <v>207.43610436645412</v>
      </c>
      <c r="X22" s="41">
        <v>4142.1110680327602</v>
      </c>
      <c r="Y22" s="42">
        <v>188.71982093391486</v>
      </c>
      <c r="Z22" s="41">
        <v>3830.0253223238046</v>
      </c>
      <c r="AA22" s="42">
        <v>170.61131477251965</v>
      </c>
      <c r="AB22" s="41">
        <v>3580.4461037280284</v>
      </c>
      <c r="AC22" s="42">
        <v>154.73923165917407</v>
      </c>
      <c r="AD22" s="41">
        <v>3473.0337649572484</v>
      </c>
      <c r="AE22" s="42">
        <v>143.37048082331333</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3217.2992208458145</v>
      </c>
      <c r="E23" s="8">
        <v>0</v>
      </c>
      <c r="F23" s="116">
        <v>3149.2127933812321</v>
      </c>
      <c r="G23" s="8">
        <v>0</v>
      </c>
      <c r="H23" s="116">
        <v>3073.4498210026618</v>
      </c>
      <c r="I23" s="8">
        <v>0</v>
      </c>
      <c r="J23" s="116">
        <v>2989.1367787546051</v>
      </c>
      <c r="K23" s="8">
        <v>0</v>
      </c>
      <c r="L23" s="116">
        <v>2895.3375248983461</v>
      </c>
      <c r="M23" s="8">
        <v>0</v>
      </c>
      <c r="N23" s="116">
        <v>2791.0887525009703</v>
      </c>
      <c r="O23" s="8">
        <v>0</v>
      </c>
      <c r="P23" s="116">
        <v>2675.4790162607492</v>
      </c>
      <c r="Q23" s="8">
        <v>0</v>
      </c>
      <c r="R23" s="116">
        <v>2547.8021589901382</v>
      </c>
      <c r="S23" s="8">
        <v>0</v>
      </c>
      <c r="T23" s="116">
        <v>2407.8595043616178</v>
      </c>
      <c r="U23" s="8">
        <v>0</v>
      </c>
      <c r="V23" s="116">
        <v>2256.5871984849305</v>
      </c>
      <c r="W23" s="8">
        <v>0</v>
      </c>
      <c r="X23" s="116">
        <v>2097.5658153247086</v>
      </c>
      <c r="Y23" s="8">
        <v>0</v>
      </c>
      <c r="Z23" s="116">
        <v>1941.3003957062654</v>
      </c>
      <c r="AA23" s="8">
        <v>0</v>
      </c>
      <c r="AB23" s="116">
        <v>1817.0632107439142</v>
      </c>
      <c r="AC23" s="8">
        <v>0</v>
      </c>
      <c r="AD23" s="116">
        <v>1765.963294122329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3136.7149999547146</v>
      </c>
      <c r="E24" s="8">
        <v>0</v>
      </c>
      <c r="F24" s="97">
        <v>3070.3339545220847</v>
      </c>
      <c r="G24" s="8">
        <v>0</v>
      </c>
      <c r="H24" s="97">
        <v>2996.4686177365165</v>
      </c>
      <c r="I24" s="8">
        <v>0</v>
      </c>
      <c r="J24" s="97">
        <v>2914.2673778202902</v>
      </c>
      <c r="K24" s="8">
        <v>0</v>
      </c>
      <c r="L24" s="97">
        <v>2822.8175240611881</v>
      </c>
      <c r="M24" s="8">
        <v>0</v>
      </c>
      <c r="N24" s="97">
        <v>2721.1798907461703</v>
      </c>
      <c r="O24" s="8">
        <v>0</v>
      </c>
      <c r="P24" s="97">
        <v>2608.4658579079073</v>
      </c>
      <c r="Q24" s="8">
        <v>0</v>
      </c>
      <c r="R24" s="97">
        <v>2483.9869495475937</v>
      </c>
      <c r="S24" s="8">
        <v>0</v>
      </c>
      <c r="T24" s="97">
        <v>2347.5494500996006</v>
      </c>
      <c r="U24" s="8">
        <v>0</v>
      </c>
      <c r="V24" s="97">
        <v>2200.0660963640089</v>
      </c>
      <c r="W24" s="8">
        <v>0</v>
      </c>
      <c r="X24" s="97">
        <v>2045.0277399802501</v>
      </c>
      <c r="Y24" s="8">
        <v>0</v>
      </c>
      <c r="Z24" s="97">
        <v>1892.6763310836202</v>
      </c>
      <c r="AA24" s="8">
        <v>0</v>
      </c>
      <c r="AB24" s="97">
        <v>1771.5509315835313</v>
      </c>
      <c r="AC24" s="8">
        <v>0</v>
      </c>
      <c r="AD24" s="97">
        <v>1721.7309228526667</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3141.2993551769077</v>
      </c>
      <c r="E25" s="42">
        <v>82.894319409999056</v>
      </c>
      <c r="F25" s="41">
        <v>3080.5687141861758</v>
      </c>
      <c r="G25" s="42">
        <v>75.188256200293651</v>
      </c>
      <c r="H25" s="41">
        <v>3012.0043253056888</v>
      </c>
      <c r="I25" s="42">
        <v>67.900374339919821</v>
      </c>
      <c r="J25" s="41">
        <v>2934.6706294115679</v>
      </c>
      <c r="K25" s="42">
        <v>61.035212531761253</v>
      </c>
      <c r="L25" s="41">
        <v>2847.5695027755733</v>
      </c>
      <c r="M25" s="42">
        <v>54.594857888286775</v>
      </c>
      <c r="N25" s="41">
        <v>2749.6857605991136</v>
      </c>
      <c r="O25" s="42">
        <v>48.576887112348707</v>
      </c>
      <c r="P25" s="41">
        <v>2640.0821837501203</v>
      </c>
      <c r="Q25" s="42">
        <v>42.971015934360437</v>
      </c>
      <c r="R25" s="41">
        <v>2518.0835057190752</v>
      </c>
      <c r="S25" s="42">
        <v>37.753066197461706</v>
      </c>
      <c r="T25" s="41">
        <v>2383.6379969105978</v>
      </c>
      <c r="U25" s="42">
        <v>32.873557292373775</v>
      </c>
      <c r="V25" s="41">
        <v>2238.0750510350667</v>
      </c>
      <c r="W25" s="42">
        <v>28.233835217809748</v>
      </c>
      <c r="X25" s="41">
        <v>2085.9524881989769</v>
      </c>
      <c r="Y25" s="42">
        <v>23.629495780915693</v>
      </c>
      <c r="Z25" s="41">
        <v>1940.4283048163597</v>
      </c>
      <c r="AA25" s="42">
        <v>18.601014056229339</v>
      </c>
      <c r="AB25" s="41">
        <v>1838.8458709476276</v>
      </c>
      <c r="AC25" s="42">
        <v>12.164085661891015</v>
      </c>
      <c r="AD25" s="41">
        <v>1839.2275383484446</v>
      </c>
      <c r="AE25" s="42">
        <v>4.1019489432708598</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4858.0629112000743</v>
      </c>
      <c r="E26" s="34">
        <v>68.767005614638379</v>
      </c>
      <c r="F26" s="33">
        <v>4672.8892823588985</v>
      </c>
      <c r="G26" s="34">
        <v>62.874815187278401</v>
      </c>
      <c r="H26" s="33">
        <v>4480.3401932525994</v>
      </c>
      <c r="I26" s="34">
        <v>57.237975782535862</v>
      </c>
      <c r="J26" s="33">
        <v>4279.9860976736018</v>
      </c>
      <c r="K26" s="34">
        <v>51.865756694312132</v>
      </c>
      <c r="L26" s="33">
        <v>4071.4347540746571</v>
      </c>
      <c r="M26" s="34">
        <v>46.76603078247615</v>
      </c>
      <c r="N26" s="33">
        <v>3854.3951519339125</v>
      </c>
      <c r="O26" s="34">
        <v>41.944260435400359</v>
      </c>
      <c r="P26" s="33">
        <v>3628.7831736573157</v>
      </c>
      <c r="Q26" s="34">
        <v>37.400994887635441</v>
      </c>
      <c r="R26" s="33">
        <v>3394.9153828730218</v>
      </c>
      <c r="S26" s="34">
        <v>33.127723779990653</v>
      </c>
      <c r="T26" s="33">
        <v>3153.8767380469312</v>
      </c>
      <c r="U26" s="34">
        <v>29.098943617730356</v>
      </c>
      <c r="V26" s="33">
        <v>2908.304015025903</v>
      </c>
      <c r="W26" s="34">
        <v>25.25544935892362</v>
      </c>
      <c r="X26" s="33">
        <v>2664.3271276521677</v>
      </c>
      <c r="Y26" s="34">
        <v>21.463159312978778</v>
      </c>
      <c r="Z26" s="33">
        <v>2437.3816418460797</v>
      </c>
      <c r="AA26" s="34">
        <v>17.394133211700581</v>
      </c>
      <c r="AB26" s="33">
        <v>2268.709176325634</v>
      </c>
      <c r="AC26" s="34">
        <v>12.216633099729055</v>
      </c>
      <c r="AD26" s="33">
        <v>2215.7953169470352</v>
      </c>
      <c r="AE26" s="34">
        <v>5.0226388281471479</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6425.1981590000414</v>
      </c>
      <c r="C27" s="36">
        <v>273.22915400000028</v>
      </c>
      <c r="D27" s="35">
        <v>6441.2172281987841</v>
      </c>
      <c r="E27" s="36">
        <v>257.21021227939138</v>
      </c>
      <c r="F27" s="35">
        <v>6456.8804898999688</v>
      </c>
      <c r="G27" s="36">
        <v>241.54554689222394</v>
      </c>
      <c r="H27" s="35">
        <v>6472.1357542356873</v>
      </c>
      <c r="I27" s="36">
        <v>226.29206063369512</v>
      </c>
      <c r="J27" s="35">
        <v>6486.9135965198902</v>
      </c>
      <c r="K27" s="36">
        <v>211.51442337914159</v>
      </c>
      <c r="L27" s="35">
        <v>6501.1434979753603</v>
      </c>
      <c r="M27" s="36">
        <v>197.28626138192166</v>
      </c>
      <c r="N27" s="35">
        <v>6514.7407452252819</v>
      </c>
      <c r="O27" s="36">
        <v>183.68878495864374</v>
      </c>
      <c r="P27" s="35">
        <v>6527.6172497217403</v>
      </c>
      <c r="Q27" s="36">
        <v>170.80910907527814</v>
      </c>
      <c r="R27" s="35">
        <v>6539.6871997024882</v>
      </c>
      <c r="S27" s="36">
        <v>158.73489209895732</v>
      </c>
      <c r="T27" s="35">
        <v>6550.8894946376813</v>
      </c>
      <c r="U27" s="36">
        <v>147.54206001365787</v>
      </c>
      <c r="V27" s="35">
        <v>6561.1627473223498</v>
      </c>
      <c r="W27" s="36">
        <v>137.26128298969238</v>
      </c>
      <c r="X27" s="35">
        <v>6570.6541557624823</v>
      </c>
      <c r="Y27" s="36">
        <v>127.77393467551541</v>
      </c>
      <c r="Z27" s="35">
        <v>6580.0890556760696</v>
      </c>
      <c r="AA27" s="36">
        <v>118.3372598568663</v>
      </c>
      <c r="AB27" s="35">
        <v>6593.5112556543454</v>
      </c>
      <c r="AC27" s="36">
        <v>104.91607124381287</v>
      </c>
      <c r="AD27" s="35">
        <v>6628.7019782356319</v>
      </c>
      <c r="AE27" s="36">
        <v>69.72534372590269</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13511.123584868792</v>
      </c>
      <c r="E28" s="42">
        <v>357.24861564284538</v>
      </c>
      <c r="F28" s="41">
        <v>13230.408681786945</v>
      </c>
      <c r="G28" s="42">
        <v>332.52651058980894</v>
      </c>
      <c r="H28" s="41">
        <v>12917.531797549536</v>
      </c>
      <c r="I28" s="42">
        <v>308.25842105062662</v>
      </c>
      <c r="J28" s="41">
        <v>12568.717901140917</v>
      </c>
      <c r="K28" s="42">
        <v>284.50602606086358</v>
      </c>
      <c r="L28" s="41">
        <v>12179.914311199022</v>
      </c>
      <c r="M28" s="42">
        <v>261.33011968496447</v>
      </c>
      <c r="N28" s="41">
        <v>11746.949941006385</v>
      </c>
      <c r="O28" s="42">
        <v>238.78309300178515</v>
      </c>
      <c r="P28" s="41">
        <v>11265.884040074359</v>
      </c>
      <c r="Q28" s="42">
        <v>216.894967244763</v>
      </c>
      <c r="R28" s="41">
        <v>10733.687696032044</v>
      </c>
      <c r="S28" s="42">
        <v>195.64719798309594</v>
      </c>
      <c r="T28" s="41">
        <v>10149.589203492744</v>
      </c>
      <c r="U28" s="42">
        <v>174.92144826026976</v>
      </c>
      <c r="V28" s="41">
        <v>9517.8792980481321</v>
      </c>
      <c r="W28" s="42">
        <v>154.389432924212</v>
      </c>
      <c r="X28" s="41">
        <v>8854.6884792839355</v>
      </c>
      <c r="Y28" s="42">
        <v>133.24209782835516</v>
      </c>
      <c r="Z28" s="41">
        <v>8207.3516265717244</v>
      </c>
      <c r="AA28" s="42">
        <v>109.40682289592804</v>
      </c>
      <c r="AB28" s="41">
        <v>7708.8393152086555</v>
      </c>
      <c r="AC28" s="42">
        <v>77.539637930285551</v>
      </c>
      <c r="AD28" s="41">
        <v>7553.1046712534435</v>
      </c>
      <c r="AE28" s="42">
        <v>31.980841582234916</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14088.310074186948</v>
      </c>
      <c r="E29" s="36">
        <v>759.39008709216569</v>
      </c>
      <c r="F29" s="35">
        <v>13784.047294303171</v>
      </c>
      <c r="G29" s="36">
        <v>702.78466540518616</v>
      </c>
      <c r="H29" s="35">
        <v>13446.534220013902</v>
      </c>
      <c r="I29" s="36">
        <v>647.59165517490271</v>
      </c>
      <c r="J29" s="35">
        <v>13071.9815518532</v>
      </c>
      <c r="K29" s="36">
        <v>593.95955884917328</v>
      </c>
      <c r="L29" s="35">
        <v>12656.338785367141</v>
      </c>
      <c r="M29" s="36">
        <v>542.03493417250547</v>
      </c>
      <c r="N29" s="35">
        <v>12195.460132143106</v>
      </c>
      <c r="O29" s="36">
        <v>491.94795550112656</v>
      </c>
      <c r="P29" s="35">
        <v>11685.462761457355</v>
      </c>
      <c r="Q29" s="36">
        <v>443.7857744504858</v>
      </c>
      <c r="R29" s="35">
        <v>11123.421218883441</v>
      </c>
      <c r="S29" s="36">
        <v>397.54398063626769</v>
      </c>
      <c r="T29" s="35">
        <v>10508.732505154816</v>
      </c>
      <c r="U29" s="36">
        <v>353.03332563470923</v>
      </c>
      <c r="V29" s="35">
        <v>9845.9581507670482</v>
      </c>
      <c r="W29" s="36">
        <v>309.68118828341187</v>
      </c>
      <c r="X29" s="35">
        <v>9151.6924039759906</v>
      </c>
      <c r="Y29" s="36">
        <v>266.04081718622615</v>
      </c>
      <c r="Z29" s="35">
        <v>8474.2069772853793</v>
      </c>
      <c r="AA29" s="36">
        <v>218.3402696589273</v>
      </c>
      <c r="AB29" s="35">
        <v>7948.6728295839193</v>
      </c>
      <c r="AC29" s="36">
        <v>156.45786562894455</v>
      </c>
      <c r="AD29" s="35">
        <v>7771.6581703172633</v>
      </c>
      <c r="AE29" s="36">
        <v>67.285829084297816</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2865682.9160023006</v>
      </c>
      <c r="F30" s="119">
        <v>2800619.4181017969</v>
      </c>
      <c r="H30" s="119">
        <v>2728980.7073022155</v>
      </c>
      <c r="J30" s="119">
        <v>2650042.2710060319</v>
      </c>
      <c r="L30" s="119">
        <v>2563026.1731283674</v>
      </c>
      <c r="N30" s="119">
        <v>2467130.5204577795</v>
      </c>
      <c r="P30" s="119">
        <v>2361591.7987740627</v>
      </c>
      <c r="R30" s="119">
        <v>2245808.0238316758</v>
      </c>
      <c r="T30" s="119">
        <v>2119580.7105909744</v>
      </c>
      <c r="V30" s="119">
        <v>1983617.3996912355</v>
      </c>
      <c r="X30" s="119">
        <v>1840726.7403068969</v>
      </c>
      <c r="Z30" s="119">
        <v>1699185.3746910032</v>
      </c>
      <c r="AB30" s="119">
        <v>1581858.7384637133</v>
      </c>
      <c r="AD30" s="119">
        <v>1519464.6757931472</v>
      </c>
      <c r="AF30" s="119"/>
      <c r="AH30" s="119"/>
      <c r="AJ30" s="119"/>
      <c r="AL30" s="119"/>
      <c r="AN30" s="119"/>
      <c r="AP30" s="119"/>
      <c r="AR30" s="119"/>
      <c r="AT30" s="119"/>
      <c r="AV30" s="119"/>
    </row>
    <row r="31" spans="1:49" x14ac:dyDescent="0.2">
      <c r="A31" t="s">
        <v>47</v>
      </c>
      <c r="B31" s="80">
        <v>1</v>
      </c>
      <c r="D31" s="80">
        <v>0.9793323022213396</v>
      </c>
      <c r="F31" s="80">
        <v>0.95661313767014189</v>
      </c>
      <c r="H31" s="80">
        <v>0.93162207560086718</v>
      </c>
      <c r="J31" s="80">
        <v>0.90411808178608744</v>
      </c>
      <c r="L31" s="80">
        <v>0.87384528223329583</v>
      </c>
      <c r="N31" s="80">
        <v>0.84054365082353255</v>
      </c>
      <c r="P31" s="80">
        <v>0.80397204287112412</v>
      </c>
      <c r="R31" s="80">
        <v>0.76395216291537982</v>
      </c>
      <c r="T31" s="80">
        <v>0.72045442167992968</v>
      </c>
      <c r="V31" s="80">
        <v>0.67377568186850501</v>
      </c>
      <c r="X31" s="80">
        <v>0.62496749216388658</v>
      </c>
      <c r="Z31" s="80">
        <v>0.57705341325971971</v>
      </c>
      <c r="AB31" s="80">
        <v>0.53839879185332562</v>
      </c>
      <c r="AD31" s="80">
        <v>0.5206698770117516</v>
      </c>
      <c r="AF31" s="80"/>
      <c r="AH31" s="80"/>
      <c r="AJ31" s="80"/>
      <c r="AL31" s="80"/>
      <c r="AN31" s="80"/>
      <c r="AP31" s="80"/>
      <c r="AR31" s="80"/>
      <c r="AT31" s="80"/>
      <c r="AV31" s="80"/>
    </row>
    <row r="32" spans="1:49" x14ac:dyDescent="0.2">
      <c r="A32" t="s">
        <v>64</v>
      </c>
      <c r="B32" s="86">
        <v>14734457.915000005</v>
      </c>
      <c r="D32" s="86">
        <v>14442018.306421785</v>
      </c>
      <c r="F32" s="86">
        <v>14119515.294902354</v>
      </c>
      <c r="H32" s="86">
        <v>13763584.06945706</v>
      </c>
      <c r="J32" s="86">
        <v>13370513.828733129</v>
      </c>
      <c r="L32" s="86">
        <v>12936321.625851162</v>
      </c>
      <c r="N32" s="86">
        <v>12456891.739124523</v>
      </c>
      <c r="P32" s="86">
        <v>11928295.422132185</v>
      </c>
      <c r="R32" s="86">
        <v>11347412.479295297</v>
      </c>
      <c r="T32" s="86">
        <v>10713156.241937436</v>
      </c>
      <c r="V32" s="86">
        <v>10029005.537190951</v>
      </c>
      <c r="X32" s="86">
        <v>9309060.5384400152</v>
      </c>
      <c r="Z32" s="86">
        <v>8595020.0322954748</v>
      </c>
      <c r="AB32" s="86">
        <v>8002192.3377115391</v>
      </c>
      <c r="AD32" s="86">
        <v>7685458.3268032325</v>
      </c>
      <c r="AF32" s="86"/>
      <c r="AH32" s="86"/>
      <c r="AJ32" s="86"/>
      <c r="AL32" s="86"/>
      <c r="AN32" s="86"/>
      <c r="AP32" s="86"/>
      <c r="AR32" s="86"/>
      <c r="AT32" s="86"/>
      <c r="AV32" s="86"/>
    </row>
    <row r="33" spans="1:49 16319:16321" x14ac:dyDescent="0.2">
      <c r="A33" t="s">
        <v>54</v>
      </c>
      <c r="B33" s="117">
        <v>7019665.6909999903</v>
      </c>
      <c r="D33" s="117">
        <v>6880344.0875570606</v>
      </c>
      <c r="F33" s="117">
        <v>6726699.999719481</v>
      </c>
      <c r="H33" s="117">
        <v>6557130.1925635096</v>
      </c>
      <c r="J33" s="117">
        <v>6369866.9973920742</v>
      </c>
      <c r="L33" s="117">
        <v>6163012.8229208747</v>
      </c>
      <c r="N33" s="117">
        <v>5934606.8945659557</v>
      </c>
      <c r="P33" s="117">
        <v>5682777.5131529858</v>
      </c>
      <c r="R33" s="117">
        <v>5406038.1773464289</v>
      </c>
      <c r="T33" s="117">
        <v>5103871.190578416</v>
      </c>
      <c r="V33" s="117">
        <v>4777933.8885502052</v>
      </c>
      <c r="X33" s="117">
        <v>4434943.8128789198</v>
      </c>
      <c r="Z33" s="117">
        <v>4094766.6382119749</v>
      </c>
      <c r="AB33" s="117">
        <v>3812336.7273138473</v>
      </c>
      <c r="AD33" s="117">
        <v>3661440.987387564</v>
      </c>
      <c r="AF33" s="117"/>
      <c r="AH33" s="117"/>
      <c r="AJ33" s="117"/>
      <c r="AL33" s="117"/>
      <c r="AN33" s="117"/>
      <c r="AP33" s="117"/>
      <c r="AR33" s="117"/>
      <c r="AT33" s="117"/>
      <c r="AV33" s="117"/>
    </row>
    <row r="34" spans="1:49 16319:16321" x14ac:dyDescent="0.2">
      <c r="A34" t="s">
        <v>75</v>
      </c>
      <c r="B34" s="117">
        <v>1136879.441000015</v>
      </c>
      <c r="D34" s="117">
        <v>1114315.4251759606</v>
      </c>
      <c r="F34" s="117">
        <v>1089431.7018442927</v>
      </c>
      <c r="H34" s="117">
        <v>1061968.8836776228</v>
      </c>
      <c r="J34" s="117">
        <v>1031640.4189581823</v>
      </c>
      <c r="L34" s="117">
        <v>998139.07830379787</v>
      </c>
      <c r="N34" s="117">
        <v>961147.2854383213</v>
      </c>
      <c r="P34" s="117">
        <v>920361.90955050138</v>
      </c>
      <c r="R34" s="117">
        <v>875542.21325919812</v>
      </c>
      <c r="T34" s="117">
        <v>826604.36219758191</v>
      </c>
      <c r="V34" s="117">
        <v>773816.75420887012</v>
      </c>
      <c r="X34" s="117">
        <v>718267.31160750566</v>
      </c>
      <c r="Z34" s="117">
        <v>663173.50141678192</v>
      </c>
      <c r="AB34" s="117">
        <v>617432.14052857249</v>
      </c>
      <c r="AD34" s="117">
        <v>592993.62189954193</v>
      </c>
      <c r="AF34" s="117"/>
      <c r="AH34" s="117"/>
      <c r="AJ34" s="117"/>
      <c r="AL34" s="117"/>
      <c r="AN34" s="117"/>
      <c r="AP34" s="117"/>
      <c r="AR34" s="117"/>
      <c r="AT34" s="117"/>
      <c r="AV34" s="117"/>
    </row>
    <row r="35" spans="1:49 16319:16321" x14ac:dyDescent="0.2">
      <c r="A35" t="s">
        <v>78</v>
      </c>
      <c r="B35" s="233">
        <v>1</v>
      </c>
      <c r="D35" s="233">
        <v>1.0008378781458047</v>
      </c>
      <c r="F35" s="233">
        <v>1.0017283751619426</v>
      </c>
      <c r="H35" s="233">
        <v>1.0026744676603092</v>
      </c>
      <c r="J35" s="233">
        <v>1.0036780044763287</v>
      </c>
      <c r="L35" s="233">
        <v>1.004738757688854</v>
      </c>
      <c r="N35" s="233">
        <v>1.0058527310127847</v>
      </c>
      <c r="P35" s="233">
        <v>1.0070095008104678</v>
      </c>
      <c r="R35" s="233">
        <v>1.0081874890318192</v>
      </c>
      <c r="T35" s="233">
        <v>1.0093448615195106</v>
      </c>
      <c r="V35" s="233">
        <v>1.0103990521649309</v>
      </c>
      <c r="X35" s="233">
        <v>1.0111721822214457</v>
      </c>
      <c r="Z35" s="233">
        <v>1.0112116378342544</v>
      </c>
      <c r="AB35" s="233">
        <v>1.0091901890315365</v>
      </c>
      <c r="AD35" s="233">
        <v>1.0025086420339482</v>
      </c>
      <c r="AF35" s="233"/>
      <c r="AH35" s="233"/>
      <c r="AJ35" s="233"/>
      <c r="AL35" s="233"/>
      <c r="AN35" s="233"/>
      <c r="AP35" s="233"/>
      <c r="AR35" s="233"/>
      <c r="AT35" s="233"/>
      <c r="AV35" s="233"/>
    </row>
    <row r="36" spans="1:49 16319:16321" x14ac:dyDescent="0.2">
      <c r="A36" t="s">
        <v>21</v>
      </c>
      <c r="B36" s="37">
        <v>0.47195767671988198</v>
      </c>
      <c r="C36" s="38">
        <v>0.31738834428178964</v>
      </c>
      <c r="D36" s="37">
        <v>0.47197647853396324</v>
      </c>
      <c r="E36" s="38">
        <v>0.31875010415459865</v>
      </c>
      <c r="F36" s="37">
        <v>0.47199542051016863</v>
      </c>
      <c r="G36" s="38">
        <v>0.32012275406176932</v>
      </c>
      <c r="H36" s="37">
        <v>0.4720143975215545</v>
      </c>
      <c r="I36" s="38">
        <v>0.32150154566223621</v>
      </c>
      <c r="J36" s="37">
        <v>0.47203328802611227</v>
      </c>
      <c r="K36" s="38">
        <v>0.32288084852018067</v>
      </c>
      <c r="L36" s="37">
        <v>0.47205195759806756</v>
      </c>
      <c r="M36" s="38">
        <v>0.3242542592618663</v>
      </c>
      <c r="N36" s="37">
        <v>0.47207028175690646</v>
      </c>
      <c r="O36" s="38">
        <v>0.32561565989907792</v>
      </c>
      <c r="P36" s="37">
        <v>0.47208819113524381</v>
      </c>
      <c r="Q36" s="38">
        <v>0.32696164637610975</v>
      </c>
      <c r="R36" s="37">
        <v>0.47210577597274106</v>
      </c>
      <c r="S36" s="38">
        <v>0.3282975512691651</v>
      </c>
      <c r="T36" s="37">
        <v>0.47212352572222538</v>
      </c>
      <c r="U36" s="38">
        <v>0.32965194133872971</v>
      </c>
      <c r="V36" s="37">
        <v>0.47214292328412288</v>
      </c>
      <c r="W36" s="38">
        <v>0.3311133798527367</v>
      </c>
      <c r="X36" s="37">
        <v>0.47216810643152246</v>
      </c>
      <c r="Y36" s="38">
        <v>0.3329340218460316</v>
      </c>
      <c r="Z36" s="37">
        <v>0.47221135770060307</v>
      </c>
      <c r="AA36" s="38">
        <v>0.33587038782930395</v>
      </c>
      <c r="AB36" s="37">
        <v>0.47231189607883545</v>
      </c>
      <c r="AC36" s="38">
        <v>0.34239757604818977</v>
      </c>
      <c r="AD36" s="37">
        <v>0.47255487400679669</v>
      </c>
      <c r="AE36" s="38">
        <v>0.35994495645529401</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2.1008960229024289E-2</v>
      </c>
      <c r="E37" s="40">
        <v>0.34724123053418737</v>
      </c>
      <c r="F37" s="39">
        <v>2.0619373339149025E-2</v>
      </c>
      <c r="G37" s="40">
        <v>0.34485793899720218</v>
      </c>
      <c r="H37" s="39">
        <v>2.0235439836595946E-2</v>
      </c>
      <c r="I37" s="40">
        <v>0.34248020870616042</v>
      </c>
      <c r="J37" s="39">
        <v>1.985835191525739E-2</v>
      </c>
      <c r="K37" s="40">
        <v>0.34011527574631684</v>
      </c>
      <c r="L37" s="39">
        <v>1.9489548544717392E-2</v>
      </c>
      <c r="M37" s="40">
        <v>0.33777267750990209</v>
      </c>
      <c r="N37" s="39">
        <v>1.9130716685937535E-2</v>
      </c>
      <c r="O37" s="40">
        <v>0.33546505455224745</v>
      </c>
      <c r="P37" s="39">
        <v>1.8783727616299442E-2</v>
      </c>
      <c r="Q37" s="40">
        <v>0.33320915193458917</v>
      </c>
      <c r="R37" s="39">
        <v>1.8450407501057919E-2</v>
      </c>
      <c r="S37" s="40">
        <v>0.33102732878726343</v>
      </c>
      <c r="T37" s="39">
        <v>1.8131911360877526E-2</v>
      </c>
      <c r="U37" s="40">
        <v>0.32895010572291061</v>
      </c>
      <c r="V37" s="39">
        <v>1.7827119114025514E-2</v>
      </c>
      <c r="W37" s="40">
        <v>0.327021906101648</v>
      </c>
      <c r="X37" s="39">
        <v>1.7528239720860941E-2</v>
      </c>
      <c r="Y37" s="40">
        <v>0.32531749434239599</v>
      </c>
      <c r="Z37" s="39">
        <v>1.7208059465022144E-2</v>
      </c>
      <c r="AA37" s="40">
        <v>0.32400933587328323</v>
      </c>
      <c r="AB37" s="39">
        <v>1.6788060509668419E-2</v>
      </c>
      <c r="AC37" s="40">
        <v>0.32371754556243099</v>
      </c>
      <c r="AD37" s="39">
        <v>1.6172568650475189E-2</v>
      </c>
      <c r="AE37" s="40">
        <v>0.32748468313332146</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0.17778364432056673</v>
      </c>
      <c r="E38" s="38">
        <v>5.9715753793456249E-2</v>
      </c>
      <c r="F38" s="37">
        <v>0.17477531783810954</v>
      </c>
      <c r="G38" s="38">
        <v>5.8875356376531879E-2</v>
      </c>
      <c r="H38" s="37">
        <v>0.17177333897661401</v>
      </c>
      <c r="I38" s="38">
        <v>5.8046740227982667E-2</v>
      </c>
      <c r="J38" s="37">
        <v>0.16878735158793684</v>
      </c>
      <c r="K38" s="38">
        <v>5.7233207325337918E-2</v>
      </c>
      <c r="L38" s="37">
        <v>0.16582972626944417</v>
      </c>
      <c r="M38" s="38">
        <v>5.6438344642255597E-2</v>
      </c>
      <c r="N38" s="37">
        <v>0.16291661098140003</v>
      </c>
      <c r="O38" s="38">
        <v>5.5666229267046334E-2</v>
      </c>
      <c r="P38" s="37">
        <v>0.1600689538603764</v>
      </c>
      <c r="Q38" s="38">
        <v>5.492089297987144E-2</v>
      </c>
      <c r="R38" s="37">
        <v>0.15731405809749932</v>
      </c>
      <c r="S38" s="38">
        <v>5.4205303514477055E-2</v>
      </c>
      <c r="T38" s="37">
        <v>0.15468783539791076</v>
      </c>
      <c r="U38" s="38">
        <v>5.3518694263764419E-2</v>
      </c>
      <c r="V38" s="37">
        <v>0.15223938234411616</v>
      </c>
      <c r="W38" s="38">
        <v>5.2849834726340993E-2</v>
      </c>
      <c r="X38" s="37">
        <v>0.1500409462756839</v>
      </c>
      <c r="Y38" s="38">
        <v>5.2157926717099581E-2</v>
      </c>
      <c r="Z38" s="37">
        <v>0.14822148254909306</v>
      </c>
      <c r="AA38" s="38">
        <v>5.1313053825057367E-2</v>
      </c>
      <c r="AB38" s="37">
        <v>0.14705674800276405</v>
      </c>
      <c r="AC38" s="38">
        <v>4.9899780436953076E-2</v>
      </c>
      <c r="AD38" s="37">
        <v>0.14682809378666525</v>
      </c>
      <c r="AE38" s="38">
        <v>4.6820824053589033E-2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0.23064923795098771</v>
      </c>
      <c r="C39" s="40">
        <v>0.22092201281804777</v>
      </c>
      <c r="D39" s="39">
        <v>0.23572009947617531</v>
      </c>
      <c r="E39" s="40">
        <v>0.22335568594787247</v>
      </c>
      <c r="F39" s="39">
        <v>0.24150012372971977</v>
      </c>
      <c r="G39" s="40">
        <v>0.22618086609217358</v>
      </c>
      <c r="H39" s="39">
        <v>0.24813748975787001</v>
      </c>
      <c r="I39" s="40">
        <v>0.2294895352198468</v>
      </c>
      <c r="J39" s="39">
        <v>0.25582068281285103</v>
      </c>
      <c r="K39" s="40">
        <v>0.2334034942728461</v>
      </c>
      <c r="L39" s="39">
        <v>0.26479187604042892</v>
      </c>
      <c r="M39" s="40">
        <v>0.23808969516453518</v>
      </c>
      <c r="N39" s="39">
        <v>0.27536343363809357</v>
      </c>
      <c r="O39" s="40">
        <v>0.24378215067211101</v>
      </c>
      <c r="P39" s="39">
        <v>0.28793918356682136</v>
      </c>
      <c r="Q39" s="40">
        <v>0.25082190534487203</v>
      </c>
      <c r="R39" s="39">
        <v>0.30303692906856439</v>
      </c>
      <c r="S39" s="40">
        <v>0.25973028094851419</v>
      </c>
      <c r="T39" s="39">
        <v>0.32130073557787131</v>
      </c>
      <c r="U39" s="40">
        <v>0.27135893675898415</v>
      </c>
      <c r="V39" s="39">
        <v>0.34345355882702733</v>
      </c>
      <c r="W39" s="40">
        <v>0.28723449015836222</v>
      </c>
      <c r="X39" s="39">
        <v>0.37002482050678737</v>
      </c>
      <c r="Y39" s="40">
        <v>0.31050524407797797</v>
      </c>
      <c r="Z39" s="39">
        <v>0.40014683724238848</v>
      </c>
      <c r="AA39" s="40">
        <v>0.3490973715471225</v>
      </c>
      <c r="AB39" s="39">
        <v>0.4273885490896332</v>
      </c>
      <c r="AC39" s="40">
        <v>0.42853778750956339</v>
      </c>
      <c r="AD39" s="39">
        <v>0.43924620126250563</v>
      </c>
      <c r="AE39" s="40">
        <v>0.64997666811547716</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0.14017613597750045</v>
      </c>
      <c r="E42" s="135"/>
      <c r="F42" s="177">
        <f>10.8%+(1-10.8%)*(1-SUM(F26:G26)/SUM($B$26:$C$26))</f>
        <v>0.1735206909509566</v>
      </c>
      <c r="G42" s="135"/>
      <c r="H42" s="177">
        <f>10.8%+(1-10.8%)*(1-SUM(H26:I26)/SUM($B$26:$C$26))</f>
        <v>0.20810783800583629</v>
      </c>
      <c r="I42" s="135"/>
      <c r="J42" s="177">
        <f>10.8%+(1-10.8%)*(1-SUM(J26:K26)/SUM($B$26:$C$26))</f>
        <v>0.24401092331523144</v>
      </c>
      <c r="K42" s="135"/>
      <c r="L42" s="177">
        <f>10.8%+(1-10.8%)*(1-SUM(L26:M26)/SUM($B$26:$C$26))</f>
        <v>0.28129702639590487</v>
      </c>
      <c r="M42" s="135"/>
      <c r="N42" s="177">
        <f>10.8%+(1-10.8%)*(1-SUM(N26:O26)/SUM($B$26:$C$26))</f>
        <v>0.32001598073178816</v>
      </c>
      <c r="O42" s="135"/>
      <c r="P42" s="177">
        <f>10.8%+(1-10.8%)*(1-SUM(P26:Q26)/SUM($B$26:$C$26))</f>
        <v>0.36018237056284708</v>
      </c>
      <c r="Q42" s="135"/>
      <c r="R42" s="177">
        <f>10.8%+(1-10.8%)*(1-SUM(R26:S26)/SUM($B$26:$C$26))</f>
        <v>0.40174243483856475</v>
      </c>
      <c r="S42" s="135"/>
      <c r="T42" s="177">
        <f>10.8%+(1-10.8%)*(1-SUM(T26:U26)/SUM($B$26:$C$26))</f>
        <v>0.44451127887362718</v>
      </c>
      <c r="U42" s="135"/>
      <c r="V42" s="177">
        <f>10.8%+(1-10.8%)*(1-SUM(V26:W26)/SUM($B$26:$C$26))</f>
        <v>0.48803906840813394</v>
      </c>
      <c r="W42" s="135"/>
      <c r="X42" s="177">
        <f>10.8%+(1-10.8%)*(1-SUM(X26:Y26)/SUM($B$26:$C$26))</f>
        <v>0.53127941871687745</v>
      </c>
      <c r="Y42" s="162"/>
      <c r="Z42" s="177">
        <f>10.8%+(1-10.8%)*(1-SUM(Z26:AA26)/SUM($B$26:$C$26))</f>
        <v>0.57159576688135449</v>
      </c>
      <c r="AA42" s="135"/>
      <c r="AB42" s="177">
        <f>10.8%+(1-10.8%)*(1-SUM(AB26:AC26)/SUM($B$26:$C$26))</f>
        <v>0.6019358337669769</v>
      </c>
      <c r="AC42" s="135"/>
      <c r="AD42" s="177">
        <f>10.8%+(1-10.8%)*(1-SUM(AD26:AE26)/SUM($B$26:$C$26))</f>
        <v>0.61242577716997759</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0.57404845550530847</v>
      </c>
      <c r="E43" s="135"/>
      <c r="F43" s="162">
        <f t="array" ref="F43">SUM(F15:G15*F27:G27)/SUM(F15:G15*F27:G27,F13:G13*F26:G26)</f>
        <v>0.58088226399618725</v>
      </c>
      <c r="G43" s="135"/>
      <c r="H43" s="162">
        <f t="array" ref="H43">SUM(H15:I15*H27:I27)/SUM(H15:I15*H27:I27,H13:I13*H26:I26)</f>
        <v>0.58768671634937653</v>
      </c>
      <c r="I43" s="135"/>
      <c r="J43" s="162">
        <f t="array" ref="J43">SUM(J15:K15*J27:K27)/SUM(J15:K15*J27:K27,J13:K13*J26:K26)</f>
        <v>0.59444096331295848</v>
      </c>
      <c r="K43" s="135"/>
      <c r="L43" s="162">
        <f t="array" ref="L43">SUM(L15:M15*L27:M27)/SUM(L15:M15*L27:M27,L13:M13*L26:M26)</f>
        <v>0.60111856961673393</v>
      </c>
      <c r="M43" s="135"/>
      <c r="N43" s="162">
        <f t="array" ref="N43">SUM(N15:O15*N27:O27)/SUM(N15:O15*N27:O27,N13:O13*N26:O26)</f>
        <v>0.60768403901690338</v>
      </c>
      <c r="O43" s="135"/>
      <c r="P43" s="162">
        <f t="array" ref="P43">SUM(P15:Q15*P27:Q27)/SUM(P15:Q15*P27:Q27,P13:Q13*P26:Q26)</f>
        <v>0.61409041405204923</v>
      </c>
      <c r="Q43" s="135"/>
      <c r="R43" s="162">
        <f t="array" ref="R43">SUM(R15:S15*R27:S27)/SUM(R15:S15*R27:S27,R13:S13*R26:S26)</f>
        <v>0.62027443011950223</v>
      </c>
      <c r="S43" s="135"/>
      <c r="T43" s="162">
        <f t="array" ref="T43">SUM(T15:U15*T27:U27)/SUM(T15:U15*T27:U27,T13:U13*T26:U26)</f>
        <v>0.62614876656308749</v>
      </c>
      <c r="U43" s="135"/>
      <c r="V43" s="162">
        <f t="array" ref="V43">SUM(V15:W15*V27:W27)/SUM(V15:W15*V27:W27,V13:W13*V26:W26)</f>
        <v>0.63158189599769299</v>
      </c>
      <c r="W43" s="135"/>
      <c r="X43" s="162">
        <f t="array" ref="X43">SUM(X15:Y15*X27:Y27)/SUM(X15:Y15*X27:Y27,X13:Y13*X26:Y26)</f>
        <v>0.63635848422466113</v>
      </c>
      <c r="Y43" s="135"/>
      <c r="Z43" s="162">
        <f t="array" ref="Z43">SUM(Z15:AA15*Z27:AA27)/SUM(Z15:AA15*Z27:AA27,Z13:AA13*Z26:AA26)</f>
        <v>0.64002935190914201</v>
      </c>
      <c r="AA43" s="135"/>
      <c r="AB43" s="162">
        <f t="array" ref="AB43">SUM(AB15:AC15*AB27:AC27)/SUM(AB15:AC15*AB27:AC27,AB13:AC13*AB26:AC26)</f>
        <v>0.64146910611361219</v>
      </c>
      <c r="AC43" s="135"/>
      <c r="AD43" s="162">
        <f t="array" ref="AD43">SUM(AD15:AE15*AD27:AE27)/SUM(AD15:AE15*AD27:AE27,AD13:AE13*AD26:AE26)</f>
        <v>0.6389245080914886</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0.29754226197991901</v>
      </c>
      <c r="F44" s="193">
        <f>(SUM(F11:G11*F24:G24)+F34)/F32</f>
        <v>0.29754225727547573</v>
      </c>
      <c r="H44" s="193">
        <f>(SUM(H11:I11*H24:I24)+H34)/H32</f>
        <v>0.29754226196628664</v>
      </c>
      <c r="J44" s="193">
        <f>(SUM(J11:K11*J24:K24)+J34)/J32</f>
        <v>0.2975422618935149</v>
      </c>
      <c r="L44" s="193">
        <f>(SUM(L11:M11*L24:M24)+L34)/L32</f>
        <v>0.29754226198969341</v>
      </c>
      <c r="N44" s="193">
        <f>(SUM(N11:O11*N24:O24)+N34)/N32</f>
        <v>0.29754226205710149</v>
      </c>
      <c r="P44" s="193">
        <f>(SUM(P11:Q11*P24:Q24)+P34)/P32</f>
        <v>0.29754226201488559</v>
      </c>
      <c r="R44" s="193">
        <f>(SUM(R11:S11*R24:S24)+R34)/R32</f>
        <v>0.29754226221508212</v>
      </c>
      <c r="T44" s="193">
        <f>(SUM(T11:U11*T24:U24)+T34)/T32</f>
        <v>0.29754226224062952</v>
      </c>
      <c r="V44" s="193">
        <f>(SUM(V11:W11*V24:W24)+V34)/V32</f>
        <v>0.29754226382040089</v>
      </c>
      <c r="X44" s="193">
        <f>(SUM(X11:Y11*X24:Y24)+X34)/X32</f>
        <v>0.29754226125705602</v>
      </c>
      <c r="Z44" s="193">
        <f>(SUM(Z11:AA11*Z24:AA24)+Z34)/Z32</f>
        <v>0.29754226610509793</v>
      </c>
      <c r="AB44" s="193">
        <f>(SUM(AB11:AC11*AB24:AC24)+AB34)/AB32</f>
        <v>0.29754226139288098</v>
      </c>
      <c r="AD44" s="193">
        <f>(SUM(AD11:AE11*AD24:AE24)+AD34)/AD32</f>
        <v>0.2975422619011085</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0.22038438823034279</v>
      </c>
      <c r="F45" s="193">
        <f>SUM(F11:G11*F24:G24)/F32</f>
        <v>0.22038438895703449</v>
      </c>
      <c r="H45" s="193">
        <f>SUM(H11:I11*H24:I24)/H32</f>
        <v>0.22038438809284902</v>
      </c>
      <c r="J45" s="193">
        <f>SUM(J11:K11*J24:K24)/J32</f>
        <v>0.22038438806960881</v>
      </c>
      <c r="L45" s="193">
        <f>SUM(L11:M11*L24:M24)/L32</f>
        <v>0.22038438765939092</v>
      </c>
      <c r="N45" s="193">
        <f>SUM(N11:O11*N24:O24)/N32</f>
        <v>0.22038438788054779</v>
      </c>
      <c r="P45" s="193">
        <f>SUM(P11:Q11*P24:Q24)/P32</f>
        <v>0.22038438848981939</v>
      </c>
      <c r="R45" s="193">
        <f>SUM(R11:S11*R24:S24)/R32</f>
        <v>0.2203843890121181</v>
      </c>
      <c r="T45" s="193">
        <f>SUM(T11:U11*T24:U24)/T32</f>
        <v>0.22038438798488236</v>
      </c>
      <c r="V45" s="193">
        <f>SUM(V11:W11*V24:W24)/V32</f>
        <v>0.22038438896039653</v>
      </c>
      <c r="X45" s="193">
        <f>SUM(X11:Y11*X24:Y24)/X32</f>
        <v>0.22038438816754757</v>
      </c>
      <c r="Z45" s="193">
        <f>SUM(Z11:AA11*Z24:AA24)/Z32</f>
        <v>0.22038438876159772</v>
      </c>
      <c r="AB45" s="193">
        <f>SUM(AB11:AC11*AB24:AC24)/AB32</f>
        <v>0.22038438834116361</v>
      </c>
      <c r="AD45" s="193">
        <f>SUM(AD11:AE11*AD24:AE24)/AD32</f>
        <v>0.22038438833207732</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7.7157873574883712E-2</v>
      </c>
      <c r="D46" s="193">
        <f>D34/D32</f>
        <v>7.7157873749576222E-2</v>
      </c>
      <c r="F46" s="193">
        <f>F34/F32</f>
        <v>7.7157868318441222E-2</v>
      </c>
      <c r="H46" s="193">
        <f>H34/H32</f>
        <v>7.7157873873437602E-2</v>
      </c>
      <c r="J46" s="193">
        <f>J34/J32</f>
        <v>7.7157873823906084E-2</v>
      </c>
      <c r="L46" s="193">
        <f>L34/L32</f>
        <v>7.7157874330302453E-2</v>
      </c>
      <c r="N46" s="193">
        <f>N34/N32</f>
        <v>7.7157874176553704E-2</v>
      </c>
      <c r="P46" s="193">
        <f>P34/P32</f>
        <v>7.7157873525066215E-2</v>
      </c>
      <c r="R46" s="193">
        <f>R34/R32</f>
        <v>7.7157873202964022E-2</v>
      </c>
      <c r="T46" s="193">
        <f>T34/T32</f>
        <v>7.7157874255747202E-2</v>
      </c>
      <c r="V46" s="193">
        <f>V34/V32</f>
        <v>7.7157874860004347E-2</v>
      </c>
      <c r="X46" s="193">
        <f>X34/X32</f>
        <v>7.715787308950843E-2</v>
      </c>
      <c r="Z46" s="193">
        <f>Z34/Z32</f>
        <v>7.715787734350027E-2</v>
      </c>
      <c r="AB46" s="193">
        <f>AB34/AB32</f>
        <v>7.7157873051717382E-2</v>
      </c>
      <c r="AD46" s="193">
        <f>AD34/AD32</f>
        <v>7.7157873569031213E-2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0.98133214735377305</v>
      </c>
      <c r="E48" s="191"/>
      <c r="F48" s="191">
        <f>F24/$B$24</f>
        <v>0.96056460747242212</v>
      </c>
      <c r="G48" s="191"/>
      <c r="H48" s="191">
        <f>H24/$B$24</f>
        <v>0.93745558112994676</v>
      </c>
      <c r="I48" s="191"/>
      <c r="J48" s="191">
        <f>J24/$B$24</f>
        <v>0.91173863863332283</v>
      </c>
      <c r="K48" s="191"/>
      <c r="L48" s="191">
        <f>L24/$B$24</f>
        <v>0.88312823527633821</v>
      </c>
      <c r="M48" s="191"/>
      <c r="N48" s="191">
        <f>N24/$B$24</f>
        <v>0.85133054981418377</v>
      </c>
      <c r="O48" s="191"/>
      <c r="P48" s="191">
        <f>P24/$B$24</f>
        <v>0.81606757441359012</v>
      </c>
      <c r="Q48" s="191"/>
      <c r="R48" s="191">
        <f>R24/$B$24</f>
        <v>0.7771239169747588</v>
      </c>
      <c r="S48" s="191"/>
      <c r="T48" s="191">
        <f>T24/$B$24</f>
        <v>0.73443897291232052</v>
      </c>
      <c r="U48" s="191"/>
      <c r="V48" s="191">
        <f>V24/$B$24</f>
        <v>0.68829829509416562</v>
      </c>
      <c r="W48" s="191"/>
      <c r="X48" s="191">
        <f>X24/$B$24</f>
        <v>0.63979400854136426</v>
      </c>
      <c r="Y48" s="191"/>
      <c r="Z48" s="191">
        <f>Z24/$B$24</f>
        <v>0.59213034281238952</v>
      </c>
      <c r="AA48" s="191"/>
      <c r="AB48" s="191">
        <f>AB24/$B$24</f>
        <v>0.55423584223065936</v>
      </c>
      <c r="AC48" s="191"/>
      <c r="AD48" s="191">
        <f>AD24/$B$24</f>
        <v>0.53864948001740476</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1.0000000001159295</v>
      </c>
      <c r="E49" s="191"/>
      <c r="F49" s="191">
        <f>F13/F35/$B$13*$B$35</f>
        <v>0.99999999851782706</v>
      </c>
      <c r="G49" s="191"/>
      <c r="H49" s="191">
        <f>H13/H35/$B$13*$B$35</f>
        <v>1.0000000002896443</v>
      </c>
      <c r="I49" s="191"/>
      <c r="J49" s="191">
        <f>J13/J35/$B$13*$B$35</f>
        <v>1.0000000003187688</v>
      </c>
      <c r="K49" s="191"/>
      <c r="L49" s="191">
        <f>L13/L35/$B$13*$B$35</f>
        <v>1.0000000008317247</v>
      </c>
      <c r="M49" s="191"/>
      <c r="N49" s="191">
        <f>N13/N35/$B$13*$B$35</f>
        <v>1.0000000005560934</v>
      </c>
      <c r="O49" s="191"/>
      <c r="P49" s="191">
        <f>P13/P35/$B$13*$B$35</f>
        <v>0.99999999983726606</v>
      </c>
      <c r="Q49" s="191"/>
      <c r="R49" s="191">
        <f>R13/R35/$B$13*$B$35</f>
        <v>0.99999999937939532</v>
      </c>
      <c r="S49" s="191"/>
      <c r="T49" s="191">
        <f>T13/T35/$B$13*$B$35</f>
        <v>1.0000000002904281</v>
      </c>
      <c r="U49" s="191"/>
      <c r="V49" s="191">
        <f>V13/V35/$B$13*$B$35</f>
        <v>0.99999999973929765</v>
      </c>
      <c r="W49" s="191"/>
      <c r="X49" s="191">
        <f>X13/X35/$B$13*$B$35</f>
        <v>1.0000000000294866</v>
      </c>
      <c r="Y49" s="191"/>
      <c r="Z49" s="191">
        <f>Z13/Z35/$B$13*$B$35</f>
        <v>1.0000000000221696</v>
      </c>
      <c r="AA49" s="191"/>
      <c r="AB49" s="191">
        <f>AB13/AB35/$B$13*$B$35</f>
        <v>0.99999999998882172</v>
      </c>
      <c r="AC49" s="191"/>
      <c r="AD49" s="191">
        <f>AD13/AD35/$B$13*$B$35</f>
        <v>1.0000000000000382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-398880.50841428665</v>
      </c>
      <c r="F51" s="29">
        <f>F30-F10*F23</f>
        <v>-391043.42460022587</v>
      </c>
      <c r="H51" s="29">
        <f>H30-H10*H23</f>
        <v>-382225.23280193377</v>
      </c>
      <c r="J51" s="29">
        <f>J30-J10*J23</f>
        <v>-372311.6330552483</v>
      </c>
      <c r="L51" s="29">
        <f>L30-L10*L23</f>
        <v>-361180.23141997727</v>
      </c>
      <c r="N51" s="29">
        <f>N30-N10*N23</f>
        <v>-348702.57784125628</v>
      </c>
      <c r="P51" s="29">
        <f>P30-P10*P23</f>
        <v>-334754.10832212167</v>
      </c>
      <c r="R51" s="29">
        <f>R30-R10*R23</f>
        <v>-319231.49874001602</v>
      </c>
      <c r="T51" s="29">
        <f>T30-T10*T23</f>
        <v>-302087.59680466028</v>
      </c>
      <c r="V51" s="29">
        <f>V30-V10*V23</f>
        <v>-283401.23754637991</v>
      </c>
      <c r="X51" s="29">
        <f>X30-X10*X23</f>
        <v>-263551.06246792967</v>
      </c>
      <c r="Z51" s="29">
        <f>Z30-Z10*Z23</f>
        <v>-243686.28176458902</v>
      </c>
      <c r="AB51" s="29">
        <f>AB30-AB10*AB23</f>
        <v>-227006.46767050237</v>
      </c>
      <c r="AD51" s="29">
        <f>AD30-AD10*AD23</f>
        <v>-217804.00931877852</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1976982.638460241</v>
      </c>
      <c r="F52" s="29">
        <f t="array" ref="F52">Calibration!sL*SUM(F13:G13*F26:G26)</f>
        <v>1902004.7095789069</v>
      </c>
      <c r="H52" s="29">
        <f t="array" ref="H52">Calibration!sL*SUM(H13:I13*H26:I26)</f>
        <v>1824129.3365375847</v>
      </c>
      <c r="J52" s="29">
        <f t="array" ref="J52">Calibration!sL*SUM(J13:K13*J26:K26)</f>
        <v>1743169.2433030466</v>
      </c>
      <c r="L52" s="29">
        <f t="array" ref="L52">Calibration!sL*SUM(L13:M13*L26:M26)</f>
        <v>1658945.905278737</v>
      </c>
      <c r="N52" s="29">
        <f t="array" ref="N52">Calibration!sL*SUM(N13:O13*N26:O26)</f>
        <v>1571313.1069513552</v>
      </c>
      <c r="P52" s="29">
        <f t="array" ref="P52">Calibration!sL*SUM(P13:Q13*P26:Q26)</f>
        <v>1480196.584019277</v>
      </c>
      <c r="R52" s="29">
        <f t="array" ref="R52">Calibration!sL*SUM(R13:S13*R26:S26)</f>
        <v>1385667.8158064031</v>
      </c>
      <c r="T52" s="29">
        <f t="array" ref="T52">Calibration!sL*SUM(T13:U13*T26:U26)</f>
        <v>1288084.7813489484</v>
      </c>
      <c r="V52" s="29">
        <f t="array" ref="V52">Calibration!sL*SUM(V13:W13*V26:W26)</f>
        <v>1188391.0652953738</v>
      </c>
      <c r="X52" s="29">
        <f t="array" ref="X52">Calibration!sL*SUM(X13:Y13*X26:Y26)</f>
        <v>1088851.777350002</v>
      </c>
      <c r="Z52" s="29">
        <f t="array" ref="Z52">Calibration!sL*SUM(Z13:AA13*Z26:AA26)</f>
        <v>995234.54001934582</v>
      </c>
      <c r="AB52" s="29">
        <f t="array" ref="AB52">Calibration!sL*SUM(AB13:AC13*AB26:AC26)</f>
        <v>922902.30618608859</v>
      </c>
      <c r="AD52" s="29">
        <f t="array" ref="AD52">Calibration!sL*SUM(AD13:AE13*AD26:AE26)</f>
        <v>892632.38110428944</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2719008.7083163094</v>
      </c>
      <c r="F53" s="29">
        <f t="array" ref="F53">Calibration!sK*SUM(F15:G15*F27:G27)</f>
        <v>2690190.6104872436</v>
      </c>
      <c r="H53" s="29">
        <f t="array" ref="H53">Calibration!sK*SUM(H15:I15*H27:I27)</f>
        <v>2653344.0252603097</v>
      </c>
      <c r="J53" s="29">
        <f t="array" ref="J53">Calibration!sK*SUM(J15:K15*J27:K27)</f>
        <v>2607435.5874275356</v>
      </c>
      <c r="L53" s="29">
        <f t="array" ref="L53">Calibration!sK*SUM(L15:M15*L27:M27)</f>
        <v>2551337.651546807</v>
      </c>
      <c r="N53" s="29">
        <f t="array" ref="N53">Calibration!sK*SUM(N15:O15*N27:O27)</f>
        <v>2483842.0381275224</v>
      </c>
      <c r="P53" s="29">
        <f t="array" ref="P53">Calibration!sK*SUM(P15:Q15*P27:Q27)</f>
        <v>2403729.1867244458</v>
      </c>
      <c r="R53" s="29">
        <f t="array" ref="R53">Calibration!sK*SUM(R15:S15*R27:S27)</f>
        <v>2309896.6734696566</v>
      </c>
      <c r="T53" s="29">
        <f t="array" ref="T53">Calibration!sK*SUM(T15:U15*T27:U27)</f>
        <v>2201620.9454321484</v>
      </c>
      <c r="V53" s="29">
        <f t="array" ref="V53">Calibration!sK*SUM(V15:W15*V27:W27)</f>
        <v>2079062.1646226018</v>
      </c>
      <c r="X53" s="29">
        <f t="array" ref="X53">Calibration!sK*SUM(X15:Y15*X27:Y27)</f>
        <v>1944538.4334447505</v>
      </c>
      <c r="Z53" s="29">
        <f t="array" ref="Z53">Calibration!sK*SUM(Z15:AA15*Z27:AA27)</f>
        <v>1805833.1822843973</v>
      </c>
      <c r="AB53" s="29">
        <f t="array" ref="AB53">Calibration!sK*SUM(AB15:AC15*AB27:AC27)</f>
        <v>1685094.5735259803</v>
      </c>
      <c r="AD53" s="29">
        <f t="array" ref="AD53">Calibration!sK*SUM(AD15:AE15*AD27:AE27)</f>
        <v>1611920.2847180194</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0.19842676108006641</v>
      </c>
      <c r="F55" s="193">
        <f>F30/F32</f>
        <v>0.1983509603274356</v>
      </c>
      <c r="H55" s="193">
        <f>H30/H32</f>
        <v>0.19827544144974057</v>
      </c>
      <c r="J55" s="193">
        <f>J30/J32</f>
        <v>0.19820048092027037</v>
      </c>
      <c r="L55" s="193">
        <f>L30/L32</f>
        <v>0.19812634899294487</v>
      </c>
      <c r="N55" s="193">
        <f>N30/N32</f>
        <v>0.19805346085725642</v>
      </c>
      <c r="P55" s="193">
        <f>P30/P32</f>
        <v>0.19798233655349287</v>
      </c>
      <c r="R55" s="193">
        <f>R30/R32</f>
        <v>0.19791366780130884</v>
      </c>
      <c r="T55" s="193">
        <f>T30/T32</f>
        <v>0.19784838965511584</v>
      </c>
      <c r="V55" s="193">
        <f>V30/V32</f>
        <v>0.19778804511926032</v>
      </c>
      <c r="X55" s="193">
        <f>X30/X32</f>
        <v>0.19773496291123704</v>
      </c>
      <c r="Z55" s="193">
        <f>Z30/Z32</f>
        <v>0.19769417270772796</v>
      </c>
      <c r="AB55" s="193">
        <f>AB30/AB32</f>
        <v>0.19767817014456968</v>
      </c>
      <c r="AD55" s="193">
        <f>AD30/AD32</f>
        <v>0.19770644913836502</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3.1697626138738548E-2</v>
      </c>
      <c r="F56" s="193">
        <f>(Model!$C$52*F5*F20+F2*G5*G20)/F32</f>
        <v>3.4169179159786414E-2</v>
      </c>
      <c r="H56" s="193">
        <f>(Model!$C$52*H5*H20+H2*I5*I20)/H32</f>
        <v>3.6630139425055282E-2</v>
      </c>
      <c r="J56" s="193">
        <f>(Model!$C$52*J5*J20+J2*K5*K20)/J32</f>
        <v>3.9073031241908161E-2</v>
      </c>
      <c r="L56" s="193">
        <f>(Model!$C$52*L5*L20+L2*M5*M20)/L32</f>
        <v>4.148814511743204E-2</v>
      </c>
      <c r="N56" s="193">
        <f>(Model!$C$52*N5*N20+N2*O5*O20)/N32</f>
        <v>4.3862693139041703E-2</v>
      </c>
      <c r="P56" s="193">
        <f>(Model!$C$52*P5*P20+P2*Q5*Q20)/P32</f>
        <v>4.6179777646481686E-2</v>
      </c>
      <c r="R56" s="193">
        <f>(Model!$C$52*R5*R20+R2*S5*S20)/R32</f>
        <v>4.8416789016219798E-2</v>
      </c>
      <c r="T56" s="193">
        <f>(Model!$C$52*T5*T20+T2*U5*U20)/T32</f>
        <v>5.0542749792597541E-2</v>
      </c>
      <c r="V56" s="193">
        <f>(Model!$C$52*V5*V20+V2*W5*W20)/V32</f>
        <v>5.2512722468836877E-2</v>
      </c>
      <c r="X56" s="193">
        <f>(Model!$C$52*X5*X20+X2*Y5*Y20)/X32</f>
        <v>5.4253723626848119E-2</v>
      </c>
      <c r="Z56" s="193">
        <f>(Model!$C$52*Z5*Z20+Z2*AA5*AA20)/Z32</f>
        <v>5.5618580077728498E-2</v>
      </c>
      <c r="AB56" s="193">
        <f>(Model!$C$52*AB5*AB20+AB2*AC5*AC20)/AB32</f>
        <v>5.6244779969575616E-2</v>
      </c>
      <c r="AD56" s="193">
        <f>(Model!$C$52*AD5*AD20+AD2*AE5*AE20)/AD32</f>
        <v>5.557638245862865E-2</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0.15603530252250108</v>
      </c>
      <c r="F57" s="193">
        <f t="array" ref="F57">SUM(Model!tauL*F13:G13*F26:G26)/F32</f>
        <v>0.15354642271405927</v>
      </c>
      <c r="H57" s="193">
        <f t="array" ref="H57">SUM(Model!tauL*H13:I13*H26:I26)/H32</f>
        <v>0.15106783006257427</v>
      </c>
      <c r="J57" s="193">
        <f t="array" ref="J57">SUM(Model!tauL*J13:K13*J26:K26)/J32</f>
        <v>0.14860703186496307</v>
      </c>
      <c r="L57" s="193">
        <f t="array" ref="L57">SUM(Model!tauL*L13:M13*L26:M26)/L32</f>
        <v>0.14617372799988465</v>
      </c>
      <c r="N57" s="193">
        <f t="array" ref="N57">SUM(Model!tauL*N13:O13*N26:O26)/N32</f>
        <v>0.14378081668463991</v>
      </c>
      <c r="P57" s="193">
        <f t="array" ref="P57">SUM(Model!tauL*P13:Q13*P26:Q26)/P32</f>
        <v>0.14144542799516147</v>
      </c>
      <c r="R57" s="193">
        <f t="array" ref="R57">SUM(Model!tauL*R13:S13*R26:S26)/R32</f>
        <v>0.1391906911096337</v>
      </c>
      <c r="T57" s="193">
        <f t="array" ref="T57">SUM(Model!tauL*T13:U13*T26:U26)/T32</f>
        <v>0.13704869780922174</v>
      </c>
      <c r="V57" s="193">
        <f t="array" ref="V57">SUM(Model!tauL*V13:W13*V26:W26)/V32</f>
        <v>0.1350670485646551</v>
      </c>
      <c r="X57" s="193">
        <f t="array" ref="X57">SUM(Model!tauL*X13:Y13*X26:Y26)/X32</f>
        <v>0.13332476068284738</v>
      </c>
      <c r="Y57" s="193"/>
      <c r="Z57" s="193">
        <f t="array" ref="Z57">SUM(Model!tauL*Z13:AA13*Z26:AA26)/Z32</f>
        <v>0.1319855692276943</v>
      </c>
      <c r="AB57" s="193">
        <f t="array" ref="AB57">SUM(Model!tauL*AB13:AC13*AB26:AC26)/AB32</f>
        <v>0.13146030893618255</v>
      </c>
      <c r="AD57" s="193">
        <f t="array" ref="AD57">SUM(Model!tauL*AD13:AE13*AD26:AE26)/AD32</f>
        <v>0.13238865447775161</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1.069383241882676E-2</v>
      </c>
      <c r="F58" s="193">
        <f t="array" ref="F58">SUM(Model!tauY/(1+Model!tauY)*F3:G3*F18:G18)/F32</f>
        <v>1.0635358453589898E-2</v>
      </c>
      <c r="H58" s="193">
        <f t="array" ref="H58">SUM(Model!tauY/(1+Model!tauY)*H3:I3*H18:I18)/H32</f>
        <v>1.0577471962111038E-2</v>
      </c>
      <c r="J58" s="193">
        <f t="array" ref="J58">SUM(Model!tauY/(1+Model!tauY)*J3:K3*J18:K18)/J32</f>
        <v>1.0520417813399135E-2</v>
      </c>
      <c r="L58" s="193">
        <f t="array" ref="L58">SUM(Model!tauY/(1+Model!tauY)*L3:M3*L18:M18)/L32</f>
        <v>1.0464475875628175E-2</v>
      </c>
      <c r="N58" s="193">
        <f t="array" ref="N58">SUM(Model!tauY/(1+Model!tauY)*N3:O3*N18:O18)/N32</f>
        <v>1.0409951033574789E-2</v>
      </c>
      <c r="P58" s="193">
        <f t="array" ref="P58">SUM(Model!tauY/(1+Model!tauY)*P3:Q3*P18:Q18)/P32</f>
        <v>1.0357130911849715E-2</v>
      </c>
      <c r="R58" s="193">
        <f t="array" ref="R58">SUM(Model!tauY/(1+Model!tauY)*R3:S3*R18:S18)/R32</f>
        <v>1.0306187675455313E-2</v>
      </c>
      <c r="T58" s="193">
        <f t="array" ref="T58">SUM(Model!tauY/(1+Model!tauY)*T3:U3*T18:U18)/T32</f>
        <v>1.0256942053296584E-2</v>
      </c>
      <c r="V58" s="193">
        <f t="array" ref="V58">SUM(Model!tauY/(1+Model!tauY)*V3:W3*V18:W18)/V32</f>
        <v>1.0208274085768358E-2</v>
      </c>
      <c r="X58" s="193">
        <f t="array" ref="X58">SUM(Model!tauY/(1+Model!tauY)*X3:Y3*X18:Y18)/X32</f>
        <v>1.015647860154158E-2</v>
      </c>
      <c r="Y58" s="193"/>
      <c r="Z58" s="193">
        <f t="array" ref="Z58">SUM(Model!tauY/(1+Model!tauY)*Z3:AA3*Z18:AA18)/Z32</f>
        <v>1.0090023402305172E-2</v>
      </c>
      <c r="AB58" s="193">
        <f t="array" ref="AB58">SUM(Model!tauY/(1+Model!tauY)*AB3:AC3*AB18:AC18)/AB32</f>
        <v>9.9730812388115243E-3</v>
      </c>
      <c r="AD58" s="193">
        <f t="array" ref="AD58">SUM(Model!tauY/(1+Model!tauY)*AD3:AE3*AD18:AE18)/AD32</f>
        <v>9.7414122019847636E-3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3.0590308886519896E-3</v>
      </c>
      <c r="F59" s="193">
        <f>(F2*G5*G20)/F32</f>
        <v>5.5610954791013387E-3</v>
      </c>
      <c r="H59" s="193">
        <f>(H2*I5*I20)/H32</f>
        <v>8.0521472638405232E-3</v>
      </c>
      <c r="J59" s="193">
        <f>(J2*K5*K20)/J32</f>
        <v>1.0524629422302111E-2</v>
      </c>
      <c r="L59" s="193">
        <f>(L2*M5*M20)/L32</f>
        <v>1.2968733186033745E-2</v>
      </c>
      <c r="N59" s="193">
        <f>(N2*O5*O20)/N32</f>
        <v>1.5371545627520905E-2</v>
      </c>
      <c r="P59" s="193">
        <f>(P2*Q5*Q20)/P32</f>
        <v>1.7716016202990324E-2</v>
      </c>
      <c r="R59" s="193">
        <f>(R2*S5*S20)/R32</f>
        <v>1.9979353383533915E-2</v>
      </c>
      <c r="T59" s="193">
        <f>(T2*U5*U20)/T32</f>
        <v>2.2130376399853911E-2</v>
      </c>
      <c r="V59" s="193">
        <f>(V2*W5*W20)/V32</f>
        <v>2.4123945846019797E-2</v>
      </c>
      <c r="X59" s="193">
        <f>(X2*Y5*Y20)/X32</f>
        <v>2.5886937880410112E-2</v>
      </c>
      <c r="Z59" s="193">
        <f>(Z2*AA5*AA20)/Z32</f>
        <v>2.7272101566104195E-2</v>
      </c>
      <c r="AB59" s="193">
        <f>(AB2*AC5*AC20)/AB32</f>
        <v>2.7915513246089874E-2</v>
      </c>
      <c r="AD59" s="193">
        <f>(AD2*AE5*AE20)/AD32</f>
        <v>2.7246838951635984E-2</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2.8638595250086555E-2</v>
      </c>
      <c r="F60" s="193">
        <f>Model!$C$52*F5*F20/F32</f>
        <v>2.8608083680685074E-2</v>
      </c>
      <c r="H60" s="193">
        <f>Model!$C$52*H5*H20/H32</f>
        <v>2.8577992161214757E-2</v>
      </c>
      <c r="J60" s="193">
        <f>Model!$C$52*J5*J20/J32</f>
        <v>2.8548401819606047E-2</v>
      </c>
      <c r="L60" s="193">
        <f>Model!$C$52*L5*L20/L32</f>
        <v>2.8519411931398297E-2</v>
      </c>
      <c r="N60" s="193">
        <f>Model!$C$52*N5*N20/N32</f>
        <v>2.8491147511520796E-2</v>
      </c>
      <c r="P60" s="193">
        <f>Model!$C$52*P5*P20/P32</f>
        <v>2.8463761443491369E-2</v>
      </c>
      <c r="R60" s="193">
        <f>Model!$C$52*R5*R20/R32</f>
        <v>2.843743563268588E-2</v>
      </c>
      <c r="T60" s="193">
        <f>Model!$C$52*T5*T20/T32</f>
        <v>2.841237339274363E-2</v>
      </c>
      <c r="V60" s="193">
        <f>Model!$C$52*V5*V20/V32</f>
        <v>2.8388776622817084E-2</v>
      </c>
      <c r="X60" s="193">
        <f>Model!$C$52*X5*X20/X32</f>
        <v>2.8366785746438011E-2</v>
      </c>
      <c r="Z60" s="193">
        <f>Model!$C$52*Z5*Z20/Z32</f>
        <v>2.83464785116243E-2</v>
      </c>
      <c r="AB60" s="193">
        <f>Model!$C$52*AB5*AB20/AB32</f>
        <v>2.8329266723485739E-2</v>
      </c>
      <c r="AD60" s="193">
        <f>Model!$C$52*AD5*AD20/AD32</f>
        <v>2.8329543506992669E-2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1.0088275456041336</v>
      </c>
      <c r="F62">
        <f>F13/F15</f>
        <v>1.0205414030353637</v>
      </c>
      <c r="H62">
        <f>H13/H15</f>
        <v>1.0356910287940744</v>
      </c>
      <c r="J62">
        <f>J13/J15</f>
        <v>1.0549810353369351</v>
      </c>
      <c r="L62">
        <f>L13/L15</f>
        <v>1.0793173660831201</v>
      </c>
      <c r="N62">
        <f>N13/N15</f>
        <v>1.1098757411138942</v>
      </c>
      <c r="P62">
        <f>P13/P15</f>
        <v>1.1481847065744928</v>
      </c>
      <c r="R62">
        <f>R13/R15</f>
        <v>1.1962231428438823</v>
      </c>
      <c r="T62">
        <f>T13/T15</f>
        <v>1.2564959466085921</v>
      </c>
      <c r="V62">
        <f>V13/V15</f>
        <v>1.3319534000476618</v>
      </c>
      <c r="X62">
        <f>X13/X15</f>
        <v>1.4251888672834583</v>
      </c>
      <c r="Z62">
        <f>Z13/Z15</f>
        <v>1.5347164714550681</v>
      </c>
      <c r="AB62">
        <f>AB13/AB15</f>
        <v>1.6413928199744092</v>
      </c>
      <c r="AD62">
        <f>AD13/AD15</f>
        <v>1.7045445395860301</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0.99890704480774739</v>
      </c>
      <c r="E65" s="191"/>
      <c r="F65" s="191">
        <f t="array" ref="F65">SQRT((F9:G9*$B$22:$C$22+F10:G10*$B$23:$C$23+F11:G11*$B$24:$C$24+F4:G4*($B$25:$C$25-$B$19:$C$19))/($B$9:$C$9*$B$22:$C$22+$B$10:$C$10*$B$23:$C$23+$B$11:$C$11*$B$24:$C$24+$B$4:$C$4*($B$25:$C$25-$B$19:$C$19))*(F9:G9*F22:G22+F10:G10*F23:G23+F11:G11*F24:G24+F4:G4*(F25:G25-F19:G19))/($B$9:$C$9*F22:G22+$B$10:$C$10*F23:G23+$B$11:$C$11*F24:G24+$B$4:$C$4*(F25:G25-F19:G19)))</f>
        <v>0.99782431462762478</v>
      </c>
      <c r="G65" s="191"/>
      <c r="H65" s="191">
        <f t="array" ref="H65">SQRT((H9:I9*$B$22:$C$22+H10:I10*$B$23:$C$23+H11:I11*$B$24:$C$24+H4:I4*($B$25:$C$25-$B$19:$C$19))/($B$9:$C$9*$B$22:$C$22+$B$10:$C$10*$B$23:$C$23+$B$11:$C$11*$B$24:$C$24+$B$4:$C$4*($B$25:$C$25-$B$19:$C$19))*(H9:I9*H22:I22+H10:I10*H23:I23+H11:I11*H24:I24+H4:I4*(H25:I25-H19:I19))/($B$9:$C$9*H22:I22+$B$10:$C$10*H23:I23+$B$11:$C$11*H24:I24+$B$4:$C$4*(H25:I25-H19:I19)))</f>
        <v>0.99675724844748292</v>
      </c>
      <c r="I65" s="191"/>
      <c r="J65" s="191">
        <f t="array" ref="J65">SQRT((J9:K9*$B$22:$C$22+J10:K10*$B$23:$C$23+J11:K11*$B$24:$C$24+J4:K4*($B$25:$C$25-$B$19:$C$19))/($B$9:$C$9*$B$22:$C$22+$B$10:$C$10*$B$23:$C$23+$B$11:$C$11*$B$24:$C$24+$B$4:$C$4*($B$25:$C$25-$B$19:$C$19))*(J9:K9*J22:K22+J10:K10*J23:K23+J11:K11*J24:K24+J4:K4*(J25:K25-J19:K19))/($B$9:$C$9*J22:K22+$B$10:$C$10*J23:K23+$B$11:$C$11*J24:K24+$B$4:$C$4*(J25:K25-J19:K19)))</f>
        <v>0.99571191951107973</v>
      </c>
      <c r="K65" s="191"/>
      <c r="L65" s="191">
        <f t="array" ref="L65">SQRT((L9:M9*$B$22:$C$22+L10:M10*$B$23:$C$23+L11:M11*$B$24:$C$24+L4:M4*($B$25:$C$25-$B$19:$C$19))/($B$9:$C$9*$B$22:$C$22+$B$10:$C$10*$B$23:$C$23+$B$11:$C$11*$B$24:$C$24+$B$4:$C$4*($B$25:$C$25-$B$19:$C$19))*(L9:M9*L22:M22+L10:M10*L23:M23+L11:M11*L24:M24+L4:M4*(L25:M25-L19:M19))/($B$9:$C$9*L22:M22+$B$10:$C$10*L23:M23+$B$11:$C$11*L24:M24+$B$4:$C$4*(L25:M25-L19:M19)))</f>
        <v>0.99469467594291661</v>
      </c>
      <c r="M65" s="191"/>
      <c r="N65" s="191">
        <f t="array" ref="N65">SQRT((N9:O9*$B$22:$C$22+N10:O10*$B$23:$C$23+N11:O11*$B$24:$C$24+N4:O4*($B$25:$C$25-$B$19:$C$19))/($B$9:$C$9*$B$22:$C$22+$B$10:$C$10*$B$23:$C$23+$B$11:$C$11*$B$24:$C$24+$B$4:$C$4*($B$25:$C$25-$B$19:$C$19))*(N9:O9*N22:O22+N10:O10*N23:O23+N11:O11*N24:O24+N4:O4*(N25:O25-N19:O19))/($B$9:$C$9*N22:O22+$B$10:$C$10*N23:O23+$B$11:$C$11*N24:O24+$B$4:$C$4*(N25:O25-N19:O19)))</f>
        <v>0.99371099959608078</v>
      </c>
      <c r="O65" s="191"/>
      <c r="P65" s="191">
        <f t="array" ref="P65">SQRT((P9:Q9*$B$22:$C$22+P10:Q10*$B$23:$C$23+P11:Q11*$B$24:$C$24+P4:Q4*($B$25:$C$25-$B$19:$C$19))/($B$9:$C$9*$B$22:$C$22+$B$10:$C$10*$B$23:$C$23+$B$11:$C$11*$B$24:$C$24+$B$4:$C$4*($B$25:$C$25-$B$19:$C$19))*(P9:Q9*P22:Q22+P10:Q10*P23:Q23+P11:Q11*P24:Q24+P4:Q4*(P25:Q25-P19:Q19))/($B$9:$C$9*P22:Q22+$B$10:$C$10*P23:Q23+$B$11:$C$11*P24:Q24+$B$4:$C$4*(P25:Q25-P19:Q19)))</f>
        <v>0.99276318178158707</v>
      </c>
      <c r="Q65" s="191"/>
      <c r="R65" s="191">
        <f t="array" ref="R65">SQRT((R9:S9*$B$22:$C$22+R10:S10*$B$23:$C$23+R11:S11*$B$24:$C$24+R4:S4*($B$25:$C$25-$B$19:$C$19))/($B$9:$C$9*$B$22:$C$22+$B$10:$C$10*$B$23:$C$23+$B$11:$C$11*$B$24:$C$24+$B$4:$C$4*($B$25:$C$25-$B$19:$C$19))*(R9:S9*R22:S22+R10:S10*R23:S23+R11:S11*R24:S24+R4:S4*(R25:S25-R19:S19))/($B$9:$C$9*R22:S22+$B$10:$C$10*R23:S23+$B$11:$C$11*R24:S24+$B$4:$C$4*(R25:S25-R19:S19)))</f>
        <v>0.99184514777404886</v>
      </c>
      <c r="S65" s="191"/>
      <c r="T65" s="191">
        <f t="array" ref="T65">SQRT((T9:U9*$B$22:$C$22+T10:U10*$B$23:$C$23+T11:U11*$B$24:$C$24+T4:U4*($B$25:$C$25-$B$19:$C$19))/($B$9:$C$9*$B$22:$C$22+$B$10:$C$10*$B$23:$C$23+$B$11:$C$11*$B$24:$C$24+$B$4:$C$4*($B$25:$C$25-$B$19:$C$19))*(T9:U9*T22:U22+T10:U10*T23:U23+T11:U11*T24:U24+T4:U4*(T25:U25-T19:U19))/($B$9:$C$9*T22:U22+$B$10:$C$10*T23:U23+$B$11:$C$11*T24:U24+$B$4:$C$4*(T25:U25-T19:U19)))</f>
        <v>0.99093073928584718</v>
      </c>
      <c r="U65" s="191"/>
      <c r="V65" s="191">
        <f t="array" ref="V65">SQRT((V9:W9*$B$22:$C$22+V10:W10*$B$23:$C$23+V11:W11*$B$24:$C$24+V4:W4*($B$25:$C$25-$B$19:$C$19))/($B$9:$C$9*$B$22:$C$22+$B$10:$C$10*$B$23:$C$23+$B$11:$C$11*$B$24:$C$24+$B$4:$C$4*($B$25:$C$25-$B$19:$C$19))*(V9:W9*V22:W22+V10:W10*V23:W23+V11:W11*V24:W24+V4:W4*(V25:W25-V19:W19))/($B$9:$C$9*V22:W22+$B$10:$C$10*V23:W23+$B$11:$C$11*V24:W24+$B$4:$C$4*(V25:W25-V19:W19)))</f>
        <v>0.98994506286569595</v>
      </c>
      <c r="W65" s="191"/>
      <c r="X65" s="191">
        <f t="array" ref="X65">SQRT((X9:Y9*$B$22:$C$22+X10:Y10*$B$23:$C$23+X11:Y11*$B$24:$C$24+X4:Y4*($B$25:$C$25-$B$19:$C$19))/($B$9:$C$9*$B$22:$C$22+$B$10:$C$10*$B$23:$C$23+$B$11:$C$11*$B$24:$C$24+$B$4:$C$4*($B$25:$C$25-$B$19:$C$19))*(X9:Y9*X22:Y22+X10:Y10*X23:Y23+X11:Y11*X24:Y24+X4:Y4*(X25:Y25-X19:Y19))/($B$9:$C$9*X22:Y22+$B$10:$C$10*X23:Y23+$B$11:$C$11*X24:Y24+$B$4:$C$4*(X25:Y25-X19:Y19)))</f>
        <v>0.98868583411546351</v>
      </c>
      <c r="Y65" s="191"/>
      <c r="Z65" s="191">
        <f t="array" ref="Z65">SQRT((Z9:AA9*$B$22:$C$22+Z10:AA10*$B$23:$C$23+Z11:AA11*$B$24:$C$24+Z4:AA4*($B$25:$C$25-$B$19:$C$19))/($B$9:$C$9*$B$22:$C$22+$B$10:$C$10*$B$23:$C$23+$B$11:$C$11*$B$24:$C$24+$B$4:$C$4*($B$25:$C$25-$B$19:$C$19))*(Z9:AA9*Z22:AA22+Z10:AA10*Z23:AA23+Z11:AA11*Z24:AA24+Z4:AA4*(Z25:AA25-Z19:AA19))/($B$9:$C$9*Z22:AA22+$B$10:$C$10*Z23:AA23+$B$11:$C$11*Z24:AA24+$B$4:$C$4*(Z25:AA25-Z19:AA19)))</f>
        <v>0.98657430321913409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0.98189274921890435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0.97165508849287485</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0.99879808779125601</v>
      </c>
      <c r="E66" s="191"/>
      <c r="F66" s="191">
        <f t="array" ref="F66">SQRT((F9:G9*$B$22:$C$22)/($B$9:$C$9*$B$22:$C$22)*(F9:G9*F22:G22)/($B$9:$C$9*F22:G22))</f>
        <v>0.99760598503520637</v>
      </c>
      <c r="G66" s="191"/>
      <c r="H66" s="191">
        <f t="array" ref="H66">SQRT((H9:I9*$B$22:$C$22)/($B$9:$C$9*$B$22:$C$22)*(H9:I9*H22:I22)/($B$9:$C$9*H22:I22))</f>
        <v>0.99642973209798325</v>
      </c>
      <c r="I66" s="191"/>
      <c r="J66" s="191">
        <f t="array" ref="J66">SQRT((J9:K9*$B$22:$C$22)/($B$9:$C$9*$B$22:$C$22)*(J9:K9*J22:K22)/($B$9:$C$9*J22:K22))</f>
        <v>0.99527609739544953</v>
      </c>
      <c r="K66" s="191"/>
      <c r="L66" s="191">
        <f t="array" ref="L66">SQRT((L9:M9*$B$22:$C$22)/($B$9:$C$9*$B$22:$C$22)*(L9:M9*L22:M22)/($B$9:$C$9*L22:M22))</f>
        <v>0.99415218273617489</v>
      </c>
      <c r="M66" s="191"/>
      <c r="N66" s="191">
        <f t="array" ref="N66">SQRT((N9:O9*$B$22:$C$22)/($B$9:$C$9*$B$22:$C$22)*(N9:O9*N22:O22)/($B$9:$C$9*N22:O22))</f>
        <v>0.99306415987851238</v>
      </c>
      <c r="O66" s="191"/>
      <c r="P66" s="191">
        <f t="array" ref="P66">SQRT((P9:Q9*$B$22:$C$22)/($B$9:$C$9*$B$22:$C$22)*(P9:Q9*P22:Q22)/($B$9:$C$9*P22:Q22))</f>
        <v>0.99201468743596921</v>
      </c>
      <c r="Q66" s="191"/>
      <c r="R66" s="191">
        <f t="array" ref="R66">SQRT((R9:S9*$B$22:$C$22)/($B$9:$C$9*$B$22:$C$22)*(R9:S9*R22:S22)/($B$9:$C$9*R22:S22))</f>
        <v>0.99099714962282603</v>
      </c>
      <c r="S66" s="191"/>
      <c r="T66" s="191">
        <f t="array" ref="T66">SQRT((T9:U9*$B$22:$C$22)/($B$9:$C$9*$B$22:$C$22)*(T9:U9*T22:U22)/($B$9:$C$9*T22:U22))</f>
        <v>0.98998259852845627</v>
      </c>
      <c r="U66" s="191"/>
      <c r="V66" s="191">
        <f t="array" ref="V66">SQRT((V9:W9*$B$22:$C$22)/($B$9:$C$9*$B$22:$C$22)*(V9:W9*V22:W22)/($B$9:$C$9*V22:W22))</f>
        <v>0.98888779286460171</v>
      </c>
      <c r="W66" s="191"/>
      <c r="X66" s="191">
        <f t="array" ref="X66">SQRT((X9:Y9*$B$22:$C$22)/($B$9:$C$9*$B$22:$C$22)*(X9:Y9*X22:Y22)/($B$9:$C$9*X22:Y22))</f>
        <v>0.98748730903418325</v>
      </c>
      <c r="Y66" s="191"/>
      <c r="Z66" s="191">
        <f t="array" ref="Z66">SQRT((Z9:AA9*$B$22:$C$22)/($B$9:$C$9*$B$22:$C$22)*(Z9:AA9*Z22:AA22)/($B$9:$C$9*Z22:AA22))</f>
        <v>0.98513424235796987</v>
      </c>
      <c r="AA66" s="191"/>
      <c r="AB66" s="191">
        <f t="array" ref="AB66">SQRT((AB9:AC9*$B$22:$C$22)/($B$9:$C$9*$B$22:$C$22)*(AB9:AC9*AB22:AC22)/($B$9:$C$9*AB22:AC22))</f>
        <v>0.97989651938518474</v>
      </c>
      <c r="AC66" s="191"/>
      <c r="AD66" s="191">
        <f t="array" ref="AD66">SQRT((AD9:AE9*$B$22:$C$22)/($B$9:$C$9*$B$22:$C$22)*(AD9:AE9*AD22:AE22)/($B$9:$C$9*AD22:AE22))</f>
        <v>0.96834332767926523</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0.99879808779125601</v>
      </c>
      <c r="E68" s="191"/>
      <c r="F68" s="191">
        <f>F66/F67</f>
        <v>0.99760598503520637</v>
      </c>
      <c r="G68" s="191"/>
      <c r="H68" s="191">
        <f>H66/H67</f>
        <v>0.99642973209798325</v>
      </c>
      <c r="I68" s="191"/>
      <c r="J68" s="191">
        <f>J66/J67</f>
        <v>0.99527609739544953</v>
      </c>
      <c r="K68" s="191"/>
      <c r="L68" s="191">
        <f>L66/L67</f>
        <v>0.99415218273617489</v>
      </c>
      <c r="M68" s="191"/>
      <c r="N68" s="191">
        <f>N66/N67</f>
        <v>0.99306415987851238</v>
      </c>
      <c r="O68" s="191"/>
      <c r="P68" s="191">
        <f>P66/P67</f>
        <v>0.99201468743596921</v>
      </c>
      <c r="Q68" s="191"/>
      <c r="R68" s="191">
        <f>R66/R67</f>
        <v>0.99099714962282603</v>
      </c>
      <c r="S68" s="191"/>
      <c r="T68" s="191">
        <f>T66/T67</f>
        <v>0.98998259852845627</v>
      </c>
      <c r="U68" s="191"/>
      <c r="V68" s="191">
        <f>V66/V67</f>
        <v>0.98888779286460171</v>
      </c>
      <c r="W68" s="191"/>
      <c r="X68" s="191">
        <f>X66/X67</f>
        <v>0.98748730903418325</v>
      </c>
      <c r="Y68" s="191"/>
      <c r="Z68" s="191">
        <f>Z66/Z67</f>
        <v>0.98513424235796987</v>
      </c>
      <c r="AA68" s="191"/>
      <c r="AB68" s="191">
        <f>AB66/AB67</f>
        <v>0.97989651938518474</v>
      </c>
      <c r="AC68" s="191"/>
      <c r="AD68" s="191">
        <f>AD66/AD67</f>
        <v>0.96834332767926523</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0.98122510779322092</v>
      </c>
      <c r="E69" s="191"/>
      <c r="F69" s="191">
        <f>F32/F65/($B$32)</f>
        <v>0.96035442779031832</v>
      </c>
      <c r="G69" s="191"/>
      <c r="H69" s="191">
        <f>H32/H65/($B$32)</f>
        <v>0.93714755124922366</v>
      </c>
      <c r="I69" s="191"/>
      <c r="J69" s="191">
        <f>J32/J65/($B$32)</f>
        <v>0.91133957262391385</v>
      </c>
      <c r="K69" s="191"/>
      <c r="L69" s="191">
        <f>L32/L65/($B$32)</f>
        <v>0.88264659161159109</v>
      </c>
      <c r="M69" s="191"/>
      <c r="N69" s="191">
        <f>N32/N65/($B$32)</f>
        <v>0.85077639203489475</v>
      </c>
      <c r="O69" s="191"/>
      <c r="P69" s="191">
        <f>P32/P65/($B$32)</f>
        <v>0.81545229923392526</v>
      </c>
      <c r="Q69" s="191"/>
      <c r="R69" s="191">
        <f>R32/R65/($B$32)</f>
        <v>0.77645949670390646</v>
      </c>
      <c r="S69" s="191"/>
      <c r="T69" s="191">
        <f>T32/T65/($B$32)</f>
        <v>0.73373624935008896</v>
      </c>
      <c r="U69" s="191"/>
      <c r="V69" s="191">
        <f>V32/V65/($B$32)</f>
        <v>0.68756318452341825</v>
      </c>
      <c r="W69" s="191"/>
      <c r="X69" s="191">
        <f>X32/X65/($B$32)</f>
        <v>0.63901842476302462</v>
      </c>
      <c r="Y69" s="191"/>
      <c r="Z69" s="191">
        <f>Z32/Z65/($B$32)</f>
        <v>0.59126603399565503</v>
      </c>
      <c r="AA69" s="191"/>
      <c r="AB69" s="191">
        <f>AB32/AB65/($B$32)</f>
        <v>0.55310905710388725</v>
      </c>
      <c r="AC69" s="191"/>
      <c r="AD69" s="191">
        <f>AD32/AD65/($B$32)</f>
        <v>0.5368135628677474</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0.98092731470198036</v>
      </c>
      <c r="E70" s="138"/>
      <c r="F70" s="138">
        <f>F18/$B$18</f>
        <v>0.95977821556575416</v>
      </c>
      <c r="G70" s="138"/>
      <c r="H70" s="138">
        <f>H18/$B$18</f>
        <v>0.93631230622041872</v>
      </c>
      <c r="I70" s="138"/>
      <c r="J70" s="138">
        <f>J18/$B$18</f>
        <v>0.91026523699362127</v>
      </c>
      <c r="K70" s="138"/>
      <c r="L70" s="138">
        <f>L18/$B$18</f>
        <v>0.88135443340399422</v>
      </c>
      <c r="M70" s="138"/>
      <c r="N70" s="138">
        <f>N18/$B$18</f>
        <v>0.84929069711575123</v>
      </c>
      <c r="O70" s="138"/>
      <c r="P70" s="138">
        <f>P18/$B$18</f>
        <v>0.81380323201942351</v>
      </c>
      <c r="Q70" s="138"/>
      <c r="R70" s="138">
        <f>R18/$B$18</f>
        <v>0.77468815848069661</v>
      </c>
      <c r="S70" s="138"/>
      <c r="T70" s="138">
        <f>T18/$B$18</f>
        <v>0.7319038834103776</v>
      </c>
      <c r="U70" s="138"/>
      <c r="V70" s="138">
        <f>V18/$B$18</f>
        <v>0.68576969213304328</v>
      </c>
      <c r="W70" s="138"/>
      <c r="X70" s="138">
        <f>X18/$B$18</f>
        <v>0.63744577951593373</v>
      </c>
      <c r="Y70" s="138"/>
      <c r="Z70" s="138">
        <f>Z18/$B$18</f>
        <v>0.59030692858786449</v>
      </c>
      <c r="AA70" s="138"/>
      <c r="AB70" s="138">
        <f>AB18/$B$18</f>
        <v>0.55380818189867265</v>
      </c>
      <c r="AC70" s="138"/>
      <c r="AD70" s="138">
        <f>AD18/$B$18</f>
        <v>0.54173385536052532</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0.93111462699433367</v>
      </c>
      <c r="E71" s="138"/>
      <c r="F71" s="138">
        <f>G18/$C$18</f>
        <v>0.86348565397372268</v>
      </c>
      <c r="G71" s="138"/>
      <c r="H71" s="138">
        <f>I18/$C$18</f>
        <v>0.79729379612794471</v>
      </c>
      <c r="I71" s="138"/>
      <c r="J71" s="138">
        <f>K18/$C$18</f>
        <v>0.73273103763524383</v>
      </c>
      <c r="K71" s="138"/>
      <c r="L71" s="138">
        <f>M18/$C$18</f>
        <v>0.66998981070421293</v>
      </c>
      <c r="M71" s="138"/>
      <c r="N71" s="138">
        <f>O18/$C$18</f>
        <v>0.60924600676897134</v>
      </c>
      <c r="O71" s="138"/>
      <c r="P71" s="138">
        <f>Q18/$C$18</f>
        <v>0.55062701983167461</v>
      </c>
      <c r="Q71" s="138"/>
      <c r="R71" s="138">
        <f>S18/$C$18</f>
        <v>0.49415337948206733</v>
      </c>
      <c r="S71" s="138"/>
      <c r="T71" s="138">
        <f>U18/$C$18</f>
        <v>0.4396263024270034</v>
      </c>
      <c r="U71" s="138"/>
      <c r="V71" s="138">
        <f>W18/$C$18</f>
        <v>0.38638781360564678</v>
      </c>
      <c r="W71" s="138"/>
      <c r="X71" s="138">
        <f>Y18/$C$18</f>
        <v>0.33272488480546336</v>
      </c>
      <c r="Y71" s="138"/>
      <c r="Z71" s="138">
        <f>AA18/$C$18</f>
        <v>0.27408601960986728</v>
      </c>
      <c r="AA71" s="138"/>
      <c r="AB71" s="138">
        <f>AC18/$C$18</f>
        <v>0.19795425909821862</v>
      </c>
      <c r="AC71" s="138"/>
      <c r="AD71" s="138">
        <f>AE18/$C$18</f>
        <v>8.673709059874174E-2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1.0257993976201596</v>
      </c>
      <c r="E72" s="138"/>
      <c r="F72" s="138">
        <f>G19/$C$19</f>
        <v>1.0482032046985843</v>
      </c>
      <c r="G72" s="138"/>
      <c r="H72" s="138">
        <f>I19/$C$19</f>
        <v>1.0662906871311406</v>
      </c>
      <c r="I72" s="138"/>
      <c r="J72" s="138">
        <f>K19/$C$19</f>
        <v>1.079058558880543</v>
      </c>
      <c r="K72" s="138"/>
      <c r="L72" s="138">
        <f>M19/$C$19</f>
        <v>1.0854507361265417</v>
      </c>
      <c r="M72" s="138"/>
      <c r="N72" s="138">
        <f>O19/$C$19</f>
        <v>1.0844442542916644</v>
      </c>
      <c r="O72" s="138"/>
      <c r="P72" s="138">
        <f>Q19/$C$19</f>
        <v>1.075199561157909</v>
      </c>
      <c r="Q72" s="138"/>
      <c r="R72" s="138">
        <f>S19/$C$19</f>
        <v>1.0573510325618307</v>
      </c>
      <c r="S72" s="138"/>
      <c r="T72" s="138">
        <f>U19/$C$19</f>
        <v>1.0315765506305206</v>
      </c>
      <c r="U72" s="138"/>
      <c r="V72" s="138">
        <f>W19/$C$19</f>
        <v>1.0008268502873487</v>
      </c>
      <c r="W72" s="138"/>
      <c r="X72" s="138">
        <f>Y19/$C$19</f>
        <v>0.97344727247509499</v>
      </c>
      <c r="Y72" s="138"/>
      <c r="Z72" s="138">
        <f>AA19/$C$19</f>
        <v>0.97291746611072838</v>
      </c>
      <c r="AA72" s="138"/>
      <c r="AB72" s="138">
        <f>AC19/$C$19</f>
        <v>1.0696145592746751</v>
      </c>
      <c r="AC72" s="138"/>
      <c r="AD72" s="138">
        <f>AE19/$C$19</f>
        <v>1.398500745837153</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0.47641153352875076</v>
      </c>
      <c r="D73" s="193">
        <f t="array" ref="D73">SUM(D9:E9*D22:E22)/D32</f>
        <v>0.47641153345565629</v>
      </c>
      <c r="E73" s="138"/>
      <c r="F73" s="193">
        <f t="array" ref="F73">SUM(F9:G9*F22:G22)/F32</f>
        <v>0.47641153816009946</v>
      </c>
      <c r="G73" s="138"/>
      <c r="H73" s="193">
        <f t="array" ref="H73">SUM(H9:I9*H22:I22)/H32</f>
        <v>0.47641153346928877</v>
      </c>
      <c r="I73" s="138"/>
      <c r="J73" s="193">
        <f t="array" ref="J73">SUM(J9:K9*J22:K22)/J32</f>
        <v>0.47641153354206045</v>
      </c>
      <c r="K73" s="138"/>
      <c r="L73" s="193">
        <f t="array" ref="L73">SUM(L9:M9*L22:M22)/L32</f>
        <v>0.47641153344588189</v>
      </c>
      <c r="M73" s="138"/>
      <c r="N73" s="193">
        <f t="array" ref="N73">SUM(N9:O9*N22:O22)/N32</f>
        <v>0.47641153337847397</v>
      </c>
      <c r="O73" s="138"/>
      <c r="P73" s="193">
        <f t="array" ref="P73">SUM(P9:Q9*P22:Q22)/P32</f>
        <v>0.47641153342068976</v>
      </c>
      <c r="Q73" s="138"/>
      <c r="R73" s="193">
        <f t="array" ref="R73">SUM(R9:S9*R22:S22)/R32</f>
        <v>0.47641153322049334</v>
      </c>
      <c r="S73" s="138"/>
      <c r="T73" s="193">
        <f t="array" ref="T73">SUM(T9:U9*T22:U22)/T32</f>
        <v>0.47641153319494589</v>
      </c>
      <c r="U73" s="138"/>
      <c r="V73" s="193">
        <f t="array" ref="V73">SUM(V9:W9*V22:W22)/V32</f>
        <v>0.47641153161517452</v>
      </c>
      <c r="W73" s="138"/>
      <c r="X73" s="193">
        <f t="array" ref="X73">SUM(X9:Y9*X22:Y22)/X32</f>
        <v>0.47641153417851939</v>
      </c>
      <c r="Y73" s="138"/>
      <c r="Z73" s="193">
        <f t="array" ref="Z73">SUM(Z9:AA9*Z22:AA22)/Z32</f>
        <v>0.47641152933047737</v>
      </c>
      <c r="AA73" s="138"/>
      <c r="AB73" s="193">
        <f t="array" ref="AB73">SUM(AB9:AC9*AB22:AC22)/AB32</f>
        <v>0.47641153404269426</v>
      </c>
      <c r="AC73" s="138"/>
      <c r="AD73" s="193">
        <f t="array" ref="AD73">SUM(AD9:AE9*AD22:AE22)/AD32</f>
        <v>0.47641153353446664</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0.22038438823034279</v>
      </c>
      <c r="E75" s="138"/>
      <c r="F75" s="193">
        <f t="array" ref="F75">SUM(F11:G11*F24:G24)/F32</f>
        <v>0.22038438895703449</v>
      </c>
      <c r="G75" s="138"/>
      <c r="H75" s="193">
        <f t="array" ref="H75">SUM(H11:I11*H24:I24)/H32</f>
        <v>0.22038438809284902</v>
      </c>
      <c r="I75" s="138"/>
      <c r="J75" s="193">
        <f t="array" ref="J75">SUM(J11:K11*J24:K24)/J32</f>
        <v>0.22038438806960881</v>
      </c>
      <c r="K75" s="138"/>
      <c r="L75" s="193">
        <f t="array" ref="L75">SUM(L11:M11*L24:M24)/L32</f>
        <v>0.22038438765939092</v>
      </c>
      <c r="M75" s="138"/>
      <c r="N75" s="193">
        <f t="array" ref="N75">SUM(N11:O11*N24:O24)/N32</f>
        <v>0.22038438788054779</v>
      </c>
      <c r="O75" s="138"/>
      <c r="P75" s="193">
        <f t="array" ref="P75">SUM(P11:Q11*P24:Q24)/P32</f>
        <v>0.22038438848981939</v>
      </c>
      <c r="Q75" s="138"/>
      <c r="R75" s="193">
        <f t="array" ref="R75">SUM(R11:S11*R24:S24)/R32</f>
        <v>0.2203843890121181</v>
      </c>
      <c r="S75" s="138"/>
      <c r="T75" s="193">
        <f t="array" ref="T75">SUM(T11:U11*T24:U24)/T32</f>
        <v>0.22038438798488236</v>
      </c>
      <c r="U75" s="138"/>
      <c r="V75" s="193">
        <f t="array" ref="V75">SUM(V11:W11*V24:W24)/V32</f>
        <v>0.22038438896039653</v>
      </c>
      <c r="W75" s="138"/>
      <c r="X75" s="193">
        <f t="array" ref="X75">SUM(X11:Y11*X24:Y24)/X32</f>
        <v>0.22038438816754757</v>
      </c>
      <c r="Y75" s="138"/>
      <c r="Z75" s="193">
        <f t="array" ref="Z75">SUM(Z11:AA11*Z24:AA24)/Z32</f>
        <v>0.22038438876159772</v>
      </c>
      <c r="AA75" s="138"/>
      <c r="AB75" s="193">
        <f t="array" ref="AB75">SUM(AB11:AC11*AB24:AC24)/AB32</f>
        <v>0.22038438834116361</v>
      </c>
      <c r="AC75" s="138"/>
      <c r="AD75" s="193">
        <f t="array" ref="AD75">SUM(AD11:AE11*AD24:AE24)/AD32</f>
        <v>0.22038438833207732</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0.22325090622224442</v>
      </c>
      <c r="E76" s="138"/>
      <c r="F76" s="193">
        <f t="array" ref="F76">SUM(F12:G12*F25:G25)/F32</f>
        <v>0.22350320846536492</v>
      </c>
      <c r="G76" s="138"/>
      <c r="H76" s="193">
        <f t="array" ref="H76">SUM(H12:I12*H25:I25)/H32</f>
        <v>0.22377199747558948</v>
      </c>
      <c r="I76" s="138"/>
      <c r="J76" s="193">
        <f t="array" ref="J76">SUM(J12:K12*J25:K25)/J32</f>
        <v>0.22405315759111522</v>
      </c>
      <c r="K76" s="138"/>
      <c r="L76" s="193">
        <f t="array" ref="L76">SUM(L12:M12*L25:M25)/L32</f>
        <v>0.22434231651015468</v>
      </c>
      <c r="M76" s="138"/>
      <c r="N76" s="193">
        <f t="array" ref="N76">SUM(N12:O12*N25:O25)/N32</f>
        <v>0.22463570417993578</v>
      </c>
      <c r="O76" s="138"/>
      <c r="P76" s="193">
        <f t="array" ref="P76">SUM(P12:Q12*P25:Q25)/P32</f>
        <v>0.22493182007432916</v>
      </c>
      <c r="Q76" s="138"/>
      <c r="R76" s="193">
        <f t="array" ref="R76">SUM(R12:S12*R25:S25)/R32</f>
        <v>0.22523518701553902</v>
      </c>
      <c r="S76" s="138"/>
      <c r="T76" s="193">
        <f t="array" ref="T76">SUM(T12:U12*T25:U25)/T32</f>
        <v>0.22556485685734329</v>
      </c>
      <c r="U76" s="138"/>
      <c r="V76" s="193">
        <f t="array" ref="V76">SUM(V12:W12*V25:W25)/V32</f>
        <v>0.22597543473763526</v>
      </c>
      <c r="W76" s="138"/>
      <c r="X76" s="193">
        <f t="array" ref="X76">SUM(X12:Y12*X25:Y25)/X32</f>
        <v>0.22661599151372691</v>
      </c>
      <c r="Y76" s="138"/>
      <c r="Z76" s="193">
        <f t="array" ref="Z76">SUM(Z12:AA12*Z25:AA25)/Z32</f>
        <v>0.22792609109828804</v>
      </c>
      <c r="AA76" s="138"/>
      <c r="AB76" s="193">
        <f t="array" ref="AB76">SUM(AB12:AC12*AB25:AC25)/AB32</f>
        <v>0.23131285508926783</v>
      </c>
      <c r="AC76" s="138"/>
      <c r="AD76" s="193">
        <f t="array" ref="AD76">SUM(AD12:AE12*AD25:AE25)/AD32</f>
        <v>0.23984639678066519</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0.14609303247266819</v>
      </c>
      <c r="E77" s="138"/>
      <c r="F77" s="193">
        <f t="array" ref="F77">SUM(F4:G4*F19:G19)/F32</f>
        <v>0.14634534014692369</v>
      </c>
      <c r="G77" s="138"/>
      <c r="H77" s="193">
        <f t="array" ref="H77">SUM(H4:I4*H19:I19)/H32</f>
        <v>0.14661412360215187</v>
      </c>
      <c r="I77" s="138"/>
      <c r="J77" s="193">
        <f t="array" ref="J77">SUM(J4:K4*J19:K19)/J32</f>
        <v>0.14689528376720912</v>
      </c>
      <c r="K77" s="138"/>
      <c r="L77" s="193">
        <f t="array" ref="L77">SUM(L4:M4*L19:M19)/L32</f>
        <v>0.14718444217985222</v>
      </c>
      <c r="M77" s="138"/>
      <c r="N77" s="193">
        <f t="array" ref="N77">SUM(N4:O4*N19:O19)/N32</f>
        <v>0.14747783000338208</v>
      </c>
      <c r="O77" s="138"/>
      <c r="P77" s="193">
        <f t="array" ref="P77">SUM(P4:Q4*P19:Q19)/P32</f>
        <v>0.14777394654926296</v>
      </c>
      <c r="Q77" s="138"/>
      <c r="R77" s="193">
        <f t="array" ref="R77">SUM(R4:S4*R19:S19)/R32</f>
        <v>0.14807731381257497</v>
      </c>
      <c r="S77" s="138"/>
      <c r="T77" s="193">
        <f t="array" ref="T77">SUM(T4:U4*T19:U19)/T32</f>
        <v>0.14840698260159607</v>
      </c>
      <c r="U77" s="138"/>
      <c r="V77" s="193">
        <f t="array" ref="V77">SUM(V4:W4*V19:W19)/V32</f>
        <v>0.1488175598776309</v>
      </c>
      <c r="W77" s="138"/>
      <c r="X77" s="193">
        <f t="array" ref="X77">SUM(X4:Y4*X19:Y19)/X32</f>
        <v>0.14945811842421849</v>
      </c>
      <c r="Y77" s="138"/>
      <c r="Z77" s="193">
        <f t="array" ref="Z77">SUM(Z4:AA4*Z19:AA19)/Z32</f>
        <v>0.15076821375478777</v>
      </c>
      <c r="AA77" s="138"/>
      <c r="AB77" s="193">
        <f t="array" ref="AB77">SUM(AB4:AC4*AB19:AC19)/AB32</f>
        <v>0.15415498203755046</v>
      </c>
      <c r="AC77" s="138"/>
      <c r="AD77" s="193">
        <f t="array" ref="AD77">SUM(AD4:AE4*AD19:AE19)/AD32</f>
        <v>0.16268852321163399</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0.3414313633925497</v>
      </c>
      <c r="E78" s="138"/>
      <c r="F78" s="193">
        <f t="array" ref="F78">SUM(F13:G13*F26:G26)/F32</f>
        <v>0.33598527771463765</v>
      </c>
      <c r="G78" s="138"/>
      <c r="H78" s="193">
        <f t="array" ref="H78">SUM(H13:I13*H26:I26)/H32</f>
        <v>0.33056170205829377</v>
      </c>
      <c r="I78" s="138"/>
      <c r="J78" s="193">
        <f t="array" ref="J78">SUM(J13:K13*J26:K26)/J32</f>
        <v>0.32517706364595012</v>
      </c>
      <c r="K78" s="138"/>
      <c r="L78" s="193">
        <f t="array" ref="L78">SUM(L13:M13*L26:M26)/L32</f>
        <v>0.31985258743594458</v>
      </c>
      <c r="M78" s="138"/>
      <c r="N78" s="193">
        <f t="array" ref="N78">SUM(N13:O13*N26:O26)/N32</f>
        <v>0.31461649688698917</v>
      </c>
      <c r="O78" s="138"/>
      <c r="P78" s="193">
        <f t="array" ref="P78">SUM(P13:Q13*P26:Q26)/P32</f>
        <v>0.30950627547292692</v>
      </c>
      <c r="Q78" s="138"/>
      <c r="R78" s="193">
        <f t="array" ref="R78">SUM(R13:S13*R26:S26)/R32</f>
        <v>0.30457253370762216</v>
      </c>
      <c r="S78" s="138"/>
      <c r="T78" s="193">
        <f t="array" ref="T78">SUM(T13:U13*T26:U26)/T32</f>
        <v>0.29988549378066787</v>
      </c>
      <c r="U78" s="138"/>
      <c r="V78" s="193">
        <f t="array" ref="V78">SUM(V13:W13*V26:W26)/V32</f>
        <v>0.2955493134906938</v>
      </c>
      <c r="W78" s="138"/>
      <c r="X78" s="193">
        <f t="array" ref="X78">SUM(X13:Y13*X26:Y26)/X32</f>
        <v>0.29173689593331348</v>
      </c>
      <c r="Y78" s="138"/>
      <c r="Z78" s="193">
        <f t="array" ref="Z78">SUM(Z13:AA13*Z26:AA26)/Z32</f>
        <v>0.28880652083880165</v>
      </c>
      <c r="AA78" s="138"/>
      <c r="AB78" s="193">
        <f t="array" ref="AB78">SUM(AB13:AC13*AB26:AC26)/AB32</f>
        <v>0.28765716338848379</v>
      </c>
      <c r="AC78" s="138"/>
      <c r="AD78" s="193">
        <f t="array" ref="AD78">SUM(AD13:AE13*AD26:AE26)/AD32</f>
        <v>0.28968853884540396</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0.46014188550267737</v>
      </c>
      <c r="F79" s="193">
        <f t="array" ref="F79">SUM(F15:G15*F27:G27)/F32</f>
        <v>0.46566363582974452</v>
      </c>
      <c r="H79" s="193">
        <f t="array" ref="H79">SUM(H15:I15*H27:I27)/H32</f>
        <v>0.4711628970899539</v>
      </c>
      <c r="J79" s="193">
        <f t="array" ref="J79">SUM(J15:K15*J27:K27)/J32</f>
        <v>0.47662251232276409</v>
      </c>
      <c r="L79" s="193">
        <f t="array" ref="L79">SUM(L15:M15*L27:M27)/L32</f>
        <v>0.48202126046069371</v>
      </c>
      <c r="N79" s="193">
        <f t="array" ref="N79">SUM(N15:O15*N27:O27)/N32</f>
        <v>0.48733021998529436</v>
      </c>
      <c r="P79" s="193">
        <f t="array" ref="P79">SUM(P15:Q15*P27:Q27)/P32</f>
        <v>0.49251131295430467</v>
      </c>
      <c r="R79" s="193">
        <f t="array" ref="R79">SUM(R15:S15*R27:S27)/R32</f>
        <v>0.49751338798438616</v>
      </c>
      <c r="T79" s="193">
        <f t="array" ref="T79">SUM(T15:U15*T27:U27)/T32</f>
        <v>0.50226645052012209</v>
      </c>
      <c r="V79" s="193">
        <f t="array" ref="V79">SUM(V15:W15*V27:W27)/V32</f>
        <v>0.50666238642306249</v>
      </c>
      <c r="X79" s="193">
        <f t="array" ref="X79">SUM(X15:Y15*X27:Y27)/X32</f>
        <v>0.51052820108479291</v>
      </c>
      <c r="Z79" s="193">
        <f t="array" ref="Z79">SUM(Z15:AA15*Z27:AA27)/Z32</f>
        <v>0.51349922928420755</v>
      </c>
      <c r="AB79" s="193">
        <f t="array" ref="AB79">SUM(AB15:AC15*AB27:AC27)/AB32</f>
        <v>0.51466466798942057</v>
      </c>
      <c r="AD79" s="193">
        <f t="array" ref="AD79">SUM(AD15:AE15*AD27:AE27)/AD32</f>
        <v>0.51260501288312121</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0.19842676108006641</v>
      </c>
      <c r="F80" s="236">
        <f>F55</f>
        <v>0.1983509603274356</v>
      </c>
      <c r="H80" s="236">
        <f>H55</f>
        <v>0.19827544144974057</v>
      </c>
      <c r="J80" s="236">
        <f>J55</f>
        <v>0.19820048092027037</v>
      </c>
      <c r="L80" s="236">
        <f>L55</f>
        <v>0.19812634899294487</v>
      </c>
      <c r="N80" s="236">
        <f>N55</f>
        <v>0.19805346085725642</v>
      </c>
      <c r="P80" s="236">
        <f>P55</f>
        <v>0.19798233655349287</v>
      </c>
      <c r="R80" s="236">
        <f>R55</f>
        <v>0.19791366780130884</v>
      </c>
      <c r="T80" s="236">
        <f>T55</f>
        <v>0.19784838965511584</v>
      </c>
      <c r="V80" s="236">
        <f>V55</f>
        <v>0.19778804511926032</v>
      </c>
      <c r="X80" s="236">
        <f>X55</f>
        <v>0.19773496291123704</v>
      </c>
      <c r="Z80" s="236">
        <f>Z55</f>
        <v>0.19769417270772796</v>
      </c>
      <c r="AB80" s="236">
        <f>AB55</f>
        <v>0.19767817014456968</v>
      </c>
      <c r="AD80" s="236">
        <f>AD55</f>
        <v>0.19770644913836502</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-2.7619443484358453E-2</v>
      </c>
      <c r="F81" s="236">
        <f>F51/F$32</f>
        <v>-2.7695244236989242E-2</v>
      </c>
      <c r="H81" s="236">
        <f>H51/H$32</f>
        <v>-2.7770763114684245E-2</v>
      </c>
      <c r="J81" s="236">
        <f>J51/J$32</f>
        <v>-2.7845723644154462E-2</v>
      </c>
      <c r="L81" s="236">
        <f>L51/L$32</f>
        <v>-2.7919855571479961E-2</v>
      </c>
      <c r="N81" s="236">
        <f>N51/N$32</f>
        <v>-2.7992743707168422E-2</v>
      </c>
      <c r="P81" s="236">
        <f>P51/P$32</f>
        <v>-2.8063868010931969E-2</v>
      </c>
      <c r="R81" s="236">
        <f>R51/R$32</f>
        <v>-2.8132536763115983E-2</v>
      </c>
      <c r="T81" s="236">
        <f>T51/T$32</f>
        <v>-2.8197814909309005E-2</v>
      </c>
      <c r="V81" s="236">
        <f>V51/V$32</f>
        <v>-2.8258159445164535E-2</v>
      </c>
      <c r="X81" s="236">
        <f>X51/X$32</f>
        <v>-2.8311241653187786E-2</v>
      </c>
      <c r="Z81" s="236">
        <f>Z51/Z$32</f>
        <v>-2.8352031856696866E-2</v>
      </c>
      <c r="AB81" s="236">
        <f>AB51/AB$32</f>
        <v>-2.8368034419855186E-2</v>
      </c>
      <c r="AD81" s="236">
        <f>AD51/AD$32</f>
        <v>-2.8339755426059817E-2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0.13689102149809326</v>
      </c>
      <c r="F82" s="236">
        <f>F52/F$32</f>
        <v>0.13470750729421979</v>
      </c>
      <c r="H82" s="236">
        <f>H52/H$32</f>
        <v>0.1325330180955942</v>
      </c>
      <c r="J82" s="236">
        <f>J52/J$32</f>
        <v>0.1303741401139715</v>
      </c>
      <c r="L82" s="236">
        <f>L52/L$32</f>
        <v>0.12823938313064201</v>
      </c>
      <c r="N82" s="236">
        <f>N52/N$32</f>
        <v>0.12614006285502069</v>
      </c>
      <c r="P82" s="236">
        <f>P52/P$32</f>
        <v>0.12409120764001766</v>
      </c>
      <c r="R82" s="236">
        <f>R52/R$32</f>
        <v>0.12211310889903039</v>
      </c>
      <c r="T82" s="236">
        <f>T52/T$32</f>
        <v>0.12023392100888494</v>
      </c>
      <c r="V82" s="236">
        <f>V52/V$32</f>
        <v>0.11849540424406159</v>
      </c>
      <c r="X82" s="236">
        <f>X52/X$32</f>
        <v>0.11696688112122521</v>
      </c>
      <c r="Z82" s="236">
        <f>Z52/Z$32</f>
        <v>0.11579199772423895</v>
      </c>
      <c r="AB82" s="236">
        <f>AB52/AB$32</f>
        <v>0.11533118266062817</v>
      </c>
      <c r="AD82" s="236">
        <f>AD52/AD$32</f>
        <v>0.11614562764477053</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0.18827068700690372</v>
      </c>
      <c r="F83" s="236">
        <f>F53/F$32</f>
        <v>0.19052995476824178</v>
      </c>
      <c r="H83" s="236">
        <f>H53/H$32</f>
        <v>0.19278002095023913</v>
      </c>
      <c r="J83" s="236">
        <f>J53/J$32</f>
        <v>0.1950138656469714</v>
      </c>
      <c r="L83" s="236">
        <f>L53/L$32</f>
        <v>0.19722280609105824</v>
      </c>
      <c r="N83" s="236">
        <f>N53/N$32</f>
        <v>0.19939500881478225</v>
      </c>
      <c r="P83" s="236">
        <f>P53/P$32</f>
        <v>0.20151489392729835</v>
      </c>
      <c r="R83" s="236">
        <f>R53/R$32</f>
        <v>0.20356153243608072</v>
      </c>
      <c r="T83" s="236">
        <f>T53/T$32</f>
        <v>0.20550628551591002</v>
      </c>
      <c r="V83" s="236">
        <f>V53/V$32</f>
        <v>0.207304917413071</v>
      </c>
      <c r="X83" s="236">
        <f>X53/X$32</f>
        <v>0.20888664601708676</v>
      </c>
      <c r="Z83" s="236">
        <f>Z53/Z$32</f>
        <v>0.21010226567233642</v>
      </c>
      <c r="AB83" s="236">
        <f>AB53/AB$32</f>
        <v>0.21057911412410293</v>
      </c>
      <c r="AD83" s="236">
        <f>AD53/AD$32</f>
        <v>0.20973638996862506</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5.3301865652542302E-2</v>
      </c>
      <c r="E2" s="227"/>
      <c r="F2" s="226">
        <v>0.10450067379306745</v>
      </c>
      <c r="G2" s="227"/>
      <c r="H2" s="226">
        <v>0.16003759756056501</v>
      </c>
      <c r="I2" s="227"/>
      <c r="J2" s="226">
        <v>0.2208183838164301</v>
      </c>
      <c r="K2" s="227"/>
      <c r="L2" s="226">
        <v>0.28810316704423233</v>
      </c>
      <c r="M2" s="227"/>
      <c r="N2" s="226">
        <v>0.36369647469107902</v>
      </c>
      <c r="O2" s="227"/>
      <c r="P2" s="226">
        <v>0.45026986616641701</v>
      </c>
      <c r="Q2" s="227"/>
      <c r="R2" s="226">
        <v>0.5519251814337699</v>
      </c>
      <c r="S2" s="227"/>
      <c r="T2" s="226">
        <v>0.67523951792995618</v>
      </c>
      <c r="U2" s="227"/>
      <c r="V2" s="226">
        <v>0.83125500281749987</v>
      </c>
      <c r="W2" s="227"/>
      <c r="X2" s="226">
        <v>1.0393432376421339</v>
      </c>
      <c r="Y2" s="227"/>
      <c r="Z2" s="226">
        <v>1.3342623505223261</v>
      </c>
      <c r="AA2" s="227"/>
      <c r="AB2" s="226">
        <v>1.7760326165786215</v>
      </c>
      <c r="AC2" s="227"/>
      <c r="AD2" s="226">
        <v>2.4556839402255162</v>
      </c>
      <c r="AE2" s="227"/>
      <c r="AF2" s="226">
        <v>3.4954284940249991</v>
      </c>
      <c r="AG2" s="227"/>
      <c r="AH2" s="226">
        <v>5.0729387808543711</v>
      </c>
      <c r="AI2" s="227"/>
      <c r="AJ2" s="226">
        <v>7.4656582715713009</v>
      </c>
      <c r="AK2" s="227"/>
      <c r="AL2" s="226">
        <v>10.955046530711257</v>
      </c>
      <c r="AM2" s="227"/>
      <c r="AN2" s="226"/>
      <c r="AO2" s="227"/>
      <c r="AP2" s="226"/>
      <c r="AQ2" s="227"/>
      <c r="AR2" s="226"/>
      <c r="AS2" s="227"/>
      <c r="AT2" s="226"/>
      <c r="AU2" s="227"/>
      <c r="AV2" s="226"/>
      <c r="AW2" s="227"/>
    </row>
    <row r="3" spans="1:49" x14ac:dyDescent="0.2">
      <c r="A3" t="s">
        <v>12</v>
      </c>
      <c r="B3" s="84">
        <v>1000</v>
      </c>
      <c r="C3" s="85">
        <v>1000</v>
      </c>
      <c r="D3" s="84">
        <v>997.9585773775857</v>
      </c>
      <c r="E3" s="85">
        <v>1019.8996384771058</v>
      </c>
      <c r="F3" s="84">
        <v>995.82676022039027</v>
      </c>
      <c r="G3" s="85">
        <v>1041.4930504119134</v>
      </c>
      <c r="H3" s="84">
        <v>993.59987504608819</v>
      </c>
      <c r="I3" s="85">
        <v>1065.0592179120849</v>
      </c>
      <c r="J3" s="84">
        <v>991.27740361625115</v>
      </c>
      <c r="K3" s="85">
        <v>1090.9656117347399</v>
      </c>
      <c r="L3" s="84">
        <v>988.86511055132621</v>
      </c>
      <c r="M3" s="85">
        <v>1119.710727175285</v>
      </c>
      <c r="N3" s="84">
        <v>986.37824781423819</v>
      </c>
      <c r="O3" s="85">
        <v>1151.9933501177027</v>
      </c>
      <c r="P3" s="84">
        <v>983.84670422162787</v>
      </c>
      <c r="Q3" s="85">
        <v>1188.8257038268609</v>
      </c>
      <c r="R3" s="84">
        <v>981.32338987133608</v>
      </c>
      <c r="S3" s="85">
        <v>1231.7301582683847</v>
      </c>
      <c r="T3" s="84">
        <v>978.89855429506986</v>
      </c>
      <c r="U3" s="85">
        <v>1283.0919621754997</v>
      </c>
      <c r="V3" s="84">
        <v>976.7235569551035</v>
      </c>
      <c r="W3" s="85">
        <v>1346.8162976694807</v>
      </c>
      <c r="X3" s="84">
        <v>975.0464411459244</v>
      </c>
      <c r="Y3" s="85">
        <v>1429.5585712321217</v>
      </c>
      <c r="Z3" s="84">
        <v>974.24197681365581</v>
      </c>
      <c r="AA3" s="85">
        <v>1542.8565429413111</v>
      </c>
      <c r="AB3" s="84">
        <v>974.74254133487875</v>
      </c>
      <c r="AC3" s="85">
        <v>1705.8370923879047</v>
      </c>
      <c r="AD3" s="84">
        <v>976.71117627999479</v>
      </c>
      <c r="AE3" s="85">
        <v>1946.2431761916905</v>
      </c>
      <c r="AF3" s="84">
        <v>979.71666829201956</v>
      </c>
      <c r="AG3" s="85">
        <v>2300.2066772841235</v>
      </c>
      <c r="AH3" s="84">
        <v>983.04916520381676</v>
      </c>
      <c r="AI3" s="85">
        <v>2820.3880622314023</v>
      </c>
      <c r="AJ3" s="84">
        <v>986.19014509233762</v>
      </c>
      <c r="AK3" s="85">
        <v>3589.3314539177259</v>
      </c>
      <c r="AL3" s="84">
        <v>988.79963910299921</v>
      </c>
      <c r="AM3" s="85">
        <v>4689.560501712941</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997.85667928513533</v>
      </c>
      <c r="E5" s="42">
        <v>1017.160453830134</v>
      </c>
      <c r="F5" s="41">
        <v>995.61573520674938</v>
      </c>
      <c r="G5" s="42">
        <v>1035.0538784563373</v>
      </c>
      <c r="H5" s="41">
        <v>993.27188242691966</v>
      </c>
      <c r="I5" s="42">
        <v>1053.6822170590829</v>
      </c>
      <c r="J5" s="41">
        <v>990.82417343522036</v>
      </c>
      <c r="K5" s="42">
        <v>1073.0386392316486</v>
      </c>
      <c r="L5" s="41">
        <v>988.2782732531698</v>
      </c>
      <c r="M5" s="42">
        <v>1093.1023339034161</v>
      </c>
      <c r="N5" s="41">
        <v>985.64989685733053</v>
      </c>
      <c r="O5" s="42">
        <v>1113.8361633553927</v>
      </c>
      <c r="P5" s="41">
        <v>982.97034246558826</v>
      </c>
      <c r="Q5" s="42">
        <v>1135.1707847658372</v>
      </c>
      <c r="R5" s="41">
        <v>980.29551073560572</v>
      </c>
      <c r="S5" s="42">
        <v>1156.9853745353737</v>
      </c>
      <c r="T5" s="41">
        <v>977.72130336687496</v>
      </c>
      <c r="U5" s="42">
        <v>1179.0575133328284</v>
      </c>
      <c r="V5" s="41">
        <v>975.40916929565731</v>
      </c>
      <c r="W5" s="42">
        <v>1200.9776559094021</v>
      </c>
      <c r="X5" s="41">
        <v>973.62426373521782</v>
      </c>
      <c r="Y5" s="42">
        <v>1221.9932656667402</v>
      </c>
      <c r="Z5" s="41">
        <v>972.76746194629948</v>
      </c>
      <c r="AA5" s="42">
        <v>1240.7950386230748</v>
      </c>
      <c r="AB5" s="41">
        <v>973.30064093157944</v>
      </c>
      <c r="AC5" s="42">
        <v>1255.5309854350471</v>
      </c>
      <c r="AD5" s="41">
        <v>975.39599943998985</v>
      </c>
      <c r="AE5" s="42">
        <v>1264.777164763995</v>
      </c>
      <c r="AF5" s="41">
        <v>978.59022761000574</v>
      </c>
      <c r="AG5" s="42">
        <v>1269.1016759805475</v>
      </c>
      <c r="AH5" s="41">
        <v>982.12534479475869</v>
      </c>
      <c r="AI5" s="42">
        <v>1270.5919063015881</v>
      </c>
      <c r="AJ5" s="41">
        <v>985.45093381183074</v>
      </c>
      <c r="AK5" s="42">
        <v>1270.9747981237704</v>
      </c>
      <c r="AL5" s="41">
        <v>988.20912538700895</v>
      </c>
      <c r="AM5" s="42">
        <v>1271.0480936809836</v>
      </c>
      <c r="AN5" s="41"/>
      <c r="AO5" s="42"/>
      <c r="AP5" s="41"/>
      <c r="AQ5" s="42"/>
      <c r="AR5" s="41"/>
      <c r="AS5" s="42"/>
      <c r="AT5" s="41"/>
      <c r="AU5" s="42"/>
      <c r="AV5" s="41"/>
      <c r="AW5" s="42"/>
    </row>
    <row r="6" spans="1:49" x14ac:dyDescent="0.2">
      <c r="A6" t="s">
        <v>77</v>
      </c>
      <c r="B6" s="41">
        <v>999.99999999999943</v>
      </c>
      <c r="C6" s="42">
        <v>999.99999999999909</v>
      </c>
      <c r="D6" s="41">
        <v>997.6934918134009</v>
      </c>
      <c r="E6" s="42">
        <v>1021.4473689909385</v>
      </c>
      <c r="F6" s="41">
        <v>995.28353652382089</v>
      </c>
      <c r="G6" s="42">
        <v>1044.6498920590489</v>
      </c>
      <c r="H6" s="41">
        <v>992.76466115487028</v>
      </c>
      <c r="I6" s="42">
        <v>1069.8959223715024</v>
      </c>
      <c r="J6" s="41">
        <v>990.13607288153094</v>
      </c>
      <c r="K6" s="42">
        <v>1097.5656790638836</v>
      </c>
      <c r="L6" s="41">
        <v>987.40408259980438</v>
      </c>
      <c r="M6" s="42">
        <v>1128.1753453313688</v>
      </c>
      <c r="N6" s="41">
        <v>984.58576138469311</v>
      </c>
      <c r="O6" s="42">
        <v>1162.4487984501736</v>
      </c>
      <c r="P6" s="41">
        <v>981.71482200144351</v>
      </c>
      <c r="Q6" s="42">
        <v>1201.4345508641256</v>
      </c>
      <c r="R6" s="41">
        <v>978.85120122391788</v>
      </c>
      <c r="S6" s="42">
        <v>1246.7088007666314</v>
      </c>
      <c r="T6" s="41">
        <v>976.09742342737957</v>
      </c>
      <c r="U6" s="42">
        <v>1300.7389160139749</v>
      </c>
      <c r="V6" s="41">
        <v>973.62575897215788</v>
      </c>
      <c r="W6" s="42">
        <v>1367.5592125377771</v>
      </c>
      <c r="X6" s="41">
        <v>971.71883191247991</v>
      </c>
      <c r="Y6" s="42">
        <v>1454.0329376501481</v>
      </c>
      <c r="Z6" s="41">
        <v>970.8038053907062</v>
      </c>
      <c r="AA6" s="42">
        <v>1572.0301357376675</v>
      </c>
      <c r="AB6" s="41">
        <v>971.37319048968629</v>
      </c>
      <c r="AC6" s="42">
        <v>1741.1683888296016</v>
      </c>
      <c r="AD6" s="41">
        <v>973.61168517840633</v>
      </c>
      <c r="AE6" s="42">
        <v>1989.8037351291323</v>
      </c>
      <c r="AF6" s="41">
        <v>977.0267304807802</v>
      </c>
      <c r="AG6" s="42">
        <v>2354.8016005996597</v>
      </c>
      <c r="AH6" s="41">
        <v>980.80994146582771</v>
      </c>
      <c r="AI6" s="42">
        <v>2890.0057232682398</v>
      </c>
      <c r="AJ6" s="41">
        <v>984.37250940861588</v>
      </c>
      <c r="AK6" s="42">
        <v>3680.005473493974</v>
      </c>
      <c r="AL6" s="41">
        <v>987.32990940964862</v>
      </c>
      <c r="AM6" s="42">
        <v>4809.4373293211238</v>
      </c>
      <c r="AN6" s="41"/>
      <c r="AO6" s="42"/>
      <c r="AP6" s="41"/>
      <c r="AQ6" s="42"/>
      <c r="AR6" s="41"/>
      <c r="AS6" s="42"/>
      <c r="AT6" s="41"/>
      <c r="AU6" s="42"/>
      <c r="AV6" s="41"/>
      <c r="AW6" s="42"/>
    </row>
    <row r="7" spans="1:49" x14ac:dyDescent="0.2">
      <c r="A7" t="s">
        <v>13</v>
      </c>
      <c r="B7" s="33">
        <v>1015.9116825427475</v>
      </c>
      <c r="C7" s="34">
        <v>1015.9116825427475</v>
      </c>
      <c r="D7" s="33">
        <v>1013.7342579890806</v>
      </c>
      <c r="E7" s="34">
        <v>1013.7342579890806</v>
      </c>
      <c r="F7" s="33">
        <v>1011.4576567199233</v>
      </c>
      <c r="G7" s="34">
        <v>1011.4576567199233</v>
      </c>
      <c r="H7" s="33">
        <v>1009.076509298734</v>
      </c>
      <c r="I7" s="34">
        <v>1009.076509298734</v>
      </c>
      <c r="J7" s="33">
        <v>1006.5898531386017</v>
      </c>
      <c r="K7" s="34">
        <v>1006.5898531386017</v>
      </c>
      <c r="L7" s="33">
        <v>1004.0034434010688</v>
      </c>
      <c r="M7" s="34">
        <v>1004.0034434010688</v>
      </c>
      <c r="N7" s="33">
        <v>1001.3332451144162</v>
      </c>
      <c r="O7" s="34">
        <v>1001.3332451144162</v>
      </c>
      <c r="P7" s="33">
        <v>998.61105450383639</v>
      </c>
      <c r="Q7" s="34">
        <v>998.61105450383639</v>
      </c>
      <c r="R7" s="33">
        <v>995.89366170051119</v>
      </c>
      <c r="S7" s="34">
        <v>995.89366170051119</v>
      </c>
      <c r="T7" s="33">
        <v>993.27849436132999</v>
      </c>
      <c r="U7" s="34">
        <v>993.27849436132999</v>
      </c>
      <c r="V7" s="33">
        <v>990.92957034677477</v>
      </c>
      <c r="W7" s="34">
        <v>990.92957034677477</v>
      </c>
      <c r="X7" s="33">
        <v>989.11626393568883</v>
      </c>
      <c r="Y7" s="34">
        <v>989.11626393568883</v>
      </c>
      <c r="Z7" s="33">
        <v>988.24582898870312</v>
      </c>
      <c r="AA7" s="34">
        <v>988.24582898870312</v>
      </c>
      <c r="AB7" s="33">
        <v>988.78749174873531</v>
      </c>
      <c r="AC7" s="34">
        <v>988.78749174873531</v>
      </c>
      <c r="AD7" s="33">
        <v>990.91619093654481</v>
      </c>
      <c r="AE7" s="34">
        <v>990.91619093654481</v>
      </c>
      <c r="AF7" s="33">
        <v>994.16124465117116</v>
      </c>
      <c r="AG7" s="34">
        <v>994.16124465117116</v>
      </c>
      <c r="AH7" s="33">
        <v>997.75261149831931</v>
      </c>
      <c r="AI7" s="34">
        <v>997.75261149831931</v>
      </c>
      <c r="AJ7" s="33">
        <v>1001.1311162320986</v>
      </c>
      <c r="AK7" s="34">
        <v>1001.1311162320986</v>
      </c>
      <c r="AL7" s="33">
        <v>1003.9331952760132</v>
      </c>
      <c r="AM7" s="34">
        <v>1003.9331952760132</v>
      </c>
      <c r="AN7" s="33"/>
      <c r="AO7" s="34"/>
      <c r="AP7" s="33"/>
      <c r="AQ7" s="34"/>
      <c r="AR7" s="33"/>
      <c r="AS7" s="34"/>
      <c r="AT7" s="33"/>
      <c r="AU7" s="34"/>
      <c r="AV7" s="33"/>
      <c r="AW7" s="34"/>
    </row>
    <row r="8" spans="1:49" x14ac:dyDescent="0.2">
      <c r="B8" s="35">
        <v>1005.7716594496609</v>
      </c>
      <c r="C8" s="36">
        <v>1005.7716594496609</v>
      </c>
      <c r="D8" s="35">
        <v>1071.3770036872668</v>
      </c>
      <c r="E8" s="36">
        <v>1071.3770036872668</v>
      </c>
      <c r="F8" s="35">
        <v>1143.2177061671523</v>
      </c>
      <c r="G8" s="36">
        <v>1143.2177061671523</v>
      </c>
      <c r="H8" s="35">
        <v>1222.3109876695082</v>
      </c>
      <c r="I8" s="36">
        <v>1222.3109876695082</v>
      </c>
      <c r="J8" s="35">
        <v>1309.9852973193626</v>
      </c>
      <c r="K8" s="36">
        <v>1309.9852973193626</v>
      </c>
      <c r="L8" s="35">
        <v>1408.0285782044321</v>
      </c>
      <c r="M8" s="36">
        <v>1408.0285782044321</v>
      </c>
      <c r="N8" s="35">
        <v>1518.9344493511858</v>
      </c>
      <c r="O8" s="36">
        <v>1518.9344493511858</v>
      </c>
      <c r="P8" s="35">
        <v>1646.3039820983774</v>
      </c>
      <c r="Q8" s="36">
        <v>1646.3039820983774</v>
      </c>
      <c r="R8" s="35">
        <v>1795.5547372920282</v>
      </c>
      <c r="S8" s="36">
        <v>1795.5547372920282</v>
      </c>
      <c r="T8" s="35">
        <v>1975.2037402473804</v>
      </c>
      <c r="U8" s="36">
        <v>1975.2037402473804</v>
      </c>
      <c r="V8" s="35">
        <v>2199.2963406561266</v>
      </c>
      <c r="W8" s="36">
        <v>2199.2963406561266</v>
      </c>
      <c r="X8" s="35">
        <v>2492.0637027816942</v>
      </c>
      <c r="Y8" s="36">
        <v>2492.0637027816942</v>
      </c>
      <c r="Z8" s="35">
        <v>2896.3411433727388</v>
      </c>
      <c r="AA8" s="36">
        <v>2896.3411433727388</v>
      </c>
      <c r="AB8" s="35">
        <v>3485.3949666927892</v>
      </c>
      <c r="AC8" s="36">
        <v>3485.3949666927892</v>
      </c>
      <c r="AD8" s="35">
        <v>4370.6701362388994</v>
      </c>
      <c r="AE8" s="36">
        <v>4370.6701362388994</v>
      </c>
      <c r="AF8" s="35">
        <v>5705.1558360178351</v>
      </c>
      <c r="AG8" s="36">
        <v>5705.1558360178351</v>
      </c>
      <c r="AH8" s="35">
        <v>7716.2268624185981</v>
      </c>
      <c r="AI8" s="36">
        <v>7716.2268624185981</v>
      </c>
      <c r="AJ8" s="35">
        <v>10759.63831269516</v>
      </c>
      <c r="AK8" s="36">
        <v>10759.63831269516</v>
      </c>
      <c r="AL8" s="35">
        <v>15195.439102728</v>
      </c>
      <c r="AM8" s="36">
        <v>15195.439102728</v>
      </c>
      <c r="AN8" s="35"/>
      <c r="AO8" s="36"/>
      <c r="AP8" s="35"/>
      <c r="AQ8" s="36"/>
      <c r="AR8" s="35"/>
      <c r="AS8" s="36"/>
      <c r="AT8" s="35"/>
      <c r="AU8" s="36"/>
      <c r="AV8" s="35"/>
      <c r="AW8" s="36"/>
    </row>
    <row r="9" spans="1:49" x14ac:dyDescent="0.2">
      <c r="A9" t="s">
        <v>14</v>
      </c>
      <c r="B9" s="41">
        <v>1015.9116825427475</v>
      </c>
      <c r="C9" s="42">
        <v>1005.7716594496609</v>
      </c>
      <c r="D9" s="41">
        <v>1013.7342579890806</v>
      </c>
      <c r="E9" s="42">
        <v>1071.3770036872668</v>
      </c>
      <c r="F9" s="41">
        <v>1011.4576567199233</v>
      </c>
      <c r="G9" s="42">
        <v>1143.2177061671523</v>
      </c>
      <c r="H9" s="41">
        <v>1009.076509298734</v>
      </c>
      <c r="I9" s="42">
        <v>1222.3109876695082</v>
      </c>
      <c r="J9" s="41">
        <v>1006.5898531386017</v>
      </c>
      <c r="K9" s="42">
        <v>1309.9852973193626</v>
      </c>
      <c r="L9" s="41">
        <v>1004.0034434010688</v>
      </c>
      <c r="M9" s="42">
        <v>1408.0285782044321</v>
      </c>
      <c r="N9" s="41">
        <v>1001.3332451144162</v>
      </c>
      <c r="O9" s="42">
        <v>1518.9344493511858</v>
      </c>
      <c r="P9" s="41">
        <v>998.61105450383639</v>
      </c>
      <c r="Q9" s="42">
        <v>1646.3039820983774</v>
      </c>
      <c r="R9" s="41">
        <v>995.89366170051119</v>
      </c>
      <c r="S9" s="42">
        <v>1795.5547372920282</v>
      </c>
      <c r="T9" s="41">
        <v>993.27849436132999</v>
      </c>
      <c r="U9" s="42">
        <v>1975.2037402473804</v>
      </c>
      <c r="V9" s="41">
        <v>990.92957034677477</v>
      </c>
      <c r="W9" s="42">
        <v>2199.2963406561266</v>
      </c>
      <c r="X9" s="41">
        <v>989.11626393568883</v>
      </c>
      <c r="Y9" s="42">
        <v>2492.0637027816942</v>
      </c>
      <c r="Z9" s="41">
        <v>988.24582898870312</v>
      </c>
      <c r="AA9" s="42">
        <v>2896.3411433727388</v>
      </c>
      <c r="AB9" s="41">
        <v>988.78749174873531</v>
      </c>
      <c r="AC9" s="42">
        <v>3485.3949666927892</v>
      </c>
      <c r="AD9" s="41">
        <v>990.91619093654481</v>
      </c>
      <c r="AE9" s="42">
        <v>4370.6701362388994</v>
      </c>
      <c r="AF9" s="41">
        <v>994.16124465117116</v>
      </c>
      <c r="AG9" s="42">
        <v>5705.1558360178351</v>
      </c>
      <c r="AH9" s="41">
        <v>997.75261149831931</v>
      </c>
      <c r="AI9" s="42">
        <v>7716.2268624185981</v>
      </c>
      <c r="AJ9" s="41">
        <v>1001.1311162320986</v>
      </c>
      <c r="AK9" s="42">
        <v>10759.63831269516</v>
      </c>
      <c r="AL9" s="41">
        <v>1003.9331952760132</v>
      </c>
      <c r="AM9" s="42">
        <v>15195.439102728</v>
      </c>
      <c r="AN9" s="41"/>
      <c r="AO9" s="42"/>
      <c r="AP9" s="41"/>
      <c r="AQ9" s="42"/>
      <c r="AR9" s="41"/>
      <c r="AS9" s="42"/>
      <c r="AT9" s="41"/>
      <c r="AU9" s="42"/>
      <c r="AV9" s="41"/>
      <c r="AW9" s="42"/>
    </row>
    <row r="10" spans="1:49" x14ac:dyDescent="0.2">
      <c r="A10" t="s">
        <v>15</v>
      </c>
      <c r="B10" s="41">
        <v>1015.9116825427475</v>
      </c>
      <c r="C10" s="42">
        <v>1005.7716594496609</v>
      </c>
      <c r="D10" s="41">
        <v>1013.7342579890806</v>
      </c>
      <c r="E10" s="42">
        <v>1071.3770036872668</v>
      </c>
      <c r="F10" s="41">
        <v>1011.4576567199233</v>
      </c>
      <c r="G10" s="42">
        <v>1143.2177061671523</v>
      </c>
      <c r="H10" s="41">
        <v>1009.076509298734</v>
      </c>
      <c r="I10" s="42">
        <v>1222.3109876695082</v>
      </c>
      <c r="J10" s="41">
        <v>1006.5898531386017</v>
      </c>
      <c r="K10" s="42">
        <v>1309.9852973193626</v>
      </c>
      <c r="L10" s="41">
        <v>1004.0034434010688</v>
      </c>
      <c r="M10" s="42">
        <v>1408.0285782044321</v>
      </c>
      <c r="N10" s="41">
        <v>1001.3332451144162</v>
      </c>
      <c r="O10" s="42">
        <v>1518.9344493511858</v>
      </c>
      <c r="P10" s="41">
        <v>998.61105450383639</v>
      </c>
      <c r="Q10" s="42">
        <v>1646.3039820983774</v>
      </c>
      <c r="R10" s="41">
        <v>995.89366170051119</v>
      </c>
      <c r="S10" s="42">
        <v>1795.5547372920282</v>
      </c>
      <c r="T10" s="41">
        <v>993.27849436132999</v>
      </c>
      <c r="U10" s="42">
        <v>1975.2037402473804</v>
      </c>
      <c r="V10" s="41">
        <v>990.92957034677477</v>
      </c>
      <c r="W10" s="42">
        <v>2199.2963406561266</v>
      </c>
      <c r="X10" s="41">
        <v>989.11626393568883</v>
      </c>
      <c r="Y10" s="42">
        <v>2492.0637027816942</v>
      </c>
      <c r="Z10" s="41">
        <v>988.24582898870312</v>
      </c>
      <c r="AA10" s="42">
        <v>2896.3411433727388</v>
      </c>
      <c r="AB10" s="41">
        <v>988.78749174873531</v>
      </c>
      <c r="AC10" s="42">
        <v>3485.3949666927892</v>
      </c>
      <c r="AD10" s="41">
        <v>990.91619093654481</v>
      </c>
      <c r="AE10" s="42">
        <v>4370.6701362388994</v>
      </c>
      <c r="AF10" s="41">
        <v>994.16124465117116</v>
      </c>
      <c r="AG10" s="42">
        <v>5705.1558360178351</v>
      </c>
      <c r="AH10" s="41">
        <v>997.75261149831931</v>
      </c>
      <c r="AI10" s="42">
        <v>7716.2268624185981</v>
      </c>
      <c r="AJ10" s="41">
        <v>1001.1311162320986</v>
      </c>
      <c r="AK10" s="42">
        <v>10759.63831269516</v>
      </c>
      <c r="AL10" s="41">
        <v>1003.9331952760132</v>
      </c>
      <c r="AM10" s="42">
        <v>15195.439102728</v>
      </c>
      <c r="AN10" s="41"/>
      <c r="AO10" s="42"/>
      <c r="AP10" s="41"/>
      <c r="AQ10" s="42"/>
      <c r="AR10" s="41"/>
      <c r="AS10" s="42"/>
      <c r="AT10" s="41"/>
      <c r="AU10" s="42"/>
      <c r="AV10" s="41"/>
      <c r="AW10" s="42"/>
    </row>
    <row r="11" spans="1:49" x14ac:dyDescent="0.2">
      <c r="A11" t="s">
        <v>29</v>
      </c>
      <c r="B11" s="41">
        <v>1015.9116825427475</v>
      </c>
      <c r="C11" s="42">
        <v>1005.7716594496609</v>
      </c>
      <c r="D11" s="41">
        <v>1013.7342579890806</v>
      </c>
      <c r="E11" s="42">
        <v>1071.3770036872668</v>
      </c>
      <c r="F11" s="41">
        <v>1011.4576567199233</v>
      </c>
      <c r="G11" s="42">
        <v>1143.2177061671523</v>
      </c>
      <c r="H11" s="41">
        <v>1009.076509298734</v>
      </c>
      <c r="I11" s="42">
        <v>1222.3109876695082</v>
      </c>
      <c r="J11" s="41">
        <v>1006.5898531386017</v>
      </c>
      <c r="K11" s="42">
        <v>1309.9852973193626</v>
      </c>
      <c r="L11" s="41">
        <v>1004.0034434010688</v>
      </c>
      <c r="M11" s="42">
        <v>1408.0285782044321</v>
      </c>
      <c r="N11" s="41">
        <v>1001.3332451144162</v>
      </c>
      <c r="O11" s="42">
        <v>1518.9344493511858</v>
      </c>
      <c r="P11" s="41">
        <v>998.61105450383639</v>
      </c>
      <c r="Q11" s="42">
        <v>1646.3039820983774</v>
      </c>
      <c r="R11" s="41">
        <v>995.89366170051119</v>
      </c>
      <c r="S11" s="42">
        <v>1795.5547372920282</v>
      </c>
      <c r="T11" s="41">
        <v>993.27849436132999</v>
      </c>
      <c r="U11" s="42">
        <v>1975.2037402473804</v>
      </c>
      <c r="V11" s="41">
        <v>990.92957034677477</v>
      </c>
      <c r="W11" s="42">
        <v>2199.2963406561266</v>
      </c>
      <c r="X11" s="41">
        <v>989.11626393568883</v>
      </c>
      <c r="Y11" s="42">
        <v>2492.0637027816942</v>
      </c>
      <c r="Z11" s="41">
        <v>988.24582898870312</v>
      </c>
      <c r="AA11" s="42">
        <v>2896.3411433727388</v>
      </c>
      <c r="AB11" s="41">
        <v>988.78749174873531</v>
      </c>
      <c r="AC11" s="42">
        <v>3485.3949666927892</v>
      </c>
      <c r="AD11" s="41">
        <v>990.91619093654481</v>
      </c>
      <c r="AE11" s="42">
        <v>4370.6701362388994</v>
      </c>
      <c r="AF11" s="41">
        <v>994.16124465117116</v>
      </c>
      <c r="AG11" s="42">
        <v>5705.1558360178351</v>
      </c>
      <c r="AH11" s="41">
        <v>997.75261149831931</v>
      </c>
      <c r="AI11" s="42">
        <v>7716.2268624185981</v>
      </c>
      <c r="AJ11" s="41">
        <v>1001.1311162320986</v>
      </c>
      <c r="AK11" s="42">
        <v>10759.63831269516</v>
      </c>
      <c r="AL11" s="41">
        <v>1003.9331952760132</v>
      </c>
      <c r="AM11" s="42">
        <v>15195.439102728</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1001.4560527410194</v>
      </c>
      <c r="E13" s="98">
        <v>1001.4560527410194</v>
      </c>
      <c r="F13" s="97">
        <v>1003.0099993446295</v>
      </c>
      <c r="G13" s="98">
        <v>1003.0099993446295</v>
      </c>
      <c r="H13" s="97">
        <v>1004.6913137771875</v>
      </c>
      <c r="I13" s="98">
        <v>1004.6913137771875</v>
      </c>
      <c r="J13" s="97">
        <v>1006.5443746559035</v>
      </c>
      <c r="K13" s="98">
        <v>1006.5443746559035</v>
      </c>
      <c r="L13" s="97">
        <v>1008.6357735436031</v>
      </c>
      <c r="M13" s="98">
        <v>1008.6357735436031</v>
      </c>
      <c r="N13" s="97">
        <v>1011.0659259543678</v>
      </c>
      <c r="O13" s="98">
        <v>1011.0659259543678</v>
      </c>
      <c r="P13" s="97">
        <v>1013.9878323178515</v>
      </c>
      <c r="Q13" s="98">
        <v>1013.9878323178515</v>
      </c>
      <c r="R13" s="97">
        <v>1017.639016754876</v>
      </c>
      <c r="S13" s="98">
        <v>1017.639016754876</v>
      </c>
      <c r="T13" s="97">
        <v>1022.3976580212133</v>
      </c>
      <c r="U13" s="98">
        <v>1022.3976580212133</v>
      </c>
      <c r="V13" s="97">
        <v>1028.8834934599809</v>
      </c>
      <c r="W13" s="98">
        <v>1028.8834934599809</v>
      </c>
      <c r="X13" s="97">
        <v>1038.1353661899202</v>
      </c>
      <c r="Y13" s="98">
        <v>1038.1353661899202</v>
      </c>
      <c r="Z13" s="97">
        <v>1051.879795127825</v>
      </c>
      <c r="AA13" s="98">
        <v>1051.879795127825</v>
      </c>
      <c r="AB13" s="97">
        <v>1072.7394927401228</v>
      </c>
      <c r="AC13" s="98">
        <v>1072.7394927401228</v>
      </c>
      <c r="AD13" s="97">
        <v>1103.93041907204</v>
      </c>
      <c r="AE13" s="98">
        <v>1103.93041907204</v>
      </c>
      <c r="AF13" s="97">
        <v>1148.7470686327865</v>
      </c>
      <c r="AG13" s="98">
        <v>1148.7470686327865</v>
      </c>
      <c r="AH13" s="97">
        <v>1211.5182031388267</v>
      </c>
      <c r="AI13" s="98">
        <v>1211.5182031388267</v>
      </c>
      <c r="AJ13" s="97">
        <v>1298.8958494981298</v>
      </c>
      <c r="AK13" s="98">
        <v>1298.8958494981298</v>
      </c>
      <c r="AL13" s="97">
        <v>1415.5318404439731</v>
      </c>
      <c r="AM13" s="98">
        <v>1415.5318404439731</v>
      </c>
      <c r="AN13" s="97"/>
      <c r="AO13" s="98"/>
      <c r="AP13" s="97"/>
      <c r="AQ13" s="98"/>
      <c r="AR13" s="97"/>
      <c r="AS13" s="98"/>
      <c r="AT13" s="97"/>
      <c r="AU13" s="98"/>
      <c r="AV13" s="97"/>
      <c r="AW13" s="98"/>
    </row>
    <row r="14" spans="1:49" x14ac:dyDescent="0.2">
      <c r="A14" t="s">
        <v>36</v>
      </c>
      <c r="B14" s="41">
        <v>1457.0034251455234</v>
      </c>
      <c r="C14" s="42">
        <v>1457.0034251455236</v>
      </c>
      <c r="D14" s="41">
        <v>1459.1248989763812</v>
      </c>
      <c r="E14" s="42">
        <v>1459.1248989763815</v>
      </c>
      <c r="F14" s="41">
        <v>1461.3890045003343</v>
      </c>
      <c r="G14" s="42">
        <v>1461.3890045003345</v>
      </c>
      <c r="H14" s="41">
        <v>1463.8386853873178</v>
      </c>
      <c r="I14" s="42">
        <v>1463.838685387318</v>
      </c>
      <c r="J14" s="41">
        <v>1466.5386014346102</v>
      </c>
      <c r="K14" s="42">
        <v>1466.5386014346104</v>
      </c>
      <c r="L14" s="41">
        <v>1469.5857767773341</v>
      </c>
      <c r="M14" s="42">
        <v>1469.5857767773343</v>
      </c>
      <c r="N14" s="41">
        <v>1473.1265171634439</v>
      </c>
      <c r="O14" s="42">
        <v>1473.1265171634441</v>
      </c>
      <c r="P14" s="41">
        <v>1477.3837447429942</v>
      </c>
      <c r="Q14" s="42">
        <v>1477.3837447429944</v>
      </c>
      <c r="R14" s="41">
        <v>1482.703532973577</v>
      </c>
      <c r="S14" s="42">
        <v>1482.7035329735772</v>
      </c>
      <c r="T14" s="41">
        <v>1489.6368895976691</v>
      </c>
      <c r="U14" s="42">
        <v>1489.6368895976693</v>
      </c>
      <c r="V14" s="41">
        <v>1499.0867740468836</v>
      </c>
      <c r="W14" s="42">
        <v>1499.0867740468839</v>
      </c>
      <c r="X14" s="41">
        <v>1512.5667843034157</v>
      </c>
      <c r="Y14" s="42">
        <v>1512.5667843034159</v>
      </c>
      <c r="Z14" s="41">
        <v>1532.5924643426124</v>
      </c>
      <c r="AA14" s="42">
        <v>1532.5924643426126</v>
      </c>
      <c r="AB14" s="41">
        <v>1562.9851152112301</v>
      </c>
      <c r="AC14" s="42">
        <v>1562.9851152112303</v>
      </c>
      <c r="AD14" s="41">
        <v>1608.4304017102952</v>
      </c>
      <c r="AE14" s="42">
        <v>1608.4304017102954</v>
      </c>
      <c r="AF14" s="41">
        <v>1673.7284136238495</v>
      </c>
      <c r="AG14" s="42">
        <v>1673.7284136238497</v>
      </c>
      <c r="AH14" s="41">
        <v>1765.1861715994203</v>
      </c>
      <c r="AI14" s="42">
        <v>1765.1861715994207</v>
      </c>
      <c r="AJ14" s="41">
        <v>1892.4957016260792</v>
      </c>
      <c r="AK14" s="42">
        <v>1892.4957016260796</v>
      </c>
      <c r="AL14" s="41">
        <v>2062.4347399294152</v>
      </c>
      <c r="AM14" s="42">
        <v>2062.4347399294156</v>
      </c>
      <c r="AN14" s="41"/>
      <c r="AO14" s="42"/>
      <c r="AP14" s="41"/>
      <c r="AQ14" s="42"/>
      <c r="AR14" s="41"/>
      <c r="AS14" s="42"/>
      <c r="AT14" s="41"/>
      <c r="AU14" s="42"/>
      <c r="AV14" s="41"/>
      <c r="AW14" s="42"/>
    </row>
    <row r="15" spans="1:49" x14ac:dyDescent="0.2">
      <c r="A15" t="s">
        <v>18</v>
      </c>
      <c r="B15" s="154">
        <v>1000</v>
      </c>
      <c r="C15" s="155">
        <v>1000</v>
      </c>
      <c r="D15" s="154">
        <v>987.92841246083935</v>
      </c>
      <c r="E15" s="155">
        <v>987.92841246083935</v>
      </c>
      <c r="F15" s="154">
        <v>975.09444501605356</v>
      </c>
      <c r="G15" s="155">
        <v>975.09444501605356</v>
      </c>
      <c r="H15" s="154">
        <v>961.44829793231736</v>
      </c>
      <c r="I15" s="155">
        <v>961.44829793231736</v>
      </c>
      <c r="J15" s="154">
        <v>946.91618122624016</v>
      </c>
      <c r="K15" s="155">
        <v>946.91618122624016</v>
      </c>
      <c r="L15" s="154">
        <v>931.38926501929052</v>
      </c>
      <c r="M15" s="155">
        <v>931.38926501929052</v>
      </c>
      <c r="N15" s="154">
        <v>914.70568840834494</v>
      </c>
      <c r="O15" s="155">
        <v>914.70568840834494</v>
      </c>
      <c r="P15" s="154">
        <v>896.62161531968673</v>
      </c>
      <c r="Q15" s="155">
        <v>896.62161531968673</v>
      </c>
      <c r="R15" s="154">
        <v>876.7619805554184</v>
      </c>
      <c r="S15" s="155">
        <v>876.7619805554184</v>
      </c>
      <c r="T15" s="154">
        <v>854.53526863361947</v>
      </c>
      <c r="U15" s="155">
        <v>854.53526863361947</v>
      </c>
      <c r="V15" s="154">
        <v>828.98067399710351</v>
      </c>
      <c r="W15" s="155">
        <v>828.98067399710351</v>
      </c>
      <c r="X15" s="154">
        <v>798.50053006691405</v>
      </c>
      <c r="Y15" s="155">
        <v>798.50053006691405</v>
      </c>
      <c r="Z15" s="154">
        <v>760.45699098239709</v>
      </c>
      <c r="AA15" s="155">
        <v>760.45699098239709</v>
      </c>
      <c r="AB15" s="154">
        <v>710.8835299953696</v>
      </c>
      <c r="AC15" s="155">
        <v>710.8835299953696</v>
      </c>
      <c r="AD15" s="154">
        <v>645.16108335251215</v>
      </c>
      <c r="AE15" s="155">
        <v>645.16108335251215</v>
      </c>
      <c r="AF15" s="154">
        <v>559.65939184135766</v>
      </c>
      <c r="AG15" s="155">
        <v>559.65939184135766</v>
      </c>
      <c r="AH15" s="154">
        <v>452.06888274575363</v>
      </c>
      <c r="AI15" s="155">
        <v>452.06888274575363</v>
      </c>
      <c r="AJ15" s="154">
        <v>322.03735297726519</v>
      </c>
      <c r="AK15" s="155">
        <v>322.03735297726519</v>
      </c>
      <c r="AL15" s="154">
        <v>179.13080029473753</v>
      </c>
      <c r="AM15" s="155">
        <v>179.13080029473753</v>
      </c>
      <c r="AN15" s="154"/>
      <c r="AO15" s="155"/>
      <c r="AP15" s="154"/>
      <c r="AQ15" s="155"/>
      <c r="AR15" s="154"/>
      <c r="AS15" s="155"/>
      <c r="AT15" s="154"/>
      <c r="AU15" s="155"/>
      <c r="AV15" s="154"/>
      <c r="AW15" s="155"/>
    </row>
    <row r="16" spans="1:49" s="29" customFormat="1" x14ac:dyDescent="0.2">
      <c r="A16" t="s">
        <v>61</v>
      </c>
      <c r="B16" s="41">
        <v>1000</v>
      </c>
      <c r="C16" s="42">
        <v>1000</v>
      </c>
      <c r="D16" s="41">
        <v>995.17617896383149</v>
      </c>
      <c r="E16" s="42">
        <v>991.81093486973521</v>
      </c>
      <c r="F16" s="41">
        <v>990.10652934327277</v>
      </c>
      <c r="G16" s="42">
        <v>983.13932293480548</v>
      </c>
      <c r="H16" s="41">
        <v>984.76438710867615</v>
      </c>
      <c r="I16" s="42">
        <v>973.94565650958657</v>
      </c>
      <c r="J16" s="41">
        <v>979.1200197481495</v>
      </c>
      <c r="K16" s="42">
        <v>964.17807691281894</v>
      </c>
      <c r="L16" s="41">
        <v>973.13923170444093</v>
      </c>
      <c r="M16" s="42">
        <v>953.76627939605646</v>
      </c>
      <c r="N16" s="41">
        <v>966.78090716244606</v>
      </c>
      <c r="O16" s="42">
        <v>942.6122165704445</v>
      </c>
      <c r="P16" s="41">
        <v>959.99320526285999</v>
      </c>
      <c r="Q16" s="42">
        <v>930.57432720138615</v>
      </c>
      <c r="R16" s="41">
        <v>952.70675525826982</v>
      </c>
      <c r="S16" s="42">
        <v>917.44129078430842</v>
      </c>
      <c r="T16" s="41">
        <v>944.8228662143481</v>
      </c>
      <c r="U16" s="42">
        <v>902.88611370993772</v>
      </c>
      <c r="V16" s="41">
        <v>936.19112979443162</v>
      </c>
      <c r="W16" s="42">
        <v>886.3833347659712</v>
      </c>
      <c r="X16" s="41">
        <v>926.56597071914337</v>
      </c>
      <c r="Y16" s="42">
        <v>867.06168924951487</v>
      </c>
      <c r="Z16" s="41">
        <v>915.52311690824433</v>
      </c>
      <c r="AA16" s="42">
        <v>843.47264690024485</v>
      </c>
      <c r="AB16" s="41">
        <v>902.32337918308212</v>
      </c>
      <c r="AC16" s="42">
        <v>813.38655838782392</v>
      </c>
      <c r="AD16" s="41">
        <v>885.7923109083514</v>
      </c>
      <c r="AE16" s="42">
        <v>774.05577232270525</v>
      </c>
      <c r="AF16" s="41">
        <v>864.36718707726391</v>
      </c>
      <c r="AG16" s="42">
        <v>723.04492584132356</v>
      </c>
      <c r="AH16" s="41">
        <v>836.23116611218563</v>
      </c>
      <c r="AI16" s="42">
        <v>658.56114189466416</v>
      </c>
      <c r="AJ16" s="41">
        <v>799.57792843602306</v>
      </c>
      <c r="AK16" s="42">
        <v>580.1703711606641</v>
      </c>
      <c r="AL16" s="41">
        <v>754.53770391770092</v>
      </c>
      <c r="AM16" s="42">
        <v>495.20375010266571</v>
      </c>
      <c r="AN16" s="41"/>
      <c r="AO16" s="42"/>
      <c r="AP16" s="41"/>
      <c r="AQ16" s="42"/>
      <c r="AR16" s="41"/>
      <c r="AS16" s="42"/>
      <c r="AT16" s="41"/>
      <c r="AU16" s="42"/>
      <c r="AV16" s="41"/>
      <c r="AW16" s="42"/>
    </row>
    <row r="17" spans="1:49" x14ac:dyDescent="0.2">
      <c r="A17" t="s">
        <v>62</v>
      </c>
      <c r="B17" s="35">
        <v>1000.0000000000002</v>
      </c>
      <c r="C17" s="36">
        <v>999.99999999999977</v>
      </c>
      <c r="D17" s="35">
        <v>998.05334294621707</v>
      </c>
      <c r="E17" s="36">
        <v>1030.7164580357896</v>
      </c>
      <c r="F17" s="35">
        <v>996.02302880679042</v>
      </c>
      <c r="G17" s="36">
        <v>1064.1400926350332</v>
      </c>
      <c r="H17" s="35">
        <v>993.90495616509736</v>
      </c>
      <c r="I17" s="36">
        <v>1100.7195904670684</v>
      </c>
      <c r="J17" s="35">
        <v>991.69901667203703</v>
      </c>
      <c r="K17" s="36">
        <v>1141.0426343414808</v>
      </c>
      <c r="L17" s="35">
        <v>989.41105387702885</v>
      </c>
      <c r="M17" s="36">
        <v>1185.9019184474089</v>
      </c>
      <c r="N17" s="35">
        <v>987.05591060500819</v>
      </c>
      <c r="O17" s="36">
        <v>1236.4049193220856</v>
      </c>
      <c r="P17" s="35">
        <v>984.66216136895878</v>
      </c>
      <c r="Q17" s="36">
        <v>1294.1512820808741</v>
      </c>
      <c r="R17" s="35">
        <v>982.27993398141086</v>
      </c>
      <c r="S17" s="36">
        <v>1361.5451920251915</v>
      </c>
      <c r="T17" s="35">
        <v>979.99422065388842</v>
      </c>
      <c r="U17" s="36">
        <v>1442.3570101879093</v>
      </c>
      <c r="V17" s="35">
        <v>977.94697116521661</v>
      </c>
      <c r="W17" s="36">
        <v>1542.778909095669</v>
      </c>
      <c r="X17" s="35">
        <v>976.37028705792898</v>
      </c>
      <c r="Y17" s="36">
        <v>1673.4274816660816</v>
      </c>
      <c r="Z17" s="35">
        <v>975.61459161709433</v>
      </c>
      <c r="AA17" s="36">
        <v>1852.8974474840923</v>
      </c>
      <c r="AB17" s="35">
        <v>976.08476478168336</v>
      </c>
      <c r="AC17" s="36">
        <v>2112.5597925794686</v>
      </c>
      <c r="AD17" s="35">
        <v>977.93532662345342</v>
      </c>
      <c r="AE17" s="36">
        <v>2499.2443000904673</v>
      </c>
      <c r="AF17" s="35">
        <v>980.76500572935549</v>
      </c>
      <c r="AG17" s="36">
        <v>3076.1636122131054</v>
      </c>
      <c r="AH17" s="35">
        <v>983.90880925945385</v>
      </c>
      <c r="AI17" s="36">
        <v>3937.2268553676699</v>
      </c>
      <c r="AJ17" s="35">
        <v>986.87791612398382</v>
      </c>
      <c r="AK17" s="36">
        <v>5230.709770297125</v>
      </c>
      <c r="AL17" s="35">
        <v>989.3490035733646</v>
      </c>
      <c r="AM17" s="36">
        <v>7109.8808512773194</v>
      </c>
      <c r="AN17" s="35"/>
      <c r="AO17" s="36"/>
      <c r="AP17" s="35"/>
      <c r="AQ17" s="36"/>
      <c r="AR17" s="35"/>
      <c r="AS17" s="36"/>
      <c r="AT17" s="35"/>
      <c r="AU17" s="36"/>
      <c r="AV17" s="35"/>
      <c r="AW17" s="36"/>
    </row>
    <row r="18" spans="1:49" x14ac:dyDescent="0.2">
      <c r="A18" t="s">
        <v>19</v>
      </c>
      <c r="B18" s="33">
        <v>27857.010133999996</v>
      </c>
      <c r="C18" s="34">
        <v>1236.7674480000003</v>
      </c>
      <c r="D18" s="33">
        <v>28002.827010353914</v>
      </c>
      <c r="E18" s="34">
        <v>1132.6151565629948</v>
      </c>
      <c r="F18" s="33">
        <v>28133.551904695156</v>
      </c>
      <c r="G18" s="34">
        <v>1027.6362305836988</v>
      </c>
      <c r="H18" s="33">
        <v>28248.261990413874</v>
      </c>
      <c r="I18" s="34">
        <v>921.96945907716997</v>
      </c>
      <c r="J18" s="33">
        <v>28345.630263276635</v>
      </c>
      <c r="K18" s="34">
        <v>815.86349143847372</v>
      </c>
      <c r="L18" s="33">
        <v>28423.832688470535</v>
      </c>
      <c r="M18" s="34">
        <v>709.71081006873112</v>
      </c>
      <c r="N18" s="33">
        <v>28480.359925895242</v>
      </c>
      <c r="O18" s="34">
        <v>604.11265493531812</v>
      </c>
      <c r="P18" s="33">
        <v>28511.791971889583</v>
      </c>
      <c r="Q18" s="34">
        <v>499.95048452718919</v>
      </c>
      <c r="R18" s="33">
        <v>28513.372918118937</v>
      </c>
      <c r="S18" s="34">
        <v>398.51378643620848</v>
      </c>
      <c r="T18" s="33">
        <v>28478.330481703935</v>
      </c>
      <c r="U18" s="34">
        <v>301.678774266</v>
      </c>
      <c r="V18" s="33">
        <v>28396.62139930543</v>
      </c>
      <c r="W18" s="34">
        <v>212.1743803762962</v>
      </c>
      <c r="X18" s="33">
        <v>28252.48139947388</v>
      </c>
      <c r="Y18" s="34">
        <v>133.87900375907122</v>
      </c>
      <c r="Z18" s="33">
        <v>28019.414078109308</v>
      </c>
      <c r="AA18" s="34">
        <v>71.777915689660006</v>
      </c>
      <c r="AB18" s="33">
        <v>27650.183841531561</v>
      </c>
      <c r="AC18" s="34">
        <v>30.369871598432496</v>
      </c>
      <c r="AD18" s="33">
        <v>27060.826311435634</v>
      </c>
      <c r="AE18" s="34">
        <v>9.4583059092632418</v>
      </c>
      <c r="AF18" s="33">
        <v>26111.375697118066</v>
      </c>
      <c r="AG18" s="34">
        <v>2.0998575122473691</v>
      </c>
      <c r="AH18" s="33">
        <v>24570.197384858631</v>
      </c>
      <c r="AI18" s="34">
        <v>0.32884947678989135</v>
      </c>
      <c r="AJ18" s="33">
        <v>22018.881598368145</v>
      </c>
      <c r="AK18" s="34">
        <v>3.5728684560712244E-2</v>
      </c>
      <c r="AL18" s="33">
        <v>17666.286460309526</v>
      </c>
      <c r="AM18" s="34">
        <v>2.7983702325232751E-3</v>
      </c>
      <c r="AN18" s="33"/>
      <c r="AO18" s="34"/>
      <c r="AP18" s="33"/>
      <c r="AQ18" s="34"/>
      <c r="AR18" s="33"/>
      <c r="AS18" s="34"/>
      <c r="AT18" s="33"/>
      <c r="AU18" s="34"/>
      <c r="AV18" s="33"/>
      <c r="AW18" s="34"/>
    </row>
    <row r="19" spans="1:49" x14ac:dyDescent="0.2">
      <c r="A19" t="s">
        <v>3</v>
      </c>
      <c r="B19" s="41">
        <v>1886.3937399999966</v>
      </c>
      <c r="C19" s="42">
        <v>262.78711299999406</v>
      </c>
      <c r="D19" s="41">
        <v>1877.8354210720702</v>
      </c>
      <c r="E19" s="42">
        <v>286.05102185063055</v>
      </c>
      <c r="F19" s="41">
        <v>1867.3930867274448</v>
      </c>
      <c r="G19" s="42">
        <v>311.56623749987045</v>
      </c>
      <c r="H19" s="41">
        <v>1855.0019787391432</v>
      </c>
      <c r="I19" s="42">
        <v>339.39115921238471</v>
      </c>
      <c r="J19" s="41">
        <v>1840.6145385813197</v>
      </c>
      <c r="K19" s="42">
        <v>369.50143121464026</v>
      </c>
      <c r="L19" s="41">
        <v>1824.2144236352938</v>
      </c>
      <c r="M19" s="42">
        <v>401.74615638084504</v>
      </c>
      <c r="N19" s="41">
        <v>1805.8332719625498</v>
      </c>
      <c r="O19" s="42">
        <v>435.78483505618675</v>
      </c>
      <c r="P19" s="41">
        <v>1785.5810828851554</v>
      </c>
      <c r="Q19" s="42">
        <v>470.9859974648798</v>
      </c>
      <c r="R19" s="41">
        <v>1763.689812932811</v>
      </c>
      <c r="S19" s="42">
        <v>506.26571860228694</v>
      </c>
      <c r="T19" s="41">
        <v>1740.5880355983011</v>
      </c>
      <c r="U19" s="42">
        <v>539.81675246737541</v>
      </c>
      <c r="V19" s="41">
        <v>1717.012762821121</v>
      </c>
      <c r="W19" s="42">
        <v>568.66146903575839</v>
      </c>
      <c r="X19" s="41">
        <v>1694.1332087372434</v>
      </c>
      <c r="Y19" s="42">
        <v>587.98588175943451</v>
      </c>
      <c r="Z19" s="41">
        <v>1673.4472918826136</v>
      </c>
      <c r="AA19" s="42">
        <v>590.56065676064509</v>
      </c>
      <c r="AB19" s="41">
        <v>1655.5134135214107</v>
      </c>
      <c r="AC19" s="42">
        <v>567.92577099537414</v>
      </c>
      <c r="AD19" s="41">
        <v>1636.1429646551198</v>
      </c>
      <c r="AE19" s="42">
        <v>516.22306899176408</v>
      </c>
      <c r="AF19" s="41">
        <v>1602.379124965265</v>
      </c>
      <c r="AG19" s="42">
        <v>442.09481170148075</v>
      </c>
      <c r="AH19" s="41">
        <v>1532.7282691928503</v>
      </c>
      <c r="AI19" s="42">
        <v>357.01193914798341</v>
      </c>
      <c r="AJ19" s="41">
        <v>1394.8536515598275</v>
      </c>
      <c r="AK19" s="42">
        <v>268.40514499054746</v>
      </c>
      <c r="AL19" s="41">
        <v>1133.444539494858</v>
      </c>
      <c r="AM19" s="42">
        <v>179.01933223455472</v>
      </c>
      <c r="AN19" s="41"/>
      <c r="AO19" s="42"/>
      <c r="AP19" s="41"/>
      <c r="AQ19" s="42"/>
      <c r="AR19" s="41"/>
      <c r="AS19" s="42"/>
      <c r="AT19" s="41"/>
      <c r="AU19" s="42"/>
      <c r="AV19" s="41"/>
      <c r="AW19" s="42"/>
    </row>
    <row r="20" spans="1:49" x14ac:dyDescent="0.2">
      <c r="A20" t="s">
        <v>127</v>
      </c>
      <c r="B20" s="82">
        <v>26548.356269999993</v>
      </c>
      <c r="C20" s="83">
        <v>1408.5418709999938</v>
      </c>
      <c r="D20" s="82">
        <v>26655.703110732004</v>
      </c>
      <c r="E20" s="83">
        <v>1338.1147774499941</v>
      </c>
      <c r="F20" s="82">
        <v>26746.935476848368</v>
      </c>
      <c r="G20" s="83">
        <v>1267.6876838999945</v>
      </c>
      <c r="H20" s="82">
        <v>26821.131859899167</v>
      </c>
      <c r="I20" s="83">
        <v>1197.2605903499946</v>
      </c>
      <c r="J20" s="82">
        <v>26877.060197670453</v>
      </c>
      <c r="K20" s="83">
        <v>1126.8334967999951</v>
      </c>
      <c r="L20" s="82">
        <v>26913.128490331535</v>
      </c>
      <c r="M20" s="83">
        <v>1056.4064032499953</v>
      </c>
      <c r="N20" s="82">
        <v>26927.263356756961</v>
      </c>
      <c r="O20" s="83">
        <v>985.97930969999561</v>
      </c>
      <c r="P20" s="82">
        <v>26916.78636738189</v>
      </c>
      <c r="Q20" s="83">
        <v>915.55221614999596</v>
      </c>
      <c r="R20" s="82">
        <v>26878.154241260519</v>
      </c>
      <c r="S20" s="83">
        <v>845.12512259999642</v>
      </c>
      <c r="T20" s="82">
        <v>26806.552991304634</v>
      </c>
      <c r="U20" s="83">
        <v>774.69802904999653</v>
      </c>
      <c r="V20" s="82">
        <v>26695.095479337098</v>
      </c>
      <c r="W20" s="83">
        <v>704.27093549999688</v>
      </c>
      <c r="X20" s="82">
        <v>26533.057152509929</v>
      </c>
      <c r="Y20" s="83">
        <v>633.84384194999723</v>
      </c>
      <c r="Z20" s="82">
        <v>26301.540531873168</v>
      </c>
      <c r="AA20" s="83">
        <v>563.41674839999746</v>
      </c>
      <c r="AB20" s="82">
        <v>25962.70609229746</v>
      </c>
      <c r="AC20" s="83">
        <v>492.98965484999781</v>
      </c>
      <c r="AD20" s="82">
        <v>25439.153727349003</v>
      </c>
      <c r="AE20" s="83">
        <v>422.56256129999809</v>
      </c>
      <c r="AF20" s="82">
        <v>24590.483678006654</v>
      </c>
      <c r="AG20" s="83">
        <v>352.13546774999827</v>
      </c>
      <c r="AH20" s="82">
        <v>23184.769552760798</v>
      </c>
      <c r="AI20" s="83">
        <v>281.70837419999856</v>
      </c>
      <c r="AJ20" s="82">
        <v>20815.838644030362</v>
      </c>
      <c r="AK20" s="83">
        <v>211.28128064999879</v>
      </c>
      <c r="AL20" s="82">
        <v>16726.694512048751</v>
      </c>
      <c r="AM20" s="83">
        <v>140.85418709999902</v>
      </c>
      <c r="AN20" s="82"/>
      <c r="AO20" s="83"/>
      <c r="AP20" s="82"/>
      <c r="AQ20" s="83"/>
      <c r="AR20" s="82"/>
      <c r="AS20" s="83"/>
      <c r="AT20" s="82"/>
      <c r="AU20" s="83"/>
      <c r="AV20" s="82"/>
      <c r="AW20" s="83"/>
    </row>
    <row r="21" spans="1:49" x14ac:dyDescent="0.2">
      <c r="A21" t="s">
        <v>76</v>
      </c>
      <c r="B21" s="82">
        <v>24661.962530000055</v>
      </c>
      <c r="C21" s="83">
        <v>1145.7547579999855</v>
      </c>
      <c r="D21" s="82">
        <v>24777.886366778319</v>
      </c>
      <c r="E21" s="83">
        <v>1052.4540803421239</v>
      </c>
      <c r="F21" s="82">
        <v>24879.620564313147</v>
      </c>
      <c r="G21" s="83">
        <v>957.79350048223876</v>
      </c>
      <c r="H21" s="82">
        <v>24966.31389343672</v>
      </c>
      <c r="I21" s="83">
        <v>861.89799873544098</v>
      </c>
      <c r="J21" s="82">
        <v>25036.787462942044</v>
      </c>
      <c r="K21" s="83">
        <v>764.99674151135673</v>
      </c>
      <c r="L21" s="82">
        <v>25089.470628120889</v>
      </c>
      <c r="M21" s="83">
        <v>667.46192904615441</v>
      </c>
      <c r="N21" s="82">
        <v>25122.261612822749</v>
      </c>
      <c r="O21" s="83">
        <v>569.86115682495176</v>
      </c>
      <c r="P21" s="82">
        <v>25132.371517424632</v>
      </c>
      <c r="Q21" s="83">
        <v>473.03651174402682</v>
      </c>
      <c r="R21" s="82">
        <v>25116.017731620039</v>
      </c>
      <c r="S21" s="83">
        <v>378.22124865127785</v>
      </c>
      <c r="T21" s="82">
        <v>25067.93820559726</v>
      </c>
      <c r="U21" s="83">
        <v>287.21881971600476</v>
      </c>
      <c r="V21" s="82">
        <v>24980.469054875724</v>
      </c>
      <c r="W21" s="83">
        <v>202.66198517003073</v>
      </c>
      <c r="X21" s="82">
        <v>24841.64578602367</v>
      </c>
      <c r="Y21" s="83">
        <v>128.31001260243659</v>
      </c>
      <c r="Z21" s="82">
        <v>24630.966013738234</v>
      </c>
      <c r="AA21" s="83">
        <v>69.034340297365404</v>
      </c>
      <c r="AB21" s="82">
        <v>24309.920530674317</v>
      </c>
      <c r="AC21" s="83">
        <v>29.312508835061013</v>
      </c>
      <c r="AD21" s="82">
        <v>23805.287223822135</v>
      </c>
      <c r="AE21" s="83">
        <v>9.1588949965021289</v>
      </c>
      <c r="AF21" s="82">
        <v>22989.778266846653</v>
      </c>
      <c r="AG21" s="83">
        <v>2.0387709892800765</v>
      </c>
      <c r="AH21" s="82">
        <v>21653.146673920884</v>
      </c>
      <c r="AI21" s="83">
        <v>0.3198753124475549</v>
      </c>
      <c r="AJ21" s="82">
        <v>19421.645561558755</v>
      </c>
      <c r="AK21" s="83">
        <v>3.4792907713539857E-2</v>
      </c>
      <c r="AL21" s="82">
        <v>15593.599938725914</v>
      </c>
      <c r="AM21" s="83">
        <v>2.7266750183643912E-3</v>
      </c>
      <c r="AN21" s="82"/>
      <c r="AO21" s="83"/>
      <c r="AP21" s="82"/>
      <c r="AQ21" s="83"/>
      <c r="AR21" s="82"/>
      <c r="AS21" s="83"/>
      <c r="AT21" s="82"/>
      <c r="AU21" s="83"/>
      <c r="AV21" s="82"/>
      <c r="AW21" s="83"/>
    </row>
    <row r="22" spans="1:49" x14ac:dyDescent="0.2">
      <c r="A22" t="s">
        <v>28</v>
      </c>
      <c r="B22" s="41">
        <v>6533.6044688320662</v>
      </c>
      <c r="C22" s="42">
        <v>379.90788307663394</v>
      </c>
      <c r="D22" s="41">
        <v>6563.108416074303</v>
      </c>
      <c r="E22" s="42">
        <v>366.7131147071982</v>
      </c>
      <c r="F22" s="41">
        <v>6588.0694425201345</v>
      </c>
      <c r="G22" s="42">
        <v>353.33412047588894</v>
      </c>
      <c r="H22" s="41">
        <v>6608.2090701062261</v>
      </c>
      <c r="I22" s="42">
        <v>339.75400933094551</v>
      </c>
      <c r="J22" s="41">
        <v>6623.1646044119398</v>
      </c>
      <c r="K22" s="42">
        <v>325.94254305134535</v>
      </c>
      <c r="L22" s="41">
        <v>6632.4769420616531</v>
      </c>
      <c r="M22" s="42">
        <v>311.85247087911802</v>
      </c>
      <c r="N22" s="41">
        <v>6635.5575138245049</v>
      </c>
      <c r="O22" s="42">
        <v>297.4127204228414</v>
      </c>
      <c r="P22" s="41">
        <v>6631.6583221461742</v>
      </c>
      <c r="Q22" s="42">
        <v>282.521025343509</v>
      </c>
      <c r="R22" s="41">
        <v>6619.8042372196987</v>
      </c>
      <c r="S22" s="42">
        <v>267.03110009869545</v>
      </c>
      <c r="T22" s="41">
        <v>6598.6938304823216</v>
      </c>
      <c r="U22" s="42">
        <v>250.73560735024486</v>
      </c>
      <c r="V22" s="41">
        <v>6566.4993045833244</v>
      </c>
      <c r="W22" s="42">
        <v>233.34305457010572</v>
      </c>
      <c r="X22" s="41">
        <v>6520.4289475419146</v>
      </c>
      <c r="Y22" s="42">
        <v>214.45883105934905</v>
      </c>
      <c r="Z22" s="41">
        <v>6455.6379748644995</v>
      </c>
      <c r="AA22" s="42">
        <v>193.61832107927228</v>
      </c>
      <c r="AB22" s="41">
        <v>6362.4680036438876</v>
      </c>
      <c r="AC22" s="42">
        <v>170.50325060903663</v>
      </c>
      <c r="AD22" s="41">
        <v>6221.1118356811548</v>
      </c>
      <c r="AE22" s="42">
        <v>145.40662612269858</v>
      </c>
      <c r="AF22" s="41">
        <v>5995.8384026454369</v>
      </c>
      <c r="AG22" s="42">
        <v>119.35575564875056</v>
      </c>
      <c r="AH22" s="41">
        <v>5629.0992750602172</v>
      </c>
      <c r="AI22" s="42">
        <v>93.410088111406935</v>
      </c>
      <c r="AJ22" s="41">
        <v>5023.8264872388818</v>
      </c>
      <c r="AK22" s="42">
        <v>68.203317558348417</v>
      </c>
      <c r="AL22" s="41">
        <v>4005.8071404442303</v>
      </c>
      <c r="AM22" s="42">
        <v>44.131922990194866</v>
      </c>
      <c r="AN22" s="41"/>
      <c r="AO22" s="42"/>
      <c r="AP22" s="41"/>
      <c r="AQ22" s="42"/>
      <c r="AR22" s="41"/>
      <c r="AS22" s="42"/>
      <c r="AT22" s="41"/>
      <c r="AU22" s="42"/>
      <c r="AV22" s="41"/>
      <c r="AW22" s="42"/>
    </row>
    <row r="23" spans="1:49" x14ac:dyDescent="0.2">
      <c r="A23" t="s">
        <v>7</v>
      </c>
      <c r="B23" s="116">
        <v>3278.5018080150408</v>
      </c>
      <c r="C23" s="8">
        <v>0</v>
      </c>
      <c r="D23" s="116">
        <v>3297.9330979313445</v>
      </c>
      <c r="E23" s="8">
        <v>0</v>
      </c>
      <c r="F23" s="116">
        <v>3315.3739236680412</v>
      </c>
      <c r="G23" s="8">
        <v>0</v>
      </c>
      <c r="H23" s="116">
        <v>3330.7124235489428</v>
      </c>
      <c r="I23" s="8">
        <v>0</v>
      </c>
      <c r="J23" s="116">
        <v>3343.803474480188</v>
      </c>
      <c r="K23" s="8">
        <v>0</v>
      </c>
      <c r="L23" s="116">
        <v>3354.4668802314195</v>
      </c>
      <c r="M23" s="8">
        <v>0</v>
      </c>
      <c r="N23" s="116">
        <v>3362.4775716461777</v>
      </c>
      <c r="O23" s="8">
        <v>0</v>
      </c>
      <c r="P23" s="116">
        <v>3367.561193035669</v>
      </c>
      <c r="Q23" s="8">
        <v>0</v>
      </c>
      <c r="R23" s="116">
        <v>3369.37821272977</v>
      </c>
      <c r="S23" s="8">
        <v>0</v>
      </c>
      <c r="T23" s="116">
        <v>3367.5035439491544</v>
      </c>
      <c r="U23" s="8">
        <v>0</v>
      </c>
      <c r="V23" s="116">
        <v>3361.3771824251039</v>
      </c>
      <c r="W23" s="8">
        <v>0</v>
      </c>
      <c r="X23" s="116">
        <v>3350.1641084523358</v>
      </c>
      <c r="Y23" s="8">
        <v>0</v>
      </c>
      <c r="Z23" s="116">
        <v>3332.2942966139099</v>
      </c>
      <c r="AA23" s="8">
        <v>0</v>
      </c>
      <c r="AB23" s="116">
        <v>3304.0085361759634</v>
      </c>
      <c r="AC23" s="8">
        <v>0</v>
      </c>
      <c r="AD23" s="116">
        <v>3256.0788542626478</v>
      </c>
      <c r="AE23" s="8">
        <v>0</v>
      </c>
      <c r="AF23" s="116">
        <v>3169.8752800888301</v>
      </c>
      <c r="AG23" s="8">
        <v>0</v>
      </c>
      <c r="AH23" s="116">
        <v>3013.637393620751</v>
      </c>
      <c r="AI23" s="8">
        <v>0</v>
      </c>
      <c r="AJ23" s="116">
        <v>2731.4870218370515</v>
      </c>
      <c r="AK23" s="8">
        <v>0</v>
      </c>
      <c r="AL23" s="116">
        <v>2217.6018336284237</v>
      </c>
      <c r="AM23" s="8">
        <v>0</v>
      </c>
      <c r="AN23" s="116"/>
      <c r="AO23" s="8"/>
      <c r="AP23" s="116"/>
      <c r="AQ23" s="8"/>
      <c r="AR23" s="116"/>
      <c r="AS23" s="8"/>
      <c r="AT23" s="116"/>
      <c r="AU23" s="8"/>
      <c r="AV23" s="116"/>
      <c r="AW23" s="8"/>
    </row>
    <row r="24" spans="1:49" x14ac:dyDescent="0.2">
      <c r="A24" t="s">
        <v>8</v>
      </c>
      <c r="B24" s="97">
        <v>3196.3846373657216</v>
      </c>
      <c r="C24" s="8">
        <v>0</v>
      </c>
      <c r="D24" s="97">
        <v>3215.3292278637387</v>
      </c>
      <c r="E24" s="8">
        <v>0</v>
      </c>
      <c r="F24" s="97">
        <v>3232.3332099331733</v>
      </c>
      <c r="G24" s="8">
        <v>0</v>
      </c>
      <c r="H24" s="97">
        <v>3247.2875226845081</v>
      </c>
      <c r="I24" s="8">
        <v>0</v>
      </c>
      <c r="J24" s="97">
        <v>3260.0506844409556</v>
      </c>
      <c r="K24" s="8">
        <v>0</v>
      </c>
      <c r="L24" s="97">
        <v>3270.4470006717825</v>
      </c>
      <c r="M24" s="8">
        <v>0</v>
      </c>
      <c r="N24" s="97">
        <v>3278.2570481709431</v>
      </c>
      <c r="O24" s="8">
        <v>0</v>
      </c>
      <c r="P24" s="97">
        <v>3283.2133361639912</v>
      </c>
      <c r="Q24" s="8">
        <v>0</v>
      </c>
      <c r="R24" s="97">
        <v>3284.9848457119306</v>
      </c>
      <c r="S24" s="8">
        <v>0</v>
      </c>
      <c r="T24" s="97">
        <v>3283.1571330420134</v>
      </c>
      <c r="U24" s="8">
        <v>0</v>
      </c>
      <c r="V24" s="97">
        <v>3277.1842182731498</v>
      </c>
      <c r="W24" s="8">
        <v>0</v>
      </c>
      <c r="X24" s="97">
        <v>3266.2520005901451</v>
      </c>
      <c r="Y24" s="8">
        <v>0</v>
      </c>
      <c r="Z24" s="97">
        <v>3248.8297767005506</v>
      </c>
      <c r="AA24" s="8">
        <v>0</v>
      </c>
      <c r="AB24" s="97">
        <v>3221.2524943379422</v>
      </c>
      <c r="AC24" s="8">
        <v>0</v>
      </c>
      <c r="AD24" s="97">
        <v>3174.5233149951487</v>
      </c>
      <c r="AE24" s="8">
        <v>0</v>
      </c>
      <c r="AF24" s="97">
        <v>3090.4788958398472</v>
      </c>
      <c r="AG24" s="8">
        <v>0</v>
      </c>
      <c r="AH24" s="97">
        <v>2938.1543252506235</v>
      </c>
      <c r="AI24" s="8">
        <v>0</v>
      </c>
      <c r="AJ24" s="97">
        <v>2663.0710199455234</v>
      </c>
      <c r="AK24" s="8">
        <v>0</v>
      </c>
      <c r="AL24" s="97">
        <v>2162.0571980393593</v>
      </c>
      <c r="AM24" s="8">
        <v>0</v>
      </c>
      <c r="AN24" s="97"/>
      <c r="AO24" s="8"/>
      <c r="AP24" s="97"/>
      <c r="AQ24" s="8"/>
      <c r="AR24" s="97"/>
      <c r="AS24" s="8"/>
      <c r="AT24" s="97"/>
      <c r="AU24" s="8"/>
      <c r="AV24" s="97"/>
      <c r="AW24" s="8"/>
    </row>
    <row r="25" spans="1:49" x14ac:dyDescent="0.2">
      <c r="A25" t="s">
        <v>0</v>
      </c>
      <c r="B25" s="41">
        <v>3195.0476040000012</v>
      </c>
      <c r="C25" s="42">
        <v>91.012690000004397</v>
      </c>
      <c r="D25" s="41">
        <v>3224.9254388306417</v>
      </c>
      <c r="E25" s="42">
        <v>80.127464060088727</v>
      </c>
      <c r="F25" s="41">
        <v>3253.8671077234735</v>
      </c>
      <c r="G25" s="42">
        <v>69.717299990666916</v>
      </c>
      <c r="H25" s="41">
        <v>3281.7954388707999</v>
      </c>
      <c r="I25" s="42">
        <v>59.811256867728659</v>
      </c>
      <c r="J25" s="41">
        <v>3308.556352385121</v>
      </c>
      <c r="K25" s="42">
        <v>50.443972636909578</v>
      </c>
      <c r="L25" s="41">
        <v>3333.8907234821404</v>
      </c>
      <c r="M25" s="42">
        <v>41.656583419360302</v>
      </c>
      <c r="N25" s="41">
        <v>3357.386437865252</v>
      </c>
      <c r="O25" s="42">
        <v>33.499003936448766</v>
      </c>
      <c r="P25" s="41">
        <v>3378.4109377714112</v>
      </c>
      <c r="Q25" s="42">
        <v>26.031819564413837</v>
      </c>
      <c r="R25" s="41">
        <v>3395.9956431280116</v>
      </c>
      <c r="S25" s="42">
        <v>19.329744113945747</v>
      </c>
      <c r="T25" s="41">
        <v>3408.6466423321513</v>
      </c>
      <c r="U25" s="42">
        <v>13.484755946280814</v>
      </c>
      <c r="V25" s="41">
        <v>3414.020917178656</v>
      </c>
      <c r="W25" s="42">
        <v>8.6077594351929125</v>
      </c>
      <c r="X25" s="41">
        <v>3408.3864156223167</v>
      </c>
      <c r="Y25" s="42">
        <v>4.8208372392519268</v>
      </c>
      <c r="Z25" s="41">
        <v>3385.8538240786183</v>
      </c>
      <c r="AA25" s="42">
        <v>2.2189813622039023</v>
      </c>
      <c r="AB25" s="41">
        <v>3337.8053996263379</v>
      </c>
      <c r="AC25" s="42">
        <v>0.76803631136618133</v>
      </c>
      <c r="AD25" s="41">
        <v>3253.5056876242629</v>
      </c>
      <c r="AE25" s="42">
        <v>0.18375241483849061</v>
      </c>
      <c r="AF25" s="41">
        <v>3120.1221079645816</v>
      </c>
      <c r="AG25" s="42">
        <v>2.9205860824937067E-2</v>
      </c>
      <c r="AH25" s="41">
        <v>2916.0905062778747</v>
      </c>
      <c r="AI25" s="42">
        <v>3.0422389641588869E-3</v>
      </c>
      <c r="AJ25" s="41">
        <v>2596.6700599893452</v>
      </c>
      <c r="AK25" s="42">
        <v>2.0408157724880832E-4</v>
      </c>
      <c r="AL25" s="41">
        <v>2072.3900613717146</v>
      </c>
      <c r="AM25" s="42">
        <v>9.3638573857582886E-6</v>
      </c>
      <c r="AN25" s="41"/>
      <c r="AO25" s="42"/>
      <c r="AP25" s="41"/>
      <c r="AQ25" s="42"/>
      <c r="AR25" s="41"/>
      <c r="AS25" s="42"/>
      <c r="AT25" s="41"/>
      <c r="AU25" s="42"/>
      <c r="AV25" s="41"/>
      <c r="AW25" s="42"/>
    </row>
    <row r="26" spans="1:49" x14ac:dyDescent="0.2">
      <c r="A26" t="s">
        <v>27</v>
      </c>
      <c r="B26" s="33">
        <v>5036.2953101960647</v>
      </c>
      <c r="C26" s="34">
        <v>74.905331803938267</v>
      </c>
      <c r="D26" s="33">
        <v>5084.0049251149758</v>
      </c>
      <c r="E26" s="34">
        <v>69.20068928815607</v>
      </c>
      <c r="F26" s="33">
        <v>5127.5940309168982</v>
      </c>
      <c r="G26" s="34">
        <v>63.338647413341661</v>
      </c>
      <c r="H26" s="33">
        <v>5166.7485854619508</v>
      </c>
      <c r="I26" s="34">
        <v>57.326673382485637</v>
      </c>
      <c r="J26" s="33">
        <v>5201.0817865660392</v>
      </c>
      <c r="K26" s="34">
        <v>51.179326846662057</v>
      </c>
      <c r="L26" s="33">
        <v>5230.1281023468546</v>
      </c>
      <c r="M26" s="34">
        <v>44.920817887943713</v>
      </c>
      <c r="N26" s="33">
        <v>5253.3220165587427</v>
      </c>
      <c r="O26" s="34">
        <v>38.589085286470045</v>
      </c>
      <c r="P26" s="33">
        <v>5269.9840063213951</v>
      </c>
      <c r="Q26" s="34">
        <v>32.24090599703662</v>
      </c>
      <c r="R26" s="33">
        <v>5279.2809205350122</v>
      </c>
      <c r="S26" s="34">
        <v>25.960220951169966</v>
      </c>
      <c r="T26" s="33">
        <v>5280.1652146785</v>
      </c>
      <c r="U26" s="34">
        <v>19.870277305175346</v>
      </c>
      <c r="V26" s="33">
        <v>5271.2358585725933</v>
      </c>
      <c r="W26" s="34">
        <v>14.151878369907461</v>
      </c>
      <c r="X26" s="33">
        <v>5250.3615363787394</v>
      </c>
      <c r="Y26" s="34">
        <v>9.0653357704672448</v>
      </c>
      <c r="Z26" s="33">
        <v>5213.5477201150934</v>
      </c>
      <c r="AA26" s="34">
        <v>4.9539057689610155</v>
      </c>
      <c r="AB26" s="33">
        <v>5151.6685915000617</v>
      </c>
      <c r="AC26" s="34">
        <v>2.1489163438844625</v>
      </c>
      <c r="AD26" s="33">
        <v>5043.8819784116258</v>
      </c>
      <c r="AE26" s="34">
        <v>0.69091068737669736</v>
      </c>
      <c r="AF26" s="33">
        <v>4851.807780237561</v>
      </c>
      <c r="AG26" s="34">
        <v>0.15930506690707819</v>
      </c>
      <c r="AH26" s="33">
        <v>4518.6549838490109</v>
      </c>
      <c r="AI26" s="34">
        <v>2.6003826189715692E-2</v>
      </c>
      <c r="AJ26" s="33">
        <v>3963.9445986121968</v>
      </c>
      <c r="AK26" s="34">
        <v>2.947255599611578E-3</v>
      </c>
      <c r="AL26" s="33">
        <v>3073.2629074260758</v>
      </c>
      <c r="AM26" s="34">
        <v>2.3974869248884892E-4</v>
      </c>
      <c r="AN26" s="33"/>
      <c r="AO26" s="34"/>
      <c r="AP26" s="33"/>
      <c r="AQ26" s="34"/>
      <c r="AR26" s="33"/>
      <c r="AS26" s="34"/>
      <c r="AT26" s="33"/>
      <c r="AU26" s="34"/>
      <c r="AV26" s="33"/>
      <c r="AW26" s="34"/>
    </row>
    <row r="27" spans="1:49" x14ac:dyDescent="0.2">
      <c r="A27" t="s">
        <v>2</v>
      </c>
      <c r="B27" s="35">
        <v>6425.1981590000414</v>
      </c>
      <c r="C27" s="36">
        <v>273.22915400000028</v>
      </c>
      <c r="D27" s="35">
        <v>6447.00159422052</v>
      </c>
      <c r="E27" s="36">
        <v>251.42572455899267</v>
      </c>
      <c r="F27" s="35">
        <v>6469.0698295502798</v>
      </c>
      <c r="G27" s="36">
        <v>229.35749114647109</v>
      </c>
      <c r="H27" s="35">
        <v>6491.4049235200655</v>
      </c>
      <c r="I27" s="36">
        <v>207.02240235532162</v>
      </c>
      <c r="J27" s="35">
        <v>6513.9858714214779</v>
      </c>
      <c r="K27" s="36">
        <v>184.44149378183403</v>
      </c>
      <c r="L27" s="35">
        <v>6536.761055293945</v>
      </c>
      <c r="M27" s="36">
        <v>161.6662586093463</v>
      </c>
      <c r="N27" s="35">
        <v>6559.6332942982617</v>
      </c>
      <c r="O27" s="36">
        <v>138.79402174812373</v>
      </c>
      <c r="P27" s="35">
        <v>6582.4427806413005</v>
      </c>
      <c r="Q27" s="36">
        <v>115.98453859279289</v>
      </c>
      <c r="R27" s="35">
        <v>6604.9360561983558</v>
      </c>
      <c r="S27" s="36">
        <v>93.491257867049413</v>
      </c>
      <c r="T27" s="35">
        <v>6626.7211485479047</v>
      </c>
      <c r="U27" s="36">
        <v>71.7061740676954</v>
      </c>
      <c r="V27" s="35">
        <v>6647.1971253421307</v>
      </c>
      <c r="W27" s="36">
        <v>51.230182215949945</v>
      </c>
      <c r="X27" s="35">
        <v>6665.4660841404302</v>
      </c>
      <c r="Y27" s="36">
        <v>32.96123230932173</v>
      </c>
      <c r="Z27" s="35">
        <v>6680.3057861030211</v>
      </c>
      <c r="AA27" s="36">
        <v>18.121525809978838</v>
      </c>
      <c r="AB27" s="35">
        <v>6690.4972031841853</v>
      </c>
      <c r="AC27" s="36">
        <v>7.9301101728949686</v>
      </c>
      <c r="AD27" s="35">
        <v>6695.8410215800723</v>
      </c>
      <c r="AE27" s="36">
        <v>2.5862921404274362</v>
      </c>
      <c r="AF27" s="35">
        <v>6697.8156828554065</v>
      </c>
      <c r="AG27" s="36">
        <v>0.61163003805248539</v>
      </c>
      <c r="AH27" s="35">
        <v>6698.3227768938859</v>
      </c>
      <c r="AI27" s="36">
        <v>0.10453596833655385</v>
      </c>
      <c r="AJ27" s="35">
        <v>6698.414407791699</v>
      </c>
      <c r="AK27" s="36">
        <v>1.2905167201500794E-2</v>
      </c>
      <c r="AL27" s="35">
        <v>6698.4260487258025</v>
      </c>
      <c r="AM27" s="36">
        <v>1.2642545596231608E-3</v>
      </c>
      <c r="AN27" s="35"/>
      <c r="AO27" s="36"/>
      <c r="AP27" s="35"/>
      <c r="AQ27" s="36"/>
      <c r="AR27" s="35"/>
      <c r="AS27" s="36"/>
      <c r="AT27" s="35"/>
      <c r="AU27" s="36"/>
      <c r="AV27" s="35"/>
      <c r="AW27" s="36"/>
    </row>
    <row r="28" spans="1:49" x14ac:dyDescent="0.2">
      <c r="A28" t="s">
        <v>35</v>
      </c>
      <c r="B28" s="41">
        <v>13763.097676000029</v>
      </c>
      <c r="C28" s="42">
        <v>382.36647899999997</v>
      </c>
      <c r="D28" s="41">
        <v>13854.20441737609</v>
      </c>
      <c r="E28" s="42">
        <v>352.24764120768702</v>
      </c>
      <c r="F28" s="41">
        <v>13939.27135078328</v>
      </c>
      <c r="G28" s="42">
        <v>321.63052304838976</v>
      </c>
      <c r="H28" s="41">
        <v>14018.009614541104</v>
      </c>
      <c r="I28" s="42">
        <v>290.5278451891499</v>
      </c>
      <c r="J28" s="41">
        <v>14089.984372607247</v>
      </c>
      <c r="K28" s="42">
        <v>258.98442397151501</v>
      </c>
      <c r="L28" s="41">
        <v>14154.59422327551</v>
      </c>
      <c r="M28" s="42">
        <v>227.08835408996842</v>
      </c>
      <c r="N28" s="41">
        <v>14211.019024868272</v>
      </c>
      <c r="O28" s="42">
        <v>194.99247587938663</v>
      </c>
      <c r="P28" s="41">
        <v>14258.172971498498</v>
      </c>
      <c r="Q28" s="42">
        <v>162.93855188228758</v>
      </c>
      <c r="R28" s="41">
        <v>14294.603468473575</v>
      </c>
      <c r="S28" s="42">
        <v>131.30092647978299</v>
      </c>
      <c r="T28" s="41">
        <v>14318.340836435707</v>
      </c>
      <c r="U28" s="42">
        <v>100.64940878377776</v>
      </c>
      <c r="V28" s="41">
        <v>14326.602206519774</v>
      </c>
      <c r="W28" s="42">
        <v>71.846707339911305</v>
      </c>
      <c r="X28" s="41">
        <v>14315.117421199886</v>
      </c>
      <c r="Y28" s="42">
        <v>46.169134527907978</v>
      </c>
      <c r="Z28" s="41">
        <v>14276.35080209049</v>
      </c>
      <c r="AA28" s="42">
        <v>25.339244426609977</v>
      </c>
      <c r="AB28" s="41">
        <v>14194.628989870376</v>
      </c>
      <c r="AC28" s="42">
        <v>11.060065953269044</v>
      </c>
      <c r="AD28" s="41">
        <v>14035.602941449282</v>
      </c>
      <c r="AE28" s="42">
        <v>3.5912875000381503</v>
      </c>
      <c r="AF28" s="41">
        <v>13731.553173659511</v>
      </c>
      <c r="AG28" s="42">
        <v>0.84218544087930391</v>
      </c>
      <c r="AH28" s="41">
        <v>13159.483922210537</v>
      </c>
      <c r="AI28" s="42">
        <v>0.14145846967842104</v>
      </c>
      <c r="AJ28" s="41">
        <v>12079.982970857951</v>
      </c>
      <c r="AK28" s="42">
        <v>1.6777165611992741E-2</v>
      </c>
      <c r="AL28" s="41">
        <v>9990.6188450144509</v>
      </c>
      <c r="AM28" s="42">
        <v>1.4558310403624741E-3</v>
      </c>
      <c r="AN28" s="41"/>
      <c r="AO28" s="42"/>
      <c r="AP28" s="41"/>
      <c r="AQ28" s="42"/>
      <c r="AR28" s="41"/>
      <c r="AS28" s="42"/>
      <c r="AT28" s="41"/>
      <c r="AU28" s="42"/>
      <c r="AV28" s="41"/>
      <c r="AW28" s="42"/>
    </row>
    <row r="29" spans="1:49" x14ac:dyDescent="0.2">
      <c r="A29" t="s">
        <v>53</v>
      </c>
      <c r="B29" s="35">
        <v>14362.768558000025</v>
      </c>
      <c r="C29" s="36">
        <v>817.26650999999993</v>
      </c>
      <c r="D29" s="35">
        <v>14436.990501383119</v>
      </c>
      <c r="E29" s="36">
        <v>745.68327914153315</v>
      </c>
      <c r="F29" s="35">
        <v>14503.349579409023</v>
      </c>
      <c r="G29" s="36">
        <v>673.97721255111878</v>
      </c>
      <c r="H29" s="35">
        <v>14561.364151265852</v>
      </c>
      <c r="I29" s="36">
        <v>602.26296946485127</v>
      </c>
      <c r="J29" s="35">
        <v>14610.346157717171</v>
      </c>
      <c r="K29" s="36">
        <v>530.7272430472409</v>
      </c>
      <c r="L29" s="35">
        <v>14649.355072830682</v>
      </c>
      <c r="M29" s="36">
        <v>459.64977460589171</v>
      </c>
      <c r="N29" s="35">
        <v>14677.103164363212</v>
      </c>
      <c r="O29" s="36">
        <v>389.44383161975566</v>
      </c>
      <c r="P29" s="35">
        <v>14691.843863101361</v>
      </c>
      <c r="Q29" s="36">
        <v>320.70021276889111</v>
      </c>
      <c r="R29" s="35">
        <v>14691.159334055919</v>
      </c>
      <c r="S29" s="36">
        <v>254.26596825429095</v>
      </c>
      <c r="T29" s="35">
        <v>14671.62124305549</v>
      </c>
      <c r="U29" s="36">
        <v>191.35295356950647</v>
      </c>
      <c r="V29" s="35">
        <v>14628.162651971203</v>
      </c>
      <c r="W29" s="36">
        <v>133.69655991055677</v>
      </c>
      <c r="X29" s="35">
        <v>14552.840879507225</v>
      </c>
      <c r="Y29" s="36">
        <v>83.7233118624018</v>
      </c>
      <c r="Z29" s="35">
        <v>14432.271659572911</v>
      </c>
      <c r="AA29" s="36">
        <v>44.486932068988196</v>
      </c>
      <c r="AB29" s="35">
        <v>14242.405741674094</v>
      </c>
      <c r="AC29" s="36">
        <v>18.62145461789293</v>
      </c>
      <c r="AD29" s="35">
        <v>13940.037104052335</v>
      </c>
      <c r="AE29" s="36">
        <v>5.7263112559790903</v>
      </c>
      <c r="AF29" s="35">
        <v>13452.663790271392</v>
      </c>
      <c r="AG29" s="36">
        <v>1.2533737165447667</v>
      </c>
      <c r="AH29" s="35">
        <v>12660.375253190496</v>
      </c>
      <c r="AI29" s="36">
        <v>0.19335894245911395</v>
      </c>
      <c r="AJ29" s="35">
        <v>11347.154696084588</v>
      </c>
      <c r="AK29" s="36">
        <v>2.069432250935865E-2</v>
      </c>
      <c r="AL29" s="35">
        <v>9105.0025836366185</v>
      </c>
      <c r="AM29" s="36">
        <v>1.598546471741956E-3</v>
      </c>
      <c r="AN29" s="35"/>
      <c r="AO29" s="36"/>
      <c r="AP29" s="35"/>
      <c r="AQ29" s="36"/>
      <c r="AR29" s="35"/>
      <c r="AS29" s="36"/>
      <c r="AT29" s="35"/>
      <c r="AU29" s="36"/>
      <c r="AV29" s="35"/>
      <c r="AW29" s="36"/>
    </row>
    <row r="30" spans="1:49" x14ac:dyDescent="0.2">
      <c r="A30" t="s">
        <v>48</v>
      </c>
      <c r="B30" s="119">
        <v>2924829.9599999995</v>
      </c>
      <c r="D30" s="119">
        <v>3011743.7725515692</v>
      </c>
      <c r="F30" s="119">
        <v>3096687.966308408</v>
      </c>
      <c r="H30" s="119">
        <v>3179617.645259073</v>
      </c>
      <c r="J30" s="119">
        <v>3260564.684257525</v>
      </c>
      <c r="L30" s="119">
        <v>3339703.6815225892</v>
      </c>
      <c r="N30" s="119">
        <v>3417450.0512245866</v>
      </c>
      <c r="P30" s="119">
        <v>3494629.1761630126</v>
      </c>
      <c r="R30" s="119">
        <v>3572751.1120563946</v>
      </c>
      <c r="T30" s="119">
        <v>3654493.2733046901</v>
      </c>
      <c r="V30" s="119">
        <v>3744515.0743441181</v>
      </c>
      <c r="X30" s="119">
        <v>3850705.5566507489</v>
      </c>
      <c r="Z30" s="119">
        <v>3985272.977952431</v>
      </c>
      <c r="AB30" s="119">
        <v>4162125.4587507118</v>
      </c>
      <c r="AD30" s="119">
        <v>4383213.9735545646</v>
      </c>
      <c r="AF30" s="119">
        <v>4618731.5086023705</v>
      </c>
      <c r="AH30" s="119">
        <v>4799376.1812613029</v>
      </c>
      <c r="AJ30" s="119">
        <v>4791524.6130416309</v>
      </c>
      <c r="AL30" s="119">
        <v>4298781.5111476863</v>
      </c>
      <c r="AN30" s="119"/>
      <c r="AP30" s="119"/>
      <c r="AR30" s="119"/>
      <c r="AT30" s="119"/>
      <c r="AV30" s="119"/>
    </row>
    <row r="31" spans="1:49" x14ac:dyDescent="0.2">
      <c r="A31" t="s">
        <v>47</v>
      </c>
      <c r="B31" s="80">
        <v>1</v>
      </c>
      <c r="D31" s="80">
        <v>1.0023124974449211</v>
      </c>
      <c r="F31" s="80">
        <v>1.0038005904275527</v>
      </c>
      <c r="H31" s="80">
        <v>1.004409952584836</v>
      </c>
      <c r="J31" s="80">
        <v>1.0040694557389189</v>
      </c>
      <c r="L31" s="80">
        <v>1.0026874736203815</v>
      </c>
      <c r="N31" s="80">
        <v>1.0001438179448972</v>
      </c>
      <c r="P31" s="80">
        <v>0.99628062224766889</v>
      </c>
      <c r="R31" s="80">
        <v>0.99088436615280184</v>
      </c>
      <c r="T31" s="80">
        <v>0.98365812594401703</v>
      </c>
      <c r="V31" s="80">
        <v>0.9741699965386833</v>
      </c>
      <c r="X31" s="80">
        <v>0.96175438561051585</v>
      </c>
      <c r="Z31" s="80">
        <v>0.94531522968770743</v>
      </c>
      <c r="AB31" s="80">
        <v>0.92295101643203714</v>
      </c>
      <c r="AD31" s="80">
        <v>0.8914260870030698</v>
      </c>
      <c r="AF31" s="80">
        <v>0.84574491299032128</v>
      </c>
      <c r="AH31" s="80">
        <v>0.77855382909075488</v>
      </c>
      <c r="AJ31" s="80">
        <v>0.67824320569905705</v>
      </c>
      <c r="AL31" s="80">
        <v>0.52576958339199154</v>
      </c>
      <c r="AN31" s="80"/>
      <c r="AP31" s="80"/>
      <c r="AR31" s="80"/>
      <c r="AT31" s="80"/>
      <c r="AV31" s="80"/>
    </row>
    <row r="32" spans="1:49" x14ac:dyDescent="0.2">
      <c r="A32" t="s">
        <v>64</v>
      </c>
      <c r="B32" s="86">
        <v>14734457.915000005</v>
      </c>
      <c r="D32" s="86">
        <v>14790019.449214935</v>
      </c>
      <c r="F32" s="86">
        <v>14834844.701088013</v>
      </c>
      <c r="H32" s="86">
        <v>14868392.381588517</v>
      </c>
      <c r="J32" s="86">
        <v>14890047.168839192</v>
      </c>
      <c r="L32" s="86">
        <v>14899149.954837266</v>
      </c>
      <c r="N32" s="86">
        <v>14895010.446774833</v>
      </c>
      <c r="P32" s="86">
        <v>14876975.442094184</v>
      </c>
      <c r="R32" s="86">
        <v>14844497.886594774</v>
      </c>
      <c r="T32" s="86">
        <v>14797279.416106926</v>
      </c>
      <c r="V32" s="86">
        <v>14735430.101878276</v>
      </c>
      <c r="X32" s="86">
        <v>14659400.333259664</v>
      </c>
      <c r="Z32" s="86">
        <v>14568375.28388129</v>
      </c>
      <c r="AB32" s="86">
        <v>14452630.688920649</v>
      </c>
      <c r="AD32" s="86">
        <v>14273636.055390593</v>
      </c>
      <c r="AF32" s="86">
        <v>13941252.231660135</v>
      </c>
      <c r="AH32" s="86">
        <v>13301991.003954744</v>
      </c>
      <c r="AJ32" s="86">
        <v>12097423.429048745</v>
      </c>
      <c r="AL32" s="86">
        <v>9848977.9953372777</v>
      </c>
      <c r="AN32" s="86"/>
      <c r="AP32" s="86"/>
      <c r="AR32" s="86"/>
      <c r="AT32" s="86"/>
      <c r="AV32" s="86"/>
    </row>
    <row r="33" spans="1:49 16319:16321" x14ac:dyDescent="0.2">
      <c r="A33" t="s">
        <v>54</v>
      </c>
      <c r="B33" s="117">
        <v>7019665.6909999903</v>
      </c>
      <c r="D33" s="117">
        <v>7046135.838318794</v>
      </c>
      <c r="F33" s="117">
        <v>7067491.1033605775</v>
      </c>
      <c r="H33" s="117">
        <v>7083473.5998890046</v>
      </c>
      <c r="J33" s="117">
        <v>7093790.225635943</v>
      </c>
      <c r="L33" s="117">
        <v>7098126.8792895516</v>
      </c>
      <c r="N33" s="117">
        <v>7096154.7651867419</v>
      </c>
      <c r="P33" s="117">
        <v>7087562.7992370659</v>
      </c>
      <c r="R33" s="117">
        <v>7072090.0383317973</v>
      </c>
      <c r="T33" s="117">
        <v>7049594.58214428</v>
      </c>
      <c r="V33" s="117">
        <v>7020128.860606702</v>
      </c>
      <c r="X33" s="117">
        <v>6983907.388474768</v>
      </c>
      <c r="Z33" s="117">
        <v>6940542.0115735661</v>
      </c>
      <c r="AB33" s="117">
        <v>6885399.9501321167</v>
      </c>
      <c r="AD33" s="117">
        <v>6800124.8420091569</v>
      </c>
      <c r="AF33" s="117">
        <v>6641773.3550030645</v>
      </c>
      <c r="AH33" s="117">
        <v>6337221.9331807541</v>
      </c>
      <c r="AJ33" s="117">
        <v>5763352.0475795642</v>
      </c>
      <c r="AL33" s="117">
        <v>4692166.7104494311</v>
      </c>
      <c r="AN33" s="117"/>
      <c r="AP33" s="117"/>
      <c r="AR33" s="117"/>
      <c r="AT33" s="117"/>
      <c r="AV33" s="117"/>
    </row>
    <row r="34" spans="1:49 16319:16321" x14ac:dyDescent="0.2">
      <c r="A34" t="s">
        <v>75</v>
      </c>
      <c r="B34" s="117">
        <v>1136879.441000015</v>
      </c>
      <c r="D34" s="117">
        <v>1141166.4599680295</v>
      </c>
      <c r="F34" s="117">
        <v>1144625.0834868252</v>
      </c>
      <c r="H34" s="117">
        <v>1147213.5577870007</v>
      </c>
      <c r="J34" s="117">
        <v>1148884.3552260706</v>
      </c>
      <c r="L34" s="117">
        <v>1149586.7268853618</v>
      </c>
      <c r="N34" s="117">
        <v>1149267.3347829643</v>
      </c>
      <c r="P34" s="117">
        <v>1147875.6769857898</v>
      </c>
      <c r="R34" s="117">
        <v>1145369.8557068591</v>
      </c>
      <c r="T34" s="117">
        <v>1141726.6102127554</v>
      </c>
      <c r="V34" s="117">
        <v>1136954.4447569696</v>
      </c>
      <c r="X34" s="117">
        <v>1131088.1623648908</v>
      </c>
      <c r="Z34" s="117">
        <v>1124064.8567975638</v>
      </c>
      <c r="AB34" s="117">
        <v>1115134.2514209193</v>
      </c>
      <c r="AD34" s="117">
        <v>1101323.4063922176</v>
      </c>
      <c r="AF34" s="117">
        <v>1075677.3771586607</v>
      </c>
      <c r="AH34" s="117">
        <v>1026353.3401760049</v>
      </c>
      <c r="AJ34" s="117">
        <v>933411.46752054745</v>
      </c>
      <c r="AL34" s="117">
        <v>759926.19900615932</v>
      </c>
      <c r="AN34" s="117"/>
      <c r="AP34" s="117"/>
      <c r="AR34" s="117"/>
      <c r="AT34" s="117"/>
      <c r="AV34" s="117"/>
    </row>
    <row r="35" spans="1:49 16319:16321" x14ac:dyDescent="0.2">
      <c r="A35" t="s">
        <v>78</v>
      </c>
      <c r="B35" s="233">
        <v>1</v>
      </c>
      <c r="D35" s="233">
        <v>1.0014560526170997</v>
      </c>
      <c r="F35" s="233">
        <v>1.0030099990480341</v>
      </c>
      <c r="H35" s="233">
        <v>1.0046913130007042</v>
      </c>
      <c r="J35" s="233">
        <v>1.0065443824950668</v>
      </c>
      <c r="L35" s="233">
        <v>1.008635774217574</v>
      </c>
      <c r="N35" s="233">
        <v>1.0110659280649588</v>
      </c>
      <c r="P35" s="233">
        <v>1.0139878335939103</v>
      </c>
      <c r="R35" s="233">
        <v>1.0176390170552561</v>
      </c>
      <c r="T35" s="233">
        <v>1.0223976615020141</v>
      </c>
      <c r="V35" s="233">
        <v>1.0288834922315753</v>
      </c>
      <c r="X35" s="233">
        <v>1.0381353672008502</v>
      </c>
      <c r="Z35" s="233">
        <v>1.0518797947999206</v>
      </c>
      <c r="AB35" s="233">
        <v>1.0727394928804217</v>
      </c>
      <c r="AD35" s="233">
        <v>1.10393041934099</v>
      </c>
      <c r="AF35" s="233">
        <v>1.1487470685950856</v>
      </c>
      <c r="AH35" s="233">
        <v>1.2115182030955578</v>
      </c>
      <c r="AJ35" s="233">
        <v>1.2988958494891532</v>
      </c>
      <c r="AL35" s="233">
        <v>1.4155318404421418</v>
      </c>
      <c r="AN35" s="233"/>
      <c r="AP35" s="233"/>
      <c r="AR35" s="233"/>
      <c r="AT35" s="233"/>
      <c r="AV35" s="233"/>
    </row>
    <row r="36" spans="1:49 16319:16321" x14ac:dyDescent="0.2">
      <c r="A36" t="s">
        <v>21</v>
      </c>
      <c r="B36" s="37">
        <v>0.47195767671988198</v>
      </c>
      <c r="C36" s="38">
        <v>0.31738834428178964</v>
      </c>
      <c r="D36" s="37">
        <v>0.47199141259261534</v>
      </c>
      <c r="E36" s="38">
        <v>0.31982485928989768</v>
      </c>
      <c r="F36" s="37">
        <v>0.4720276978562582</v>
      </c>
      <c r="G36" s="38">
        <v>0.32243233743069344</v>
      </c>
      <c r="H36" s="37">
        <v>0.47206676423830618</v>
      </c>
      <c r="I36" s="38">
        <v>0.3252354953037</v>
      </c>
      <c r="J36" s="37">
        <v>0.4721087877931241</v>
      </c>
      <c r="K36" s="38">
        <v>0.3282661079277488</v>
      </c>
      <c r="L36" s="37">
        <v>0.47215383247848325</v>
      </c>
      <c r="M36" s="38">
        <v>0.33156622258948548</v>
      </c>
      <c r="N36" s="37">
        <v>0.47220177877017022</v>
      </c>
      <c r="O36" s="38">
        <v>0.33519345369300352</v>
      </c>
      <c r="P36" s="37">
        <v>0.47225217754249688</v>
      </c>
      <c r="Q36" s="38">
        <v>0.33922917229453359</v>
      </c>
      <c r="R36" s="37">
        <v>0.47230402892265877</v>
      </c>
      <c r="S36" s="38">
        <v>0.3437925569047503</v>
      </c>
      <c r="T36" s="37">
        <v>0.47235539644372504</v>
      </c>
      <c r="U36" s="38">
        <v>0.34906469380449118</v>
      </c>
      <c r="V36" s="37">
        <v>0.47240276879952553</v>
      </c>
      <c r="W36" s="38">
        <v>0.35533133531874328</v>
      </c>
      <c r="X36" s="37">
        <v>0.47244014467905276</v>
      </c>
      <c r="Y36" s="38">
        <v>0.36305688113462975</v>
      </c>
      <c r="Z36" s="37">
        <v>0.47245833625847811</v>
      </c>
      <c r="AA36" s="38">
        <v>0.37299391979844998</v>
      </c>
      <c r="AB36" s="37">
        <v>0.47244699665116252</v>
      </c>
      <c r="AC36" s="38">
        <v>0.38626260434006909</v>
      </c>
      <c r="AD36" s="37">
        <v>0.47240304215471446</v>
      </c>
      <c r="AE36" s="38">
        <v>0.40420028968677019</v>
      </c>
      <c r="AF36" s="37">
        <v>0.47233789552041089</v>
      </c>
      <c r="AG36" s="38">
        <v>0.42805450156420954</v>
      </c>
      <c r="AH36" s="37">
        <v>0.47226839046602576</v>
      </c>
      <c r="AI36" s="38">
        <v>0.45913527012453537</v>
      </c>
      <c r="AJ36" s="37">
        <v>0.47220546788659779</v>
      </c>
      <c r="AK36" s="38">
        <v>0.49896889081464602</v>
      </c>
      <c r="AL36" s="37">
        <v>0.47215507497283354</v>
      </c>
      <c r="AM36" s="38">
        <v>0.54738150950746567</v>
      </c>
      <c r="AN36" s="37"/>
      <c r="AO36" s="38"/>
      <c r="AP36" s="37"/>
      <c r="AQ36" s="38"/>
      <c r="AR36" s="37"/>
      <c r="AS36" s="38"/>
      <c r="AT36" s="37"/>
      <c r="AU36" s="38"/>
      <c r="AV36" s="37"/>
      <c r="AW36" s="38"/>
    </row>
    <row r="37" spans="1:49 16319:16321" x14ac:dyDescent="0.2">
      <c r="B37" s="39">
        <v>2.1403217525954466E-2</v>
      </c>
      <c r="C37" s="40">
        <v>0.3496246130199252</v>
      </c>
      <c r="D37" s="39">
        <v>2.0715986153770655E-2</v>
      </c>
      <c r="E37" s="40">
        <v>0.34547963236983797</v>
      </c>
      <c r="F37" s="39">
        <v>2.0032680754155863E-2</v>
      </c>
      <c r="G37" s="40">
        <v>0.34133000101951072</v>
      </c>
      <c r="H37" s="39">
        <v>1.935160553904194E-2</v>
      </c>
      <c r="I37" s="40">
        <v>0.33716661174775275</v>
      </c>
      <c r="J37" s="39">
        <v>1.8670511689717669E-2</v>
      </c>
      <c r="K37" s="40">
        <v>0.33297676884694871</v>
      </c>
      <c r="L37" s="39">
        <v>1.7986373762698387E-2</v>
      </c>
      <c r="M37" s="40">
        <v>0.32874272224206369</v>
      </c>
      <c r="N37" s="39">
        <v>1.7295030662850427E-2</v>
      </c>
      <c r="O37" s="40">
        <v>0.32443934023105542</v>
      </c>
      <c r="P37" s="39">
        <v>1.6590730283746781E-2</v>
      </c>
      <c r="Q37" s="40">
        <v>0.32003111118299782</v>
      </c>
      <c r="R37" s="39">
        <v>1.5865394980632039E-2</v>
      </c>
      <c r="S37" s="40">
        <v>0.3154673589001461</v>
      </c>
      <c r="T37" s="39">
        <v>1.5107565684302071E-2</v>
      </c>
      <c r="U37" s="40">
        <v>0.3106753692625327</v>
      </c>
      <c r="V37" s="39">
        <v>1.430092038277909E-2</v>
      </c>
      <c r="W37" s="40">
        <v>0.30555082875207262</v>
      </c>
      <c r="X37" s="39">
        <v>1.3422826997264952E-2</v>
      </c>
      <c r="Y37" s="40">
        <v>0.29994875058737658</v>
      </c>
      <c r="Z37" s="39">
        <v>1.2445576957214452E-2</v>
      </c>
      <c r="AA37" s="40">
        <v>0.29369274710890458</v>
      </c>
      <c r="AB37" s="39">
        <v>1.1348231851828334E-2</v>
      </c>
      <c r="AC37" s="40">
        <v>0.28665603545958135</v>
      </c>
      <c r="AD37" s="39">
        <v>1.0144462245863217E-2</v>
      </c>
      <c r="AE37" s="40">
        <v>0.27895102058116017</v>
      </c>
      <c r="AF37" s="39">
        <v>8.8930833354356181E-3</v>
      </c>
      <c r="AG37" s="40">
        <v>0.27100507706706284</v>
      </c>
      <c r="AH37" s="39">
        <v>7.6601622014076665E-3</v>
      </c>
      <c r="AI37" s="40">
        <v>0.26330836725337209</v>
      </c>
      <c r="AJ37" s="39">
        <v>6.4975510550490797E-3</v>
      </c>
      <c r="AK37" s="40">
        <v>0.25625722230288067</v>
      </c>
      <c r="AL37" s="39">
        <v>5.4749233133010609E-3</v>
      </c>
      <c r="AM37" s="40">
        <v>0.25032749383159153</v>
      </c>
      <c r="AN37" s="39"/>
      <c r="AO37" s="40"/>
      <c r="AP37" s="39"/>
      <c r="AQ37" s="40"/>
      <c r="AR37" s="39"/>
      <c r="AS37" s="40"/>
      <c r="AT37" s="39"/>
      <c r="AU37" s="40"/>
      <c r="AV37" s="39"/>
      <c r="AW37" s="40"/>
    </row>
    <row r="38" spans="1:49 16319:16321" x14ac:dyDescent="0.2">
      <c r="A38" t="s">
        <v>22</v>
      </c>
      <c r="B38" s="37">
        <v>0.18079094942242827</v>
      </c>
      <c r="C38" s="38">
        <v>6.0565413429233668E-2</v>
      </c>
      <c r="D38" s="37">
        <v>0.18155327400462778</v>
      </c>
      <c r="E38" s="38">
        <v>6.1098148728779798E-2</v>
      </c>
      <c r="F38" s="37">
        <v>0.18225903534282009</v>
      </c>
      <c r="G38" s="38">
        <v>6.1635280586949746E-2</v>
      </c>
      <c r="H38" s="37">
        <v>0.18290500800421991</v>
      </c>
      <c r="I38" s="38">
        <v>6.2178494979503791E-2</v>
      </c>
      <c r="J38" s="37">
        <v>0.18348795698871209</v>
      </c>
      <c r="K38" s="38">
        <v>6.2730257431210981E-2</v>
      </c>
      <c r="L38" s="37">
        <v>0.18400502703734017</v>
      </c>
      <c r="M38" s="38">
        <v>6.3294538071913278E-2</v>
      </c>
      <c r="N38" s="37">
        <v>0.18445420037624793</v>
      </c>
      <c r="O38" s="38">
        <v>6.3877299989025638E-2</v>
      </c>
      <c r="P38" s="37">
        <v>0.18483524330975729</v>
      </c>
      <c r="Q38" s="38">
        <v>6.4488198321334442E-2</v>
      </c>
      <c r="R38" s="37">
        <v>0.18515104949861164</v>
      </c>
      <c r="S38" s="38">
        <v>6.5142591887032517E-2</v>
      </c>
      <c r="T38" s="37">
        <v>0.18540992836889691</v>
      </c>
      <c r="U38" s="38">
        <v>6.5865678994224089E-2</v>
      </c>
      <c r="V38" s="37">
        <v>0.18562897974551035</v>
      </c>
      <c r="W38" s="38">
        <v>6.6699279832036162E-2</v>
      </c>
      <c r="X38" s="37">
        <v>0.18583718230415372</v>
      </c>
      <c r="Y38" s="38">
        <v>6.7712901320816754E-2</v>
      </c>
      <c r="Z38" s="37">
        <v>0.18606911998878217</v>
      </c>
      <c r="AA38" s="38">
        <v>6.901713042741156E-2</v>
      </c>
      <c r="AB38" s="37">
        <v>0.18631588929119783</v>
      </c>
      <c r="AC38" s="38">
        <v>7.0758163626723269E-2</v>
      </c>
      <c r="AD38" s="37">
        <v>0.18639053812928588</v>
      </c>
      <c r="AE38" s="38">
        <v>7.304803777810101E-2</v>
      </c>
      <c r="AF38" s="37">
        <v>0.18581203213942721</v>
      </c>
      <c r="AG38" s="38">
        <v>7.5864703189590321E-2</v>
      </c>
      <c r="AH38" s="37">
        <v>0.18390796431426429</v>
      </c>
      <c r="AI38" s="38">
        <v>7.9075163638864687E-2</v>
      </c>
      <c r="AJ38" s="37">
        <v>0.18002479285351039</v>
      </c>
      <c r="AK38" s="38">
        <v>8.248989952606374E-2</v>
      </c>
      <c r="AL38" s="37">
        <v>0.17396202163543034</v>
      </c>
      <c r="AM38" s="38">
        <v>8.5674400657367214E-2</v>
      </c>
      <c r="AN38" s="37"/>
      <c r="AO38" s="38"/>
      <c r="AP38" s="37"/>
      <c r="AQ38" s="38"/>
      <c r="AR38" s="37"/>
      <c r="AS38" s="38"/>
      <c r="AT38" s="37"/>
      <c r="AU38" s="38"/>
      <c r="AV38" s="37"/>
      <c r="AW38" s="38"/>
    </row>
    <row r="39" spans="1:49 16319:16321" x14ac:dyDescent="0.2">
      <c r="A39" t="s">
        <v>23</v>
      </c>
      <c r="B39" s="39">
        <v>0.23064923795098771</v>
      </c>
      <c r="C39" s="40">
        <v>0.22092201281804777</v>
      </c>
      <c r="D39" s="39">
        <v>0.23022681216567067</v>
      </c>
      <c r="E39" s="40">
        <v>0.22198689740473082</v>
      </c>
      <c r="F39" s="39">
        <v>0.22994145394313573</v>
      </c>
      <c r="G39" s="40">
        <v>0.22318937803136402</v>
      </c>
      <c r="H39" s="39">
        <v>0.2297983828429141</v>
      </c>
      <c r="I39" s="40">
        <v>0.22454366608036805</v>
      </c>
      <c r="J39" s="39">
        <v>0.22980564591152219</v>
      </c>
      <c r="K39" s="40">
        <v>0.22606906145124797</v>
      </c>
      <c r="L39" s="39">
        <v>0.22997465285339333</v>
      </c>
      <c r="M39" s="40">
        <v>0.22779173758631338</v>
      </c>
      <c r="N39" s="39">
        <v>0.23032129198388523</v>
      </c>
      <c r="O39" s="40">
        <v>0.22974857522722197</v>
      </c>
      <c r="P39" s="39">
        <v>0.23086738241956448</v>
      </c>
      <c r="Q39" s="40">
        <v>0.23199205157783023</v>
      </c>
      <c r="R39" s="39">
        <v>0.2316434493795444</v>
      </c>
      <c r="S39" s="40">
        <v>0.2345998082101857</v>
      </c>
      <c r="T39" s="39">
        <v>0.23269345626862781</v>
      </c>
      <c r="U39" s="40">
        <v>0.23769048466256937</v>
      </c>
      <c r="V39" s="39">
        <v>0.23408408457721377</v>
      </c>
      <c r="W39" s="40">
        <v>0.24145319583397404</v>
      </c>
      <c r="X39" s="39">
        <v>0.23592497911580096</v>
      </c>
      <c r="Y39" s="40">
        <v>0.24620165510522318</v>
      </c>
      <c r="Z39" s="39">
        <v>0.23841704068045216</v>
      </c>
      <c r="AA39" s="40">
        <v>0.25246659276551464</v>
      </c>
      <c r="AB39" s="39">
        <v>0.2419693569318993</v>
      </c>
      <c r="AC39" s="40">
        <v>0.26111767207156289</v>
      </c>
      <c r="AD39" s="39">
        <v>0.24743668003775912</v>
      </c>
      <c r="AE39" s="40">
        <v>0.2734413715562406</v>
      </c>
      <c r="AF39" s="39">
        <v>0.25650949075021928</v>
      </c>
      <c r="AG39" s="40">
        <v>0.29127216227061492</v>
      </c>
      <c r="AH39" s="39">
        <v>0.27261981953070197</v>
      </c>
      <c r="AI39" s="40">
        <v>0.31788394300333345</v>
      </c>
      <c r="AJ39" s="39">
        <v>0.30421229061371263</v>
      </c>
      <c r="AK39" s="40">
        <v>0.36119905784864786</v>
      </c>
      <c r="AL39" s="39">
        <v>0.37916435147675293</v>
      </c>
      <c r="AM39" s="40">
        <v>0.45178244998810946</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0.10066934757448114</v>
      </c>
      <c r="E42" s="135"/>
      <c r="F42" s="177">
        <f>10.8%+(1-10.8%)*(1-SUM(F26:G26)/SUM($B$26:$C$26))</f>
        <v>9.4085270098349952E-2</v>
      </c>
      <c r="G42" s="135"/>
      <c r="H42" s="177">
        <f>10.8%+(1-10.8%)*(1-SUM(H26:I26)/SUM($B$26:$C$26))</f>
        <v>8.830127062555751E-2</v>
      </c>
      <c r="I42" s="135"/>
      <c r="J42" s="177">
        <f>10.8%+(1-10.8%)*(1-SUM(J26:K26)/SUM($B$26:$C$26))</f>
        <v>8.338231243238961E-2</v>
      </c>
      <c r="K42" s="135"/>
      <c r="L42" s="177">
        <f>10.8%+(1-10.8%)*(1-SUM(L26:M26)/SUM($B$26:$C$26))</f>
        <v>7.9405414417805562E-2</v>
      </c>
      <c r="M42" s="135"/>
      <c r="N42" s="177">
        <f>10.8%+(1-10.8%)*(1-SUM(N26:O26)/SUM($B$26:$C$26))</f>
        <v>7.6462648705793598E-2</v>
      </c>
      <c r="O42" s="135"/>
      <c r="P42" s="177">
        <f>10.8%+(1-10.8%)*(1-SUM(P26:Q26)/SUM($B$26:$C$26))</f>
        <v>7.466269609455925E-2</v>
      </c>
      <c r="Q42" s="135"/>
      <c r="R42" s="177">
        <f>10.8%+(1-10.8%)*(1-SUM(R26:S26)/SUM($B$26:$C$26))</f>
        <v>7.4136307755286124E-2</v>
      </c>
      <c r="S42" s="135"/>
      <c r="T42" s="177">
        <f>10.8%+(1-10.8%)*(1-SUM(T26:U26)/SUM($B$26:$C$26))</f>
        <v>7.5044790845948006E-2</v>
      </c>
      <c r="U42" s="135"/>
      <c r="V42" s="177">
        <f>10.8%+(1-10.8%)*(1-SUM(V26:W26)/SUM($B$26:$C$26))</f>
        <v>7.7601097751484577E-2</v>
      </c>
      <c r="W42" s="135"/>
      <c r="X42" s="177">
        <f>10.8%+(1-10.8%)*(1-SUM(X26:Y26)/SUM($B$26:$C$26))</f>
        <v>8.21317536614347E-2</v>
      </c>
      <c r="Y42" s="162"/>
      <c r="Z42" s="177">
        <f>10.8%+(1-10.8%)*(1-SUM(Z26:AA26)/SUM($B$26:$C$26))</f>
        <v>8.9273973704322954E-2</v>
      </c>
      <c r="AA42" s="135"/>
      <c r="AB42" s="177">
        <f>10.8%+(1-10.8%)*(1-SUM(AB26:AC26)/SUM($B$26:$C$26))</f>
        <v>0.1005625607376036</v>
      </c>
      <c r="AC42" s="135"/>
      <c r="AD42" s="177">
        <f>10.8%+(1-10.8%)*(1-SUM(AD26:AE26)/SUM($B$26:$C$26))</f>
        <v>0.11962778762769083</v>
      </c>
      <c r="AE42" s="135"/>
      <c r="AF42" s="177">
        <f>10.8%+(1-10.8%)*(1-SUM(AF26:AG26)/SUM($B$26:$C$26))</f>
        <v>0.1532410986710816</v>
      </c>
      <c r="AG42" s="135"/>
      <c r="AH42" s="177">
        <f>10.8%+(1-10.8%)*(1-SUM(AH26:AI26)/SUM($B$26:$C$26))</f>
        <v>0.21140574919221178</v>
      </c>
      <c r="AI42" s="135"/>
      <c r="AJ42" s="177">
        <f>10.8%+(1-10.8%)*(1-SUM(AJ26:AK26)/SUM($B$26:$C$26))</f>
        <v>0.30821709837426647</v>
      </c>
      <c r="AK42" s="135"/>
      <c r="AL42" s="177">
        <f>10.8%+(1-10.8%)*(1-SUM(AL26:AM26)/SUM($B$26:$C$26))</f>
        <v>0.46365816580285768</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0.56184511894578437</v>
      </c>
      <c r="E43" s="135"/>
      <c r="F43" s="162">
        <f t="array" ref="F43">SUM(F15:G15*F27:G27)/SUM(F15:G15*F27:G27,F13:G13*F26:G26)</f>
        <v>0.55644165125881961</v>
      </c>
      <c r="G43" s="135"/>
      <c r="H43" s="162">
        <f t="array" ref="H43">SUM(H15:I15*H27:I27)/SUM(H15:I15*H27:I27,H13:I13*H26:I26)</f>
        <v>0.55097234562110808</v>
      </c>
      <c r="I43" s="135"/>
      <c r="J43" s="162">
        <f t="array" ref="J43">SUM(J15:K15*J27:K27)/SUM(J15:K15*J27:K27,J13:K13*J26:K26)</f>
        <v>0.54541110599427345</v>
      </c>
      <c r="K43" s="135"/>
      <c r="L43" s="162">
        <f t="array" ref="L43">SUM(L15:M15*L27:M27)/SUM(L15:M15*L27:M27,L13:M13*L26:M26)</f>
        <v>0.53971817583067672</v>
      </c>
      <c r="M43" s="135"/>
      <c r="N43" s="162">
        <f t="array" ref="N43">SUM(N15:O15*N27:O27)/SUM(N15:O15*N27:O27,N13:O13*N26:O26)</f>
        <v>0.53383203976776383</v>
      </c>
      <c r="O43" s="135"/>
      <c r="P43" s="162">
        <f t="array" ref="P43">SUM(P15:Q15*P27:Q27)/SUM(P15:Q15*P27:Q27,P13:Q13*P26:Q26)</f>
        <v>0.52765524624386173</v>
      </c>
      <c r="Q43" s="135"/>
      <c r="R43" s="162">
        <f t="array" ref="R43">SUM(R15:S15*R27:S27)/SUM(R15:S15*R27:S27,R13:S13*R26:S26)</f>
        <v>0.52103072527185501</v>
      </c>
      <c r="S43" s="135"/>
      <c r="T43" s="162">
        <f t="array" ref="T43">SUM(T15:U15*T27:U27)/SUM(T15:U15*T27:U27,T13:U13*T26:U26)</f>
        <v>0.51369937957315848</v>
      </c>
      <c r="U43" s="135"/>
      <c r="V43" s="162">
        <f t="array" ref="V43">SUM(V15:W15*V27:W27)/SUM(V15:W15*V27:W27,V13:W13*V26:W26)</f>
        <v>0.50522334060628682</v>
      </c>
      <c r="W43" s="135"/>
      <c r="X43" s="162">
        <f t="array" ref="X43">SUM(X15:Y15*X27:Y27)/SUM(X15:Y15*X27:Y27,X13:Y13*X26:Y26)</f>
        <v>0.4948514006048243</v>
      </c>
      <c r="Y43" s="135"/>
      <c r="Z43" s="162">
        <f t="array" ref="Z43">SUM(Z15:AA15*Z27:AA27)/SUM(Z15:AA15*Z27:AA27,Z13:AA13*Z26:AA26)</f>
        <v>0.48132066893025743</v>
      </c>
      <c r="AA43" s="135"/>
      <c r="AB43" s="162">
        <f t="array" ref="AB43">SUM(AB15:AC15*AB27:AC27)/SUM(AB15:AC15*AB27:AC27,AB13:AC13*AB26:AC26)</f>
        <v>0.46273740172419187</v>
      </c>
      <c r="AC43" s="135"/>
      <c r="AD43" s="162">
        <f t="array" ref="AD43">SUM(AD15:AE15*AD27:AE27)/SUM(AD15:AE15*AD27:AE27,AD13:AE13*AD26:AE26)</f>
        <v>0.43694440792407868</v>
      </c>
      <c r="AE43" s="135"/>
      <c r="AF43" s="162">
        <f t="array" ref="AF43">SUM(AF15:AG15*AF27:AG27)/SUM(AF15:AG15*AF27:AG27,AF13:AG13*AF26:AG26)</f>
        <v>0.40212704994583393</v>
      </c>
      <c r="AG43" s="135"/>
      <c r="AH43" s="162">
        <f t="array" ref="AH43">SUM(AH15:AI15*AH27:AI27)/SUM(AH15:AI15*AH27:AI27,AH13:AI13*AH26:AI26)</f>
        <v>0.35614344702101997</v>
      </c>
      <c r="AI43" s="135"/>
      <c r="AJ43" s="162">
        <f t="array" ref="AJ43">SUM(AJ15:AK15*AJ27:AK27)/SUM(AJ15:AK15*AJ27:AK27,AJ13:AK13*AJ26:AK26)</f>
        <v>0.29526056346028834</v>
      </c>
      <c r="AK43" s="135"/>
      <c r="AL43" s="162">
        <f t="array" ref="AL43">SUM(AL15:AM15*AL27:AM27)/SUM(AL15:AM15*AL27:AM27,AL13:AM13*AL26:AM26)</f>
        <v>0.21618957972219266</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0.29754226247489279</v>
      </c>
      <c r="F44" s="193">
        <f>(SUM(F11:G11*F24:G24)+F34)/F32</f>
        <v>0.29754226260421118</v>
      </c>
      <c r="H44" s="193">
        <f>(SUM(H11:I11*H24:I24)+H34)/H32</f>
        <v>0.29754226296482544</v>
      </c>
      <c r="J44" s="193">
        <f>(SUM(J11:K11*J24:K24)+J34)/J32</f>
        <v>0.29754226058958011</v>
      </c>
      <c r="L44" s="193">
        <f>(SUM(L11:M11*L24:M24)+L34)/L32</f>
        <v>0.29754226183764515</v>
      </c>
      <c r="N44" s="193">
        <f>(SUM(N11:O11*N24:O24)+N34)/N32</f>
        <v>0.29754226215442536</v>
      </c>
      <c r="P44" s="193">
        <f>(SUM(P11:Q11*P24:Q24)+P34)/P32</f>
        <v>0.2975422542036853</v>
      </c>
      <c r="R44" s="193">
        <f>(SUM(R11:S11*R24:S24)+R34)/R32</f>
        <v>0.29754225950089047</v>
      </c>
      <c r="T44" s="193">
        <f>(SUM(T11:U11*T24:U24)+T34)/T32</f>
        <v>0.29754226167277048</v>
      </c>
      <c r="V44" s="193">
        <f>(SUM(V11:W11*V24:W24)+V34)/V32</f>
        <v>0.29754226132556161</v>
      </c>
      <c r="X44" s="193">
        <f>(SUM(X11:Y11*X24:Y24)+X34)/X32</f>
        <v>0.29754226224144575</v>
      </c>
      <c r="Z44" s="193">
        <f>(SUM(Z11:AA11*Z24:AA24)+Z34)/Z32</f>
        <v>0.29754226179992632</v>
      </c>
      <c r="AB44" s="193">
        <f>(SUM(AB11:AC11*AB24:AC24)+AB34)/AB32</f>
        <v>0.29754226189999206</v>
      </c>
      <c r="AD44" s="193">
        <f>(SUM(AD11:AE11*AD24:AE24)+AD34)/AD32</f>
        <v>0.29754226191878658</v>
      </c>
      <c r="AF44" s="193">
        <f>(SUM(AF11:AG11*AF24:AG24)+AF34)/AF32</f>
        <v>0.29754226190634092</v>
      </c>
      <c r="AH44" s="193">
        <f>(SUM(AH11:AI11*AH24:AI24)+AH34)/AH32</f>
        <v>0.29754226190674715</v>
      </c>
      <c r="AJ44" s="193">
        <f>(SUM(AJ11:AK11*AJ24:AK24)+AJ34)/AJ32</f>
        <v>0.29754226190683991</v>
      </c>
      <c r="AL44" s="193">
        <f>(SUM(AL11:AM11*AL24:AM24)+AL34)/AL32</f>
        <v>0.29754226190683686</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0.22038438828233364</v>
      </c>
      <c r="F45" s="193">
        <f>SUM(F11:G11*F24:G24)/F32</f>
        <v>0.22038438825161508</v>
      </c>
      <c r="H45" s="193">
        <f>SUM(H11:I11*H24:I24)/H32</f>
        <v>0.22038438816945807</v>
      </c>
      <c r="J45" s="193">
        <f>SUM(J11:K11*J24:K24)/J32</f>
        <v>0.22038438847548952</v>
      </c>
      <c r="L45" s="193">
        <f>SUM(L11:M11*L24:M24)/L32</f>
        <v>0.22038438837707713</v>
      </c>
      <c r="N45" s="193">
        <f>SUM(N11:O11*N24:O24)/N32</f>
        <v>0.22038438845640382</v>
      </c>
      <c r="P45" s="193">
        <f>SUM(P11:Q11*P24:Q24)/P32</f>
        <v>0.22038438824808979</v>
      </c>
      <c r="R45" s="193">
        <f>SUM(R11:S11*R24:S24)/R32</f>
        <v>0.22038438831811522</v>
      </c>
      <c r="T45" s="193">
        <f>SUM(T11:U11*T24:U24)/T32</f>
        <v>0.22038438838357791</v>
      </c>
      <c r="V45" s="193">
        <f>SUM(V11:W11*V24:W24)/V32</f>
        <v>0.22038438830141108</v>
      </c>
      <c r="X45" s="193">
        <f>SUM(X11:Y11*X24:Y24)/X32</f>
        <v>0.220384388341335</v>
      </c>
      <c r="Z45" s="193">
        <f>SUM(Z11:AA11*Z24:AA24)/Z32</f>
        <v>0.22038438833127336</v>
      </c>
      <c r="AB45" s="193">
        <f>SUM(AB11:AC11*AB24:AC24)/AB32</f>
        <v>0.22038438833197938</v>
      </c>
      <c r="AD45" s="193">
        <f>SUM(AD11:AE11*AD24:AE24)/AD32</f>
        <v>0.22038438833153823</v>
      </c>
      <c r="AF45" s="193">
        <f>SUM(AF11:AG11*AF24:AG24)/AF32</f>
        <v>0.22038438833198354</v>
      </c>
      <c r="AH45" s="193">
        <f>SUM(AH11:AI11*AH24:AI24)/AH32</f>
        <v>0.22038438833196686</v>
      </c>
      <c r="AJ45" s="193">
        <f>SUM(AJ11:AK11*AJ24:AK24)/AJ32</f>
        <v>0.22038438833194227</v>
      </c>
      <c r="AL45" s="193">
        <f>SUM(AL11:AM11*AL24:AM24)/AL32</f>
        <v>0.22038438833194157</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7.7157873574883712E-2</v>
      </c>
      <c r="D46" s="193">
        <f>D34/D32</f>
        <v>7.7157874192559192E-2</v>
      </c>
      <c r="F46" s="193">
        <f>F34/F32</f>
        <v>7.715787435259612E-2</v>
      </c>
      <c r="H46" s="193">
        <f>H34/H32</f>
        <v>7.7157874795367357E-2</v>
      </c>
      <c r="J46" s="193">
        <f>J34/J32</f>
        <v>7.7157872114090559E-2</v>
      </c>
      <c r="L46" s="193">
        <f>L34/L32</f>
        <v>7.7157873460568044E-2</v>
      </c>
      <c r="N46" s="193">
        <f>N34/N32</f>
        <v>7.7157873698021559E-2</v>
      </c>
      <c r="P46" s="193">
        <f>P34/P32</f>
        <v>7.7157865955595539E-2</v>
      </c>
      <c r="R46" s="193">
        <f>R34/R32</f>
        <v>7.7157871182775256E-2</v>
      </c>
      <c r="T46" s="193">
        <f>T34/T32</f>
        <v>7.7157873289192547E-2</v>
      </c>
      <c r="V46" s="193">
        <f>V34/V32</f>
        <v>7.7157873024150531E-2</v>
      </c>
      <c r="X46" s="193">
        <f>X34/X32</f>
        <v>7.7157873900110752E-2</v>
      </c>
      <c r="Z46" s="193">
        <f>Z34/Z32</f>
        <v>7.7157873468652965E-2</v>
      </c>
      <c r="AB46" s="193">
        <f>AB34/AB32</f>
        <v>7.7157873568012666E-2</v>
      </c>
      <c r="AD46" s="193">
        <f>AD34/AD32</f>
        <v>7.7157873587248349E-2</v>
      </c>
      <c r="AF46" s="193">
        <f>AF34/AF32</f>
        <v>7.7157873574357397E-2</v>
      </c>
      <c r="AH46" s="193">
        <f>AH34/AH32</f>
        <v>7.7157873574780295E-2</v>
      </c>
      <c r="AJ46" s="193">
        <f>AJ34/AJ32</f>
        <v>7.7157873574897617E-2</v>
      </c>
      <c r="AL46" s="193">
        <f>AL34/AL32</f>
        <v>7.7157873574895286E-2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1.005926880725353</v>
      </c>
      <c r="E48" s="191"/>
      <c r="F48" s="191">
        <f>F24/$B$24</f>
        <v>1.0112466353852452</v>
      </c>
      <c r="G48" s="191"/>
      <c r="H48" s="191">
        <f>H24/$B$24</f>
        <v>1.0159251439028119</v>
      </c>
      <c r="I48" s="191"/>
      <c r="J48" s="191">
        <f>J24/$B$24</f>
        <v>1.0199181432456463</v>
      </c>
      <c r="K48" s="191"/>
      <c r="L48" s="191">
        <f>L24/$B$24</f>
        <v>1.0231706667715368</v>
      </c>
      <c r="M48" s="191"/>
      <c r="N48" s="191">
        <f>N24/$B$24</f>
        <v>1.0256140671708072</v>
      </c>
      <c r="O48" s="191"/>
      <c r="P48" s="191">
        <f>P24/$B$24</f>
        <v>1.0271646590285921</v>
      </c>
      <c r="Q48" s="191"/>
      <c r="R48" s="191">
        <f>R24/$B$24</f>
        <v>1.0277188819238063</v>
      </c>
      <c r="S48" s="191"/>
      <c r="T48" s="191">
        <f>T24/$B$24</f>
        <v>1.0271470756873005</v>
      </c>
      <c r="U48" s="191"/>
      <c r="V48" s="191">
        <f>V24/$B$24</f>
        <v>1.0252784286230392</v>
      </c>
      <c r="W48" s="191"/>
      <c r="X48" s="191">
        <f>X24/$B$24</f>
        <v>1.021858246472491</v>
      </c>
      <c r="Y48" s="191"/>
      <c r="Z48" s="191">
        <f>Z24/$B$24</f>
        <v>1.0164076434111671</v>
      </c>
      <c r="AA48" s="191"/>
      <c r="AB48" s="191">
        <f>AB24/$B$24</f>
        <v>1.0077799951487425</v>
      </c>
      <c r="AC48" s="191"/>
      <c r="AD48" s="191">
        <f>AD24/$B$24</f>
        <v>0.99316060961030339</v>
      </c>
      <c r="AE48" s="191"/>
      <c r="AF48" s="191">
        <f>AF24/$B$24</f>
        <v>0.96686702210746578</v>
      </c>
      <c r="AG48" s="191"/>
      <c r="AH48" s="191">
        <f>AH24/$B$24</f>
        <v>0.91921175283587997</v>
      </c>
      <c r="AI48" s="191"/>
      <c r="AJ48" s="191">
        <f>AJ24/$B$24</f>
        <v>0.83315098840553659</v>
      </c>
      <c r="AK48" s="191"/>
      <c r="AL48" s="191">
        <f>AL24/$B$24</f>
        <v>0.67640707966272917</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1.0000000001237397</v>
      </c>
      <c r="E49" s="191"/>
      <c r="F49" s="191">
        <f>F13/F35/$B$13*$B$35</f>
        <v>1.0000000002957052</v>
      </c>
      <c r="G49" s="191"/>
      <c r="H49" s="191">
        <f>H13/H35/$B$13*$B$35</f>
        <v>1.0000000007728576</v>
      </c>
      <c r="I49" s="191"/>
      <c r="J49" s="191">
        <f>J13/J35/$B$13*$B$35</f>
        <v>0.99999999221180569</v>
      </c>
      <c r="K49" s="191"/>
      <c r="L49" s="191">
        <f>L13/L35/$B$13*$B$35</f>
        <v>0.99999999933179962</v>
      </c>
      <c r="M49" s="191"/>
      <c r="N49" s="191">
        <f>N13/N35/$B$13*$B$35</f>
        <v>0.99999999791250915</v>
      </c>
      <c r="O49" s="191"/>
      <c r="P49" s="191">
        <f>P13/P35/$B$13*$B$35</f>
        <v>0.99999999874154422</v>
      </c>
      <c r="Q49" s="191"/>
      <c r="R49" s="191">
        <f>R13/R35/$B$13*$B$35</f>
        <v>0.99999999970482656</v>
      </c>
      <c r="S49" s="191"/>
      <c r="T49" s="191">
        <f>T13/T35/$B$13*$B$35</f>
        <v>0.99999999659545313</v>
      </c>
      <c r="U49" s="191"/>
      <c r="V49" s="191">
        <f>V13/V35/$B$13*$B$35</f>
        <v>1.000000001193921</v>
      </c>
      <c r="W49" s="191"/>
      <c r="X49" s="191">
        <f>X13/X35/$B$13*$B$35</f>
        <v>0.99999999902620595</v>
      </c>
      <c r="Y49" s="191"/>
      <c r="Z49" s="191">
        <f>Z13/Z35/$B$13*$B$35</f>
        <v>1.0000000003117318</v>
      </c>
      <c r="AA49" s="191"/>
      <c r="AB49" s="191">
        <f>AB13/AB35/$B$13*$B$35</f>
        <v>0.9999999998692144</v>
      </c>
      <c r="AC49" s="191"/>
      <c r="AD49" s="191">
        <f>AD13/AD35/$B$13*$B$35</f>
        <v>0.99999999975637044</v>
      </c>
      <c r="AE49" s="191"/>
      <c r="AF49" s="191">
        <f>AF13/AF35/$B$13*$B$35</f>
        <v>1.0000000000328193</v>
      </c>
      <c r="AG49" s="191"/>
      <c r="AH49" s="191">
        <f>AH13/AH35/$B$13*$B$35</f>
        <v>1.0000000000357145</v>
      </c>
      <c r="AI49" s="191"/>
      <c r="AJ49" s="191">
        <f>AJ13/AJ35/$B$13*$B$35</f>
        <v>1.0000000000069109</v>
      </c>
      <c r="AK49" s="191"/>
      <c r="AL49" s="191">
        <f>AL13/AL35/$B$13*$B$35</f>
        <v>1.0000000000012939</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-331483.98937749211</v>
      </c>
      <c r="F51" s="29">
        <f>F30-F10*F23</f>
        <v>-256672.37367520714</v>
      </c>
      <c r="H51" s="29">
        <f>H30-H10*H23</f>
        <v>-181326.02057362068</v>
      </c>
      <c r="J51" s="29">
        <f>J30-J10*J23</f>
        <v>-105273.96404383378</v>
      </c>
      <c r="L51" s="29">
        <f>L30-L10*L23</f>
        <v>-28192.617004596628</v>
      </c>
      <c r="N51" s="29">
        <f>N30-N10*N23</f>
        <v>50489.472783677746</v>
      </c>
      <c r="P51" s="29">
        <f>P30-P10*P23</f>
        <v>131745.34207946574</v>
      </c>
      <c r="R51" s="29">
        <f>R30-R10*R23</f>
        <v>217208.70612702006</v>
      </c>
      <c r="T51" s="29">
        <f>T30-T10*T23</f>
        <v>309624.42341443105</v>
      </c>
      <c r="V51" s="29">
        <f>V30-V10*V23</f>
        <v>413627.02719015768</v>
      </c>
      <c r="X51" s="29">
        <f>X30-X10*X23</f>
        <v>537003.75012693694</v>
      </c>
      <c r="Z51" s="29">
        <f>Z30-Z10*Z23</f>
        <v>692147.03836089</v>
      </c>
      <c r="AB51" s="29">
        <f>AB30-AB10*AB23</f>
        <v>895163.14554887032</v>
      </c>
      <c r="AD51" s="29">
        <f>AD30-AD10*AD23</f>
        <v>1156712.7178995926</v>
      </c>
      <c r="AF51" s="29">
        <f>AF30-AF10*AF23</f>
        <v>1467364.3547602794</v>
      </c>
      <c r="AH51" s="29">
        <f>AH30-AH10*AH23</f>
        <v>1792511.60166721</v>
      </c>
      <c r="AJ51" s="29">
        <f>AJ30-AJ10*AJ23</f>
        <v>2056947.9618964125</v>
      </c>
      <c r="AL51" s="29">
        <f>AL30-AL10*AL23</f>
        <v>2072457.4164631572</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2069097.3239484571</v>
      </c>
      <c r="F52" s="29">
        <f t="array" ref="F52">Calibration!sL*SUM(F13:G13*F26:G26)</f>
        <v>2087479.4613718048</v>
      </c>
      <c r="H52" s="29">
        <f t="array" ref="H52">Calibration!sL*SUM(H13:I13*H26:I26)</f>
        <v>2104328.9226582176</v>
      </c>
      <c r="J52" s="29">
        <f t="array" ref="J52">Calibration!sL*SUM(J13:K13*J26:K26)</f>
        <v>2119584.7523947409</v>
      </c>
      <c r="L52" s="29">
        <f t="array" ref="L52">Calibration!sL*SUM(L13:M13*L26:M26)</f>
        <v>2133204.1058236137</v>
      </c>
      <c r="N52" s="29">
        <f t="array" ref="N52">Calibration!sL*SUM(N13:O13*N26:O26)</f>
        <v>2145179.1457277616</v>
      </c>
      <c r="P52" s="29">
        <f t="array" ref="P52">Calibration!sL*SUM(P13:Q13*P26:Q26)</f>
        <v>2155571.5423955829</v>
      </c>
      <c r="R52" s="29">
        <f t="array" ref="R52">Calibration!sL*SUM(R13:S13*R26:S26)</f>
        <v>2164563.9967130725</v>
      </c>
      <c r="T52" s="29">
        <f t="array" ref="T52">Calibration!sL*SUM(T13:U13*T26:U26)</f>
        <v>2172551.9789313893</v>
      </c>
      <c r="V52" s="29">
        <f t="array" ref="V52">Calibration!sL*SUM(V13:W13*V26:W26)</f>
        <v>2180291.7152385307</v>
      </c>
      <c r="X52" s="29">
        <f t="array" ref="X52">Calibration!sL*SUM(X13:Y13*X26:Y26)</f>
        <v>2189091.7255264353</v>
      </c>
      <c r="Z52" s="29">
        <f t="array" ref="Z52">Calibration!sL*SUM(Z13:AA13*Z26:AA26)</f>
        <v>2200814.7507709735</v>
      </c>
      <c r="AB52" s="29">
        <f t="array" ref="AB52">Calibration!sL*SUM(AB13:AC13*AB26:AC26)</f>
        <v>2216638.4276325693</v>
      </c>
      <c r="AD52" s="29">
        <f t="array" ref="AD52">Calibration!sL*SUM(AD13:AE13*AD26:AE26)</f>
        <v>2232737.4356633993</v>
      </c>
      <c r="AF52" s="29">
        <f t="array" ref="AF52">Calibration!sL*SUM(AF13:AG13*AF26:AG26)</f>
        <v>2234672.1378740007</v>
      </c>
      <c r="AH52" s="29">
        <f t="array" ref="AH52">Calibration!sL*SUM(AH13:AI13*AH26:AI26)</f>
        <v>2194892.1116412133</v>
      </c>
      <c r="AJ52" s="29">
        <f t="array" ref="AJ52">Calibration!sL*SUM(AJ13:AK13*AJ26:AK26)</f>
        <v>2064304.598258046</v>
      </c>
      <c r="AL52" s="29">
        <f t="array" ref="AL52">Calibration!sL*SUM(AL13:AM13*AL26:AM26)</f>
        <v>1744178.5565137533</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2707629.6724301395</v>
      </c>
      <c r="F53" s="29">
        <f t="array" ref="F53">Calibration!sK*SUM(F15:G15*F27:G27)</f>
        <v>2672455.4332094411</v>
      </c>
      <c r="H53" s="29">
        <f t="array" ref="H53">Calibration!sK*SUM(H15:I15*H27:I27)</f>
        <v>2635055.2427804521</v>
      </c>
      <c r="J53" s="29">
        <f t="array" ref="J53">Calibration!sK*SUM(J15:K15*J27:K27)</f>
        <v>2595226.8757765535</v>
      </c>
      <c r="L53" s="29">
        <f t="array" ref="L53">Calibration!sK*SUM(L15:M15*L27:M27)</f>
        <v>2552672.0123693887</v>
      </c>
      <c r="N53" s="29">
        <f t="array" ref="N53">Calibration!sK*SUM(N15:O15*N27:O27)</f>
        <v>2506947.0937629263</v>
      </c>
      <c r="P53" s="29">
        <f t="array" ref="P53">Calibration!sK*SUM(P15:Q15*P27:Q27)</f>
        <v>2457383.8145816191</v>
      </c>
      <c r="R53" s="29">
        <f t="array" ref="R53">Calibration!sK*SUM(R15:S15*R27:S27)</f>
        <v>2402954.224817249</v>
      </c>
      <c r="T53" s="29">
        <f t="array" ref="T53">Calibration!sK*SUM(T15:U15*T27:U27)</f>
        <v>2342037.157380796</v>
      </c>
      <c r="V53" s="29">
        <f t="array" ref="V53">Calibration!sK*SUM(V15:W15*V27:W27)</f>
        <v>2271999.3055311409</v>
      </c>
      <c r="X53" s="29">
        <f t="array" ref="X53">Calibration!sK*SUM(X15:Y15*X27:Y27)</f>
        <v>2188461.9377662637</v>
      </c>
      <c r="Z53" s="29">
        <f t="array" ref="Z53">Calibration!sK*SUM(Z15:AA15*Z27:AA27)</f>
        <v>2084195.4592148063</v>
      </c>
      <c r="AB53" s="29">
        <f t="array" ref="AB53">Calibration!sK*SUM(AB15:AC15*AB27:AC27)</f>
        <v>1948328.7590693648</v>
      </c>
      <c r="AD53" s="29">
        <f t="array" ref="AD53">Calibration!sK*SUM(AD15:AE15*AD27:AE27)</f>
        <v>1768202.3003183543</v>
      </c>
      <c r="AF53" s="29">
        <f t="array" ref="AF53">Calibration!sK*SUM(AF15:AG15*AF27:AG27)</f>
        <v>1533866.5791559692</v>
      </c>
      <c r="AH53" s="29">
        <f t="array" ref="AH53">Calibration!sK*SUM(AH15:AI15*AH27:AI27)</f>
        <v>1238991.7167930116</v>
      </c>
      <c r="AJ53" s="29">
        <f t="array" ref="AJ53">Calibration!sK*SUM(AJ15:AK15*AJ27:AK27)</f>
        <v>882612.4249452902</v>
      </c>
      <c r="AL53" s="29">
        <f t="array" ref="AL53">Calibration!sK*SUM(AL15:AM15*AL27:AM27)</f>
        <v>490946.3718086048</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0.2036335234644627</v>
      </c>
      <c r="F55" s="193">
        <f>F30/F32</f>
        <v>0.20874421193511325</v>
      </c>
      <c r="H55" s="193">
        <f>H30/H32</f>
        <v>0.21385080267294959</v>
      </c>
      <c r="J55" s="193">
        <f>J30/J32</f>
        <v>0.21897611520539692</v>
      </c>
      <c r="L55" s="193">
        <f>L30/L32</f>
        <v>0.22415397466607126</v>
      </c>
      <c r="N55" s="193">
        <f>N30/N32</f>
        <v>0.22943589488818086</v>
      </c>
      <c r="P55" s="193">
        <f>P30/P32</f>
        <v>0.23490185822818599</v>
      </c>
      <c r="R55" s="193">
        <f>R30/R32</f>
        <v>0.24067847490367081</v>
      </c>
      <c r="T55" s="193">
        <f>T30/T32</f>
        <v>0.24697062010782553</v>
      </c>
      <c r="V55" s="193">
        <f>V30/V32</f>
        <v>0.25411644237427566</v>
      </c>
      <c r="X55" s="193">
        <f>X30/X32</f>
        <v>0.26267824529726219</v>
      </c>
      <c r="Z55" s="193">
        <f>Z30/Z32</f>
        <v>0.2735564467756269</v>
      </c>
      <c r="AB55" s="193">
        <f>AB30/AB32</f>
        <v>0.28798393512825227</v>
      </c>
      <c r="AD55" s="193">
        <f>AD30/AD32</f>
        <v>0.30708461085493327</v>
      </c>
      <c r="AF55" s="193">
        <f>AF30/AF32</f>
        <v>0.33129961583460771</v>
      </c>
      <c r="AH55" s="193">
        <f>AH30/AH32</f>
        <v>0.36080134017790466</v>
      </c>
      <c r="AJ55" s="193">
        <f>AJ30/AJ32</f>
        <v>0.39607811044590363</v>
      </c>
      <c r="AL55" s="193">
        <f>AL30/AL32</f>
        <v>0.43646980561666637</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3.3520983004667132E-2</v>
      </c>
      <c r="F56" s="193">
        <f>(Model!$C$52*F5*F20+F2*G5*G20)/F32</f>
        <v>3.7805640441487584E-2</v>
      </c>
      <c r="H56" s="193">
        <f>(Model!$C$52*H5*H20+H2*I5*I20)/H32</f>
        <v>4.2088649984203072E-2</v>
      </c>
      <c r="J56" s="193">
        <f>(Model!$C$52*J5*J20+J2*K5*K20)/J32</f>
        <v>4.6389010451124986E-2</v>
      </c>
      <c r="L56" s="193">
        <f>(Model!$C$52*L5*L20+L2*M5*M20)/L32</f>
        <v>5.0734681377468997E-2</v>
      </c>
      <c r="N56" s="193">
        <f>(Model!$C$52*N5*N20+N2*O5*O20)/N32</f>
        <v>5.5168016172757406E-2</v>
      </c>
      <c r="P56" s="193">
        <f>(Model!$C$52*P5*P20+P2*Q5*Q20)/P32</f>
        <v>5.97545408065666E-2</v>
      </c>
      <c r="R56" s="193">
        <f>(Model!$C$52*R5*R20+R2*S5*S20)/R32</f>
        <v>6.4597706559509985E-2</v>
      </c>
      <c r="T56" s="193">
        <f>(Model!$C$52*T5*T20+T2*U5*U20)/T32</f>
        <v>6.9864706108725305E-2</v>
      </c>
      <c r="V56" s="193">
        <f>(Model!$C$52*V5*V20+V2*W5*W20)/V32</f>
        <v>7.5831205078191577E-2</v>
      </c>
      <c r="X56" s="193">
        <f>(Model!$C$52*X5*X20+X2*Y5*Y20)/X32</f>
        <v>8.2955402300787157E-2</v>
      </c>
      <c r="Z56" s="193">
        <f>(Model!$C$52*Z5*Z20+Z2*AA5*AA20)/Z32</f>
        <v>9.1970949072116642E-2</v>
      </c>
      <c r="AB56" s="193">
        <f>(Model!$C$52*AB5*AB20+AB2*AC5*AC20)/AB32</f>
        <v>0.10388284754932041</v>
      </c>
      <c r="AD56" s="193">
        <f>(Model!$C$52*AD5*AD20+AD2*AE5*AE20)/AD32</f>
        <v>0.11960895036721164</v>
      </c>
      <c r="AF56" s="193">
        <f>(Model!$C$52*AF5*AF20+AF2*AG5*AG20)/AF32</f>
        <v>0.13951335322610306</v>
      </c>
      <c r="AH56" s="193">
        <f>(Model!$C$52*AH5*AH20+AH2*AI5*AI20)/AH32</f>
        <v>0.16374269993029064</v>
      </c>
      <c r="AJ56" s="193">
        <f>(Model!$C$52*AJ5*AJ20+AJ2*AK5*AK20)/AJ32</f>
        <v>0.19269996953129112</v>
      </c>
      <c r="AL56" s="193">
        <f>(Model!$C$52*AL5*AL20+AL2*AM5*AM20)/AL32</f>
        <v>0.22584277180986423</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0.15946305385573098</v>
      </c>
      <c r="F57" s="193">
        <f t="array" ref="F57">SUM(Model!tauL*F13:G13*F26:G26)/F32</f>
        <v>0.1603936276291954</v>
      </c>
      <c r="H57" s="193">
        <f t="array" ref="H57">SUM(Model!tauL*H13:I13*H26:I26)/H32</f>
        <v>0.16132345465688264</v>
      </c>
      <c r="J57" s="193">
        <f t="array" ref="J57">SUM(Model!tauL*J13:K13*J26:K26)/J32</f>
        <v>0.16225669148719654</v>
      </c>
      <c r="L57" s="193">
        <f t="array" ref="L57">SUM(Model!tauL*L13:M13*L26:M26)/L32</f>
        <v>0.16319949958291952</v>
      </c>
      <c r="N57" s="193">
        <f t="array" ref="N57">SUM(Model!tauL*N13:O13*N26:O26)/N32</f>
        <v>0.16416125259408063</v>
      </c>
      <c r="P57" s="193">
        <f t="array" ref="P57">SUM(Model!tauL*P13:Q13*P26:Q26)/P32</f>
        <v>0.16515651052128469</v>
      </c>
      <c r="R57" s="193">
        <f t="array" ref="R57">SUM(Model!tauL*R13:S13*R26:S26)/R32</f>
        <v>0.16620834357198974</v>
      </c>
      <c r="T57" s="193">
        <f t="array" ref="T57">SUM(Model!tauL*T13:U13*T26:U26)/T32</f>
        <v>0.16735404130483855</v>
      </c>
      <c r="V57" s="193">
        <f t="array" ref="V57">SUM(Model!tauL*V13:W13*V26:W26)/V32</f>
        <v>0.16865518250243469</v>
      </c>
      <c r="X57" s="193">
        <f t="array" ref="X57">SUM(Model!tauL*X13:Y13*X26:Y26)/X32</f>
        <v>0.17021414878456587</v>
      </c>
      <c r="Y57" s="193"/>
      <c r="Z57" s="193">
        <f t="array" ref="Z57">SUM(Model!tauL*Z13:AA13*Z26:AA26)/Z32</f>
        <v>0.17219489455739043</v>
      </c>
      <c r="AB57" s="193">
        <f t="array" ref="AB57">SUM(Model!tauL*AB13:AC13*AB26:AC26)/AB32</f>
        <v>0.17482190797086927</v>
      </c>
      <c r="AD57" s="193">
        <f t="array" ref="AD57">SUM(Model!tauL*AD13:AE13*AD26:AE26)/AD32</f>
        <v>0.17829983369981736</v>
      </c>
      <c r="AF57" s="193">
        <f t="array" ref="AF57">SUM(Model!tauL*AF13:AG13*AF26:AG26)/AF32</f>
        <v>0.18270899657857964</v>
      </c>
      <c r="AH57" s="193">
        <f t="array" ref="AH57">SUM(Model!tauL*AH13:AI13*AH26:AI26)/AH32</f>
        <v>0.18808078593827243</v>
      </c>
      <c r="AJ57" s="193">
        <f t="array" ref="AJ57">SUM(Model!tauL*AJ13:AK13*AJ26:AK26)/AJ32</f>
        <v>0.19450411824223429</v>
      </c>
      <c r="AL57" s="193">
        <f t="array" ref="AL57">SUM(Model!tauL*AL13:AM13*AL26:AM26)/AL32</f>
        <v>0.20185879608324075</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1.0649486604064578E-2</v>
      </c>
      <c r="F58" s="193">
        <f t="array" ref="F58">SUM(Model!tauY/(1+Model!tauY)*F3:G3*F18:G18)/F32</f>
        <v>1.0544943864430249E-2</v>
      </c>
      <c r="H58" s="193">
        <f t="array" ref="H58">SUM(Model!tauY/(1+Model!tauY)*H3:I3*H18:I18)/H32</f>
        <v>1.0438698031863872E-2</v>
      </c>
      <c r="J58" s="193">
        <f t="array" ref="J58">SUM(Model!tauY/(1+Model!tauY)*J3:K3*J18:K18)/J32</f>
        <v>1.033041326707539E-2</v>
      </c>
      <c r="L58" s="193">
        <f t="array" ref="L58">SUM(Model!tauY/(1+Model!tauY)*L3:M3*L18:M18)/L32</f>
        <v>1.0219793705682724E-2</v>
      </c>
      <c r="N58" s="193">
        <f t="array" ref="N58">SUM(Model!tauY/(1+Model!tauY)*N3:O3*N18:O18)/N32</f>
        <v>1.0106626121342851E-2</v>
      </c>
      <c r="P58" s="193">
        <f t="array" ref="P58">SUM(Model!tauY/(1+Model!tauY)*P3:Q3*P18:Q18)/P32</f>
        <v>9.9908069003347127E-3</v>
      </c>
      <c r="R58" s="193">
        <f t="array" ref="R58">SUM(Model!tauY/(1+Model!tauY)*R3:S3*R18:S18)/R32</f>
        <v>9.8724247721710852E-3</v>
      </c>
      <c r="T58" s="193">
        <f t="array" ref="T58">SUM(Model!tauY/(1+Model!tauY)*T3:U3*T18:U18)/T32</f>
        <v>9.7518726942616776E-3</v>
      </c>
      <c r="V58" s="193">
        <f t="array" ref="V58">SUM(Model!tauY/(1+Model!tauY)*V3:W3*V18:W18)/V32</f>
        <v>9.6300547936494299E-3</v>
      </c>
      <c r="X58" s="193">
        <f t="array" ref="X58">SUM(Model!tauY/(1+Model!tauY)*X3:Y3*X18:Y18)/X32</f>
        <v>9.5086942119091741E-3</v>
      </c>
      <c r="Y58" s="193"/>
      <c r="Z58" s="193">
        <f t="array" ref="Z58">SUM(Model!tauY/(1+Model!tauY)*Z3:AA3*Z18:AA18)/Z32</f>
        <v>9.3906031461198775E-3</v>
      </c>
      <c r="AB58" s="193">
        <f t="array" ref="AB58">SUM(Model!tauY/(1+Model!tauY)*AB3:AC3*AB18:AC18)/AB32</f>
        <v>9.2791796080625918E-3</v>
      </c>
      <c r="AD58" s="193">
        <f t="array" ref="AD58">SUM(Model!tauY/(1+Model!tauY)*AD3:AE3*AD18:AE18)/AD32</f>
        <v>9.1758267879042728E-3</v>
      </c>
      <c r="AF58" s="193">
        <f t="array" ref="AF58">SUM(Model!tauY/(1+Model!tauY)*AF3:AG3*AF18:AG18)/AF32</f>
        <v>9.0772660299250716E-3</v>
      </c>
      <c r="AH58" s="193">
        <f t="array" ref="AH58">SUM(Model!tauY/(1+Model!tauY)*AH3:AI3*AH18:AI18)/AH32</f>
        <v>8.9778543093415406E-3</v>
      </c>
      <c r="AJ58" s="193">
        <f t="array" ref="AJ58">SUM(Model!tauY/(1+Model!tauY)*AJ3:AK3*AJ18:AK18)/AJ32</f>
        <v>8.8740226723782456E-3</v>
      </c>
      <c r="AL58" s="193">
        <f t="array" ref="AL58">SUM(Model!tauY/(1+Model!tauY)*AL3:AM3*AL18:AM18)/AL32</f>
        <v>8.7682377235614346E-3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4.9051975080421275E-3</v>
      </c>
      <c r="F59" s="193">
        <f>(F2*G5*G20)/F32</f>
        <v>9.2429651267211862E-3</v>
      </c>
      <c r="H59" s="193">
        <f>(H2*I5*I20)/H32</f>
        <v>1.3578642281531035E-2</v>
      </c>
      <c r="J59" s="193">
        <f>(J2*K5*K20)/J32</f>
        <v>1.7931402651753088E-2</v>
      </c>
      <c r="L59" s="193">
        <f>(L2*M5*M20)/L32</f>
        <v>2.2329468596498838E-2</v>
      </c>
      <c r="N59" s="193">
        <f>(N2*O5*O20)/N32</f>
        <v>2.681559236323116E-2</v>
      </c>
      <c r="P59" s="193">
        <f>(P2*Q5*Q20)/P32</f>
        <v>3.1455932248266573E-2</v>
      </c>
      <c r="R59" s="193">
        <f>(R2*S5*S20)/R32</f>
        <v>3.6354952192466233E-2</v>
      </c>
      <c r="T59" s="193">
        <f>(T2*U5*U20)/T32</f>
        <v>4.168150749082522E-2</v>
      </c>
      <c r="V59" s="193">
        <f>(V2*W5*W20)/V32</f>
        <v>4.7714035435184342E-2</v>
      </c>
      <c r="X59" s="193">
        <f>(X2*Y5*Y20)/X32</f>
        <v>5.4915365370136471E-2</v>
      </c>
      <c r="Z59" s="193">
        <f>(Z2*AA5*AA20)/Z32</f>
        <v>6.4026522174807116E-2</v>
      </c>
      <c r="AB59" s="193">
        <f>(AB2*AC5*AC20)/AB32</f>
        <v>7.6062268395567373E-2</v>
      </c>
      <c r="AD59" s="193">
        <f>(AD2*AE5*AE20)/AD32</f>
        <v>9.1948126185720042E-2</v>
      </c>
      <c r="AF59" s="193">
        <f>(AF2*AG5*AG20)/AF32</f>
        <v>0.11204818481524888</v>
      </c>
      <c r="AH59" s="193">
        <f>(AH2*AI5*AI20)/AH32</f>
        <v>0.13650507985117108</v>
      </c>
      <c r="AJ59" s="193">
        <f>(AJ2*AK5*AK20)/AJ32</f>
        <v>0.16571933608619691</v>
      </c>
      <c r="AL59" s="193">
        <f>(AL2*AM5*AM20)/AL32</f>
        <v>0.19913830423525966</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2.8615785496625003E-2</v>
      </c>
      <c r="F60" s="193">
        <f>Model!$C$52*F5*F20/F32</f>
        <v>2.8562675314766403E-2</v>
      </c>
      <c r="H60" s="193">
        <f>Model!$C$52*H5*H20/H32</f>
        <v>2.8510007702672036E-2</v>
      </c>
      <c r="J60" s="193">
        <f>Model!$C$52*J5*J20/J32</f>
        <v>2.8457607799371901E-2</v>
      </c>
      <c r="L60" s="193">
        <f>Model!$C$52*L5*L20/L32</f>
        <v>2.8405212780970159E-2</v>
      </c>
      <c r="N60" s="193">
        <f>Model!$C$52*N5*N20/N32</f>
        <v>2.8352423809526246E-2</v>
      </c>
      <c r="P60" s="193">
        <f>Model!$C$52*P5*P20/P32</f>
        <v>2.8298608558300034E-2</v>
      </c>
      <c r="R60" s="193">
        <f>Model!$C$52*R5*R20/R32</f>
        <v>2.8242754367043748E-2</v>
      </c>
      <c r="T60" s="193">
        <f>Model!$C$52*T5*T20/T32</f>
        <v>2.8183198617900095E-2</v>
      </c>
      <c r="V60" s="193">
        <f>Model!$C$52*V5*V20/V32</f>
        <v>2.8117169643007242E-2</v>
      </c>
      <c r="X60" s="193">
        <f>Model!$C$52*X5*X20/X32</f>
        <v>2.8040036930650675E-2</v>
      </c>
      <c r="Z60" s="193">
        <f>Model!$C$52*Z5*Z20/Z32</f>
        <v>2.794442689730952E-2</v>
      </c>
      <c r="AB60" s="193">
        <f>Model!$C$52*AB5*AB20/AB32</f>
        <v>2.7820579153753036E-2</v>
      </c>
      <c r="AD60" s="193">
        <f>Model!$C$52*AD5*AD20/AD32</f>
        <v>2.7660824181491597E-2</v>
      </c>
      <c r="AF60" s="193">
        <f>Model!$C$52*AF5*AF20/AF32</f>
        <v>2.7465168410854165E-2</v>
      </c>
      <c r="AH60" s="193">
        <f>Model!$C$52*AH5*AH20/AH32</f>
        <v>2.7237620079119541E-2</v>
      </c>
      <c r="AJ60" s="193">
        <f>Model!$C$52*AJ5*AJ20/AJ32</f>
        <v>2.6980633445094205E-2</v>
      </c>
      <c r="AL60" s="193">
        <f>Model!$C$52*AL5*AL20/AL32</f>
        <v>2.6704467574604585E-2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1.013692935752788</v>
      </c>
      <c r="F62">
        <f>F13/F15</f>
        <v>1.0286285646188009</v>
      </c>
      <c r="H62">
        <f>H13/H15</f>
        <v>1.0449769539744032</v>
      </c>
      <c r="J62">
        <f>J13/J15</f>
        <v>1.0629709309143349</v>
      </c>
      <c r="L62">
        <f>L13/L15</f>
        <v>1.0829368679944069</v>
      </c>
      <c r="N62">
        <f>N13/N15</f>
        <v>1.1053456196535705</v>
      </c>
      <c r="P62">
        <f>P13/P15</f>
        <v>1.1308982685592721</v>
      </c>
      <c r="R62">
        <f>R13/R15</f>
        <v>1.1606787695221612</v>
      </c>
      <c r="T62">
        <f>T13/T15</f>
        <v>1.1964370524530854</v>
      </c>
      <c r="V62">
        <f>V13/V15</f>
        <v>1.24114291892838</v>
      </c>
      <c r="X62">
        <f>X13/X15</f>
        <v>1.3001060451430444</v>
      </c>
      <c r="Z62">
        <f>Z13/Z15</f>
        <v>1.3832206260198268</v>
      </c>
      <c r="AB62">
        <f>AB13/AB15</f>
        <v>1.5090228532191627</v>
      </c>
      <c r="AD62">
        <f>AD13/AD15</f>
        <v>1.7110926984863701</v>
      </c>
      <c r="AF62">
        <f>AF13/AF15</f>
        <v>2.0525824910277088</v>
      </c>
      <c r="AH62">
        <f>AH13/AH15</f>
        <v>2.679941596024852</v>
      </c>
      <c r="AJ62">
        <f>AJ13/AJ15</f>
        <v>4.0333701587400261</v>
      </c>
      <c r="AL62">
        <f>AL13/AL15</f>
        <v>7.9022247325132859</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0.99805190328862448</v>
      </c>
      <c r="E65" s="191"/>
      <c r="F65" s="191">
        <f t="array" ref="F65">SQRT((F9:G9*$B$22:$C$22+F10:G10*$B$23:$C$23+F11:G11*$B$24:$C$24+F4:G4*($B$25:$C$25-$B$19:$C$19))/($B$9:$C$9*$B$22:$C$22+$B$10:$C$10*$B$23:$C$23+$B$11:$C$11*$B$24:$C$24+$B$4:$C$4*($B$25:$C$25-$B$19:$C$19))*(F9:G9*F22:G22+F10:G10*F23:G23+F11:G11*F24:G24+F4:G4*(F25:G25-F19:G19))/($B$9:$C$9*F22:G22+$B$10:$C$10*F23:G23+$B$11:$C$11*F24:G24+$B$4:$C$4*(F25:G25-F19:G19)))</f>
        <v>0.99601956943654169</v>
      </c>
      <c r="G65" s="191"/>
      <c r="H65" s="191">
        <f t="array" ref="H65">SQRT((H9:I9*$B$22:$C$22+H10:I10*$B$23:$C$23+H11:I11*$B$24:$C$24+H4:I4*($B$25:$C$25-$B$19:$C$19))/($B$9:$C$9*$B$22:$C$22+$B$10:$C$10*$B$23:$C$23+$B$11:$C$11*$B$24:$C$24+$B$4:$C$4*($B$25:$C$25-$B$19:$C$19))*(H9:I9*H22:I22+H10:I10*H23:I23+H11:I11*H24:I24+H4:I4*(H25:I25-H19:I19))/($B$9:$C$9*H22:I22+$B$10:$C$10*H23:I23+$B$11:$C$11*H24:I24+$B$4:$C$4*(H25:I25-H19:I19)))</f>
        <v>0.99389880350274828</v>
      </c>
      <c r="I65" s="191"/>
      <c r="J65" s="191">
        <f t="array" ref="J65">SQRT((J9:K9*$B$22:$C$22+J10:K10*$B$23:$C$23+J11:K11*$B$24:$C$24+J4:K4*($B$25:$C$25-$B$19:$C$19))/($B$9:$C$9*$B$22:$C$22+$B$10:$C$10*$B$23:$C$23+$B$11:$C$11*$B$24:$C$24+$B$4:$C$4*($B$25:$C$25-$B$19:$C$19))*(J9:K9*J22:K22+J10:K10*J23:K23+J11:K11*J24:K24+J4:K4*(J25:K25-J19:K19))/($B$9:$C$9*J22:K22+$B$10:$C$10*J23:K23+$B$11:$C$11*J24:K24+$B$4:$C$4*(J25:K25-J19:K19)))</f>
        <v>0.99168938783474325</v>
      </c>
      <c r="K65" s="191"/>
      <c r="L65" s="191">
        <f t="array" ref="L65">SQRT((L9:M9*$B$22:$C$22+L10:M10*$B$23:$C$23+L11:M11*$B$24:$C$24+L4:M4*($B$25:$C$25-$B$19:$C$19))/($B$9:$C$9*$B$22:$C$22+$B$10:$C$10*$B$23:$C$23+$B$11:$C$11*$B$24:$C$24+$B$4:$C$4*($B$25:$C$25-$B$19:$C$19))*(L9:M9*L22:M22+L10:M10*L23:M23+L11:M11*L24:M24+L4:M4*(L25:M25-L19:M19))/($B$9:$C$9*L22:M22+$B$10:$C$10*L23:M23+$B$11:$C$11*L24:M24+$B$4:$C$4*(L25:M25-L19:M19)))</f>
        <v>0.98939707993927106</v>
      </c>
      <c r="M65" s="191"/>
      <c r="N65" s="191">
        <f t="array" ref="N65">SQRT((N9:O9*$B$22:$C$22+N10:O10*$B$23:$C$23+N11:O11*$B$24:$C$24+N4:O4*($B$25:$C$25-$B$19:$C$19))/($B$9:$C$9*$B$22:$C$22+$B$10:$C$10*$B$23:$C$23+$B$11:$C$11*$B$24:$C$24+$B$4:$C$4*($B$25:$C$25-$B$19:$C$19))*(N9:O9*N22:O22+N10:O10*N23:O23+N11:O11*N24:O24+N4:O4*(N25:O25-N19:O19))/($B$9:$C$9*N22:O22+$B$10:$C$10*N23:O23+$B$11:$C$11*N24:O24+$B$4:$C$4*(N25:O25-N19:O19)))</f>
        <v>0.98703661487865246</v>
      </c>
      <c r="O65" s="191"/>
      <c r="P65" s="191">
        <f t="array" ref="P65">SQRT((P9:Q9*$B$22:$C$22+P10:Q10*$B$23:$C$23+P11:Q11*$B$24:$C$24+P4:Q4*($B$25:$C$25-$B$19:$C$19))/($B$9:$C$9*$B$22:$C$22+$B$10:$C$10*$B$23:$C$23+$B$11:$C$11*$B$24:$C$24+$B$4:$C$4*($B$25:$C$25-$B$19:$C$19))*(P9:Q9*P22:Q22+P10:Q10*P23:Q23+P11:Q11*P24:Q24+P4:Q4*(P25:Q25-P19:Q19))/($B$9:$C$9*P22:Q22+$B$10:$C$10*P23:Q23+$B$11:$C$11*P24:Q24+$B$4:$C$4*(P25:Q25-P19:Q19)))</f>
        <v>0.98463652463073026</v>
      </c>
      <c r="Q65" s="191"/>
      <c r="R65" s="191">
        <f t="array" ref="R65">SQRT((R9:S9*$B$22:$C$22+R10:S10*$B$23:$C$23+R11:S11*$B$24:$C$24+R4:S4*($B$25:$C$25-$B$19:$C$19))/($B$9:$C$9*$B$22:$C$22+$B$10:$C$10*$B$23:$C$23+$B$11:$C$11*$B$24:$C$24+$B$4:$C$4*($B$25:$C$25-$B$19:$C$19))*(R9:S9*R22:S22+R10:S10*R23:S23+R11:S11*R24:S24+R4:S4*(R25:S25-R19:S19))/($B$9:$C$9*R22:S22+$B$10:$C$10*R23:S23+$B$11:$C$11*R24:S24+$B$4:$C$4*(R25:S25-R19:S19)))</f>
        <v>0.98224698113137066</v>
      </c>
      <c r="S65" s="191"/>
      <c r="T65" s="191">
        <f t="array" ref="T65">SQRT((T9:U9*$B$22:$C$22+T10:U10*$B$23:$C$23+T11:U11*$B$24:$C$24+T4:U4*($B$25:$C$25-$B$19:$C$19))/($B$9:$C$9*$B$22:$C$22+$B$10:$C$10*$B$23:$C$23+$B$11:$C$11*$B$24:$C$24+$B$4:$C$4*($B$25:$C$25-$B$19:$C$19))*(T9:U9*T22:U22+T10:U10*T23:U23+T11:U11*T24:U24+T4:U4*(T25:U25-T19:U19))/($B$9:$C$9*T22:U22+$B$10:$C$10*T23:U23+$B$11:$C$11*T24:U24+$B$4:$C$4*(T25:U25-T19:U19)))</f>
        <v>0.97995319465039876</v>
      </c>
      <c r="U65" s="191"/>
      <c r="V65" s="191">
        <f t="array" ref="V65">SQRT((V9:W9*$B$22:$C$22+V10:W10*$B$23:$C$23+V11:W11*$B$24:$C$24+V4:W4*($B$25:$C$25-$B$19:$C$19))/($B$9:$C$9*$B$22:$C$22+$B$10:$C$10*$B$23:$C$23+$B$11:$C$11*$B$24:$C$24+$B$4:$C$4*($B$25:$C$25-$B$19:$C$19))*(V9:W9*V22:W22+V10:W10*V23:W23+V11:W11*V24:W24+V4:W4*(V25:W25-V19:W19))/($B$9:$C$9*V22:W22+$B$10:$C$10*V23:W23+$B$11:$C$11*V24:W24+$B$4:$C$4*(V25:W25-V19:W19)))</f>
        <v>0.97789767507082093</v>
      </c>
      <c r="W65" s="191"/>
      <c r="X65" s="191">
        <f t="array" ref="X65">SQRT((X9:Y9*$B$22:$C$22+X10:Y10*$B$23:$C$23+X11:Y11*$B$24:$C$24+X4:Y4*($B$25:$C$25-$B$19:$C$19))/($B$9:$C$9*$B$22:$C$22+$B$10:$C$10*$B$23:$C$23+$B$11:$C$11*$B$24:$C$24+$B$4:$C$4*($B$25:$C$25-$B$19:$C$19))*(X9:Y9*X22:Y22+X10:Y10*X23:Y23+X11:Y11*X24:Y24+X4:Y4*(X25:Y25-X19:Y19))/($B$9:$C$9*X22:Y22+$B$10:$C$10*X23:Y23+$B$11:$C$11*X24:Y24+$B$4:$C$4*(X25:Y25-X19:Y19)))</f>
        <v>0.97631360641421794</v>
      </c>
      <c r="Y65" s="191"/>
      <c r="Z65" s="191">
        <f t="array" ref="Z65">SQRT((Z9:AA9*$B$22:$C$22+Z10:AA10*$B$23:$C$23+Z11:AA11*$B$24:$C$24+Z4:AA4*($B$25:$C$25-$B$19:$C$19))/($B$9:$C$9*$B$22:$C$22+$B$10:$C$10*$B$23:$C$23+$B$11:$C$11*$B$24:$C$24+$B$4:$C$4*($B$25:$C$25-$B$19:$C$19))*(Z9:AA9*Z22:AA22+Z10:AA10*Z23:AA23+Z11:AA11*Z24:AA24+Z4:AA4*(Z25:AA25-Z19:AA19))/($B$9:$C$9*Z22:AA22+$B$10:$C$10*Z23:AA23+$B$11:$C$11*Z24:AA24+$B$4:$C$4*(Z25:AA25-Z19:AA19)))</f>
        <v>0.97555320820325686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0.97602341781637147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0.97787939942375723</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0.98071783796140888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0.98387090723991955</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0.98684816476262838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0.98932559595293956</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0.99785667928513544</v>
      </c>
      <c r="E66" s="191"/>
      <c r="F66" s="191">
        <f t="array" ref="F66">SQRT((F9:G9*$B$22:$C$22)/($B$9:$C$9*$B$22:$C$22)*(F9:G9*F22:G22)/($B$9:$C$9*F22:G22))</f>
        <v>0.9956157352067494</v>
      </c>
      <c r="G66" s="191"/>
      <c r="H66" s="191">
        <f t="array" ref="H66">SQRT((H9:I9*$B$22:$C$22)/($B$9:$C$9*$B$22:$C$22)*(H9:I9*H22:I22)/($B$9:$C$9*H22:I22))</f>
        <v>0.99327188242691966</v>
      </c>
      <c r="I66" s="191"/>
      <c r="J66" s="191">
        <f t="array" ref="J66">SQRT((J9:K9*$B$22:$C$22)/($B$9:$C$9*$B$22:$C$22)*(J9:K9*J22:K22)/($B$9:$C$9*J22:K22))</f>
        <v>0.99082417343522033</v>
      </c>
      <c r="K66" s="191"/>
      <c r="L66" s="191">
        <f t="array" ref="L66">SQRT((L9:M9*$B$22:$C$22)/($B$9:$C$9*$B$22:$C$22)*(L9:M9*L22:M22)/($B$9:$C$9*L22:M22))</f>
        <v>0.98827827325316975</v>
      </c>
      <c r="M66" s="191"/>
      <c r="N66" s="191">
        <f t="array" ref="N66">SQRT((N9:O9*$B$22:$C$22)/($B$9:$C$9*$B$22:$C$22)*(N9:O9*N22:O22)/($B$9:$C$9*N22:O22))</f>
        <v>0.98564989685733051</v>
      </c>
      <c r="O66" s="191"/>
      <c r="P66" s="191">
        <f t="array" ref="P66">SQRT((P9:Q9*$B$22:$C$22)/($B$9:$C$9*$B$22:$C$22)*(P9:Q9*P22:Q22)/($B$9:$C$9*P22:Q22))</f>
        <v>0.98297034246558812</v>
      </c>
      <c r="Q66" s="191"/>
      <c r="R66" s="191">
        <f t="array" ref="R66">SQRT((R9:S9*$B$22:$C$22)/($B$9:$C$9*$B$22:$C$22)*(R9:S9*R22:S22)/($B$9:$C$9*R22:S22))</f>
        <v>0.98029551073560584</v>
      </c>
      <c r="S66" s="191"/>
      <c r="T66" s="191">
        <f t="array" ref="T66">SQRT((T9:U9*$B$22:$C$22)/($B$9:$C$9*$B$22:$C$22)*(T9:U9*T22:U22)/($B$9:$C$9*T22:U22))</f>
        <v>0.97772130336687491</v>
      </c>
      <c r="U66" s="191"/>
      <c r="V66" s="191">
        <f t="array" ref="V66">SQRT((V9:W9*$B$22:$C$22)/($B$9:$C$9*$B$22:$C$22)*(V9:W9*V22:W22)/($B$9:$C$9*V22:W22))</f>
        <v>0.97540916929565724</v>
      </c>
      <c r="W66" s="191"/>
      <c r="X66" s="191">
        <f t="array" ref="X66">SQRT((X9:Y9*$B$22:$C$22)/($B$9:$C$9*$B$22:$C$22)*(X9:Y9*X22:Y22)/($B$9:$C$9*X22:Y22))</f>
        <v>0.97362426373521771</v>
      </c>
      <c r="Y66" s="191"/>
      <c r="Z66" s="191">
        <f t="array" ref="Z66">SQRT((Z9:AA9*$B$22:$C$22)/($B$9:$C$9*$B$22:$C$22)*(Z9:AA9*Z22:AA22)/($B$9:$C$9*Z22:AA22))</f>
        <v>0.97276746194629937</v>
      </c>
      <c r="AA66" s="191"/>
      <c r="AB66" s="191">
        <f t="array" ref="AB66">SQRT((AB9:AC9*$B$22:$C$22)/($B$9:$C$9*$B$22:$C$22)*(AB9:AC9*AB22:AC22)/($B$9:$C$9*AB22:AC22))</f>
        <v>0.97330064093157942</v>
      </c>
      <c r="AC66" s="191"/>
      <c r="AD66" s="191">
        <f t="array" ref="AD66">SQRT((AD9:AE9*$B$22:$C$22)/($B$9:$C$9*$B$22:$C$22)*(AD9:AE9*AD22:AE22)/($B$9:$C$9*AD22:AE22))</f>
        <v>0.97539599943998978</v>
      </c>
      <c r="AE66" s="191"/>
      <c r="AF66" s="191">
        <f t="array" ref="AF66">SQRT((AF9:AG9*$B$22:$C$22)/($B$9:$C$9*$B$22:$C$22)*(AF9:AG9*AF22:AG22)/($B$9:$C$9*AF22:AG22))</f>
        <v>0.9785902276100058</v>
      </c>
      <c r="AG66" s="191"/>
      <c r="AH66" s="191">
        <f t="array" ref="AH66">SQRT((AH9:AI9*$B$22:$C$22)/($B$9:$C$9*$B$22:$C$22)*(AH9:AI9*AH22:AI22)/($B$9:$C$9*AH22:AI22))</f>
        <v>0.98212534479475877</v>
      </c>
      <c r="AI66" s="191"/>
      <c r="AJ66" s="191">
        <f t="array" ref="AJ66">SQRT((AJ9:AK9*$B$22:$C$22)/($B$9:$C$9*$B$22:$C$22)*(AJ9:AK9*AJ22:AK22)/($B$9:$C$9*AJ22:AK22))</f>
        <v>0.98545093381183069</v>
      </c>
      <c r="AK66" s="191"/>
      <c r="AL66" s="191">
        <f t="array" ref="AL66">SQRT((AL9:AM9*$B$22:$C$22)/($B$9:$C$9*$B$22:$C$22)*(AL9:AM9*AL22:AM22)/($B$9:$C$9*AL22:AM22))</f>
        <v>0.98820912538700889</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0.99785667928513544</v>
      </c>
      <c r="E68" s="191"/>
      <c r="F68" s="191">
        <f>F66/F67</f>
        <v>0.9956157352067494</v>
      </c>
      <c r="G68" s="191"/>
      <c r="H68" s="191">
        <f>H66/H67</f>
        <v>0.99327188242691966</v>
      </c>
      <c r="I68" s="191"/>
      <c r="J68" s="191">
        <f>J66/J67</f>
        <v>0.99082417343522033</v>
      </c>
      <c r="K68" s="191"/>
      <c r="L68" s="191">
        <f>L66/L67</f>
        <v>0.98827827325316975</v>
      </c>
      <c r="M68" s="191"/>
      <c r="N68" s="191">
        <f>N66/N67</f>
        <v>0.98564989685733051</v>
      </c>
      <c r="O68" s="191"/>
      <c r="P68" s="191">
        <f>P66/P67</f>
        <v>0.98297034246558812</v>
      </c>
      <c r="Q68" s="191"/>
      <c r="R68" s="191">
        <f>R66/R67</f>
        <v>0.98029551073560584</v>
      </c>
      <c r="S68" s="191"/>
      <c r="T68" s="191">
        <f>T66/T67</f>
        <v>0.97772130336687491</v>
      </c>
      <c r="U68" s="191"/>
      <c r="V68" s="191">
        <f>V66/V67</f>
        <v>0.97540916929565724</v>
      </c>
      <c r="W68" s="191"/>
      <c r="X68" s="191">
        <f>X66/X67</f>
        <v>0.97362426373521771</v>
      </c>
      <c r="Y68" s="191"/>
      <c r="Z68" s="191">
        <f>Z66/Z67</f>
        <v>0.97276746194629937</v>
      </c>
      <c r="AA68" s="191"/>
      <c r="AB68" s="191">
        <f>AB66/AB67</f>
        <v>0.97330064093157942</v>
      </c>
      <c r="AC68" s="191"/>
      <c r="AD68" s="191">
        <f>AD66/AD67</f>
        <v>0.97539599943998978</v>
      </c>
      <c r="AE68" s="191"/>
      <c r="AF68" s="191">
        <f>AF66/AF67</f>
        <v>0.9785902276100058</v>
      </c>
      <c r="AG68" s="191"/>
      <c r="AH68" s="191">
        <f>AH66/AH67</f>
        <v>0.98212534479475877</v>
      </c>
      <c r="AI68" s="191"/>
      <c r="AJ68" s="191">
        <f>AJ66/AJ67</f>
        <v>0.98545093381183069</v>
      </c>
      <c r="AK68" s="191"/>
      <c r="AL68" s="191">
        <f>AL66/AL67</f>
        <v>0.98820912538700889</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1.005730116562805</v>
      </c>
      <c r="E69" s="191"/>
      <c r="F69" s="191">
        <f>F32/F65/($B$32)</f>
        <v>1.0108366277391119</v>
      </c>
      <c r="G69" s="191"/>
      <c r="H69" s="191">
        <f>H32/H65/($B$32)</f>
        <v>1.015284330031258</v>
      </c>
      <c r="I69" s="191"/>
      <c r="J69" s="191">
        <f>J32/J65/($B$32)</f>
        <v>1.0190282995779314</v>
      </c>
      <c r="K69" s="191"/>
      <c r="L69" s="191">
        <f>L32/L65/($B$32)</f>
        <v>1.0220136688246928</v>
      </c>
      <c r="M69" s="191"/>
      <c r="N69" s="191">
        <f>N32/N65/($B$32)</f>
        <v>1.0241731499248448</v>
      </c>
      <c r="O69" s="191"/>
      <c r="P69" s="191">
        <f>P32/P65/($B$32)</f>
        <v>1.0254265119981198</v>
      </c>
      <c r="Q69" s="191"/>
      <c r="R69" s="191">
        <f>R32/R65/($B$32)</f>
        <v>1.025677070700594</v>
      </c>
      <c r="S69" s="191"/>
      <c r="T69" s="191">
        <f>T32/T65/($B$32)</f>
        <v>1.0248076977935991</v>
      </c>
      <c r="U69" s="191"/>
      <c r="V69" s="191">
        <f>V32/V65/($B$32)</f>
        <v>1.0226693507846489</v>
      </c>
      <c r="W69" s="191"/>
      <c r="X69" s="191">
        <f>X32/X65/($B$32)</f>
        <v>1.0190434469874883</v>
      </c>
      <c r="Y69" s="191"/>
      <c r="Z69" s="191">
        <f>Z32/Z65/($B$32)</f>
        <v>1.0135052350531482</v>
      </c>
      <c r="AA69" s="191"/>
      <c r="AB69" s="191">
        <f>AB32/AB65/($B$32)</f>
        <v>1.0049686280997248</v>
      </c>
      <c r="AC69" s="191"/>
      <c r="AD69" s="191">
        <f>AD32/AD65/($B$32)</f>
        <v>0.9906384018191704</v>
      </c>
      <c r="AE69" s="191"/>
      <c r="AF69" s="191">
        <f>AF32/AF65/($B$32)</f>
        <v>0.96476946029587907</v>
      </c>
      <c r="AG69" s="191"/>
      <c r="AH69" s="191">
        <f>AH32/AH65/($B$32)</f>
        <v>0.91758090726132313</v>
      </c>
      <c r="AI69" s="191"/>
      <c r="AJ69" s="191">
        <f>AJ32/AJ65/($B$32)</f>
        <v>0.83197136990974363</v>
      </c>
      <c r="AK69" s="191"/>
      <c r="AL69" s="191">
        <f>AL32/AL65/($B$32)</f>
        <v>0.6756437429026958</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1.0052344769109283</v>
      </c>
      <c r="E70" s="138"/>
      <c r="F70" s="138">
        <f>F18/$B$18</f>
        <v>1.0099271877837901</v>
      </c>
      <c r="G70" s="138"/>
      <c r="H70" s="138">
        <f>H18/$B$18</f>
        <v>1.0140450053516816</v>
      </c>
      <c r="I70" s="138"/>
      <c r="J70" s="138">
        <f>J18/$B$18</f>
        <v>1.0175402933382383</v>
      </c>
      <c r="K70" s="138"/>
      <c r="L70" s="138">
        <f>L18/$B$18</f>
        <v>1.0203475732587224</v>
      </c>
      <c r="M70" s="138"/>
      <c r="N70" s="138">
        <f>N18/$B$18</f>
        <v>1.0223767658085616</v>
      </c>
      <c r="O70" s="138"/>
      <c r="P70" s="138">
        <f>P18/$B$18</f>
        <v>1.0235051010406322</v>
      </c>
      <c r="Q70" s="138"/>
      <c r="R70" s="138">
        <f>R18/$B$18</f>
        <v>1.023561853226949</v>
      </c>
      <c r="S70" s="138"/>
      <c r="T70" s="138">
        <f>T18/$B$18</f>
        <v>1.0223039136186982</v>
      </c>
      <c r="U70" s="138"/>
      <c r="V70" s="138">
        <f>V18/$B$18</f>
        <v>1.0193707530962495</v>
      </c>
      <c r="W70" s="138"/>
      <c r="X70" s="138">
        <f>X18/$B$18</f>
        <v>1.0141964720395891</v>
      </c>
      <c r="Y70" s="138"/>
      <c r="Z70" s="138">
        <f>Z18/$B$18</f>
        <v>1.0058299129493116</v>
      </c>
      <c r="AA70" s="138"/>
      <c r="AB70" s="138">
        <f>AB18/$B$18</f>
        <v>0.99257543105044144</v>
      </c>
      <c r="AC70" s="138"/>
      <c r="AD70" s="138">
        <f>AD18/$B$18</f>
        <v>0.97141890609457027</v>
      </c>
      <c r="AE70" s="138"/>
      <c r="AF70" s="138">
        <f>AF18/$B$18</f>
        <v>0.93733590114355625</v>
      </c>
      <c r="AG70" s="138"/>
      <c r="AH70" s="138">
        <f>AH18/$B$18</f>
        <v>0.88201128788298244</v>
      </c>
      <c r="AI70" s="138"/>
      <c r="AJ70" s="138">
        <f>AJ18/$B$18</f>
        <v>0.79042515662848156</v>
      </c>
      <c r="AK70" s="138"/>
      <c r="AL70" s="138">
        <f>AL18/$B$18</f>
        <v>0.6341774072425489</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0.9157866811538159</v>
      </c>
      <c r="E71" s="138"/>
      <c r="F71" s="138">
        <f>G18/$C$18</f>
        <v>0.83090497914180106</v>
      </c>
      <c r="G71" s="138"/>
      <c r="H71" s="138">
        <f>I18/$C$18</f>
        <v>0.74546711313279146</v>
      </c>
      <c r="I71" s="138"/>
      <c r="J71" s="138">
        <f>K18/$C$18</f>
        <v>0.65967413094338934</v>
      </c>
      <c r="K71" s="138"/>
      <c r="L71" s="138">
        <f>M18/$C$18</f>
        <v>0.57384337792558959</v>
      </c>
      <c r="M71" s="138"/>
      <c r="N71" s="138">
        <f>O18/$C$18</f>
        <v>0.48846099233306955</v>
      </c>
      <c r="O71" s="138"/>
      <c r="P71" s="138">
        <f>Q18/$C$18</f>
        <v>0.40423968575148744</v>
      </c>
      <c r="Q71" s="138"/>
      <c r="R71" s="138">
        <f>S18/$C$18</f>
        <v>0.32222208555104886</v>
      </c>
      <c r="S71" s="138"/>
      <c r="T71" s="138">
        <f>U18/$C$18</f>
        <v>0.24392522195975516</v>
      </c>
      <c r="U71" s="138"/>
      <c r="V71" s="138">
        <f>W18/$C$18</f>
        <v>0.17155559900885761</v>
      </c>
      <c r="W71" s="138"/>
      <c r="X71" s="138">
        <f>Y18/$C$18</f>
        <v>0.10824913283056524</v>
      </c>
      <c r="Y71" s="138"/>
      <c r="Z71" s="138">
        <f>AA18/$C$18</f>
        <v>5.803671159499986E-2</v>
      </c>
      <c r="AA71" s="138"/>
      <c r="AB71" s="138">
        <f>AC18/$C$18</f>
        <v>2.4555846491225317E-2</v>
      </c>
      <c r="AC71" s="138"/>
      <c r="AD71" s="138">
        <f>AE18/$C$18</f>
        <v>7.6476025663178996E-3</v>
      </c>
      <c r="AE71" s="138"/>
      <c r="AF71" s="138">
        <f>AG18/$C$18</f>
        <v>1.6978596223914916E-3</v>
      </c>
      <c r="AG71" s="138"/>
      <c r="AH71" s="138">
        <f>AI18/$C$18</f>
        <v>2.6589435008309763E-4</v>
      </c>
      <c r="AI71" s="138"/>
      <c r="AJ71" s="138">
        <f>AK18/$C$18</f>
        <v>2.8888765320020158E-5</v>
      </c>
      <c r="AK71" s="138"/>
      <c r="AL71" s="138">
        <f>AM18/$C$18</f>
        <v>2.2626486790613479E-6</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1.0885275863989456</v>
      </c>
      <c r="E72" s="138"/>
      <c r="F72" s="138">
        <f>G19/$C$19</f>
        <v>1.1856222093351947</v>
      </c>
      <c r="G72" s="138"/>
      <c r="H72" s="138">
        <f>I19/$C$19</f>
        <v>1.2915060991304865</v>
      </c>
      <c r="I72" s="138"/>
      <c r="J72" s="138">
        <f>K19/$C$19</f>
        <v>1.4060865732584407</v>
      </c>
      <c r="K72" s="138"/>
      <c r="L72" s="138">
        <f>M19/$C$19</f>
        <v>1.5287894135845774</v>
      </c>
      <c r="M72" s="138"/>
      <c r="N72" s="138">
        <f>O19/$C$19</f>
        <v>1.6583188957831299</v>
      </c>
      <c r="O72" s="138"/>
      <c r="P72" s="138">
        <f>Q19/$C$19</f>
        <v>1.7922720489908135</v>
      </c>
      <c r="Q72" s="138"/>
      <c r="R72" s="138">
        <f>S19/$C$19</f>
        <v>1.9265241465714431</v>
      </c>
      <c r="S72" s="138"/>
      <c r="T72" s="138">
        <f>U19/$C$19</f>
        <v>2.0541979639138073</v>
      </c>
      <c r="U72" s="138"/>
      <c r="V72" s="138">
        <f>W19/$C$19</f>
        <v>2.1639625419370212</v>
      </c>
      <c r="W72" s="138"/>
      <c r="X72" s="138">
        <f>Y19/$C$19</f>
        <v>2.2374989208829574</v>
      </c>
      <c r="Y72" s="138"/>
      <c r="Z72" s="138">
        <f>AA19/$C$19</f>
        <v>2.2472968709110877</v>
      </c>
      <c r="AA72" s="138"/>
      <c r="AB72" s="138">
        <f>AC19/$C$19</f>
        <v>2.1611629448335505</v>
      </c>
      <c r="AC72" s="138"/>
      <c r="AD72" s="138">
        <f>AE19/$C$19</f>
        <v>1.964415465806254</v>
      </c>
      <c r="AE72" s="138"/>
      <c r="AF72" s="138">
        <f>AG19/$C$19</f>
        <v>1.6823306388753194</v>
      </c>
      <c r="AG72" s="138"/>
      <c r="AH72" s="138">
        <f>AI19/$C$19</f>
        <v>1.3585595392114662</v>
      </c>
      <c r="AI72" s="138"/>
      <c r="AJ72" s="138">
        <f>AK19/$C$19</f>
        <v>1.0213786434441841</v>
      </c>
      <c r="AK72" s="138"/>
      <c r="AL72" s="138">
        <f>AM19/$C$19</f>
        <v>0.68123330018302219</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0.47641153352875076</v>
      </c>
      <c r="D73" s="193">
        <f t="array" ref="D73">SUM(D9:E9*D22:E22)/D32</f>
        <v>0.4764115329606825</v>
      </c>
      <c r="E73" s="138"/>
      <c r="F73" s="193">
        <f t="array" ref="F73">SUM(F9:G9*F22:G22)/F32</f>
        <v>0.47641153283136423</v>
      </c>
      <c r="G73" s="138"/>
      <c r="H73" s="193">
        <f t="array" ref="H73">SUM(H9:I9*H22:I22)/H32</f>
        <v>0.47641153247074985</v>
      </c>
      <c r="I73" s="138"/>
      <c r="J73" s="193">
        <f t="array" ref="J73">SUM(J9:K9*J22:K22)/J32</f>
        <v>0.47641153484599524</v>
      </c>
      <c r="K73" s="138"/>
      <c r="L73" s="193">
        <f t="array" ref="L73">SUM(L9:M9*L22:M22)/L32</f>
        <v>0.4764115335979302</v>
      </c>
      <c r="M73" s="138"/>
      <c r="N73" s="193">
        <f t="array" ref="N73">SUM(N9:O9*N22:O22)/N32</f>
        <v>0.47641153328115005</v>
      </c>
      <c r="O73" s="138"/>
      <c r="P73" s="193">
        <f t="array" ref="P73">SUM(P9:Q9*P22:Q22)/P32</f>
        <v>0.47641154123189</v>
      </c>
      <c r="Q73" s="138"/>
      <c r="R73" s="193">
        <f t="array" ref="R73">SUM(R9:S9*R22:S22)/R32</f>
        <v>0.47641153593468483</v>
      </c>
      <c r="S73" s="138"/>
      <c r="T73" s="193">
        <f t="array" ref="T73">SUM(T9:U9*T22:U22)/T32</f>
        <v>0.47641153376280465</v>
      </c>
      <c r="U73" s="138"/>
      <c r="V73" s="193">
        <f t="array" ref="V73">SUM(V9:W9*V22:W22)/V32</f>
        <v>0.47641153411001369</v>
      </c>
      <c r="W73" s="138"/>
      <c r="X73" s="193">
        <f t="array" ref="X73">SUM(X9:Y9*X22:Y22)/X32</f>
        <v>0.47641153319412949</v>
      </c>
      <c r="Y73" s="138"/>
      <c r="Z73" s="193">
        <f t="array" ref="Z73">SUM(Z9:AA9*Z22:AA22)/Z32</f>
        <v>0.47641153363564909</v>
      </c>
      <c r="AA73" s="138"/>
      <c r="AB73" s="193">
        <f t="array" ref="AB73">SUM(AB9:AC9*AB22:AC22)/AB32</f>
        <v>0.47641153353558319</v>
      </c>
      <c r="AC73" s="138"/>
      <c r="AD73" s="193">
        <f t="array" ref="AD73">SUM(AD9:AE9*AD22:AE22)/AD32</f>
        <v>0.47641153351678878</v>
      </c>
      <c r="AE73" s="138"/>
      <c r="AF73" s="193">
        <f t="array" ref="AF73">SUM(AF9:AG9*AF22:AG22)/AF32</f>
        <v>0.47641153352923432</v>
      </c>
      <c r="AG73" s="138"/>
      <c r="AH73" s="193">
        <f t="array" ref="AH73">SUM(AH9:AI9*AH22:AI22)/AH32</f>
        <v>0.47641153352882804</v>
      </c>
      <c r="AI73" s="138"/>
      <c r="AJ73" s="193">
        <f t="array" ref="AJ73">SUM(AJ9:AK9*AJ22:AK22)/AJ32</f>
        <v>0.47641153352873539</v>
      </c>
      <c r="AK73" s="138"/>
      <c r="AL73" s="193">
        <f t="array" ref="AL73">SUM(AL9:AM9*AL22:AM22)/AL32</f>
        <v>0.4764115335287385</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0.22604620456442487</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0.22038438828233364</v>
      </c>
      <c r="E75" s="138"/>
      <c r="F75" s="193">
        <f t="array" ref="F75">SUM(F11:G11*F24:G24)/F32</f>
        <v>0.22038438825161508</v>
      </c>
      <c r="G75" s="138"/>
      <c r="H75" s="193">
        <f t="array" ref="H75">SUM(H11:I11*H24:I24)/H32</f>
        <v>0.22038438816945807</v>
      </c>
      <c r="I75" s="138"/>
      <c r="J75" s="193">
        <f t="array" ref="J75">SUM(J11:K11*J24:K24)/J32</f>
        <v>0.22038438847548952</v>
      </c>
      <c r="K75" s="138"/>
      <c r="L75" s="193">
        <f t="array" ref="L75">SUM(L11:M11*L24:M24)/L32</f>
        <v>0.22038438837707713</v>
      </c>
      <c r="M75" s="138"/>
      <c r="N75" s="193">
        <f t="array" ref="N75">SUM(N11:O11*N24:O24)/N32</f>
        <v>0.22038438845640382</v>
      </c>
      <c r="O75" s="138"/>
      <c r="P75" s="193">
        <f t="array" ref="P75">SUM(P11:Q11*P24:Q24)/P32</f>
        <v>0.22038438824808979</v>
      </c>
      <c r="Q75" s="138"/>
      <c r="R75" s="193">
        <f t="array" ref="R75">SUM(R11:S11*R24:S24)/R32</f>
        <v>0.22038438831811522</v>
      </c>
      <c r="S75" s="138"/>
      <c r="T75" s="193">
        <f t="array" ref="T75">SUM(T11:U11*T24:U24)/T32</f>
        <v>0.22038438838357791</v>
      </c>
      <c r="U75" s="138"/>
      <c r="V75" s="193">
        <f t="array" ref="V75">SUM(V11:W11*V24:W24)/V32</f>
        <v>0.22038438830141108</v>
      </c>
      <c r="W75" s="138"/>
      <c r="X75" s="193">
        <f t="array" ref="X75">SUM(X11:Y11*X24:Y24)/X32</f>
        <v>0.220384388341335</v>
      </c>
      <c r="Y75" s="138"/>
      <c r="Z75" s="193">
        <f t="array" ref="Z75">SUM(Z11:AA11*Z24:AA24)/Z32</f>
        <v>0.22038438833127336</v>
      </c>
      <c r="AA75" s="138"/>
      <c r="AB75" s="193">
        <f t="array" ref="AB75">SUM(AB11:AC11*AB24:AC24)/AB32</f>
        <v>0.22038438833197938</v>
      </c>
      <c r="AC75" s="138"/>
      <c r="AD75" s="193">
        <f t="array" ref="AD75">SUM(AD11:AE11*AD24:AE24)/AD32</f>
        <v>0.22038438833153823</v>
      </c>
      <c r="AE75" s="138"/>
      <c r="AF75" s="193">
        <f t="array" ref="AF75">SUM(AF11:AG11*AF24:AG24)/AF32</f>
        <v>0.22038438833198354</v>
      </c>
      <c r="AG75" s="138"/>
      <c r="AH75" s="193">
        <f t="array" ref="AH75">SUM(AH11:AI11*AH24:AI24)/AH32</f>
        <v>0.22038438833196686</v>
      </c>
      <c r="AI75" s="138"/>
      <c r="AJ75" s="193">
        <f t="array" ref="AJ75">SUM(AJ11:AK11*AJ24:AK24)/AJ32</f>
        <v>0.22038438833194227</v>
      </c>
      <c r="AK75" s="138"/>
      <c r="AL75" s="193">
        <f t="array" ref="AL75">SUM(AL11:AM11*AL24:AM24)/AL32</f>
        <v>0.22038438833194157</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0.2234650815869052</v>
      </c>
      <c r="E76" s="138"/>
      <c r="F76" s="193">
        <f t="array" ref="F76">SUM(F12:G12*F25:G25)/F32</f>
        <v>0.22403904285363926</v>
      </c>
      <c r="G76" s="138"/>
      <c r="H76" s="193">
        <f t="array" ref="H76">SUM(H12:I12*H25:I25)/H32</f>
        <v>0.22474566247501171</v>
      </c>
      <c r="I76" s="138"/>
      <c r="J76" s="193">
        <f t="array" ref="J76">SUM(J12:K12*J25:K25)/J32</f>
        <v>0.22558694992259676</v>
      </c>
      <c r="K76" s="138"/>
      <c r="L76" s="193">
        <f t="array" ref="L76">SUM(L12:M12*L25:M25)/L32</f>
        <v>0.226559724355655</v>
      </c>
      <c r="M76" s="138"/>
      <c r="N76" s="193">
        <f t="array" ref="N76">SUM(N12:O12*N25:O25)/N32</f>
        <v>0.22765243797032167</v>
      </c>
      <c r="O76" s="138"/>
      <c r="P76" s="193">
        <f t="array" ref="P76">SUM(P12:Q12*P25:Q25)/P32</f>
        <v>0.22883971077232565</v>
      </c>
      <c r="Q76" s="138"/>
      <c r="R76" s="193">
        <f t="array" ref="R76">SUM(R12:S12*R25:S25)/R32</f>
        <v>0.23007348671093444</v>
      </c>
      <c r="S76" s="138"/>
      <c r="T76" s="193">
        <f t="array" ref="T76">SUM(T12:U12*T25:U25)/T32</f>
        <v>0.23126760683814768</v>
      </c>
      <c r="U76" s="138"/>
      <c r="V76" s="193">
        <f t="array" ref="V76">SUM(V12:W12*V25:W25)/V32</f>
        <v>0.23227205809062726</v>
      </c>
      <c r="W76" s="138"/>
      <c r="X76" s="193">
        <f t="array" ref="X76">SUM(X12:Y12*X25:Y25)/X32</f>
        <v>0.23283402971931852</v>
      </c>
      <c r="Y76" s="138"/>
      <c r="Z76" s="193">
        <f t="array" ref="Z76">SUM(Z12:AA12*Z25:AA25)/Z32</f>
        <v>0.23256353158264989</v>
      </c>
      <c r="AA76" s="138"/>
      <c r="AB76" s="193">
        <f t="array" ref="AB76">SUM(AB12:AC12*AB25:AC25)/AB32</f>
        <v>0.23100108954538265</v>
      </c>
      <c r="AC76" s="138"/>
      <c r="AD76" s="193">
        <f t="array" ref="AD76">SUM(AD12:AE12*AD25:AE25)/AD32</f>
        <v>0.22795098792016003</v>
      </c>
      <c r="AE76" s="138"/>
      <c r="AF76" s="193">
        <f t="array" ref="AF76">SUM(AF12:AG12*AF25:AG25)/AF32</f>
        <v>0.22380710584517244</v>
      </c>
      <c r="AG76" s="138"/>
      <c r="AH76" s="193">
        <f t="array" ref="AH76">SUM(AH12:AI12*AH25:AI25)/AH32</f>
        <v>0.21922233653968573</v>
      </c>
      <c r="AI76" s="138"/>
      <c r="AJ76" s="193">
        <f t="array" ref="AJ76">SUM(AJ12:AK12*AJ25:AK25)/AJ32</f>
        <v>0.21464655505367444</v>
      </c>
      <c r="AK76" s="138"/>
      <c r="AL76" s="193">
        <f t="array" ref="AL76">SUM(AL12:AM12*AL25:AM25)/AL32</f>
        <v>0.21041676321306504</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0.14630720739434599</v>
      </c>
      <c r="E77" s="138"/>
      <c r="F77" s="193">
        <f t="array" ref="F77">SUM(F4:G4*F19:G19)/F32</f>
        <v>0.14688116850104313</v>
      </c>
      <c r="G77" s="138"/>
      <c r="H77" s="193">
        <f t="array" ref="H77">SUM(H4:I4*H19:I19)/H32</f>
        <v>0.14758778767964437</v>
      </c>
      <c r="I77" s="138"/>
      <c r="J77" s="193">
        <f t="array" ref="J77">SUM(J4:K4*J19:K19)/J32</f>
        <v>0.1484290778085062</v>
      </c>
      <c r="K77" s="138"/>
      <c r="L77" s="193">
        <f t="array" ref="L77">SUM(L4:M4*L19:M19)/L32</f>
        <v>0.14940185089508695</v>
      </c>
      <c r="M77" s="138"/>
      <c r="N77" s="193">
        <f t="array" ref="N77">SUM(N4:O4*N19:O19)/N32</f>
        <v>0.1504945642723001</v>
      </c>
      <c r="O77" s="138"/>
      <c r="P77" s="193">
        <f t="array" ref="P77">SUM(P4:Q4*P19:Q19)/P32</f>
        <v>0.15168184481673014</v>
      </c>
      <c r="Q77" s="138"/>
      <c r="R77" s="193">
        <f t="array" ref="R77">SUM(R4:S4*R19:S19)/R32</f>
        <v>0.15291561552815916</v>
      </c>
      <c r="S77" s="138"/>
      <c r="T77" s="193">
        <f t="array" ref="T77">SUM(T4:U4*T19:U19)/T32</f>
        <v>0.15410973354895513</v>
      </c>
      <c r="U77" s="138"/>
      <c r="V77" s="193">
        <f t="array" ref="V77">SUM(V4:W4*V19:W19)/V32</f>
        <v>0.15511418506647676</v>
      </c>
      <c r="W77" s="138"/>
      <c r="X77" s="193">
        <f t="array" ref="X77">SUM(X4:Y4*X19:Y19)/X32</f>
        <v>0.15567615581920777</v>
      </c>
      <c r="Y77" s="138"/>
      <c r="Z77" s="193">
        <f t="array" ref="Z77">SUM(Z4:AA4*Z19:AA19)/Z32</f>
        <v>0.15540565811399693</v>
      </c>
      <c r="AA77" s="138"/>
      <c r="AB77" s="193">
        <f t="array" ref="AB77">SUM(AB4:AC4*AB19:AC19)/AB32</f>
        <v>0.15384321597736997</v>
      </c>
      <c r="AC77" s="138"/>
      <c r="AD77" s="193">
        <f t="array" ref="AD77">SUM(AD4:AE4*AD19:AE19)/AD32</f>
        <v>0.15079311433291168</v>
      </c>
      <c r="AE77" s="138"/>
      <c r="AF77" s="193">
        <f t="array" ref="AF77">SUM(AF4:AG4*AF19:AG19)/AF32</f>
        <v>0.14664923227081503</v>
      </c>
      <c r="AG77" s="138"/>
      <c r="AH77" s="193">
        <f t="array" ref="AH77">SUM(AH4:AI4*AH19:AI19)/AH32</f>
        <v>0.14206446296490544</v>
      </c>
      <c r="AI77" s="138"/>
      <c r="AJ77" s="193">
        <f t="array" ref="AJ77">SUM(AJ4:AK4*AJ19:AK19)/AJ32</f>
        <v>0.13748868147877683</v>
      </c>
      <c r="AK77" s="138"/>
      <c r="AL77" s="193">
        <f t="array" ref="AL77">SUM(AL4:AM4*AL19:AM19)/AL32</f>
        <v>0.13325888963816976</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0.34893185714079333</v>
      </c>
      <c r="E78" s="138"/>
      <c r="F78" s="193">
        <f t="array" ref="F78">SUM(F13:G13*F26:G26)/F32</f>
        <v>0.35096810834212316</v>
      </c>
      <c r="G78" s="138"/>
      <c r="H78" s="193">
        <f t="array" ref="H78">SUM(H13:I13*H26:I26)/H32</f>
        <v>0.35300272553868178</v>
      </c>
      <c r="I78" s="138"/>
      <c r="J78" s="193">
        <f t="array" ref="J78">SUM(J13:K13*J26:K26)/J32</f>
        <v>0.35504480395421378</v>
      </c>
      <c r="K78" s="138"/>
      <c r="L78" s="193">
        <f t="array" ref="L78">SUM(L13:M13*L26:M26)/L32</f>
        <v>0.35710782590076212</v>
      </c>
      <c r="M78" s="138"/>
      <c r="N78" s="193">
        <f t="array" ref="N78">SUM(N13:O13*N26:O26)/N32</f>
        <v>0.35921230249380914</v>
      </c>
      <c r="O78" s="138"/>
      <c r="P78" s="193">
        <f t="array" ref="P78">SUM(P13:Q13*P26:Q26)/P32</f>
        <v>0.36139009345213113</v>
      </c>
      <c r="Q78" s="138"/>
      <c r="R78" s="193">
        <f t="array" ref="R78">SUM(R13:S13*R26:S26)/R32</f>
        <v>0.36369168025177084</v>
      </c>
      <c r="S78" s="138"/>
      <c r="T78" s="193">
        <f t="array" ref="T78">SUM(T13:U13*T26:U26)/T32</f>
        <v>0.36619865868958879</v>
      </c>
      <c r="U78" s="138"/>
      <c r="V78" s="193">
        <f t="array" ref="V78">SUM(V13:W13*V26:W26)/V32</f>
        <v>0.3690457734506693</v>
      </c>
      <c r="W78" s="138"/>
      <c r="X78" s="193">
        <f t="array" ref="X78">SUM(X13:Y13*X26:Y26)/X32</f>
        <v>0.37245705265855428</v>
      </c>
      <c r="Y78" s="138"/>
      <c r="Z78" s="193">
        <f t="array" ref="Z78">SUM(Z13:AA13*Z26:AA26)/Z32</f>
        <v>0.3767912560011088</v>
      </c>
      <c r="AA78" s="138"/>
      <c r="AB78" s="193">
        <f t="array" ref="AB78">SUM(AB13:AC13*AB26:AC26)/AB32</f>
        <v>0.38253960113143759</v>
      </c>
      <c r="AC78" s="138"/>
      <c r="AD78" s="193">
        <f t="array" ref="AD78">SUM(AD13:AE13*AD26:AE26)/AD32</f>
        <v>0.39014988485708058</v>
      </c>
      <c r="AE78" s="138"/>
      <c r="AF78" s="193">
        <f t="array" ref="AF78">SUM(AF13:AG13*AF26:AG26)/AF32</f>
        <v>0.39979787136256084</v>
      </c>
      <c r="AG78" s="138"/>
      <c r="AH78" s="193">
        <f t="array" ref="AH78">SUM(AH13:AI13*AH26:AI26)/AH32</f>
        <v>0.41155224575916899</v>
      </c>
      <c r="AI78" s="138"/>
      <c r="AJ78" s="193">
        <f t="array" ref="AJ78">SUM(AJ13:AK13*AJ26:AK26)/AJ32</f>
        <v>0.42560757215396894</v>
      </c>
      <c r="AK78" s="138"/>
      <c r="AL78" s="193">
        <f t="array" ref="AL78">SUM(AL13:AM13*AL26:AM26)/AL32</f>
        <v>0.44170083849801117</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0.44743461560339093</v>
      </c>
      <c r="F79" s="193">
        <f t="array" ref="F79">SUM(F15:G15*F27:G27)/F32</f>
        <v>0.44028767421314019</v>
      </c>
      <c r="H79" s="193">
        <f t="array" ref="H79">SUM(H15:I15*H27:I27)/H32</f>
        <v>0.43314646170228088</v>
      </c>
      <c r="J79" s="193">
        <f t="array" ref="J79">SUM(J15:K15*J27:K27)/J32</f>
        <v>0.42597912477762456</v>
      </c>
      <c r="L79" s="193">
        <f t="array" ref="L79">SUM(L15:M15*L27:M27)/L32</f>
        <v>0.41873820396417843</v>
      </c>
      <c r="N79" s="193">
        <f t="array" ref="N79">SUM(N15:O15*N27:O27)/N32</f>
        <v>0.41135181417104338</v>
      </c>
      <c r="P79" s="193">
        <f t="array" ref="P79">SUM(P15:Q15*P27:Q27)/P32</f>
        <v>0.40370804848406422</v>
      </c>
      <c r="R79" s="193">
        <f t="array" ref="R79">SUM(R15:S15*R27:S27)/R32</f>
        <v>0.39562984503436821</v>
      </c>
      <c r="T79" s="193">
        <f t="array" ref="T79">SUM(T15:U15*T27:U27)/T32</f>
        <v>0.38683072952744574</v>
      </c>
      <c r="V79" s="193">
        <f t="array" ref="V79">SUM(V15:W15*V27:W27)/V32</f>
        <v>0.37683778116746625</v>
      </c>
      <c r="X79" s="193">
        <f t="array" ref="X79">SUM(X15:Y15*X27:Y27)/X32</f>
        <v>0.36486470395822029</v>
      </c>
      <c r="Z79" s="193">
        <f t="array" ref="Z79">SUM(Z15:AA15*Z27:AA27)/Z32</f>
        <v>0.34965229675045578</v>
      </c>
      <c r="AB79" s="193">
        <f t="array" ref="AB79">SUM(AB15:AC15*AB27:AC27)/AB32</f>
        <v>0.32947646393449087</v>
      </c>
      <c r="AD79" s="193">
        <f t="array" ref="AD79">SUM(AD15:AE15*AD27:AE27)/AD32</f>
        <v>0.30276550457834395</v>
      </c>
      <c r="AF79" s="193">
        <f t="array" ref="AF79">SUM(AF15:AG15*AF27:AG27)/AF32</f>
        <v>0.26890251276811439</v>
      </c>
      <c r="AH79" s="193">
        <f t="array" ref="AH79">SUM(AH15:AI15*AH27:AI27)/AH32</f>
        <v>0.22764641402771829</v>
      </c>
      <c r="AJ79" s="193">
        <f t="array" ref="AJ79">SUM(AJ15:AK15*AJ27:AK27)/AJ32</f>
        <v>0.17831431739390824</v>
      </c>
      <c r="AL79" s="193">
        <f t="array" ref="AL79">SUM(AL15:AM15*AL27:AM27)/AL32</f>
        <v>0.12182935588427113</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0.2036335234644627</v>
      </c>
      <c r="F80" s="236">
        <f>F55</f>
        <v>0.20874421193511325</v>
      </c>
      <c r="H80" s="236">
        <f>H55</f>
        <v>0.21385080267294959</v>
      </c>
      <c r="J80" s="236">
        <f>J55</f>
        <v>0.21897611520539692</v>
      </c>
      <c r="L80" s="236">
        <f>L55</f>
        <v>0.22415397466607126</v>
      </c>
      <c r="N80" s="236">
        <f>N55</f>
        <v>0.22943589488818086</v>
      </c>
      <c r="P80" s="236">
        <f>P55</f>
        <v>0.23490185822818599</v>
      </c>
      <c r="R80" s="236">
        <f>R55</f>
        <v>0.24067847490367081</v>
      </c>
      <c r="T80" s="236">
        <f>T55</f>
        <v>0.24697062010782553</v>
      </c>
      <c r="V80" s="236">
        <f>V55</f>
        <v>0.25411644237427566</v>
      </c>
      <c r="X80" s="236">
        <f>X55</f>
        <v>0.26267824529726219</v>
      </c>
      <c r="Z80" s="236">
        <f>Z55</f>
        <v>0.2735564467756269</v>
      </c>
      <c r="AB80" s="236">
        <f>AB55</f>
        <v>0.28798393512825227</v>
      </c>
      <c r="AD80" s="236">
        <f>AD55</f>
        <v>0.30708461085493327</v>
      </c>
      <c r="AF80" s="236">
        <f>AF55</f>
        <v>0.33129961583460771</v>
      </c>
      <c r="AH80" s="236">
        <f>AH55</f>
        <v>0.36080134017790466</v>
      </c>
      <c r="AJ80" s="236">
        <f>AJ55</f>
        <v>0.39607811044590363</v>
      </c>
      <c r="AL80" s="236">
        <f>AL55</f>
        <v>0.43646980561666637</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-2.2412681099962143E-2</v>
      </c>
      <c r="F81" s="236">
        <f>F51/F$32</f>
        <v>-1.7301992629311605E-2</v>
      </c>
      <c r="H81" s="236">
        <f>H51/H$32</f>
        <v>-1.2195401891475242E-2</v>
      </c>
      <c r="J81" s="236">
        <f>J51/J$32</f>
        <v>-7.0700893590279201E-3</v>
      </c>
      <c r="L81" s="236">
        <f>L51/L$32</f>
        <v>-1.8922298983535908E-3</v>
      </c>
      <c r="N81" s="236">
        <f>N51/N$32</f>
        <v>3.3896903237560375E-3</v>
      </c>
      <c r="P81" s="236">
        <f>P51/P$32</f>
        <v>8.8556536637611309E-3</v>
      </c>
      <c r="R81" s="236">
        <f>R51/R$32</f>
        <v>1.463227033924596E-2</v>
      </c>
      <c r="T81" s="236">
        <f>T51/T$32</f>
        <v>2.0924415543400705E-2</v>
      </c>
      <c r="V81" s="236">
        <f>V51/V$32</f>
        <v>2.807023780985083E-2</v>
      </c>
      <c r="X81" s="236">
        <f>X51/X$32</f>
        <v>3.6632040732837316E-2</v>
      </c>
      <c r="Z81" s="236">
        <f>Z51/Z$32</f>
        <v>4.7510242211202085E-2</v>
      </c>
      <c r="AB81" s="236">
        <f>AB51/AB$32</f>
        <v>6.1937730563827398E-2</v>
      </c>
      <c r="AD81" s="236">
        <f>AD51/AD$32</f>
        <v>8.1038406290508402E-2</v>
      </c>
      <c r="AF81" s="236">
        <f>AF51/AF$32</f>
        <v>0.10525341127018291</v>
      </c>
      <c r="AH81" s="236">
        <f>AH51/AH$32</f>
        <v>0.13475513561347982</v>
      </c>
      <c r="AJ81" s="236">
        <f>AJ51/AJ$32</f>
        <v>0.17003190588147879</v>
      </c>
      <c r="AL81" s="236">
        <f>AL51/AL$32</f>
        <v>0.21042360105224156</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0.13989821521555107</v>
      </c>
      <c r="F82" s="236">
        <f>F52/F$32</f>
        <v>0.14071461504539415</v>
      </c>
      <c r="H82" s="236">
        <f>H52/H$32</f>
        <v>0.14153035974918185</v>
      </c>
      <c r="J82" s="236">
        <f>J52/J$32</f>
        <v>0.14234909590014286</v>
      </c>
      <c r="L82" s="236">
        <f>L52/L$32</f>
        <v>0.14317622899895924</v>
      </c>
      <c r="N82" s="236">
        <f>N52/N$32</f>
        <v>0.14401998262392962</v>
      </c>
      <c r="P82" s="236">
        <f>P52/P$32</f>
        <v>0.14489313038028043</v>
      </c>
      <c r="R82" s="236">
        <f>R52/R$32</f>
        <v>0.1458159119459182</v>
      </c>
      <c r="T82" s="236">
        <f>T52/T$32</f>
        <v>0.14682104174950927</v>
      </c>
      <c r="V82" s="236">
        <f>V52/V$32</f>
        <v>0.1479625433505749</v>
      </c>
      <c r="X82" s="236">
        <f>X52/X$32</f>
        <v>0.14933023696472505</v>
      </c>
      <c r="Z82" s="236">
        <f>Z52/Z$32</f>
        <v>0.15106796110654797</v>
      </c>
      <c r="AB82" s="236">
        <f>AB52/AB$32</f>
        <v>0.15337266102923663</v>
      </c>
      <c r="AD82" s="236">
        <f>AD52/AD$32</f>
        <v>0.15642387314619682</v>
      </c>
      <c r="AF82" s="236">
        <f>AF52/AF$32</f>
        <v>0.16029206707838856</v>
      </c>
      <c r="AH82" s="236">
        <f>AH52/AH$32</f>
        <v>0.16500478093758006</v>
      </c>
      <c r="AJ82" s="236">
        <f>AJ52/AJ$32</f>
        <v>0.17064002184970789</v>
      </c>
      <c r="AL82" s="236">
        <f>AL52/AL$32</f>
        <v>0.17709233966605323</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0.18307140715584808</v>
      </c>
      <c r="F83" s="236">
        <f>F53/F$32</f>
        <v>0.18014717963400309</v>
      </c>
      <c r="H83" s="236">
        <f>H53/H$32</f>
        <v>0.17722529612841215</v>
      </c>
      <c r="J83" s="236">
        <f>J53/J$32</f>
        <v>0.17429272361256556</v>
      </c>
      <c r="L83" s="236">
        <f>L53/L$32</f>
        <v>0.1713300436673986</v>
      </c>
      <c r="N83" s="236">
        <f>N53/N$32</f>
        <v>0.16830784394016637</v>
      </c>
      <c r="P83" s="236">
        <f>P53/P$32</f>
        <v>0.16518033683301564</v>
      </c>
      <c r="R83" s="236">
        <f>R53/R$32</f>
        <v>0.16187507608372667</v>
      </c>
      <c r="T83" s="236">
        <f>T53/T$32</f>
        <v>0.15827484847190726</v>
      </c>
      <c r="V83" s="236">
        <f>V53/V$32</f>
        <v>0.15418615471845215</v>
      </c>
      <c r="X83" s="236">
        <f>X53/X$32</f>
        <v>0.14928727560574351</v>
      </c>
      <c r="Z83" s="236">
        <f>Z53/Z$32</f>
        <v>0.1430629990374285</v>
      </c>
      <c r="AB83" s="236">
        <f>AB53/AB$32</f>
        <v>0.13480789767657655</v>
      </c>
      <c r="AD83" s="236">
        <f>AD53/AD$32</f>
        <v>0.12387889767236804</v>
      </c>
      <c r="AF83" s="236">
        <f>AF53/AF$32</f>
        <v>0.11002358709733459</v>
      </c>
      <c r="AH83" s="236">
        <f>AH53/AH$32</f>
        <v>9.3143328425395383E-2</v>
      </c>
      <c r="AJ83" s="236">
        <f>AJ53/AJ$32</f>
        <v>7.2958711424941217E-2</v>
      </c>
      <c r="AL83" s="236">
        <f>AL53/AL$32</f>
        <v>4.9847443261730261E-2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4.2068191372939129E-2</v>
      </c>
      <c r="E2" s="227"/>
      <c r="F2" s="226">
        <v>8.1097968658784311E-2</v>
      </c>
      <c r="G2" s="227"/>
      <c r="H2" s="226">
        <v>0.12326623401372043</v>
      </c>
      <c r="I2" s="227"/>
      <c r="J2" s="226">
        <v>0.16908747464175358</v>
      </c>
      <c r="K2" s="227"/>
      <c r="L2" s="226">
        <v>0.21922748224940952</v>
      </c>
      <c r="M2" s="227"/>
      <c r="N2" s="226">
        <v>0.27456249496586699</v>
      </c>
      <c r="O2" s="227"/>
      <c r="P2" s="226">
        <v>0.33626696034103754</v>
      </c>
      <c r="Q2" s="227"/>
      <c r="R2" s="226">
        <v>0.40593853497195431</v>
      </c>
      <c r="S2" s="227"/>
      <c r="T2" s="226">
        <v>0.48578455612242322</v>
      </c>
      <c r="U2" s="227"/>
      <c r="V2" s="226">
        <v>0.57887627563127031</v>
      </c>
      <c r="W2" s="227"/>
      <c r="X2" s="226">
        <v>0.68947132757939855</v>
      </c>
      <c r="Y2" s="227"/>
      <c r="Z2" s="226">
        <v>0.82330496895646599</v>
      </c>
      <c r="AA2" s="227"/>
      <c r="AB2" s="226">
        <v>0.9875282658549166</v>
      </c>
      <c r="AC2" s="227"/>
      <c r="AD2" s="226">
        <v>1.1896336819397086</v>
      </c>
      <c r="AE2" s="227"/>
      <c r="AF2" s="226">
        <v>1.4348110991719523</v>
      </c>
      <c r="AG2" s="227"/>
      <c r="AH2" s="226">
        <v>1.7227281506372705</v>
      </c>
      <c r="AI2" s="227"/>
      <c r="AJ2" s="226">
        <v>2.0464864719866038</v>
      </c>
      <c r="AK2" s="227"/>
      <c r="AL2" s="226">
        <v>2.3949299606067216</v>
      </c>
      <c r="AM2" s="227"/>
      <c r="AN2" s="226">
        <v>2.756154169471619</v>
      </c>
      <c r="AO2" s="227"/>
      <c r="AP2" s="226">
        <v>2.8289891724615819</v>
      </c>
      <c r="AQ2" s="227"/>
      <c r="AR2" s="226">
        <v>2.9018482909044336</v>
      </c>
      <c r="AS2" s="227"/>
      <c r="AT2" s="226">
        <v>2.974666436556701</v>
      </c>
      <c r="AU2" s="227"/>
      <c r="AV2" s="226">
        <v>3.0473829531073555</v>
      </c>
      <c r="AW2" s="227"/>
    </row>
    <row r="3" spans="1:49" x14ac:dyDescent="0.2">
      <c r="A3" t="s">
        <v>12</v>
      </c>
      <c r="B3" s="84">
        <v>1000</v>
      </c>
      <c r="C3" s="85">
        <v>1000</v>
      </c>
      <c r="D3" s="84">
        <v>998.34771923837309</v>
      </c>
      <c r="E3" s="85">
        <v>1016.1317898012862</v>
      </c>
      <c r="F3" s="84">
        <v>996.61476430781443</v>
      </c>
      <c r="G3" s="85">
        <v>1033.586528792353</v>
      </c>
      <c r="H3" s="84">
        <v>994.79731449403096</v>
      </c>
      <c r="I3" s="85">
        <v>1052.5414214035807</v>
      </c>
      <c r="J3" s="84">
        <v>992.89359634361176</v>
      </c>
      <c r="K3" s="85">
        <v>1073.2166997743782</v>
      </c>
      <c r="L3" s="84">
        <v>990.90500019912668</v>
      </c>
      <c r="M3" s="85">
        <v>1095.8907747404096</v>
      </c>
      <c r="N3" s="84">
        <v>988.83777623942956</v>
      </c>
      <c r="O3" s="85">
        <v>1120.9222003456093</v>
      </c>
      <c r="P3" s="84">
        <v>986.70550588998185</v>
      </c>
      <c r="Q3" s="85">
        <v>1148.7802576444005</v>
      </c>
      <c r="R3" s="84">
        <v>984.53260005644495</v>
      </c>
      <c r="S3" s="85">
        <v>1180.0893753492614</v>
      </c>
      <c r="T3" s="84">
        <v>982.35939316037036</v>
      </c>
      <c r="U3" s="85">
        <v>1215.6896289472843</v>
      </c>
      <c r="V3" s="84">
        <v>980.24888892208833</v>
      </c>
      <c r="W3" s="85">
        <v>1256.7171517370441</v>
      </c>
      <c r="X3" s="84">
        <v>978.29469399544553</v>
      </c>
      <c r="Y3" s="85">
        <v>1304.693776840684</v>
      </c>
      <c r="Z3" s="84">
        <v>976.62650113274253</v>
      </c>
      <c r="AA3" s="85">
        <v>1361.5825747213544</v>
      </c>
      <c r="AB3" s="84">
        <v>975.4030234267093</v>
      </c>
      <c r="AC3" s="85">
        <v>1429.6875410307612</v>
      </c>
      <c r="AD3" s="84">
        <v>974.77507093816041</v>
      </c>
      <c r="AE3" s="85">
        <v>1511.1843977873546</v>
      </c>
      <c r="AF3" s="84">
        <v>974.81300807580283</v>
      </c>
      <c r="AG3" s="85">
        <v>1607.1753864205054</v>
      </c>
      <c r="AH3" s="84">
        <v>975.44416119428706</v>
      </c>
      <c r="AI3" s="85">
        <v>1716.7256687902041</v>
      </c>
      <c r="AJ3" s="84">
        <v>976.47482732342849</v>
      </c>
      <c r="AK3" s="85">
        <v>1836.7975280833514</v>
      </c>
      <c r="AL3" s="84">
        <v>977.68682016667765</v>
      </c>
      <c r="AM3" s="85">
        <v>1963.2471449281363</v>
      </c>
      <c r="AN3" s="84">
        <v>978.9161085722335</v>
      </c>
      <c r="AO3" s="85">
        <v>2092.015174390815</v>
      </c>
      <c r="AP3" s="84">
        <v>979.15482247349917</v>
      </c>
      <c r="AQ3" s="85">
        <v>2117.7416861953661</v>
      </c>
      <c r="AR3" s="84">
        <v>979.38993757152809</v>
      </c>
      <c r="AS3" s="85">
        <v>2143.4053278550323</v>
      </c>
      <c r="AT3" s="84">
        <v>979.62110188981387</v>
      </c>
      <c r="AU3" s="85">
        <v>2168.9862670083589</v>
      </c>
      <c r="AV3" s="84">
        <v>979.8480330339919</v>
      </c>
      <c r="AW3" s="85">
        <v>2194.4662789244621</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998.26544100814363</v>
      </c>
      <c r="E5" s="42">
        <v>1013.9594693989148</v>
      </c>
      <c r="F5" s="41">
        <v>996.44440087915564</v>
      </c>
      <c r="G5" s="42">
        <v>1028.5919911607855</v>
      </c>
      <c r="H5" s="41">
        <v>994.53259599672799</v>
      </c>
      <c r="I5" s="42">
        <v>1043.9063375088276</v>
      </c>
      <c r="J5" s="41">
        <v>992.52786977031712</v>
      </c>
      <c r="K5" s="42">
        <v>1059.9056408052897</v>
      </c>
      <c r="L5" s="41">
        <v>990.43137895648135</v>
      </c>
      <c r="M5" s="42">
        <v>1076.5823659263965</v>
      </c>
      <c r="N5" s="41">
        <v>988.24940436281815</v>
      </c>
      <c r="O5" s="42">
        <v>1093.9148675970512</v>
      </c>
      <c r="P5" s="41">
        <v>985.99599697986355</v>
      </c>
      <c r="Q5" s="42">
        <v>1111.8575939939499</v>
      </c>
      <c r="R5" s="41">
        <v>983.69673534331332</v>
      </c>
      <c r="S5" s="42">
        <v>1130.3321564588271</v>
      </c>
      <c r="T5" s="41">
        <v>981.3942057459916</v>
      </c>
      <c r="U5" s="42">
        <v>1149.2032618953585</v>
      </c>
      <c r="V5" s="41">
        <v>979.15527627124163</v>
      </c>
      <c r="W5" s="42">
        <v>1168.2507239407018</v>
      </c>
      <c r="X5" s="41">
        <v>977.07966854130302</v>
      </c>
      <c r="Y5" s="42">
        <v>1187.1239457182878</v>
      </c>
      <c r="Z5" s="41">
        <v>975.30592422422421</v>
      </c>
      <c r="AA5" s="42">
        <v>1205.2917730446143</v>
      </c>
      <c r="AB5" s="41">
        <v>974.00391326977581</v>
      </c>
      <c r="AC5" s="42">
        <v>1222.0204602590454</v>
      </c>
      <c r="AD5" s="41">
        <v>973.33528450048618</v>
      </c>
      <c r="AE5" s="42">
        <v>1236.4586181365128</v>
      </c>
      <c r="AF5" s="41">
        <v>973.37568616632825</v>
      </c>
      <c r="AG5" s="42">
        <v>1247.9111571777469</v>
      </c>
      <c r="AH5" s="41">
        <v>974.04770703810402</v>
      </c>
      <c r="AI5" s="42">
        <v>1256.1860146870781</v>
      </c>
      <c r="AJ5" s="41">
        <v>975.1445662278004</v>
      </c>
      <c r="AK5" s="42">
        <v>1261.6885847649905</v>
      </c>
      <c r="AL5" s="41">
        <v>976.43353655005455</v>
      </c>
      <c r="AM5" s="42">
        <v>1265.1450643445562</v>
      </c>
      <c r="AN5" s="41">
        <v>977.7399522841057</v>
      </c>
      <c r="AO5" s="42">
        <v>1267.2585512446792</v>
      </c>
      <c r="AP5" s="41">
        <v>977.99353284661095</v>
      </c>
      <c r="AQ5" s="42">
        <v>1267.5693198451352</v>
      </c>
      <c r="AR5" s="41">
        <v>978.24325535710693</v>
      </c>
      <c r="AS5" s="42">
        <v>1267.8509155188881</v>
      </c>
      <c r="AT5" s="41">
        <v>978.48874766348922</v>
      </c>
      <c r="AU5" s="42">
        <v>1268.1061947692185</v>
      </c>
      <c r="AV5" s="41">
        <v>978.72971166984735</v>
      </c>
      <c r="AW5" s="42">
        <v>1268.3377773933482</v>
      </c>
    </row>
    <row r="6" spans="1:49" x14ac:dyDescent="0.2">
      <c r="A6" t="s">
        <v>77</v>
      </c>
      <c r="B6" s="41">
        <v>999.99999999999943</v>
      </c>
      <c r="C6" s="42">
        <v>999.99999999999909</v>
      </c>
      <c r="D6" s="41">
        <v>998.1332596798311</v>
      </c>
      <c r="E6" s="42">
        <v>1017.3914158053757</v>
      </c>
      <c r="F6" s="41">
        <v>996.17450877468798</v>
      </c>
      <c r="G6" s="42">
        <v>1036.1622846305772</v>
      </c>
      <c r="H6" s="41">
        <v>994.11929427853556</v>
      </c>
      <c r="I6" s="42">
        <v>1056.4952880890942</v>
      </c>
      <c r="J6" s="41">
        <v>991.96546325296606</v>
      </c>
      <c r="K6" s="42">
        <v>1078.6176695478755</v>
      </c>
      <c r="L6" s="41">
        <v>989.71443175956597</v>
      </c>
      <c r="M6" s="42">
        <v>1102.8169088459128</v>
      </c>
      <c r="N6" s="41">
        <v>987.37311547380352</v>
      </c>
      <c r="O6" s="42">
        <v>1129.4634248983614</v>
      </c>
      <c r="P6" s="41">
        <v>984.95674742141614</v>
      </c>
      <c r="Q6" s="42">
        <v>1159.0421025000921</v>
      </c>
      <c r="R6" s="41">
        <v>982.49287251441308</v>
      </c>
      <c r="S6" s="42">
        <v>1192.1980141687366</v>
      </c>
      <c r="T6" s="41">
        <v>980.02716979156446</v>
      </c>
      <c r="U6" s="42">
        <v>1229.7984637850082</v>
      </c>
      <c r="V6" s="41">
        <v>977.63117150125413</v>
      </c>
      <c r="W6" s="42">
        <v>1273.0151254600421</v>
      </c>
      <c r="X6" s="41">
        <v>975.41135135083164</v>
      </c>
      <c r="Y6" s="42">
        <v>1323.4147872514156</v>
      </c>
      <c r="Z6" s="41">
        <v>973.51542894253305</v>
      </c>
      <c r="AA6" s="42">
        <v>1383.013398808291</v>
      </c>
      <c r="AB6" s="41">
        <v>972.12435312593539</v>
      </c>
      <c r="AC6" s="42">
        <v>1454.1675047226704</v>
      </c>
      <c r="AD6" s="41">
        <v>971.41018959329449</v>
      </c>
      <c r="AE6" s="42">
        <v>1539.0850440086949</v>
      </c>
      <c r="AF6" s="41">
        <v>971.45333877446694</v>
      </c>
      <c r="AG6" s="42">
        <v>1638.8512404606565</v>
      </c>
      <c r="AH6" s="41">
        <v>972.17113413171785</v>
      </c>
      <c r="AI6" s="42">
        <v>1752.4486636230174</v>
      </c>
      <c r="AJ6" s="41">
        <v>973.34300472341909</v>
      </c>
      <c r="AK6" s="42">
        <v>1876.7109523463514</v>
      </c>
      <c r="AL6" s="41">
        <v>974.72059989903153</v>
      </c>
      <c r="AM6" s="42">
        <v>2007.3620399266715</v>
      </c>
      <c r="AN6" s="41">
        <v>976.11736584360335</v>
      </c>
      <c r="AO6" s="42">
        <v>2140.237873051693</v>
      </c>
      <c r="AP6" s="41">
        <v>976.38854524879957</v>
      </c>
      <c r="AQ6" s="42">
        <v>2166.7680583039664</v>
      </c>
      <c r="AR6" s="41">
        <v>976.65561841860801</v>
      </c>
      <c r="AS6" s="42">
        <v>2193.2283935812347</v>
      </c>
      <c r="AT6" s="41">
        <v>976.91818641305781</v>
      </c>
      <c r="AU6" s="42">
        <v>2219.5987101566957</v>
      </c>
      <c r="AV6" s="41">
        <v>977.17592940809834</v>
      </c>
      <c r="AW6" s="42">
        <v>2245.8604923590865</v>
      </c>
    </row>
    <row r="7" spans="1:49" x14ac:dyDescent="0.2">
      <c r="A7" t="s">
        <v>13</v>
      </c>
      <c r="B7" s="33">
        <v>1015.9116825427475</v>
      </c>
      <c r="C7" s="34">
        <v>1015.9116825427475</v>
      </c>
      <c r="D7" s="33">
        <v>1014.149523798861</v>
      </c>
      <c r="E7" s="34">
        <v>1014.149523798861</v>
      </c>
      <c r="F7" s="33">
        <v>1012.2995078574429</v>
      </c>
      <c r="G7" s="34">
        <v>1012.2995078574429</v>
      </c>
      <c r="H7" s="33">
        <v>1010.3572829426424</v>
      </c>
      <c r="I7" s="34">
        <v>1010.3572829426424</v>
      </c>
      <c r="J7" s="33">
        <v>1008.3206581489318</v>
      </c>
      <c r="K7" s="34">
        <v>1008.3206581489318</v>
      </c>
      <c r="L7" s="33">
        <v>1006.1908086388124</v>
      </c>
      <c r="M7" s="34">
        <v>1006.1908086388124</v>
      </c>
      <c r="N7" s="33">
        <v>1003.9741151580986</v>
      </c>
      <c r="O7" s="34">
        <v>1003.9741151580986</v>
      </c>
      <c r="P7" s="33">
        <v>1001.6848522722269</v>
      </c>
      <c r="Q7" s="34">
        <v>1001.6848522722269</v>
      </c>
      <c r="R7" s="33">
        <v>999.3490055144332</v>
      </c>
      <c r="S7" s="34">
        <v>999.3490055144332</v>
      </c>
      <c r="T7" s="33">
        <v>997.00983879711362</v>
      </c>
      <c r="U7" s="34">
        <v>997.00983879711362</v>
      </c>
      <c r="V7" s="33">
        <v>994.73528418732576</v>
      </c>
      <c r="W7" s="34">
        <v>994.73528418732576</v>
      </c>
      <c r="X7" s="33">
        <v>992.62665004610517</v>
      </c>
      <c r="Y7" s="34">
        <v>992.62665004610517</v>
      </c>
      <c r="Z7" s="33">
        <v>990.82468247254099</v>
      </c>
      <c r="AA7" s="34">
        <v>990.82468247254099</v>
      </c>
      <c r="AB7" s="33">
        <v>989.50195433311819</v>
      </c>
      <c r="AC7" s="34">
        <v>989.50195433311819</v>
      </c>
      <c r="AD7" s="33">
        <v>988.82268655511268</v>
      </c>
      <c r="AE7" s="34">
        <v>988.82268655511268</v>
      </c>
      <c r="AF7" s="33">
        <v>988.86373107943587</v>
      </c>
      <c r="AG7" s="34">
        <v>988.86373107943587</v>
      </c>
      <c r="AH7" s="33">
        <v>989.54644493398541</v>
      </c>
      <c r="AI7" s="34">
        <v>989.54644493398541</v>
      </c>
      <c r="AJ7" s="33">
        <v>990.66075699890234</v>
      </c>
      <c r="AK7" s="34">
        <v>990.66075699890234</v>
      </c>
      <c r="AL7" s="33">
        <v>991.97023700773116</v>
      </c>
      <c r="AM7" s="34">
        <v>991.97023700773116</v>
      </c>
      <c r="AN7" s="33">
        <v>993.29744001421147</v>
      </c>
      <c r="AO7" s="34">
        <v>993.29744001421147</v>
      </c>
      <c r="AP7" s="33">
        <v>993.55505547012626</v>
      </c>
      <c r="AQ7" s="34">
        <v>993.55505547012626</v>
      </c>
      <c r="AR7" s="33">
        <v>993.80875148593304</v>
      </c>
      <c r="AS7" s="34">
        <v>993.80875148593304</v>
      </c>
      <c r="AT7" s="33">
        <v>994.0581499879612</v>
      </c>
      <c r="AU7" s="34">
        <v>994.0581499879612</v>
      </c>
      <c r="AV7" s="33">
        <v>994.3029481370927</v>
      </c>
      <c r="AW7" s="34">
        <v>994.3029481370927</v>
      </c>
    </row>
    <row r="8" spans="1:49" x14ac:dyDescent="0.2">
      <c r="B8" s="35">
        <v>1005.7716594496609</v>
      </c>
      <c r="C8" s="36">
        <v>1005.7716594496609</v>
      </c>
      <c r="D8" s="35">
        <v>1056.6149104019921</v>
      </c>
      <c r="E8" s="36">
        <v>1056.6149104019921</v>
      </c>
      <c r="F8" s="35">
        <v>1112.0087122226194</v>
      </c>
      <c r="G8" s="36">
        <v>1112.0087122226194</v>
      </c>
      <c r="H8" s="35">
        <v>1172.5847403965965</v>
      </c>
      <c r="I8" s="36">
        <v>1172.5847403965965</v>
      </c>
      <c r="J8" s="35">
        <v>1239.1224089676059</v>
      </c>
      <c r="K8" s="36">
        <v>1239.1224089676059</v>
      </c>
      <c r="L8" s="35">
        <v>1312.5988074425529</v>
      </c>
      <c r="M8" s="36">
        <v>1312.5988074425529</v>
      </c>
      <c r="N8" s="35">
        <v>1394.2628629247536</v>
      </c>
      <c r="O8" s="36">
        <v>1394.2628629247536</v>
      </c>
      <c r="P8" s="35">
        <v>1485.7385674583948</v>
      </c>
      <c r="Q8" s="36">
        <v>1485.7385674583948</v>
      </c>
      <c r="R8" s="35">
        <v>1589.1775360834131</v>
      </c>
      <c r="S8" s="36">
        <v>1589.1775360834131</v>
      </c>
      <c r="T8" s="35">
        <v>1707.4684583696362</v>
      </c>
      <c r="U8" s="36">
        <v>1707.4684583696362</v>
      </c>
      <c r="V8" s="35">
        <v>1844.5233520190309</v>
      </c>
      <c r="W8" s="36">
        <v>1844.5233520190309</v>
      </c>
      <c r="X8" s="35">
        <v>2005.6118685739693</v>
      </c>
      <c r="Y8" s="36">
        <v>2005.6118685739693</v>
      </c>
      <c r="Z8" s="35">
        <v>2197.6144788345941</v>
      </c>
      <c r="AA8" s="36">
        <v>2197.6144788345941</v>
      </c>
      <c r="AB8" s="35">
        <v>2428.8002062178875</v>
      </c>
      <c r="AC8" s="36">
        <v>2428.8002062178875</v>
      </c>
      <c r="AD8" s="35">
        <v>2707.3914365963369</v>
      </c>
      <c r="AE8" s="36">
        <v>2707.3914365963369</v>
      </c>
      <c r="AF8" s="35">
        <v>3038.4279362768925</v>
      </c>
      <c r="AG8" s="36">
        <v>3038.4279362768925</v>
      </c>
      <c r="AH8" s="35">
        <v>3420.2530246253514</v>
      </c>
      <c r="AI8" s="36">
        <v>3420.2530246253514</v>
      </c>
      <c r="AJ8" s="35">
        <v>3843.7172053464674</v>
      </c>
      <c r="AK8" s="36">
        <v>3843.7172053464674</v>
      </c>
      <c r="AL8" s="35">
        <v>4295.0788834570521</v>
      </c>
      <c r="AM8" s="36">
        <v>4295.0788834570521</v>
      </c>
      <c r="AN8" s="35">
        <v>4760.0184910562648</v>
      </c>
      <c r="AO8" s="36">
        <v>4760.0184910562648</v>
      </c>
      <c r="AP8" s="35">
        <v>4853.5092010315147</v>
      </c>
      <c r="AQ8" s="36">
        <v>4853.5092010315147</v>
      </c>
      <c r="AR8" s="35">
        <v>4946.9619278389946</v>
      </c>
      <c r="AS8" s="36">
        <v>4946.9619278389946</v>
      </c>
      <c r="AT8" s="35">
        <v>5040.299130338848</v>
      </c>
      <c r="AU8" s="36">
        <v>5040.299130338848</v>
      </c>
      <c r="AV8" s="35">
        <v>5133.4486990039095</v>
      </c>
      <c r="AW8" s="36">
        <v>5133.4486990039095</v>
      </c>
    </row>
    <row r="9" spans="1:49" x14ac:dyDescent="0.2">
      <c r="A9" t="s">
        <v>14</v>
      </c>
      <c r="B9" s="41">
        <v>1015.9116825427475</v>
      </c>
      <c r="C9" s="42">
        <v>1005.7716594496609</v>
      </c>
      <c r="D9" s="41">
        <v>1014.149523798861</v>
      </c>
      <c r="E9" s="42">
        <v>1056.6149104019921</v>
      </c>
      <c r="F9" s="41">
        <v>1012.2995078574429</v>
      </c>
      <c r="G9" s="42">
        <v>1112.0087122226194</v>
      </c>
      <c r="H9" s="41">
        <v>1010.3572829426424</v>
      </c>
      <c r="I9" s="42">
        <v>1172.5847403965965</v>
      </c>
      <c r="J9" s="41">
        <v>1008.3206581489318</v>
      </c>
      <c r="K9" s="42">
        <v>1239.1224089676059</v>
      </c>
      <c r="L9" s="41">
        <v>1006.1908086388124</v>
      </c>
      <c r="M9" s="42">
        <v>1312.5988074425529</v>
      </c>
      <c r="N9" s="41">
        <v>1003.9741151580986</v>
      </c>
      <c r="O9" s="42">
        <v>1394.2628629247536</v>
      </c>
      <c r="P9" s="41">
        <v>1001.6848522722269</v>
      </c>
      <c r="Q9" s="42">
        <v>1485.7385674583948</v>
      </c>
      <c r="R9" s="41">
        <v>999.3490055144332</v>
      </c>
      <c r="S9" s="42">
        <v>1589.1775360834131</v>
      </c>
      <c r="T9" s="41">
        <v>997.00983879711362</v>
      </c>
      <c r="U9" s="42">
        <v>1707.4684583696362</v>
      </c>
      <c r="V9" s="41">
        <v>994.73528418732576</v>
      </c>
      <c r="W9" s="42">
        <v>1844.5233520190309</v>
      </c>
      <c r="X9" s="41">
        <v>992.62665004610517</v>
      </c>
      <c r="Y9" s="42">
        <v>2005.6118685739693</v>
      </c>
      <c r="Z9" s="41">
        <v>990.82468247254099</v>
      </c>
      <c r="AA9" s="42">
        <v>2197.6144788345941</v>
      </c>
      <c r="AB9" s="41">
        <v>989.50195433311819</v>
      </c>
      <c r="AC9" s="42">
        <v>2428.8002062178875</v>
      </c>
      <c r="AD9" s="41">
        <v>988.82268655511268</v>
      </c>
      <c r="AE9" s="42">
        <v>2707.3914365963369</v>
      </c>
      <c r="AF9" s="41">
        <v>988.86373107943587</v>
      </c>
      <c r="AG9" s="42">
        <v>3038.4279362768925</v>
      </c>
      <c r="AH9" s="41">
        <v>989.54644493398541</v>
      </c>
      <c r="AI9" s="42">
        <v>3420.2530246253514</v>
      </c>
      <c r="AJ9" s="41">
        <v>990.66075699890234</v>
      </c>
      <c r="AK9" s="42">
        <v>3843.7172053464674</v>
      </c>
      <c r="AL9" s="41">
        <v>991.97023700773116</v>
      </c>
      <c r="AM9" s="42">
        <v>4295.0788834570521</v>
      </c>
      <c r="AN9" s="41">
        <v>993.29744001421147</v>
      </c>
      <c r="AO9" s="42">
        <v>4760.0184910562648</v>
      </c>
      <c r="AP9" s="41">
        <v>993.55505547012626</v>
      </c>
      <c r="AQ9" s="42">
        <v>4853.5092010315147</v>
      </c>
      <c r="AR9" s="41">
        <v>993.80875148593304</v>
      </c>
      <c r="AS9" s="42">
        <v>4946.9619278389946</v>
      </c>
      <c r="AT9" s="41">
        <v>994.0581499879612</v>
      </c>
      <c r="AU9" s="42">
        <v>5040.299130338848</v>
      </c>
      <c r="AV9" s="41">
        <v>994.3029481370927</v>
      </c>
      <c r="AW9" s="42">
        <v>5133.4486990039095</v>
      </c>
    </row>
    <row r="10" spans="1:49" x14ac:dyDescent="0.2">
      <c r="A10" t="s">
        <v>15</v>
      </c>
      <c r="B10" s="41">
        <v>1015.9116825427475</v>
      </c>
      <c r="C10" s="42">
        <v>1005.7716594496609</v>
      </c>
      <c r="D10" s="41">
        <v>1014.149523798861</v>
      </c>
      <c r="E10" s="42">
        <v>1056.6149104019921</v>
      </c>
      <c r="F10" s="41">
        <v>1012.2995078574429</v>
      </c>
      <c r="G10" s="42">
        <v>1112.0087122226194</v>
      </c>
      <c r="H10" s="41">
        <v>1010.3572829426424</v>
      </c>
      <c r="I10" s="42">
        <v>1172.5847403965965</v>
      </c>
      <c r="J10" s="41">
        <v>1008.3206581489318</v>
      </c>
      <c r="K10" s="42">
        <v>1239.1224089676059</v>
      </c>
      <c r="L10" s="41">
        <v>1006.1908086388124</v>
      </c>
      <c r="M10" s="42">
        <v>1312.5988074425529</v>
      </c>
      <c r="N10" s="41">
        <v>1003.9741151580986</v>
      </c>
      <c r="O10" s="42">
        <v>1394.2628629247536</v>
      </c>
      <c r="P10" s="41">
        <v>1001.6848522722269</v>
      </c>
      <c r="Q10" s="42">
        <v>1485.7385674583948</v>
      </c>
      <c r="R10" s="41">
        <v>999.3490055144332</v>
      </c>
      <c r="S10" s="42">
        <v>1589.1775360834131</v>
      </c>
      <c r="T10" s="41">
        <v>997.00983879711362</v>
      </c>
      <c r="U10" s="42">
        <v>1707.4684583696362</v>
      </c>
      <c r="V10" s="41">
        <v>994.73528418732576</v>
      </c>
      <c r="W10" s="42">
        <v>1844.5233520190309</v>
      </c>
      <c r="X10" s="41">
        <v>992.62665004610517</v>
      </c>
      <c r="Y10" s="42">
        <v>2005.6118685739693</v>
      </c>
      <c r="Z10" s="41">
        <v>990.82468247254099</v>
      </c>
      <c r="AA10" s="42">
        <v>2197.6144788345941</v>
      </c>
      <c r="AB10" s="41">
        <v>989.50195433311819</v>
      </c>
      <c r="AC10" s="42">
        <v>2428.8002062178875</v>
      </c>
      <c r="AD10" s="41">
        <v>988.82268655511268</v>
      </c>
      <c r="AE10" s="42">
        <v>2707.3914365963369</v>
      </c>
      <c r="AF10" s="41">
        <v>988.86373107943587</v>
      </c>
      <c r="AG10" s="42">
        <v>3038.4279362768925</v>
      </c>
      <c r="AH10" s="41">
        <v>989.54644493398541</v>
      </c>
      <c r="AI10" s="42">
        <v>3420.2530246253514</v>
      </c>
      <c r="AJ10" s="41">
        <v>990.66075699890234</v>
      </c>
      <c r="AK10" s="42">
        <v>3843.7172053464674</v>
      </c>
      <c r="AL10" s="41">
        <v>991.97023700773116</v>
      </c>
      <c r="AM10" s="42">
        <v>4295.0788834570521</v>
      </c>
      <c r="AN10" s="41">
        <v>993.29744001421147</v>
      </c>
      <c r="AO10" s="42">
        <v>4760.0184910562648</v>
      </c>
      <c r="AP10" s="41">
        <v>993.55505547012626</v>
      </c>
      <c r="AQ10" s="42">
        <v>4853.5092010315147</v>
      </c>
      <c r="AR10" s="41">
        <v>993.80875148593304</v>
      </c>
      <c r="AS10" s="42">
        <v>4946.9619278389946</v>
      </c>
      <c r="AT10" s="41">
        <v>994.0581499879612</v>
      </c>
      <c r="AU10" s="42">
        <v>5040.299130338848</v>
      </c>
      <c r="AV10" s="41">
        <v>994.3029481370927</v>
      </c>
      <c r="AW10" s="42">
        <v>5133.4486990039095</v>
      </c>
    </row>
    <row r="11" spans="1:49" x14ac:dyDescent="0.2">
      <c r="A11" t="s">
        <v>29</v>
      </c>
      <c r="B11" s="41">
        <v>1015.9116825427475</v>
      </c>
      <c r="C11" s="42">
        <v>1005.7716594496609</v>
      </c>
      <c r="D11" s="41">
        <v>1014.149523798861</v>
      </c>
      <c r="E11" s="42">
        <v>1056.6149104019921</v>
      </c>
      <c r="F11" s="41">
        <v>1012.2995078574429</v>
      </c>
      <c r="G11" s="42">
        <v>1112.0087122226194</v>
      </c>
      <c r="H11" s="41">
        <v>1010.3572829426424</v>
      </c>
      <c r="I11" s="42">
        <v>1172.5847403965965</v>
      </c>
      <c r="J11" s="41">
        <v>1008.3206581489318</v>
      </c>
      <c r="K11" s="42">
        <v>1239.1224089676059</v>
      </c>
      <c r="L11" s="41">
        <v>1006.1908086388124</v>
      </c>
      <c r="M11" s="42">
        <v>1312.5988074425529</v>
      </c>
      <c r="N11" s="41">
        <v>1003.9741151580986</v>
      </c>
      <c r="O11" s="42">
        <v>1394.2628629247536</v>
      </c>
      <c r="P11" s="41">
        <v>1001.6848522722269</v>
      </c>
      <c r="Q11" s="42">
        <v>1485.7385674583948</v>
      </c>
      <c r="R11" s="41">
        <v>999.3490055144332</v>
      </c>
      <c r="S11" s="42">
        <v>1589.1775360834131</v>
      </c>
      <c r="T11" s="41">
        <v>997.00983879711362</v>
      </c>
      <c r="U11" s="42">
        <v>1707.4684583696362</v>
      </c>
      <c r="V11" s="41">
        <v>994.73528418732576</v>
      </c>
      <c r="W11" s="42">
        <v>1844.5233520190309</v>
      </c>
      <c r="X11" s="41">
        <v>992.62665004610517</v>
      </c>
      <c r="Y11" s="42">
        <v>2005.6118685739693</v>
      </c>
      <c r="Z11" s="41">
        <v>990.82468247254099</v>
      </c>
      <c r="AA11" s="42">
        <v>2197.6144788345941</v>
      </c>
      <c r="AB11" s="41">
        <v>989.50195433311819</v>
      </c>
      <c r="AC11" s="42">
        <v>2428.8002062178875</v>
      </c>
      <c r="AD11" s="41">
        <v>988.82268655511268</v>
      </c>
      <c r="AE11" s="42">
        <v>2707.3914365963369</v>
      </c>
      <c r="AF11" s="41">
        <v>988.86373107943587</v>
      </c>
      <c r="AG11" s="42">
        <v>3038.4279362768925</v>
      </c>
      <c r="AH11" s="41">
        <v>989.54644493398541</v>
      </c>
      <c r="AI11" s="42">
        <v>3420.2530246253514</v>
      </c>
      <c r="AJ11" s="41">
        <v>990.66075699890234</v>
      </c>
      <c r="AK11" s="42">
        <v>3843.7172053464674</v>
      </c>
      <c r="AL11" s="41">
        <v>991.97023700773116</v>
      </c>
      <c r="AM11" s="42">
        <v>4295.0788834570521</v>
      </c>
      <c r="AN11" s="41">
        <v>993.29744001421147</v>
      </c>
      <c r="AO11" s="42">
        <v>4760.0184910562648</v>
      </c>
      <c r="AP11" s="41">
        <v>993.55505547012626</v>
      </c>
      <c r="AQ11" s="42">
        <v>4853.5092010315147</v>
      </c>
      <c r="AR11" s="41">
        <v>993.80875148593304</v>
      </c>
      <c r="AS11" s="42">
        <v>4946.9619278389946</v>
      </c>
      <c r="AT11" s="41">
        <v>994.0581499879612</v>
      </c>
      <c r="AU11" s="42">
        <v>5040.299130338848</v>
      </c>
      <c r="AV11" s="41">
        <v>994.3029481370927</v>
      </c>
      <c r="AW11" s="42">
        <v>5133.4486990039095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996.72366651667278</v>
      </c>
      <c r="E13" s="98">
        <v>996.72366651667278</v>
      </c>
      <c r="F13" s="97">
        <v>993.25392957200245</v>
      </c>
      <c r="G13" s="98">
        <v>993.25392957200245</v>
      </c>
      <c r="H13" s="97">
        <v>989.57764825469701</v>
      </c>
      <c r="I13" s="98">
        <v>989.57764825469701</v>
      </c>
      <c r="J13" s="97">
        <v>985.68138239646441</v>
      </c>
      <c r="K13" s="98">
        <v>985.68138239646441</v>
      </c>
      <c r="L13" s="97">
        <v>981.55186131517155</v>
      </c>
      <c r="M13" s="98">
        <v>981.55186131517155</v>
      </c>
      <c r="N13" s="97">
        <v>977.17654918811274</v>
      </c>
      <c r="O13" s="98">
        <v>977.17654918811274</v>
      </c>
      <c r="P13" s="97">
        <v>972.54481760617227</v>
      </c>
      <c r="Q13" s="98">
        <v>972.54481760617227</v>
      </c>
      <c r="R13" s="97">
        <v>967.6495905043256</v>
      </c>
      <c r="S13" s="98">
        <v>967.6495905043256</v>
      </c>
      <c r="T13" s="97">
        <v>962.49064537238007</v>
      </c>
      <c r="U13" s="98">
        <v>962.49064537238007</v>
      </c>
      <c r="V13" s="97">
        <v>957.07967582123683</v>
      </c>
      <c r="W13" s="98">
        <v>957.07967582123683</v>
      </c>
      <c r="X13" s="97">
        <v>951.44870703088156</v>
      </c>
      <c r="Y13" s="98">
        <v>951.44870703088156</v>
      </c>
      <c r="Z13" s="97">
        <v>945.6619786980666</v>
      </c>
      <c r="AA13" s="98">
        <v>945.6619786980666</v>
      </c>
      <c r="AB13" s="97">
        <v>939.82833413901903</v>
      </c>
      <c r="AC13" s="98">
        <v>939.82833413901903</v>
      </c>
      <c r="AD13" s="97">
        <v>934.10275513627278</v>
      </c>
      <c r="AE13" s="98">
        <v>934.10275513627278</v>
      </c>
      <c r="AF13" s="97">
        <v>928.65888895377964</v>
      </c>
      <c r="AG13" s="98">
        <v>928.65888895377964</v>
      </c>
      <c r="AH13" s="97">
        <v>923.63369937748416</v>
      </c>
      <c r="AI13" s="98">
        <v>923.63369937748416</v>
      </c>
      <c r="AJ13" s="97">
        <v>919.08654971423164</v>
      </c>
      <c r="AK13" s="98">
        <v>919.08654971423164</v>
      </c>
      <c r="AL13" s="97">
        <v>915.00791496240072</v>
      </c>
      <c r="AM13" s="98">
        <v>915.00791496240072</v>
      </c>
      <c r="AN13" s="97">
        <v>911.35442205001527</v>
      </c>
      <c r="AO13" s="98">
        <v>911.35442205001527</v>
      </c>
      <c r="AP13" s="97">
        <v>910.67020466988947</v>
      </c>
      <c r="AQ13" s="98">
        <v>910.67020466988947</v>
      </c>
      <c r="AR13" s="97">
        <v>910.00051732102588</v>
      </c>
      <c r="AS13" s="98">
        <v>910.00051732102588</v>
      </c>
      <c r="AT13" s="97">
        <v>909.34495825554848</v>
      </c>
      <c r="AU13" s="98">
        <v>909.34495825554848</v>
      </c>
      <c r="AV13" s="97">
        <v>908.70313195881215</v>
      </c>
      <c r="AW13" s="98">
        <v>908.70313195881215</v>
      </c>
    </row>
    <row r="14" spans="1:49" x14ac:dyDescent="0.2">
      <c r="A14" t="s">
        <v>36</v>
      </c>
      <c r="B14" s="41">
        <v>1457.0034251455234</v>
      </c>
      <c r="C14" s="42">
        <v>1457.0034251455236</v>
      </c>
      <c r="D14" s="41">
        <v>1452.2297960383964</v>
      </c>
      <c r="E14" s="42">
        <v>1452.2297960383967</v>
      </c>
      <c r="F14" s="41">
        <v>1447.1743774256579</v>
      </c>
      <c r="G14" s="42">
        <v>1447.1743774256581</v>
      </c>
      <c r="H14" s="41">
        <v>1441.8180229545453</v>
      </c>
      <c r="I14" s="42">
        <v>1441.8180229545455</v>
      </c>
      <c r="J14" s="41">
        <v>1436.1411502538228</v>
      </c>
      <c r="K14" s="42">
        <v>1436.1411502538231</v>
      </c>
      <c r="L14" s="41">
        <v>1430.1244238941686</v>
      </c>
      <c r="M14" s="42">
        <v>1430.1244238941688</v>
      </c>
      <c r="N14" s="41">
        <v>1423.7495791389631</v>
      </c>
      <c r="O14" s="42">
        <v>1423.7495791389633</v>
      </c>
      <c r="P14" s="41">
        <v>1417.0011303597212</v>
      </c>
      <c r="Q14" s="42">
        <v>1417.0011303597214</v>
      </c>
      <c r="R14" s="41">
        <v>1409.8687677054654</v>
      </c>
      <c r="S14" s="42">
        <v>1409.8687677054656</v>
      </c>
      <c r="T14" s="41">
        <v>1402.352166978083</v>
      </c>
      <c r="U14" s="42">
        <v>1402.3521669780832</v>
      </c>
      <c r="V14" s="41">
        <v>1394.4683658087092</v>
      </c>
      <c r="W14" s="42">
        <v>1394.4683658087094</v>
      </c>
      <c r="X14" s="41">
        <v>1386.264024994274</v>
      </c>
      <c r="Y14" s="42">
        <v>1386.2640249942742</v>
      </c>
      <c r="Z14" s="41">
        <v>1377.832741992976</v>
      </c>
      <c r="AA14" s="42">
        <v>1377.832741992976</v>
      </c>
      <c r="AB14" s="41">
        <v>1369.3331018893621</v>
      </c>
      <c r="AC14" s="42">
        <v>1369.3331018893623</v>
      </c>
      <c r="AD14" s="41">
        <v>1360.9909136714195</v>
      </c>
      <c r="AE14" s="42">
        <v>1360.9909136714198</v>
      </c>
      <c r="AF14" s="41">
        <v>1353.0591819974932</v>
      </c>
      <c r="AG14" s="42">
        <v>1353.0591819974934</v>
      </c>
      <c r="AH14" s="41">
        <v>1345.7374635728249</v>
      </c>
      <c r="AI14" s="42">
        <v>1345.7374635728252</v>
      </c>
      <c r="AJ14" s="41">
        <v>1339.1122509388167</v>
      </c>
      <c r="AK14" s="42">
        <v>1339.1122509388169</v>
      </c>
      <c r="AL14" s="41">
        <v>1333.1696661354815</v>
      </c>
      <c r="AM14" s="42">
        <v>1333.1696661354817</v>
      </c>
      <c r="AN14" s="41">
        <v>1327.846514448391</v>
      </c>
      <c r="AO14" s="42">
        <v>1327.8465144483912</v>
      </c>
      <c r="AP14" s="41">
        <v>1326.8496073820036</v>
      </c>
      <c r="AQ14" s="42">
        <v>1326.8496073820038</v>
      </c>
      <c r="AR14" s="41">
        <v>1325.8738706209328</v>
      </c>
      <c r="AS14" s="42">
        <v>1325.8738706209331</v>
      </c>
      <c r="AT14" s="41">
        <v>1324.918718817147</v>
      </c>
      <c r="AU14" s="42">
        <v>1324.9187188171472</v>
      </c>
      <c r="AV14" s="41">
        <v>1323.9835757044536</v>
      </c>
      <c r="AW14" s="42">
        <v>1323.9835757044539</v>
      </c>
    </row>
    <row r="15" spans="1:49" x14ac:dyDescent="0.2">
      <c r="A15" t="s">
        <v>18</v>
      </c>
      <c r="B15" s="154">
        <v>1000</v>
      </c>
      <c r="C15" s="155">
        <v>1000</v>
      </c>
      <c r="D15" s="154">
        <v>995.56599153104582</v>
      </c>
      <c r="E15" s="155">
        <v>995.56599153104582</v>
      </c>
      <c r="F15" s="154">
        <v>990.90801985948417</v>
      </c>
      <c r="G15" s="155">
        <v>990.90801985948417</v>
      </c>
      <c r="H15" s="154">
        <v>986.00334826917265</v>
      </c>
      <c r="I15" s="155">
        <v>986.00334826917265</v>
      </c>
      <c r="J15" s="154">
        <v>980.82688684816355</v>
      </c>
      <c r="K15" s="155">
        <v>980.82688684816355</v>
      </c>
      <c r="L15" s="154">
        <v>975.35072013678734</v>
      </c>
      <c r="M15" s="155">
        <v>975.35072013678734</v>
      </c>
      <c r="N15" s="154">
        <v>969.54352341670915</v>
      </c>
      <c r="O15" s="155">
        <v>969.54352341670915</v>
      </c>
      <c r="P15" s="154">
        <v>963.36979974421638</v>
      </c>
      <c r="Q15" s="155">
        <v>963.36979974421638</v>
      </c>
      <c r="R15" s="154">
        <v>956.7887283867384</v>
      </c>
      <c r="S15" s="155">
        <v>956.7887283867384</v>
      </c>
      <c r="T15" s="154">
        <v>949.75287764975042</v>
      </c>
      <c r="U15" s="155">
        <v>949.75287764975042</v>
      </c>
      <c r="V15" s="154">
        <v>942.20655338596953</v>
      </c>
      <c r="W15" s="155">
        <v>942.20655338596953</v>
      </c>
      <c r="X15" s="154">
        <v>934.08456702610238</v>
      </c>
      <c r="Y15" s="155">
        <v>934.08456702610238</v>
      </c>
      <c r="Z15" s="154">
        <v>925.31281459480715</v>
      </c>
      <c r="AA15" s="155">
        <v>925.31281459480715</v>
      </c>
      <c r="AB15" s="154">
        <v>915.81442363096153</v>
      </c>
      <c r="AC15" s="155">
        <v>915.81442363096153</v>
      </c>
      <c r="AD15" s="154">
        <v>905.52820401803046</v>
      </c>
      <c r="AE15" s="155">
        <v>905.52820401803046</v>
      </c>
      <c r="AF15" s="154">
        <v>894.44500108579064</v>
      </c>
      <c r="AG15" s="155">
        <v>894.44500108579064</v>
      </c>
      <c r="AH15" s="154">
        <v>882.65307387451571</v>
      </c>
      <c r="AI15" s="155">
        <v>882.65307387451571</v>
      </c>
      <c r="AJ15" s="154">
        <v>870.35934493376419</v>
      </c>
      <c r="AK15" s="155">
        <v>870.35934493376419</v>
      </c>
      <c r="AL15" s="154">
        <v>857.85802130758259</v>
      </c>
      <c r="AM15" s="155">
        <v>857.85802130758259</v>
      </c>
      <c r="AN15" s="154">
        <v>845.4609852323415</v>
      </c>
      <c r="AO15" s="155">
        <v>845.4609852323415</v>
      </c>
      <c r="AP15" s="154">
        <v>843.01869685616361</v>
      </c>
      <c r="AQ15" s="155">
        <v>843.01869685616361</v>
      </c>
      <c r="AR15" s="154">
        <v>840.59318590542966</v>
      </c>
      <c r="AS15" s="155">
        <v>840.59318590542966</v>
      </c>
      <c r="AT15" s="154">
        <v>838.1860681063165</v>
      </c>
      <c r="AU15" s="155">
        <v>838.1860681063165</v>
      </c>
      <c r="AV15" s="154">
        <v>835.79881647856882</v>
      </c>
      <c r="AW15" s="155">
        <v>835.79881647856882</v>
      </c>
    </row>
    <row r="16" spans="1:49" s="29" customFormat="1" x14ac:dyDescent="0.2">
      <c r="A16" t="s">
        <v>61</v>
      </c>
      <c r="B16" s="41">
        <v>1000</v>
      </c>
      <c r="C16" s="42">
        <v>1000</v>
      </c>
      <c r="D16" s="41">
        <v>996.18316445961409</v>
      </c>
      <c r="E16" s="42">
        <v>995.89640146803038</v>
      </c>
      <c r="F16" s="41">
        <v>992.1585522448712</v>
      </c>
      <c r="G16" s="42">
        <v>991.5775185613835</v>
      </c>
      <c r="H16" s="41">
        <v>987.90853044738503</v>
      </c>
      <c r="I16" s="42">
        <v>987.02334844931693</v>
      </c>
      <c r="J16" s="41">
        <v>983.41420302009044</v>
      </c>
      <c r="K16" s="42">
        <v>982.21211925441378</v>
      </c>
      <c r="L16" s="41">
        <v>978.65543814342686</v>
      </c>
      <c r="M16" s="42">
        <v>977.12008553041323</v>
      </c>
      <c r="N16" s="41">
        <v>973.61089405680343</v>
      </c>
      <c r="O16" s="42">
        <v>971.72127124111864</v>
      </c>
      <c r="P16" s="41">
        <v>968.25828301160095</v>
      </c>
      <c r="Q16" s="42">
        <v>965.98725725145596</v>
      </c>
      <c r="R16" s="41">
        <v>962.57470237748964</v>
      </c>
      <c r="S16" s="42">
        <v>959.88682425730099</v>
      </c>
      <c r="T16" s="41">
        <v>956.53777942301929</v>
      </c>
      <c r="U16" s="42">
        <v>953.38596983739274</v>
      </c>
      <c r="V16" s="41">
        <v>950.12757464017648</v>
      </c>
      <c r="W16" s="42">
        <v>946.44816276678125</v>
      </c>
      <c r="X16" s="41">
        <v>943.33044979403769</v>
      </c>
      <c r="Y16" s="42">
        <v>939.0358468103334</v>
      </c>
      <c r="Z16" s="41">
        <v>936.14560016042014</v>
      </c>
      <c r="AA16" s="42">
        <v>931.11421597870878</v>
      </c>
      <c r="AB16" s="41">
        <v>928.59441839711735</v>
      </c>
      <c r="AC16" s="42">
        <v>922.65909734448974</v>
      </c>
      <c r="AD16" s="41">
        <v>920.72980284676748</v>
      </c>
      <c r="AE16" s="42">
        <v>913.67052272952833</v>
      </c>
      <c r="AF16" s="41">
        <v>912.63845334264113</v>
      </c>
      <c r="AG16" s="42">
        <v>904.19085116432723</v>
      </c>
      <c r="AH16" s="41">
        <v>904.43278454799452</v>
      </c>
      <c r="AI16" s="42">
        <v>894.32149627135857</v>
      </c>
      <c r="AJ16" s="41">
        <v>896.2395528166079</v>
      </c>
      <c r="AK16" s="42">
        <v>884.22664410965581</v>
      </c>
      <c r="AL16" s="41">
        <v>888.19036255895605</v>
      </c>
      <c r="AM16" s="42">
        <v>874.11352861189619</v>
      </c>
      <c r="AN16" s="41">
        <v>880.40802496209233</v>
      </c>
      <c r="AO16" s="42">
        <v>864.19276451169469</v>
      </c>
      <c r="AP16" s="41">
        <v>878.89273804173013</v>
      </c>
      <c r="AQ16" s="42">
        <v>862.24801744954095</v>
      </c>
      <c r="AR16" s="41">
        <v>877.39274645550074</v>
      </c>
      <c r="AS16" s="42">
        <v>860.31928854150476</v>
      </c>
      <c r="AT16" s="41">
        <v>875.90860276869284</v>
      </c>
      <c r="AU16" s="42">
        <v>858.40762277526665</v>
      </c>
      <c r="AV16" s="41">
        <v>874.44079665704589</v>
      </c>
      <c r="AW16" s="42">
        <v>856.51396511560381</v>
      </c>
    </row>
    <row r="17" spans="1:49" x14ac:dyDescent="0.2">
      <c r="A17" t="s">
        <v>62</v>
      </c>
      <c r="B17" s="35">
        <v>1000.0000000000002</v>
      </c>
      <c r="C17" s="36">
        <v>999.99999999999977</v>
      </c>
      <c r="D17" s="35">
        <v>998.42424212200717</v>
      </c>
      <c r="E17" s="36">
        <v>1024.889704450454</v>
      </c>
      <c r="F17" s="35">
        <v>996.77321041429195</v>
      </c>
      <c r="G17" s="36">
        <v>1051.8819389984033</v>
      </c>
      <c r="H17" s="35">
        <v>995.04353106097926</v>
      </c>
      <c r="I17" s="36">
        <v>1081.2620431617843</v>
      </c>
      <c r="J17" s="35">
        <v>993.23378495605721</v>
      </c>
      <c r="K17" s="36">
        <v>1113.3835517927819</v>
      </c>
      <c r="L17" s="35">
        <v>991.34558137628858</v>
      </c>
      <c r="M17" s="36">
        <v>1148.6913780162076</v>
      </c>
      <c r="N17" s="35">
        <v>989.38514761708223</v>
      </c>
      <c r="O17" s="36">
        <v>1187.7562967195788</v>
      </c>
      <c r="P17" s="35">
        <v>987.36562962693301</v>
      </c>
      <c r="Q17" s="36">
        <v>1231.3226191262204</v>
      </c>
      <c r="R17" s="35">
        <v>985.31035126487177</v>
      </c>
      <c r="S17" s="36">
        <v>1280.3783880408541</v>
      </c>
      <c r="T17" s="35">
        <v>983.25755616175741</v>
      </c>
      <c r="U17" s="36">
        <v>1336.2508201233059</v>
      </c>
      <c r="V17" s="35">
        <v>981.26665132969856</v>
      </c>
      <c r="W17" s="36">
        <v>1400.7352179413858</v>
      </c>
      <c r="X17" s="35">
        <v>979.42554528861399</v>
      </c>
      <c r="Y17" s="36">
        <v>1476.2416205164197</v>
      </c>
      <c r="Z17" s="35">
        <v>977.85568199912746</v>
      </c>
      <c r="AA17" s="36">
        <v>1565.8955519015242</v>
      </c>
      <c r="AB17" s="35">
        <v>976.70537527535271</v>
      </c>
      <c r="AC17" s="36">
        <v>1673.4063482085699</v>
      </c>
      <c r="AD17" s="35">
        <v>976.11532502137072</v>
      </c>
      <c r="AE17" s="36">
        <v>1802.3666451322072</v>
      </c>
      <c r="AF17" s="35">
        <v>976.15096468427691</v>
      </c>
      <c r="AG17" s="36">
        <v>1954.7892561292508</v>
      </c>
      <c r="AH17" s="35">
        <v>976.74403812350397</v>
      </c>
      <c r="AI17" s="36">
        <v>2129.546875420222</v>
      </c>
      <c r="AJ17" s="35">
        <v>977.71303088786158</v>
      </c>
      <c r="AK17" s="36">
        <v>2322.1432562937889</v>
      </c>
      <c r="AL17" s="35">
        <v>978.85330993131947</v>
      </c>
      <c r="AM17" s="36">
        <v>2526.1645606202046</v>
      </c>
      <c r="AN17" s="35">
        <v>980.01075283330238</v>
      </c>
      <c r="AO17" s="36">
        <v>2735.1336360970708</v>
      </c>
      <c r="AP17" s="35">
        <v>980.23561906098485</v>
      </c>
      <c r="AQ17" s="36">
        <v>2777.0226427396306</v>
      </c>
      <c r="AR17" s="35">
        <v>980.45712828071544</v>
      </c>
      <c r="AS17" s="36">
        <v>2818.8538577538525</v>
      </c>
      <c r="AT17" s="35">
        <v>980.67494724457856</v>
      </c>
      <c r="AU17" s="36">
        <v>2860.5938787238279</v>
      </c>
      <c r="AV17" s="35">
        <v>980.88880819814858</v>
      </c>
      <c r="AW17" s="36">
        <v>2902.2118116433971</v>
      </c>
    </row>
    <row r="18" spans="1:49" x14ac:dyDescent="0.2">
      <c r="A18" t="s">
        <v>19</v>
      </c>
      <c r="B18" s="33">
        <v>27857.010133999996</v>
      </c>
      <c r="C18" s="34">
        <v>1236.7674480000003</v>
      </c>
      <c r="D18" s="33">
        <v>27710.23522336753</v>
      </c>
      <c r="E18" s="34">
        <v>1140.7661374537493</v>
      </c>
      <c r="F18" s="33">
        <v>27545.083431287992</v>
      </c>
      <c r="G18" s="34">
        <v>1044.4594145088831</v>
      </c>
      <c r="H18" s="33">
        <v>27358.410181748059</v>
      </c>
      <c r="I18" s="34">
        <v>947.98629092101078</v>
      </c>
      <c r="J18" s="33">
        <v>27146.214089474564</v>
      </c>
      <c r="K18" s="34">
        <v>851.55996158997357</v>
      </c>
      <c r="L18" s="33">
        <v>26903.306260958529</v>
      </c>
      <c r="M18" s="34">
        <v>755.48874962525315</v>
      </c>
      <c r="N18" s="33">
        <v>26622.827828407935</v>
      </c>
      <c r="O18" s="34">
        <v>660.21203913379998</v>
      </c>
      <c r="P18" s="33">
        <v>26295.53677298249</v>
      </c>
      <c r="Q18" s="34">
        <v>566.34002910448226</v>
      </c>
      <c r="R18" s="33">
        <v>25908.71927332718</v>
      </c>
      <c r="S18" s="34">
        <v>474.71614195699539</v>
      </c>
      <c r="T18" s="33">
        <v>25444.543565664138</v>
      </c>
      <c r="U18" s="34">
        <v>386.48404034091283</v>
      </c>
      <c r="V18" s="33">
        <v>24877.578647120201</v>
      </c>
      <c r="W18" s="34">
        <v>303.16979959181634</v>
      </c>
      <c r="X18" s="33">
        <v>24171.214426068091</v>
      </c>
      <c r="Y18" s="34">
        <v>226.73907012626924</v>
      </c>
      <c r="Z18" s="33">
        <v>23273.064162076993</v>
      </c>
      <c r="AA18" s="34">
        <v>159.5547400093071</v>
      </c>
      <c r="AB18" s="33">
        <v>22110.755183727488</v>
      </c>
      <c r="AC18" s="34">
        <v>104.06910151188332</v>
      </c>
      <c r="AD18" s="33">
        <v>20592.307448794123</v>
      </c>
      <c r="AE18" s="34">
        <v>62.066148200567376</v>
      </c>
      <c r="AF18" s="33">
        <v>18617.191957586514</v>
      </c>
      <c r="AG18" s="34">
        <v>33.606904530701783</v>
      </c>
      <c r="AH18" s="33">
        <v>16098.033004269215</v>
      </c>
      <c r="AI18" s="34">
        <v>16.546207281178955</v>
      </c>
      <c r="AJ18" s="33">
        <v>12979.978438395277</v>
      </c>
      <c r="AK18" s="34">
        <v>7.4155828828767518</v>
      </c>
      <c r="AL18" s="33">
        <v>9245.4698754572255</v>
      </c>
      <c r="AM18" s="34">
        <v>2.9451236506070693</v>
      </c>
      <c r="AN18" s="33">
        <v>4907.5218279849041</v>
      </c>
      <c r="AO18" s="34">
        <v>0.89266659239460922</v>
      </c>
      <c r="AP18" s="33">
        <v>3970.23891986532</v>
      </c>
      <c r="AQ18" s="34">
        <v>0.64825129484530308</v>
      </c>
      <c r="AR18" s="33">
        <v>3010.4792702056875</v>
      </c>
      <c r="AS18" s="34">
        <v>0.44190107558318387</v>
      </c>
      <c r="AT18" s="33">
        <v>2028.6026165577578</v>
      </c>
      <c r="AU18" s="34">
        <v>0.26812152051058558</v>
      </c>
      <c r="AV18" s="33">
        <v>1024.9814259344805</v>
      </c>
      <c r="AW18" s="34">
        <v>0.12217938601053148</v>
      </c>
    </row>
    <row r="19" spans="1:49" x14ac:dyDescent="0.2">
      <c r="A19" t="s">
        <v>3</v>
      </c>
      <c r="B19" s="41">
        <v>1886.3937399999966</v>
      </c>
      <c r="C19" s="42">
        <v>262.78711299999406</v>
      </c>
      <c r="D19" s="41">
        <v>1861.6822667078441</v>
      </c>
      <c r="E19" s="42">
        <v>278.92890214719216</v>
      </c>
      <c r="F19" s="41">
        <v>1835.269507804443</v>
      </c>
      <c r="G19" s="42">
        <v>296.34100417025184</v>
      </c>
      <c r="H19" s="41">
        <v>1806.9682000464045</v>
      </c>
      <c r="I19" s="42">
        <v>315.00352079145227</v>
      </c>
      <c r="J19" s="41">
        <v>1776.5646064966318</v>
      </c>
      <c r="K19" s="42">
        <v>334.83569598954159</v>
      </c>
      <c r="L19" s="41">
        <v>1743.8088553347136</v>
      </c>
      <c r="M19" s="42">
        <v>355.6672417652365</v>
      </c>
      <c r="N19" s="41">
        <v>1708.4006064747148</v>
      </c>
      <c r="O19" s="42">
        <v>377.19868484186168</v>
      </c>
      <c r="P19" s="41">
        <v>1669.9664266193356</v>
      </c>
      <c r="Q19" s="42">
        <v>398.94377278377624</v>
      </c>
      <c r="R19" s="41">
        <v>1628.0211338629406</v>
      </c>
      <c r="S19" s="42">
        <v>420.14985223396002</v>
      </c>
      <c r="T19" s="41">
        <v>1581.9050081111582</v>
      </c>
      <c r="U19" s="42">
        <v>439.68503687869958</v>
      </c>
      <c r="V19" s="41">
        <v>1530.6767220638214</v>
      </c>
      <c r="W19" s="42">
        <v>455.8925335827289</v>
      </c>
      <c r="X19" s="41">
        <v>1472.9355751954347</v>
      </c>
      <c r="Y19" s="42">
        <v>466.42835767461992</v>
      </c>
      <c r="Z19" s="41">
        <v>1406.5378870008747</v>
      </c>
      <c r="AA19" s="42">
        <v>468.1679853453428</v>
      </c>
      <c r="AB19" s="41">
        <v>1328.2021023239354</v>
      </c>
      <c r="AC19" s="42">
        <v>457.40389282265909</v>
      </c>
      <c r="AD19" s="41">
        <v>1233.1331082873517</v>
      </c>
      <c r="AE19" s="42">
        <v>430.68772674300527</v>
      </c>
      <c r="AF19" s="41">
        <v>1115.0672504772856</v>
      </c>
      <c r="AG19" s="42">
        <v>386.37902871725424</v>
      </c>
      <c r="AH19" s="41">
        <v>967.21308122197809</v>
      </c>
      <c r="AI19" s="42">
        <v>325.88597498248203</v>
      </c>
      <c r="AJ19" s="41">
        <v>783.87205731017013</v>
      </c>
      <c r="AK19" s="42">
        <v>253.11200116880363</v>
      </c>
      <c r="AL19" s="41">
        <v>561.70485620291299</v>
      </c>
      <c r="AM19" s="42">
        <v>172.47520397282611</v>
      </c>
      <c r="AN19" s="41">
        <v>299.97244963607409</v>
      </c>
      <c r="AO19" s="42">
        <v>87.396874806075616</v>
      </c>
      <c r="AP19" s="41">
        <v>242.96728838103527</v>
      </c>
      <c r="AQ19" s="42">
        <v>70.054786179219093</v>
      </c>
      <c r="AR19" s="41">
        <v>184.44671577066319</v>
      </c>
      <c r="AS19" s="42">
        <v>52.634538642929236</v>
      </c>
      <c r="AT19" s="41">
        <v>124.43075315848753</v>
      </c>
      <c r="AU19" s="42">
        <v>35.146255199520724</v>
      </c>
      <c r="AV19" s="41">
        <v>62.940900530002622</v>
      </c>
      <c r="AW19" s="42">
        <v>17.598817387395883</v>
      </c>
    </row>
    <row r="20" spans="1:49" x14ac:dyDescent="0.2">
      <c r="A20" t="s">
        <v>127</v>
      </c>
      <c r="B20" s="82">
        <v>26548.356269999993</v>
      </c>
      <c r="C20" s="83">
        <v>1408.5418709999938</v>
      </c>
      <c r="D20" s="82">
        <v>26383.153597655695</v>
      </c>
      <c r="E20" s="83">
        <v>1338.1147774499941</v>
      </c>
      <c r="F20" s="82">
        <v>26199.491058877666</v>
      </c>
      <c r="G20" s="83">
        <v>1267.6876838999945</v>
      </c>
      <c r="H20" s="82">
        <v>25994.394946962238</v>
      </c>
      <c r="I20" s="83">
        <v>1197.2605903499946</v>
      </c>
      <c r="J20" s="82">
        <v>25764.128380272952</v>
      </c>
      <c r="K20" s="83">
        <v>1126.8334967999951</v>
      </c>
      <c r="L20" s="82">
        <v>25503.900432667411</v>
      </c>
      <c r="M20" s="83">
        <v>1056.4064032499953</v>
      </c>
      <c r="N20" s="82">
        <v>25207.441179556325</v>
      </c>
      <c r="O20" s="83">
        <v>985.97930969999561</v>
      </c>
      <c r="P20" s="82">
        <v>24866.371836329185</v>
      </c>
      <c r="Q20" s="83">
        <v>915.55221614999596</v>
      </c>
      <c r="R20" s="82">
        <v>24469.23593969829</v>
      </c>
      <c r="S20" s="83">
        <v>845.12512259999642</v>
      </c>
      <c r="T20" s="82">
        <v>24000.027170789625</v>
      </c>
      <c r="U20" s="83">
        <v>774.69802904999653</v>
      </c>
      <c r="V20" s="82">
        <v>23435.946301727639</v>
      </c>
      <c r="W20" s="83">
        <v>704.27093549999688</v>
      </c>
      <c r="X20" s="82">
        <v>22744.119921140504</v>
      </c>
      <c r="Y20" s="83">
        <v>633.84384194999734</v>
      </c>
      <c r="Z20" s="82">
        <v>21877.27755107536</v>
      </c>
      <c r="AA20" s="83">
        <v>563.41674839999757</v>
      </c>
      <c r="AB20" s="82">
        <v>20769.528947420331</v>
      </c>
      <c r="AC20" s="83">
        <v>492.98965484999775</v>
      </c>
      <c r="AD20" s="82">
        <v>19335.943994682551</v>
      </c>
      <c r="AE20" s="83">
        <v>422.56256129999804</v>
      </c>
      <c r="AF20" s="82">
        <v>17481.72869189527</v>
      </c>
      <c r="AG20" s="83">
        <v>352.13546774999827</v>
      </c>
      <c r="AH20" s="82">
        <v>15121.906163559086</v>
      </c>
      <c r="AI20" s="83">
        <v>281.70837419999856</v>
      </c>
      <c r="AJ20" s="82">
        <v>12200.410787299177</v>
      </c>
      <c r="AK20" s="83">
        <v>211.28128064999879</v>
      </c>
      <c r="AL20" s="82">
        <v>8696.4643320071955</v>
      </c>
      <c r="AM20" s="83">
        <v>140.85418709999905</v>
      </c>
      <c r="AN20" s="82">
        <v>4619.4813029394245</v>
      </c>
      <c r="AO20" s="83">
        <v>70.42709354999927</v>
      </c>
      <c r="AP20" s="82">
        <v>3737.7406653645126</v>
      </c>
      <c r="AQ20" s="83">
        <v>56.341674839999328</v>
      </c>
      <c r="AR20" s="82">
        <v>2834.5803234660812</v>
      </c>
      <c r="AS20" s="83">
        <v>42.256256129999379</v>
      </c>
      <c r="AT20" s="82">
        <v>1910.3356365173418</v>
      </c>
      <c r="AU20" s="83">
        <v>28.170837419999433</v>
      </c>
      <c r="AV20" s="82">
        <v>965.35522736091002</v>
      </c>
      <c r="AW20" s="83">
        <v>14.08541870999948</v>
      </c>
    </row>
    <row r="21" spans="1:49" x14ac:dyDescent="0.2">
      <c r="A21" t="s">
        <v>76</v>
      </c>
      <c r="B21" s="82">
        <v>24661.962530000055</v>
      </c>
      <c r="C21" s="83">
        <v>1145.7547579999855</v>
      </c>
      <c r="D21" s="82">
        <v>24521.483445185677</v>
      </c>
      <c r="E21" s="83">
        <v>1059.440500925971</v>
      </c>
      <c r="F21" s="82">
        <v>24364.271972310293</v>
      </c>
      <c r="G21" s="83">
        <v>972.42722970238549</v>
      </c>
      <c r="H21" s="82">
        <v>24187.544720557551</v>
      </c>
      <c r="I21" s="83">
        <v>884.8354174843887</v>
      </c>
      <c r="J21" s="82">
        <v>23987.781563754914</v>
      </c>
      <c r="K21" s="83">
        <v>796.85465262365381</v>
      </c>
      <c r="L21" s="82">
        <v>23760.444088427696</v>
      </c>
      <c r="M21" s="83">
        <v>708.76806694492291</v>
      </c>
      <c r="N21" s="82">
        <v>23499.564410831928</v>
      </c>
      <c r="O21" s="83">
        <v>620.98398609010746</v>
      </c>
      <c r="P21" s="82">
        <v>23197.137055843894</v>
      </c>
      <c r="Q21" s="83">
        <v>534.07911981879658</v>
      </c>
      <c r="R21" s="82">
        <v>22842.187464368901</v>
      </c>
      <c r="S21" s="83">
        <v>448.85355380510975</v>
      </c>
      <c r="T21" s="82">
        <v>22419.360679415029</v>
      </c>
      <c r="U21" s="83">
        <v>366.40190436475615</v>
      </c>
      <c r="V21" s="82">
        <v>21906.782821482982</v>
      </c>
      <c r="W21" s="83">
        <v>288.19177034138016</v>
      </c>
      <c r="X21" s="82">
        <v>21272.9547895012</v>
      </c>
      <c r="Y21" s="83">
        <v>216.12484193663653</v>
      </c>
      <c r="Z21" s="82">
        <v>20472.711496878637</v>
      </c>
      <c r="AA21" s="83">
        <v>152.50294017756923</v>
      </c>
      <c r="AB21" s="82">
        <v>19443.397656322821</v>
      </c>
      <c r="AC21" s="83">
        <v>99.740600317670697</v>
      </c>
      <c r="AD21" s="82">
        <v>18104.837306898859</v>
      </c>
      <c r="AE21" s="83">
        <v>59.641582444976535</v>
      </c>
      <c r="AF21" s="82">
        <v>16368.488094783619</v>
      </c>
      <c r="AG21" s="83">
        <v>32.373143969649782</v>
      </c>
      <c r="AH21" s="82">
        <v>14156.195818064916</v>
      </c>
      <c r="AI21" s="83">
        <v>15.97315990977286</v>
      </c>
      <c r="AJ21" s="82">
        <v>11417.652537431059</v>
      </c>
      <c r="AK21" s="83">
        <v>7.1716854811911102</v>
      </c>
      <c r="AL21" s="82">
        <v>8135.4744814069199</v>
      </c>
      <c r="AM21" s="83">
        <v>2.8523880960719197</v>
      </c>
      <c r="AN21" s="82">
        <v>4319.8483365092061</v>
      </c>
      <c r="AO21" s="83">
        <v>0.86554001222615418</v>
      </c>
      <c r="AP21" s="82">
        <v>3495.0419342882956</v>
      </c>
      <c r="AQ21" s="83">
        <v>0.62867475254233418</v>
      </c>
      <c r="AR21" s="82">
        <v>2650.3327463770147</v>
      </c>
      <c r="AS21" s="83">
        <v>0.4286349199670681</v>
      </c>
      <c r="AT21" s="82">
        <v>1786.0361243153561</v>
      </c>
      <c r="AU21" s="83">
        <v>0.26011832795942758</v>
      </c>
      <c r="AV21" s="82">
        <v>902.4791915801668</v>
      </c>
      <c r="AW21" s="83">
        <v>0.11855200064632188</v>
      </c>
    </row>
    <row r="22" spans="1:49" x14ac:dyDescent="0.2">
      <c r="A22" t="s">
        <v>28</v>
      </c>
      <c r="B22" s="41">
        <v>6533.6044688320662</v>
      </c>
      <c r="C22" s="42">
        <v>379.90788307663394</v>
      </c>
      <c r="D22" s="41">
        <v>6471.6262040362071</v>
      </c>
      <c r="E22" s="42">
        <v>364.76603691515527</v>
      </c>
      <c r="F22" s="41">
        <v>6404.7923267742362</v>
      </c>
      <c r="G22" s="42">
        <v>349.53086037490095</v>
      </c>
      <c r="H22" s="41">
        <v>6332.3681538074579</v>
      </c>
      <c r="I22" s="42">
        <v>334.18416703922446</v>
      </c>
      <c r="J22" s="41">
        <v>6253.4283189544785</v>
      </c>
      <c r="K22" s="42">
        <v>318.69970139049587</v>
      </c>
      <c r="L22" s="41">
        <v>6166.7864534977762</v>
      </c>
      <c r="M22" s="42">
        <v>303.04097949174604</v>
      </c>
      <c r="N22" s="41">
        <v>6070.8897405962653</v>
      </c>
      <c r="O22" s="42">
        <v>287.15792145156485</v>
      </c>
      <c r="P22" s="41">
        <v>5963.6669826811813</v>
      </c>
      <c r="Q22" s="42">
        <v>270.98325820326579</v>
      </c>
      <c r="R22" s="41">
        <v>5842.2948861232016</v>
      </c>
      <c r="S22" s="42">
        <v>254.42732130813582</v>
      </c>
      <c r="T22" s="41">
        <v>5702.8561879655499</v>
      </c>
      <c r="U22" s="42">
        <v>237.37331976915445</v>
      </c>
      <c r="V22" s="41">
        <v>5539.8285960312451</v>
      </c>
      <c r="W22" s="42">
        <v>219.67293073750906</v>
      </c>
      <c r="X22" s="41">
        <v>5345.3750893115275</v>
      </c>
      <c r="Y22" s="42">
        <v>201.14765016486967</v>
      </c>
      <c r="Z22" s="41">
        <v>5108.4860393220124</v>
      </c>
      <c r="AA22" s="42">
        <v>181.60500483008514</v>
      </c>
      <c r="AB22" s="41">
        <v>4814.3319775877035</v>
      </c>
      <c r="AC22" s="42">
        <v>160.8863376353892</v>
      </c>
      <c r="AD22" s="41">
        <v>4444.7591119896333</v>
      </c>
      <c r="AE22" s="42">
        <v>138.95759496394754</v>
      </c>
      <c r="AF22" s="41">
        <v>3981.096713692652</v>
      </c>
      <c r="AG22" s="42">
        <v>116.00803528272851</v>
      </c>
      <c r="AH22" s="41">
        <v>3408.8633349955176</v>
      </c>
      <c r="AI22" s="42">
        <v>92.452381286349933</v>
      </c>
      <c r="AJ22" s="41">
        <v>2721.2692758612379</v>
      </c>
      <c r="AK22" s="42">
        <v>68.77891753333212</v>
      </c>
      <c r="AL22" s="41">
        <v>1919.1998769978879</v>
      </c>
      <c r="AM22" s="42">
        <v>45.366987743418576</v>
      </c>
      <c r="AN22" s="41">
        <v>1008.9787338910555</v>
      </c>
      <c r="AO22" s="42">
        <v>22.419560206519908</v>
      </c>
      <c r="AP22" s="41">
        <v>814.75131138049596</v>
      </c>
      <c r="AQ22" s="42">
        <v>17.893118607704533</v>
      </c>
      <c r="AR22" s="41">
        <v>616.65381071213415</v>
      </c>
      <c r="AS22" s="42">
        <v>13.388057688937058</v>
      </c>
      <c r="AT22" s="41">
        <v>414.77173603613863</v>
      </c>
      <c r="AU22" s="42">
        <v>8.9043036173363461</v>
      </c>
      <c r="AV22" s="41">
        <v>209.19144145608979</v>
      </c>
      <c r="AW22" s="42">
        <v>4.4416943691798876</v>
      </c>
    </row>
    <row r="23" spans="1:49" x14ac:dyDescent="0.2">
      <c r="A23" t="s">
        <v>7</v>
      </c>
      <c r="B23" s="116">
        <v>3278.5018080150408</v>
      </c>
      <c r="C23" s="8">
        <v>0</v>
      </c>
      <c r="D23" s="116">
        <v>3262.691318915749</v>
      </c>
      <c r="E23" s="8">
        <v>0</v>
      </c>
      <c r="F23" s="116">
        <v>3244.5525748146169</v>
      </c>
      <c r="G23" s="8">
        <v>0</v>
      </c>
      <c r="H23" s="116">
        <v>3223.708343587406</v>
      </c>
      <c r="I23" s="8">
        <v>0</v>
      </c>
      <c r="J23" s="116">
        <v>3199.6859074357058</v>
      </c>
      <c r="K23" s="8">
        <v>0</v>
      </c>
      <c r="L23" s="116">
        <v>3171.8814717429682</v>
      </c>
      <c r="M23" s="8">
        <v>0</v>
      </c>
      <c r="N23" s="116">
        <v>3139.5073743074017</v>
      </c>
      <c r="O23" s="8">
        <v>0</v>
      </c>
      <c r="P23" s="116">
        <v>3101.514429851497</v>
      </c>
      <c r="Q23" s="8">
        <v>0</v>
      </c>
      <c r="R23" s="116">
        <v>3056.4709396299991</v>
      </c>
      <c r="S23" s="8">
        <v>0</v>
      </c>
      <c r="T23" s="116">
        <v>3002.3792541146904</v>
      </c>
      <c r="U23" s="8">
        <v>0</v>
      </c>
      <c r="V23" s="116">
        <v>2936.3930373366275</v>
      </c>
      <c r="W23" s="8">
        <v>0</v>
      </c>
      <c r="X23" s="116">
        <v>2854.3995600864391</v>
      </c>
      <c r="Y23" s="8">
        <v>0</v>
      </c>
      <c r="Z23" s="116">
        <v>2750.4578576760705</v>
      </c>
      <c r="AA23" s="8">
        <v>0</v>
      </c>
      <c r="AB23" s="116">
        <v>2616.2221168367978</v>
      </c>
      <c r="AC23" s="8">
        <v>0</v>
      </c>
      <c r="AD23" s="116">
        <v>2440.803575462262</v>
      </c>
      <c r="AE23" s="8">
        <v>0</v>
      </c>
      <c r="AF23" s="116">
        <v>2211.8254701729975</v>
      </c>
      <c r="AG23" s="8">
        <v>0</v>
      </c>
      <c r="AH23" s="116">
        <v>1917.8856268254819</v>
      </c>
      <c r="AI23" s="8">
        <v>0</v>
      </c>
      <c r="AJ23" s="116">
        <v>1551.1144690672047</v>
      </c>
      <c r="AK23" s="8">
        <v>0</v>
      </c>
      <c r="AL23" s="116">
        <v>1108.210895560894</v>
      </c>
      <c r="AM23" s="8">
        <v>0</v>
      </c>
      <c r="AN23" s="116">
        <v>589.94107769360005</v>
      </c>
      <c r="AO23" s="8">
        <v>0</v>
      </c>
      <c r="AP23" s="116">
        <v>477.53065523396822</v>
      </c>
      <c r="AQ23" s="8">
        <v>0</v>
      </c>
      <c r="AR23" s="116">
        <v>362.28794473504968</v>
      </c>
      <c r="AS23" s="8">
        <v>0</v>
      </c>
      <c r="AT23" s="116">
        <v>244.25538715181506</v>
      </c>
      <c r="AU23" s="8">
        <v>0</v>
      </c>
      <c r="AV23" s="116">
        <v>123.47735208237158</v>
      </c>
      <c r="AW23" s="8">
        <v>0</v>
      </c>
    </row>
    <row r="24" spans="1:49" x14ac:dyDescent="0.2">
      <c r="A24" t="s">
        <v>8</v>
      </c>
      <c r="B24" s="97">
        <v>3196.3846373657216</v>
      </c>
      <c r="C24" s="8">
        <v>0</v>
      </c>
      <c r="D24" s="97">
        <v>3205.7024010312925</v>
      </c>
      <c r="E24" s="8">
        <v>0</v>
      </c>
      <c r="F24" s="97">
        <v>3212.7040755250096</v>
      </c>
      <c r="G24" s="8">
        <v>0</v>
      </c>
      <c r="H24" s="97">
        <v>3216.9917138380965</v>
      </c>
      <c r="I24" s="8">
        <v>0</v>
      </c>
      <c r="J24" s="97">
        <v>3218.0745904927526</v>
      </c>
      <c r="K24" s="8">
        <v>0</v>
      </c>
      <c r="L24" s="97">
        <v>3215.3335406357864</v>
      </c>
      <c r="M24" s="8">
        <v>0</v>
      </c>
      <c r="N24" s="97">
        <v>3207.9709504521179</v>
      </c>
      <c r="O24" s="8">
        <v>0</v>
      </c>
      <c r="P24" s="97">
        <v>3194.9347972001328</v>
      </c>
      <c r="Q24" s="8">
        <v>0</v>
      </c>
      <c r="R24" s="97">
        <v>3174.7981129829768</v>
      </c>
      <c r="S24" s="8">
        <v>0</v>
      </c>
      <c r="T24" s="97">
        <v>3145.5676897524063</v>
      </c>
      <c r="U24" s="8">
        <v>0</v>
      </c>
      <c r="V24" s="97">
        <v>3104.3769468442943</v>
      </c>
      <c r="W24" s="8">
        <v>0</v>
      </c>
      <c r="X24" s="97">
        <v>3046.9980373699855</v>
      </c>
      <c r="Y24" s="8">
        <v>0</v>
      </c>
      <c r="Z24" s="97">
        <v>2967.1101433418112</v>
      </c>
      <c r="AA24" s="8">
        <v>0</v>
      </c>
      <c r="AB24" s="97">
        <v>2855.3645139210503</v>
      </c>
      <c r="AC24" s="8">
        <v>0</v>
      </c>
      <c r="AD24" s="97">
        <v>2698.6444819810768</v>
      </c>
      <c r="AE24" s="8">
        <v>0</v>
      </c>
      <c r="AF24" s="97">
        <v>2480.4868377644461</v>
      </c>
      <c r="AG24" s="8">
        <v>0</v>
      </c>
      <c r="AH24" s="97">
        <v>2183.5402157102326</v>
      </c>
      <c r="AI24" s="8">
        <v>0</v>
      </c>
      <c r="AJ24" s="97">
        <v>1793.2404065359833</v>
      </c>
      <c r="AK24" s="8">
        <v>0</v>
      </c>
      <c r="AL24" s="97">
        <v>1300.4697681673929</v>
      </c>
      <c r="AM24" s="8">
        <v>0</v>
      </c>
      <c r="AN24" s="97">
        <v>702.09918374696815</v>
      </c>
      <c r="AO24" s="8">
        <v>0</v>
      </c>
      <c r="AP24" s="97">
        <v>569.84712773234912</v>
      </c>
      <c r="AQ24" s="8">
        <v>0</v>
      </c>
      <c r="AR24" s="97">
        <v>433.46958279232996</v>
      </c>
      <c r="AS24" s="8">
        <v>0</v>
      </c>
      <c r="AT24" s="97">
        <v>293.00605484250787</v>
      </c>
      <c r="AU24" s="8">
        <v>0</v>
      </c>
      <c r="AV24" s="97">
        <v>148.50028437073695</v>
      </c>
      <c r="AW24" s="8">
        <v>0</v>
      </c>
    </row>
    <row r="25" spans="1:49" x14ac:dyDescent="0.2">
      <c r="A25" t="s">
        <v>0</v>
      </c>
      <c r="B25" s="41">
        <v>3195.0476040000012</v>
      </c>
      <c r="C25" s="42">
        <v>91.012690000004397</v>
      </c>
      <c r="D25" s="41">
        <v>3188.7420085468325</v>
      </c>
      <c r="E25" s="42">
        <v>81.303725956139701</v>
      </c>
      <c r="F25" s="41">
        <v>3180.770169499292</v>
      </c>
      <c r="G25" s="42">
        <v>71.946851434252764</v>
      </c>
      <c r="H25" s="41">
        <v>3170.7680926082708</v>
      </c>
      <c r="I25" s="42">
        <v>62.970562065292434</v>
      </c>
      <c r="J25" s="41">
        <v>3158.2512844750245</v>
      </c>
      <c r="K25" s="42">
        <v>54.406939248341274</v>
      </c>
      <c r="L25" s="41">
        <v>3142.5662844992894</v>
      </c>
      <c r="M25" s="42">
        <v>46.29215131762323</v>
      </c>
      <c r="N25" s="41">
        <v>3122.8197407364019</v>
      </c>
      <c r="O25" s="42">
        <v>38.667527491016379</v>
      </c>
      <c r="P25" s="41">
        <v>3097.7742711191709</v>
      </c>
      <c r="Q25" s="42">
        <v>31.580371654174623</v>
      </c>
      <c r="R25" s="41">
        <v>3065.6923776860453</v>
      </c>
      <c r="S25" s="42">
        <v>25.08523093650572</v>
      </c>
      <c r="T25" s="41">
        <v>3024.1037830233067</v>
      </c>
      <c r="U25" s="42">
        <v>19.24420815819299</v>
      </c>
      <c r="V25" s="41">
        <v>2969.4650733167678</v>
      </c>
      <c r="W25" s="42">
        <v>14.126180673858038</v>
      </c>
      <c r="X25" s="41">
        <v>2896.6892395039686</v>
      </c>
      <c r="Y25" s="42">
        <v>9.802189273286162</v>
      </c>
      <c r="Z25" s="41">
        <v>2798.5907101560442</v>
      </c>
      <c r="AA25" s="42">
        <v>6.3333814515055629</v>
      </c>
      <c r="AB25" s="41">
        <v>2665.497086600727</v>
      </c>
      <c r="AC25" s="42">
        <v>3.7467390322349763</v>
      </c>
      <c r="AD25" s="41">
        <v>2485.6445086955896</v>
      </c>
      <c r="AE25" s="42">
        <v>2.0000174122081433</v>
      </c>
      <c r="AF25" s="41">
        <v>2247.0584845884518</v>
      </c>
      <c r="AG25" s="42">
        <v>0.9574494889016496</v>
      </c>
      <c r="AH25" s="41">
        <v>1940.4873572373051</v>
      </c>
      <c r="AI25" s="42">
        <v>0.41315266991383515</v>
      </c>
      <c r="AJ25" s="41">
        <v>1561.3299767445726</v>
      </c>
      <c r="AK25" s="42">
        <v>0.1617471456827877</v>
      </c>
      <c r="AL25" s="41">
        <v>1109.3594764858963</v>
      </c>
      <c r="AM25" s="42">
        <v>5.6229923014869766E-2</v>
      </c>
      <c r="AN25" s="41">
        <v>587.37319141320359</v>
      </c>
      <c r="AO25" s="42">
        <v>1.5009752317653098E-2</v>
      </c>
      <c r="AP25" s="41">
        <v>474.95967529050444</v>
      </c>
      <c r="AQ25" s="42">
        <v>1.0636808162238194E-2</v>
      </c>
      <c r="AR25" s="41">
        <v>359.97073659297092</v>
      </c>
      <c r="AS25" s="42">
        <v>7.078322591491445E-3</v>
      </c>
      <c r="AT25" s="41">
        <v>242.45075959768391</v>
      </c>
      <c r="AU25" s="42">
        <v>4.194034259728122E-3</v>
      </c>
      <c r="AV25" s="41">
        <v>122.44509040348424</v>
      </c>
      <c r="AW25" s="42">
        <v>1.8670417074771177E-3</v>
      </c>
    </row>
    <row r="26" spans="1:49" x14ac:dyDescent="0.2">
      <c r="A26" t="s">
        <v>27</v>
      </c>
      <c r="B26" s="33">
        <v>5036.2953101960647</v>
      </c>
      <c r="C26" s="34">
        <v>74.905331803938267</v>
      </c>
      <c r="D26" s="33">
        <v>5014.3065864751998</v>
      </c>
      <c r="E26" s="34">
        <v>69.37109051759127</v>
      </c>
      <c r="F26" s="33">
        <v>4989.2621567814522</v>
      </c>
      <c r="G26" s="34">
        <v>63.789507161340211</v>
      </c>
      <c r="H26" s="33">
        <v>4960.6094755746035</v>
      </c>
      <c r="I26" s="34">
        <v>58.165726773843843</v>
      </c>
      <c r="J26" s="33">
        <v>4927.6436539571496</v>
      </c>
      <c r="K26" s="34">
        <v>52.509155518469314</v>
      </c>
      <c r="L26" s="33">
        <v>4889.447661949207</v>
      </c>
      <c r="M26" s="34">
        <v>46.834853095207833</v>
      </c>
      <c r="N26" s="33">
        <v>4844.80532155739</v>
      </c>
      <c r="O26" s="34">
        <v>41.165810002165614</v>
      </c>
      <c r="P26" s="33">
        <v>4792.0713894474384</v>
      </c>
      <c r="Q26" s="34">
        <v>35.535640626631348</v>
      </c>
      <c r="R26" s="33">
        <v>4728.9722830401606</v>
      </c>
      <c r="S26" s="34">
        <v>29.992685655428943</v>
      </c>
      <c r="T26" s="33">
        <v>4652.3008606202666</v>
      </c>
      <c r="U26" s="34">
        <v>24.604756199690758</v>
      </c>
      <c r="V26" s="33">
        <v>4557.4511677384999</v>
      </c>
      <c r="W26" s="34">
        <v>19.465082824265259</v>
      </c>
      <c r="X26" s="33">
        <v>4437.7340844051978</v>
      </c>
      <c r="Y26" s="34">
        <v>14.697290334114443</v>
      </c>
      <c r="Z26" s="33">
        <v>4283.470638863203</v>
      </c>
      <c r="AA26" s="34">
        <v>10.454730479289177</v>
      </c>
      <c r="AB26" s="33">
        <v>4081.0943956011847</v>
      </c>
      <c r="AC26" s="34">
        <v>6.9033409399657586</v>
      </c>
      <c r="AD26" s="33">
        <v>3813.0256474066368</v>
      </c>
      <c r="AE26" s="34">
        <v>4.1746316028800257</v>
      </c>
      <c r="AF26" s="33">
        <v>3459.5193723513107</v>
      </c>
      <c r="AG26" s="34">
        <v>2.2954135185830919</v>
      </c>
      <c r="AH26" s="33">
        <v>3002.6854824262186</v>
      </c>
      <c r="AI26" s="34">
        <v>1.1488554903989681</v>
      </c>
      <c r="AJ26" s="33">
        <v>2430.4090170952854</v>
      </c>
      <c r="AK26" s="34">
        <v>0.5236519436224718</v>
      </c>
      <c r="AL26" s="33">
        <v>1737.6940598339143</v>
      </c>
      <c r="AM26" s="34">
        <v>0.21147195702645546</v>
      </c>
      <c r="AN26" s="33">
        <v>925.70284776290464</v>
      </c>
      <c r="AO26" s="34">
        <v>6.5132781397146441E-2</v>
      </c>
      <c r="AP26" s="33">
        <v>749.42413563760692</v>
      </c>
      <c r="AQ26" s="34">
        <v>4.7445857527721277E-2</v>
      </c>
      <c r="AR26" s="33">
        <v>568.64896263714513</v>
      </c>
      <c r="AS26" s="34">
        <v>3.2441936341082715E-2</v>
      </c>
      <c r="AT26" s="33">
        <v>383.4413861026307</v>
      </c>
      <c r="AU26" s="34">
        <v>1.9743401897643925E-2</v>
      </c>
      <c r="AV26" s="33">
        <v>193.86845121802088</v>
      </c>
      <c r="AW26" s="34">
        <v>9.0235632883533552E-3</v>
      </c>
    </row>
    <row r="27" spans="1:49" x14ac:dyDescent="0.2">
      <c r="A27" t="s">
        <v>2</v>
      </c>
      <c r="B27" s="35">
        <v>6425.1981590000414</v>
      </c>
      <c r="C27" s="36">
        <v>273.22915400000028</v>
      </c>
      <c r="D27" s="35">
        <v>6399.3761872534851</v>
      </c>
      <c r="E27" s="36">
        <v>253.08619599399486</v>
      </c>
      <c r="F27" s="35">
        <v>6369.7112785996569</v>
      </c>
      <c r="G27" s="36">
        <v>232.76494882752851</v>
      </c>
      <c r="H27" s="35">
        <v>6335.5135408065134</v>
      </c>
      <c r="I27" s="36">
        <v>212.2839511722305</v>
      </c>
      <c r="J27" s="35">
        <v>6295.9009951098969</v>
      </c>
      <c r="K27" s="36">
        <v>191.67742029719963</v>
      </c>
      <c r="L27" s="35">
        <v>6249.7244978210028</v>
      </c>
      <c r="M27" s="36">
        <v>171.00006072762375</v>
      </c>
      <c r="N27" s="35">
        <v>6195.4575698023755</v>
      </c>
      <c r="O27" s="36">
        <v>150.33560541232816</v>
      </c>
      <c r="P27" s="35">
        <v>6131.0322171500829</v>
      </c>
      <c r="Q27" s="36">
        <v>129.80633587105936</v>
      </c>
      <c r="R27" s="35">
        <v>6053.5861531036162</v>
      </c>
      <c r="S27" s="36">
        <v>109.58849375409226</v>
      </c>
      <c r="T27" s="35">
        <v>5959.0756775159034</v>
      </c>
      <c r="U27" s="36">
        <v>89.929303596698588</v>
      </c>
      <c r="V27" s="35">
        <v>5841.6825742329484</v>
      </c>
      <c r="W27" s="36">
        <v>71.169000103805516</v>
      </c>
      <c r="X27" s="35">
        <v>5692.9368822920214</v>
      </c>
      <c r="Y27" s="36">
        <v>53.759036275739142</v>
      </c>
      <c r="Z27" s="35">
        <v>5500.5401416625764</v>
      </c>
      <c r="AA27" s="36">
        <v>38.25993511054255</v>
      </c>
      <c r="AB27" s="35">
        <v>5247.159854703983</v>
      </c>
      <c r="AC27" s="36">
        <v>25.27899536123051</v>
      </c>
      <c r="AD27" s="35">
        <v>4910.1286028173245</v>
      </c>
      <c r="AE27" s="36">
        <v>15.298762709749003</v>
      </c>
      <c r="AF27" s="35">
        <v>4463.5651611102685</v>
      </c>
      <c r="AG27" s="36">
        <v>8.4201646693530598</v>
      </c>
      <c r="AH27" s="35">
        <v>3883.2746027020912</v>
      </c>
      <c r="AI27" s="36">
        <v>4.2192589126014468</v>
      </c>
      <c r="AJ27" s="35">
        <v>3151.7520979295414</v>
      </c>
      <c r="AK27" s="36">
        <v>1.9257755990017769</v>
      </c>
      <c r="AL27" s="35">
        <v>2260.2240172019588</v>
      </c>
      <c r="AM27" s="36">
        <v>0.77887632946424357</v>
      </c>
      <c r="AN27" s="35">
        <v>1207.8835272160297</v>
      </c>
      <c r="AO27" s="36">
        <v>0.24027192030877714</v>
      </c>
      <c r="AP27" s="35">
        <v>978.49855844732883</v>
      </c>
      <c r="AQ27" s="36">
        <v>0.17508187230302205</v>
      </c>
      <c r="AR27" s="35">
        <v>742.94441572475182</v>
      </c>
      <c r="AS27" s="36">
        <v>0.11975384382732164</v>
      </c>
      <c r="AT27" s="35">
        <v>501.29201983257872</v>
      </c>
      <c r="AU27" s="36">
        <v>7.2902847819727071E-2</v>
      </c>
      <c r="AV27" s="35">
        <v>253.6171197157656</v>
      </c>
      <c r="AW27" s="36">
        <v>3.3330393230242297E-2</v>
      </c>
    </row>
    <row r="28" spans="1:49" x14ac:dyDescent="0.2">
      <c r="A28" t="s">
        <v>35</v>
      </c>
      <c r="B28" s="41">
        <v>13763.097676000029</v>
      </c>
      <c r="C28" s="42">
        <v>382.36647899999997</v>
      </c>
      <c r="D28" s="41">
        <v>13705.237367373167</v>
      </c>
      <c r="E28" s="42">
        <v>354.16010518117156</v>
      </c>
      <c r="F28" s="41">
        <v>13639.080482752341</v>
      </c>
      <c r="G28" s="42">
        <v>325.7064513893028</v>
      </c>
      <c r="H28" s="41">
        <v>13563.131907479696</v>
      </c>
      <c r="I28" s="42">
        <v>297.03155480693664</v>
      </c>
      <c r="J28" s="41">
        <v>13475.482413700676</v>
      </c>
      <c r="K28" s="42">
        <v>268.18333969893683</v>
      </c>
      <c r="L28" s="41">
        <v>13373.646433905697</v>
      </c>
      <c r="M28" s="42">
        <v>239.23845506528647</v>
      </c>
      <c r="N28" s="41">
        <v>13254.325087918021</v>
      </c>
      <c r="O28" s="42">
        <v>210.31413356921132</v>
      </c>
      <c r="P28" s="41">
        <v>13113.052661223852</v>
      </c>
      <c r="Q28" s="42">
        <v>181.58163622092724</v>
      </c>
      <c r="R28" s="41">
        <v>12943.653403750945</v>
      </c>
      <c r="S28" s="42">
        <v>153.2876404128904</v>
      </c>
      <c r="T28" s="41">
        <v>12737.409570516293</v>
      </c>
      <c r="U28" s="42">
        <v>125.77817572780584</v>
      </c>
      <c r="V28" s="41">
        <v>12481.790238389998</v>
      </c>
      <c r="W28" s="42">
        <v>99.529318390335519</v>
      </c>
      <c r="X28" s="41">
        <v>12158.576667384768</v>
      </c>
      <c r="Y28" s="42">
        <v>75.172647794231423</v>
      </c>
      <c r="Z28" s="41">
        <v>11741.364136070484</v>
      </c>
      <c r="AA28" s="42">
        <v>53.49212518904362</v>
      </c>
      <c r="AB28" s="41">
        <v>11193.048461144925</v>
      </c>
      <c r="AC28" s="42">
        <v>35.336823668975654</v>
      </c>
      <c r="AD28" s="41">
        <v>10465.342997582278</v>
      </c>
      <c r="AE28" s="42">
        <v>21.38089860396817</v>
      </c>
      <c r="AF28" s="41">
        <v>9503.596923474257</v>
      </c>
      <c r="AG28" s="42">
        <v>11.764335506081043</v>
      </c>
      <c r="AH28" s="41">
        <v>8257.5629028465737</v>
      </c>
      <c r="AI28" s="42">
        <v>5.8929587897822326</v>
      </c>
      <c r="AJ28" s="41">
        <v>6692.1252940494114</v>
      </c>
      <c r="AK28" s="42">
        <v>2.6886155688772884</v>
      </c>
      <c r="AL28" s="41">
        <v>4791.3065623032016</v>
      </c>
      <c r="AM28" s="42">
        <v>1.0869220920218767</v>
      </c>
      <c r="AN28" s="41">
        <v>2556.0985735901731</v>
      </c>
      <c r="AO28" s="42">
        <v>0.33514151369470152</v>
      </c>
      <c r="AP28" s="41">
        <v>2069.9519076749871</v>
      </c>
      <c r="AQ28" s="42">
        <v>0.24418822079451075</v>
      </c>
      <c r="AR28" s="41">
        <v>1571.0989406395654</v>
      </c>
      <c r="AS28" s="42">
        <v>0.16700564863284986</v>
      </c>
      <c r="AT28" s="41">
        <v>1059.704921448518</v>
      </c>
      <c r="AU28" s="42">
        <v>0.10165864304997063</v>
      </c>
      <c r="AV28" s="41">
        <v>535.94426923893798</v>
      </c>
      <c r="AW28" s="42">
        <v>4.6472742329830861E-2</v>
      </c>
    </row>
    <row r="29" spans="1:49" x14ac:dyDescent="0.2">
      <c r="A29" t="s">
        <v>53</v>
      </c>
      <c r="B29" s="35">
        <v>14362.768558000025</v>
      </c>
      <c r="C29" s="36">
        <v>817.26650999999993</v>
      </c>
      <c r="D29" s="35">
        <v>14286.326530875285</v>
      </c>
      <c r="E29" s="36">
        <v>751.56714576949651</v>
      </c>
      <c r="F29" s="35">
        <v>14200.362267808823</v>
      </c>
      <c r="G29" s="36">
        <v>685.96217718676735</v>
      </c>
      <c r="H29" s="35">
        <v>14103.252556126201</v>
      </c>
      <c r="I29" s="36">
        <v>620.56259784895406</v>
      </c>
      <c r="J29" s="35">
        <v>13992.934078726415</v>
      </c>
      <c r="K29" s="36">
        <v>555.52781336280179</v>
      </c>
      <c r="L29" s="35">
        <v>13866.733748230852</v>
      </c>
      <c r="M29" s="36">
        <v>491.07861789808311</v>
      </c>
      <c r="N29" s="35">
        <v>13721.121424380824</v>
      </c>
      <c r="O29" s="36">
        <v>427.51951335565815</v>
      </c>
      <c r="P29" s="35">
        <v>13551.344417990145</v>
      </c>
      <c r="Q29" s="36">
        <v>365.26301620937079</v>
      </c>
      <c r="R29" s="35">
        <v>13350.869308466465</v>
      </c>
      <c r="S29" s="36">
        <v>304.8677277050748</v>
      </c>
      <c r="T29" s="35">
        <v>13110.537633952315</v>
      </c>
      <c r="U29" s="36">
        <v>247.07816955186536</v>
      </c>
      <c r="V29" s="35">
        <v>12817.292387111987</v>
      </c>
      <c r="W29" s="36">
        <v>192.87241430762268</v>
      </c>
      <c r="X29" s="35">
        <v>12452.338588897854</v>
      </c>
      <c r="Y29" s="36">
        <v>143.49108513939831</v>
      </c>
      <c r="Z29" s="35">
        <v>11988.775996911229</v>
      </c>
      <c r="AA29" s="36">
        <v>100.40001666701222</v>
      </c>
      <c r="AB29" s="35">
        <v>11389.419774484439</v>
      </c>
      <c r="AC29" s="36">
        <v>65.083569572456113</v>
      </c>
      <c r="AD29" s="35">
        <v>10606.960995186446</v>
      </c>
      <c r="AE29" s="36">
        <v>38.560837948770171</v>
      </c>
      <c r="AF29" s="35">
        <v>9589.6082592473922</v>
      </c>
      <c r="AG29" s="36">
        <v>20.736780645872322</v>
      </c>
      <c r="AH29" s="35">
        <v>8292.2354444249086</v>
      </c>
      <c r="AI29" s="36">
        <v>10.139555372760487</v>
      </c>
      <c r="AJ29" s="35">
        <v>6686.4004825298034</v>
      </c>
      <c r="AK29" s="36">
        <v>4.5142046853947617</v>
      </c>
      <c r="AL29" s="35">
        <v>4762.8856062257455</v>
      </c>
      <c r="AM29" s="36">
        <v>1.7817996027662768</v>
      </c>
      <c r="AN29" s="35">
        <v>2528.2856752559219</v>
      </c>
      <c r="AO29" s="36">
        <v>0.53705669703942072</v>
      </c>
      <c r="AP29" s="35">
        <v>2045.4314247358341</v>
      </c>
      <c r="AQ29" s="36">
        <v>0.38960255587392734</v>
      </c>
      <c r="AR29" s="35">
        <v>1550.9872286798641</v>
      </c>
      <c r="AS29" s="36">
        <v>0.26531501345457548</v>
      </c>
      <c r="AT29" s="35">
        <v>1045.1383334864458</v>
      </c>
      <c r="AU29" s="36">
        <v>0.16081906743937707</v>
      </c>
      <c r="AV29" s="35">
        <v>528.07659280617474</v>
      </c>
      <c r="AW29" s="36">
        <v>7.3212211778823727E-2</v>
      </c>
    </row>
    <row r="30" spans="1:49" x14ac:dyDescent="0.2">
      <c r="A30" t="s">
        <v>48</v>
      </c>
      <c r="B30" s="119">
        <v>2924829.9599999995</v>
      </c>
      <c r="D30" s="119">
        <v>2947979.5768507593</v>
      </c>
      <c r="F30" s="119">
        <v>2968623.6044056178</v>
      </c>
      <c r="H30" s="119">
        <v>2986370.5744748316</v>
      </c>
      <c r="J30" s="119">
        <v>3000752.0232434017</v>
      </c>
      <c r="L30" s="119">
        <v>3011198.6215345068</v>
      </c>
      <c r="N30" s="119">
        <v>3017002.6660359893</v>
      </c>
      <c r="P30" s="119">
        <v>3017260.3592575085</v>
      </c>
      <c r="R30" s="119">
        <v>3010774.3691175133</v>
      </c>
      <c r="T30" s="119">
        <v>2995894.8909677351</v>
      </c>
      <c r="V30" s="119">
        <v>2970242.8625645195</v>
      </c>
      <c r="X30" s="119">
        <v>2930237.9025035808</v>
      </c>
      <c r="Z30" s="119">
        <v>2870312.8933990304</v>
      </c>
      <c r="AB30" s="119">
        <v>2781743.5271636844</v>
      </c>
      <c r="AD30" s="119">
        <v>2651347.0725567141</v>
      </c>
      <c r="AF30" s="119">
        <v>2461081.3088579345</v>
      </c>
      <c r="AH30" s="119">
        <v>2190040.9199027801</v>
      </c>
      <c r="AJ30" s="119">
        <v>1818779.6579412769</v>
      </c>
      <c r="AL30" s="119">
        <v>1333402.3377475073</v>
      </c>
      <c r="AN30" s="119">
        <v>727208.39594677964</v>
      </c>
      <c r="AP30" s="119">
        <v>591358.81064040179</v>
      </c>
      <c r="AR30" s="119">
        <v>450678.47494061582</v>
      </c>
      <c r="AT30" s="119">
        <v>305199.09649980639</v>
      </c>
      <c r="AV30" s="119">
        <v>154958.47535301864</v>
      </c>
    </row>
    <row r="31" spans="1:49" x14ac:dyDescent="0.2">
      <c r="A31" t="s">
        <v>47</v>
      </c>
      <c r="B31" s="80">
        <v>1</v>
      </c>
      <c r="D31" s="80">
        <v>0.98882044448081396</v>
      </c>
      <c r="F31" s="80">
        <v>0.97684074451193714</v>
      </c>
      <c r="H31" s="80">
        <v>0.96394656607524687</v>
      </c>
      <c r="J31" s="80">
        <v>0.94999433536421962</v>
      </c>
      <c r="L31" s="80">
        <v>0.93480063032644056</v>
      </c>
      <c r="N31" s="80">
        <v>0.91812630149371532</v>
      </c>
      <c r="P31" s="80">
        <v>0.89965389413439645</v>
      </c>
      <c r="R31" s="80">
        <v>0.87895316124755041</v>
      </c>
      <c r="T31" s="80">
        <v>0.85543153220345425</v>
      </c>
      <c r="V31" s="80">
        <v>0.82826136345862544</v>
      </c>
      <c r="X31" s="80">
        <v>0.79628214512609585</v>
      </c>
      <c r="Z31" s="80">
        <v>0.75788938081632706</v>
      </c>
      <c r="AB31" s="80">
        <v>0.71096915920287274</v>
      </c>
      <c r="AD31" s="80">
        <v>0.65301719462545593</v>
      </c>
      <c r="AF31" s="80">
        <v>0.58159390477498374</v>
      </c>
      <c r="AH31" s="80">
        <v>0.49500546805729079</v>
      </c>
      <c r="AJ31" s="80">
        <v>0.39272848410246769</v>
      </c>
      <c r="AL31" s="80">
        <v>0.27529245946362185</v>
      </c>
      <c r="AN31" s="80">
        <v>0.1438850271556637</v>
      </c>
      <c r="AP31" s="80">
        <v>0.11605603656196964</v>
      </c>
      <c r="AR31" s="80">
        <v>8.7740381280134755E-2</v>
      </c>
      <c r="AT31" s="80">
        <v>5.8950735544617924E-2</v>
      </c>
      <c r="AV31" s="80">
        <v>2.9699741067582153E-2</v>
      </c>
    </row>
    <row r="32" spans="1:49" x14ac:dyDescent="0.2">
      <c r="A32" t="s">
        <v>64</v>
      </c>
      <c r="B32" s="86">
        <v>14734457.915000005</v>
      </c>
      <c r="D32" s="86">
        <v>14637966.842916114</v>
      </c>
      <c r="F32" s="86">
        <v>14530033.720457098</v>
      </c>
      <c r="H32" s="86">
        <v>14408988.681330418</v>
      </c>
      <c r="J32" s="86">
        <v>14272787.310330223</v>
      </c>
      <c r="L32" s="86">
        <v>14118874.453607194</v>
      </c>
      <c r="N32" s="86">
        <v>13943981.692708582</v>
      </c>
      <c r="P32" s="86">
        <v>13743827.415604904</v>
      </c>
      <c r="R32" s="86">
        <v>13512640.921305338</v>
      </c>
      <c r="T32" s="86">
        <v>13242432.722640757</v>
      </c>
      <c r="V32" s="86">
        <v>12921843.868642559</v>
      </c>
      <c r="X32" s="86">
        <v>12534397.906310132</v>
      </c>
      <c r="Z32" s="86">
        <v>12056037.564255098</v>
      </c>
      <c r="AB32" s="86">
        <v>11452335.16558215</v>
      </c>
      <c r="AD32" s="86">
        <v>10677117.775512338</v>
      </c>
      <c r="AF32" s="86">
        <v>9675871.3164256252</v>
      </c>
      <c r="AH32" s="86">
        <v>8395791.9464834295</v>
      </c>
      <c r="AJ32" s="86">
        <v>6797850.1876598289</v>
      </c>
      <c r="AL32" s="86">
        <v>4863219.1230212748</v>
      </c>
      <c r="AN32" s="86">
        <v>2592332.6753547299</v>
      </c>
      <c r="AP32" s="86">
        <v>2098920.4289623383</v>
      </c>
      <c r="AR32" s="86">
        <v>1592793.5208172407</v>
      </c>
      <c r="AT32" s="86">
        <v>1074134.6387327886</v>
      </c>
      <c r="AV32" s="86">
        <v>543136.28242615494</v>
      </c>
    </row>
    <row r="33" spans="1:49 16319:16321" x14ac:dyDescent="0.2">
      <c r="A33" t="s">
        <v>54</v>
      </c>
      <c r="B33" s="117">
        <v>7019665.6909999903</v>
      </c>
      <c r="D33" s="117">
        <v>6948613.8664403446</v>
      </c>
      <c r="F33" s="117">
        <v>6872249.4822502434</v>
      </c>
      <c r="H33" s="117">
        <v>6789813.5372257596</v>
      </c>
      <c r="J33" s="117">
        <v>6700368.8999795923</v>
      </c>
      <c r="L33" s="117">
        <v>6602735.0766348904</v>
      </c>
      <c r="N33" s="117">
        <v>6495389.7812120914</v>
      </c>
      <c r="P33" s="117">
        <v>6376325.1583958808</v>
      </c>
      <c r="R33" s="117">
        <v>6242821.7679580459</v>
      </c>
      <c r="T33" s="117">
        <v>6091111.1850109734</v>
      </c>
      <c r="V33" s="117">
        <v>5915854.8233740069</v>
      </c>
      <c r="X33" s="117">
        <v>5709385.8826496266</v>
      </c>
      <c r="Z33" s="117">
        <v>5460711.8458700618</v>
      </c>
      <c r="AB33" s="117">
        <v>5154551.67065793</v>
      </c>
      <c r="AD33" s="117">
        <v>4771291.2488633189</v>
      </c>
      <c r="AF33" s="117">
        <v>4289244.2053258317</v>
      </c>
      <c r="AH33" s="117">
        <v>3689439.1311390782</v>
      </c>
      <c r="AJ33" s="117">
        <v>2960221.3895105235</v>
      </c>
      <c r="AL33" s="117">
        <v>2098643.947913615</v>
      </c>
      <c r="AN33" s="117">
        <v>1108933.5145471497</v>
      </c>
      <c r="AP33" s="117">
        <v>896344.70017064875</v>
      </c>
      <c r="AR33" s="117">
        <v>679066.16539775254</v>
      </c>
      <c r="AT33" s="117">
        <v>457187.57837011223</v>
      </c>
      <c r="AV33" s="117">
        <v>230800.87714567751</v>
      </c>
    </row>
    <row r="34" spans="1:49 16319:16321" x14ac:dyDescent="0.2">
      <c r="A34" t="s">
        <v>75</v>
      </c>
      <c r="B34" s="117">
        <v>1136879.441000015</v>
      </c>
      <c r="D34" s="117">
        <v>1129434.565647936</v>
      </c>
      <c r="F34" s="117">
        <v>1121106.5089588498</v>
      </c>
      <c r="H34" s="117">
        <v>1111766.9338357064</v>
      </c>
      <c r="J34" s="117">
        <v>1101257.9212371921</v>
      </c>
      <c r="L34" s="117">
        <v>1089382.3387169626</v>
      </c>
      <c r="N34" s="117">
        <v>1075887.9769108417</v>
      </c>
      <c r="P34" s="117">
        <v>1060444.4433702338</v>
      </c>
      <c r="R34" s="117">
        <v>1042606.6225256503</v>
      </c>
      <c r="T34" s="117">
        <v>1021757.946191642</v>
      </c>
      <c r="V34" s="117">
        <v>997021.9983440754</v>
      </c>
      <c r="X34" s="117">
        <v>967127.49590720003</v>
      </c>
      <c r="Z34" s="117">
        <v>930218.21926133218</v>
      </c>
      <c r="AB34" s="117">
        <v>883637.83048636746</v>
      </c>
      <c r="AD34" s="117">
        <v>823823.69107744051</v>
      </c>
      <c r="AF34" s="117">
        <v>746569.65488281357</v>
      </c>
      <c r="AH34" s="117">
        <v>647801.45370275876</v>
      </c>
      <c r="AJ34" s="117">
        <v>524507.66541128163</v>
      </c>
      <c r="AL34" s="117">
        <v>375235.64623317192</v>
      </c>
      <c r="AN34" s="117">
        <v>200018.87672337156</v>
      </c>
      <c r="AP34" s="117">
        <v>161948.23753841227</v>
      </c>
      <c r="AR34" s="117">
        <v>122896.56050196997</v>
      </c>
      <c r="AT34" s="117">
        <v>82877.945273935373</v>
      </c>
      <c r="AV34" s="117">
        <v>41907.239527793208</v>
      </c>
    </row>
    <row r="35" spans="1:49 16319:16321" x14ac:dyDescent="0.2">
      <c r="A35" t="s">
        <v>78</v>
      </c>
      <c r="B35" s="233">
        <v>1</v>
      </c>
      <c r="D35" s="233">
        <v>1.0010701934899373</v>
      </c>
      <c r="F35" s="233">
        <v>1.002214273095223</v>
      </c>
      <c r="H35" s="233">
        <v>1.0034486749097238</v>
      </c>
      <c r="J35" s="233">
        <v>1.004796897897305</v>
      </c>
      <c r="L35" s="233">
        <v>1.0062923060521058</v>
      </c>
      <c r="N35" s="233">
        <v>1.0079823508556682</v>
      </c>
      <c r="P35" s="233">
        <v>1.0099344644224679</v>
      </c>
      <c r="R35" s="233">
        <v>1.0122445782411025</v>
      </c>
      <c r="T35" s="233">
        <v>1.0150488468972052</v>
      </c>
      <c r="V35" s="233">
        <v>1.0185391154644177</v>
      </c>
      <c r="X35" s="233">
        <v>1.0229800641675979</v>
      </c>
      <c r="Z35" s="233">
        <v>1.0287191477643176</v>
      </c>
      <c r="AB35" s="233">
        <v>1.0361650311042927</v>
      </c>
      <c r="AD35" s="233">
        <v>1.0456936050371402</v>
      </c>
      <c r="AF35" s="233">
        <v>1.0574668468898178</v>
      </c>
      <c r="AH35" s="233">
        <v>1.0712665322388619</v>
      </c>
      <c r="AJ35" s="233">
        <v>1.0865205506908497</v>
      </c>
      <c r="AL35" s="233">
        <v>1.1025219495426934</v>
      </c>
      <c r="AN35" s="233">
        <v>1.1186440869737369</v>
      </c>
      <c r="AP35" s="233">
        <v>1.1218399043735603</v>
      </c>
      <c r="AR35" s="233">
        <v>1.1250191273822556</v>
      </c>
      <c r="AT35" s="233">
        <v>1.1281792900242968</v>
      </c>
      <c r="AV35" s="233">
        <v>1.1313181862729131</v>
      </c>
    </row>
    <row r="36" spans="1:49 16319:16321" x14ac:dyDescent="0.2">
      <c r="A36" t="s">
        <v>21</v>
      </c>
      <c r="B36" s="37">
        <v>0.47195767671988198</v>
      </c>
      <c r="C36" s="38">
        <v>0.31738834428178964</v>
      </c>
      <c r="D36" s="37">
        <v>0.47198490671558024</v>
      </c>
      <c r="E36" s="38">
        <v>0.3193650343857013</v>
      </c>
      <c r="F36" s="37">
        <v>0.47201415911622979</v>
      </c>
      <c r="G36" s="38">
        <v>0.32147987642180126</v>
      </c>
      <c r="H36" s="37">
        <v>0.47204560909687521</v>
      </c>
      <c r="I36" s="38">
        <v>0.32374870071813028</v>
      </c>
      <c r="J36" s="37">
        <v>0.47207940481352295</v>
      </c>
      <c r="K36" s="38">
        <v>0.32619073586638109</v>
      </c>
      <c r="L36" s="37">
        <v>0.47211564734393879</v>
      </c>
      <c r="M36" s="38">
        <v>0.32882965740216591</v>
      </c>
      <c r="N36" s="37">
        <v>0.47215435109499693</v>
      </c>
      <c r="O36" s="38">
        <v>0.33169512805830315</v>
      </c>
      <c r="P36" s="37">
        <v>0.47219538126487037</v>
      </c>
      <c r="Q36" s="38">
        <v>0.33482479086653005</v>
      </c>
      <c r="R36" s="37">
        <v>0.47223836263801516</v>
      </c>
      <c r="S36" s="38">
        <v>0.33826709835713725</v>
      </c>
      <c r="T36" s="37">
        <v>0.47228254336902953</v>
      </c>
      <c r="U36" s="38">
        <v>0.34208473976061471</v>
      </c>
      <c r="V36" s="37">
        <v>0.47232660366772961</v>
      </c>
      <c r="W36" s="38">
        <v>0.34635867138848631</v>
      </c>
      <c r="X36" s="37">
        <v>0.47236842490370806</v>
      </c>
      <c r="Y36" s="38">
        <v>0.35119109072726645</v>
      </c>
      <c r="Z36" s="37">
        <v>0.47240491164538384</v>
      </c>
      <c r="AA36" s="38">
        <v>0.35670324988743635</v>
      </c>
      <c r="AB36" s="37">
        <v>0.47243213584948918</v>
      </c>
      <c r="AC36" s="38">
        <v>0.36301880667313646</v>
      </c>
      <c r="AD36" s="37">
        <v>0.47244626211657864</v>
      </c>
      <c r="AE36" s="38">
        <v>0.3702202943260261</v>
      </c>
      <c r="AF36" s="37">
        <v>0.47244540556197956</v>
      </c>
      <c r="AG36" s="38">
        <v>0.37828136354392394</v>
      </c>
      <c r="AH36" s="37">
        <v>0.47243121403967431</v>
      </c>
      <c r="AI36" s="38">
        <v>0.38701982231842363</v>
      </c>
      <c r="AJ36" s="37">
        <v>0.47240826526157176</v>
      </c>
      <c r="AK36" s="38">
        <v>0.39613049083580587</v>
      </c>
      <c r="AL36" s="37">
        <v>0.47238163604659328</v>
      </c>
      <c r="AM36" s="38">
        <v>0.40528196143966877</v>
      </c>
      <c r="AN36" s="37">
        <v>0.4723550186896413</v>
      </c>
      <c r="AO36" s="38">
        <v>0.414200375068078</v>
      </c>
      <c r="AP36" s="37">
        <v>0.47234989545698319</v>
      </c>
      <c r="AQ36" s="38">
        <v>0.41593831165083311</v>
      </c>
      <c r="AR36" s="37">
        <v>0.47234486391032426</v>
      </c>
      <c r="AS36" s="38">
        <v>0.41765826402835698</v>
      </c>
      <c r="AT36" s="37">
        <v>0.47233993086777915</v>
      </c>
      <c r="AU36" s="38">
        <v>0.41935933220520677</v>
      </c>
      <c r="AV36" s="37">
        <v>0.47233510161130743</v>
      </c>
      <c r="AW36" s="38">
        <v>0.42104074207629932</v>
      </c>
    </row>
    <row r="37" spans="1:49 16319:16321" x14ac:dyDescent="0.2">
      <c r="B37" s="39">
        <v>2.1403217525954466E-2</v>
      </c>
      <c r="C37" s="40">
        <v>0.3496246130199252</v>
      </c>
      <c r="D37" s="39">
        <v>2.0864340093782938E-2</v>
      </c>
      <c r="E37" s="40">
        <v>0.3464275761321518</v>
      </c>
      <c r="F37" s="39">
        <v>2.0320038087674731E-2</v>
      </c>
      <c r="G37" s="40">
        <v>0.3431819943571045</v>
      </c>
      <c r="H37" s="39">
        <v>1.9769807930090186E-2</v>
      </c>
      <c r="I37" s="40">
        <v>0.33988453937667179</v>
      </c>
      <c r="J37" s="39">
        <v>1.9212914798150391E-2</v>
      </c>
      <c r="K37" s="40">
        <v>0.336530485212092</v>
      </c>
      <c r="L37" s="39">
        <v>1.8648339127765898E-2</v>
      </c>
      <c r="M37" s="40">
        <v>0.33311336140055064</v>
      </c>
      <c r="N37" s="39">
        <v>1.8074691340635808E-2</v>
      </c>
      <c r="O37" s="40">
        <v>0.32962440844598589</v>
      </c>
      <c r="P37" s="39">
        <v>1.7490138522063946E-2</v>
      </c>
      <c r="Q37" s="40">
        <v>0.32605209703468502</v>
      </c>
      <c r="R37" s="39">
        <v>1.6892308934776896E-2</v>
      </c>
      <c r="S37" s="40">
        <v>0.32238150927004594</v>
      </c>
      <c r="T37" s="39">
        <v>1.627826972664E-2</v>
      </c>
      <c r="U37" s="40">
        <v>0.3185941703278154</v>
      </c>
      <c r="V37" s="39">
        <v>1.5644609475255176E-2</v>
      </c>
      <c r="W37" s="40">
        <v>0.31466855309815545</v>
      </c>
      <c r="X37" s="39">
        <v>1.4987866640396632E-2</v>
      </c>
      <c r="Y37" s="40">
        <v>0.31058279056538451</v>
      </c>
      <c r="Z37" s="39">
        <v>1.4305663624326417E-2</v>
      </c>
      <c r="AA37" s="40">
        <v>0.30632192699425365</v>
      </c>
      <c r="AB37" s="39">
        <v>1.3599064055498331E-2</v>
      </c>
      <c r="AC37" s="40">
        <v>0.30189307766077117</v>
      </c>
      <c r="AD37" s="39">
        <v>1.2876152167926699E-2</v>
      </c>
      <c r="AE37" s="40">
        <v>0.29734858888610699</v>
      </c>
      <c r="AF37" s="39">
        <v>1.2154743979832267E-2</v>
      </c>
      <c r="AG37" s="40">
        <v>0.29280383636818241</v>
      </c>
      <c r="AH37" s="39">
        <v>1.1460014843181383E-2</v>
      </c>
      <c r="AI37" s="40">
        <v>0.28842233151314584</v>
      </c>
      <c r="AJ37" s="39">
        <v>1.0816169990608273E-2</v>
      </c>
      <c r="AK37" s="40">
        <v>0.28436198651863431</v>
      </c>
      <c r="AL37" s="39">
        <v>1.0238574619159333E-2</v>
      </c>
      <c r="AM37" s="40">
        <v>0.28072373812481177</v>
      </c>
      <c r="AN37" s="39">
        <v>9.7319553295423123E-3</v>
      </c>
      <c r="AO37" s="40">
        <v>0.27753932187112146</v>
      </c>
      <c r="AP37" s="39">
        <v>9.6389714700801862E-3</v>
      </c>
      <c r="AQ37" s="40">
        <v>0.27695581346524589</v>
      </c>
      <c r="AR37" s="39">
        <v>9.5486660104234424E-3</v>
      </c>
      <c r="AS37" s="40">
        <v>0.27638944650842329</v>
      </c>
      <c r="AT37" s="39">
        <v>9.4609834440984465E-3</v>
      </c>
      <c r="AU37" s="40">
        <v>0.27583986370858676</v>
      </c>
      <c r="AV37" s="39">
        <v>9.3758640386050023E-3</v>
      </c>
      <c r="AW37" s="40">
        <v>0.27530667999088076</v>
      </c>
    </row>
    <row r="38" spans="1:49 16319:16321" x14ac:dyDescent="0.2">
      <c r="A38" t="s">
        <v>22</v>
      </c>
      <c r="B38" s="37">
        <v>0.18079094942242827</v>
      </c>
      <c r="C38" s="38">
        <v>6.0565413429233668E-2</v>
      </c>
      <c r="D38" s="37">
        <v>0.18095503506396537</v>
      </c>
      <c r="E38" s="38">
        <v>6.0810965753621715E-2</v>
      </c>
      <c r="F38" s="37">
        <v>0.18113076946117485</v>
      </c>
      <c r="G38" s="38">
        <v>6.1074184669334203E-2</v>
      </c>
      <c r="H38" s="37">
        <v>0.18131936185692668</v>
      </c>
      <c r="I38" s="38">
        <v>6.1357139160032846E-2</v>
      </c>
      <c r="J38" s="37">
        <v>0.18152231606645108</v>
      </c>
      <c r="K38" s="38">
        <v>6.1662311389591246E-2</v>
      </c>
      <c r="L38" s="37">
        <v>0.18174151587623499</v>
      </c>
      <c r="M38" s="38">
        <v>6.1992786945456749E-2</v>
      </c>
      <c r="N38" s="37">
        <v>0.18197936570764026</v>
      </c>
      <c r="O38" s="38">
        <v>6.2352407351091738E-2</v>
      </c>
      <c r="P38" s="37">
        <v>0.18223896438467388</v>
      </c>
      <c r="Q38" s="38">
        <v>6.2746122118229247E-2</v>
      </c>
      <c r="R38" s="37">
        <v>0.18252435533965586</v>
      </c>
      <c r="S38" s="38">
        <v>6.3180252375209911E-2</v>
      </c>
      <c r="T38" s="37">
        <v>0.18284080626615221</v>
      </c>
      <c r="U38" s="38">
        <v>6.3663058836756117E-2</v>
      </c>
      <c r="V38" s="37">
        <v>0.18319512651871628</v>
      </c>
      <c r="W38" s="38">
        <v>6.420521717688496E-2</v>
      </c>
      <c r="X38" s="37">
        <v>0.18359582626594073</v>
      </c>
      <c r="Y38" s="38">
        <v>6.482028141832652E-2</v>
      </c>
      <c r="Z38" s="37">
        <v>0.18405271471914883</v>
      </c>
      <c r="AA38" s="38">
        <v>6.5524411739064189E-2</v>
      </c>
      <c r="AB38" s="37">
        <v>0.18457507948912957</v>
      </c>
      <c r="AC38" s="38">
        <v>6.6334203329097521E-2</v>
      </c>
      <c r="AD38" s="37">
        <v>0.18516747852994619</v>
      </c>
      <c r="AE38" s="38">
        <v>6.7261006585903518E-2</v>
      </c>
      <c r="AF38" s="37">
        <v>0.18582390836559834</v>
      </c>
      <c r="AG38" s="38">
        <v>6.8301843047939848E-2</v>
      </c>
      <c r="AH38" s="37">
        <v>0.18652499231613598</v>
      </c>
      <c r="AI38" s="38">
        <v>6.9433161985452269E-2</v>
      </c>
      <c r="AJ38" s="37">
        <v>0.18724291636001811</v>
      </c>
      <c r="AK38" s="38">
        <v>7.061507529389649E-2</v>
      </c>
      <c r="AL38" s="37">
        <v>0.18795086493621593</v>
      </c>
      <c r="AM38" s="38">
        <v>7.1804101326226291E-2</v>
      </c>
      <c r="AN38" s="37">
        <v>0.18862938978368457</v>
      </c>
      <c r="AO38" s="38">
        <v>7.2964286948865739E-2</v>
      </c>
      <c r="AP38" s="37">
        <v>0.18876046272374691</v>
      </c>
      <c r="AQ38" s="38">
        <v>7.3190532599003336E-2</v>
      </c>
      <c r="AR38" s="37">
        <v>0.18888984497086167</v>
      </c>
      <c r="AS38" s="38">
        <v>7.3414476980551757E-2</v>
      </c>
      <c r="AT38" s="37">
        <v>0.18901749557696751</v>
      </c>
      <c r="AU38" s="38">
        <v>7.3636020935754928E-2</v>
      </c>
      <c r="AV38" s="37">
        <v>0.18914337988248917</v>
      </c>
      <c r="AW38" s="38">
        <v>7.3855038750772178E-2</v>
      </c>
    </row>
    <row r="39" spans="1:49 16319:16321" x14ac:dyDescent="0.2">
      <c r="A39" t="s">
        <v>23</v>
      </c>
      <c r="B39" s="39">
        <v>0.23064923795098771</v>
      </c>
      <c r="C39" s="40">
        <v>0.22092201281804777</v>
      </c>
      <c r="D39" s="39">
        <v>0.23093907849100498</v>
      </c>
      <c r="E39" s="40">
        <v>0.22185633644324043</v>
      </c>
      <c r="F39" s="39">
        <v>0.23124675931692443</v>
      </c>
      <c r="G39" s="40">
        <v>0.2228568631716315</v>
      </c>
      <c r="H39" s="39">
        <v>0.23157462362462861</v>
      </c>
      <c r="I39" s="40">
        <v>0.22393145682094961</v>
      </c>
      <c r="J39" s="39">
        <v>0.23192556333485245</v>
      </c>
      <c r="K39" s="40">
        <v>0.22508975168267994</v>
      </c>
      <c r="L39" s="39">
        <v>0.23230321348608599</v>
      </c>
      <c r="M39" s="40">
        <v>0.22634362300225558</v>
      </c>
      <c r="N39" s="39">
        <v>0.23271222763163804</v>
      </c>
      <c r="O39" s="40">
        <v>0.22770806422974185</v>
      </c>
      <c r="P39" s="39">
        <v>0.23315866377177169</v>
      </c>
      <c r="Q39" s="40">
        <v>0.22920212098783468</v>
      </c>
      <c r="R39" s="39">
        <v>0.23365053630172045</v>
      </c>
      <c r="S39" s="40">
        <v>0.2308505737814576</v>
      </c>
      <c r="T39" s="39">
        <v>0.23419856843324605</v>
      </c>
      <c r="U39" s="40">
        <v>0.23268568481475471</v>
      </c>
      <c r="V39" s="39">
        <v>0.23481716838664982</v>
      </c>
      <c r="W39" s="40">
        <v>0.23474963601132592</v>
      </c>
      <c r="X39" s="39">
        <v>0.23552548009968097</v>
      </c>
      <c r="Y39" s="40">
        <v>0.23709648383845425</v>
      </c>
      <c r="Z39" s="39">
        <v>0.23634791290721399</v>
      </c>
      <c r="AA39" s="40">
        <v>0.23979190532547504</v>
      </c>
      <c r="AB39" s="39">
        <v>0.23731255721946823</v>
      </c>
      <c r="AC39" s="40">
        <v>0.24290586729379982</v>
      </c>
      <c r="AD39" s="39">
        <v>0.23844479862332571</v>
      </c>
      <c r="AE39" s="40">
        <v>0.24649125414244974</v>
      </c>
      <c r="AF39" s="39">
        <v>0.23975501629242019</v>
      </c>
      <c r="AG39" s="40">
        <v>0.2505486532287069</v>
      </c>
      <c r="AH39" s="39">
        <v>0.24122665183207431</v>
      </c>
      <c r="AI39" s="40">
        <v>0.25499855289500611</v>
      </c>
      <c r="AJ39" s="39">
        <v>0.24281643555019605</v>
      </c>
      <c r="AK39" s="40">
        <v>0.25969308541457559</v>
      </c>
      <c r="AL39" s="39">
        <v>0.24446826907109268</v>
      </c>
      <c r="AM39" s="40">
        <v>0.2644630317316885</v>
      </c>
      <c r="AN39" s="39">
        <v>0.246129017771889</v>
      </c>
      <c r="AO39" s="40">
        <v>0.2691619943614551</v>
      </c>
      <c r="AP39" s="39">
        <v>0.24645835633501922</v>
      </c>
      <c r="AQ39" s="40">
        <v>0.2700833360383848</v>
      </c>
      <c r="AR39" s="39">
        <v>0.24678609252605516</v>
      </c>
      <c r="AS39" s="40">
        <v>0.27099695032260462</v>
      </c>
      <c r="AT39" s="39">
        <v>0.24711198523602323</v>
      </c>
      <c r="AU39" s="40">
        <v>0.27190226163456666</v>
      </c>
      <c r="AV39" s="39">
        <v>0.2474358201023415</v>
      </c>
      <c r="AW39" s="40">
        <v>0.27279882735185229</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0.11280327158059425</v>
      </c>
      <c r="E42" s="135"/>
      <c r="F42" s="177">
        <f>10.8%+(1-10.8%)*(1-SUM(F26:G26)/SUM($B$26:$C$26))</f>
        <v>0.11814808301611421</v>
      </c>
      <c r="G42" s="135"/>
      <c r="H42" s="177">
        <f>10.8%+(1-10.8%)*(1-SUM(H26:I26)/SUM($B$26:$C$26))</f>
        <v>0.12412996592067423</v>
      </c>
      <c r="I42" s="135"/>
      <c r="J42" s="177">
        <f>10.8%+(1-10.8%)*(1-SUM(J26:K26)/SUM($B$26:$C$26))</f>
        <v>0.1308702950244604</v>
      </c>
      <c r="K42" s="135"/>
      <c r="L42" s="177">
        <f>10.8%+(1-10.8%)*(1-SUM(L26:M26)/SUM($B$26:$C$26))</f>
        <v>0.13852648099201439</v>
      </c>
      <c r="M42" s="135"/>
      <c r="N42" s="177">
        <f>10.8%+(1-10.8%)*(1-SUM(N26:O26)/SUM($B$26:$C$26))</f>
        <v>0.14730675733251306</v>
      </c>
      <c r="O42" s="135"/>
      <c r="P42" s="177">
        <f>10.8%+(1-10.8%)*(1-SUM(P26:Q26)/SUM($B$26:$C$26))</f>
        <v>0.15749238340581914</v>
      </c>
      <c r="Q42" s="135"/>
      <c r="R42" s="177">
        <f>10.8%+(1-10.8%)*(1-SUM(R26:S26)/SUM($B$26:$C$26))</f>
        <v>0.16947170549434606</v>
      </c>
      <c r="S42" s="135"/>
      <c r="T42" s="177">
        <f>10.8%+(1-10.8%)*(1-SUM(T26:U26)/SUM($B$26:$C$26))</f>
        <v>0.18379259543781384</v>
      </c>
      <c r="U42" s="135"/>
      <c r="V42" s="177">
        <f>10.8%+(1-10.8%)*(1-SUM(V26:W26)/SUM($B$26:$C$26))</f>
        <v>0.20124260786121889</v>
      </c>
      <c r="W42" s="135"/>
      <c r="X42" s="177">
        <f>10.8%+(1-10.8%)*(1-SUM(X26:Y26)/SUM($B$26:$C$26))</f>
        <v>0.22296754433154103</v>
      </c>
      <c r="Y42" s="162"/>
      <c r="Z42" s="177">
        <f>10.8%+(1-10.8%)*(1-SUM(Z26:AA26)/SUM($B$26:$C$26))</f>
        <v>0.25062980349862363</v>
      </c>
      <c r="AA42" s="135"/>
      <c r="AB42" s="177">
        <f>10.8%+(1-10.8%)*(1-SUM(AB26:AC26)/SUM($B$26:$C$26))</f>
        <v>0.28656802258346881</v>
      </c>
      <c r="AC42" s="135"/>
      <c r="AD42" s="177">
        <f>10.8%+(1-10.8%)*(1-SUM(AD26:AE26)/SUM($B$26:$C$26))</f>
        <v>0.33382723798842279</v>
      </c>
      <c r="AE42" s="135"/>
      <c r="AF42" s="177">
        <f>10.8%+(1-10.8%)*(1-SUM(AF26:AG26)/SUM($B$26:$C$26))</f>
        <v>0.39584864588926794</v>
      </c>
      <c r="AG42" s="135"/>
      <c r="AH42" s="177">
        <f>10.8%+(1-10.8%)*(1-SUM(AH26:AI26)/SUM($B$26:$C$26))</f>
        <v>0.47577479009449131</v>
      </c>
      <c r="AI42" s="135"/>
      <c r="AJ42" s="177">
        <f>10.8%+(1-10.8%)*(1-SUM(AJ26:AK26)/SUM($B$26:$C$26))</f>
        <v>0.57575683432098301</v>
      </c>
      <c r="AK42" s="135"/>
      <c r="AL42" s="177">
        <f>10.8%+(1-10.8%)*(1-SUM(AL26:AM26)/SUM($B$26:$C$26))</f>
        <v>0.69670301697432013</v>
      </c>
      <c r="AM42" s="135"/>
      <c r="AN42" s="177">
        <f>10.8%+(1-10.8%)*(1-SUM(AN26:AO26)/SUM($B$26:$C$26))</f>
        <v>0.83843619210331188</v>
      </c>
      <c r="AO42" s="135"/>
      <c r="AP42" s="177">
        <f>10.8%+(1-10.8%)*(1-SUM(AP26:AQ26)/SUM($B$26:$C$26))</f>
        <v>0.86920320732467549</v>
      </c>
      <c r="AQ42" s="135"/>
      <c r="AR42" s="177">
        <f>10.8%+(1-10.8%)*(1-SUM(AR26:AS26)/SUM($B$26:$C$26))</f>
        <v>0.90075447073800297</v>
      </c>
      <c r="AS42" s="135"/>
      <c r="AT42" s="177">
        <f>10.8%+(1-10.8%)*(1-SUM(AT26:AU26)/SUM($B$26:$C$26))</f>
        <v>0.93307886904158066</v>
      </c>
      <c r="AU42" s="135"/>
      <c r="AV42" s="177">
        <f>10.8%+(1-10.8%)*(1-SUM(AV26:AW26)/SUM($B$26:$C$26))</f>
        <v>0.96616475861193019</v>
      </c>
    </row>
    <row r="43" spans="1:49 16319:16321" x14ac:dyDescent="0.2">
      <c r="A43" t="s">
        <v>108</v>
      </c>
      <c r="B43" s="162">
        <f>SUM(B15:C15*B27:C27)/SUM(B15:C15*B27:C27,B13:C13*B26:C26)</f>
        <v>0.56058995943839207</v>
      </c>
      <c r="C43" s="135"/>
      <c r="D43" s="162">
        <f t="array" ref="D43">SUM(D15:E15*D27:E27)/SUM(D15:E15*D27:E27,D13:E13*D26:E26)</f>
        <v>0.56655026363575367</v>
      </c>
      <c r="E43" s="135"/>
      <c r="F43" s="162">
        <f t="array" ref="F43">SUM(F15:G15*F27:G27)/SUM(F15:G15*F27:G27,F13:G13*F26:G26)</f>
        <v>0.5658865663625906</v>
      </c>
      <c r="G43" s="135"/>
      <c r="H43" s="162">
        <f t="array" ref="H43">SUM(H15:I15*H27:I27)/SUM(H15:I15*H27:I27,H13:I13*H26:I26)</f>
        <v>0.565207577079058</v>
      </c>
      <c r="I43" s="135"/>
      <c r="J43" s="162">
        <f t="array" ref="J43">SUM(J15:K15*J27:K27)/SUM(J15:K15*J27:K27,J13:K13*J26:K26)</f>
        <v>0.56451130620237366</v>
      </c>
      <c r="K43" s="135"/>
      <c r="L43" s="162">
        <f t="array" ref="L43">SUM(L15:M15*L27:M27)/SUM(L15:M15*L27:M27,L13:M13*L26:M26)</f>
        <v>0.5637955716744808</v>
      </c>
      <c r="M43" s="135"/>
      <c r="N43" s="162">
        <f t="array" ref="N43">SUM(N15:O15*N27:O27)/SUM(N15:O15*N27:O27,N13:O13*N26:O26)</f>
        <v>0.56305797117575374</v>
      </c>
      <c r="O43" s="135"/>
      <c r="P43" s="162">
        <f t="array" ref="P43">SUM(P15:Q15*P27:Q27)/SUM(P15:Q15*P27:Q27,P13:Q13*P26:Q26)</f>
        <v>0.56229572736601574</v>
      </c>
      <c r="Q43" s="135"/>
      <c r="R43" s="162">
        <f t="array" ref="R43">SUM(R15:S15*R27:S27)/SUM(R15:S15*R27:S27,R13:S13*R26:S26)</f>
        <v>0.56150552025847589</v>
      </c>
      <c r="S43" s="135"/>
      <c r="T43" s="162">
        <f t="array" ref="T43">SUM(T15:U15*T27:U27)/SUM(T15:U15*T27:U27,T13:U13*T26:U26)</f>
        <v>0.56068303300822842</v>
      </c>
      <c r="U43" s="135"/>
      <c r="V43" s="162">
        <f t="array" ref="V43">SUM(V15:W15*V27:W27)/SUM(V15:W15*V27:W27,V13:W13*V26:W26)</f>
        <v>0.55982223253981866</v>
      </c>
      <c r="W43" s="135"/>
      <c r="X43" s="162">
        <f t="array" ref="X43">SUM(X15:Y15*X27:Y27)/SUM(X15:Y15*X27:Y27,X13:Y13*X26:Y26)</f>
        <v>0.55891404813920997</v>
      </c>
      <c r="Y43" s="135"/>
      <c r="Z43" s="162">
        <f t="array" ref="Z43">SUM(Z15:AA15*Z27:AA27)/SUM(Z15:AA15*Z27:AA27,Z13:AA13*Z26:AA26)</f>
        <v>0.55794429769897003</v>
      </c>
      <c r="AA43" s="135"/>
      <c r="AB43" s="162">
        <f t="array" ref="AB43">SUM(AB15:AC15*AB27:AC27)/SUM(AB15:AC15*AB27:AC27,AB13:AC13*AB26:AC26)</f>
        <v>0.55689112599277568</v>
      </c>
      <c r="AC43" s="135"/>
      <c r="AD43" s="162">
        <f t="array" ref="AD43">SUM(AD15:AE15*AD27:AE27)/SUM(AD15:AE15*AD27:AE27,AD13:AE13*AD26:AE26)</f>
        <v>0.55572400040546299</v>
      </c>
      <c r="AE43" s="135"/>
      <c r="AF43" s="162">
        <f t="array" ref="AF43">SUM(AF15:AG15*AF27:AG27)/SUM(AF15:AG15*AF27:AG27,AF13:AG13*AF26:AG26)</f>
        <v>0.55440905747719871</v>
      </c>
      <c r="AG43" s="135"/>
      <c r="AH43" s="162">
        <f t="array" ref="AH43">SUM(AH15:AI15*AH27:AI27)/SUM(AH15:AI15*AH27:AI27,AH13:AI13*AH26:AI26)</f>
        <v>0.5529239556793395</v>
      </c>
      <c r="AI43" s="135"/>
      <c r="AJ43" s="162">
        <f t="array" ref="AJ43">SUM(AJ15:AK15*AJ27:AK27)/SUM(AJ15:AK15*AJ27:AK27,AJ13:AK13*AJ26:AK26)</f>
        <v>0.55127417717228788</v>
      </c>
      <c r="AK43" s="135"/>
      <c r="AL43" s="162">
        <f t="array" ref="AL43">SUM(AL15:AM15*AL27:AM27)/SUM(AL15:AM15*AL27:AM27,AL13:AM13*AL26:AM26)</f>
        <v>0.5494957915109292</v>
      </c>
      <c r="AM43" s="135"/>
      <c r="AN43" s="162">
        <f t="array" ref="AN43">SUM(AN15:AO15*AN27:AO27)/SUM(AN15:AO15*AN27:AO27,AN13:AO13*AN26:AO26)</f>
        <v>0.54764261462635921</v>
      </c>
      <c r="AO43" s="135"/>
      <c r="AP43" s="162">
        <f t="array" ref="AP43">SUM(AP15:AQ15*AP27:AQ27)/SUM(AP15:AQ15*AP27:AQ27,AP13:AQ13*AP26:AQ26)</f>
        <v>0.54726796468454597</v>
      </c>
      <c r="AQ43" s="135"/>
      <c r="AR43" s="162">
        <f t="array" ref="AR43">SUM(AR15:AS15*AR27:AS27)/SUM(AR15:AS15*AR27:AS27,AR13:AS13*AR26:AS26)</f>
        <v>0.54689295762223833</v>
      </c>
      <c r="AS43" s="135"/>
      <c r="AT43" s="162">
        <f t="array" ref="AT43">SUM(AT15:AU15*AT27:AU27)/SUM(AT15:AU15*AT27:AU27,AT13:AU13*AT26:AU26)</f>
        <v>0.54651797510184419</v>
      </c>
      <c r="AU43" s="135"/>
      <c r="AV43" s="162">
        <f t="array" ref="AV43">SUM(AV15:AW15*AV27:AW27)/SUM(AV15:AW15*AV27:AW27,AV13:AW13*AV26:AW26)</f>
        <v>0.5461433859786734</v>
      </c>
    </row>
    <row r="44" spans="1:49 16319:16321" x14ac:dyDescent="0.2">
      <c r="A44" t="s">
        <v>142</v>
      </c>
      <c r="B44" s="193">
        <f>(SUM(B11:C11*B24:C24)+B34)/B32</f>
        <v>0.29754226190682459</v>
      </c>
      <c r="D44" s="193">
        <f>(SUM(D11:E11*D24:E24)+D34)/D32</f>
        <v>0.29925577616775245</v>
      </c>
      <c r="F44" s="193">
        <f>(SUM(F11:G11*F24:G24)+F34)/F32</f>
        <v>0.30098521088406932</v>
      </c>
      <c r="H44" s="193">
        <f>(SUM(H11:I11*H24:I24)+H34)/H32</f>
        <v>0.3027331090023036</v>
      </c>
      <c r="J44" s="193">
        <f>(SUM(J11:K11*J24:K24)+J34)/J32</f>
        <v>0.30450317207134536</v>
      </c>
      <c r="L44" s="193">
        <f>(SUM(L11:M11*L24:M24)+L34)/L32</f>
        <v>0.30630071881600268</v>
      </c>
      <c r="N44" s="193">
        <f>(SUM(N11:O11*N24:O24)+N34)/N32</f>
        <v>0.30813349214239294</v>
      </c>
      <c r="P44" s="193">
        <f>(SUM(P11:Q11*P24:Q24)+P34)/P32</f>
        <v>0.3100127864589835</v>
      </c>
      <c r="R44" s="193">
        <f>(SUM(R11:S11*R24:S24)+R34)/R32</f>
        <v>0.31195515251189554</v>
      </c>
      <c r="T44" s="193">
        <f>(SUM(T11:U11*T24:U24)+T34)/T32</f>
        <v>0.31398459547151397</v>
      </c>
      <c r="V44" s="193">
        <f>(SUM(V11:W11*V24:W24)+V34)/V32</f>
        <v>0.31613563236907866</v>
      </c>
      <c r="X44" s="193">
        <f>(SUM(X11:Y11*X24:Y24)+X34)/X32</f>
        <v>0.31845637742434552</v>
      </c>
      <c r="Z44" s="193">
        <f>(SUM(Z11:AA11*Z24:AA24)+Z34)/Z32</f>
        <v>0.32100963225044155</v>
      </c>
      <c r="AB44" s="193">
        <f>(SUM(AB11:AC11*AB24:AC24)+AB34)/AB32</f>
        <v>0.32386640311501413</v>
      </c>
      <c r="AD44" s="193">
        <f>(SUM(AD11:AE11*AD24:AE24)+AD34)/AD32</f>
        <v>0.32708308096184902</v>
      </c>
      <c r="AF44" s="193">
        <f>(SUM(AF11:AG11*AF24:AG24)+AF34)/AF32</f>
        <v>0.3306609833407646</v>
      </c>
      <c r="AH44" s="193">
        <f>(SUM(AH11:AI11*AH24:AI24)+AH34)/AH32</f>
        <v>0.33451471039674241</v>
      </c>
      <c r="AJ44" s="193">
        <f>(SUM(AJ11:AK11*AJ24:AK24)+AJ34)/AJ32</f>
        <v>0.33848944894494082</v>
      </c>
      <c r="AL44" s="193">
        <f>(SUM(AL11:AM11*AL24:AM24)+AL34)/AL32</f>
        <v>0.342419888608479</v>
      </c>
      <c r="AN44" s="193">
        <f>(SUM(AN11:AO11*AN24:AO24)+AN34)/AN32</f>
        <v>0.34617941096333338</v>
      </c>
      <c r="AP44" s="193">
        <f>(SUM(AP11:AQ11*AP24:AQ24)+AP34)/AP32</f>
        <v>0.3469034471697372</v>
      </c>
      <c r="AR44" s="193">
        <f>(SUM(AR11:AS11*AR24:AS24)+AR34)/AR32</f>
        <v>0.34761720094131021</v>
      </c>
      <c r="AT44" s="193">
        <f>(SUM(AT11:AU11*AT24:AU24)+AT34)/AT32</f>
        <v>0.3483203954090387</v>
      </c>
      <c r="AV44" s="193">
        <f>(SUM(AV11:AW11*AV24:AW24)+AV34)/AV32</f>
        <v>0.34901279146746461</v>
      </c>
    </row>
    <row r="45" spans="1:49 16319:16321" x14ac:dyDescent="0.2">
      <c r="A45" t="s">
        <v>82</v>
      </c>
      <c r="B45" s="193">
        <f>SUM(B11:C11*B24:C24)/B32</f>
        <v>0.22038438833194082</v>
      </c>
      <c r="D45" s="193">
        <f>SUM(D11:E11*D24:E24)/D32</f>
        <v>0.22209789093900473</v>
      </c>
      <c r="F45" s="193">
        <f>SUM(F11:G11*F24:G24)/F32</f>
        <v>0.22382733702583982</v>
      </c>
      <c r="H45" s="193">
        <f>SUM(H11:I11*H24:I24)/H32</f>
        <v>0.22557523495412618</v>
      </c>
      <c r="J45" s="193">
        <f>SUM(J11:K11*J24:K24)/J32</f>
        <v>0.22734529832932343</v>
      </c>
      <c r="L45" s="193">
        <f>SUM(L11:M11*L24:M24)/L32</f>
        <v>0.22914284463158854</v>
      </c>
      <c r="N45" s="193">
        <f>SUM(N11:O11*N24:O24)/N32</f>
        <v>0.23097561854353191</v>
      </c>
      <c r="P45" s="193">
        <f>SUM(P11:Q11*P24:Q24)/P32</f>
        <v>0.23285491687120091</v>
      </c>
      <c r="R45" s="193">
        <f>SUM(R11:S11*R24:S24)/R32</f>
        <v>0.23479728022049351</v>
      </c>
      <c r="T45" s="193">
        <f>SUM(T11:U11*T24:U24)/T32</f>
        <v>0.23682672217194045</v>
      </c>
      <c r="V45" s="193">
        <f>SUM(V11:W11*V24:W24)/V32</f>
        <v>0.23897775857959966</v>
      </c>
      <c r="X45" s="193">
        <f>SUM(X11:Y11*X24:Y24)/X32</f>
        <v>0.24129850329779307</v>
      </c>
      <c r="Z45" s="193">
        <f>SUM(Z11:AA11*Z24:AA24)/Z32</f>
        <v>0.24385175891904676</v>
      </c>
      <c r="AB45" s="193">
        <f>SUM(AB11:AC11*AB24:AC24)/AB32</f>
        <v>0.24670852939665006</v>
      </c>
      <c r="AD45" s="193">
        <f>SUM(AD11:AE11*AD24:AE24)/AD32</f>
        <v>0.24992520854736122</v>
      </c>
      <c r="AF45" s="193">
        <f>SUM(AF11:AG11*AF24:AG24)/AF32</f>
        <v>0.25350310985649782</v>
      </c>
      <c r="AH45" s="193">
        <f>SUM(AH11:AI11*AH24:AI24)/AH32</f>
        <v>0.25735683680578358</v>
      </c>
      <c r="AJ45" s="193">
        <f>SUM(AJ11:AK11*AJ24:AK24)/AJ32</f>
        <v>0.2613315753625805</v>
      </c>
      <c r="AL45" s="193">
        <f>SUM(AL11:AM11*AL24:AM24)/AL32</f>
        <v>0.26526201503932406</v>
      </c>
      <c r="AN45" s="193">
        <f>SUM(AN11:AO11*AN24:AO24)/AN32</f>
        <v>0.26902153742921942</v>
      </c>
      <c r="AP45" s="193">
        <f>SUM(AP11:AQ11*AP24:AQ24)/AP32</f>
        <v>0.26974557338674859</v>
      </c>
      <c r="AR45" s="193">
        <f>SUM(AR11:AS11*AR24:AS24)/AR32</f>
        <v>0.270459327748234</v>
      </c>
      <c r="AT45" s="193">
        <f>SUM(AT11:AU11*AT24:AU24)/AT32</f>
        <v>0.27116252126049556</v>
      </c>
      <c r="AV45" s="193">
        <f>SUM(AV11:AW11*AV24:AW24)/AV32</f>
        <v>0.27185491989129917</v>
      </c>
      <c r="XCQ45" s="193"/>
    </row>
    <row r="46" spans="1:49 16319:16321" x14ac:dyDescent="0.2">
      <c r="A46" t="s">
        <v>139</v>
      </c>
      <c r="B46" s="193">
        <f>B34/B32</f>
        <v>7.7157873574883712E-2</v>
      </c>
      <c r="D46" s="193">
        <f>D34/D32</f>
        <v>7.7157885228747711E-2</v>
      </c>
      <c r="F46" s="193">
        <f>F34/F32</f>
        <v>7.7157873858229503E-2</v>
      </c>
      <c r="H46" s="193">
        <f>H34/H32</f>
        <v>7.7157874048177422E-2</v>
      </c>
      <c r="J46" s="193">
        <f>J34/J32</f>
        <v>7.7157873742021932E-2</v>
      </c>
      <c r="L46" s="193">
        <f>L34/L32</f>
        <v>7.7157874184414124E-2</v>
      </c>
      <c r="N46" s="193">
        <f>N34/N32</f>
        <v>7.7157873598861074E-2</v>
      </c>
      <c r="P46" s="193">
        <f>P34/P32</f>
        <v>7.7157869587782549E-2</v>
      </c>
      <c r="R46" s="193">
        <f>R34/R32</f>
        <v>7.715787229140203E-2</v>
      </c>
      <c r="T46" s="193">
        <f>T34/T32</f>
        <v>7.7157873299573521E-2</v>
      </c>
      <c r="V46" s="193">
        <f>V34/V32</f>
        <v>7.7157873789478984E-2</v>
      </c>
      <c r="X46" s="193">
        <f>X34/X32</f>
        <v>7.7157874126552478E-2</v>
      </c>
      <c r="Z46" s="193">
        <f>Z34/Z32</f>
        <v>7.7157873331394788E-2</v>
      </c>
      <c r="AB46" s="193">
        <f>AB34/AB32</f>
        <v>7.7157873718364051E-2</v>
      </c>
      <c r="AD46" s="193">
        <f>AD34/AD32</f>
        <v>7.715787241448778E-2</v>
      </c>
      <c r="AF46" s="193">
        <f>AF34/AF32</f>
        <v>7.7157873484266712E-2</v>
      </c>
      <c r="AH46" s="193">
        <f>AH34/AH32</f>
        <v>7.7157873590958839E-2</v>
      </c>
      <c r="AJ46" s="193">
        <f>AJ34/AJ32</f>
        <v>7.7157873582360342E-2</v>
      </c>
      <c r="AL46" s="193">
        <f>AL34/AL32</f>
        <v>7.7157873569154906E-2</v>
      </c>
      <c r="AN46" s="193">
        <f>AN34/AN32</f>
        <v>7.7157873534113963E-2</v>
      </c>
      <c r="AP46" s="193">
        <f>AP34/AP32</f>
        <v>7.7157873782988551E-2</v>
      </c>
      <c r="AR46" s="193">
        <f>AR34/AR32</f>
        <v>7.7157873193076154E-2</v>
      </c>
      <c r="AT46" s="193">
        <f>AT34/AT32</f>
        <v>7.7157874148543151E-2</v>
      </c>
      <c r="AV46" s="193">
        <f>AV34/AV32</f>
        <v>7.7157871576165479E-2</v>
      </c>
      <c r="XCS46" s="193"/>
    </row>
    <row r="48" spans="1:49 16319:16321" x14ac:dyDescent="0.2">
      <c r="A48" t="s">
        <v>159</v>
      </c>
      <c r="B48" s="191">
        <f>B24/$B$24</f>
        <v>1</v>
      </c>
      <c r="C48" s="191"/>
      <c r="D48" s="191">
        <f>D24/$B$24</f>
        <v>1.0029150946217944</v>
      </c>
      <c r="E48" s="191"/>
      <c r="F48" s="191">
        <f>F24/$B$24</f>
        <v>1.0051055927276442</v>
      </c>
      <c r="G48" s="191"/>
      <c r="H48" s="191">
        <f>H24/$B$24</f>
        <v>1.0064469952181219</v>
      </c>
      <c r="I48" s="191"/>
      <c r="J48" s="191">
        <f>J24/$B$24</f>
        <v>1.0067857769285573</v>
      </c>
      <c r="K48" s="191"/>
      <c r="L48" s="191">
        <f>L24/$B$24</f>
        <v>1.0059282299910193</v>
      </c>
      <c r="M48" s="191"/>
      <c r="N48" s="191">
        <f>N24/$B$24</f>
        <v>1.0036248181620424</v>
      </c>
      <c r="O48" s="191"/>
      <c r="P48" s="191">
        <f>P24/$B$24</f>
        <v>0.99954641248470533</v>
      </c>
      <c r="Q48" s="191"/>
      <c r="R48" s="191">
        <f>R24/$B$24</f>
        <v>0.99324658111217334</v>
      </c>
      <c r="S48" s="191"/>
      <c r="T48" s="191">
        <f>T24/$B$24</f>
        <v>0.98410174200586953</v>
      </c>
      <c r="U48" s="191"/>
      <c r="V48" s="191">
        <f>V24/$B$24</f>
        <v>0.9712150754806359</v>
      </c>
      <c r="W48" s="191"/>
      <c r="X48" s="191">
        <f>X24/$B$24</f>
        <v>0.95326388500013193</v>
      </c>
      <c r="Y48" s="191"/>
      <c r="Z48" s="191">
        <f>Z24/$B$24</f>
        <v>0.92827068077361763</v>
      </c>
      <c r="AA48" s="191"/>
      <c r="AB48" s="191">
        <f>AB24/$B$24</f>
        <v>0.89331067373489792</v>
      </c>
      <c r="AC48" s="191"/>
      <c r="AD48" s="191">
        <f>AD24/$B$24</f>
        <v>0.84428026916220755</v>
      </c>
      <c r="AE48" s="191"/>
      <c r="AF48" s="191">
        <f>AF24/$B$24</f>
        <v>0.77602889488566751</v>
      </c>
      <c r="AG48" s="191"/>
      <c r="AH48" s="191">
        <f>AH24/$B$24</f>
        <v>0.68312811611739643</v>
      </c>
      <c r="AI48" s="191"/>
      <c r="AJ48" s="191">
        <f>AJ24/$B$24</f>
        <v>0.56102146956064403</v>
      </c>
      <c r="AK48" s="191"/>
      <c r="AL48" s="191">
        <f>AL24/$B$24</f>
        <v>0.40685646932628422</v>
      </c>
      <c r="AM48" s="191"/>
      <c r="AN48" s="191">
        <f>AN24/$B$24</f>
        <v>0.21965416037213792</v>
      </c>
      <c r="AO48" s="191"/>
      <c r="AP48" s="191">
        <f>AP24/$B$24</f>
        <v>0.17827864677825028</v>
      </c>
      <c r="AQ48" s="191"/>
      <c r="AR48" s="191">
        <f>AR24/$B$24</f>
        <v>0.13561245969120003</v>
      </c>
      <c r="AS48" s="191"/>
      <c r="AT48" s="191">
        <f>AT24/$B$24</f>
        <v>9.1667958673455147E-2</v>
      </c>
      <c r="AU48" s="191"/>
      <c r="AV48" s="191">
        <f>AV24/$B$24</f>
        <v>4.6458828088074666E-2</v>
      </c>
    </row>
    <row r="49" spans="1:48 16321:16384" x14ac:dyDescent="0.2">
      <c r="A49" t="s">
        <v>160</v>
      </c>
      <c r="B49" s="191">
        <f>B13/B35/$B$13*$B$35</f>
        <v>1</v>
      </c>
      <c r="C49" s="191"/>
      <c r="D49" s="191">
        <f>D13/D35/$B$13*$B$35</f>
        <v>0.99565811967878926</v>
      </c>
      <c r="E49" s="191"/>
      <c r="F49" s="191">
        <f>F13/F35/$B$13*$B$35</f>
        <v>0.9910594532888185</v>
      </c>
      <c r="G49" s="191"/>
      <c r="H49" s="191">
        <f>H13/H35/$B$13*$B$35</f>
        <v>0.98617664560045915</v>
      </c>
      <c r="I49" s="191"/>
      <c r="J49" s="191">
        <f>J13/J35/$B$13*$B$35</f>
        <v>0.98097574192272807</v>
      </c>
      <c r="K49" s="191"/>
      <c r="L49" s="191">
        <f>L13/L35/$B$13*$B$35</f>
        <v>0.97541425628702627</v>
      </c>
      <c r="M49" s="191"/>
      <c r="N49" s="191">
        <f>N13/N35/$B$13*$B$35</f>
        <v>0.96943815371230979</v>
      </c>
      <c r="O49" s="191"/>
      <c r="P49" s="191">
        <f>P13/P35/$B$13*$B$35</f>
        <v>0.96297814548028426</v>
      </c>
      <c r="Q49" s="191"/>
      <c r="R49" s="191">
        <f>R13/R35/$B$13*$B$35</f>
        <v>0.95594445384507165</v>
      </c>
      <c r="S49" s="191"/>
      <c r="T49" s="191">
        <f>T13/T35/$B$13*$B$35</f>
        <v>0.94822101253010171</v>
      </c>
      <c r="U49" s="191"/>
      <c r="V49" s="191">
        <f>V13/V35/$B$13*$B$35</f>
        <v>0.93965922495263476</v>
      </c>
      <c r="W49" s="191"/>
      <c r="X49" s="191">
        <f>X13/X35/$B$13*$B$35</f>
        <v>0.93007551208251393</v>
      </c>
      <c r="Y49" s="191"/>
      <c r="Z49" s="191">
        <f>Z13/Z35/$B$13*$B$35</f>
        <v>0.91926156983977947</v>
      </c>
      <c r="AA49" s="191"/>
      <c r="AB49" s="191">
        <f>AB13/AB35/$B$13*$B$35</f>
        <v>0.9070257207362008</v>
      </c>
      <c r="AC49" s="191"/>
      <c r="AD49" s="191">
        <f>AD13/AD35/$B$13*$B$35</f>
        <v>0.89328532816560169</v>
      </c>
      <c r="AE49" s="191"/>
      <c r="AF49" s="191">
        <f>AF13/AF35/$B$13*$B$35</f>
        <v>0.87819196571988678</v>
      </c>
      <c r="AG49" s="191"/>
      <c r="AH49" s="191">
        <f>AH13/AH35/$B$13*$B$35</f>
        <v>0.86218851385860351</v>
      </c>
      <c r="AI49" s="191"/>
      <c r="AJ49" s="191">
        <f>AJ13/AJ35/$B$13*$B$35</f>
        <v>0.84589891017693364</v>
      </c>
      <c r="AK49" s="191"/>
      <c r="AL49" s="191">
        <f>AL13/AL35/$B$13*$B$35</f>
        <v>0.82992262906142567</v>
      </c>
      <c r="AM49" s="191"/>
      <c r="AN49" s="191">
        <f>AN13/AN35/$B$13*$B$35</f>
        <v>0.81469560574489652</v>
      </c>
      <c r="AO49" s="191"/>
      <c r="AP49" s="191">
        <f>AP13/AP35/$B$13*$B$35</f>
        <v>0.81176485264928355</v>
      </c>
      <c r="AQ49" s="191"/>
      <c r="AR49" s="191">
        <f>AR13/AR35/$B$13*$B$35</f>
        <v>0.80887559613182347</v>
      </c>
      <c r="AS49" s="191"/>
      <c r="AT49" s="191">
        <f>AT13/AT35/$B$13*$B$35</f>
        <v>0.80602876359835007</v>
      </c>
      <c r="AU49" s="191"/>
      <c r="AV49" s="191">
        <f>AV13/AV35/$B$13*$B$35</f>
        <v>0.80322507229597506</v>
      </c>
    </row>
    <row r="51" spans="1:48 16321:16384" x14ac:dyDescent="0.2">
      <c r="A51" t="s">
        <v>166</v>
      </c>
      <c r="B51" s="29">
        <f>B30-B10*B23</f>
        <v>-405838.32800000021</v>
      </c>
      <c r="D51" s="29">
        <f>D30-D10*D23</f>
        <v>-360877.27053032489</v>
      </c>
      <c r="F51" s="29">
        <f>F30-F10*F23</f>
        <v>-315835.3702968182</v>
      </c>
      <c r="H51" s="29">
        <f>H30-H10*H23</f>
        <v>-270726.62855166616</v>
      </c>
      <c r="J51" s="29">
        <f>J30-J10*J23</f>
        <v>-225557.37681203103</v>
      </c>
      <c r="L51" s="29">
        <f>L30-L10*L23</f>
        <v>-180319.36142501701</v>
      </c>
      <c r="N51" s="29">
        <f>N30-N10*N23</f>
        <v>-134981.47211660957</v>
      </c>
      <c r="P51" s="29">
        <f>P30-P10*P23</f>
        <v>-89479.664228468202</v>
      </c>
      <c r="R51" s="29">
        <f>R30-R10*R23</f>
        <v>-43706.824785491452</v>
      </c>
      <c r="T51" s="29">
        <f>T30-T10*T23</f>
        <v>2493.2348150494508</v>
      </c>
      <c r="V51" s="29">
        <f>V30-V10*V23</f>
        <v>49309.100083784666</v>
      </c>
      <c r="X51" s="29">
        <f>X30-X10*X23</f>
        <v>96884.829281902406</v>
      </c>
      <c r="Z51" s="29">
        <f>Z30-Z10*Z23</f>
        <v>145091.3599130325</v>
      </c>
      <c r="AB51" s="29">
        <f>AB30-AB10*AB23</f>
        <v>192986.62958414527</v>
      </c>
      <c r="AD51" s="29">
        <f>AD30-AD10*AD23</f>
        <v>237825.12371479534</v>
      </c>
      <c r="AF51" s="29">
        <f>AF30-AF10*AF23</f>
        <v>273887.32192613697</v>
      </c>
      <c r="AH51" s="29">
        <f>AH30-AH10*AH23</f>
        <v>292204.01608763612</v>
      </c>
      <c r="AJ51" s="29">
        <f>AJ30-AJ10*AJ23</f>
        <v>282151.42382320948</v>
      </c>
      <c r="AL51" s="29">
        <f>AL30-AL10*AL23</f>
        <v>234090.1130234173</v>
      </c>
      <c r="AN51" s="29">
        <f>AN30-AN10*AN23</f>
        <v>141221.43371450168</v>
      </c>
      <c r="AP51" s="29">
        <f>AP30-AP10*AP23</f>
        <v>116905.81399073073</v>
      </c>
      <c r="AQ51" s="29"/>
      <c r="AR51" s="29">
        <f>AR30-AR10*AR23</f>
        <v>90633.54490507138</v>
      </c>
      <c r="AT51" s="29">
        <f>AT30-AT10*AT23</f>
        <v>62395.038223079871</v>
      </c>
      <c r="AV51" s="29">
        <f>AV30-AV10*AV23</f>
        <v>32184.580149354792</v>
      </c>
      <c r="XFD51" s="29"/>
    </row>
    <row r="52" spans="1:48 16321:16384" x14ac:dyDescent="0.2">
      <c r="A52" t="s">
        <v>167</v>
      </c>
      <c r="B52" s="29">
        <f t="array" ref="B52">Calibration!sL*SUM(B13:C13*B26:C26)</f>
        <v>2049247.8195702801</v>
      </c>
      <c r="D52" s="29">
        <f t="array" ref="D52">Calibration!sL*SUM(D13:E13*D26:E26)</f>
        <v>2031535.0956647587</v>
      </c>
      <c r="F52" s="29">
        <f t="array" ref="F52">Calibration!sL*SUM(F13:G13*F26:G26)</f>
        <v>2012266.895488654</v>
      </c>
      <c r="H52" s="29">
        <f t="array" ref="H52">Calibration!sL*SUM(H13:I13*H26:I26)</f>
        <v>1991219.6653608833</v>
      </c>
      <c r="J52" s="29">
        <f t="array" ref="J52">Calibration!sL*SUM(J13:K13*J26:K26)</f>
        <v>1968116.3732625223</v>
      </c>
      <c r="L52" s="29">
        <f t="array" ref="L52">Calibration!sL*SUM(L13:M13*L26:M26)</f>
        <v>1942606.3783441633</v>
      </c>
      <c r="N52" s="29">
        <f t="array" ref="N52">Calibration!sL*SUM(N13:O13*N26:O26)</f>
        <v>1914236.022541713</v>
      </c>
      <c r="P52" s="29">
        <f t="array" ref="P52">Calibration!sL*SUM(P13:Q13*P26:Q26)</f>
        <v>1882405.0835599697</v>
      </c>
      <c r="R52" s="29">
        <f t="array" ref="R52">Calibration!sL*SUM(R13:S13*R26:S26)</f>
        <v>1846299.6062414052</v>
      </c>
      <c r="T52" s="29">
        <f t="array" ref="T52">Calibration!sL*SUM(T13:U13*T26:U26)</f>
        <v>1804789.9952987437</v>
      </c>
      <c r="V52" s="29">
        <f t="array" ref="V52">Calibration!sL*SUM(V13:W13*V26:W26)</f>
        <v>1756275.3726682856</v>
      </c>
      <c r="X52" s="29">
        <f t="array" ref="X52">Calibration!sL*SUM(X13:Y13*X26:Y26)</f>
        <v>1698455.4763419749</v>
      </c>
      <c r="Z52" s="29">
        <f t="array" ref="Z52">Calibration!sL*SUM(Z13:AA13*Z26:AA26)</f>
        <v>1628028.3827367192</v>
      </c>
      <c r="AB52" s="29">
        <f t="array" ref="AB52">Calibration!sL*SUM(AB13:AC13*AB26:AC26)</f>
        <v>1540390.1495297346</v>
      </c>
      <c r="AD52" s="29">
        <f t="array" ref="AD52">Calibration!sL*SUM(AD13:AE13*AD26:AE26)</f>
        <v>1429588.8489007729</v>
      </c>
      <c r="AF52" s="29">
        <f t="array" ref="AF52">Calibration!sL*SUM(AF13:AG13*AF26:AG26)</f>
        <v>1288936.732707418</v>
      </c>
      <c r="AH52" s="29">
        <f t="array" ref="AH52">Calibration!sL*SUM(AH13:AI13*AH26:AI26)</f>
        <v>1112364.9591494354</v>
      </c>
      <c r="AJ52" s="29">
        <f t="array" ref="AJ52">Calibration!sL*SUM(AJ13:AK13*AJ26:AK26)</f>
        <v>895779.03229971917</v>
      </c>
      <c r="AL52" s="29">
        <f t="array" ref="AL52">Calibration!sL*SUM(AL13:AM13*AL26:AM26)</f>
        <v>637562.21148211148</v>
      </c>
      <c r="AN52" s="29">
        <f t="array" ref="AN52">Calibration!sL*SUM(AN13:AO13*AN26:AO26)</f>
        <v>338268.07579550892</v>
      </c>
      <c r="AP52" s="29">
        <f t="array" ref="AP52">Calibration!sL*SUM(AP13:AQ13*AP26:AQ26)</f>
        <v>273645.20934525394</v>
      </c>
      <c r="AQ52" s="29"/>
      <c r="AR52" s="29">
        <f t="array" ref="AR52">Calibration!sL*SUM(AR13:AS13*AR26:AS26)</f>
        <v>207482.85656335601</v>
      </c>
      <c r="AT52" s="29">
        <f t="array" ref="AT52">Calibration!sL*SUM(AT13:AU13*AT26:AU26)</f>
        <v>139804.63256051601</v>
      </c>
      <c r="AV52" s="29">
        <f t="array" ref="AV52">Calibration!sL*SUM(AV13:AW13*AV26:AW26)</f>
        <v>70635.159695704191</v>
      </c>
    </row>
    <row r="53" spans="1:48 16321:16384" x14ac:dyDescent="0.2">
      <c r="A53" t="s">
        <v>168</v>
      </c>
      <c r="B53" s="29">
        <f t="array" ref="B53">Calibration!sK*SUM(B15:C15*B27:C27)</f>
        <v>2740714.444429745</v>
      </c>
      <c r="D53" s="29">
        <f t="array" ref="D53">Calibration!sK*SUM(D15:E15*D27:E27)</f>
        <v>2709838.569313915</v>
      </c>
      <c r="F53" s="29">
        <f t="array" ref="F53">Calibration!sK*SUM(F15:G15*F27:G27)</f>
        <v>2676893.7219354236</v>
      </c>
      <c r="H53" s="29">
        <f t="array" ref="H53">Calibration!sK*SUM(H15:I15*H27:I27)</f>
        <v>2641584.8707731063</v>
      </c>
      <c r="J53" s="29">
        <f t="array" ref="J53">Calibration!sK*SUM(J15:K15*J27:K27)</f>
        <v>2603549.9982761745</v>
      </c>
      <c r="L53" s="29">
        <f t="array" ref="L53">Calibration!sK*SUM(L15:M15*L27:M27)</f>
        <v>2562334.2881366168</v>
      </c>
      <c r="N53" s="29">
        <f t="array" ref="N53">Calibration!sK*SUM(N15:O15*N27:O27)</f>
        <v>2517353.2493976839</v>
      </c>
      <c r="P53" s="29">
        <f t="array" ref="P53">Calibration!sK*SUM(P15:Q15*P27:Q27)</f>
        <v>2467837.0051212832</v>
      </c>
      <c r="R53" s="29">
        <f t="array" ref="R53">Calibration!sK*SUM(R15:S15*R27:S27)</f>
        <v>2412745.2238717643</v>
      </c>
      <c r="T53" s="29">
        <f t="array" ref="T53">Calibration!sK*SUM(T15:U15*T27:U27)</f>
        <v>2350636.6319532096</v>
      </c>
      <c r="V53" s="29">
        <f t="array" ref="V53">Calibration!sK*SUM(V15:W15*V27:W27)</f>
        <v>2279470.8227010593</v>
      </c>
      <c r="X53" s="29">
        <f t="array" ref="X53">Calibration!sK*SUM(X15:Y15*X27:Y27)</f>
        <v>2196318.6720765536</v>
      </c>
      <c r="Z53" s="29">
        <f t="array" ref="Z53">Calibration!sK*SUM(Z15:AA15*Z27:AA27)</f>
        <v>2096984.4301560018</v>
      </c>
      <c r="AB53" s="29">
        <f t="array" ref="AB53">Calibration!sK*SUM(AB15:AC15*AB27:AC27)</f>
        <v>1975649.8246847768</v>
      </c>
      <c r="AD53" s="29">
        <f t="array" ref="AD53">Calibration!sK*SUM(AD15:AE15*AD27:AE27)</f>
        <v>1824890.625503144</v>
      </c>
      <c r="AF53" s="29">
        <f t="array" ref="AF53">Calibration!sK*SUM(AF15:AG15*AF27:AG27)</f>
        <v>1636609.0584755612</v>
      </c>
      <c r="AH53" s="29">
        <f t="array" ref="AH53">Calibration!sK*SUM(AH15:AI15*AH27:AI27)</f>
        <v>1403946.937674786</v>
      </c>
      <c r="AJ53" s="29">
        <f t="array" ref="AJ53">Calibration!sK*SUM(AJ15:AK15*AJ27:AK27)</f>
        <v>1123070.1060750554</v>
      </c>
      <c r="AL53" s="29">
        <f t="array" ref="AL53">Calibration!sK*SUM(AL15:AM15*AL27:AM27)</f>
        <v>793610.62610424496</v>
      </c>
      <c r="AN53" s="29">
        <f t="array" ref="AN53">Calibration!sK*SUM(AN15:AO15*AN27:AO27)</f>
        <v>417922.69003891473</v>
      </c>
      <c r="AP53" s="29">
        <f t="array" ref="AP53">Calibration!sK*SUM(AP15:AQ15*AP27:AQ27)</f>
        <v>337571.70518263796</v>
      </c>
      <c r="AQ53" s="29"/>
      <c r="AR53" s="29">
        <f t="array" ref="AR53">Calibration!sK*SUM(AR15:AS15*AR27:AS27)</f>
        <v>255566.02903796828</v>
      </c>
      <c r="AT53" s="29">
        <f t="array" ref="AT53">Calibration!sK*SUM(AT15:AU15*AT27:AU27)</f>
        <v>171943.32604903146</v>
      </c>
      <c r="AV53" s="29">
        <f t="array" ref="AV53">Calibration!sK*SUM(AV15:AW15*AV27:AW27)</f>
        <v>86741.779770515335</v>
      </c>
      <c r="XFD53" s="29"/>
    </row>
    <row r="55" spans="1:48 16321:16384" x14ac:dyDescent="0.2">
      <c r="A55" t="s">
        <v>169</v>
      </c>
      <c r="B55" s="193">
        <f>B30/B32</f>
        <v>0.19850271905982084</v>
      </c>
      <c r="D55" s="193">
        <f>D30/D32</f>
        <v>0.20139269397767506</v>
      </c>
      <c r="F55" s="193">
        <f>F30/F32</f>
        <v>0.20430947797636828</v>
      </c>
      <c r="H55" s="193">
        <f>H30/H32</f>
        <v>0.20725747243762097</v>
      </c>
      <c r="J55" s="193">
        <f>J30/J32</f>
        <v>0.21024288795164386</v>
      </c>
      <c r="L55" s="193">
        <f>L30/L32</f>
        <v>0.21327469349124947</v>
      </c>
      <c r="N55" s="193">
        <f>N30/N32</f>
        <v>0.21636593711347196</v>
      </c>
      <c r="P55" s="193">
        <f>P30/P32</f>
        <v>0.21953566994239723</v>
      </c>
      <c r="R55" s="193">
        <f>R30/R32</f>
        <v>0.22281169067183862</v>
      </c>
      <c r="T55" s="193">
        <f>T30/T32</f>
        <v>0.22623448075712066</v>
      </c>
      <c r="V55" s="193">
        <f>V30/V32</f>
        <v>0.22986215378847041</v>
      </c>
      <c r="X55" s="193">
        <f>X30/X32</f>
        <v>0.2337757205735766</v>
      </c>
      <c r="Z55" s="193">
        <f>Z30/Z32</f>
        <v>0.23808095139892485</v>
      </c>
      <c r="AB55" s="193">
        <f>AB30/AB32</f>
        <v>0.24289749530940152</v>
      </c>
      <c r="AD55" s="193">
        <f>AD30/AD32</f>
        <v>0.24832048576231897</v>
      </c>
      <c r="AF55" s="193">
        <f>AF30/AF32</f>
        <v>0.25435242247176615</v>
      </c>
      <c r="AH55" s="193">
        <f>AH30/AH32</f>
        <v>0.26084983213764329</v>
      </c>
      <c r="AJ55" s="193">
        <f>AJ30/AJ32</f>
        <v>0.26755218307736711</v>
      </c>
      <c r="AL55" s="193">
        <f>AL30/AL32</f>
        <v>0.27418101138719225</v>
      </c>
      <c r="AN55" s="193">
        <f>AN30/AN32</f>
        <v>0.28052279048146078</v>
      </c>
      <c r="AP55" s="193">
        <f>AP30/AP32</f>
        <v>0.28174427314176798</v>
      </c>
      <c r="AR55" s="193">
        <f>AR30/AR32</f>
        <v>0.28294846070781277</v>
      </c>
      <c r="AT55" s="193">
        <f>AT30/AT32</f>
        <v>0.2841348612124317</v>
      </c>
      <c r="AV55" s="193">
        <f>AV30/AV32</f>
        <v>0.28530311887990445</v>
      </c>
      <c r="XCS55" s="193"/>
      <c r="XFD55" s="193"/>
    </row>
    <row r="56" spans="1:48 16321:16384" x14ac:dyDescent="0.2">
      <c r="A56" t="s">
        <v>170</v>
      </c>
      <c r="B56" s="193">
        <f>(Model!$C$52*B5*B20+B2*C5*C20)/B32</f>
        <v>2.9221206744340551E-2</v>
      </c>
      <c r="D56" s="193">
        <f>(Model!$C$52*D5*D20+D2*E5*E20)/D32</f>
        <v>3.2528429465644611E-2</v>
      </c>
      <c r="F56" s="193">
        <f>(Model!$C$52*F5*F20+F2*G5*G20)/F32</f>
        <v>3.5866543289770292E-2</v>
      </c>
      <c r="H56" s="193">
        <f>(Model!$C$52*H5*H20+H2*I5*I20)/H32</f>
        <v>3.9240418289969645E-2</v>
      </c>
      <c r="J56" s="193">
        <f>(Model!$C$52*J5*J20+J2*K5*K20)/J32</f>
        <v>4.2657041794631964E-2</v>
      </c>
      <c r="L56" s="193">
        <f>(Model!$C$52*L5*L20+L2*M5*M20)/L32</f>
        <v>4.6126637624244599E-2</v>
      </c>
      <c r="N56" s="193">
        <f>(Model!$C$52*N5*N20+N2*O5*O20)/N32</f>
        <v>4.9664195407160841E-2</v>
      </c>
      <c r="P56" s="193">
        <f>(Model!$C$52*P5*P20+P2*Q5*Q20)/P32</f>
        <v>5.3291738979954567E-2</v>
      </c>
      <c r="R56" s="193">
        <f>(Model!$C$52*R5*R20+R2*S5*S20)/R32</f>
        <v>5.7041466135862258E-2</v>
      </c>
      <c r="T56" s="193">
        <f>(Model!$C$52*T5*T20+T2*U5*U20)/T32</f>
        <v>6.0960291950862965E-2</v>
      </c>
      <c r="V56" s="193">
        <f>(Model!$C$52*V5*V20+V2*W5*W20)/V32</f>
        <v>6.5115427324846459E-2</v>
      </c>
      <c r="X56" s="193">
        <f>(Model!$C$52*X5*X20+X2*Y5*Y20)/X32</f>
        <v>6.960014736170983E-2</v>
      </c>
      <c r="Z56" s="193">
        <f>(Model!$C$52*Z5*Z20+Z2*AA5*AA20)/Z32</f>
        <v>7.4535220126586116E-2</v>
      </c>
      <c r="AB56" s="193">
        <f>(Model!$C$52*AB5*AB20+AB2*AC5*AC20)/AB32</f>
        <v>8.0055021939013718E-2</v>
      </c>
      <c r="AD56" s="193">
        <f>(Model!$C$52*AD5*AD20+AD2*AE5*AE20)/AD32</f>
        <v>8.6261545239516083E-2</v>
      </c>
      <c r="AF56" s="193">
        <f>(Model!$C$52*AF5*AF20+AF2*AG5*AG20)/AF32</f>
        <v>9.314533370562339E-2</v>
      </c>
      <c r="AH56" s="193">
        <f>(Model!$C$52*AH5*AH20+AH2*AI5*AI20)/AH32</f>
        <v>0.10052729564102533</v>
      </c>
      <c r="AJ56" s="193">
        <f>(Model!$C$52*AJ5*AJ20+AJ2*AK5*AK20)/AJ32</f>
        <v>0.10809861862312063</v>
      </c>
      <c r="AL56" s="193">
        <f>(Model!$C$52*AL5*AL20+AL2*AM5*AM20)/AL32</f>
        <v>0.11553936029024237</v>
      </c>
      <c r="AN56" s="193">
        <f>(Model!$C$52*AN5*AN20+AN2*AO5*AO20)/AN32</f>
        <v>0.12261252490490605</v>
      </c>
      <c r="AP56" s="193">
        <f>(Model!$C$52*AP5*AP20+AP2*AQ5*AQ20)/AP32</f>
        <v>0.12396982330346408</v>
      </c>
      <c r="AR56" s="193">
        <f>(Model!$C$52*AR5*AR20+AR2*AS5*AS20)/AR32</f>
        <v>0.12530632734910449</v>
      </c>
      <c r="AT56" s="193">
        <f>(Model!$C$52*AT5*AT20+AT2*AU5*AU20)/AT32</f>
        <v>0.12662157340440441</v>
      </c>
      <c r="AV56" s="193">
        <f>(Model!$C$52*AV5*AV20+AV2*AW5*AW20)/AV32</f>
        <v>0.12791524552864969</v>
      </c>
      <c r="XFD56" s="193"/>
    </row>
    <row r="57" spans="1:48 16321:16384" x14ac:dyDescent="0.2">
      <c r="A57" t="s">
        <v>171</v>
      </c>
      <c r="B57" s="193">
        <f t="array" ref="B57">SUM(Model!tauL*B13:C13*B26:C26)/B32</f>
        <v>0.15852881819439493</v>
      </c>
      <c r="D57" s="193">
        <f t="array" ref="D57">SUM(Model!tauL*D13:E13*D26:E26)/D32</f>
        <v>0.15819453392897978</v>
      </c>
      <c r="F57" s="193">
        <f t="array" ref="F57">SUM(Model!tauL*F13:G13*F26:G26)/F32</f>
        <v>0.15785809712851895</v>
      </c>
      <c r="H57" s="193">
        <f t="array" ref="H57">SUM(Model!tauL*H13:I13*H26:I26)/H32</f>
        <v>0.15751922832621745</v>
      </c>
      <c r="J57" s="193">
        <f t="array" ref="J57">SUM(Model!tauL*J13:K13*J26:K26)/J32</f>
        <v>0.15717732140707252</v>
      </c>
      <c r="L57" s="193">
        <f t="array" ref="L57">SUM(Model!tauL*L13:M13*L26:M26)/L32</f>
        <v>0.15683126191561603</v>
      </c>
      <c r="N57" s="193">
        <f t="array" ref="N57">SUM(Model!tauL*N13:O13*N26:O26)/N32</f>
        <v>0.15647918797927651</v>
      </c>
      <c r="P57" s="193">
        <f t="array" ref="P57">SUM(Model!tauL*P13:Q13*P26:Q26)/P32</f>
        <v>0.15611811434518044</v>
      </c>
      <c r="R57" s="193">
        <f t="array" ref="R57">SUM(Model!tauL*R13:S13*R26:S26)/R32</f>
        <v>0.15574346902591371</v>
      </c>
      <c r="T57" s="193">
        <f t="array" ref="T57">SUM(Model!tauL*T13:U13*T26:U26)/T32</f>
        <v>0.15534840645280226</v>
      </c>
      <c r="V57" s="193">
        <f t="array" ref="V57">SUM(Model!tauL*V13:W13*V26:W26)/V32</f>
        <v>0.15492304529959627</v>
      </c>
      <c r="X57" s="193">
        <f t="array" ref="X57">SUM(Model!tauL*X13:Y13*X26:Y26)/X32</f>
        <v>0.15445379813120777</v>
      </c>
      <c r="Y57" s="193"/>
      <c r="Z57" s="193">
        <f t="array" ref="Z57">SUM(Model!tauL*Z13:AA13*Z26:AA26)/Z32</f>
        <v>0.15392362494805967</v>
      </c>
      <c r="AB57" s="193">
        <f t="array" ref="AB57">SUM(Model!tauL*AB13:AC13*AB26:AC26)/AB32</f>
        <v>0.15331497838744773</v>
      </c>
      <c r="AD57" s="193">
        <f t="array" ref="AD57">SUM(Model!tauL*AD13:AE13*AD26:AE26)/AD32</f>
        <v>0.15261774124131822</v>
      </c>
      <c r="AF57" s="193">
        <f t="array" ref="AF57">SUM(Model!tauL*AF13:AG13*AF26:AG26)/AF32</f>
        <v>0.15184112743336692</v>
      </c>
      <c r="AH57" s="193">
        <f t="array" ref="AH57">SUM(Model!tauL*AH13:AI13*AH26:AI26)/AH32</f>
        <v>0.15101967618253037</v>
      </c>
      <c r="AJ57" s="193">
        <f t="array" ref="AJ57">SUM(Model!tauL*AJ13:AK13*AJ26:AK26)/AJ32</f>
        <v>0.15020251561241293</v>
      </c>
      <c r="AL57" s="193">
        <f t="array" ref="AL57">SUM(Model!tauL*AL13:AM13*AL26:AM26)/AL32</f>
        <v>0.14943304057737086</v>
      </c>
      <c r="AN57" s="193">
        <f t="array" ref="AN57">SUM(Model!tauL*AN13:AO13*AN26:AO26)/AN32</f>
        <v>0.14873671383228382</v>
      </c>
      <c r="AP57" s="193">
        <f t="array" ref="AP57">SUM(Model!tauL*AP13:AQ13*AP26:AQ26)/AP32</f>
        <v>0.14860717482775312</v>
      </c>
      <c r="AR57" s="193">
        <f t="array" ref="AR57">SUM(Model!tauL*AR13:AS13*AR26:AS26)/AR32</f>
        <v>0.14848091707325134</v>
      </c>
      <c r="AT57" s="193">
        <f t="array" ref="AT57">SUM(Model!tauL*AT13:AU13*AT26:AU26)/AT32</f>
        <v>0.14835792262075811</v>
      </c>
      <c r="AV57" s="193">
        <f t="array" ref="AV57">SUM(Model!tauL*AV13:AW13*AV26:AW26)/AV32</f>
        <v>0.1482381611477285</v>
      </c>
      <c r="XFD57" s="193"/>
    </row>
    <row r="58" spans="1:48 16321:16384" x14ac:dyDescent="0.2">
      <c r="A58" t="s">
        <v>172</v>
      </c>
      <c r="B58" s="193">
        <f t="array" ref="B58">SUM(Model!tauY/(1+Model!tauY)*B3:C3*B18:C18)/B32</f>
        <v>1.075269412108535E-2</v>
      </c>
      <c r="D58" s="193">
        <f t="array" ref="D58">SUM(Model!tauY/(1+Model!tauY)*D3:E3*D18:E18)/D32</f>
        <v>1.0669730583050673E-2</v>
      </c>
      <c r="F58" s="193">
        <f t="array" ref="F58">SUM(Model!tauY/(1+Model!tauY)*F3:G3*F18:G18)/F32</f>
        <v>1.0584837558079062E-2</v>
      </c>
      <c r="H58" s="193">
        <f t="array" ref="H58">SUM(Model!tauY/(1+Model!tauY)*H3:I3*H18:I18)/H32</f>
        <v>1.0497825821433849E-2</v>
      </c>
      <c r="J58" s="193">
        <f t="array" ref="J58">SUM(Model!tauY/(1+Model!tauY)*J3:K3*J18:K18)/J32</f>
        <v>1.0408524749939406E-2</v>
      </c>
      <c r="L58" s="193">
        <f t="array" ref="L58">SUM(Model!tauY/(1+Model!tauY)*L3:M3*L18:M18)/L32</f>
        <v>1.0316793951388863E-2</v>
      </c>
      <c r="N58" s="193">
        <f t="array" ref="N58">SUM(Model!tauY/(1+Model!tauY)*N3:O3*N18:O18)/N32</f>
        <v>1.0222553727034631E-2</v>
      </c>
      <c r="P58" s="193">
        <f t="array" ref="P58">SUM(Model!tauY/(1+Model!tauY)*P3:Q3*P18:Q18)/P32</f>
        <v>1.0125816617262196E-2</v>
      </c>
      <c r="R58" s="193">
        <f t="array" ref="R58">SUM(Model!tauY/(1+Model!tauY)*R3:S3*R18:S18)/R32</f>
        <v>1.0026755510062617E-2</v>
      </c>
      <c r="T58" s="193">
        <f t="array" ref="T58">SUM(Model!tauY/(1+Model!tauY)*T3:U3*T18:U18)/T32</f>
        <v>9.9257823534554274E-3</v>
      </c>
      <c r="V58" s="193">
        <f t="array" ref="V58">SUM(Model!tauY/(1+Model!tauY)*V3:W3*V18:W18)/V32</f>
        <v>9.823681164027669E-3</v>
      </c>
      <c r="X58" s="193">
        <f t="array" ref="X58">SUM(Model!tauY/(1+Model!tauY)*X3:Y3*X18:Y18)/X32</f>
        <v>9.7217750806589554E-3</v>
      </c>
      <c r="Y58" s="193"/>
      <c r="Z58" s="193">
        <f t="array" ref="Z58">SUM(Model!tauY/(1+Model!tauY)*Z3:AA3*Z18:AA18)/Z32</f>
        <v>9.6221063242790828E-3</v>
      </c>
      <c r="AB58" s="193">
        <f t="array" ref="AB58">SUM(Model!tauY/(1+Model!tauY)*AB3:AC3*AB18:AC18)/AB32</f>
        <v>9.5274949829400758E-3</v>
      </c>
      <c r="AD58" s="193">
        <f t="array" ref="AD58">SUM(Model!tauY/(1+Model!tauY)*AD3:AE3*AD18:AE18)/AD32</f>
        <v>9.4411992814846801E-3</v>
      </c>
      <c r="AF58" s="193">
        <f t="array" ref="AF58">SUM(Model!tauY/(1+Model!tauY)*AF3:AG3*AF18:AG18)/AF32</f>
        <v>9.3659613327758511E-3</v>
      </c>
      <c r="AH58" s="193">
        <f t="array" ref="AH58">SUM(Model!tauY/(1+Model!tauY)*AH3:AI3*AH18:AI18)/AH32</f>
        <v>9.3028603140875819E-3</v>
      </c>
      <c r="AJ58" s="193">
        <f t="array" ref="AJ58">SUM(Model!tauY/(1+Model!tauY)*AJ3:AK3*AJ18:AK18)/AJ32</f>
        <v>9.2510488418335243E-3</v>
      </c>
      <c r="AL58" s="193">
        <f t="array" ref="AL58">SUM(Model!tauY/(1+Model!tauY)*AL3:AM3*AL18:AM18)/AL32</f>
        <v>9.2086105195790264E-3</v>
      </c>
      <c r="AN58" s="193">
        <f t="array" ref="AN58">SUM(Model!tauY/(1+Model!tauY)*AN3:AO3*AN18:AO18)/AN32</f>
        <v>9.1735517442709507E-3</v>
      </c>
      <c r="AP58" s="193">
        <f t="array" ref="AP58">SUM(Model!tauY/(1+Model!tauY)*AP3:AQ3*AP18:AQ18)/AP32</f>
        <v>9.167275010550759E-3</v>
      </c>
      <c r="AR58" s="193">
        <f t="array" ref="AR58">SUM(Model!tauY/(1+Model!tauY)*AR3:AS3*AR18:AS18)/AR32</f>
        <v>9.1612162854569756E-3</v>
      </c>
      <c r="AT58" s="193">
        <f t="array" ref="AT58">SUM(Model!tauY/(1+Model!tauY)*AT3:AU3*AT18:AU18)/AT32</f>
        <v>9.1553651872691971E-3</v>
      </c>
      <c r="AV58" s="193">
        <f t="array" ref="AV58">SUM(Model!tauY/(1+Model!tauY)*AV3:AW3*AV18:AW18)/AV32</f>
        <v>9.1497122035262626E-3</v>
      </c>
      <c r="XFD58" s="193"/>
    </row>
    <row r="59" spans="1:48 16321:16384" x14ac:dyDescent="0.2">
      <c r="A59" t="s">
        <v>173</v>
      </c>
      <c r="B59" s="193">
        <f>(B2*C5*C20)/B32</f>
        <v>5.5174232040962052E-4</v>
      </c>
      <c r="D59" s="193">
        <f>(D2*E5*E20)/D32</f>
        <v>3.8993035410847679E-3</v>
      </c>
      <c r="F59" s="193">
        <f>(F2*G5*G20)/F32</f>
        <v>7.2777773235671115E-3</v>
      </c>
      <c r="H59" s="193">
        <f>(H2*I5*I20)/H32</f>
        <v>1.0692046750395518E-2</v>
      </c>
      <c r="J59" s="193">
        <f>(J2*K5*K20)/J32</f>
        <v>1.4149125406456031E-2</v>
      </c>
      <c r="L59" s="193">
        <f>(L2*M5*M20)/L32</f>
        <v>1.7659288699620468E-2</v>
      </c>
      <c r="N59" s="193">
        <f>(N2*O5*O20)/N32</f>
        <v>2.1237614594534205E-2</v>
      </c>
      <c r="P59" s="193">
        <f>(P2*Q5*Q20)/P32</f>
        <v>2.4906275630544542E-2</v>
      </c>
      <c r="R59" s="193">
        <f>(R2*S5*S20)/R32</f>
        <v>2.8697703133534466E-2</v>
      </c>
      <c r="T59" s="193">
        <f>(T2*U5*U20)/T32</f>
        <v>3.2659176486236063E-2</v>
      </c>
      <c r="V59" s="193">
        <f>(V2*W5*W20)/V32</f>
        <v>3.6858451570178218E-2</v>
      </c>
      <c r="X59" s="193">
        <f>(X2*Y5*Y20)/X32</f>
        <v>4.1389585163188782E-2</v>
      </c>
      <c r="Z59" s="193">
        <f>(Z2*AA5*AA20)/Z32</f>
        <v>4.6374377093625317E-2</v>
      </c>
      <c r="AB59" s="193">
        <f>(AB2*AC5*AC20)/AB32</f>
        <v>5.1948351304646416E-2</v>
      </c>
      <c r="AD59" s="193">
        <f>(AD2*AE5*AE20)/AD32</f>
        <v>5.8214318914243016E-2</v>
      </c>
      <c r="AF59" s="193">
        <f>(AF2*AG5*AG20)/AF32</f>
        <v>6.516255155770441E-2</v>
      </c>
      <c r="AH59" s="193">
        <f>(AH2*AI5*AI20)/AH32</f>
        <v>7.2612066010629112E-2</v>
      </c>
      <c r="AJ59" s="193">
        <f>(AJ2*AK5*AK20)/AJ32</f>
        <v>8.0251005622588661E-2</v>
      </c>
      <c r="AL59" s="193">
        <f>(AL2*AM5*AM20)/AL32</f>
        <v>8.7756453958165448E-2</v>
      </c>
      <c r="AN59" s="193">
        <f>(AN2*AO5*AO20)/AN32</f>
        <v>9.4889414991901178E-2</v>
      </c>
      <c r="AP59" s="193">
        <f>(AP2*AQ5*AQ20)/AP32</f>
        <v>9.6257988627740432E-2</v>
      </c>
      <c r="AR59" s="193">
        <f>(AR2*AS5*AS20)/AR32</f>
        <v>9.7605530933810247E-2</v>
      </c>
      <c r="AT59" s="193">
        <f>(AT2*AU5*AU20)/AT32</f>
        <v>9.893157717189871E-2</v>
      </c>
      <c r="AV59" s="193">
        <f>(AV2*AW5*AW20)/AV32</f>
        <v>0.10023581088762681</v>
      </c>
      <c r="XFD59" s="193"/>
    </row>
    <row r="60" spans="1:48 16321:16384" x14ac:dyDescent="0.2">
      <c r="A60" t="s">
        <v>174</v>
      </c>
      <c r="B60" s="193">
        <f>Model!$C$52*B5*B20/B32</f>
        <v>2.8669464423930927E-2</v>
      </c>
      <c r="D60" s="193">
        <f>Model!$C$52*D5*D20/D32</f>
        <v>2.8629125924559844E-2</v>
      </c>
      <c r="F60" s="193">
        <f>Model!$C$52*F5*F20/F32</f>
        <v>2.8588765966203182E-2</v>
      </c>
      <c r="H60" s="193">
        <f>Model!$C$52*H5*H20/H32</f>
        <v>2.8548371539574121E-2</v>
      </c>
      <c r="J60" s="193">
        <f>Model!$C$52*J5*J20/J32</f>
        <v>2.850791638817593E-2</v>
      </c>
      <c r="L60" s="193">
        <f>Model!$C$52*L5*L20/L32</f>
        <v>2.8467348924624131E-2</v>
      </c>
      <c r="N60" s="193">
        <f>Model!$C$52*N5*N20/N32</f>
        <v>2.8426580812626636E-2</v>
      </c>
      <c r="P60" s="193">
        <f>Model!$C$52*P5*P20/P32</f>
        <v>2.8385463349410025E-2</v>
      </c>
      <c r="R60" s="193">
        <f>Model!$C$52*R5*R20/R32</f>
        <v>2.8343763002327795E-2</v>
      </c>
      <c r="T60" s="193">
        <f>Model!$C$52*T5*T20/T32</f>
        <v>2.8301115464626898E-2</v>
      </c>
      <c r="V60" s="193">
        <f>Model!$C$52*V5*V20/V32</f>
        <v>2.8256975754668252E-2</v>
      </c>
      <c r="X60" s="193">
        <f>Model!$C$52*X5*X20/X32</f>
        <v>2.8210562198521045E-2</v>
      </c>
      <c r="Z60" s="193">
        <f>Model!$C$52*Z5*Z20/Z32</f>
        <v>2.8160843032960802E-2</v>
      </c>
      <c r="AB60" s="193">
        <f>Model!$C$52*AB5*AB20/AB32</f>
        <v>2.8106670634367309E-2</v>
      </c>
      <c r="AD60" s="193">
        <f>Model!$C$52*AD5*AD20/AD32</f>
        <v>2.8047226325273067E-2</v>
      </c>
      <c r="AF60" s="193">
        <f>Model!$C$52*AF5*AF20/AF32</f>
        <v>2.7982782147918987E-2</v>
      </c>
      <c r="AH60" s="193">
        <f>Model!$C$52*AH5*AH20/AH32</f>
        <v>2.7915229630396225E-2</v>
      </c>
      <c r="AJ60" s="193">
        <f>Model!$C$52*AJ5*AJ20/AJ32</f>
        <v>2.7847613000531967E-2</v>
      </c>
      <c r="AL60" s="193">
        <f>Model!$C$52*AL5*AL20/AL32</f>
        <v>2.7782906332076928E-2</v>
      </c>
      <c r="AN60" s="193">
        <f>Model!$C$52*AN5*AN20/AN32</f>
        <v>2.7723109913004876E-2</v>
      </c>
      <c r="AP60" s="193">
        <f>Model!$C$52*AP5*AP20/AP32</f>
        <v>2.7711834675723648E-2</v>
      </c>
      <c r="AR60" s="193">
        <f>Model!$C$52*AR5*AR20/AR32</f>
        <v>2.770079641529424E-2</v>
      </c>
      <c r="AT60" s="193">
        <f>Model!$C$52*AT5*AT20/AT32</f>
        <v>2.7689996232505724E-2</v>
      </c>
      <c r="AV60" s="193">
        <f>Model!$C$52*AV5*AV20/AV32</f>
        <v>2.7679434641022887E-2</v>
      </c>
      <c r="XFD60" s="193"/>
    </row>
    <row r="62" spans="1:48 16321:16384" x14ac:dyDescent="0.2">
      <c r="A62" t="s">
        <v>175</v>
      </c>
      <c r="B62">
        <f>B13/B15</f>
        <v>1</v>
      </c>
      <c r="D62">
        <f>D13/D15</f>
        <v>1.001162830988076</v>
      </c>
      <c r="F62">
        <f>F13/F15</f>
        <v>1.0023674343788749</v>
      </c>
      <c r="H62">
        <f>H13/H15</f>
        <v>1.0036250383853145</v>
      </c>
      <c r="J62">
        <f>J13/J15</f>
        <v>1.0049493907777147</v>
      </c>
      <c r="L62">
        <f>L13/L15</f>
        <v>1.0063578577944912</v>
      </c>
      <c r="N62">
        <f>N13/N15</f>
        <v>1.0078728036308309</v>
      </c>
      <c r="P62">
        <f>P13/P15</f>
        <v>1.009523879474312</v>
      </c>
      <c r="R62">
        <f>R13/R15</f>
        <v>1.0113513692159606</v>
      </c>
      <c r="T62">
        <f>T13/T15</f>
        <v>1.0134116653104019</v>
      </c>
      <c r="V62">
        <f>V13/V15</f>
        <v>1.0157854160341151</v>
      </c>
      <c r="X62">
        <f>X13/X15</f>
        <v>1.0185894731780682</v>
      </c>
      <c r="Z62">
        <f>Z13/Z15</f>
        <v>1.0219916592338238</v>
      </c>
      <c r="AB62">
        <f>AB13/AB15</f>
        <v>1.0262213718067998</v>
      </c>
      <c r="AD62">
        <f>AD13/AD15</f>
        <v>1.0315556721385934</v>
      </c>
      <c r="AF62">
        <f>AF13/AF15</f>
        <v>1.0382515278485047</v>
      </c>
      <c r="AH62">
        <f>AH13/AH15</f>
        <v>1.0464289160893974</v>
      </c>
      <c r="AJ62">
        <f>AJ13/AJ15</f>
        <v>1.0559851572389054</v>
      </c>
      <c r="AL62">
        <f>AL13/AL15</f>
        <v>1.066619291578935</v>
      </c>
      <c r="AN62">
        <f>AN13/AN15</f>
        <v>1.077937880007042</v>
      </c>
      <c r="AP62">
        <f>AP13/AP15</f>
        <v>1.0802491191073411</v>
      </c>
      <c r="AR62">
        <f>AR13/AR15</f>
        <v>1.0825694671089148</v>
      </c>
      <c r="AT62">
        <f>AT13/AT15</f>
        <v>1.0848962931464594</v>
      </c>
      <c r="AV62">
        <f>AV13/AV15</f>
        <v>1.0872271102122488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0.99842310745935436</v>
      </c>
      <c r="E65" s="191"/>
      <c r="F65" s="191">
        <f t="array" ref="F65">SQRT((F9:G9*$B$22:$C$22+F10:G10*$B$23:$C$23+F11:G11*$B$24:$C$24+F4:G4*($B$25:$C$25-$B$19:$C$19))/($B$9:$C$9*$B$22:$C$22+$B$10:$C$10*$B$23:$C$23+$B$11:$C$11*$B$24:$C$24+$B$4:$C$4*($B$25:$C$25-$B$19:$C$19))*(F9:G9*F22:G22+F10:G10*F23:G23+F11:G11*F24:G24+F4:G4*(F25:G25-F19:G19))/($B$9:$C$9*F22:G22+$B$10:$C$10*F23:G23+$B$11:$C$11*F24:G24+$B$4:$C$4*(F25:G25-F19:G19)))</f>
        <v>0.99677055676280879</v>
      </c>
      <c r="G65" s="191"/>
      <c r="H65" s="191">
        <f t="array" ref="H65">SQRT((H9:I9*$B$22:$C$22+H10:I10*$B$23:$C$23+H11:I11*$B$24:$C$24+H4:I4*($B$25:$C$25-$B$19:$C$19))/($B$9:$C$9*$B$22:$C$22+$B$10:$C$10*$B$23:$C$23+$B$11:$C$11*$B$24:$C$24+$B$4:$C$4*($B$25:$C$25-$B$19:$C$19))*(H9:I9*H22:I22+H10:I10*H23:I23+H11:I11*H24:I24+H4:I4*(H25:I25-H19:I19))/($B$9:$C$9*H22:I22+$B$10:$C$10*H23:I23+$B$11:$C$11*H24:I24+$B$4:$C$4*(H25:I25-H19:I19)))</f>
        <v>0.99503889366660547</v>
      </c>
      <c r="I65" s="191"/>
      <c r="J65" s="191">
        <f t="array" ref="J65">SQRT((J9:K9*$B$22:$C$22+J10:K10*$B$23:$C$23+J11:K11*$B$24:$C$24+J4:K4*($B$25:$C$25-$B$19:$C$19))/($B$9:$C$9*$B$22:$C$22+$B$10:$C$10*$B$23:$C$23+$B$11:$C$11*$B$24:$C$24+$B$4:$C$4*($B$25:$C$25-$B$19:$C$19))*(J9:K9*J22:K22+J10:K10*J23:K23+J11:K11*J24:K24+J4:K4*(J25:K25-J19:K19))/($B$9:$C$9*J22:K22+$B$10:$C$10*J23:K23+$B$11:$C$11*J24:K24+$B$4:$C$4*(J25:K25-J19:K19)))</f>
        <v>0.99322663290346103</v>
      </c>
      <c r="K65" s="191"/>
      <c r="L65" s="191">
        <f t="array" ref="L65">SQRT((L9:M9*$B$22:$C$22+L10:M10*$B$23:$C$23+L11:M11*$B$24:$C$24+L4:M4*($B$25:$C$25-$B$19:$C$19))/($B$9:$C$9*$B$22:$C$22+$B$10:$C$10*$B$23:$C$23+$B$11:$C$11*$B$24:$C$24+$B$4:$C$4*($B$25:$C$25-$B$19:$C$19))*(L9:M9*L22:M22+L10:M10*L23:M23+L11:M11*L24:M24+L4:M4*(L25:M25-L19:M19))/($B$9:$C$9*L22:M22+$B$10:$C$10*L23:M23+$B$11:$C$11*L24:M24+$B$4:$C$4*(L25:M25-L19:M19)))</f>
        <v>0.99133530939943426</v>
      </c>
      <c r="M65" s="191"/>
      <c r="N65" s="191">
        <f t="array" ref="N65">SQRT((N9:O9*$B$22:$C$22+N10:O10*$B$23:$C$23+N11:O11*$B$24:$C$24+N4:O4*($B$25:$C$25-$B$19:$C$19))/($B$9:$C$9*$B$22:$C$22+$B$10:$C$10*$B$23:$C$23+$B$11:$C$11*$B$24:$C$24+$B$4:$C$4*($B$25:$C$25-$B$19:$C$19))*(N9:O9*N22:O22+N10:O10*N23:O23+N11:O11*N24:O24+N4:O4*(N25:O25-N19:O19))/($B$9:$C$9*N22:O22+$B$10:$C$10*N23:O23+$B$11:$C$11*N24:O24+$B$4:$C$4*(N25:O25-N19:O19)))</f>
        <v>0.98937107417730696</v>
      </c>
      <c r="O65" s="191"/>
      <c r="P65" s="191">
        <f t="array" ref="P65">SQRT((P9:Q9*$B$22:$C$22+P10:Q10*$B$23:$C$23+P11:Q11*$B$24:$C$24+P4:Q4*($B$25:$C$25-$B$19:$C$19))/($B$9:$C$9*$B$22:$C$22+$B$10:$C$10*$B$23:$C$23+$B$11:$C$11*$B$24:$C$24+$B$4:$C$4*($B$25:$C$25-$B$19:$C$19))*(P9:Q9*P22:Q22+P10:Q10*P23:Q23+P11:Q11*P24:Q24+P4:Q4*(P25:Q25-P19:Q19))/($B$9:$C$9*P22:Q22+$B$10:$C$10*P23:Q23+$B$11:$C$11*P24:Q24+$B$4:$C$4*(P25:Q25-P19:Q19)))</f>
        <v>0.98734701363458743</v>
      </c>
      <c r="Q65" s="191"/>
      <c r="R65" s="191">
        <f t="array" ref="R65">SQRT((R9:S9*$B$22:$C$22+R10:S10*$B$23:$C$23+R11:S11*$B$24:$C$24+R4:S4*($B$25:$C$25-$B$19:$C$19))/($B$9:$C$9*$B$22:$C$22+$B$10:$C$10*$B$23:$C$23+$B$11:$C$11*$B$24:$C$24+$B$4:$C$4*($B$25:$C$25-$B$19:$C$19))*(R9:S9*R22:S22+R10:S10*R23:S23+R11:S11*R24:S24+R4:S4*(R25:S25-R19:S19))/($B$9:$C$9*R22:S22+$B$10:$C$10*R23:S23+$B$11:$C$11*R24:S24+$B$4:$C$4*(R25:S25-R19:S19)))</f>
        <v>0.98528642603650851</v>
      </c>
      <c r="S65" s="191"/>
      <c r="T65" s="191">
        <f t="array" ref="T65">SQRT((T9:U9*$B$22:$C$22+T10:U10*$B$23:$C$23+T11:U11*$B$24:$C$24+T4:U4*($B$25:$C$25-$B$19:$C$19))/($B$9:$C$9*$B$22:$C$22+$B$10:$C$10*$B$23:$C$23+$B$11:$C$11*$B$24:$C$24+$B$4:$C$4*($B$25:$C$25-$B$19:$C$19))*(T9:U9*T22:U22+T10:U10*T23:U23+T11:U11*T24:U24+T4:U4*(T25:U25-T19:U19))/($B$9:$C$9*T22:U22+$B$10:$C$10*T23:U23+$B$11:$C$11*T24:U24+$B$4:$C$4*(T25:U25-T19:U19)))</f>
        <v>0.98322758615894734</v>
      </c>
      <c r="U65" s="191"/>
      <c r="V65" s="191">
        <f t="array" ref="V65">SQRT((V9:W9*$B$22:$C$22+V10:W10*$B$23:$C$23+V11:W11*$B$24:$C$24+V4:W4*($B$25:$C$25-$B$19:$C$19))/($B$9:$C$9*$B$22:$C$22+$B$10:$C$10*$B$23:$C$23+$B$11:$C$11*$B$24:$C$24+$B$4:$C$4*($B$25:$C$25-$B$19:$C$19))*(V9:W9*V22:W22+V10:W10*V23:W23+V11:W11*V24:W24+V4:W4*(V25:W25-V19:W19))/($B$9:$C$9*V22:W22+$B$10:$C$10*V23:W23+$B$11:$C$11*V24:W24+$B$4:$C$4*(V25:W25-V19:W19)))</f>
        <v>0.9812300464894671</v>
      </c>
      <c r="W65" s="191"/>
      <c r="X65" s="191">
        <f t="array" ref="X65">SQRT((X9:Y9*$B$22:$C$22+X10:Y10*$B$23:$C$23+X11:Y11*$B$24:$C$24+X4:Y4*($B$25:$C$25-$B$19:$C$19))/($B$9:$C$9*$B$22:$C$22+$B$10:$C$10*$B$23:$C$23+$B$11:$C$11*$B$24:$C$24+$B$4:$C$4*($B$25:$C$25-$B$19:$C$19))*(X9:Y9*X22:Y22+X10:Y10*X23:Y23+X11:Y11*X24:Y24+X4:Y4*(X25:Y25-X19:Y19))/($B$9:$C$9*X22:Y22+$B$10:$C$10*X23:Y23+$B$11:$C$11*X24:Y24+$B$4:$C$4*(X25:Y25-X19:Y19)))</f>
        <v>0.97938203821205505</v>
      </c>
      <c r="Y65" s="191"/>
      <c r="Z65" s="191">
        <f t="array" ref="Z65">SQRT((Z9:AA9*$B$22:$C$22+Z10:AA10*$B$23:$C$23+Z11:AA11*$B$24:$C$24+Z4:AA4*($B$25:$C$25-$B$19:$C$19))/($B$9:$C$9*$B$22:$C$22+$B$10:$C$10*$B$23:$C$23+$B$11:$C$11*$B$24:$C$24+$B$4:$C$4*($B$25:$C$25-$B$19:$C$19))*(Z9:AA9*Z22:AA22+Z10:AA10*Z23:AA23+Z11:AA11*Z24:AA24+Z4:AA4*(Z25:AA25-Z19:AA19))/($B$9:$C$9*Z22:AA22+$B$10:$C$10*Z23:AA23+$B$11:$C$11*Z24:AA24+$B$4:$C$4*(Z25:AA25-Z19:AA19)))</f>
        <v>0.97780556365840698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0.97664972531705507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0.97605607901095348</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0.97609058835841789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0.97668484442491121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0.97765659472961075</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0.97880034115130665</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0.9799613328870409</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0.9801868852045994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0.98040906843067865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0.98062754822388032</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0.98084205593329066</v>
      </c>
    </row>
    <row r="66" spans="1:48 16384:16384" x14ac:dyDescent="0.2">
      <c r="A66" t="s">
        <v>182</v>
      </c>
      <c r="B66" s="191">
        <f t="array" ref="B66">SQRT((B9:C9*$B$22:$C$22)/($B$9:$C$9*$B$22:$C$22)*(B9:C9*B22:C22)/($B$9:$C$9*B22:C22))</f>
        <v>1</v>
      </c>
      <c r="C66" s="191"/>
      <c r="D66" s="191">
        <f t="array" ref="D66">SQRT((D9:E9*$B$22:$C$22)/($B$9:$C$9*$B$22:$C$22)*(D9:E9*D22:E22)/($B$9:$C$9*D22:E22))</f>
        <v>0.99826544100814352</v>
      </c>
      <c r="E66" s="191"/>
      <c r="F66" s="191">
        <f t="array" ref="F66">SQRT((F9:G9*$B$22:$C$22)/($B$9:$C$9*$B$22:$C$22)*(F9:G9*F22:G22)/($B$9:$C$9*F22:G22))</f>
        <v>0.99644440087915553</v>
      </c>
      <c r="G66" s="191"/>
      <c r="H66" s="191">
        <f t="array" ref="H66">SQRT((H9:I9*$B$22:$C$22)/($B$9:$C$9*$B$22:$C$22)*(H9:I9*H22:I22)/($B$9:$C$9*H22:I22))</f>
        <v>0.99453259599672794</v>
      </c>
      <c r="I66" s="191"/>
      <c r="J66" s="191">
        <f t="array" ref="J66">SQRT((J9:K9*$B$22:$C$22)/($B$9:$C$9*$B$22:$C$22)*(J9:K9*J22:K22)/($B$9:$C$9*J22:K22))</f>
        <v>0.99252786977031715</v>
      </c>
      <c r="K66" s="191"/>
      <c r="L66" s="191">
        <f t="array" ref="L66">SQRT((L9:M9*$B$22:$C$22)/($B$9:$C$9*$B$22:$C$22)*(L9:M9*L22:M22)/($B$9:$C$9*L22:M22))</f>
        <v>0.99043137895648126</v>
      </c>
      <c r="M66" s="191"/>
      <c r="N66" s="191">
        <f t="array" ref="N66">SQRT((N9:O9*$B$22:$C$22)/($B$9:$C$9*$B$22:$C$22)*(N9:O9*N22:O22)/($B$9:$C$9*N22:O22))</f>
        <v>0.98824940436281816</v>
      </c>
      <c r="O66" s="191"/>
      <c r="P66" s="191">
        <f t="array" ref="P66">SQRT((P9:Q9*$B$22:$C$22)/($B$9:$C$9*$B$22:$C$22)*(P9:Q9*P22:Q22)/($B$9:$C$9*P22:Q22))</f>
        <v>0.98599599697986351</v>
      </c>
      <c r="Q66" s="191"/>
      <c r="R66" s="191">
        <f t="array" ref="R66">SQRT((R9:S9*$B$22:$C$22)/($B$9:$C$9*$B$22:$C$22)*(R9:S9*R22:S22)/($B$9:$C$9*R22:S22))</f>
        <v>0.98369673534331337</v>
      </c>
      <c r="S66" s="191"/>
      <c r="T66" s="191">
        <f t="array" ref="T66">SQRT((T9:U9*$B$22:$C$22)/($B$9:$C$9*$B$22:$C$22)*(T9:U9*T22:U22)/($B$9:$C$9*T22:U22))</f>
        <v>0.98139420574599157</v>
      </c>
      <c r="U66" s="191"/>
      <c r="V66" s="191">
        <f t="array" ref="V66">SQRT((V9:W9*$B$22:$C$22)/($B$9:$C$9*$B$22:$C$22)*(V9:W9*V22:W22)/($B$9:$C$9*V22:W22))</f>
        <v>0.97915527627124155</v>
      </c>
      <c r="W66" s="191"/>
      <c r="X66" s="191">
        <f t="array" ref="X66">SQRT((X9:Y9*$B$22:$C$22)/($B$9:$C$9*$B$22:$C$22)*(X9:Y9*X22:Y22)/($B$9:$C$9*X22:Y22))</f>
        <v>0.97707966854130301</v>
      </c>
      <c r="Y66" s="191"/>
      <c r="Z66" s="191">
        <f t="array" ref="Z66">SQRT((Z9:AA9*$B$22:$C$22)/($B$9:$C$9*$B$22:$C$22)*(Z9:AA9*Z22:AA22)/($B$9:$C$9*Z22:AA22))</f>
        <v>0.97530592422422413</v>
      </c>
      <c r="AA66" s="191"/>
      <c r="AB66" s="191">
        <f t="array" ref="AB66">SQRT((AB9:AC9*$B$22:$C$22)/($B$9:$C$9*$B$22:$C$22)*(AB9:AC9*AB22:AC22)/($B$9:$C$9*AB22:AC22))</f>
        <v>0.97400391326977587</v>
      </c>
      <c r="AC66" s="191"/>
      <c r="AD66" s="191">
        <f t="array" ref="AD66">SQRT((AD9:AE9*$B$22:$C$22)/($B$9:$C$9*$B$22:$C$22)*(AD9:AE9*AD22:AE22)/($B$9:$C$9*AD22:AE22))</f>
        <v>0.97333528450048623</v>
      </c>
      <c r="AE66" s="191"/>
      <c r="AF66" s="191">
        <f t="array" ref="AF66">SQRT((AF9:AG9*$B$22:$C$22)/($B$9:$C$9*$B$22:$C$22)*(AF9:AG9*AF22:AG22)/($B$9:$C$9*AF22:AG22))</f>
        <v>0.9733756861663283</v>
      </c>
      <c r="AG66" s="191"/>
      <c r="AH66" s="191">
        <f t="array" ref="AH66">SQRT((AH9:AI9*$B$22:$C$22)/($B$9:$C$9*$B$22:$C$22)*(AH9:AI9*AH22:AI22)/($B$9:$C$9*AH22:AI22))</f>
        <v>0.97404770703810406</v>
      </c>
      <c r="AI66" s="191"/>
      <c r="AJ66" s="191">
        <f t="array" ref="AJ66">SQRT((AJ9:AK9*$B$22:$C$22)/($B$9:$C$9*$B$22:$C$22)*(AJ9:AK9*AJ22:AK22)/($B$9:$C$9*AJ22:AK22))</f>
        <v>0.97514456622780044</v>
      </c>
      <c r="AK66" s="191"/>
      <c r="AL66" s="191">
        <f t="array" ref="AL66">SQRT((AL9:AM9*$B$22:$C$22)/($B$9:$C$9*$B$22:$C$22)*(AL9:AM9*AL22:AM22)/($B$9:$C$9*AL22:AM22))</f>
        <v>0.97643353655005449</v>
      </c>
      <c r="AM66" s="191"/>
      <c r="AN66" s="191">
        <f t="array" ref="AN66">SQRT((AN9:AO9*$B$22:$C$22)/($B$9:$C$9*$B$22:$C$22)*(AN9:AO9*AN22:AO22)/($B$9:$C$9*AN22:AO22))</f>
        <v>0.97773995228410582</v>
      </c>
      <c r="AO66" s="191"/>
      <c r="AP66" s="191">
        <f t="array" ref="AP66">SQRT((AP9:AQ9*$B$22:$C$22)/($B$9:$C$9*$B$22:$C$22)*(AP9:AQ9*AP22:AQ22)/($B$9:$C$9*AP22:AQ22))</f>
        <v>0.97799353284661095</v>
      </c>
      <c r="AQ66" s="191"/>
      <c r="AR66" s="191">
        <f t="array" ref="AR66">SQRT((AR9:AS9*$B$22:$C$22)/($B$9:$C$9*$B$22:$C$22)*(AR9:AS9*AR22:AS22)/($B$9:$C$9*AR22:AS22))</f>
        <v>0.97824325535710699</v>
      </c>
      <c r="AS66" s="191"/>
      <c r="AT66" s="191">
        <f t="array" ref="AT66">SQRT((AT9:AU9*$B$22:$C$22)/($B$9:$C$9*$B$22:$C$22)*(AT9:AU9*AT22:AU22)/($B$9:$C$9*AT22:AU22))</f>
        <v>0.97848874766348914</v>
      </c>
      <c r="AU66" s="191"/>
      <c r="AV66" s="191">
        <f t="array" ref="AV66">SQRT((AV9:AW9*$B$22:$C$22)/($B$9:$C$9*$B$22:$C$22)*(AV9:AW9*AV22:AW22)/($B$9:$C$9*AV22:AW22))</f>
        <v>0.97872971166984735</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0.99826544100814352</v>
      </c>
      <c r="E68" s="191"/>
      <c r="F68" s="191">
        <f>F66/F67</f>
        <v>0.99644440087915553</v>
      </c>
      <c r="G68" s="191"/>
      <c r="H68" s="191">
        <f>H66/H67</f>
        <v>0.99453259599672794</v>
      </c>
      <c r="I68" s="191"/>
      <c r="J68" s="191">
        <f>J66/J67</f>
        <v>0.99252786977031715</v>
      </c>
      <c r="K68" s="191"/>
      <c r="L68" s="191">
        <f>L66/L67</f>
        <v>0.99043137895648126</v>
      </c>
      <c r="M68" s="191"/>
      <c r="N68" s="191">
        <f>N66/N67</f>
        <v>0.98824940436281816</v>
      </c>
      <c r="O68" s="191"/>
      <c r="P68" s="191">
        <f>P66/P67</f>
        <v>0.98599599697986351</v>
      </c>
      <c r="Q68" s="191"/>
      <c r="R68" s="191">
        <f>R66/R67</f>
        <v>0.98369673534331337</v>
      </c>
      <c r="S68" s="191"/>
      <c r="T68" s="191">
        <f>T66/T67</f>
        <v>0.98139420574599157</v>
      </c>
      <c r="U68" s="191"/>
      <c r="V68" s="191">
        <f>V66/V67</f>
        <v>0.97915527627124155</v>
      </c>
      <c r="W68" s="191"/>
      <c r="X68" s="191">
        <f>X66/X67</f>
        <v>0.97707966854130301</v>
      </c>
      <c r="Y68" s="191"/>
      <c r="Z68" s="191">
        <f>Z66/Z67</f>
        <v>0.97530592422422413</v>
      </c>
      <c r="AA68" s="191"/>
      <c r="AB68" s="191">
        <f>AB66/AB67</f>
        <v>0.97400391326977587</v>
      </c>
      <c r="AC68" s="191"/>
      <c r="AD68" s="191">
        <f>AD66/AD67</f>
        <v>0.97333528450048623</v>
      </c>
      <c r="AE68" s="191"/>
      <c r="AF68" s="191">
        <f>AF66/AF67</f>
        <v>0.9733756861663283</v>
      </c>
      <c r="AG68" s="191"/>
      <c r="AH68" s="191">
        <f>AH66/AH67</f>
        <v>0.97404770703810406</v>
      </c>
      <c r="AI68" s="191"/>
      <c r="AJ68" s="191">
        <f>AJ66/AJ67</f>
        <v>0.97514456622780044</v>
      </c>
      <c r="AK68" s="191"/>
      <c r="AL68" s="191">
        <f>AL66/AL67</f>
        <v>0.97643353655005449</v>
      </c>
      <c r="AM68" s="191"/>
      <c r="AN68" s="191">
        <f>AN66/AN67</f>
        <v>0.97773995228410582</v>
      </c>
      <c r="AO68" s="191"/>
      <c r="AP68" s="191">
        <f>AP66/AP67</f>
        <v>0.97799353284661095</v>
      </c>
      <c r="AQ68" s="191"/>
      <c r="AR68" s="191">
        <f>AR66/AR67</f>
        <v>0.97824325535710699</v>
      </c>
      <c r="AS68" s="191"/>
      <c r="AT68" s="191">
        <f>AT66/AT67</f>
        <v>0.97848874766348914</v>
      </c>
      <c r="AU68" s="191"/>
      <c r="AV68" s="191">
        <f>AV66/AV67</f>
        <v>0.97872971166984735</v>
      </c>
      <c r="XFD68" s="191"/>
    </row>
    <row r="69" spans="1:48 16384:16384" x14ac:dyDescent="0.2">
      <c r="A69" t="s">
        <v>177</v>
      </c>
      <c r="B69" s="191">
        <f>B32/B65/($B$32)</f>
        <v>1</v>
      </c>
      <c r="C69" s="191"/>
      <c r="D69" s="191">
        <f>D32/D65/($B$32)</f>
        <v>0.99502037226806961</v>
      </c>
      <c r="E69" s="191"/>
      <c r="F69" s="191">
        <f>F32/F65/($B$32)</f>
        <v>0.98932106988847124</v>
      </c>
      <c r="G69" s="191"/>
      <c r="H69" s="191">
        <f>H32/H65/($B$32)</f>
        <v>0.98278672350162277</v>
      </c>
      <c r="I69" s="191"/>
      <c r="J69" s="191">
        <f>J32/J65/($B$32)</f>
        <v>0.97527316585474799</v>
      </c>
      <c r="K69" s="191"/>
      <c r="L69" s="191">
        <f>L32/L65/($B$32)</f>
        <v>0.96659676794346461</v>
      </c>
      <c r="M69" s="191"/>
      <c r="N69" s="191">
        <f>N32/N65/($B$32)</f>
        <v>0.9565186281772583</v>
      </c>
      <c r="O69" s="191"/>
      <c r="P69" s="191">
        <f>P32/P65/($B$32)</f>
        <v>0.94472131345992327</v>
      </c>
      <c r="Q69" s="191"/>
      <c r="R69" s="191">
        <f>R32/R65/($B$32)</f>
        <v>0.9307725651441372</v>
      </c>
      <c r="S69" s="191"/>
      <c r="T69" s="191">
        <f>T32/T65/($B$32)</f>
        <v>0.91407021486335138</v>
      </c>
      <c r="U69" s="191"/>
      <c r="V69" s="191">
        <f>V32/V65/($B$32)</f>
        <v>0.89375706578478131</v>
      </c>
      <c r="W69" s="191"/>
      <c r="X69" s="191">
        <f>X32/X65/($B$32)</f>
        <v>0.86859470956955231</v>
      </c>
      <c r="Y69" s="191"/>
      <c r="Z69" s="191">
        <f>Z32/Z65/($B$32)</f>
        <v>0.83679278272135382</v>
      </c>
      <c r="AA69" s="191"/>
      <c r="AB69" s="191">
        <f>AB32/AB65/($B$32)</f>
        <v>0.79583137112938174</v>
      </c>
      <c r="AC69" s="191"/>
      <c r="AD69" s="191">
        <f>AD32/AD65/($B$32)</f>
        <v>0.74241220000052466</v>
      </c>
      <c r="AE69" s="191"/>
      <c r="AF69" s="191">
        <f>AF32/AF65/($B$32)</f>
        <v>0.67276872769752094</v>
      </c>
      <c r="AG69" s="191"/>
      <c r="AH69" s="191">
        <f>AH32/AH65/($B$32)</f>
        <v>0.58340890877399387</v>
      </c>
      <c r="AI69" s="191"/>
      <c r="AJ69" s="191">
        <f>AJ32/AJ65/($B$32)</f>
        <v>0.47190121171756472</v>
      </c>
      <c r="AK69" s="191"/>
      <c r="AL69" s="191">
        <f>AL32/AL65/($B$32)</f>
        <v>0.33720620952312008</v>
      </c>
      <c r="AM69" s="191"/>
      <c r="AN69" s="191">
        <f>AN32/AN65/($B$32)</f>
        <v>0.1795343822166133</v>
      </c>
      <c r="AO69" s="191"/>
      <c r="AP69" s="191">
        <f>AP32/AP65/($B$32)</f>
        <v>0.14532921393783044</v>
      </c>
      <c r="AQ69" s="191"/>
      <c r="AR69" s="191">
        <f>AR32/AR65/($B$32)</f>
        <v>0.11026000252015929</v>
      </c>
      <c r="AS69" s="191"/>
      <c r="AT69" s="191">
        <f>AT32/AT65/($B$32)</f>
        <v>7.4339642770629141E-2</v>
      </c>
      <c r="AU69" s="191"/>
      <c r="AV69" s="191">
        <f>AV32/AV65/($B$32)</f>
        <v>3.7581626644748373E-2</v>
      </c>
    </row>
    <row r="70" spans="1:48 16384:16384" x14ac:dyDescent="0.2">
      <c r="A70" t="s">
        <v>178</v>
      </c>
      <c r="B70" s="138">
        <f>B18/$B$18</f>
        <v>1</v>
      </c>
      <c r="C70" s="138"/>
      <c r="D70" s="138">
        <f>D18/$B$18</f>
        <v>0.99473113195111618</v>
      </c>
      <c r="E70" s="138"/>
      <c r="F70" s="138">
        <f>F18/$B$18</f>
        <v>0.98880257783546943</v>
      </c>
      <c r="G70" s="138"/>
      <c r="H70" s="138">
        <f>H18/$B$18</f>
        <v>0.98210145489937606</v>
      </c>
      <c r="I70" s="138"/>
      <c r="J70" s="138">
        <f>J18/$B$18</f>
        <v>0.9744841229871295</v>
      </c>
      <c r="K70" s="138"/>
      <c r="L70" s="138">
        <f>L18/$B$18</f>
        <v>0.96576431323914924</v>
      </c>
      <c r="M70" s="138"/>
      <c r="N70" s="138">
        <f>N18/$B$18</f>
        <v>0.95569580871546156</v>
      </c>
      <c r="O70" s="138"/>
      <c r="P70" s="138">
        <f>P18/$B$18</f>
        <v>0.94394684305650955</v>
      </c>
      <c r="Q70" s="138"/>
      <c r="R70" s="138">
        <f>R18/$B$18</f>
        <v>0.93006102050072881</v>
      </c>
      <c r="S70" s="138"/>
      <c r="T70" s="138">
        <f>T18/$B$18</f>
        <v>0.91339822340117549</v>
      </c>
      <c r="U70" s="138"/>
      <c r="V70" s="138">
        <f>V18/$B$18</f>
        <v>0.89304553961290545</v>
      </c>
      <c r="W70" s="138"/>
      <c r="X70" s="138">
        <f>X18/$B$18</f>
        <v>0.86768875445705773</v>
      </c>
      <c r="Y70" s="138"/>
      <c r="Z70" s="138">
        <f>Z18/$B$18</f>
        <v>0.83544730931736955</v>
      </c>
      <c r="AA70" s="138"/>
      <c r="AB70" s="138">
        <f>AB18/$B$18</f>
        <v>0.79372319848284445</v>
      </c>
      <c r="AC70" s="138"/>
      <c r="AD70" s="138">
        <f>AD18/$B$18</f>
        <v>0.73921455855238505</v>
      </c>
      <c r="AE70" s="138"/>
      <c r="AF70" s="138">
        <f>AF18/$B$18</f>
        <v>0.66831263901016735</v>
      </c>
      <c r="AG70" s="138"/>
      <c r="AH70" s="138">
        <f>AH18/$B$18</f>
        <v>0.57788086111299031</v>
      </c>
      <c r="AI70" s="138"/>
      <c r="AJ70" s="138">
        <f>AJ18/$B$18</f>
        <v>0.46595016392491356</v>
      </c>
      <c r="AK70" s="138"/>
      <c r="AL70" s="138">
        <f>AL18/$B$18</f>
        <v>0.33189024346058438</v>
      </c>
      <c r="AM70" s="138"/>
      <c r="AN70" s="138">
        <f>AN18/$B$18</f>
        <v>0.17616828957516811</v>
      </c>
      <c r="AO70" s="138"/>
      <c r="AP70" s="138">
        <f>AP18/$B$18</f>
        <v>0.14252207615847365</v>
      </c>
      <c r="AQ70" s="138"/>
      <c r="AR70" s="138">
        <f>AR18/$B$18</f>
        <v>0.10806900150893588</v>
      </c>
      <c r="AS70" s="138"/>
      <c r="AT70" s="138">
        <f>AT18/$B$18</f>
        <v>7.2821979343785023E-2</v>
      </c>
      <c r="AU70" s="138"/>
      <c r="AV70" s="138">
        <f>AV18/$B$18</f>
        <v>3.6794380337445892E-2</v>
      </c>
    </row>
    <row r="71" spans="1:48 16384:16384" x14ac:dyDescent="0.2">
      <c r="A71" t="s">
        <v>179</v>
      </c>
      <c r="B71" s="138">
        <f>C18/$C$18</f>
        <v>1</v>
      </c>
      <c r="D71" s="138">
        <f>E18/$C$18</f>
        <v>0.92237723373015956</v>
      </c>
      <c r="E71" s="138"/>
      <c r="F71" s="138">
        <f>G18/$C$18</f>
        <v>0.844507523381132</v>
      </c>
      <c r="G71" s="138"/>
      <c r="H71" s="138">
        <f>I18/$C$18</f>
        <v>0.76650326822072901</v>
      </c>
      <c r="I71" s="138"/>
      <c r="J71" s="138">
        <f>K18/$C$18</f>
        <v>0.6885368489986109</v>
      </c>
      <c r="K71" s="138"/>
      <c r="L71" s="138">
        <f>M18/$C$18</f>
        <v>0.61085756327672447</v>
      </c>
      <c r="M71" s="138"/>
      <c r="N71" s="138">
        <f>O18/$C$18</f>
        <v>0.53382067922424803</v>
      </c>
      <c r="O71" s="138"/>
      <c r="P71" s="138">
        <f>Q18/$C$18</f>
        <v>0.45791957899629498</v>
      </c>
      <c r="Q71" s="138"/>
      <c r="R71" s="138">
        <f>S18/$C$18</f>
        <v>0.38383621975551485</v>
      </c>
      <c r="S71" s="138"/>
      <c r="T71" s="138">
        <f>U18/$C$18</f>
        <v>0.31249532073786657</v>
      </c>
      <c r="U71" s="138"/>
      <c r="V71" s="138">
        <f>W18/$C$18</f>
        <v>0.24513080456805189</v>
      </c>
      <c r="W71" s="138"/>
      <c r="X71" s="138">
        <f>Y18/$C$18</f>
        <v>0.18333201645380723</v>
      </c>
      <c r="Y71" s="138"/>
      <c r="Z71" s="138">
        <f>AA18/$C$18</f>
        <v>0.12900949185501773</v>
      </c>
      <c r="AA71" s="138"/>
      <c r="AB71" s="138">
        <f>AC18/$C$18</f>
        <v>8.4146054846588506E-2</v>
      </c>
      <c r="AC71" s="138"/>
      <c r="AD71" s="138">
        <f>AE18/$C$18</f>
        <v>5.0184170274642739E-2</v>
      </c>
      <c r="AE71" s="138"/>
      <c r="AF71" s="138">
        <f>AG18/$C$18</f>
        <v>2.7173180038857051E-2</v>
      </c>
      <c r="AG71" s="138"/>
      <c r="AH71" s="138">
        <f>AI18/$C$18</f>
        <v>1.3378592158078009E-2</v>
      </c>
      <c r="AI71" s="138"/>
      <c r="AJ71" s="138">
        <f>AK18/$C$18</f>
        <v>5.9959395720421242E-3</v>
      </c>
      <c r="AK71" s="138"/>
      <c r="AL71" s="138">
        <f>AM18/$C$18</f>
        <v>2.3813075411789693E-3</v>
      </c>
      <c r="AM71" s="138"/>
      <c r="AN71" s="138">
        <f>AO18/$C$18</f>
        <v>7.2177400354299186E-4</v>
      </c>
      <c r="AO71" s="138"/>
      <c r="AP71" s="138">
        <f>AQ18/$C$18</f>
        <v>5.2414970647359969E-4</v>
      </c>
      <c r="AQ71" s="138"/>
      <c r="AR71" s="138">
        <f>AS18/$C$18</f>
        <v>3.5730328793645913E-4</v>
      </c>
      <c r="AS71" s="138"/>
      <c r="AT71" s="138">
        <f>AU18/$C$18</f>
        <v>2.167921875241541E-4</v>
      </c>
      <c r="AU71" s="138"/>
      <c r="AV71" s="138">
        <f>AW18/$C$18</f>
        <v>9.8789296409854607E-5</v>
      </c>
      <c r="XFD71" s="138"/>
    </row>
    <row r="72" spans="1:48 16384:16384" x14ac:dyDescent="0.2">
      <c r="A72" t="s">
        <v>180</v>
      </c>
      <c r="B72" s="138">
        <f>C19/$C$19</f>
        <v>1</v>
      </c>
      <c r="D72" s="138">
        <f>E19/$C$19</f>
        <v>1.0614253452649274</v>
      </c>
      <c r="E72" s="138"/>
      <c r="F72" s="138">
        <f>G19/$C$19</f>
        <v>1.1276846904218569</v>
      </c>
      <c r="G72" s="138"/>
      <c r="H72" s="138">
        <f>I19/$C$19</f>
        <v>1.1987023153279948</v>
      </c>
      <c r="I72" s="138"/>
      <c r="J72" s="138">
        <f>K19/$C$19</f>
        <v>1.2741709141176536</v>
      </c>
      <c r="K72" s="138"/>
      <c r="L72" s="138">
        <f>M19/$C$19</f>
        <v>1.3534424793701529</v>
      </c>
      <c r="M72" s="138"/>
      <c r="N72" s="138">
        <f>O19/$C$19</f>
        <v>1.4353774069654253</v>
      </c>
      <c r="O72" s="138"/>
      <c r="P72" s="138">
        <f>Q19/$C$19</f>
        <v>1.5181253305362248</v>
      </c>
      <c r="Q72" s="138"/>
      <c r="R72" s="138">
        <f>S19/$C$19</f>
        <v>1.5988221318675149</v>
      </c>
      <c r="S72" s="138"/>
      <c r="T72" s="138">
        <f>U19/$C$19</f>
        <v>1.6731605741972191</v>
      </c>
      <c r="U72" s="138"/>
      <c r="V72" s="138">
        <f>W19/$C$19</f>
        <v>1.7348359604785459</v>
      </c>
      <c r="W72" s="138"/>
      <c r="X72" s="138">
        <f>Y19/$C$19</f>
        <v>1.7749285813518201</v>
      </c>
      <c r="Y72" s="138"/>
      <c r="Z72" s="138">
        <f>AA19/$C$19</f>
        <v>1.7815484937625286</v>
      </c>
      <c r="AA72" s="138"/>
      <c r="AB72" s="138">
        <f>AC19/$C$19</f>
        <v>1.7405872289584818</v>
      </c>
      <c r="AC72" s="138"/>
      <c r="AD72" s="138">
        <f>AE19/$C$19</f>
        <v>1.6389225553195792</v>
      </c>
      <c r="AE72" s="138"/>
      <c r="AF72" s="138">
        <f>AG19/$C$19</f>
        <v>1.4703119354154288</v>
      </c>
      <c r="AG72" s="138"/>
      <c r="AH72" s="138">
        <f>AI19/$C$19</f>
        <v>1.2401139890847288</v>
      </c>
      <c r="AI72" s="138"/>
      <c r="AJ72" s="138">
        <f>AK19/$C$19</f>
        <v>0.96318270054897759</v>
      </c>
      <c r="AK72" s="138"/>
      <c r="AL72" s="138">
        <f>AM19/$C$19</f>
        <v>0.65633052551108173</v>
      </c>
      <c r="AM72" s="138"/>
      <c r="AN72" s="138">
        <f>AO19/$C$19</f>
        <v>0.33257671507688275</v>
      </c>
      <c r="AO72" s="138"/>
      <c r="AP72" s="138">
        <f>AQ19/$C$19</f>
        <v>0.26658379621233813</v>
      </c>
      <c r="AQ72" s="138"/>
      <c r="AR72" s="138">
        <f>AS19/$C$19</f>
        <v>0.20029345443180246</v>
      </c>
      <c r="AS72" s="138"/>
      <c r="AT72" s="138">
        <f>AU19/$C$19</f>
        <v>0.13374421141999271</v>
      </c>
      <c r="AU72" s="138"/>
      <c r="AV72" s="138">
        <f>AW19/$C$19</f>
        <v>6.6969864642473093E-2</v>
      </c>
      <c r="XFD72" s="138"/>
    </row>
    <row r="73" spans="1:48 16384:16384" x14ac:dyDescent="0.2">
      <c r="A73" t="s">
        <v>184</v>
      </c>
      <c r="B73" s="193">
        <f t="array" ref="B73">SUM(B9:C9*B22:C22)/B32</f>
        <v>0.47641153352875076</v>
      </c>
      <c r="D73" s="193">
        <f t="array" ref="D73">SUM(D9:E9*D22:E22)/D32</f>
        <v>0.4746980192678229</v>
      </c>
      <c r="E73" s="138"/>
      <c r="F73" s="193">
        <f t="array" ref="F73">SUM(F9:G9*F22:G22)/F32</f>
        <v>0.47296858455150581</v>
      </c>
      <c r="G73" s="138"/>
      <c r="H73" s="193">
        <f t="array" ref="H73">SUM(H9:I9*H22:I22)/H32</f>
        <v>0.47122068643327164</v>
      </c>
      <c r="I73" s="138"/>
      <c r="J73" s="193">
        <f t="array" ref="J73">SUM(J9:K9*J22:K22)/J32</f>
        <v>0.46945062336423005</v>
      </c>
      <c r="K73" s="138"/>
      <c r="L73" s="193">
        <f t="array" ref="L73">SUM(L9:M9*L22:M22)/L32</f>
        <v>0.46765307661957251</v>
      </c>
      <c r="M73" s="138"/>
      <c r="N73" s="193">
        <f t="array" ref="N73">SUM(N9:O9*N22:O22)/N32</f>
        <v>0.46582030329318241</v>
      </c>
      <c r="O73" s="138"/>
      <c r="P73" s="193">
        <f t="array" ref="P73">SUM(P9:Q9*P22:Q22)/P32</f>
        <v>0.46394100897659191</v>
      </c>
      <c r="Q73" s="138"/>
      <c r="R73" s="193">
        <f t="array" ref="R73">SUM(R9:S9*R22:S22)/R32</f>
        <v>0.4619986429236797</v>
      </c>
      <c r="S73" s="138"/>
      <c r="T73" s="193">
        <f t="array" ref="T73">SUM(T9:U9*T22:U22)/T32</f>
        <v>0.45996919996406133</v>
      </c>
      <c r="U73" s="138"/>
      <c r="V73" s="193">
        <f t="array" ref="V73">SUM(V9:W9*V22:W22)/V32</f>
        <v>0.45781816306649664</v>
      </c>
      <c r="W73" s="138"/>
      <c r="X73" s="193">
        <f t="array" ref="X73">SUM(X9:Y9*X22:Y22)/X32</f>
        <v>0.45549741801122978</v>
      </c>
      <c r="Y73" s="138"/>
      <c r="Z73" s="193">
        <f t="array" ref="Z73">SUM(Z9:AA9*Z22:AA22)/Z32</f>
        <v>0.4529441631851337</v>
      </c>
      <c r="AA73" s="138"/>
      <c r="AB73" s="193">
        <f t="array" ref="AB73">SUM(AB9:AC9*AB22:AC22)/AB32</f>
        <v>0.45008739232056122</v>
      </c>
      <c r="AC73" s="138"/>
      <c r="AD73" s="193">
        <f t="array" ref="AD73">SUM(AD9:AE9*AD22:AE22)/AD32</f>
        <v>0.44687071447372612</v>
      </c>
      <c r="AE73" s="138"/>
      <c r="AF73" s="193">
        <f t="array" ref="AF73">SUM(AF9:AG9*AF22:AG22)/AF32</f>
        <v>0.44329281209481081</v>
      </c>
      <c r="AG73" s="138"/>
      <c r="AH73" s="193">
        <f t="array" ref="AH73">SUM(AH9:AI9*AH22:AI22)/AH32</f>
        <v>0.43943908503883272</v>
      </c>
      <c r="AI73" s="138"/>
      <c r="AJ73" s="193">
        <f t="array" ref="AJ73">SUM(AJ9:AK9*AJ22:AK22)/AJ32</f>
        <v>0.43546434649063437</v>
      </c>
      <c r="AK73" s="138"/>
      <c r="AL73" s="193">
        <f t="array" ref="AL73">SUM(AL9:AM9*AL22:AM22)/AL32</f>
        <v>0.43153390682709625</v>
      </c>
      <c r="AM73" s="138"/>
      <c r="AN73" s="193">
        <f t="array" ref="AN73">SUM(AN9:AO9*AN22:AO22)/AN32</f>
        <v>0.42777438447224192</v>
      </c>
      <c r="AO73" s="138"/>
      <c r="AP73" s="193">
        <f t="array" ref="AP73">SUM(AP9:AQ9*AP22:AQ22)/AP32</f>
        <v>0.42705034826583815</v>
      </c>
      <c r="AQ73" s="138"/>
      <c r="AR73" s="193">
        <f t="array" ref="AR73">SUM(AR9:AS9*AR22:AS22)/AR32</f>
        <v>0.42633659449426503</v>
      </c>
      <c r="AS73" s="138"/>
      <c r="AT73" s="193">
        <f t="array" ref="AT73">SUM(AT9:AU9*AT22:AU22)/AT32</f>
        <v>0.4256334000265366</v>
      </c>
      <c r="AU73" s="138"/>
      <c r="AV73" s="193">
        <f t="array" ref="AV73">SUM(AV9:AW9*AV22:AW22)/AV32</f>
        <v>0.42494100396811069</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0.22604620456442481</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0.22209789093900473</v>
      </c>
      <c r="E75" s="138"/>
      <c r="F75" s="193">
        <f t="array" ref="F75">SUM(F11:G11*F24:G24)/F32</f>
        <v>0.22382733702583982</v>
      </c>
      <c r="G75" s="138"/>
      <c r="H75" s="193">
        <f t="array" ref="H75">SUM(H11:I11*H24:I24)/H32</f>
        <v>0.22557523495412618</v>
      </c>
      <c r="I75" s="138"/>
      <c r="J75" s="193">
        <f t="array" ref="J75">SUM(J11:K11*J24:K24)/J32</f>
        <v>0.22734529832932343</v>
      </c>
      <c r="K75" s="138"/>
      <c r="L75" s="193">
        <f t="array" ref="L75">SUM(L11:M11*L24:M24)/L32</f>
        <v>0.22914284463158854</v>
      </c>
      <c r="M75" s="138"/>
      <c r="N75" s="193">
        <f t="array" ref="N75">SUM(N11:O11*N24:O24)/N32</f>
        <v>0.23097561854353191</v>
      </c>
      <c r="O75" s="138"/>
      <c r="P75" s="193">
        <f t="array" ref="P75">SUM(P11:Q11*P24:Q24)/P32</f>
        <v>0.23285491687120091</v>
      </c>
      <c r="Q75" s="138"/>
      <c r="R75" s="193">
        <f t="array" ref="R75">SUM(R11:S11*R24:S24)/R32</f>
        <v>0.23479728022049351</v>
      </c>
      <c r="S75" s="138"/>
      <c r="T75" s="193">
        <f t="array" ref="T75">SUM(T11:U11*T24:U24)/T32</f>
        <v>0.23682672217194045</v>
      </c>
      <c r="U75" s="138"/>
      <c r="V75" s="193">
        <f t="array" ref="V75">SUM(V11:W11*V24:W24)/V32</f>
        <v>0.23897775857959966</v>
      </c>
      <c r="W75" s="138"/>
      <c r="X75" s="193">
        <f t="array" ref="X75">SUM(X11:Y11*X24:Y24)/X32</f>
        <v>0.24129850329779307</v>
      </c>
      <c r="Y75" s="138"/>
      <c r="Z75" s="193">
        <f t="array" ref="Z75">SUM(Z11:AA11*Z24:AA24)/Z32</f>
        <v>0.24385175891904676</v>
      </c>
      <c r="AA75" s="138"/>
      <c r="AB75" s="193">
        <f t="array" ref="AB75">SUM(AB11:AC11*AB24:AC24)/AB32</f>
        <v>0.24670852939665006</v>
      </c>
      <c r="AC75" s="138"/>
      <c r="AD75" s="193">
        <f t="array" ref="AD75">SUM(AD11:AE11*AD24:AE24)/AD32</f>
        <v>0.24992520854736122</v>
      </c>
      <c r="AE75" s="138"/>
      <c r="AF75" s="193">
        <f t="array" ref="AF75">SUM(AF11:AG11*AF24:AG24)/AF32</f>
        <v>0.25350310985649782</v>
      </c>
      <c r="AG75" s="138"/>
      <c r="AH75" s="193">
        <f t="array" ref="AH75">SUM(AH11:AI11*AH24:AI24)/AH32</f>
        <v>0.25735683680578358</v>
      </c>
      <c r="AI75" s="138"/>
      <c r="AJ75" s="193">
        <f t="array" ref="AJ75">SUM(AJ11:AK11*AJ24:AK24)/AJ32</f>
        <v>0.2613315753625805</v>
      </c>
      <c r="AK75" s="138"/>
      <c r="AL75" s="193">
        <f t="array" ref="AL75">SUM(AL11:AM11*AL24:AM24)/AL32</f>
        <v>0.26526201503932406</v>
      </c>
      <c r="AM75" s="138"/>
      <c r="AN75" s="193">
        <f t="array" ref="AN75">SUM(AN11:AO11*AN24:AO24)/AN32</f>
        <v>0.26902153742921942</v>
      </c>
      <c r="AO75" s="138"/>
      <c r="AP75" s="193">
        <f t="array" ref="AP75">SUM(AP11:AQ11*AP24:AQ24)/AP32</f>
        <v>0.26974557338674859</v>
      </c>
      <c r="AQ75" s="138"/>
      <c r="AR75" s="193">
        <f t="array" ref="AR75">SUM(AR11:AS11*AR24:AS24)/AR32</f>
        <v>0.270459327748234</v>
      </c>
      <c r="AS75" s="138"/>
      <c r="AT75" s="193">
        <f t="array" ref="AT75">SUM(AT11:AU11*AT24:AU24)/AT32</f>
        <v>0.27116252126049556</v>
      </c>
      <c r="AU75" s="138"/>
      <c r="AV75" s="193">
        <f t="array" ref="AV75">SUM(AV11:AW11*AV24:AW24)/AV32</f>
        <v>0.27185491989129917</v>
      </c>
      <c r="XFD75" s="193"/>
    </row>
    <row r="76" spans="1:48 16384:16384" x14ac:dyDescent="0.2">
      <c r="A76" t="s">
        <v>187</v>
      </c>
      <c r="B76" s="193">
        <f t="array" ref="B76">SUM(B12:C12*B25:C25)/B32</f>
        <v>0.22301874374724867</v>
      </c>
      <c r="D76" s="193">
        <f t="array" ref="D76">SUM(D12:E12*D25:E25)/D32</f>
        <v>0.22339480404585527</v>
      </c>
      <c r="E76" s="138"/>
      <c r="F76" s="193">
        <f t="array" ref="F76">SUM(F12:G12*F25:G25)/F32</f>
        <v>0.22386162919594504</v>
      </c>
      <c r="G76" s="138"/>
      <c r="H76" s="193">
        <f t="array" ref="H76">SUM(H12:I12*H25:I25)/H32</f>
        <v>0.22442509507023806</v>
      </c>
      <c r="I76" s="138"/>
      <c r="J76" s="193">
        <f t="array" ref="J76">SUM(J12:K12*J25:K25)/J32</f>
        <v>0.22508975674275886</v>
      </c>
      <c r="K76" s="138"/>
      <c r="L76" s="193">
        <f t="array" ref="L76">SUM(L12:M12*L25:M25)/L32</f>
        <v>0.22585783635197634</v>
      </c>
      <c r="M76" s="138"/>
      <c r="N76" s="193">
        <f t="array" ref="N76">SUM(N12:O12*N25:O25)/N32</f>
        <v>0.22672772654890852</v>
      </c>
      <c r="O76" s="138"/>
      <c r="P76" s="193">
        <f t="array" ref="P76">SUM(P12:Q12*P25:Q25)/P32</f>
        <v>0.22769164281124771</v>
      </c>
      <c r="Q76" s="138"/>
      <c r="R76" s="193">
        <f t="array" ref="R76">SUM(R12:S12*R25:S25)/R32</f>
        <v>0.22873231270057148</v>
      </c>
      <c r="S76" s="138"/>
      <c r="T76" s="193">
        <f t="array" ref="T76">SUM(T12:U12*T25:U25)/T32</f>
        <v>0.22981789335265029</v>
      </c>
      <c r="U76" s="138"/>
      <c r="V76" s="193">
        <f t="array" ref="V76">SUM(V12:W12*V25:W25)/V32</f>
        <v>0.23089516359433093</v>
      </c>
      <c r="W76" s="138"/>
      <c r="X76" s="193">
        <f t="array" ref="X76">SUM(X12:Y12*X25:Y25)/X32</f>
        <v>0.23188121603464126</v>
      </c>
      <c r="Y76" s="138"/>
      <c r="Z76" s="193">
        <f t="array" ref="Z76">SUM(Z12:AA12*Z25:AA25)/Z32</f>
        <v>0.23265721234345346</v>
      </c>
      <c r="AA76" s="138"/>
      <c r="AB76" s="193">
        <f t="array" ref="AB76">SUM(AB12:AC12*AB25:AC25)/AB32</f>
        <v>0.23307419727418341</v>
      </c>
      <c r="AC76" s="138"/>
      <c r="AD76" s="193">
        <f t="array" ref="AD76">SUM(AD12:AE12*AD25:AE25)/AD32</f>
        <v>0.23298839428493881</v>
      </c>
      <c r="AE76" s="138"/>
      <c r="AF76" s="193">
        <f t="array" ref="AF76">SUM(AF12:AG12*AF25:AG25)/AF32</f>
        <v>0.23233214462672239</v>
      </c>
      <c r="AG76" s="138"/>
      <c r="AH76" s="193">
        <f t="array" ref="AH76">SUM(AH12:AI12*AH25:AI25)/AH32</f>
        <v>0.23117539384955382</v>
      </c>
      <c r="AI76" s="138"/>
      <c r="AJ76" s="193">
        <f t="array" ref="AJ76">SUM(AJ12:AK12*AJ25:AK25)/AJ32</f>
        <v>0.22970375645006696</v>
      </c>
      <c r="AK76" s="138"/>
      <c r="AL76" s="193">
        <f t="array" ref="AL76">SUM(AL12:AM12*AL25:AM25)/AL32</f>
        <v>0.22812373416554721</v>
      </c>
      <c r="AM76" s="138"/>
      <c r="AN76" s="193">
        <f t="array" ref="AN76">SUM(AN12:AO12*AN25:AO25)/AN32</f>
        <v>0.22658673662906487</v>
      </c>
      <c r="AO76" s="138"/>
      <c r="AP76" s="193">
        <f t="array" ref="AP76">SUM(AP12:AQ12*AP25:AQ25)/AP32</f>
        <v>0.22629267195873734</v>
      </c>
      <c r="AQ76" s="138"/>
      <c r="AR76" s="193">
        <f t="array" ref="AR76">SUM(AR12:AS12*AR25:AS25)/AR32</f>
        <v>0.22600406782849208</v>
      </c>
      <c r="AS76" s="138"/>
      <c r="AT76" s="193">
        <f t="array" ref="AT76">SUM(AT12:AU12*AT25:AU25)/AT32</f>
        <v>0.22572119442864269</v>
      </c>
      <c r="AU76" s="138"/>
      <c r="AV76" s="193">
        <f t="array" ref="AV76">SUM(AV12:AW12*AV25:AW25)/AV32</f>
        <v>0.22544426032123835</v>
      </c>
      <c r="XFD76" s="193"/>
    </row>
    <row r="77" spans="1:48 16384:16384" x14ac:dyDescent="0.2">
      <c r="A77" t="s">
        <v>188</v>
      </c>
      <c r="B77" s="193">
        <f t="array" ref="B77">SUM(B4:C4*B19:C19)/B32</f>
        <v>0.14586087017236496</v>
      </c>
      <c r="D77" s="193">
        <f t="array" ref="D77">SUM(D4:E4*D19:E19)/D32</f>
        <v>0.14623691881710757</v>
      </c>
      <c r="E77" s="138"/>
      <c r="F77" s="193">
        <f t="array" ref="F77">SUM(F4:G4*F19:G19)/F32</f>
        <v>0.14670375533771557</v>
      </c>
      <c r="G77" s="138"/>
      <c r="H77" s="193">
        <f t="array" ref="H77">SUM(H4:I4*H19:I19)/H32</f>
        <v>0.14726722102206063</v>
      </c>
      <c r="I77" s="138"/>
      <c r="J77" s="193">
        <f t="array" ref="J77">SUM(J4:K4*J19:K19)/J32</f>
        <v>0.14793188300073692</v>
      </c>
      <c r="K77" s="138"/>
      <c r="L77" s="193">
        <f t="array" ref="L77">SUM(L4:M4*L19:M19)/L32</f>
        <v>0.14869996216756218</v>
      </c>
      <c r="M77" s="138"/>
      <c r="N77" s="193">
        <f t="array" ref="N77">SUM(N4:O4*N19:O19)/N32</f>
        <v>0.14956985295004746</v>
      </c>
      <c r="O77" s="138"/>
      <c r="P77" s="193">
        <f t="array" ref="P77">SUM(P4:Q4*P19:Q19)/P32</f>
        <v>0.15053377322346514</v>
      </c>
      <c r="Q77" s="138"/>
      <c r="R77" s="193">
        <f t="array" ref="R77">SUM(R4:S4*R19:S19)/R32</f>
        <v>0.15157444040916945</v>
      </c>
      <c r="S77" s="138"/>
      <c r="T77" s="193">
        <f t="array" ref="T77">SUM(T4:U4*T19:U19)/T32</f>
        <v>0.15266002005307677</v>
      </c>
      <c r="U77" s="138"/>
      <c r="V77" s="193">
        <f t="array" ref="V77">SUM(V4:W4*V19:W19)/V32</f>
        <v>0.15373728980485193</v>
      </c>
      <c r="W77" s="138"/>
      <c r="X77" s="193">
        <f t="array" ref="X77">SUM(X4:Y4*X19:Y19)/X32</f>
        <v>0.15472334190808879</v>
      </c>
      <c r="Y77" s="138"/>
      <c r="Z77" s="193">
        <f t="array" ref="Z77">SUM(Z4:AA4*Z19:AA19)/Z32</f>
        <v>0.15549933901205865</v>
      </c>
      <c r="AA77" s="138"/>
      <c r="AB77" s="193">
        <f t="array" ref="AB77">SUM(AB4:AC4*AB19:AC19)/AB32</f>
        <v>0.15591632355581936</v>
      </c>
      <c r="AC77" s="138"/>
      <c r="AD77" s="193">
        <f t="array" ref="AD77">SUM(AD4:AE4*AD19:AE19)/AD32</f>
        <v>0.15583052187045104</v>
      </c>
      <c r="AE77" s="138"/>
      <c r="AF77" s="193">
        <f t="array" ref="AF77">SUM(AF4:AG4*AF19:AG19)/AF32</f>
        <v>0.15517427114245572</v>
      </c>
      <c r="AG77" s="138"/>
      <c r="AH77" s="193">
        <f t="array" ref="AH77">SUM(AH4:AI4*AH19:AI19)/AH32</f>
        <v>0.15401752025859497</v>
      </c>
      <c r="AI77" s="138"/>
      <c r="AJ77" s="193">
        <f t="array" ref="AJ77">SUM(AJ4:AK4*AJ19:AK19)/AJ32</f>
        <v>0.15254588286770662</v>
      </c>
      <c r="AK77" s="138"/>
      <c r="AL77" s="193">
        <f t="array" ref="AL77">SUM(AL4:AM4*AL19:AM19)/AL32</f>
        <v>0.15096586059639233</v>
      </c>
      <c r="AM77" s="138"/>
      <c r="AN77" s="193">
        <f t="array" ref="AN77">SUM(AN4:AO4*AN19:AO19)/AN32</f>
        <v>0.1494288630949509</v>
      </c>
      <c r="AO77" s="138"/>
      <c r="AP77" s="193">
        <f t="array" ref="AP77">SUM(AP4:AQ4*AP19:AQ19)/AP32</f>
        <v>0.14913479817574876</v>
      </c>
      <c r="AQ77" s="138"/>
      <c r="AR77" s="193">
        <f t="array" ref="AR77">SUM(AR4:AS4*AR19:AS19)/AR32</f>
        <v>0.14884619463541593</v>
      </c>
      <c r="AS77" s="138"/>
      <c r="AT77" s="193">
        <f t="array" ref="AT77">SUM(AT4:AU4*AT19:AU19)/AT32</f>
        <v>0.1485633202800995</v>
      </c>
      <c r="AU77" s="138"/>
      <c r="AV77" s="193">
        <f t="array" ref="AV77">SUM(AV4:AW4*AV19:AW19)/AV32</f>
        <v>0.14828638874507288</v>
      </c>
      <c r="XFD77" s="193"/>
    </row>
    <row r="78" spans="1:48 16384:16384" x14ac:dyDescent="0.2">
      <c r="A78" t="s">
        <v>189</v>
      </c>
      <c r="B78" s="193">
        <f t="array" ref="B78">SUM(B13:C13*B26:C26)/B32</f>
        <v>0.346887593115773</v>
      </c>
      <c r="D78" s="193">
        <f t="array" ref="D78">SUM(D13:E13*D26:E26)/D32</f>
        <v>0.34615612318136563</v>
      </c>
      <c r="E78" s="138"/>
      <c r="F78" s="193">
        <f t="array" ref="F78">SUM(F13:G13*F26:G26)/F32</f>
        <v>0.3454199431399278</v>
      </c>
      <c r="G78" s="138"/>
      <c r="H78" s="193">
        <f t="array" ref="H78">SUM(H13:I13*H26:I26)/H32</f>
        <v>0.34467844147132753</v>
      </c>
      <c r="I78" s="138"/>
      <c r="J78" s="193">
        <f t="array" ref="J78">SUM(J13:K13*J26:K26)/J32</f>
        <v>0.34393029189447016</v>
      </c>
      <c r="K78" s="138"/>
      <c r="L78" s="193">
        <f t="array" ref="L78">SUM(L13:M13*L26:M26)/L32</f>
        <v>0.34317305579422375</v>
      </c>
      <c r="M78" s="138"/>
      <c r="N78" s="193">
        <f t="array" ref="N78">SUM(N13:O13*N26:O26)/N32</f>
        <v>0.34240265908171019</v>
      </c>
      <c r="O78" s="138"/>
      <c r="P78" s="193">
        <f t="array" ref="P78">SUM(P13:Q13*P26:Q26)/P32</f>
        <v>0.34161256952388891</v>
      </c>
      <c r="Q78" s="138"/>
      <c r="R78" s="193">
        <f t="array" ref="R78">SUM(R13:S13*R26:S26)/R32</f>
        <v>0.34079278284691278</v>
      </c>
      <c r="S78" s="138"/>
      <c r="T78" s="193">
        <f t="array" ref="T78">SUM(T13:U13*T26:U26)/T32</f>
        <v>0.33992831980052396</v>
      </c>
      <c r="U78" s="138"/>
      <c r="V78" s="193">
        <f t="array" ref="V78">SUM(V13:W13*V26:W26)/V32</f>
        <v>0.3389975583886799</v>
      </c>
      <c r="W78" s="138"/>
      <c r="X78" s="193">
        <f t="array" ref="X78">SUM(X13:Y13*X26:Y26)/X32</f>
        <v>0.33797076702877038</v>
      </c>
      <c r="Y78" s="138"/>
      <c r="Z78" s="193">
        <f t="array" ref="Z78">SUM(Z13:AA13*Z26:AA26)/Z32</f>
        <v>0.33681065934909754</v>
      </c>
      <c r="AA78" s="138"/>
      <c r="AB78" s="193">
        <f t="array" ref="AB78">SUM(AB13:AC13*AB26:AC26)/AB32</f>
        <v>0.33547883878250528</v>
      </c>
      <c r="AC78" s="138"/>
      <c r="AD78" s="193">
        <f t="array" ref="AD78">SUM(AD13:AE13*AD26:AE26)/AD32</f>
        <v>0.33395316718407575</v>
      </c>
      <c r="AE78" s="138"/>
      <c r="AF78" s="193">
        <f t="array" ref="AF78">SUM(AF13:AG13*AF26:AG26)/AF32</f>
        <v>0.33225380616133515</v>
      </c>
      <c r="AG78" s="138"/>
      <c r="AH78" s="193">
        <f t="array" ref="AH78">SUM(AH13:AI13*AH26:AI26)/AH32</f>
        <v>0.33045633330743912</v>
      </c>
      <c r="AI78" s="138"/>
      <c r="AJ78" s="193">
        <f t="array" ref="AJ78">SUM(AJ13:AK13*AJ26:AK26)/AJ32</f>
        <v>0.3286682491812486</v>
      </c>
      <c r="AK78" s="138"/>
      <c r="AL78" s="193">
        <f t="array" ref="AL78">SUM(AL13:AM13*AL26:AM26)/AL32</f>
        <v>0.32698450898871712</v>
      </c>
      <c r="AM78" s="138"/>
      <c r="AN78" s="193">
        <f t="array" ref="AN78">SUM(AN13:AO13*AN26:AO26)/AN32</f>
        <v>0.32546082950017641</v>
      </c>
      <c r="AO78" s="138"/>
      <c r="AP78" s="193">
        <f t="array" ref="AP78">SUM(AP13:AQ13*AP26:AQ26)/AP32</f>
        <v>0.32517737647246786</v>
      </c>
      <c r="AQ78" s="138"/>
      <c r="AR78" s="193">
        <f t="array" ref="AR78">SUM(AR13:AS13*AR26:AS26)/AR32</f>
        <v>0.32490110336912825</v>
      </c>
      <c r="AS78" s="138"/>
      <c r="AT78" s="193">
        <f t="array" ref="AT78">SUM(AT13:AU13*AT26:AU26)/AT32</f>
        <v>0.3246319709168845</v>
      </c>
      <c r="AU78" s="138"/>
      <c r="AV78" s="193">
        <f t="array" ref="AV78">SUM(AV13:AW13*AV26:AW26)/AV32</f>
        <v>0.32436991276493193</v>
      </c>
      <c r="XFD78" s="193"/>
    </row>
    <row r="79" spans="1:48 16384:16384" x14ac:dyDescent="0.2">
      <c r="A79" t="s">
        <v>190</v>
      </c>
      <c r="B79" s="193">
        <f t="array" ref="B79">SUM(B15:C15*B27:C27)/B32</f>
        <v>0.45460968782440875</v>
      </c>
      <c r="D79" s="193">
        <f t="array" ref="D79">SUM(D15:E15*D27:E27)/D32</f>
        <v>0.45245117575231247</v>
      </c>
      <c r="F79" s="193">
        <f t="array" ref="F79">SUM(F15:G15*F27:G27)/F32</f>
        <v>0.45027057545489108</v>
      </c>
      <c r="H79" s="193">
        <f t="array" ref="H79">SUM(H15:I15*H27:I27)/H32</f>
        <v>0.44806407955922006</v>
      </c>
      <c r="J79" s="193">
        <f t="array" ref="J79">SUM(J15:K15*J27:K27)/J32</f>
        <v>0.44582681728617884</v>
      </c>
      <c r="L79" s="193">
        <f t="array" ref="L79">SUM(L15:M15*L27:M27)/L32</f>
        <v>0.44355223516987785</v>
      </c>
      <c r="N79" s="193">
        <f t="array" ref="N79">SUM(N15:O15*N27:O27)/N32</f>
        <v>0.44123140789754284</v>
      </c>
      <c r="P79" s="193">
        <f t="array" ref="P79">SUM(P15:Q15*P27:Q27)/P32</f>
        <v>0.43885175509455304</v>
      </c>
      <c r="R79" s="193">
        <f t="array" ref="R79">SUM(R15:S15*R27:S27)/R32</f>
        <v>0.43639552531103071</v>
      </c>
      <c r="T79" s="193">
        <f t="array" ref="T79">SUM(T15:U15*T27:U27)/T32</f>
        <v>0.43383719653768488</v>
      </c>
      <c r="V79" s="193">
        <f t="array" ref="V79">SUM(V15:W15*V27:W27)/V32</f>
        <v>0.43114028920114816</v>
      </c>
      <c r="X79" s="193">
        <f t="array" ref="X79">SUM(X15:Y15*X27:Y27)/X32</f>
        <v>0.42825351556963903</v>
      </c>
      <c r="Z79" s="193">
        <f t="array" ref="Z79">SUM(Z15:AA15*Z27:AA27)/Z32</f>
        <v>0.42510838749477076</v>
      </c>
      <c r="AB79" s="193">
        <f t="array" ref="AB79">SUM(AB15:AC15*AB27:AC27)/AB32</f>
        <v>0.42162366685820923</v>
      </c>
      <c r="AD79" s="193">
        <f t="array" ref="AD79">SUM(AD15:AE15*AD27:AE27)/AD32</f>
        <v>0.41772634620141885</v>
      </c>
      <c r="AF79" s="193">
        <f t="array" ref="AF79">SUM(AF15:AG15*AF27:AG27)/AF32</f>
        <v>0.41339376979749021</v>
      </c>
      <c r="AH79" s="193">
        <f t="array" ref="AH79">SUM(AH15:AI15*AH27:AI27)/AH32</f>
        <v>0.40869383477990073</v>
      </c>
      <c r="AJ79" s="193">
        <f t="array" ref="AJ79">SUM(AJ15:AK15*AJ27:AK27)/AJ32</f>
        <v>0.40377956741663978</v>
      </c>
      <c r="AL79" s="193">
        <f t="array" ref="AL79">SUM(AL15:AM15*AL27:AM27)/AL32</f>
        <v>0.39883447966263891</v>
      </c>
      <c r="AN79" s="193">
        <f t="array" ref="AN79">SUM(AN15:AO15*AN27:AO27)/AN32</f>
        <v>0.39401638038631703</v>
      </c>
      <c r="AP79" s="193">
        <f t="array" ref="AP79">SUM(AP15:AQ15*AP27:AQ27)/AP32</f>
        <v>0.39307834900516747</v>
      </c>
      <c r="AR79" s="193">
        <f t="array" ref="AR79">SUM(AR15:AS15*AR27:AS27)/AR32</f>
        <v>0.39215043850086928</v>
      </c>
      <c r="AT79" s="193">
        <f t="array" ref="AT79">SUM(AT15:AU15*AT27:AU27)/AT32</f>
        <v>0.39123316395762608</v>
      </c>
      <c r="AV79" s="193">
        <f t="array" ref="AV79">SUM(AV15:AW15*AV27:AW27)/AV32</f>
        <v>0.39032698212198463</v>
      </c>
      <c r="XFD79" s="193"/>
    </row>
    <row r="80" spans="1:48 16384:16384" x14ac:dyDescent="0.2">
      <c r="A80" t="s">
        <v>169</v>
      </c>
      <c r="B80" s="236">
        <f>B55</f>
        <v>0.19850271905982084</v>
      </c>
      <c r="D80" s="236">
        <f>D55</f>
        <v>0.20139269397767506</v>
      </c>
      <c r="F80" s="236">
        <f>F55</f>
        <v>0.20430947797636828</v>
      </c>
      <c r="H80" s="236">
        <f>H55</f>
        <v>0.20725747243762097</v>
      </c>
      <c r="J80" s="236">
        <f>J55</f>
        <v>0.21024288795164386</v>
      </c>
      <c r="L80" s="236">
        <f>L55</f>
        <v>0.21327469349124947</v>
      </c>
      <c r="N80" s="236">
        <f>N55</f>
        <v>0.21636593711347196</v>
      </c>
      <c r="P80" s="236">
        <f>P55</f>
        <v>0.21953566994239723</v>
      </c>
      <c r="R80" s="236">
        <f>R55</f>
        <v>0.22281169067183862</v>
      </c>
      <c r="T80" s="236">
        <f>T55</f>
        <v>0.22623448075712066</v>
      </c>
      <c r="V80" s="236">
        <f>V55</f>
        <v>0.22986215378847041</v>
      </c>
      <c r="X80" s="236">
        <f>X55</f>
        <v>0.2337757205735766</v>
      </c>
      <c r="Z80" s="236">
        <f>Z55</f>
        <v>0.23808095139892485</v>
      </c>
      <c r="AB80" s="236">
        <f>AB55</f>
        <v>0.24289749530940152</v>
      </c>
      <c r="AD80" s="236">
        <f>AD55</f>
        <v>0.24832048576231897</v>
      </c>
      <c r="AF80" s="236">
        <f>AF55</f>
        <v>0.25435242247176615</v>
      </c>
      <c r="AH80" s="236">
        <f>AH55</f>
        <v>0.26084983213764329</v>
      </c>
      <c r="AJ80" s="236">
        <f>AJ55</f>
        <v>0.26755218307736711</v>
      </c>
      <c r="AL80" s="236">
        <f>AL55</f>
        <v>0.27418101138719225</v>
      </c>
      <c r="AN80" s="236">
        <f>AN55</f>
        <v>0.28052279048146078</v>
      </c>
      <c r="AP80" s="236">
        <f>AP55</f>
        <v>0.28174427314176798</v>
      </c>
      <c r="AR80" s="236">
        <f>AR55</f>
        <v>0.28294846070781277</v>
      </c>
      <c r="AT80" s="236">
        <f>AT55</f>
        <v>0.2841348612124317</v>
      </c>
      <c r="AV80" s="236">
        <f>AV55</f>
        <v>0.28530311887990445</v>
      </c>
      <c r="XFD80" s="236"/>
    </row>
    <row r="81" spans="1:48 16384:16384" x14ac:dyDescent="0.2">
      <c r="A81" t="s">
        <v>191</v>
      </c>
      <c r="B81" s="236">
        <f>B51/B$32</f>
        <v>-2.7543485504603994E-2</v>
      </c>
      <c r="D81" s="236">
        <f>D51/D$32</f>
        <v>-2.4653510586749795E-2</v>
      </c>
      <c r="F81" s="236">
        <f>F51/F$32</f>
        <v>-2.1736726588056563E-2</v>
      </c>
      <c r="H81" s="236">
        <f>H51/H$32</f>
        <v>-1.8788732126803868E-2</v>
      </c>
      <c r="J81" s="236">
        <f>J51/J$32</f>
        <v>-1.580331661278097E-2</v>
      </c>
      <c r="L81" s="236">
        <f>L51/L$32</f>
        <v>-1.2771511073175361E-2</v>
      </c>
      <c r="N81" s="236">
        <f>N51/N$32</f>
        <v>-9.6802674509528681E-3</v>
      </c>
      <c r="P81" s="236">
        <f>P51/P$32</f>
        <v>-6.5105346220276266E-3</v>
      </c>
      <c r="R81" s="236">
        <f>R51/R$32</f>
        <v>-3.2345138925862407E-3</v>
      </c>
      <c r="T81" s="236">
        <f>T51/T$32</f>
        <v>1.8827619269582812E-4</v>
      </c>
      <c r="V81" s="236">
        <f>V51/V$32</f>
        <v>3.8159492240455767E-3</v>
      </c>
      <c r="X81" s="236">
        <f>X51/X$32</f>
        <v>7.7295160091517554E-3</v>
      </c>
      <c r="Z81" s="236">
        <f>Z51/Z$32</f>
        <v>1.2034746834500031E-2</v>
      </c>
      <c r="AB81" s="236">
        <f>AB51/AB$32</f>
        <v>1.6851290744976662E-2</v>
      </c>
      <c r="AD81" s="236">
        <f>AD51/AD$32</f>
        <v>2.22742811978941E-2</v>
      </c>
      <c r="AF81" s="236">
        <f>AF51/AF$32</f>
        <v>2.830621790734129E-2</v>
      </c>
      <c r="AH81" s="236">
        <f>AH51/AH$32</f>
        <v>3.4803627573218456E-2</v>
      </c>
      <c r="AJ81" s="236">
        <f>AJ51/AJ$32</f>
        <v>4.1505978512942278E-2</v>
      </c>
      <c r="AL81" s="236">
        <f>AL51/AL$32</f>
        <v>4.8134806822767391E-2</v>
      </c>
      <c r="AN81" s="236">
        <f>AN51/AN$32</f>
        <v>5.4476585917035976E-2</v>
      </c>
      <c r="AP81" s="236">
        <f>AP51/AP$32</f>
        <v>5.5698068577343107E-2</v>
      </c>
      <c r="AR81" s="236">
        <f>AR51/AR$32</f>
        <v>5.6902256143387966E-2</v>
      </c>
      <c r="AT81" s="236">
        <f>AT51/AT$32</f>
        <v>5.808865664800688E-2</v>
      </c>
      <c r="AV81" s="236">
        <f>AV51/AV$32</f>
        <v>5.9256914315479602E-2</v>
      </c>
      <c r="XFD81" s="236"/>
    </row>
    <row r="82" spans="1:48 16384:16384" x14ac:dyDescent="0.2">
      <c r="A82" t="s">
        <v>192</v>
      </c>
      <c r="B82" s="236">
        <f>B52/B$32</f>
        <v>0.13907860278212886</v>
      </c>
      <c r="D82" s="236">
        <f>D52/D$32</f>
        <v>0.13878533251685141</v>
      </c>
      <c r="F82" s="236">
        <f>F52/F$32</f>
        <v>0.13849017381532619</v>
      </c>
      <c r="H82" s="236">
        <f>H52/H$32</f>
        <v>0.13819288149909414</v>
      </c>
      <c r="J82" s="236">
        <f>J52/J$32</f>
        <v>0.13789292381860532</v>
      </c>
      <c r="L82" s="236">
        <f>L52/L$32</f>
        <v>0.1375893230531455</v>
      </c>
      <c r="N82" s="236">
        <f>N52/N$32</f>
        <v>0.13728044576698506</v>
      </c>
      <c r="P82" s="236">
        <f>P52/P$32</f>
        <v>0.13696367297385187</v>
      </c>
      <c r="R82" s="236">
        <f>R52/R$32</f>
        <v>0.13663499363254378</v>
      </c>
      <c r="T82" s="236">
        <f>T52/T$32</f>
        <v>0.13628840207079709</v>
      </c>
      <c r="V82" s="236">
        <f>V52/V$32</f>
        <v>0.13591522932189573</v>
      </c>
      <c r="X82" s="236">
        <f>X52/X$32</f>
        <v>0.1355035550201362</v>
      </c>
      <c r="Z82" s="236">
        <f>Z52/Z$32</f>
        <v>0.13503842983731693</v>
      </c>
      <c r="AB82" s="236">
        <f>AB52/AB$32</f>
        <v>0.13450445933149852</v>
      </c>
      <c r="AD82" s="236">
        <f>AD52/AD$32</f>
        <v>0.13389276759496779</v>
      </c>
      <c r="AF82" s="236">
        <f>AF52/AF$32</f>
        <v>0.13321143807683106</v>
      </c>
      <c r="AH82" s="236">
        <f>AH52/AH$32</f>
        <v>0.13249077231068696</v>
      </c>
      <c r="AJ82" s="236">
        <f>AJ52/AJ$32</f>
        <v>0.1317738707931268</v>
      </c>
      <c r="AL82" s="236">
        <f>AL52/AL$32</f>
        <v>0.13109880417767933</v>
      </c>
      <c r="AN82" s="236">
        <f>AN52/AN$32</f>
        <v>0.13048791114327984</v>
      </c>
      <c r="AP82" s="236">
        <f>AP52/AP$32</f>
        <v>0.13037426553637307</v>
      </c>
      <c r="AR82" s="236">
        <f>AR52/AR$32</f>
        <v>0.13026349859641528</v>
      </c>
      <c r="AT82" s="236">
        <f>AT52/AT$32</f>
        <v>0.1301555945774644</v>
      </c>
      <c r="AV82" s="236">
        <f>AV52/AV$32</f>
        <v>0.1300505268773087</v>
      </c>
    </row>
    <row r="83" spans="1:48 16384:16384" x14ac:dyDescent="0.2">
      <c r="A83" t="s">
        <v>193</v>
      </c>
      <c r="B83" s="236">
        <f>B53/B$32</f>
        <v>0.18600714462930035</v>
      </c>
      <c r="D83" s="236">
        <f>D53/D$32</f>
        <v>0.1851239723654185</v>
      </c>
      <c r="F83" s="236">
        <f>F53/F$32</f>
        <v>0.1842317625296751</v>
      </c>
      <c r="H83" s="236">
        <f>H53/H$32</f>
        <v>0.18332895730536464</v>
      </c>
      <c r="J83" s="236">
        <f>J53/J$32</f>
        <v>0.18241356377473666</v>
      </c>
      <c r="L83" s="236">
        <f>L53/L$32</f>
        <v>0.18148290053545824</v>
      </c>
      <c r="N83" s="236">
        <f>N53/N$32</f>
        <v>0.18053331572530879</v>
      </c>
      <c r="P83" s="236">
        <f>P53/P$32</f>
        <v>0.17955966198464279</v>
      </c>
      <c r="R83" s="236">
        <f>R53/R$32</f>
        <v>0.17855467616752818</v>
      </c>
      <c r="T83" s="236">
        <f>T53/T$32</f>
        <v>0.17750791574227115</v>
      </c>
      <c r="V83" s="236">
        <f>V53/V$32</f>
        <v>0.17640445480328482</v>
      </c>
      <c r="X83" s="236">
        <f>X53/X$32</f>
        <v>0.1752233085700009</v>
      </c>
      <c r="Z83" s="236">
        <f>Z53/Z$32</f>
        <v>0.17393645457553511</v>
      </c>
      <c r="AB83" s="236">
        <f>AB53/AB$32</f>
        <v>0.17251065360209003</v>
      </c>
      <c r="AD83" s="236">
        <f>AD53/AD$32</f>
        <v>0.17091603407133693</v>
      </c>
      <c r="AF83" s="236">
        <f>AF53/AF$32</f>
        <v>0.16914332621365855</v>
      </c>
      <c r="AH83" s="236">
        <f>AH53/AH$32</f>
        <v>0.16722031067752077</v>
      </c>
      <c r="AJ83" s="236">
        <f>AJ53/AJ$32</f>
        <v>0.1652095993691903</v>
      </c>
      <c r="AL83" s="236">
        <f>AL53/AL$32</f>
        <v>0.16318627765454549</v>
      </c>
      <c r="AN83" s="236">
        <f>AN53/AN$32</f>
        <v>0.16121491427859544</v>
      </c>
      <c r="AP83" s="236">
        <f>AP53/AP$32</f>
        <v>0.1608311113297069</v>
      </c>
      <c r="AR83" s="236">
        <f>AR53/AR$32</f>
        <v>0.16045144941752451</v>
      </c>
      <c r="AT83" s="236">
        <f>AT53/AT$32</f>
        <v>0.16007613929281878</v>
      </c>
      <c r="AV83" s="236">
        <f>AV53/AV$32</f>
        <v>0.15970536783704703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row>
    <row r="2" spans="1:49" x14ac:dyDescent="0.2">
      <c r="A2" s="229" t="s">
        <v>155</v>
      </c>
      <c r="B2" s="226">
        <v>5.7716594496607888E-3</v>
      </c>
      <c r="C2" s="227"/>
      <c r="D2" s="226">
        <v>3.9026796831007619E-2</v>
      </c>
      <c r="E2" s="227"/>
      <c r="F2" s="226">
        <v>7.4352768910207409E-2</v>
      </c>
      <c r="G2" s="227"/>
      <c r="H2" s="226">
        <v>0.1119887396177689</v>
      </c>
      <c r="I2" s="227"/>
      <c r="J2" s="226">
        <v>0.15222913848519373</v>
      </c>
      <c r="K2" s="227"/>
      <c r="L2" s="226">
        <v>0.19544106561300115</v>
      </c>
      <c r="M2" s="227"/>
      <c r="N2" s="226">
        <v>0.24208813993010339</v>
      </c>
      <c r="O2" s="227"/>
      <c r="P2" s="226">
        <v>0.29276360595962542</v>
      </c>
      <c r="Q2" s="227"/>
      <c r="R2" s="226">
        <v>0.34823581169705192</v>
      </c>
      <c r="S2" s="227"/>
      <c r="T2" s="226">
        <v>0.40951708930420155</v>
      </c>
      <c r="U2" s="227"/>
      <c r="V2" s="226">
        <v>0.47797733991469471</v>
      </c>
      <c r="W2" s="227"/>
      <c r="X2" s="226">
        <v>0.55556050681280966</v>
      </c>
      <c r="Y2" s="227"/>
      <c r="Z2" s="226">
        <v>0.64527347345874986</v>
      </c>
      <c r="AA2" s="227"/>
      <c r="AB2" s="226">
        <v>0.7524011991295565</v>
      </c>
      <c r="AC2" s="227"/>
      <c r="AD2" s="226">
        <v>0.88764198147362838</v>
      </c>
      <c r="AE2" s="227"/>
      <c r="AF2" s="226">
        <v>1.0750158813265609</v>
      </c>
      <c r="AG2" s="227"/>
      <c r="AH2" s="226">
        <v>1.3712031675036946</v>
      </c>
      <c r="AI2" s="227"/>
      <c r="AJ2" s="226">
        <v>1.9142556226222847</v>
      </c>
      <c r="AK2" s="227"/>
      <c r="AL2" s="226">
        <v>3.0890202561517297</v>
      </c>
      <c r="AM2" s="227"/>
      <c r="AN2" s="226">
        <v>6.6230569229361889</v>
      </c>
      <c r="AO2" s="227"/>
      <c r="AP2" s="226">
        <v>8.3153867575230453</v>
      </c>
      <c r="AQ2" s="227"/>
      <c r="AR2" s="226">
        <v>11.021216696689862</v>
      </c>
      <c r="AS2" s="227"/>
      <c r="AT2" s="226">
        <v>16.067136217929136</v>
      </c>
      <c r="AU2" s="227"/>
      <c r="AV2" s="226"/>
      <c r="AW2" s="227"/>
    </row>
    <row r="3" spans="1:49" x14ac:dyDescent="0.2">
      <c r="A3" t="s">
        <v>12</v>
      </c>
      <c r="B3" s="84">
        <v>1000</v>
      </c>
      <c r="C3" s="85">
        <v>1000</v>
      </c>
      <c r="D3" s="84">
        <v>998.7016911911312</v>
      </c>
      <c r="E3" s="85">
        <v>1015.508806441855</v>
      </c>
      <c r="F3" s="84">
        <v>997.57239002638335</v>
      </c>
      <c r="G3" s="85">
        <v>1032.2714745446722</v>
      </c>
      <c r="H3" s="84">
        <v>996.66014222427827</v>
      </c>
      <c r="I3" s="85">
        <v>1050.4381932676331</v>
      </c>
      <c r="J3" s="84">
        <v>996.02985045061416</v>
      </c>
      <c r="K3" s="85">
        <v>1070.1919267431981</v>
      </c>
      <c r="L3" s="84">
        <v>995.77047657220032</v>
      </c>
      <c r="M3" s="85">
        <v>1091.7594279123168</v>
      </c>
      <c r="N3" s="84">
        <v>996.00561851152383</v>
      </c>
      <c r="O3" s="85">
        <v>1115.4270841788586</v>
      </c>
      <c r="P3" s="84">
        <v>996.90972885627639</v>
      </c>
      <c r="Q3" s="85">
        <v>1141.5629533136218</v>
      </c>
      <c r="R3" s="84">
        <v>998.73305708748933</v>
      </c>
      <c r="S3" s="85">
        <v>1170.6502461370189</v>
      </c>
      <c r="T3" s="84">
        <v>1001.8411225866662</v>
      </c>
      <c r="U3" s="85">
        <v>1203.3378872591768</v>
      </c>
      <c r="V3" s="84">
        <v>1006.7769565192602</v>
      </c>
      <c r="W3" s="85">
        <v>1240.5235283877209</v>
      </c>
      <c r="X3" s="84">
        <v>1014.3603846666944</v>
      </c>
      <c r="Y3" s="85">
        <v>1283.5024489269463</v>
      </c>
      <c r="Z3" s="84">
        <v>1025.8451143749348</v>
      </c>
      <c r="AA3" s="85">
        <v>1334.2612264200141</v>
      </c>
      <c r="AB3" s="84">
        <v>1043.1646143207829</v>
      </c>
      <c r="AC3" s="85">
        <v>1396.1132506236816</v>
      </c>
      <c r="AD3" s="84">
        <v>1069.3115306174302</v>
      </c>
      <c r="AE3" s="85">
        <v>1475.1426516362581</v>
      </c>
      <c r="AF3" s="84">
        <v>1108.9136610355981</v>
      </c>
      <c r="AG3" s="85">
        <v>1583.5186305810178</v>
      </c>
      <c r="AH3" s="84">
        <v>1169.073446136</v>
      </c>
      <c r="AI3" s="85">
        <v>1747.0273486005087</v>
      </c>
      <c r="AJ3" s="84">
        <v>1260.7670992581657</v>
      </c>
      <c r="AK3" s="85">
        <v>2023.2202876196568</v>
      </c>
      <c r="AL3" s="84">
        <v>1404.4887668908807</v>
      </c>
      <c r="AM3" s="85">
        <v>2562.6308333917241</v>
      </c>
      <c r="AN3" s="84">
        <v>1668.5182279096698</v>
      </c>
      <c r="AO3" s="85">
        <v>4004.6367176574809</v>
      </c>
      <c r="AP3" s="84">
        <v>1757.9251334263388</v>
      </c>
      <c r="AQ3" s="85">
        <v>4651.233553127754</v>
      </c>
      <c r="AR3" s="84">
        <v>1876.9424793178775</v>
      </c>
      <c r="AS3" s="85">
        <v>5653.3838441453336</v>
      </c>
      <c r="AT3" s="84">
        <v>2052.9185873591855</v>
      </c>
      <c r="AU3" s="85">
        <v>7456.6932677950872</v>
      </c>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c r="AW4" s="102"/>
    </row>
    <row r="5" spans="1:49" x14ac:dyDescent="0.2">
      <c r="A5" t="s">
        <v>128</v>
      </c>
      <c r="B5" s="41">
        <v>1000</v>
      </c>
      <c r="C5" s="42">
        <v>1000</v>
      </c>
      <c r="D5" s="41">
        <v>998.63718018884833</v>
      </c>
      <c r="E5" s="42">
        <v>1013.4284216741205</v>
      </c>
      <c r="F5" s="41">
        <v>997.45092930880173</v>
      </c>
      <c r="G5" s="42">
        <v>1027.5070711270703</v>
      </c>
      <c r="H5" s="41">
        <v>996.49210879873306</v>
      </c>
      <c r="I5" s="42">
        <v>1042.237216725516</v>
      </c>
      <c r="J5" s="41">
        <v>995.82934143829448</v>
      </c>
      <c r="K5" s="42">
        <v>1057.6117037065935</v>
      </c>
      <c r="L5" s="41">
        <v>995.55653275580676</v>
      </c>
      <c r="M5" s="42">
        <v>1073.6124500989292</v>
      </c>
      <c r="N5" s="41">
        <v>995.80385608146491</v>
      </c>
      <c r="O5" s="42">
        <v>1090.2077207669261</v>
      </c>
      <c r="P5" s="41">
        <v>996.75448791572637</v>
      </c>
      <c r="Q5" s="42">
        <v>1107.3456455081364</v>
      </c>
      <c r="R5" s="41">
        <v>998.67011636639972</v>
      </c>
      <c r="S5" s="42">
        <v>1124.9496649870778</v>
      </c>
      <c r="T5" s="41">
        <v>1001.9308466718911</v>
      </c>
      <c r="U5" s="42">
        <v>1142.9087768749341</v>
      </c>
      <c r="V5" s="41">
        <v>1007.097084141681</v>
      </c>
      <c r="W5" s="42">
        <v>1161.0671872890216</v>
      </c>
      <c r="X5" s="41">
        <v>1015.0059422810599</v>
      </c>
      <c r="Y5" s="42">
        <v>1179.2172281799635</v>
      </c>
      <c r="Z5" s="41">
        <v>1026.9183876946317</v>
      </c>
      <c r="AA5" s="42">
        <v>1197.0950380076392</v>
      </c>
      <c r="AB5" s="41">
        <v>1044.7369017920619</v>
      </c>
      <c r="AC5" s="42">
        <v>1214.3867156024326</v>
      </c>
      <c r="AD5" s="41">
        <v>1071.3116842663496</v>
      </c>
      <c r="AE5" s="42">
        <v>1230.7134553669098</v>
      </c>
      <c r="AF5" s="41">
        <v>1110.8361950969809</v>
      </c>
      <c r="AG5" s="42">
        <v>1245.529454371881</v>
      </c>
      <c r="AH5" s="41">
        <v>1169.2560392178439</v>
      </c>
      <c r="AI5" s="42">
        <v>1257.8533003648124</v>
      </c>
      <c r="AJ5" s="41">
        <v>1254.6403928889197</v>
      </c>
      <c r="AK5" s="42">
        <v>1266.2612406380888</v>
      </c>
      <c r="AL5" s="41">
        <v>1379.7441966972506</v>
      </c>
      <c r="AM5" s="42">
        <v>1270.1420516839089</v>
      </c>
      <c r="AN5" s="41">
        <v>1581.9672823041201</v>
      </c>
      <c r="AO5" s="42">
        <v>1271.0211910374999</v>
      </c>
      <c r="AP5" s="41">
        <v>1642.4282920820392</v>
      </c>
      <c r="AQ5" s="42">
        <v>1271.0473067356434</v>
      </c>
      <c r="AR5" s="41">
        <v>1716.7997819509969</v>
      </c>
      <c r="AS5" s="42">
        <v>1271.0578024432409</v>
      </c>
      <c r="AT5" s="41">
        <v>1814.5157533658262</v>
      </c>
      <c r="AU5" s="42">
        <v>1271.0608775796079</v>
      </c>
      <c r="AV5" s="41"/>
      <c r="AW5" s="42"/>
    </row>
    <row r="6" spans="1:49" x14ac:dyDescent="0.2">
      <c r="A6" t="s">
        <v>77</v>
      </c>
      <c r="B6" s="41">
        <v>999.99999999999943</v>
      </c>
      <c r="C6" s="42">
        <v>999.99999999999909</v>
      </c>
      <c r="D6" s="41">
        <v>998.53324336310311</v>
      </c>
      <c r="E6" s="42">
        <v>1016.7205790282001</v>
      </c>
      <c r="F6" s="41">
        <v>997.2570185930274</v>
      </c>
      <c r="G6" s="42">
        <v>1034.749689542442</v>
      </c>
      <c r="H6" s="41">
        <v>996.22581057588582</v>
      </c>
      <c r="I6" s="42">
        <v>1054.2416475556579</v>
      </c>
      <c r="J6" s="41">
        <v>995.51318216689742</v>
      </c>
      <c r="K6" s="42">
        <v>1075.3846618293039</v>
      </c>
      <c r="L6" s="41">
        <v>995.21989123248352</v>
      </c>
      <c r="M6" s="42">
        <v>1098.4122404256414</v>
      </c>
      <c r="N6" s="41">
        <v>995.48578238518996</v>
      </c>
      <c r="O6" s="42">
        <v>1123.6195886547978</v>
      </c>
      <c r="P6" s="41">
        <v>996.50796869147587</v>
      </c>
      <c r="Q6" s="42">
        <v>1151.3863598747178</v>
      </c>
      <c r="R6" s="41">
        <v>998.56868463599324</v>
      </c>
      <c r="S6" s="42">
        <v>1182.2112225174553</v>
      </c>
      <c r="T6" s="41">
        <v>1002.0791521283038</v>
      </c>
      <c r="U6" s="42">
        <v>1216.7639977832243</v>
      </c>
      <c r="V6" s="41">
        <v>1007.6482850289564</v>
      </c>
      <c r="W6" s="42">
        <v>1255.9712741451265</v>
      </c>
      <c r="X6" s="41">
        <v>1016.1913041993614</v>
      </c>
      <c r="Y6" s="42">
        <v>1301.1700634519043</v>
      </c>
      <c r="Z6" s="41">
        <v>1029.0994594970271</v>
      </c>
      <c r="AA6" s="42">
        <v>1354.4109802341927</v>
      </c>
      <c r="AB6" s="41">
        <v>1048.5011983205109</v>
      </c>
      <c r="AC6" s="42">
        <v>1419.1142156488909</v>
      </c>
      <c r="AD6" s="41">
        <v>1077.6563329390046</v>
      </c>
      <c r="AE6" s="42">
        <v>1501.5579347176565</v>
      </c>
      <c r="AF6" s="41">
        <v>1121.5390542860728</v>
      </c>
      <c r="AG6" s="42">
        <v>1614.2862415934637</v>
      </c>
      <c r="AH6" s="41">
        <v>1187.6652030784689</v>
      </c>
      <c r="AI6" s="42">
        <v>1783.8294461746841</v>
      </c>
      <c r="AJ6" s="41">
        <v>1287.4749313960219</v>
      </c>
      <c r="AK6" s="42">
        <v>2069.2671620444257</v>
      </c>
      <c r="AL6" s="41">
        <v>1442.2256387633081</v>
      </c>
      <c r="AM6" s="42">
        <v>2624.9261897844112</v>
      </c>
      <c r="AN6" s="41">
        <v>1723.2457937224244</v>
      </c>
      <c r="AO6" s="42">
        <v>4106.4128588337107</v>
      </c>
      <c r="AP6" s="41">
        <v>1817.8033990570161</v>
      </c>
      <c r="AQ6" s="42">
        <v>4770.1023496855996</v>
      </c>
      <c r="AR6" s="41">
        <v>1943.3611529109969</v>
      </c>
      <c r="AS6" s="42">
        <v>5798.4906489555087</v>
      </c>
      <c r="AT6" s="41">
        <v>2128.508783406076</v>
      </c>
      <c r="AU6" s="42">
        <v>7648.6720621432187</v>
      </c>
      <c r="AV6" s="41"/>
      <c r="AW6" s="42"/>
    </row>
    <row r="7" spans="1:49" x14ac:dyDescent="0.2">
      <c r="A7" t="s">
        <v>13</v>
      </c>
      <c r="B7" s="33">
        <v>1015.9116825427475</v>
      </c>
      <c r="C7" s="34">
        <v>1015.9116825427475</v>
      </c>
      <c r="D7" s="33">
        <v>1014.5271779753978</v>
      </c>
      <c r="E7" s="34">
        <v>1014.5271779753978</v>
      </c>
      <c r="F7" s="33">
        <v>1013.3220518479318</v>
      </c>
      <c r="G7" s="34">
        <v>1013.3220518479318</v>
      </c>
      <c r="H7" s="33">
        <v>1012.3479748902914</v>
      </c>
      <c r="I7" s="34">
        <v>1012.3479748902914</v>
      </c>
      <c r="J7" s="33">
        <v>1011.6746617860139</v>
      </c>
      <c r="K7" s="34">
        <v>1011.6746617860139</v>
      </c>
      <c r="L7" s="33">
        <v>1011.3975122583755</v>
      </c>
      <c r="M7" s="34">
        <v>1011.3975122583755</v>
      </c>
      <c r="N7" s="33">
        <v>1011.648770914277</v>
      </c>
      <c r="O7" s="34">
        <v>1011.648770914277</v>
      </c>
      <c r="P7" s="33">
        <v>1012.6145289005002</v>
      </c>
      <c r="Q7" s="34">
        <v>1012.6145289005002</v>
      </c>
      <c r="R7" s="33">
        <v>1014.5606382229505</v>
      </c>
      <c r="S7" s="34">
        <v>1014.5606382229505</v>
      </c>
      <c r="T7" s="33">
        <v>1017.8732522339204</v>
      </c>
      <c r="U7" s="34">
        <v>1017.8732522339204</v>
      </c>
      <c r="V7" s="33">
        <v>1023.12169323427</v>
      </c>
      <c r="W7" s="34">
        <v>1023.12169323427</v>
      </c>
      <c r="X7" s="33">
        <v>1031.1563946136384</v>
      </c>
      <c r="Y7" s="34">
        <v>1031.1563946136384</v>
      </c>
      <c r="Z7" s="33">
        <v>1043.2583870769388</v>
      </c>
      <c r="AA7" s="34">
        <v>1043.2583870769388</v>
      </c>
      <c r="AB7" s="33">
        <v>1061.3604237140707</v>
      </c>
      <c r="AC7" s="34">
        <v>1061.3604237140707</v>
      </c>
      <c r="AD7" s="33">
        <v>1088.3580556907318</v>
      </c>
      <c r="AE7" s="34">
        <v>1088.3580556907318</v>
      </c>
      <c r="AF7" s="33">
        <v>1128.5114679903575</v>
      </c>
      <c r="AG7" s="34">
        <v>1128.5114679903575</v>
      </c>
      <c r="AH7" s="33">
        <v>1187.8608701250685</v>
      </c>
      <c r="AI7" s="34">
        <v>1187.8608701250685</v>
      </c>
      <c r="AJ7" s="33">
        <v>1274.603832525876</v>
      </c>
      <c r="AK7" s="34">
        <v>1274.603832525876</v>
      </c>
      <c r="AL7" s="33">
        <v>1401.6982483452953</v>
      </c>
      <c r="AM7" s="34">
        <v>1401.6982483452953</v>
      </c>
      <c r="AN7" s="33">
        <v>1607.1390434931561</v>
      </c>
      <c r="AO7" s="34">
        <v>1607.1390434931561</v>
      </c>
      <c r="AP7" s="33">
        <v>1668.5620896648754</v>
      </c>
      <c r="AQ7" s="34">
        <v>1668.5620896648754</v>
      </c>
      <c r="AR7" s="33">
        <v>1744.1169550708591</v>
      </c>
      <c r="AS7" s="34">
        <v>1744.1169550708591</v>
      </c>
      <c r="AT7" s="33">
        <v>1843.3877520021974</v>
      </c>
      <c r="AU7" s="34">
        <v>1843.3877520021974</v>
      </c>
      <c r="AV7" s="33"/>
      <c r="AW7" s="34"/>
    </row>
    <row r="8" spans="1:49" x14ac:dyDescent="0.2">
      <c r="B8" s="35">
        <v>1005.7716594496609</v>
      </c>
      <c r="C8" s="36">
        <v>1005.7716594496609</v>
      </c>
      <c r="D8" s="35">
        <v>1052.9792867895651</v>
      </c>
      <c r="E8" s="36">
        <v>1052.9792867895651</v>
      </c>
      <c r="F8" s="35">
        <v>1103.9050669401854</v>
      </c>
      <c r="G8" s="36">
        <v>1103.9050669401854</v>
      </c>
      <c r="H8" s="35">
        <v>1158.9560490093381</v>
      </c>
      <c r="I8" s="36">
        <v>1158.9560490093381</v>
      </c>
      <c r="J8" s="35">
        <v>1218.6110222137063</v>
      </c>
      <c r="K8" s="36">
        <v>1218.6110222137063</v>
      </c>
      <c r="L8" s="35">
        <v>1283.440411401649</v>
      </c>
      <c r="M8" s="36">
        <v>1283.440411401649</v>
      </c>
      <c r="N8" s="35">
        <v>1354.1340800248288</v>
      </c>
      <c r="O8" s="36">
        <v>1354.1340800248288</v>
      </c>
      <c r="P8" s="35">
        <v>1431.5361497307874</v>
      </c>
      <c r="Q8" s="36">
        <v>1431.5361497307874</v>
      </c>
      <c r="R8" s="35">
        <v>1516.6974246921793</v>
      </c>
      <c r="S8" s="36">
        <v>1516.6974246921793</v>
      </c>
      <c r="T8" s="35">
        <v>1610.9494525209823</v>
      </c>
      <c r="U8" s="36">
        <v>1610.9494525209823</v>
      </c>
      <c r="V8" s="35">
        <v>1716.0309929316647</v>
      </c>
      <c r="W8" s="36">
        <v>1716.0309929316647</v>
      </c>
      <c r="X8" s="35">
        <v>1834.3437491100208</v>
      </c>
      <c r="Y8" s="36">
        <v>1834.3437491100208</v>
      </c>
      <c r="Z8" s="35">
        <v>1969.5487112430628</v>
      </c>
      <c r="AA8" s="36">
        <v>1969.5487112430628</v>
      </c>
      <c r="AB8" s="35">
        <v>2128.0927366287065</v>
      </c>
      <c r="AC8" s="36">
        <v>2128.0927366287065</v>
      </c>
      <c r="AD8" s="35">
        <v>2323.1463855150496</v>
      </c>
      <c r="AE8" s="36">
        <v>2323.1463855150496</v>
      </c>
      <c r="AF8" s="35">
        <v>2584.4933984816589</v>
      </c>
      <c r="AG8" s="36">
        <v>2584.4933984816589</v>
      </c>
      <c r="AH8" s="35">
        <v>2982.6257300800198</v>
      </c>
      <c r="AI8" s="36">
        <v>2982.6257300800198</v>
      </c>
      <c r="AJ8" s="35">
        <v>3690.2089402382203</v>
      </c>
      <c r="AK8" s="36">
        <v>3690.2089402382203</v>
      </c>
      <c r="AL8" s="35">
        <v>5193.6365775256209</v>
      </c>
      <c r="AM8" s="36">
        <v>5193.6365775256209</v>
      </c>
      <c r="AN8" s="35">
        <v>9689.0668895370145</v>
      </c>
      <c r="AO8" s="36">
        <v>9689.0668895370145</v>
      </c>
      <c r="AP8" s="35">
        <v>11840.297249350544</v>
      </c>
      <c r="AQ8" s="36">
        <v>11840.297249350544</v>
      </c>
      <c r="AR8" s="35">
        <v>15279.661277188612</v>
      </c>
      <c r="AS8" s="36">
        <v>15279.661277188612</v>
      </c>
      <c r="AT8" s="35">
        <v>21693.369138931717</v>
      </c>
      <c r="AU8" s="36">
        <v>21693.369138931717</v>
      </c>
      <c r="AV8" s="35"/>
      <c r="AW8" s="36"/>
    </row>
    <row r="9" spans="1:49" x14ac:dyDescent="0.2">
      <c r="A9" t="s">
        <v>14</v>
      </c>
      <c r="B9" s="41">
        <v>1015.9116825427475</v>
      </c>
      <c r="C9" s="42">
        <v>1005.7716594496609</v>
      </c>
      <c r="D9" s="41">
        <v>1014.5271779753978</v>
      </c>
      <c r="E9" s="42">
        <v>1052.9792867895651</v>
      </c>
      <c r="F9" s="41">
        <v>1013.3220518479318</v>
      </c>
      <c r="G9" s="42">
        <v>1103.9050669401854</v>
      </c>
      <c r="H9" s="41">
        <v>1012.3479748902914</v>
      </c>
      <c r="I9" s="42">
        <v>1158.9560490093381</v>
      </c>
      <c r="J9" s="41">
        <v>1011.6746617860139</v>
      </c>
      <c r="K9" s="42">
        <v>1218.6110222137063</v>
      </c>
      <c r="L9" s="41">
        <v>1011.3975122583755</v>
      </c>
      <c r="M9" s="42">
        <v>1283.440411401649</v>
      </c>
      <c r="N9" s="41">
        <v>1011.648770914277</v>
      </c>
      <c r="O9" s="42">
        <v>1354.1340800248288</v>
      </c>
      <c r="P9" s="41">
        <v>1012.6145289005002</v>
      </c>
      <c r="Q9" s="42">
        <v>1431.5361497307874</v>
      </c>
      <c r="R9" s="41">
        <v>1014.5606382229505</v>
      </c>
      <c r="S9" s="42">
        <v>1516.6974246921793</v>
      </c>
      <c r="T9" s="41">
        <v>1017.8732522339204</v>
      </c>
      <c r="U9" s="42">
        <v>1610.9494525209823</v>
      </c>
      <c r="V9" s="41">
        <v>1023.12169323427</v>
      </c>
      <c r="W9" s="42">
        <v>1716.0309929316647</v>
      </c>
      <c r="X9" s="41">
        <v>1031.1563946136384</v>
      </c>
      <c r="Y9" s="42">
        <v>1834.3437491100208</v>
      </c>
      <c r="Z9" s="41">
        <v>1043.2583870769388</v>
      </c>
      <c r="AA9" s="42">
        <v>1969.5487112430628</v>
      </c>
      <c r="AB9" s="41">
        <v>1061.3604237140707</v>
      </c>
      <c r="AC9" s="42">
        <v>2128.0927366287065</v>
      </c>
      <c r="AD9" s="41">
        <v>1088.3580556907318</v>
      </c>
      <c r="AE9" s="42">
        <v>2323.1463855150496</v>
      </c>
      <c r="AF9" s="41">
        <v>1128.5114679903575</v>
      </c>
      <c r="AG9" s="42">
        <v>2584.4933984816589</v>
      </c>
      <c r="AH9" s="41">
        <v>1187.8608701250685</v>
      </c>
      <c r="AI9" s="42">
        <v>2982.6257300800198</v>
      </c>
      <c r="AJ9" s="41">
        <v>1274.603832525876</v>
      </c>
      <c r="AK9" s="42">
        <v>3690.2089402382203</v>
      </c>
      <c r="AL9" s="41">
        <v>1401.6982483452953</v>
      </c>
      <c r="AM9" s="42">
        <v>5193.6365775256209</v>
      </c>
      <c r="AN9" s="41">
        <v>1607.1390434931561</v>
      </c>
      <c r="AO9" s="42">
        <v>9689.0668895370145</v>
      </c>
      <c r="AP9" s="41">
        <v>1668.5620896648754</v>
      </c>
      <c r="AQ9" s="42">
        <v>11840.297249350544</v>
      </c>
      <c r="AR9" s="41">
        <v>1744.1169550708591</v>
      </c>
      <c r="AS9" s="42">
        <v>15279.661277188612</v>
      </c>
      <c r="AT9" s="41">
        <v>1843.3877520021974</v>
      </c>
      <c r="AU9" s="42">
        <v>21693.369138931717</v>
      </c>
      <c r="AV9" s="41"/>
      <c r="AW9" s="42"/>
    </row>
    <row r="10" spans="1:49" x14ac:dyDescent="0.2">
      <c r="A10" t="s">
        <v>15</v>
      </c>
      <c r="B10" s="41">
        <v>1015.9116825427475</v>
      </c>
      <c r="C10" s="42">
        <v>1005.7716594496609</v>
      </c>
      <c r="D10" s="41">
        <v>1014.5271779753978</v>
      </c>
      <c r="E10" s="42">
        <v>1052.9792867895651</v>
      </c>
      <c r="F10" s="41">
        <v>1013.3220518479318</v>
      </c>
      <c r="G10" s="42">
        <v>1103.9050669401854</v>
      </c>
      <c r="H10" s="41">
        <v>1012.3479748902914</v>
      </c>
      <c r="I10" s="42">
        <v>1158.9560490093381</v>
      </c>
      <c r="J10" s="41">
        <v>1011.6746617860139</v>
      </c>
      <c r="K10" s="42">
        <v>1218.6110222137063</v>
      </c>
      <c r="L10" s="41">
        <v>1011.3975122583755</v>
      </c>
      <c r="M10" s="42">
        <v>1283.440411401649</v>
      </c>
      <c r="N10" s="41">
        <v>1011.648770914277</v>
      </c>
      <c r="O10" s="42">
        <v>1354.1340800248288</v>
      </c>
      <c r="P10" s="41">
        <v>1012.6145289005002</v>
      </c>
      <c r="Q10" s="42">
        <v>1431.5361497307874</v>
      </c>
      <c r="R10" s="41">
        <v>1014.5606382229505</v>
      </c>
      <c r="S10" s="42">
        <v>1516.6974246921793</v>
      </c>
      <c r="T10" s="41">
        <v>1017.8732522339204</v>
      </c>
      <c r="U10" s="42">
        <v>1610.9494525209823</v>
      </c>
      <c r="V10" s="41">
        <v>1023.12169323427</v>
      </c>
      <c r="W10" s="42">
        <v>1716.0309929316647</v>
      </c>
      <c r="X10" s="41">
        <v>1031.1563946136384</v>
      </c>
      <c r="Y10" s="42">
        <v>1834.3437491100208</v>
      </c>
      <c r="Z10" s="41">
        <v>1043.2583870769388</v>
      </c>
      <c r="AA10" s="42">
        <v>1969.5487112430628</v>
      </c>
      <c r="AB10" s="41">
        <v>1061.3604237140707</v>
      </c>
      <c r="AC10" s="42">
        <v>2128.0927366287065</v>
      </c>
      <c r="AD10" s="41">
        <v>1088.3580556907318</v>
      </c>
      <c r="AE10" s="42">
        <v>2323.1463855150496</v>
      </c>
      <c r="AF10" s="41">
        <v>1128.5114679903575</v>
      </c>
      <c r="AG10" s="42">
        <v>2584.4933984816589</v>
      </c>
      <c r="AH10" s="41">
        <v>1187.8608701250685</v>
      </c>
      <c r="AI10" s="42">
        <v>2982.6257300800198</v>
      </c>
      <c r="AJ10" s="41">
        <v>1274.603832525876</v>
      </c>
      <c r="AK10" s="42">
        <v>3690.2089402382203</v>
      </c>
      <c r="AL10" s="41">
        <v>1401.6982483452953</v>
      </c>
      <c r="AM10" s="42">
        <v>5193.6365775256209</v>
      </c>
      <c r="AN10" s="41">
        <v>1607.1390434931561</v>
      </c>
      <c r="AO10" s="42">
        <v>9689.0668895370145</v>
      </c>
      <c r="AP10" s="41">
        <v>1668.5620896648754</v>
      </c>
      <c r="AQ10" s="42">
        <v>11840.297249350544</v>
      </c>
      <c r="AR10" s="41">
        <v>1744.1169550708591</v>
      </c>
      <c r="AS10" s="42">
        <v>15279.661277188612</v>
      </c>
      <c r="AT10" s="41">
        <v>1843.3877520021974</v>
      </c>
      <c r="AU10" s="42">
        <v>21693.369138931717</v>
      </c>
      <c r="AV10" s="41"/>
      <c r="AW10" s="42"/>
    </row>
    <row r="11" spans="1:49" x14ac:dyDescent="0.2">
      <c r="A11" t="s">
        <v>29</v>
      </c>
      <c r="B11" s="41">
        <v>1015.9116825427475</v>
      </c>
      <c r="C11" s="42">
        <v>1005.7716594496609</v>
      </c>
      <c r="D11" s="41">
        <v>1014.5271779753978</v>
      </c>
      <c r="E11" s="42">
        <v>1052.9792867895651</v>
      </c>
      <c r="F11" s="41">
        <v>1013.3220518479318</v>
      </c>
      <c r="G11" s="42">
        <v>1103.9050669401854</v>
      </c>
      <c r="H11" s="41">
        <v>1012.3479748902914</v>
      </c>
      <c r="I11" s="42">
        <v>1158.9560490093381</v>
      </c>
      <c r="J11" s="41">
        <v>1011.6746617860139</v>
      </c>
      <c r="K11" s="42">
        <v>1218.6110222137063</v>
      </c>
      <c r="L11" s="41">
        <v>1011.3975122583755</v>
      </c>
      <c r="M11" s="42">
        <v>1283.440411401649</v>
      </c>
      <c r="N11" s="41">
        <v>1011.648770914277</v>
      </c>
      <c r="O11" s="42">
        <v>1354.1340800248288</v>
      </c>
      <c r="P11" s="41">
        <v>1012.6145289005002</v>
      </c>
      <c r="Q11" s="42">
        <v>1431.5361497307874</v>
      </c>
      <c r="R11" s="41">
        <v>1014.5606382229505</v>
      </c>
      <c r="S11" s="42">
        <v>1516.6974246921793</v>
      </c>
      <c r="T11" s="41">
        <v>1017.8732522339204</v>
      </c>
      <c r="U11" s="42">
        <v>1610.9494525209823</v>
      </c>
      <c r="V11" s="41">
        <v>1023.12169323427</v>
      </c>
      <c r="W11" s="42">
        <v>1716.0309929316647</v>
      </c>
      <c r="X11" s="41">
        <v>1031.1563946136384</v>
      </c>
      <c r="Y11" s="42">
        <v>1834.3437491100208</v>
      </c>
      <c r="Z11" s="41">
        <v>1043.2583870769388</v>
      </c>
      <c r="AA11" s="42">
        <v>1969.5487112430628</v>
      </c>
      <c r="AB11" s="41">
        <v>1061.3604237140707</v>
      </c>
      <c r="AC11" s="42">
        <v>2128.0927366287065</v>
      </c>
      <c r="AD11" s="41">
        <v>1088.3580556907318</v>
      </c>
      <c r="AE11" s="42">
        <v>2323.1463855150496</v>
      </c>
      <c r="AF11" s="41">
        <v>1128.5114679903575</v>
      </c>
      <c r="AG11" s="42">
        <v>2584.4933984816589</v>
      </c>
      <c r="AH11" s="41">
        <v>1187.8608701250685</v>
      </c>
      <c r="AI11" s="42">
        <v>2982.6257300800198</v>
      </c>
      <c r="AJ11" s="41">
        <v>1274.603832525876</v>
      </c>
      <c r="AK11" s="42">
        <v>3690.2089402382203</v>
      </c>
      <c r="AL11" s="41">
        <v>1401.6982483452953</v>
      </c>
      <c r="AM11" s="42">
        <v>5193.6365775256209</v>
      </c>
      <c r="AN11" s="41">
        <v>1607.1390434931561</v>
      </c>
      <c r="AO11" s="42">
        <v>9689.0668895370145</v>
      </c>
      <c r="AP11" s="41">
        <v>1668.5620896648754</v>
      </c>
      <c r="AQ11" s="42">
        <v>11840.297249350544</v>
      </c>
      <c r="AR11" s="41">
        <v>1744.1169550708591</v>
      </c>
      <c r="AS11" s="42">
        <v>15279.661277188612</v>
      </c>
      <c r="AT11" s="41">
        <v>1843.3877520021974</v>
      </c>
      <c r="AU11" s="42">
        <v>21693.369138931717</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97">
        <v>1000</v>
      </c>
      <c r="C13" s="98">
        <v>1000</v>
      </c>
      <c r="D13" s="97">
        <v>994.98304521202067</v>
      </c>
      <c r="E13" s="98">
        <v>994.98304521202067</v>
      </c>
      <c r="F13" s="97">
        <v>989.93492046868721</v>
      </c>
      <c r="G13" s="98">
        <v>989.93492046868721</v>
      </c>
      <c r="H13" s="97">
        <v>984.88332155321007</v>
      </c>
      <c r="I13" s="98">
        <v>984.88332155321007</v>
      </c>
      <c r="J13" s="97">
        <v>979.86837498943271</v>
      </c>
      <c r="K13" s="98">
        <v>979.86837498943271</v>
      </c>
      <c r="L13" s="97">
        <v>974.94844111528516</v>
      </c>
      <c r="M13" s="98">
        <v>974.94844111528516</v>
      </c>
      <c r="N13" s="97">
        <v>970.20882761690905</v>
      </c>
      <c r="O13" s="98">
        <v>970.20882761690905</v>
      </c>
      <c r="P13" s="97">
        <v>965.7758085160076</v>
      </c>
      <c r="Q13" s="98">
        <v>965.7758085160076</v>
      </c>
      <c r="R13" s="97">
        <v>961.83869920782752</v>
      </c>
      <c r="S13" s="98">
        <v>961.83869920782752</v>
      </c>
      <c r="T13" s="97">
        <v>958.68629938765628</v>
      </c>
      <c r="U13" s="98">
        <v>958.68629938765628</v>
      </c>
      <c r="V13" s="97">
        <v>956.76607992169068</v>
      </c>
      <c r="W13" s="98">
        <v>956.76607992169068</v>
      </c>
      <c r="X13" s="97">
        <v>956.78114368648517</v>
      </c>
      <c r="Y13" s="98">
        <v>956.78114368648517</v>
      </c>
      <c r="Z13" s="97">
        <v>959.84682434106594</v>
      </c>
      <c r="AA13" s="98">
        <v>959.84682434106594</v>
      </c>
      <c r="AB13" s="97">
        <v>967.7380426640176</v>
      </c>
      <c r="AC13" s="98">
        <v>967.7380426640176</v>
      </c>
      <c r="AD13" s="97">
        <v>983.27176450379488</v>
      </c>
      <c r="AE13" s="98">
        <v>983.27176450379488</v>
      </c>
      <c r="AF13" s="97">
        <v>1010.8936427062007</v>
      </c>
      <c r="AG13" s="98">
        <v>1010.8936427062007</v>
      </c>
      <c r="AH13" s="97">
        <v>1057.5882360291071</v>
      </c>
      <c r="AI13" s="98">
        <v>1057.5882360291071</v>
      </c>
      <c r="AJ13" s="97">
        <v>1134.5941220082696</v>
      </c>
      <c r="AK13" s="98">
        <v>1134.5941220082696</v>
      </c>
      <c r="AL13" s="97">
        <v>1264.2393319838764</v>
      </c>
      <c r="AM13" s="98">
        <v>1264.2393319838764</v>
      </c>
      <c r="AN13" s="97">
        <v>1527.0566039889554</v>
      </c>
      <c r="AO13" s="98">
        <v>1527.0566039889554</v>
      </c>
      <c r="AP13" s="97">
        <v>1623.8057349116873</v>
      </c>
      <c r="AQ13" s="98">
        <v>1623.8057349116873</v>
      </c>
      <c r="AR13" s="97">
        <v>1759.244297699549</v>
      </c>
      <c r="AS13" s="98">
        <v>1759.244297699549</v>
      </c>
      <c r="AT13" s="97">
        <v>1974.087625903453</v>
      </c>
      <c r="AU13" s="98">
        <v>1974.087625903453</v>
      </c>
      <c r="AV13" s="97"/>
      <c r="AW13" s="98"/>
    </row>
    <row r="14" spans="1:49" x14ac:dyDescent="0.2">
      <c r="A14" t="s">
        <v>36</v>
      </c>
      <c r="B14" s="41">
        <v>1457.0034251455234</v>
      </c>
      <c r="C14" s="42">
        <v>1457.0034251455236</v>
      </c>
      <c r="D14" s="41">
        <v>1449.6937048356372</v>
      </c>
      <c r="E14" s="42">
        <v>1449.6937048356374</v>
      </c>
      <c r="F14" s="41">
        <v>1442.3385697940384</v>
      </c>
      <c r="G14" s="42">
        <v>1442.3385697940387</v>
      </c>
      <c r="H14" s="41">
        <v>1434.9783728717268</v>
      </c>
      <c r="I14" s="42">
        <v>1434.9783728717271</v>
      </c>
      <c r="J14" s="41">
        <v>1427.6715785513813</v>
      </c>
      <c r="K14" s="42">
        <v>1427.6715785513816</v>
      </c>
      <c r="L14" s="41">
        <v>1420.503218045259</v>
      </c>
      <c r="M14" s="42">
        <v>1420.5032180452592</v>
      </c>
      <c r="N14" s="41">
        <v>1413.5975849442591</v>
      </c>
      <c r="O14" s="42">
        <v>1413.5975849442593</v>
      </c>
      <c r="P14" s="41">
        <v>1407.13866093051</v>
      </c>
      <c r="Q14" s="42">
        <v>1407.1386609305102</v>
      </c>
      <c r="R14" s="41">
        <v>1401.4022791833195</v>
      </c>
      <c r="S14" s="42">
        <v>1401.4022791833197</v>
      </c>
      <c r="T14" s="41">
        <v>1396.8092218479019</v>
      </c>
      <c r="U14" s="42">
        <v>1396.8092218479019</v>
      </c>
      <c r="V14" s="41">
        <v>1394.0114555089588</v>
      </c>
      <c r="W14" s="42">
        <v>1394.011455508959</v>
      </c>
      <c r="X14" s="41">
        <v>1394.0334034658599</v>
      </c>
      <c r="Y14" s="42">
        <v>1394.0334034658601</v>
      </c>
      <c r="Z14" s="41">
        <v>1398.5001106799864</v>
      </c>
      <c r="AA14" s="42">
        <v>1398.5001106799866</v>
      </c>
      <c r="AB14" s="41">
        <v>1409.9976428050982</v>
      </c>
      <c r="AC14" s="42">
        <v>1409.9976428050984</v>
      </c>
      <c r="AD14" s="41">
        <v>1432.6303287309115</v>
      </c>
      <c r="AE14" s="42">
        <v>1432.6303287309117</v>
      </c>
      <c r="AF14" s="41">
        <v>1472.8754998807692</v>
      </c>
      <c r="AG14" s="42">
        <v>1472.8754998807694</v>
      </c>
      <c r="AH14" s="41">
        <v>1540.909682288021</v>
      </c>
      <c r="AI14" s="42">
        <v>1540.9096822880213</v>
      </c>
      <c r="AJ14" s="41">
        <v>1653.1075219160264</v>
      </c>
      <c r="AK14" s="42">
        <v>1653.1075219160268</v>
      </c>
      <c r="AL14" s="41">
        <v>1842.0010369041961</v>
      </c>
      <c r="AM14" s="42">
        <v>1842.0010369041963</v>
      </c>
      <c r="AN14" s="41">
        <v>2224.9267024029991</v>
      </c>
      <c r="AO14" s="42">
        <v>2224.9267024029991</v>
      </c>
      <c r="AP14" s="41">
        <v>2365.890517537272</v>
      </c>
      <c r="AQ14" s="42">
        <v>2365.8905175372724</v>
      </c>
      <c r="AR14" s="41">
        <v>2563.2249674159734</v>
      </c>
      <c r="AS14" s="42">
        <v>2563.2249674159739</v>
      </c>
      <c r="AT14" s="41">
        <v>2876.2524324787255</v>
      </c>
      <c r="AU14" s="42">
        <v>2876.252432478726</v>
      </c>
      <c r="AV14" s="41"/>
      <c r="AW14" s="42"/>
    </row>
    <row r="15" spans="1:49" x14ac:dyDescent="0.2">
      <c r="A15" t="s">
        <v>18</v>
      </c>
      <c r="B15" s="154">
        <v>1000</v>
      </c>
      <c r="C15" s="155">
        <v>1000</v>
      </c>
      <c r="D15" s="154">
        <v>998.63718018884833</v>
      </c>
      <c r="E15" s="155">
        <v>998.63718018884833</v>
      </c>
      <c r="F15" s="154">
        <v>997.45092930880173</v>
      </c>
      <c r="G15" s="155">
        <v>997.45092930880173</v>
      </c>
      <c r="H15" s="154">
        <v>996.49210879873306</v>
      </c>
      <c r="I15" s="155">
        <v>996.49210879873306</v>
      </c>
      <c r="J15" s="154">
        <v>995.82934143829448</v>
      </c>
      <c r="K15" s="155">
        <v>995.82934143829448</v>
      </c>
      <c r="L15" s="154">
        <v>995.55653275580676</v>
      </c>
      <c r="M15" s="155">
        <v>995.55653275580676</v>
      </c>
      <c r="N15" s="154">
        <v>995.80385608146491</v>
      </c>
      <c r="O15" s="155">
        <v>995.80385608146491</v>
      </c>
      <c r="P15" s="154">
        <v>996.75448791572637</v>
      </c>
      <c r="Q15" s="155">
        <v>996.75448791572637</v>
      </c>
      <c r="R15" s="154">
        <v>998.67011636639972</v>
      </c>
      <c r="S15" s="155">
        <v>998.67011636639972</v>
      </c>
      <c r="T15" s="154">
        <v>1001.9308466718911</v>
      </c>
      <c r="U15" s="155">
        <v>1001.9308466718911</v>
      </c>
      <c r="V15" s="154">
        <v>1007.097084141681</v>
      </c>
      <c r="W15" s="155">
        <v>1007.097084141681</v>
      </c>
      <c r="X15" s="154">
        <v>1015.0059422810599</v>
      </c>
      <c r="Y15" s="155">
        <v>1015.0059422810599</v>
      </c>
      <c r="Z15" s="154">
        <v>1026.9183876946317</v>
      </c>
      <c r="AA15" s="155">
        <v>1026.9183876946317</v>
      </c>
      <c r="AB15" s="154">
        <v>1044.7369017920619</v>
      </c>
      <c r="AC15" s="155">
        <v>1044.7369017920619</v>
      </c>
      <c r="AD15" s="154">
        <v>1071.3116842663496</v>
      </c>
      <c r="AE15" s="155">
        <v>1071.3116842663496</v>
      </c>
      <c r="AF15" s="154">
        <v>1110.8361950969809</v>
      </c>
      <c r="AG15" s="155">
        <v>1110.8361950969809</v>
      </c>
      <c r="AH15" s="154">
        <v>1169.2560392178439</v>
      </c>
      <c r="AI15" s="155">
        <v>1169.2560392178439</v>
      </c>
      <c r="AJ15" s="154">
        <v>1254.6403928889197</v>
      </c>
      <c r="AK15" s="155">
        <v>1254.6403928889197</v>
      </c>
      <c r="AL15" s="154">
        <v>1379.7441966972506</v>
      </c>
      <c r="AM15" s="155">
        <v>1379.7441966972506</v>
      </c>
      <c r="AN15" s="154">
        <v>1581.9672823041201</v>
      </c>
      <c r="AO15" s="155">
        <v>1581.9672823041201</v>
      </c>
      <c r="AP15" s="154">
        <v>1642.4282920820392</v>
      </c>
      <c r="AQ15" s="155">
        <v>1642.4282920820392</v>
      </c>
      <c r="AR15" s="154">
        <v>1716.7997819509969</v>
      </c>
      <c r="AS15" s="155">
        <v>1716.7997819509969</v>
      </c>
      <c r="AT15" s="154">
        <v>1814.5157533658262</v>
      </c>
      <c r="AU15" s="155">
        <v>1814.5157533658262</v>
      </c>
      <c r="AV15" s="154"/>
      <c r="AW15" s="155"/>
    </row>
    <row r="16" spans="1:49" s="29" customFormat="1" x14ac:dyDescent="0.2">
      <c r="A16" t="s">
        <v>61</v>
      </c>
      <c r="B16" s="41">
        <v>1000</v>
      </c>
      <c r="C16" s="42">
        <v>1000</v>
      </c>
      <c r="D16" s="41">
        <v>996.68845044146826</v>
      </c>
      <c r="E16" s="42">
        <v>997.59399030208169</v>
      </c>
      <c r="F16" s="41">
        <v>993.4415898657569</v>
      </c>
      <c r="G16" s="42">
        <v>995.30479587494244</v>
      </c>
      <c r="H16" s="41">
        <v>990.29771713847333</v>
      </c>
      <c r="I16" s="42">
        <v>993.17657974484359</v>
      </c>
      <c r="J16" s="41">
        <v>987.31000254537446</v>
      </c>
      <c r="K16" s="42">
        <v>991.26972532044533</v>
      </c>
      <c r="L16" s="41">
        <v>984.55307777835765</v>
      </c>
      <c r="M16" s="42">
        <v>989.66786114032868</v>
      </c>
      <c r="N16" s="41">
        <v>982.13278820619087</v>
      </c>
      <c r="O16" s="42">
        <v>988.48818876153132</v>
      </c>
      <c r="P16" s="41">
        <v>980.20144997270995</v>
      </c>
      <c r="Q16" s="42">
        <v>987.8974306937173</v>
      </c>
      <c r="R16" s="41">
        <v>978.98148803822687</v>
      </c>
      <c r="S16" s="42">
        <v>988.13634243345018</v>
      </c>
      <c r="T16" s="41">
        <v>978.80344530465686</v>
      </c>
      <c r="U16" s="42">
        <v>989.55860987211327</v>
      </c>
      <c r="V16" s="41">
        <v>980.16637483314048</v>
      </c>
      <c r="W16" s="42">
        <v>992.69194072439802</v>
      </c>
      <c r="X16" s="41">
        <v>983.83451035311066</v>
      </c>
      <c r="Y16" s="42">
        <v>998.33461775477792</v>
      </c>
      <c r="Z16" s="41">
        <v>990.98950843503962</v>
      </c>
      <c r="AA16" s="42">
        <v>1007.7053657545805</v>
      </c>
      <c r="AB16" s="41">
        <v>1003.4642496631105</v>
      </c>
      <c r="AC16" s="42">
        <v>1022.6696140890022</v>
      </c>
      <c r="AD16" s="41">
        <v>1024.0906143060756</v>
      </c>
      <c r="AE16" s="42">
        <v>1046.0678375352079</v>
      </c>
      <c r="AF16" s="41">
        <v>1057.1992180833836</v>
      </c>
      <c r="AG16" s="42">
        <v>1082.1665785781408</v>
      </c>
      <c r="AH16" s="41">
        <v>1109.300949964364</v>
      </c>
      <c r="AI16" s="42">
        <v>1137.2125991232931</v>
      </c>
      <c r="AJ16" s="41">
        <v>1190.1859711161592</v>
      </c>
      <c r="AK16" s="42">
        <v>1220.1923656625331</v>
      </c>
      <c r="AL16" s="41">
        <v>1317.7848154529001</v>
      </c>
      <c r="AM16" s="42">
        <v>1346.6223460676692</v>
      </c>
      <c r="AN16" s="41">
        <v>1552.6188064677378</v>
      </c>
      <c r="AO16" s="42">
        <v>1566.2647286173487</v>
      </c>
      <c r="AP16" s="41">
        <v>1632.4916062893019</v>
      </c>
      <c r="AQ16" s="42">
        <v>1637.1096840264358</v>
      </c>
      <c r="AR16" s="41">
        <v>1739.3906996209407</v>
      </c>
      <c r="AS16" s="42">
        <v>1728.8986734699697</v>
      </c>
      <c r="AT16" s="41">
        <v>1899.0908300177398</v>
      </c>
      <c r="AU16" s="42">
        <v>1859.8551434509552</v>
      </c>
      <c r="AV16" s="41"/>
      <c r="AW16" s="42"/>
    </row>
    <row r="17" spans="1:49" x14ac:dyDescent="0.2">
      <c r="A17" t="s">
        <v>62</v>
      </c>
      <c r="B17" s="35">
        <v>1000.0000000000002</v>
      </c>
      <c r="C17" s="36">
        <v>999.99999999999977</v>
      </c>
      <c r="D17" s="35">
        <v>998.76168545637586</v>
      </c>
      <c r="E17" s="36">
        <v>1023.777112508608</v>
      </c>
      <c r="F17" s="35">
        <v>997.68535042137819</v>
      </c>
      <c r="G17" s="36">
        <v>1049.4132957510267</v>
      </c>
      <c r="H17" s="35">
        <v>996.81642078103823</v>
      </c>
      <c r="I17" s="36">
        <v>1077.1204148196541</v>
      </c>
      <c r="J17" s="35">
        <v>996.21633707918227</v>
      </c>
      <c r="K17" s="36">
        <v>1107.1523982621272</v>
      </c>
      <c r="L17" s="35">
        <v>995.96945945311381</v>
      </c>
      <c r="M17" s="36">
        <v>1139.8183994142069</v>
      </c>
      <c r="N17" s="35">
        <v>996.19327149770811</v>
      </c>
      <c r="O17" s="36">
        <v>1175.5015275423859</v>
      </c>
      <c r="P17" s="35">
        <v>997.05410909124168</v>
      </c>
      <c r="Q17" s="36">
        <v>1214.6838220836996</v>
      </c>
      <c r="R17" s="35">
        <v>998.79158915195626</v>
      </c>
      <c r="S17" s="36">
        <v>1257.9843919846553</v>
      </c>
      <c r="T17" s="35">
        <v>1001.7576892309891</v>
      </c>
      <c r="U17" s="36">
        <v>1306.2157040412003</v>
      </c>
      <c r="V17" s="35">
        <v>1006.4793206888831</v>
      </c>
      <c r="W17" s="36">
        <v>1360.477591605659</v>
      </c>
      <c r="X17" s="35">
        <v>1013.7603131690762</v>
      </c>
      <c r="Y17" s="36">
        <v>1422.3340116774341</v>
      </c>
      <c r="Z17" s="35">
        <v>1024.8477380907568</v>
      </c>
      <c r="AA17" s="36">
        <v>1494.1855432731991</v>
      </c>
      <c r="AB17" s="35">
        <v>1041.703968490601</v>
      </c>
      <c r="AC17" s="36">
        <v>1580.1361304473687</v>
      </c>
      <c r="AD17" s="35">
        <v>1067.4538520372525</v>
      </c>
      <c r="AE17" s="36">
        <v>1688.0797649416691</v>
      </c>
      <c r="AF17" s="35">
        <v>1107.127909525346</v>
      </c>
      <c r="AG17" s="36">
        <v>1834.7019752918566</v>
      </c>
      <c r="AH17" s="35">
        <v>1168.9036640841919</v>
      </c>
      <c r="AI17" s="36">
        <v>2057.2442229111252</v>
      </c>
      <c r="AJ17" s="35">
        <v>1266.483339005506</v>
      </c>
      <c r="AK17" s="36">
        <v>2442.6769241631282</v>
      </c>
      <c r="AL17" s="35">
        <v>1427.7769788220883</v>
      </c>
      <c r="AM17" s="36">
        <v>3227.0750248881327</v>
      </c>
      <c r="AN17" s="35">
        <v>1751.9307854400272</v>
      </c>
      <c r="AO17" s="36">
        <v>5445.6806396532538</v>
      </c>
      <c r="AP17" s="35">
        <v>1870.3243645135981</v>
      </c>
      <c r="AQ17" s="36">
        <v>6475.0625568509586</v>
      </c>
      <c r="AR17" s="35">
        <v>2034.9886476208301</v>
      </c>
      <c r="AS17" s="36">
        <v>8097.5123449736948</v>
      </c>
      <c r="AT17" s="35">
        <v>2293.5370106085288</v>
      </c>
      <c r="AU17" s="36">
        <v>11075.230643779785</v>
      </c>
      <c r="AV17" s="35"/>
      <c r="AW17" s="36"/>
    </row>
    <row r="18" spans="1:49" x14ac:dyDescent="0.2">
      <c r="A18" t="s">
        <v>19</v>
      </c>
      <c r="B18" s="33">
        <v>27857.010133999996</v>
      </c>
      <c r="C18" s="34">
        <v>1236.7674480000003</v>
      </c>
      <c r="D18" s="33">
        <v>27624.292164770177</v>
      </c>
      <c r="E18" s="34">
        <v>1142.1088073746691</v>
      </c>
      <c r="F18" s="33">
        <v>27362.270584746446</v>
      </c>
      <c r="G18" s="34">
        <v>1047.2344796246775</v>
      </c>
      <c r="H18" s="33">
        <v>27065.83132539528</v>
      </c>
      <c r="I18" s="34">
        <v>952.31133648322941</v>
      </c>
      <c r="J18" s="33">
        <v>26728.609435957838</v>
      </c>
      <c r="K18" s="34">
        <v>857.57678674495207</v>
      </c>
      <c r="L18" s="33">
        <v>26342.585991026222</v>
      </c>
      <c r="M18" s="34">
        <v>763.36116416403013</v>
      </c>
      <c r="N18" s="33">
        <v>25897.561514418652</v>
      </c>
      <c r="O18" s="34">
        <v>670.11511648072508</v>
      </c>
      <c r="P18" s="33">
        <v>25380.462786089225</v>
      </c>
      <c r="Q18" s="34">
        <v>578.43720658928771</v>
      </c>
      <c r="R18" s="33">
        <v>24774.470268429734</v>
      </c>
      <c r="S18" s="34">
        <v>489.11152165847517</v>
      </c>
      <c r="T18" s="33">
        <v>24058.009219204174</v>
      </c>
      <c r="U18" s="34">
        <v>403.13918870278206</v>
      </c>
      <c r="V18" s="33">
        <v>23203.838888685626</v>
      </c>
      <c r="W18" s="34">
        <v>321.7583931449056</v>
      </c>
      <c r="X18" s="33">
        <v>22178.79244700685</v>
      </c>
      <c r="Y18" s="34">
        <v>246.43576146877029</v>
      </c>
      <c r="Z18" s="33">
        <v>20945.390933022496</v>
      </c>
      <c r="AA18" s="34">
        <v>178.79453646712588</v>
      </c>
      <c r="AB18" s="33">
        <v>19467.143513830793</v>
      </c>
      <c r="AC18" s="34">
        <v>120.47024415990286</v>
      </c>
      <c r="AD18" s="33">
        <v>17718.945908569516</v>
      </c>
      <c r="AE18" s="34">
        <v>72.93097468510372</v>
      </c>
      <c r="AF18" s="33">
        <v>15700.560967200856</v>
      </c>
      <c r="AG18" s="34">
        <v>37.368100463515297</v>
      </c>
      <c r="AH18" s="33">
        <v>13444.923596335735</v>
      </c>
      <c r="AI18" s="34">
        <v>14.501882608036556</v>
      </c>
      <c r="AJ18" s="33">
        <v>11005.761708223554</v>
      </c>
      <c r="AK18" s="34">
        <v>3.4872769964058139</v>
      </c>
      <c r="AL18" s="33">
        <v>8394.5905559827279</v>
      </c>
      <c r="AM18" s="34">
        <v>0.35424835239153363</v>
      </c>
      <c r="AN18" s="33">
        <v>5406.0620548201232</v>
      </c>
      <c r="AO18" s="34">
        <v>4.9542774075406028E-3</v>
      </c>
      <c r="AP18" s="33">
        <v>4700.0823232294724</v>
      </c>
      <c r="AQ18" s="34">
        <v>1.1953663451379111E-3</v>
      </c>
      <c r="AR18" s="33">
        <v>3921.2630964841255</v>
      </c>
      <c r="AS18" s="34">
        <v>1.8801773066811337E-4</v>
      </c>
      <c r="AT18" s="33">
        <v>3028.3554039324176</v>
      </c>
      <c r="AU18" s="34">
        <v>1.3673531972169616E-5</v>
      </c>
      <c r="AV18" s="33"/>
      <c r="AW18" s="34"/>
    </row>
    <row r="19" spans="1:49" x14ac:dyDescent="0.2">
      <c r="A19" t="s">
        <v>3</v>
      </c>
      <c r="B19" s="41">
        <v>1886.3937399999966</v>
      </c>
      <c r="C19" s="42">
        <v>262.78711299999406</v>
      </c>
      <c r="D19" s="41">
        <v>1859.0565492923447</v>
      </c>
      <c r="E19" s="42">
        <v>277.76155087278357</v>
      </c>
      <c r="F19" s="41">
        <v>1831.4865999383594</v>
      </c>
      <c r="G19" s="42">
        <v>293.84964965520879</v>
      </c>
      <c r="H19" s="41">
        <v>1803.731004208789</v>
      </c>
      <c r="I19" s="42">
        <v>310.9966592770121</v>
      </c>
      <c r="J19" s="41">
        <v>1775.8717219843238</v>
      </c>
      <c r="K19" s="42">
        <v>329.08199419879253</v>
      </c>
      <c r="L19" s="41">
        <v>1748.0427284316781</v>
      </c>
      <c r="M19" s="42">
        <v>347.89326766467934</v>
      </c>
      <c r="N19" s="41">
        <v>1720.4557684484037</v>
      </c>
      <c r="O19" s="42">
        <v>367.09294151387695</v>
      </c>
      <c r="P19" s="41">
        <v>1693.4421575935769</v>
      </c>
      <c r="Q19" s="42">
        <v>386.17432586013626</v>
      </c>
      <c r="R19" s="41">
        <v>1667.5198987164849</v>
      </c>
      <c r="S19" s="42">
        <v>404.40887885743871</v>
      </c>
      <c r="T19" s="41">
        <v>1643.5086122378661</v>
      </c>
      <c r="U19" s="42">
        <v>420.78420634105402</v>
      </c>
      <c r="V19" s="41">
        <v>1622.7251695506175</v>
      </c>
      <c r="W19" s="42">
        <v>433.94329986418023</v>
      </c>
      <c r="X19" s="41">
        <v>1607.3262108830515</v>
      </c>
      <c r="Y19" s="42">
        <v>442.14712801359565</v>
      </c>
      <c r="Z19" s="41">
        <v>1600.9096642801853</v>
      </c>
      <c r="AA19" s="42">
        <v>443.29547224510031</v>
      </c>
      <c r="AB19" s="41">
        <v>1609.5629604734436</v>
      </c>
      <c r="AC19" s="42">
        <v>435.03838158169066</v>
      </c>
      <c r="AD19" s="41">
        <v>1643.6484650829855</v>
      </c>
      <c r="AE19" s="42">
        <v>414.93617514843822</v>
      </c>
      <c r="AF19" s="41">
        <v>1720.6952272591786</v>
      </c>
      <c r="AG19" s="42">
        <v>380.51867237957021</v>
      </c>
      <c r="AH19" s="41">
        <v>1869.5487119925785</v>
      </c>
      <c r="AI19" s="42">
        <v>329.36228659476205</v>
      </c>
      <c r="AJ19" s="41">
        <v>2135.408195876566</v>
      </c>
      <c r="AK19" s="42">
        <v>260.54445899193149</v>
      </c>
      <c r="AL19" s="41">
        <v>2593.3437917383899</v>
      </c>
      <c r="AM19" s="42">
        <v>178.00098825544447</v>
      </c>
      <c r="AN19" s="41">
        <v>3443.5018644224178</v>
      </c>
      <c r="AO19" s="42">
        <v>89.494510974974972</v>
      </c>
      <c r="AP19" s="41">
        <v>3716.0711903009574</v>
      </c>
      <c r="AQ19" s="42">
        <v>71.60737820024336</v>
      </c>
      <c r="AR19" s="41">
        <v>4060.1586340229214</v>
      </c>
      <c r="AS19" s="42">
        <v>53.709081552417551</v>
      </c>
      <c r="AT19" s="41">
        <v>4524.9513327396644</v>
      </c>
      <c r="AU19" s="42">
        <v>35.806747391961999</v>
      </c>
      <c r="AV19" s="41"/>
      <c r="AW19" s="42"/>
    </row>
    <row r="20" spans="1:49" x14ac:dyDescent="0.2">
      <c r="A20" t="s">
        <v>127</v>
      </c>
      <c r="B20" s="82">
        <v>26548.356269999993</v>
      </c>
      <c r="C20" s="83">
        <v>1408.5418709999938</v>
      </c>
      <c r="D20" s="82">
        <v>26306.736005031747</v>
      </c>
      <c r="E20" s="83">
        <v>1338.1147774499941</v>
      </c>
      <c r="F20" s="82">
        <v>26040.113865397736</v>
      </c>
      <c r="G20" s="83">
        <v>1267.6876838999945</v>
      </c>
      <c r="H20" s="82">
        <v>25744.330698212823</v>
      </c>
      <c r="I20" s="83">
        <v>1197.2605903499946</v>
      </c>
      <c r="J20" s="82">
        <v>25414.244812662291</v>
      </c>
      <c r="K20" s="83">
        <v>1126.8334967999949</v>
      </c>
      <c r="L20" s="82">
        <v>25043.419517454255</v>
      </c>
      <c r="M20" s="83">
        <v>1056.4064032499953</v>
      </c>
      <c r="N20" s="82">
        <v>24623.715662352271</v>
      </c>
      <c r="O20" s="83">
        <v>985.97930969999561</v>
      </c>
      <c r="P20" s="82">
        <v>24144.758087919927</v>
      </c>
      <c r="Q20" s="83">
        <v>915.55221614999596</v>
      </c>
      <c r="R20" s="82">
        <v>23593.267809160901</v>
      </c>
      <c r="S20" s="83">
        <v>845.12512259999642</v>
      </c>
      <c r="T20" s="82">
        <v>22952.30384880881</v>
      </c>
      <c r="U20" s="83">
        <v>774.69802904999653</v>
      </c>
      <c r="V20" s="82">
        <v>22200.610047830167</v>
      </c>
      <c r="W20" s="83">
        <v>704.27093549999688</v>
      </c>
      <c r="X20" s="82">
        <v>21312.528528668645</v>
      </c>
      <c r="Y20" s="83">
        <v>633.84384194999723</v>
      </c>
      <c r="Z20" s="82">
        <v>20259.484734437021</v>
      </c>
      <c r="AA20" s="83">
        <v>563.41674839999746</v>
      </c>
      <c r="AB20" s="82">
        <v>19014.526731234142</v>
      </c>
      <c r="AC20" s="83">
        <v>492.98965484999781</v>
      </c>
      <c r="AD20" s="82">
        <v>17561.065487797998</v>
      </c>
      <c r="AE20" s="83">
        <v>422.56256129999804</v>
      </c>
      <c r="AF20" s="82">
        <v>15904.102128705716</v>
      </c>
      <c r="AG20" s="83">
        <v>352.13546774999827</v>
      </c>
      <c r="AH20" s="82">
        <v>14076.788610336962</v>
      </c>
      <c r="AI20" s="83">
        <v>281.70837419999856</v>
      </c>
      <c r="AJ20" s="82">
        <v>12128.55701160772</v>
      </c>
      <c r="AK20" s="83">
        <v>211.28128064999876</v>
      </c>
      <c r="AL20" s="82">
        <v>10070.964845210869</v>
      </c>
      <c r="AM20" s="83">
        <v>140.85418709999905</v>
      </c>
      <c r="AN20" s="82">
        <v>7737.7665655210239</v>
      </c>
      <c r="AO20" s="83">
        <v>70.42709354999927</v>
      </c>
      <c r="AP20" s="82">
        <v>7186.9338242021286</v>
      </c>
      <c r="AQ20" s="83">
        <v>56.341674839999328</v>
      </c>
      <c r="AR20" s="82">
        <v>6577.633856959239</v>
      </c>
      <c r="AS20" s="83">
        <v>42.256256129999379</v>
      </c>
      <c r="AT20" s="82">
        <v>5874.5720002848884</v>
      </c>
      <c r="AU20" s="83">
        <v>28.170837419999433</v>
      </c>
      <c r="AV20" s="82"/>
      <c r="AW20" s="83"/>
    </row>
    <row r="21" spans="1:49" x14ac:dyDescent="0.2">
      <c r="A21" t="s">
        <v>76</v>
      </c>
      <c r="B21" s="82">
        <v>24661.962530000055</v>
      </c>
      <c r="C21" s="83">
        <v>1145.7547579999855</v>
      </c>
      <c r="D21" s="82">
        <v>24447.686916086903</v>
      </c>
      <c r="E21" s="83">
        <v>1060.5882756342717</v>
      </c>
      <c r="F21" s="82">
        <v>24208.653058813106</v>
      </c>
      <c r="G21" s="83">
        <v>974.83327451754144</v>
      </c>
      <c r="H21" s="82">
        <v>23940.647921825435</v>
      </c>
      <c r="I21" s="83">
        <v>888.63206123983537</v>
      </c>
      <c r="J21" s="82">
        <v>23638.440328094573</v>
      </c>
      <c r="K21" s="83">
        <v>802.19698100998778</v>
      </c>
      <c r="L21" s="82">
        <v>23295.451968230383</v>
      </c>
      <c r="M21" s="83">
        <v>715.8313570650663</v>
      </c>
      <c r="N21" s="82">
        <v>22903.325836116219</v>
      </c>
      <c r="O21" s="83">
        <v>629.9545608782629</v>
      </c>
      <c r="P21" s="82">
        <v>22451.354662432048</v>
      </c>
      <c r="Q21" s="83">
        <v>545.13285950006639</v>
      </c>
      <c r="R21" s="82">
        <v>21925.754282069069</v>
      </c>
      <c r="S21" s="83">
        <v>462.11244659212264</v>
      </c>
      <c r="T21" s="82">
        <v>21308.80836210015</v>
      </c>
      <c r="U21" s="83">
        <v>381.85301803599174</v>
      </c>
      <c r="V21" s="82">
        <v>20578.057628416998</v>
      </c>
      <c r="W21" s="83">
        <v>305.55045884624087</v>
      </c>
      <c r="X21" s="82">
        <v>19705.951836500233</v>
      </c>
      <c r="Y21" s="83">
        <v>234.62912023615567</v>
      </c>
      <c r="Z21" s="82">
        <v>18660.905473868741</v>
      </c>
      <c r="AA21" s="83">
        <v>170.67785397372705</v>
      </c>
      <c r="AB21" s="82">
        <v>17411.152998827885</v>
      </c>
      <c r="AC21" s="83">
        <v>115.31249689391122</v>
      </c>
      <c r="AD21" s="82">
        <v>15932.469061582011</v>
      </c>
      <c r="AE21" s="83">
        <v>70.005499519123276</v>
      </c>
      <c r="AF21" s="82">
        <v>14218.102353172028</v>
      </c>
      <c r="AG21" s="83">
        <v>35.976525303506897</v>
      </c>
      <c r="AH21" s="82">
        <v>12284.456383011839</v>
      </c>
      <c r="AI21" s="83">
        <v>14.006668345907007</v>
      </c>
      <c r="AJ21" s="82">
        <v>10160.640040017206</v>
      </c>
      <c r="AK21" s="83">
        <v>3.3793791519716425</v>
      </c>
      <c r="AL21" s="82">
        <v>7836.5071350586932</v>
      </c>
      <c r="AM21" s="83">
        <v>0.34432872240983342</v>
      </c>
      <c r="AN21" s="82">
        <v>5105.1287705950372</v>
      </c>
      <c r="AO21" s="83">
        <v>4.8259533034504748E-3</v>
      </c>
      <c r="AP21" s="82">
        <v>4449.2997758123938</v>
      </c>
      <c r="AQ21" s="83">
        <v>1.164726074415252E-3</v>
      </c>
      <c r="AR21" s="82">
        <v>3721.553107370094</v>
      </c>
      <c r="AS21" s="83">
        <v>1.8323804202112658E-4</v>
      </c>
      <c r="AT21" s="82">
        <v>2882.0891667930841</v>
      </c>
      <c r="AU21" s="83">
        <v>1.3327974434841545E-5</v>
      </c>
      <c r="AV21" s="82"/>
      <c r="AW21" s="83"/>
    </row>
    <row r="22" spans="1:49" x14ac:dyDescent="0.2">
      <c r="A22" t="s">
        <v>28</v>
      </c>
      <c r="B22" s="41">
        <v>6533.6044688320662</v>
      </c>
      <c r="C22" s="42">
        <v>379.90788307663394</v>
      </c>
      <c r="D22" s="41">
        <v>6455.3405082733625</v>
      </c>
      <c r="E22" s="42">
        <v>364.69673247211068</v>
      </c>
      <c r="F22" s="41">
        <v>6369.9901350417322</v>
      </c>
      <c r="G22" s="42">
        <v>349.40115906034691</v>
      </c>
      <c r="H22" s="41">
        <v>6276.4251880158454</v>
      </c>
      <c r="I22" s="42">
        <v>334.00322476312039</v>
      </c>
      <c r="J22" s="41">
        <v>6173.2537615939</v>
      </c>
      <c r="K22" s="42">
        <v>318.47790932128908</v>
      </c>
      <c r="L22" s="41">
        <v>6058.7367622970241</v>
      </c>
      <c r="M22" s="42">
        <v>302.79117411845823</v>
      </c>
      <c r="N22" s="41">
        <v>5930.6791289124758</v>
      </c>
      <c r="O22" s="42">
        <v>286.89760729920931</v>
      </c>
      <c r="P22" s="41">
        <v>5786.2902187798509</v>
      </c>
      <c r="Q22" s="42">
        <v>270.7382986001511</v>
      </c>
      <c r="R22" s="41">
        <v>5622.0079527021753</v>
      </c>
      <c r="S22" s="42">
        <v>254.23810668067514</v>
      </c>
      <c r="T22" s="41">
        <v>5433.3054487566742</v>
      </c>
      <c r="U22" s="42">
        <v>237.30411840910222</v>
      </c>
      <c r="V22" s="41">
        <v>5214.5297394187546</v>
      </c>
      <c r="W22" s="42">
        <v>219.82568414437284</v>
      </c>
      <c r="X22" s="41">
        <v>4958.8974501257999</v>
      </c>
      <c r="Y22" s="42">
        <v>201.67767133531402</v>
      </c>
      <c r="Z22" s="41">
        <v>4658.9114872679393</v>
      </c>
      <c r="AA22" s="42">
        <v>182.72912301054811</v>
      </c>
      <c r="AB22" s="41">
        <v>4307.5712128368605</v>
      </c>
      <c r="AC22" s="42">
        <v>162.85554753923978</v>
      </c>
      <c r="AD22" s="41">
        <v>3900.641014656966</v>
      </c>
      <c r="AE22" s="42">
        <v>141.94759238183025</v>
      </c>
      <c r="AF22" s="41">
        <v>3439.4772125607428</v>
      </c>
      <c r="AG22" s="42">
        <v>119.90575702960525</v>
      </c>
      <c r="AH22" s="41">
        <v>2932.5746105027229</v>
      </c>
      <c r="AI22" s="42">
        <v>96.653768518614015</v>
      </c>
      <c r="AJ22" s="41">
        <v>2392.4559076003329</v>
      </c>
      <c r="AK22" s="42">
        <v>72.291911265556195</v>
      </c>
      <c r="AL22" s="41">
        <v>1821.8010283507374</v>
      </c>
      <c r="AM22" s="42">
        <v>47.357691115560804</v>
      </c>
      <c r="AN22" s="41">
        <v>1177.1830846857688</v>
      </c>
      <c r="AO22" s="42">
        <v>22.739064326178603</v>
      </c>
      <c r="AP22" s="41">
        <v>1026.2213287880218</v>
      </c>
      <c r="AQ22" s="42">
        <v>17.94678491404256</v>
      </c>
      <c r="AR22" s="41">
        <v>860.23334807626793</v>
      </c>
      <c r="AS22" s="42">
        <v>13.229273140344251</v>
      </c>
      <c r="AT22" s="41">
        <v>670.49592301823031</v>
      </c>
      <c r="AU22" s="42">
        <v>8.6125313692563417</v>
      </c>
      <c r="AV22" s="41"/>
      <c r="AW22" s="42"/>
    </row>
    <row r="23" spans="1:49" x14ac:dyDescent="0.2">
      <c r="A23" t="s">
        <v>7</v>
      </c>
      <c r="B23" s="116">
        <v>3278.5018080150408</v>
      </c>
      <c r="C23" s="8">
        <v>0</v>
      </c>
      <c r="D23" s="116">
        <v>3252.3007536769642</v>
      </c>
      <c r="E23" s="8">
        <v>0</v>
      </c>
      <c r="F23" s="116">
        <v>3222.408744539568</v>
      </c>
      <c r="G23" s="8">
        <v>0</v>
      </c>
      <c r="H23" s="116">
        <v>3188.2046190830042</v>
      </c>
      <c r="I23" s="8">
        <v>0</v>
      </c>
      <c r="J23" s="116">
        <v>3148.9232863473699</v>
      </c>
      <c r="K23" s="8">
        <v>0</v>
      </c>
      <c r="L23" s="116">
        <v>3103.6105268400561</v>
      </c>
      <c r="M23" s="8">
        <v>0</v>
      </c>
      <c r="N23" s="116">
        <v>3051.0641684518441</v>
      </c>
      <c r="O23" s="8">
        <v>0</v>
      </c>
      <c r="P23" s="116">
        <v>2989.7573501226693</v>
      </c>
      <c r="Q23" s="8">
        <v>0</v>
      </c>
      <c r="R23" s="116">
        <v>2917.742077524937</v>
      </c>
      <c r="S23" s="8">
        <v>0</v>
      </c>
      <c r="T23" s="116">
        <v>2832.5401334759736</v>
      </c>
      <c r="U23" s="8">
        <v>0</v>
      </c>
      <c r="V23" s="116">
        <v>2731.0507454328754</v>
      </c>
      <c r="W23" s="8">
        <v>0</v>
      </c>
      <c r="X23" s="116">
        <v>2609.5436412011927</v>
      </c>
      <c r="Y23" s="8">
        <v>0</v>
      </c>
      <c r="Z23" s="116">
        <v>2463.8907419066672</v>
      </c>
      <c r="AA23" s="8">
        <v>0</v>
      </c>
      <c r="AB23" s="116">
        <v>2290.2646728244968</v>
      </c>
      <c r="AC23" s="8">
        <v>0</v>
      </c>
      <c r="AD23" s="116">
        <v>2086.4899770790662</v>
      </c>
      <c r="AE23" s="8">
        <v>0</v>
      </c>
      <c r="AF23" s="116">
        <v>1853.7924074594173</v>
      </c>
      <c r="AG23" s="8">
        <v>0</v>
      </c>
      <c r="AH23" s="116">
        <v>1597.790849174502</v>
      </c>
      <c r="AI23" s="8">
        <v>0</v>
      </c>
      <c r="AJ23" s="116">
        <v>1326.4120677469475</v>
      </c>
      <c r="AK23" s="8">
        <v>0</v>
      </c>
      <c r="AL23" s="116">
        <v>1041.1435831791591</v>
      </c>
      <c r="AM23" s="8">
        <v>0</v>
      </c>
      <c r="AN23" s="116">
        <v>715.83372742262429</v>
      </c>
      <c r="AO23" s="8">
        <v>0</v>
      </c>
      <c r="AP23" s="116">
        <v>638.01354981499696</v>
      </c>
      <c r="AQ23" s="8">
        <v>0</v>
      </c>
      <c r="AR23" s="116">
        <v>551.13040280549092</v>
      </c>
      <c r="AS23" s="8">
        <v>0</v>
      </c>
      <c r="AT23" s="116">
        <v>449.43981898268601</v>
      </c>
      <c r="AU23" s="8">
        <v>0</v>
      </c>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c r="AW24" s="8"/>
    </row>
    <row r="25" spans="1:49" x14ac:dyDescent="0.2">
      <c r="A25" t="s">
        <v>0</v>
      </c>
      <c r="B25" s="41">
        <v>3195.0476040000012</v>
      </c>
      <c r="C25" s="42">
        <v>91.012690000004397</v>
      </c>
      <c r="D25" s="41">
        <v>3176.599177109214</v>
      </c>
      <c r="E25" s="42">
        <v>81.499322304314532</v>
      </c>
      <c r="F25" s="41">
        <v>3153.5964871066062</v>
      </c>
      <c r="G25" s="42">
        <v>72.321926233398855</v>
      </c>
      <c r="H25" s="41">
        <v>3125.1439087682215</v>
      </c>
      <c r="I25" s="42">
        <v>63.511424097925612</v>
      </c>
      <c r="J25" s="41">
        <v>3090.1139010191337</v>
      </c>
      <c r="K25" s="42">
        <v>55.101520182274918</v>
      </c>
      <c r="L25" s="41">
        <v>3047.0722066087233</v>
      </c>
      <c r="M25" s="42">
        <v>47.129199616375239</v>
      </c>
      <c r="N25" s="41">
        <v>2994.1815350194097</v>
      </c>
      <c r="O25" s="42">
        <v>39.635190365379543</v>
      </c>
      <c r="P25" s="41">
        <v>2929.0763966753916</v>
      </c>
      <c r="Q25" s="42">
        <v>32.664077109394576</v>
      </c>
      <c r="R25" s="41">
        <v>2848.7107764308353</v>
      </c>
      <c r="S25" s="42">
        <v>26.264399546775582</v>
      </c>
      <c r="T25" s="41">
        <v>2749.1903423262756</v>
      </c>
      <c r="U25" s="42">
        <v>20.487725217118001</v>
      </c>
      <c r="V25" s="41">
        <v>2625.6457982019797</v>
      </c>
      <c r="W25" s="42">
        <v>15.386285178382105</v>
      </c>
      <c r="X25" s="41">
        <v>2472.2715338416924</v>
      </c>
      <c r="Y25" s="42">
        <v>11.00840076995188</v>
      </c>
      <c r="Z25" s="41">
        <v>2282.7992056989369</v>
      </c>
      <c r="AA25" s="42">
        <v>7.3907143488098184</v>
      </c>
      <c r="AB25" s="41">
        <v>2051.8205167757083</v>
      </c>
      <c r="AC25" s="42">
        <v>4.548334505108012</v>
      </c>
      <c r="AD25" s="41">
        <v>1777.346951046281</v>
      </c>
      <c r="AE25" s="42">
        <v>2.4663680287485992</v>
      </c>
      <c r="AF25" s="41">
        <v>1464.40948542052</v>
      </c>
      <c r="AG25" s="42">
        <v>1.0966513356215049</v>
      </c>
      <c r="AH25" s="41">
        <v>1128.281785606172</v>
      </c>
      <c r="AI25" s="42">
        <v>0.34965430735939601</v>
      </c>
      <c r="AJ25" s="41">
        <v>794.13292508387849</v>
      </c>
      <c r="AK25" s="42">
        <v>6.2692271731123086E-2</v>
      </c>
      <c r="AL25" s="41">
        <v>488.09663019757289</v>
      </c>
      <c r="AM25" s="42">
        <v>3.9696265282523086E-3</v>
      </c>
      <c r="AN25" s="41">
        <v>222.72139933623021</v>
      </c>
      <c r="AO25" s="42">
        <v>2.2733587492516289E-5</v>
      </c>
      <c r="AP25" s="41">
        <v>174.4405892680011</v>
      </c>
      <c r="AQ25" s="42">
        <v>4.0661054214271926E-6</v>
      </c>
      <c r="AR25" s="41">
        <v>127.66354101418509</v>
      </c>
      <c r="AS25" s="42">
        <v>4.3290815230691587E-7</v>
      </c>
      <c r="AT25" s="41">
        <v>82.414991722284825</v>
      </c>
      <c r="AU25" s="42">
        <v>1.8096811294799023E-8</v>
      </c>
      <c r="AV25" s="41"/>
      <c r="AW25" s="42"/>
    </row>
    <row r="26" spans="1:49" x14ac:dyDescent="0.2">
      <c r="A26" t="s">
        <v>27</v>
      </c>
      <c r="B26" s="33">
        <v>5036.2953101960647</v>
      </c>
      <c r="C26" s="34">
        <v>74.905331803938267</v>
      </c>
      <c r="D26" s="33">
        <v>5001.7724418414518</v>
      </c>
      <c r="E26" s="34">
        <v>69.451744624955936</v>
      </c>
      <c r="F26" s="33">
        <v>4962.2739116920857</v>
      </c>
      <c r="G26" s="34">
        <v>63.95363555818534</v>
      </c>
      <c r="H26" s="33">
        <v>4916.8775456328185</v>
      </c>
      <c r="I26" s="34">
        <v>58.41798091339885</v>
      </c>
      <c r="J26" s="33">
        <v>4864.4297583791085</v>
      </c>
      <c r="K26" s="34">
        <v>52.855990088625248</v>
      </c>
      <c r="L26" s="33">
        <v>4803.4694993284675</v>
      </c>
      <c r="M26" s="34">
        <v>47.284572182449125</v>
      </c>
      <c r="N26" s="33">
        <v>4732.127976902636</v>
      </c>
      <c r="O26" s="34">
        <v>41.728161863050566</v>
      </c>
      <c r="P26" s="33">
        <v>4647.9943880096498</v>
      </c>
      <c r="Q26" s="34">
        <v>36.220706400777885</v>
      </c>
      <c r="R26" s="33">
        <v>4547.9440568054288</v>
      </c>
      <c r="S26" s="34">
        <v>30.808290319873745</v>
      </c>
      <c r="T26" s="33">
        <v>4427.9323711398347</v>
      </c>
      <c r="U26" s="34">
        <v>25.551609197314765</v>
      </c>
      <c r="V26" s="33">
        <v>4282.7936609994413</v>
      </c>
      <c r="W26" s="34">
        <v>20.527916473286535</v>
      </c>
      <c r="X26" s="33">
        <v>4106.1416627767376</v>
      </c>
      <c r="Y26" s="34">
        <v>15.831336446640133</v>
      </c>
      <c r="Z26" s="33">
        <v>3890.5961399069679</v>
      </c>
      <c r="AA26" s="34">
        <v>11.569354999154518</v>
      </c>
      <c r="AB26" s="33">
        <v>3628.6854268888324</v>
      </c>
      <c r="AC26" s="34">
        <v>7.8545260468369245</v>
      </c>
      <c r="AD26" s="33">
        <v>3314.7285811558522</v>
      </c>
      <c r="AE26" s="34">
        <v>4.7932750430675908</v>
      </c>
      <c r="AF26" s="33">
        <v>2947.390658511928</v>
      </c>
      <c r="AG26" s="34">
        <v>2.4780040982568901</v>
      </c>
      <c r="AH26" s="33">
        <v>2531.4169115669138</v>
      </c>
      <c r="AI26" s="34">
        <v>0.97250916666281584</v>
      </c>
      <c r="AJ26" s="33">
        <v>2075.6120219863233</v>
      </c>
      <c r="AK26" s="34">
        <v>0.23777748676741153</v>
      </c>
      <c r="AL26" s="33">
        <v>1581.2088221871929</v>
      </c>
      <c r="AM26" s="34">
        <v>2.4859519182647713E-2</v>
      </c>
      <c r="AN26" s="33">
        <v>1008.3620276743934</v>
      </c>
      <c r="AO26" s="34">
        <v>3.6934491544876884E-4</v>
      </c>
      <c r="AP26" s="33">
        <v>872.30550664857719</v>
      </c>
      <c r="AQ26" s="34">
        <v>9.1046295684716033E-5</v>
      </c>
      <c r="AR26" s="33">
        <v>722.15208517962742</v>
      </c>
      <c r="AS26" s="34">
        <v>1.4733992836555724E-5</v>
      </c>
      <c r="AT26" s="33">
        <v>550.33040872643221</v>
      </c>
      <c r="AU26" s="34">
        <v>1.1163707886330971E-6</v>
      </c>
      <c r="AV26" s="33"/>
      <c r="AW26" s="34"/>
    </row>
    <row r="27" spans="1:49" x14ac:dyDescent="0.2">
      <c r="A27" t="s">
        <v>2</v>
      </c>
      <c r="B27" s="35">
        <v>6425.1981590000414</v>
      </c>
      <c r="C27" s="36">
        <v>273.22915400000028</v>
      </c>
      <c r="D27" s="35">
        <v>6374.1408188582418</v>
      </c>
      <c r="E27" s="36">
        <v>253.19708025000398</v>
      </c>
      <c r="F27" s="35">
        <v>6316.4142339460832</v>
      </c>
      <c r="G27" s="36">
        <v>233.01656639632148</v>
      </c>
      <c r="H27" s="35">
        <v>6250.8345962660587</v>
      </c>
      <c r="I27" s="36">
        <v>212.71468015783569</v>
      </c>
      <c r="J27" s="35">
        <v>6175.9265506481406</v>
      </c>
      <c r="K27" s="36">
        <v>192.33393889950676</v>
      </c>
      <c r="L27" s="35">
        <v>6089.8289424011919</v>
      </c>
      <c r="M27" s="36">
        <v>171.93768093257839</v>
      </c>
      <c r="N27" s="35">
        <v>5990.1713445521964</v>
      </c>
      <c r="O27" s="36">
        <v>151.61678628996137</v>
      </c>
      <c r="P27" s="35">
        <v>5873.9111379906863</v>
      </c>
      <c r="Q27" s="36">
        <v>131.49656787465904</v>
      </c>
      <c r="R27" s="35">
        <v>5737.1276289588632</v>
      </c>
      <c r="S27" s="36">
        <v>111.74647781382829</v>
      </c>
      <c r="T27" s="35">
        <v>5574.7827813275344</v>
      </c>
      <c r="U27" s="36">
        <v>92.588778426609679</v>
      </c>
      <c r="V27" s="35">
        <v>5380.5022772268767</v>
      </c>
      <c r="W27" s="36">
        <v>74.305222094300021</v>
      </c>
      <c r="X27" s="35">
        <v>5146.5058820531549</v>
      </c>
      <c r="Y27" s="36">
        <v>57.237876979120429</v>
      </c>
      <c r="Z27" s="35">
        <v>4863.9745187579629</v>
      </c>
      <c r="AA27" s="36">
        <v>41.77566118365052</v>
      </c>
      <c r="AB27" s="35">
        <v>4524.2846584056933</v>
      </c>
      <c r="AC27" s="36">
        <v>28.323505871386743</v>
      </c>
      <c r="AD27" s="35">
        <v>4121.4556425917881</v>
      </c>
      <c r="AE27" s="36">
        <v>17.260772811979955</v>
      </c>
      <c r="AF27" s="35">
        <v>3655.3559522616197</v>
      </c>
      <c r="AG27" s="36">
        <v>8.91198944879525</v>
      </c>
      <c r="AH27" s="35">
        <v>3133.7266620521696</v>
      </c>
      <c r="AI27" s="36">
        <v>3.4943715994262732</v>
      </c>
      <c r="AJ27" s="35">
        <v>2569.3182115830887</v>
      </c>
      <c r="AK27" s="36">
        <v>0.85434488120580787</v>
      </c>
      <c r="AL27" s="35">
        <v>1965.0508078028422</v>
      </c>
      <c r="AM27" s="36">
        <v>8.9497661049544236E-2</v>
      </c>
      <c r="AN27" s="35">
        <v>1272.8848366816999</v>
      </c>
      <c r="AO27" s="36">
        <v>1.3401241593256653E-3</v>
      </c>
      <c r="AP27" s="35">
        <v>1109.0681888674922</v>
      </c>
      <c r="AQ27" s="36">
        <v>3.3153831703491371E-4</v>
      </c>
      <c r="AR27" s="35">
        <v>928.08116502812629</v>
      </c>
      <c r="AS27" s="36">
        <v>5.3941831254181432E-5</v>
      </c>
      <c r="AT27" s="35">
        <v>720.07967744899622</v>
      </c>
      <c r="AU27" s="36">
        <v>4.1239518678100615E-6</v>
      </c>
      <c r="AV27" s="35"/>
      <c r="AW27" s="36"/>
    </row>
    <row r="28" spans="1:49" x14ac:dyDescent="0.2">
      <c r="A28" t="s">
        <v>35</v>
      </c>
      <c r="B28" s="41">
        <v>13763.097676000029</v>
      </c>
      <c r="C28" s="42">
        <v>382.36647899999997</v>
      </c>
      <c r="D28" s="41">
        <v>13661.73354384587</v>
      </c>
      <c r="E28" s="42">
        <v>354.38843725003528</v>
      </c>
      <c r="F28" s="41">
        <v>13546.435383330181</v>
      </c>
      <c r="G28" s="42">
        <v>326.19694719218273</v>
      </c>
      <c r="H28" s="41">
        <v>13414.673242839988</v>
      </c>
      <c r="I28" s="42">
        <v>297.8292535611248</v>
      </c>
      <c r="J28" s="41">
        <v>13263.288073434531</v>
      </c>
      <c r="K28" s="42">
        <v>269.34422357093183</v>
      </c>
      <c r="L28" s="41">
        <v>13088.286613639775</v>
      </c>
      <c r="M28" s="42">
        <v>240.82985593986288</v>
      </c>
      <c r="N28" s="41">
        <v>12884.571776156432</v>
      </c>
      <c r="O28" s="42">
        <v>212.41266375829727</v>
      </c>
      <c r="P28" s="41">
        <v>12645.58411695997</v>
      </c>
      <c r="Q28" s="42">
        <v>184.26746019290451</v>
      </c>
      <c r="R28" s="41">
        <v>12362.845703629733</v>
      </c>
      <c r="S28" s="42">
        <v>156.63089153398641</v>
      </c>
      <c r="T28" s="41">
        <v>12025.421097808046</v>
      </c>
      <c r="U28" s="42">
        <v>129.81371213323436</v>
      </c>
      <c r="V28" s="41">
        <v>11619.406533421377</v>
      </c>
      <c r="W28" s="42">
        <v>104.21029826793723</v>
      </c>
      <c r="X28" s="41">
        <v>11127.717694895089</v>
      </c>
      <c r="Y28" s="42">
        <v>80.29992715908439</v>
      </c>
      <c r="Z28" s="41">
        <v>10530.791611816214</v>
      </c>
      <c r="AA28" s="42">
        <v>58.628187248063952</v>
      </c>
      <c r="AB28" s="41">
        <v>9809.1437125381399</v>
      </c>
      <c r="AC28" s="42">
        <v>39.764039552266986</v>
      </c>
      <c r="AD28" s="41">
        <v>8948.5677877631915</v>
      </c>
      <c r="AE28" s="42">
        <v>24.241887460475898</v>
      </c>
      <c r="AF28" s="41">
        <v>7947.0747268157893</v>
      </c>
      <c r="AG28" s="42">
        <v>12.520763663554519</v>
      </c>
      <c r="AH28" s="41">
        <v>6819.4421487267164</v>
      </c>
      <c r="AI28" s="42">
        <v>4.910571595192895</v>
      </c>
      <c r="AJ28" s="41">
        <v>5591.3785055971184</v>
      </c>
      <c r="AK28" s="42">
        <v>1.2006036019909554</v>
      </c>
      <c r="AL28" s="41">
        <v>4267.6586286049378</v>
      </c>
      <c r="AM28" s="42">
        <v>0.12570349738870709</v>
      </c>
      <c r="AN28" s="41">
        <v>2741.9439653180093</v>
      </c>
      <c r="AO28" s="42">
        <v>1.8782252356880965E-3</v>
      </c>
      <c r="AP28" s="41">
        <v>2380.0087442109129</v>
      </c>
      <c r="AQ28" s="42">
        <v>4.6419215941339214E-4</v>
      </c>
      <c r="AR28" s="41">
        <v>1980.2151394207526</v>
      </c>
      <c r="AS28" s="42">
        <v>7.5408619628331209E-5</v>
      </c>
      <c r="AT28" s="41">
        <v>1521.5096874268845</v>
      </c>
      <c r="AU28" s="42">
        <v>5.7498778140238287E-6</v>
      </c>
      <c r="AV28" s="41"/>
      <c r="AW28" s="42"/>
    </row>
    <row r="29" spans="1:49" x14ac:dyDescent="0.2">
      <c r="A29" t="s">
        <v>53</v>
      </c>
      <c r="B29" s="35">
        <v>14362.768558000025</v>
      </c>
      <c r="C29" s="36">
        <v>817.26650999999993</v>
      </c>
      <c r="D29" s="35">
        <v>14242.182842806753</v>
      </c>
      <c r="E29" s="36">
        <v>752.57629814916243</v>
      </c>
      <c r="F29" s="35">
        <v>14106.568143743756</v>
      </c>
      <c r="G29" s="36">
        <v>688.04392825766752</v>
      </c>
      <c r="H29" s="35">
        <v>13953.313947600254</v>
      </c>
      <c r="I29" s="36">
        <v>623.7948673887729</v>
      </c>
      <c r="J29" s="35">
        <v>13779.171685585545</v>
      </c>
      <c r="K29" s="36">
        <v>559.99953471047218</v>
      </c>
      <c r="L29" s="35">
        <v>13580.048577264623</v>
      </c>
      <c r="M29" s="36">
        <v>496.88703796504097</v>
      </c>
      <c r="N29" s="35">
        <v>13350.737667735695</v>
      </c>
      <c r="O29" s="36">
        <v>434.76178956178956</v>
      </c>
      <c r="P29" s="35">
        <v>13084.561461467982</v>
      </c>
      <c r="Q29" s="36">
        <v>374.01988546112779</v>
      </c>
      <c r="R29" s="35">
        <v>12772.920844888407</v>
      </c>
      <c r="S29" s="36">
        <v>315.17133816960865</v>
      </c>
      <c r="T29" s="35">
        <v>12404.768555247891</v>
      </c>
      <c r="U29" s="36">
        <v>258.85771618667746</v>
      </c>
      <c r="V29" s="35">
        <v>11966.120965794466</v>
      </c>
      <c r="W29" s="36">
        <v>205.86158182895281</v>
      </c>
      <c r="X29" s="35">
        <v>11439.879581903217</v>
      </c>
      <c r="Y29" s="36">
        <v>157.09692201894632</v>
      </c>
      <c r="Z29" s="35">
        <v>10806.569327374378</v>
      </c>
      <c r="AA29" s="36">
        <v>113.55927660345353</v>
      </c>
      <c r="AB29" s="35">
        <v>10046.894932433679</v>
      </c>
      <c r="AC29" s="36">
        <v>76.231523645393764</v>
      </c>
      <c r="AD29" s="35">
        <v>9146.8201779052342</v>
      </c>
      <c r="AE29" s="36">
        <v>45.971856559665476</v>
      </c>
      <c r="AF29" s="35">
        <v>8104.1745068923665</v>
      </c>
      <c r="AG29" s="36">
        <v>23.452916431749003</v>
      </c>
      <c r="AH29" s="35">
        <v>6932.7597804758489</v>
      </c>
      <c r="AI29" s="36">
        <v>9.0501315283748873</v>
      </c>
      <c r="AJ29" s="35">
        <v>5656.5096952958029</v>
      </c>
      <c r="AK29" s="36">
        <v>2.1573673475329143</v>
      </c>
      <c r="AL29" s="35">
        <v>4278.6198818323692</v>
      </c>
      <c r="AM29" s="36">
        <v>0.21594365137086557</v>
      </c>
      <c r="AN29" s="35">
        <v>2693.7326765390239</v>
      </c>
      <c r="AO29" s="36">
        <v>2.9399152570371029E-3</v>
      </c>
      <c r="AP29" s="35">
        <v>2320.4249991028519</v>
      </c>
      <c r="AQ29" s="36">
        <v>7.035421857172038E-4</v>
      </c>
      <c r="AR29" s="35">
        <v>1910.5214726769429</v>
      </c>
      <c r="AS29" s="36">
        <v>1.0956185139428759E-4</v>
      </c>
      <c r="AT29" s="35">
        <v>1444.829778760072</v>
      </c>
      <c r="AU29" s="36">
        <v>7.8672706676466068E-6</v>
      </c>
      <c r="AV29" s="35"/>
      <c r="AW29" s="36"/>
    </row>
    <row r="30" spans="1:49" x14ac:dyDescent="0.2">
      <c r="A30" t="s">
        <v>48</v>
      </c>
      <c r="B30" s="119">
        <v>2924829.9599999995</v>
      </c>
      <c r="D30" s="119">
        <v>2932695.5367218051</v>
      </c>
      <c r="F30" s="119">
        <v>2937070.1804105984</v>
      </c>
      <c r="H30" s="119">
        <v>2937413.5447844793</v>
      </c>
      <c r="J30" s="119">
        <v>2933080.5600038762</v>
      </c>
      <c r="L30" s="119">
        <v>2923292.587818604</v>
      </c>
      <c r="N30" s="119">
        <v>2907100.3671711395</v>
      </c>
      <c r="P30" s="119">
        <v>2883335.74848474</v>
      </c>
      <c r="R30" s="119">
        <v>2850551.7935044514</v>
      </c>
      <c r="T30" s="119">
        <v>2806959.2449674201</v>
      </c>
      <c r="V30" s="119">
        <v>2750384.6887195203</v>
      </c>
      <c r="X30" s="119">
        <v>2678314.8590304046</v>
      </c>
      <c r="Z30" s="119">
        <v>2588170.7013722109</v>
      </c>
      <c r="AB30" s="119">
        <v>2478041.5035996391</v>
      </c>
      <c r="AD30" s="119">
        <v>2348099.5504539092</v>
      </c>
      <c r="AF30" s="119">
        <v>2202455.1290799323</v>
      </c>
      <c r="AH30" s="119">
        <v>2049866.6608686412</v>
      </c>
      <c r="AJ30" s="119">
        <v>1899333.4161832302</v>
      </c>
      <c r="AL30" s="119">
        <v>1745616.9055344181</v>
      </c>
      <c r="AN30" s="119">
        <v>1535930.3960012293</v>
      </c>
      <c r="AP30" s="119">
        <v>1471482.401631061</v>
      </c>
      <c r="AR30" s="119">
        <v>1388615.1288365314</v>
      </c>
      <c r="AT30" s="119">
        <v>1272147.4768111594</v>
      </c>
      <c r="AV30" s="119"/>
    </row>
    <row r="31" spans="1:49" x14ac:dyDescent="0.2">
      <c r="A31" t="s">
        <v>47</v>
      </c>
      <c r="B31" s="80">
        <v>1</v>
      </c>
      <c r="D31" s="80">
        <v>0.98645947072765583</v>
      </c>
      <c r="F31" s="80">
        <v>0.97181142204574833</v>
      </c>
      <c r="H31" s="80">
        <v>0.95588902809451115</v>
      </c>
      <c r="J31" s="80">
        <v>0.93848707865377445</v>
      </c>
      <c r="L31" s="80">
        <v>0.9193499306109757</v>
      </c>
      <c r="N31" s="80">
        <v>0.89815587179177614</v>
      </c>
      <c r="P31" s="80">
        <v>0.87449729414354993</v>
      </c>
      <c r="R31" s="80">
        <v>0.84785584840214845</v>
      </c>
      <c r="T31" s="80">
        <v>0.81757569533125052</v>
      </c>
      <c r="V31" s="80">
        <v>0.7828420580968426</v>
      </c>
      <c r="X31" s="80">
        <v>0.74268295453166489</v>
      </c>
      <c r="Z31" s="80">
        <v>0.69603111969190079</v>
      </c>
      <c r="AB31" s="80">
        <v>0.6418960927398013</v>
      </c>
      <c r="AD31" s="80">
        <v>0.57967792109741212</v>
      </c>
      <c r="AF31" s="80">
        <v>0.50954447155818028</v>
      </c>
      <c r="AH31" s="80">
        <v>0.43261946780339228</v>
      </c>
      <c r="AJ31" s="80">
        <v>0.35054398648128282</v>
      </c>
      <c r="AL31" s="80">
        <v>0.26357426443249538</v>
      </c>
      <c r="AN31" s="80">
        <v>0.16553216736518614</v>
      </c>
      <c r="AP31" s="80">
        <v>0.14277254663242578</v>
      </c>
      <c r="AR31" s="80">
        <v>0.11793065618254325</v>
      </c>
      <c r="AT31" s="80">
        <v>8.9874974977164387E-2</v>
      </c>
      <c r="AV31" s="80"/>
    </row>
    <row r="32" spans="1:49" x14ac:dyDescent="0.2">
      <c r="A32" t="s">
        <v>64</v>
      </c>
      <c r="B32" s="86">
        <v>14734457.915000005</v>
      </c>
      <c r="D32" s="86">
        <v>14596783.484655919</v>
      </c>
      <c r="F32" s="86">
        <v>14445444.227659693</v>
      </c>
      <c r="H32" s="86">
        <v>14278375.060018627</v>
      </c>
      <c r="J32" s="86">
        <v>14093074.054679094</v>
      </c>
      <c r="L32" s="86">
        <v>13886470.564341217</v>
      </c>
      <c r="N32" s="86">
        <v>13654754.000150414</v>
      </c>
      <c r="P32" s="86">
        <v>13393154.450237287</v>
      </c>
      <c r="R32" s="86">
        <v>13095668.95868836</v>
      </c>
      <c r="T32" s="86">
        <v>12754767.740073107</v>
      </c>
      <c r="V32" s="86">
        <v>12361177.522799909</v>
      </c>
      <c r="X32" s="86">
        <v>11903971.658506908</v>
      </c>
      <c r="Z32" s="86">
        <v>11371456.938586853</v>
      </c>
      <c r="AB32" s="86">
        <v>10753537.261332694</v>
      </c>
      <c r="AD32" s="86">
        <v>10045946.92951265</v>
      </c>
      <c r="AF32" s="86">
        <v>9254860.0633334816</v>
      </c>
      <c r="AH32" s="86">
        <v>8396306.5517313965</v>
      </c>
      <c r="AJ32" s="86">
        <v>7479222.7027947446</v>
      </c>
      <c r="AL32" s="86">
        <v>6456065.6509596044</v>
      </c>
      <c r="AN32" s="86">
        <v>5089421.1393947639</v>
      </c>
      <c r="AP32" s="86">
        <v>4709502.7495160066</v>
      </c>
      <c r="AR32" s="86">
        <v>4252386.7270424776</v>
      </c>
      <c r="AT32" s="86">
        <v>3665143.8548646006</v>
      </c>
      <c r="AV32" s="86"/>
    </row>
    <row r="33" spans="1:49 16319:16321" x14ac:dyDescent="0.2">
      <c r="A33" t="s">
        <v>54</v>
      </c>
      <c r="B33" s="117">
        <v>7019665.6909999903</v>
      </c>
      <c r="D33" s="117">
        <v>6933136.4939818084</v>
      </c>
      <c r="F33" s="117">
        <v>6840557.1837730631</v>
      </c>
      <c r="H33" s="117">
        <v>6741021.386366101</v>
      </c>
      <c r="J33" s="117">
        <v>6633425.1020102454</v>
      </c>
      <c r="L33" s="117">
        <v>6516405.7178949565</v>
      </c>
      <c r="N33" s="117">
        <v>6388262.0789726973</v>
      </c>
      <c r="P33" s="117">
        <v>6246853.205534053</v>
      </c>
      <c r="R33" s="117">
        <v>6089470.2582492139</v>
      </c>
      <c r="T33" s="117">
        <v>5912701.2271383535</v>
      </c>
      <c r="V33" s="117">
        <v>5712326.1834487217</v>
      </c>
      <c r="X33" s="117">
        <v>5483344.9916794831</v>
      </c>
      <c r="Z33" s="117">
        <v>5220342.3924733717</v>
      </c>
      <c r="AB33" s="117">
        <v>4918457.3154730089</v>
      </c>
      <c r="AD33" s="117">
        <v>4575059.1068339897</v>
      </c>
      <c r="AF33" s="117">
        <v>4191385.115749266</v>
      </c>
      <c r="AH33" s="117">
        <v>3771772.6454312624</v>
      </c>
      <c r="AJ33" s="117">
        <v>3316205.7262356202</v>
      </c>
      <c r="AL33" s="117">
        <v>2799573.9470778229</v>
      </c>
      <c r="AN33" s="117">
        <v>2112217.212000038</v>
      </c>
      <c r="AP33" s="117">
        <v>1924809.2728736307</v>
      </c>
      <c r="AR33" s="117">
        <v>1702486.3802250596</v>
      </c>
      <c r="AT33" s="117">
        <v>1422818.7944731205</v>
      </c>
      <c r="AV33" s="117"/>
    </row>
    <row r="34" spans="1:49 16319:16321" x14ac:dyDescent="0.2">
      <c r="A34" t="s">
        <v>75</v>
      </c>
      <c r="B34" s="117">
        <v>1136879.441000015</v>
      </c>
      <c r="D34" s="117">
        <v>1121280.3992484002</v>
      </c>
      <c r="F34" s="117">
        <v>1100582.1637464371</v>
      </c>
      <c r="H34" s="117">
        <v>1073927.6693803463</v>
      </c>
      <c r="J34" s="117">
        <v>1040261.7050182922</v>
      </c>
      <c r="L34" s="117">
        <v>998265.41012874118</v>
      </c>
      <c r="N34" s="117">
        <v>946268.01542250882</v>
      </c>
      <c r="P34" s="117">
        <v>882123.99033107306</v>
      </c>
      <c r="R34" s="117">
        <v>803046.3984036874</v>
      </c>
      <c r="T34" s="117">
        <v>705385.24896447349</v>
      </c>
      <c r="V34" s="117">
        <v>584363.61396556406</v>
      </c>
      <c r="X34" s="117">
        <v>433806.59571499698</v>
      </c>
      <c r="Z34" s="117">
        <v>245984.78352246096</v>
      </c>
      <c r="AB34" s="117">
        <v>11767.50922568189</v>
      </c>
      <c r="AD34" s="117">
        <v>-278771.32115639414</v>
      </c>
      <c r="AF34" s="117">
        <v>-635707.76288260741</v>
      </c>
      <c r="AH34" s="117">
        <v>-1070279.5586738093</v>
      </c>
      <c r="AJ34" s="117">
        <v>-1601757.0375128877</v>
      </c>
      <c r="AL34" s="117">
        <v>-2283244.1801697332</v>
      </c>
      <c r="AN34" s="117">
        <v>-3310274.9533275752</v>
      </c>
      <c r="AP34" s="117">
        <v>-3613237.9751670938</v>
      </c>
      <c r="AR34" s="117">
        <v>-3986204.1741282456</v>
      </c>
      <c r="AT34" s="117">
        <v>-4478343.0883912444</v>
      </c>
      <c r="AV34" s="117"/>
    </row>
    <row r="35" spans="1:49 16319:16321" x14ac:dyDescent="0.2">
      <c r="A35" t="s">
        <v>78</v>
      </c>
      <c r="B35" s="233">
        <v>1</v>
      </c>
      <c r="D35" s="233">
        <v>1.0012309063990572</v>
      </c>
      <c r="F35" s="233">
        <v>1.0027542160680227</v>
      </c>
      <c r="H35" s="233">
        <v>1.004631773441663</v>
      </c>
      <c r="J35" s="233">
        <v>1.0069450651006646</v>
      </c>
      <c r="L35" s="233">
        <v>1.009803205652088</v>
      </c>
      <c r="N35" s="233">
        <v>1.0133545749282125</v>
      </c>
      <c r="P35" s="233">
        <v>1.017804249072094</v>
      </c>
      <c r="R35" s="233">
        <v>1.0234406274931924</v>
      </c>
      <c r="T35" s="233">
        <v>1.0306768327866909</v>
      </c>
      <c r="V35" s="233">
        <v>1.0401155326049272</v>
      </c>
      <c r="X35" s="233">
        <v>1.0526524119864478</v>
      </c>
      <c r="Z35" s="233">
        <v>1.0696421752714032</v>
      </c>
      <c r="AB35" s="233">
        <v>1.0931683401728503</v>
      </c>
      <c r="AD35" s="233">
        <v>1.1264878838902992</v>
      </c>
      <c r="AF35" s="233">
        <v>1.1747745393042155</v>
      </c>
      <c r="AH35" s="233">
        <v>1.2463545535530185</v>
      </c>
      <c r="AJ35" s="233">
        <v>1.3550693655500798</v>
      </c>
      <c r="AL35" s="233">
        <v>1.5291971814351244</v>
      </c>
      <c r="AN35" s="233">
        <v>1.8711415237877991</v>
      </c>
      <c r="AP35" s="233">
        <v>1.9953510512065913</v>
      </c>
      <c r="AR35" s="233">
        <v>2.1683704342906469</v>
      </c>
      <c r="AT35" s="233">
        <v>2.4413993853810716</v>
      </c>
      <c r="AV35" s="233"/>
    </row>
    <row r="36" spans="1:49 16319:16321" x14ac:dyDescent="0.2">
      <c r="A36" t="s">
        <v>21</v>
      </c>
      <c r="B36" s="37">
        <v>0.47195767671988198</v>
      </c>
      <c r="C36" s="38">
        <v>0.31738834428178964</v>
      </c>
      <c r="D36" s="37">
        <v>0.47197901816087384</v>
      </c>
      <c r="E36" s="38">
        <v>0.31925489333679286</v>
      </c>
      <c r="F36" s="37">
        <v>0.47199790552413973</v>
      </c>
      <c r="G36" s="38">
        <v>0.32122312965110184</v>
      </c>
      <c r="H36" s="37">
        <v>0.47201338392851</v>
      </c>
      <c r="I36" s="38">
        <v>0.32329932467891342</v>
      </c>
      <c r="J36" s="37">
        <v>0.47202419433425313</v>
      </c>
      <c r="K36" s="38">
        <v>0.32549013969991997</v>
      </c>
      <c r="L36" s="37">
        <v>0.47202867040971663</v>
      </c>
      <c r="M36" s="38">
        <v>0.32780255253346691</v>
      </c>
      <c r="N36" s="37">
        <v>0.47202461192305528</v>
      </c>
      <c r="O36" s="38">
        <v>0.33024371247163825</v>
      </c>
      <c r="P36" s="37">
        <v>0.47200912954544161</v>
      </c>
      <c r="Q36" s="38">
        <v>0.33282049057083601</v>
      </c>
      <c r="R36" s="37">
        <v>0.47197849769220518</v>
      </c>
      <c r="S36" s="38">
        <v>0.33553880908047401</v>
      </c>
      <c r="T36" s="37">
        <v>0.47192809121474477</v>
      </c>
      <c r="U36" s="38">
        <v>0.33840238748023282</v>
      </c>
      <c r="V36" s="37">
        <v>0.47185265633472689</v>
      </c>
      <c r="W36" s="38">
        <v>0.34141119460472458</v>
      </c>
      <c r="X36" s="37">
        <v>0.47174753677139747</v>
      </c>
      <c r="Y36" s="38">
        <v>0.34456075954378296</v>
      </c>
      <c r="Z36" s="37">
        <v>0.47161233926353135</v>
      </c>
      <c r="AA36" s="38">
        <v>0.34784655024859601</v>
      </c>
      <c r="AB36" s="37">
        <v>0.47146037039277172</v>
      </c>
      <c r="AC36" s="38">
        <v>0.35128594632953125</v>
      </c>
      <c r="AD36" s="37">
        <v>0.4713406976533796</v>
      </c>
      <c r="AE36" s="38">
        <v>0.35498690687636586</v>
      </c>
      <c r="AF36" s="37">
        <v>0.47138575328571708</v>
      </c>
      <c r="AG36" s="38">
        <v>0.35932015505644427</v>
      </c>
      <c r="AH36" s="37">
        <v>0.47190608441079879</v>
      </c>
      <c r="AI36" s="38">
        <v>0.36528135334213008</v>
      </c>
      <c r="AJ36" s="37">
        <v>0.47356977433570685</v>
      </c>
      <c r="AK36" s="38">
        <v>0.37516674970250663</v>
      </c>
      <c r="AL36" s="37">
        <v>0.4778667797664285</v>
      </c>
      <c r="AM36" s="38">
        <v>0.39418635668755914</v>
      </c>
      <c r="AN36" s="37">
        <v>0.48988763220592518</v>
      </c>
      <c r="AO36" s="38">
        <v>0.43930782944922975</v>
      </c>
      <c r="AP36" s="37">
        <v>0.49495170554353696</v>
      </c>
      <c r="AQ36" s="38">
        <v>0.45689833897457138</v>
      </c>
      <c r="AR36" s="37">
        <v>0.5023599104880333</v>
      </c>
      <c r="AS36" s="38">
        <v>0.48166718769193351</v>
      </c>
      <c r="AT36" s="37">
        <v>0.514553744847983</v>
      </c>
      <c r="AU36" s="38">
        <v>0.52049422014917479</v>
      </c>
      <c r="AV36" s="37"/>
      <c r="AW36" s="38"/>
    </row>
    <row r="37" spans="1:49 16319:16321" x14ac:dyDescent="0.2">
      <c r="B37" s="39">
        <v>2.1403217525954466E-2</v>
      </c>
      <c r="C37" s="40">
        <v>0.3496246130199252</v>
      </c>
      <c r="D37" s="39">
        <v>2.0904102356276228E-2</v>
      </c>
      <c r="E37" s="40">
        <v>0.34668946377450899</v>
      </c>
      <c r="F37" s="39">
        <v>2.0404467917842388E-2</v>
      </c>
      <c r="G37" s="40">
        <v>0.34373767357691076</v>
      </c>
      <c r="H37" s="39">
        <v>1.9904680260173183E-2</v>
      </c>
      <c r="I37" s="40">
        <v>0.34077157055508372</v>
      </c>
      <c r="J37" s="39">
        <v>1.9405110821840349E-2</v>
      </c>
      <c r="K37" s="40">
        <v>0.33779359889922411</v>
      </c>
      <c r="L37" s="39">
        <v>1.8906153302106852E-2</v>
      </c>
      <c r="M37" s="40">
        <v>0.33480642604958166</v>
      </c>
      <c r="N37" s="39">
        <v>1.8408248109597621E-2</v>
      </c>
      <c r="O37" s="40">
        <v>0.33181309821310623</v>
      </c>
      <c r="P37" s="39">
        <v>1.7911953003175583E-2</v>
      </c>
      <c r="Q37" s="40">
        <v>0.32881747884809409</v>
      </c>
      <c r="R37" s="39">
        <v>1.7418024997047702E-2</v>
      </c>
      <c r="S37" s="40">
        <v>0.32582476345760947</v>
      </c>
      <c r="T37" s="39">
        <v>1.6927564079388384E-2</v>
      </c>
      <c r="U37" s="40">
        <v>0.3228423760577569</v>
      </c>
      <c r="V37" s="39">
        <v>1.6442146524679992E-2</v>
      </c>
      <c r="W37" s="40">
        <v>0.31988080330996255</v>
      </c>
      <c r="X37" s="39">
        <v>1.5963787538312867E-2</v>
      </c>
      <c r="Y37" s="40">
        <v>0.31695335532511265</v>
      </c>
      <c r="Z37" s="39">
        <v>1.5494258091074093E-2</v>
      </c>
      <c r="AA37" s="40">
        <v>0.31407185169863017</v>
      </c>
      <c r="AB37" s="39">
        <v>1.5032513994099259E-2</v>
      </c>
      <c r="AC37" s="40">
        <v>0.31123038397906971</v>
      </c>
      <c r="AD37" s="39">
        <v>1.456778848719374E-2</v>
      </c>
      <c r="AE37" s="40">
        <v>0.30836161572583493</v>
      </c>
      <c r="AF37" s="39">
        <v>1.4064681523027514E-2</v>
      </c>
      <c r="AG37" s="40">
        <v>0.30524218238188655</v>
      </c>
      <c r="AH37" s="39">
        <v>1.3438874422829178E-2</v>
      </c>
      <c r="AI37" s="40">
        <v>0.30133769993708948</v>
      </c>
      <c r="AJ37" s="39">
        <v>1.2535099762779427E-2</v>
      </c>
      <c r="AK37" s="40">
        <v>0.29566002883799625</v>
      </c>
      <c r="AL37" s="39">
        <v>1.1125606565428433E-2</v>
      </c>
      <c r="AM37" s="40">
        <v>0.28675973364037849</v>
      </c>
      <c r="AN37" s="39">
        <v>8.8209643173834205E-3</v>
      </c>
      <c r="AO37" s="40">
        <v>0.27223768028773909</v>
      </c>
      <c r="AP37" s="39">
        <v>8.168914228185364E-3</v>
      </c>
      <c r="AQ37" s="40">
        <v>0.26817028313494573</v>
      </c>
      <c r="AR37" s="39">
        <v>7.4024447595743949E-3</v>
      </c>
      <c r="AS37" s="40">
        <v>0.26343363182041402</v>
      </c>
      <c r="AT37" s="39">
        <v>6.4583907493760617E-3</v>
      </c>
      <c r="AU37" s="40">
        <v>0.25769204689089048</v>
      </c>
      <c r="AV37" s="39"/>
      <c r="AW37" s="40"/>
    </row>
    <row r="38" spans="1:49 16319:16321" x14ac:dyDescent="0.2">
      <c r="A38" t="s">
        <v>22</v>
      </c>
      <c r="B38" s="37">
        <v>0.18079094942242827</v>
      </c>
      <c r="C38" s="38">
        <v>6.0565413429233668E-2</v>
      </c>
      <c r="D38" s="37">
        <v>0.18106427531273775</v>
      </c>
      <c r="E38" s="38">
        <v>6.0810094604385856E-2</v>
      </c>
      <c r="F38" s="37">
        <v>0.18135461003950409</v>
      </c>
      <c r="G38" s="38">
        <v>6.1069069823890765E-2</v>
      </c>
      <c r="H38" s="37">
        <v>0.18166364396941392</v>
      </c>
      <c r="I38" s="38">
        <v>6.1343363956087499E-2</v>
      </c>
      <c r="J38" s="37">
        <v>0.18199337193483101</v>
      </c>
      <c r="K38" s="38">
        <v>6.1634119422993315E-2</v>
      </c>
      <c r="L38" s="37">
        <v>0.18234616377316948</v>
      </c>
      <c r="M38" s="38">
        <v>6.1942595984996525E-2</v>
      </c>
      <c r="N38" s="37">
        <v>0.18272484744434297</v>
      </c>
      <c r="O38" s="38">
        <v>6.2270139617497819E-2</v>
      </c>
      <c r="P38" s="37">
        <v>0.18313276740395643</v>
      </c>
      <c r="Q38" s="38">
        <v>6.2618216788561387E-2</v>
      </c>
      <c r="R38" s="37">
        <v>0.18357381641378234</v>
      </c>
      <c r="S38" s="38">
        <v>6.2988273544260939E-2</v>
      </c>
      <c r="T38" s="37">
        <v>0.18405231832753902</v>
      </c>
      <c r="U38" s="38">
        <v>6.3381605939959645E-2</v>
      </c>
      <c r="V38" s="37">
        <v>0.18457263393117959</v>
      </c>
      <c r="W38" s="38">
        <v>6.3799163939887271E-2</v>
      </c>
      <c r="X38" s="37">
        <v>0.18513819778907231</v>
      </c>
      <c r="Y38" s="38">
        <v>6.4241230056403031E-2</v>
      </c>
      <c r="Z38" s="37">
        <v>0.18574951178271185</v>
      </c>
      <c r="AA38" s="38">
        <v>6.4707542119340544E-2</v>
      </c>
      <c r="AB38" s="37">
        <v>0.18640050731175661</v>
      </c>
      <c r="AC38" s="38">
        <v>6.5198888751411804E-2</v>
      </c>
      <c r="AD38" s="37">
        <v>0.18707256053830668</v>
      </c>
      <c r="AE38" s="38">
        <v>6.572344691351871E-2</v>
      </c>
      <c r="AF38" s="37">
        <v>0.18772518158231119</v>
      </c>
      <c r="AG38" s="38">
        <v>6.6313354639910393E-2</v>
      </c>
      <c r="AH38" s="37">
        <v>0.18828049809497047</v>
      </c>
      <c r="AI38" s="38">
        <v>6.7060890847639137E-2</v>
      </c>
      <c r="AJ38" s="37">
        <v>0.18859321844442778</v>
      </c>
      <c r="AK38" s="38">
        <v>6.8184284475388254E-2</v>
      </c>
      <c r="AL38" s="37">
        <v>0.18836044612804656</v>
      </c>
      <c r="AM38" s="38">
        <v>7.0175398177072357E-2</v>
      </c>
      <c r="AN38" s="37">
        <v>0.18652431611940584</v>
      </c>
      <c r="AO38" s="38">
        <v>7.4550713467641416E-2</v>
      </c>
      <c r="AP38" s="37">
        <v>0.18559366552737475</v>
      </c>
      <c r="AQ38" s="38">
        <v>7.6166018940588373E-2</v>
      </c>
      <c r="AR38" s="37">
        <v>0.1841631299432884</v>
      </c>
      <c r="AS38" s="38">
        <v>7.8364911565516074E-2</v>
      </c>
      <c r="AT38" s="37">
        <v>0.18172583310790086</v>
      </c>
      <c r="AU38" s="38">
        <v>8.1644654132180278E-2</v>
      </c>
      <c r="AV38" s="37"/>
      <c r="AW38" s="38"/>
    </row>
    <row r="39" spans="1:49 16319:16321" x14ac:dyDescent="0.2">
      <c r="A39" t="s">
        <v>23</v>
      </c>
      <c r="B39" s="39">
        <v>0.23064923795098771</v>
      </c>
      <c r="C39" s="40">
        <v>0.22092201281804777</v>
      </c>
      <c r="D39" s="39">
        <v>0.23074404154280245</v>
      </c>
      <c r="E39" s="40">
        <v>0.22169260810799665</v>
      </c>
      <c r="F39" s="39">
        <v>0.23084393579044837</v>
      </c>
      <c r="G39" s="40">
        <v>0.22250658370208856</v>
      </c>
      <c r="H39" s="39">
        <v>0.23094929252740287</v>
      </c>
      <c r="I39" s="40">
        <v>0.2233667415357726</v>
      </c>
      <c r="J39" s="39">
        <v>0.23106052581769193</v>
      </c>
      <c r="K39" s="40">
        <v>0.22427605536005243</v>
      </c>
      <c r="L39" s="39">
        <v>0.23117809862994212</v>
      </c>
      <c r="M39" s="40">
        <v>0.22523765814163507</v>
      </c>
      <c r="N39" s="39">
        <v>0.23130252403173657</v>
      </c>
      <c r="O39" s="40">
        <v>0.22625483676030819</v>
      </c>
      <c r="P39" s="39">
        <v>0.2314343590775704</v>
      </c>
      <c r="Q39" s="40">
        <v>0.2273307566953012</v>
      </c>
      <c r="R39" s="39">
        <v>0.23157417966146068</v>
      </c>
      <c r="S39" s="40">
        <v>0.22846829989798501</v>
      </c>
      <c r="T39" s="39">
        <v>0.23172253076025487</v>
      </c>
      <c r="U39" s="40">
        <v>0.22966950626789989</v>
      </c>
      <c r="V39" s="39">
        <v>0.23187983260177056</v>
      </c>
      <c r="W39" s="40">
        <v>0.23093483706215637</v>
      </c>
      <c r="X39" s="39">
        <v>0.23204626195722861</v>
      </c>
      <c r="Y39" s="40">
        <v>0.23226286898451598</v>
      </c>
      <c r="Z39" s="39">
        <v>0.2322217109392512</v>
      </c>
      <c r="AA39" s="40">
        <v>0.23365177711306417</v>
      </c>
      <c r="AB39" s="39">
        <v>0.23240619021436459</v>
      </c>
      <c r="AC39" s="40">
        <v>0.23510789796185952</v>
      </c>
      <c r="AD39" s="39">
        <v>0.23260162674792662</v>
      </c>
      <c r="AE39" s="40">
        <v>0.23667272906343725</v>
      </c>
      <c r="AF39" s="39">
        <v>0.23281690124944038</v>
      </c>
      <c r="AG39" s="40">
        <v>0.23849190454560451</v>
      </c>
      <c r="AH39" s="39">
        <v>0.23307880030692268</v>
      </c>
      <c r="AI39" s="40">
        <v>0.24095985975571099</v>
      </c>
      <c r="AJ39" s="39">
        <v>0.23345210260760804</v>
      </c>
      <c r="AK39" s="40">
        <v>0.24498910814550848</v>
      </c>
      <c r="AL39" s="39">
        <v>0.23408536660580465</v>
      </c>
      <c r="AM39" s="40">
        <v>0.25264100861823285</v>
      </c>
      <c r="AN39" s="39">
        <v>0.23545509166820927</v>
      </c>
      <c r="AO39" s="40">
        <v>0.27049840957350191</v>
      </c>
      <c r="AP39" s="39">
        <v>0.23596782196475244</v>
      </c>
      <c r="AQ39" s="40">
        <v>0.2773528955231408</v>
      </c>
      <c r="AR39" s="39">
        <v>0.23667913684757863</v>
      </c>
      <c r="AS39" s="40">
        <v>0.28689757642803859</v>
      </c>
      <c r="AT39" s="39">
        <v>0.23777911816887456</v>
      </c>
      <c r="AU39" s="40">
        <v>0.30160106958492766</v>
      </c>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0.11497663833482664</v>
      </c>
      <c r="E42" s="135"/>
      <c r="F42" s="177">
        <f>10.8%+(1-10.8%)*(1-SUM(F26:G26)/SUM($B$26:$C$26))</f>
        <v>0.1228293925098395</v>
      </c>
      <c r="G42" s="135"/>
      <c r="H42" s="177">
        <f>10.8%+(1-10.8%)*(1-SUM(H26:I26)/SUM($B$26:$C$26))</f>
        <v>0.13171798163989534</v>
      </c>
      <c r="I42" s="135"/>
      <c r="J42" s="177">
        <f>10.8%+(1-10.8%)*(1-SUM(J26:K26)/SUM($B$26:$C$26))</f>
        <v>0.14184177165917344</v>
      </c>
      <c r="K42" s="135"/>
      <c r="L42" s="177">
        <f>10.8%+(1-10.8%)*(1-SUM(L26:M26)/SUM($B$26:$C$26))</f>
        <v>0.15345279223970359</v>
      </c>
      <c r="M42" s="135"/>
      <c r="N42" s="177">
        <f>10.8%+(1-10.8%)*(1-SUM(N26:O26)/SUM($B$26:$C$26))</f>
        <v>0.16687291811875821</v>
      </c>
      <c r="O42" s="135"/>
      <c r="P42" s="177">
        <f>10.8%+(1-10.8%)*(1-SUM(P26:Q26)/SUM($B$26:$C$26))</f>
        <v>0.18251695504187201</v>
      </c>
      <c r="Q42" s="135"/>
      <c r="R42" s="177">
        <f>10.8%+(1-10.8%)*(1-SUM(R26:S26)/SUM($B$26:$C$26))</f>
        <v>0.20092217470891313</v>
      </c>
      <c r="S42" s="135"/>
      <c r="T42" s="177">
        <f>10.8%+(1-10.8%)*(1-SUM(T26:U26)/SUM($B$26:$C$26))</f>
        <v>0.22278384498983347</v>
      </c>
      <c r="U42" s="135"/>
      <c r="V42" s="177">
        <f>10.8%+(1-10.8%)*(1-SUM(V26:W26)/SUM($B$26:$C$26))</f>
        <v>0.24898998963898036</v>
      </c>
      <c r="W42" s="135"/>
      <c r="X42" s="177">
        <f>10.8%+(1-10.8%)*(1-SUM(X26:Y26)/SUM($B$26:$C$26))</f>
        <v>0.28063870451610218</v>
      </c>
      <c r="Y42" s="162"/>
      <c r="Z42" s="177">
        <f>10.8%+(1-10.8%)*(1-SUM(Z26:AA26)/SUM($B$26:$C$26))</f>
        <v>0.31899922048564744</v>
      </c>
      <c r="AA42" s="135"/>
      <c r="AB42" s="177">
        <f>10.8%+(1-10.8%)*(1-SUM(AB26:AC26)/SUM($B$26:$C$26))</f>
        <v>0.36535584000292232</v>
      </c>
      <c r="AC42" s="135"/>
      <c r="AD42" s="177">
        <f>10.8%+(1-10.8%)*(1-SUM(AD26:AE26)/SUM($B$26:$C$26))</f>
        <v>0.42068142044785839</v>
      </c>
      <c r="AE42" s="135"/>
      <c r="AF42" s="177">
        <f>10.8%+(1-10.8%)*(1-SUM(AF26:AG26)/SUM($B$26:$C$26))</f>
        <v>0.48519280862770653</v>
      </c>
      <c r="AG42" s="135"/>
      <c r="AH42" s="177">
        <f>10.8%+(1-10.8%)*(1-SUM(AH26:AI26)/SUM($B$26:$C$26))</f>
        <v>0.55805073572489405</v>
      </c>
      <c r="AI42" s="135"/>
      <c r="AJ42" s="177">
        <f>10.8%+(1-10.8%)*(1-SUM(AJ26:AK26)/SUM($B$26:$C$26))</f>
        <v>0.63772542875455451</v>
      </c>
      <c r="AK42" s="135"/>
      <c r="AL42" s="177">
        <f>10.8%+(1-10.8%)*(1-SUM(AL26:AM26)/SUM($B$26:$C$26))</f>
        <v>0.72404518177353805</v>
      </c>
      <c r="AM42" s="135"/>
      <c r="AN42" s="177">
        <f>10.8%+(1-10.8%)*(1-SUM(AN26:AO26)/SUM($B$26:$C$26))</f>
        <v>0.8240219233911219</v>
      </c>
      <c r="AO42" s="135"/>
      <c r="AP42" s="177">
        <f>10.8%+(1-10.8%)*(1-SUM(AP26:AQ26)/SUM($B$26:$C$26))</f>
        <v>0.84776637670021915</v>
      </c>
      <c r="AQ42" s="135"/>
      <c r="AR42" s="177">
        <f>10.8%+(1-10.8%)*(1-SUM(AR26:AS26)/SUM($B$26:$C$26))</f>
        <v>0.87397096724598733</v>
      </c>
      <c r="AS42" s="135"/>
      <c r="AT42" s="177">
        <f>10.8%+(1-10.8%)*(1-SUM(AT26:AU26)/SUM($B$26:$C$26))</f>
        <v>0.9039570621536599</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0.56740878207189749</v>
      </c>
      <c r="E43" s="135"/>
      <c r="F43" s="162">
        <f t="array" ref="F43">SUM(F15:G15*F27:G27)/SUM(F15:G15*F27:G27,F13:G13*F26:G26)</f>
        <v>0.56765063727759024</v>
      </c>
      <c r="G43" s="135"/>
      <c r="H43" s="162">
        <f t="array" ref="H43">SUM(H15:I15*H27:I27)/SUM(H15:I15*H27:I27,H13:I13*H26:I26)</f>
        <v>0.56793031940194805</v>
      </c>
      <c r="I43" s="135"/>
      <c r="J43" s="162">
        <f t="array" ref="J43">SUM(J15:K15*J27:K27)/SUM(J15:K15*J27:K27,J13:K13*J26:K26)</f>
        <v>0.56825308012925579</v>
      </c>
      <c r="K43" s="135"/>
      <c r="L43" s="162">
        <f t="array" ref="L43">SUM(L15:M15*L27:M27)/SUM(L15:M15*L27:M27,L13:M13*L26:M26)</f>
        <v>0.56862551977170384</v>
      </c>
      <c r="M43" s="135"/>
      <c r="N43" s="162">
        <f t="array" ref="N43">SUM(N15:O15*N27:O27)/SUM(N15:O15*N27:O27,N13:O13*N26:O26)</f>
        <v>0.56905595312659607</v>
      </c>
      <c r="O43" s="135"/>
      <c r="P43" s="162">
        <f t="array" ref="P43">SUM(P15:Q15*P27:Q27)/SUM(P15:Q15*P27:Q27,P13:Q13*P26:Q26)</f>
        <v>0.56955474227870939</v>
      </c>
      <c r="Q43" s="135"/>
      <c r="R43" s="162">
        <f t="array" ref="R43">SUM(R15:S15*R27:S27)/SUM(R15:S15*R27:S27,R13:S13*R26:S26)</f>
        <v>0.57013461072139138</v>
      </c>
      <c r="S43" s="135"/>
      <c r="T43" s="162">
        <f t="array" ref="T43">SUM(T15:U15*T27:U27)/SUM(T15:U15*T27:U27,T13:U13*T26:U26)</f>
        <v>0.57081058678364116</v>
      </c>
      <c r="U43" s="135"/>
      <c r="V43" s="162">
        <f t="array" ref="V43">SUM(V15:W15*V27:W27)/SUM(V15:W15*V27:W27,V13:W13*V26:W26)</f>
        <v>0.57159911951169995</v>
      </c>
      <c r="W43" s="135"/>
      <c r="X43" s="162">
        <f t="array" ref="X43">SUM(X15:Y15*X27:Y27)/SUM(X15:Y15*X27:Y27,X13:Y13*X26:Y26)</f>
        <v>0.57251542165411429</v>
      </c>
      <c r="Y43" s="135"/>
      <c r="Z43" s="162">
        <f t="array" ref="Z43">SUM(Z15:AA15*Z27:AA27)/SUM(Z15:AA15*Z27:AA27,Z13:AA13*Z26:AA26)</f>
        <v>0.57356722039942687</v>
      </c>
      <c r="AA43" s="135"/>
      <c r="AB43" s="162">
        <f t="array" ref="AB43">SUM(AB15:AC15*AB27:AC27)/SUM(AB15:AC15*AB27:AC27,AB13:AC13*AB26:AC26)</f>
        <v>0.5747423309542089</v>
      </c>
      <c r="AC43" s="135"/>
      <c r="AD43" s="162">
        <f t="array" ref="AD43">SUM(AD15:AE15*AD27:AE27)/SUM(AD15:AE15*AD27:AE27,AD13:AE13*AD26:AE26)</f>
        <v>0.5759863819798694</v>
      </c>
      <c r="AE43" s="135"/>
      <c r="AF43" s="162">
        <f t="array" ref="AF43">SUM(AF15:AG15*AF27:AG27)/SUM(AF15:AG15*AF27:AG27,AF13:AG13*AF26:AG26)</f>
        <v>0.57716502315210783</v>
      </c>
      <c r="AG43" s="135"/>
      <c r="AH43" s="162">
        <f t="array" ref="AH43">SUM(AH15:AI15*AH27:AI27)/SUM(AH15:AI15*AH27:AI27,AH13:AI13*AH26:AI26)</f>
        <v>0.57799564756676747</v>
      </c>
      <c r="AI43" s="135"/>
      <c r="AJ43" s="162">
        <f t="array" ref="AJ43">SUM(AJ15:AK15*AJ27:AK27)/SUM(AJ15:AK15*AJ27:AK27,AJ13:AK13*AJ26:AK26)</f>
        <v>0.57790435264140938</v>
      </c>
      <c r="AK43" s="135"/>
      <c r="AL43" s="162">
        <f t="array" ref="AL43">SUM(AL15:AM15*AL27:AM27)/SUM(AL15:AM15*AL27:AM27,AL13:AM13*AL26:AM26)</f>
        <v>0.57561202309541748</v>
      </c>
      <c r="AM43" s="135"/>
      <c r="AN43" s="162">
        <f t="array" ref="AN43">SUM(AN15:AO15*AN27:AO27)/SUM(AN15:AO15*AN27:AO27,AN13:AO13*AN26:AO26)</f>
        <v>0.56667216301371393</v>
      </c>
      <c r="AO43" s="135"/>
      <c r="AP43" s="162">
        <f t="array" ref="AP43">SUM(AP15:AQ15*AP27:AQ27)/SUM(AP15:AQ15*AP27:AQ27,AP13:AQ13*AP26:AQ26)</f>
        <v>0.5625553023318286</v>
      </c>
      <c r="AQ43" s="135"/>
      <c r="AR43" s="162">
        <f t="array" ref="AR43">SUM(AR15:AS15*AR27:AS27)/SUM(AR15:AS15*AR27:AS27,AR13:AS13*AR26:AS26)</f>
        <v>0.55637455003709202</v>
      </c>
      <c r="AS43" s="135"/>
      <c r="AT43" s="162">
        <f t="array" ref="AT43">SUM(AT15:AU15*AT27:AU27)/SUM(AT15:AU15*AT27:AU27,AT13:AU13*AT26:AU26)</f>
        <v>0.54600831737082123</v>
      </c>
      <c r="AU43" s="135"/>
      <c r="AV43" s="162" t="e">
        <f t="array" ref="AV43">SUM(AV15:AW15*AV27:AW27)/SUM(AV15:AW15*AV27:AW27,AV13:AW13*AV26:AW26)</f>
        <v>#DIV/0!</v>
      </c>
    </row>
    <row r="44" spans="1:49 16319:16321" x14ac:dyDescent="0.2">
      <c r="A44" t="s">
        <v>142</v>
      </c>
      <c r="B44" s="193">
        <f>(SUM(B11:C11*B24:C24)+B34)/B32</f>
        <v>0.29754226190682459</v>
      </c>
      <c r="D44" s="193">
        <f>(SUM(D11:E11*D24:E24)+D34)/D32</f>
        <v>0.29897679099689911</v>
      </c>
      <c r="F44" s="193">
        <f>(SUM(F11:G11*F24:G24)+F34)/F32</f>
        <v>0.30040953636218692</v>
      </c>
      <c r="H44" s="193">
        <f>(SUM(H11:I11*H24:I24)+H34)/H32</f>
        <v>0.30183975178351641</v>
      </c>
      <c r="J44" s="193">
        <f>(SUM(J11:K11*J24:K24)+J34)/J32</f>
        <v>0.30326691219963153</v>
      </c>
      <c r="L44" s="193">
        <f>(SUM(L11:M11*L24:M24)+L34)/L32</f>
        <v>0.304690875984444</v>
      </c>
      <c r="N44" s="193">
        <f>(SUM(N11:O11*N24:O24)+N34)/N32</f>
        <v>0.30611218665211942</v>
      </c>
      <c r="P44" s="193">
        <f>(SUM(P11:Q11*P24:Q24)+P34)/P32</f>
        <v>0.30753244348712683</v>
      </c>
      <c r="R44" s="193">
        <f>(SUM(R11:S11*R24:S24)+R34)/R32</f>
        <v>0.30895500251716246</v>
      </c>
      <c r="T44" s="193">
        <f>(SUM(T11:U11*T24:U24)+T34)/T32</f>
        <v>0.31038586949351765</v>
      </c>
      <c r="V44" s="193">
        <f>(SUM(V11:W11*V24:W24)+V34)/V32</f>
        <v>0.31183550832963669</v>
      </c>
      <c r="X44" s="193">
        <f>(SUM(X11:Y11*X24:Y24)+X34)/X32</f>
        <v>0.31332223909606283</v>
      </c>
      <c r="Z44" s="193">
        <f>(SUM(Z11:AA11*Z24:AA24)+Z34)/Z32</f>
        <v>0.31487960462022385</v>
      </c>
      <c r="AB44" s="193">
        <f>(SUM(AB11:AC11*AB24:AC24)+AB34)/AB32</f>
        <v>0.31657338227992665</v>
      </c>
      <c r="AD44" s="193">
        <f>(SUM(AD11:AE11*AD24:AE24)+AD34)/AD32</f>
        <v>0.31854036960972959</v>
      </c>
      <c r="AF44" s="193">
        <f>(SUM(AF11:AG11*AF24:AG24)+AF34)/AF32</f>
        <v>0.32106903142331594</v>
      </c>
      <c r="AH44" s="193">
        <f>(SUM(AH11:AI11*AH24:AI24)+AH34)/AH32</f>
        <v>0.32473572291850061</v>
      </c>
      <c r="AJ44" s="193">
        <f>(SUM(AJ11:AK11*AJ24:AK24)+AJ34)/AJ32</f>
        <v>0.33056470835885787</v>
      </c>
      <c r="AL44" s="193">
        <f>(SUM(AL11:AM11*AL24:AM24)+AL34)/AL32</f>
        <v>0.3403191178418451</v>
      </c>
      <c r="AN44" s="193">
        <f>(SUM(AN11:AO11*AN24:AO24)+AN34)/AN32</f>
        <v>0.35893268514655247</v>
      </c>
      <c r="AP44" s="193">
        <f>(SUM(AP11:AQ11*AP24:AQ24)+AP34)/AP32</f>
        <v>0.36524625766602137</v>
      </c>
      <c r="AR44" s="193">
        <f>(SUM(AR11:AS11*AR24:AS24)+AR34)/AR32</f>
        <v>0.37359360020725119</v>
      </c>
      <c r="AT44" s="193">
        <f>(SUM(AT11:AU11*AT24:AU24)+AT34)/AT32</f>
        <v>0.38575108066773062</v>
      </c>
      <c r="AV44" s="193" t="e">
        <f>(SUM(AV11:AW11*AV24:AW24)+AV34)/AV32</f>
        <v>#DIV/0!</v>
      </c>
    </row>
    <row r="45" spans="1:49 16319:16321" x14ac:dyDescent="0.2">
      <c r="A45" t="s">
        <v>82</v>
      </c>
      <c r="B45" s="193">
        <f>SUM(B11:C11*B24:C24)/B32</f>
        <v>0.22038438833194082</v>
      </c>
      <c r="D45" s="193">
        <f>SUM(D11:E11*D24:E24)/D32</f>
        <v>0.22215984016474585</v>
      </c>
      <c r="F45" s="193">
        <f>SUM(F11:G11*F24:G24)/F32</f>
        <v>0.22422066003541558</v>
      </c>
      <c r="H45" s="193">
        <f>SUM(H11:I11*H24:I24)/H32</f>
        <v>0.22662617426743836</v>
      </c>
      <c r="J45" s="193">
        <f>SUM(J11:K11*J24:K24)/J32</f>
        <v>0.22945322889801631</v>
      </c>
      <c r="L45" s="193">
        <f>SUM(L11:M11*L24:M24)/L32</f>
        <v>0.23280324942711225</v>
      </c>
      <c r="N45" s="193">
        <f>SUM(N11:O11*N24:O24)/N32</f>
        <v>0.23681265804749679</v>
      </c>
      <c r="P45" s="193">
        <f>SUM(P11:Q11*P24:Q24)/P32</f>
        <v>0.24166864764958651</v>
      </c>
      <c r="R45" s="193">
        <f>SUM(R11:S11*R24:S24)/R32</f>
        <v>0.24763347698555499</v>
      </c>
      <c r="T45" s="193">
        <f>SUM(T11:U11*T24:U24)/T32</f>
        <v>0.25508221651140306</v>
      </c>
      <c r="V45" s="193">
        <f>SUM(V11:W11*V24:W24)/V32</f>
        <v>0.26456140253447935</v>
      </c>
      <c r="X45" s="193">
        <f>SUM(X11:Y11*X24:Y24)/X32</f>
        <v>0.27688006599957471</v>
      </c>
      <c r="Z45" s="193">
        <f>SUM(Z11:AA11*Z24:AA24)/Z32</f>
        <v>0.29324783088613365</v>
      </c>
      <c r="AB45" s="193">
        <f>SUM(AB11:AC11*AB24:AC24)/AB32</f>
        <v>0.31547909033303445</v>
      </c>
      <c r="AD45" s="193">
        <f>SUM(AD11:AE11*AD24:AE24)/AD32</f>
        <v>0.34629000069103949</v>
      </c>
      <c r="AF45" s="193">
        <f>SUM(AF11:AG11*AF24:AG24)/AF32</f>
        <v>0.38975810489739215</v>
      </c>
      <c r="AH45" s="193">
        <f>SUM(AH11:AI11*AH24:AI24)/AH32</f>
        <v>0.4522060042951504</v>
      </c>
      <c r="AJ45" s="193">
        <f>SUM(AJ11:AK11*AJ24:AK24)/AJ32</f>
        <v>0.54472560463947839</v>
      </c>
      <c r="AL45" s="193">
        <f>SUM(AL11:AM11*AL24:AM24)/AL32</f>
        <v>0.69397787901481445</v>
      </c>
      <c r="AN45" s="193">
        <f>SUM(AN11:AO11*AN24:AO24)/AN32</f>
        <v>1.0093553683284033</v>
      </c>
      <c r="AP45" s="193">
        <f>SUM(AP11:AQ11*AP24:AQ24)/AP32</f>
        <v>1.1324690765800616</v>
      </c>
      <c r="AR45" s="193">
        <f>SUM(AR11:AS11*AR24:AS24)/AR32</f>
        <v>1.3109975641455542</v>
      </c>
      <c r="AT45" s="193">
        <f>SUM(AT11:AU11*AT24:AU24)/AT32</f>
        <v>1.6076248367134358</v>
      </c>
      <c r="AV45" s="193" t="e">
        <f>SUM(AV11:AW11*AV24:AW24)/AV32</f>
        <v>#DIV/0!</v>
      </c>
      <c r="XCQ45" s="193"/>
    </row>
    <row r="46" spans="1:49 16319:16321" x14ac:dyDescent="0.2">
      <c r="A46" t="s">
        <v>139</v>
      </c>
      <c r="B46" s="193">
        <f>B34/B32</f>
        <v>7.7157873574883712E-2</v>
      </c>
      <c r="D46" s="193">
        <f>D34/D32</f>
        <v>7.6816950832153244E-2</v>
      </c>
      <c r="F46" s="193">
        <f>F34/F32</f>
        <v>7.6188876326771321E-2</v>
      </c>
      <c r="H46" s="193">
        <f>H34/H32</f>
        <v>7.5213577516078031E-2</v>
      </c>
      <c r="J46" s="193">
        <f>J34/J32</f>
        <v>7.3813683301615168E-2</v>
      </c>
      <c r="L46" s="193">
        <f>L34/L32</f>
        <v>7.1887626557331746E-2</v>
      </c>
      <c r="N46" s="193">
        <f>N34/N32</f>
        <v>6.9299528604622629E-2</v>
      </c>
      <c r="P46" s="193">
        <f>P34/P32</f>
        <v>6.5863795837540304E-2</v>
      </c>
      <c r="R46" s="193">
        <f>R34/R32</f>
        <v>6.1321525531607447E-2</v>
      </c>
      <c r="T46" s="193">
        <f>T34/T32</f>
        <v>5.5303652982114621E-2</v>
      </c>
      <c r="V46" s="193">
        <f>V34/V32</f>
        <v>4.727410579515736E-2</v>
      </c>
      <c r="X46" s="193">
        <f>X34/X32</f>
        <v>3.6442173096488076E-2</v>
      </c>
      <c r="Z46" s="193">
        <f>Z34/Z32</f>
        <v>2.1631773734090209E-2</v>
      </c>
      <c r="AB46" s="193">
        <f>AB34/AB32</f>
        <v>1.0942919468922296E-3</v>
      </c>
      <c r="AD46" s="193">
        <f>AD34/AD32</f>
        <v>-2.7749631081309917E-2</v>
      </c>
      <c r="AF46" s="193">
        <f>AF34/AF32</f>
        <v>-6.868907347407624E-2</v>
      </c>
      <c r="AH46" s="193">
        <f>AH34/AH32</f>
        <v>-0.12747028137664979</v>
      </c>
      <c r="AJ46" s="193">
        <f>AJ34/AJ32</f>
        <v>-0.21416089628062054</v>
      </c>
      <c r="AL46" s="193">
        <f>AL34/AL32</f>
        <v>-0.35365876117296929</v>
      </c>
      <c r="AN46" s="193">
        <f>AN34/AN32</f>
        <v>-0.65042268318185092</v>
      </c>
      <c r="AP46" s="193">
        <f>AP34/AP32</f>
        <v>-0.76722281891404021</v>
      </c>
      <c r="AR46" s="193">
        <f>AR34/AR32</f>
        <v>-0.93740396393830316</v>
      </c>
      <c r="AT46" s="193">
        <f>AT34/AT32</f>
        <v>-1.2218737560457051</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0</v>
      </c>
    </row>
    <row r="49" spans="1:48 16321:16384" x14ac:dyDescent="0.2">
      <c r="A49" t="s">
        <v>160</v>
      </c>
      <c r="B49" s="191">
        <f>B13/B35/$B$13*$B$35</f>
        <v>1</v>
      </c>
      <c r="C49" s="191"/>
      <c r="D49" s="191">
        <f>D13/D35/$B$13*$B$35</f>
        <v>0.99375981989059137</v>
      </c>
      <c r="E49" s="191"/>
      <c r="F49" s="191">
        <f>F13/F35/$B$13*$B$35</f>
        <v>0.98721591453426916</v>
      </c>
      <c r="G49" s="191"/>
      <c r="H49" s="191">
        <f>H13/H35/$B$13*$B$35</f>
        <v>0.98034259674985325</v>
      </c>
      <c r="I49" s="191"/>
      <c r="J49" s="191">
        <f>J13/J35/$B$13*$B$35</f>
        <v>0.97311006225694641</v>
      </c>
      <c r="K49" s="191"/>
      <c r="L49" s="191">
        <f>L13/L35/$B$13*$B$35</f>
        <v>0.96548360676445355</v>
      </c>
      <c r="M49" s="191"/>
      <c r="N49" s="191">
        <f>N13/N35/$B$13*$B$35</f>
        <v>0.95742285239659575</v>
      </c>
      <c r="O49" s="191"/>
      <c r="P49" s="191">
        <f>P13/P35/$B$13*$B$35</f>
        <v>0.94888168269731699</v>
      </c>
      <c r="Q49" s="191"/>
      <c r="R49" s="191">
        <f>R13/R35/$B$13*$B$35</f>
        <v>0.93980898683272696</v>
      </c>
      <c r="S49" s="191"/>
      <c r="T49" s="191">
        <f>T13/T35/$B$13*$B$35</f>
        <v>0.93015217659992389</v>
      </c>
      <c r="U49" s="191"/>
      <c r="V49" s="191">
        <f>V13/V35/$B$13*$B$35</f>
        <v>0.91986519759541407</v>
      </c>
      <c r="W49" s="191"/>
      <c r="X49" s="191">
        <f>X13/X35/$B$13*$B$35</f>
        <v>0.90892409763347703</v>
      </c>
      <c r="Y49" s="191"/>
      <c r="Z49" s="191">
        <f>Z13/Z35/$B$13*$B$35</f>
        <v>0.89735319579888617</v>
      </c>
      <c r="AA49" s="191"/>
      <c r="AB49" s="191">
        <f>AB13/AB35/$B$13*$B$35</f>
        <v>0.88525985166291965</v>
      </c>
      <c r="AC49" s="191"/>
      <c r="AD49" s="191">
        <f>AD13/AD35/$B$13*$B$35</f>
        <v>0.87286492696937779</v>
      </c>
      <c r="AE49" s="191"/>
      <c r="AF49" s="191">
        <f>AF13/AF35/$B$13*$B$35</f>
        <v>0.86050012907576579</v>
      </c>
      <c r="AG49" s="191"/>
      <c r="AH49" s="191">
        <f>AH13/AH35/$B$13*$B$35</f>
        <v>0.84854524983618029</v>
      </c>
      <c r="AI49" s="191"/>
      <c r="AJ49" s="191">
        <f>AJ13/AJ35/$B$13*$B$35</f>
        <v>0.83729597233399922</v>
      </c>
      <c r="AK49" s="191"/>
      <c r="AL49" s="191">
        <f>AL13/AL35/$B$13*$B$35</f>
        <v>0.82673401921746303</v>
      </c>
      <c r="AM49" s="191"/>
      <c r="AN49" s="191">
        <f>AN13/AN35/$B$13*$B$35</f>
        <v>0.81610962323026015</v>
      </c>
      <c r="AO49" s="191"/>
      <c r="AP49" s="191">
        <f>AP13/AP35/$B$13*$B$35</f>
        <v>0.81379451196308039</v>
      </c>
      <c r="AQ49" s="191"/>
      <c r="AR49" s="191">
        <f>AR13/AR35/$B$13*$B$35</f>
        <v>0.81132092094543884</v>
      </c>
      <c r="AS49" s="191"/>
      <c r="AT49" s="191">
        <f>AT13/AT35/$B$13*$B$35</f>
        <v>0.80858856511726496</v>
      </c>
      <c r="AU49" s="191"/>
      <c r="AV49" s="191" t="e">
        <f>AV13/AV35/$B$13*$B$35</f>
        <v>#DIV/0!</v>
      </c>
    </row>
    <row r="51" spans="1:48 16321:16384" x14ac:dyDescent="0.2">
      <c r="A51" t="s">
        <v>166</v>
      </c>
      <c r="B51" s="29">
        <f>B30-B10*B23</f>
        <v>-405838.32800000021</v>
      </c>
      <c r="D51" s="29">
        <f>D30-D10*D23</f>
        <v>-366851.96883334452</v>
      </c>
      <c r="F51" s="29">
        <f>F30-F10*F23</f>
        <v>-328267.66049895436</v>
      </c>
      <c r="H51" s="29">
        <f>H30-H10*H23</f>
        <v>-290158.94488007296</v>
      </c>
      <c r="J51" s="29">
        <f>J30-J10*J23</f>
        <v>-252605.34070170252</v>
      </c>
      <c r="L51" s="29">
        <f>L30-L10*L23</f>
        <v>-215691.37804633472</v>
      </c>
      <c r="N51" s="29">
        <f>N30-N10*N23</f>
        <v>-179504.94882375933</v>
      </c>
      <c r="P51" s="29">
        <f>P30-P10*P23</f>
        <v>-144135.98213653453</v>
      </c>
      <c r="R51" s="29">
        <f>R30-R10*R23</f>
        <v>-109674.47083920613</v>
      </c>
      <c r="T51" s="29">
        <f>T30-T10*T23</f>
        <v>-76207.592776872218</v>
      </c>
      <c r="V51" s="29">
        <f>V30-V10*V23</f>
        <v>-43812.574256478343</v>
      </c>
      <c r="X51" s="29">
        <f>X30-X10*X23</f>
        <v>-12532.753617563285</v>
      </c>
      <c r="Z51" s="29">
        <f>Z30-Z10*Z23</f>
        <v>17696.020036858972</v>
      </c>
      <c r="AB51" s="29">
        <f>AB30-AB10*AB23</f>
        <v>47245.220033263788</v>
      </c>
      <c r="AD51" s="29">
        <f>AD30-AD10*AD23</f>
        <v>77251.375781937037</v>
      </c>
      <c r="AF51" s="29">
        <f>AF30-AF10*AF23</f>
        <v>110429.13798852637</v>
      </c>
      <c r="AH51" s="29">
        <f>AH30-AH10*AH23</f>
        <v>151913.43249034532</v>
      </c>
      <c r="AJ51" s="29">
        <f>AJ30-AJ10*AJ23</f>
        <v>208683.51112439902</v>
      </c>
      <c r="AL51" s="29">
        <f>AL30-AL10*AL23</f>
        <v>286247.76871624659</v>
      </c>
      <c r="AN51" s="29">
        <f>AN30-AN10*AN23</f>
        <v>385486.0640110923</v>
      </c>
      <c r="AP51" s="29">
        <f>AP30-AP10*AP23</f>
        <v>406917.17971724458</v>
      </c>
      <c r="AQ51" s="29"/>
      <c r="AR51" s="29">
        <f>AR30-AR10*AR23</f>
        <v>427379.24884844257</v>
      </c>
      <c r="AT51" s="29">
        <f>AT30-AT10*AT23</f>
        <v>443655.61923639127</v>
      </c>
      <c r="AV51" s="29">
        <f>AV30-AV10*AV23</f>
        <v>0</v>
      </c>
      <c r="XFD51" s="29"/>
    </row>
    <row r="52" spans="1:48 16321:16384" x14ac:dyDescent="0.2">
      <c r="A52" t="s">
        <v>167</v>
      </c>
      <c r="B52" s="29">
        <f t="array" ref="B52">Calibration!sL*SUM(B13:C13*B26:C26)</f>
        <v>2049247.8195702801</v>
      </c>
      <c r="D52" s="29">
        <f t="array" ref="D52">Calibration!sL*SUM(D13:E13*D26:E26)</f>
        <v>2023019.376054917</v>
      </c>
      <c r="F52" s="29">
        <f t="array" ref="F52">Calibration!sL*SUM(F13:G13*F26:G26)</f>
        <v>1994896.381372951</v>
      </c>
      <c r="H52" s="29">
        <f t="array" ref="H52">Calibration!sL*SUM(H13:I13*H26:I26)</f>
        <v>1964604.8750245583</v>
      </c>
      <c r="J52" s="29">
        <f t="array" ref="J52">Calibration!sL*SUM(J13:K13*J26:K26)</f>
        <v>1931811.46608164</v>
      </c>
      <c r="L52" s="29">
        <f t="array" ref="L52">Calibration!sL*SUM(L13:M13*L26:M26)</f>
        <v>1896105.3257775898</v>
      </c>
      <c r="N52" s="29">
        <f t="array" ref="N52">Calibration!sL*SUM(N13:O13*N26:O26)</f>
        <v>1856975.1886883543</v>
      </c>
      <c r="P52" s="29">
        <f t="array" ref="P52">Calibration!sL*SUM(P13:Q13*P26:Q26)</f>
        <v>1813780.397250348</v>
      </c>
      <c r="R52" s="29">
        <f t="array" ref="R52">Calibration!sL*SUM(R13:S13*R26:S26)</f>
        <v>1765716.4092650348</v>
      </c>
      <c r="T52" s="29">
        <f t="array" ref="T52">Calibration!sL*SUM(T13:U13*T26:U26)</f>
        <v>1711780.076685688</v>
      </c>
      <c r="V52" s="29">
        <f t="array" ref="V52">Calibration!sL*SUM(V13:W13*V26:W26)</f>
        <v>1650749.3048926436</v>
      </c>
      <c r="X52" s="29">
        <f t="array" ref="X52">Calibration!sL*SUM(X13:Y13*X26:Y26)</f>
        <v>1581209.0896469553</v>
      </c>
      <c r="Z52" s="29">
        <f t="array" ref="Z52">Calibration!sL*SUM(Z13:AA13*Z26:AA26)</f>
        <v>1501686.1271100941</v>
      </c>
      <c r="AB52" s="29">
        <f t="array" ref="AB52">Calibration!sL*SUM(AB13:AC13*AB26:AC26)</f>
        <v>1410969.8353147455</v>
      </c>
      <c r="AD52" s="29">
        <f t="array" ref="AD52">Calibration!sL*SUM(AD13:AE13*AD26:AE26)</f>
        <v>1308641.3914955596</v>
      </c>
      <c r="AF52" s="29">
        <f t="array" ref="AF52">Calibration!sL*SUM(AF13:AG13*AF26:AG26)</f>
        <v>1195582.9076093039</v>
      </c>
      <c r="AH52" s="29">
        <f t="array" ref="AH52">Calibration!sL*SUM(AH13:AI13*AH26:AI26)</f>
        <v>1073788.2661304737</v>
      </c>
      <c r="AJ52" s="29">
        <f t="array" ref="AJ52">Calibration!sL*SUM(AJ13:AK13*AJ26:AK26)</f>
        <v>944295.69052615762</v>
      </c>
      <c r="AL52" s="29">
        <f t="array" ref="AL52">Calibration!sL*SUM(AL13:AM13*AL26:AM26)</f>
        <v>801487.78190932889</v>
      </c>
      <c r="AN52" s="29">
        <f t="array" ref="AN52">Calibration!sL*SUM(AN13:AO13*AN26:AO26)</f>
        <v>617366.88338706386</v>
      </c>
      <c r="AP52" s="29">
        <f t="array" ref="AP52">Calibration!sL*SUM(AP13:AQ13*AP26:AQ26)</f>
        <v>567903.15614209743</v>
      </c>
      <c r="AQ52" s="29"/>
      <c r="AR52" s="29">
        <f t="array" ref="AR52">Calibration!sL*SUM(AR13:AS13*AR26:AS26)</f>
        <v>509361.8127424554</v>
      </c>
      <c r="AT52" s="29">
        <f t="array" ref="AT52">Calibration!sL*SUM(AT13:AU13*AT26:AU26)</f>
        <v>435573.54012215132</v>
      </c>
      <c r="AV52" s="29">
        <f t="array" ref="AV52">Calibration!sL*SUM(AV13:AW13*AV26:AW26)</f>
        <v>0</v>
      </c>
    </row>
    <row r="53" spans="1:48 16321:16384" x14ac:dyDescent="0.2">
      <c r="A53" t="s">
        <v>168</v>
      </c>
      <c r="B53" s="29">
        <f t="array" ref="B53">Calibration!sK*SUM(B15:C15*B27:C27)</f>
        <v>2740714.444429745</v>
      </c>
      <c r="D53" s="29">
        <f t="array" ref="D53">Calibration!sK*SUM(D15:E15*D27:E27)</f>
        <v>2707932.1893363893</v>
      </c>
      <c r="F53" s="29">
        <f t="array" ref="F53">Calibration!sK*SUM(F15:G15*F27:G27)</f>
        <v>2672920.4687754777</v>
      </c>
      <c r="H53" s="29">
        <f t="array" ref="H53">Calibration!sK*SUM(H15:I15*H27:I27)</f>
        <v>2635335.2285084845</v>
      </c>
      <c r="J53" s="29">
        <f t="array" ref="J53">Calibration!sK*SUM(J15:K15*J27:K27)</f>
        <v>2594756.9123226576</v>
      </c>
      <c r="L53" s="29">
        <f t="array" ref="L53">Calibration!sK*SUM(L15:M15*L27:M27)</f>
        <v>2550666.8832570724</v>
      </c>
      <c r="N53" s="29">
        <f t="array" ref="N53">Calibration!sK*SUM(N15:O15*N27:O27)</f>
        <v>2502416.3797391304</v>
      </c>
      <c r="P53" s="29">
        <f t="array" ref="P53">Calibration!sK*SUM(P15:Q15*P27:Q27)</f>
        <v>2449185.2557032118</v>
      </c>
      <c r="R53" s="29">
        <f t="array" ref="R53">Calibration!sK*SUM(R15:S15*R27:S27)</f>
        <v>2389930.4778142758</v>
      </c>
      <c r="T53" s="29">
        <f t="array" ref="T53">Calibration!sK*SUM(T15:U15*T27:U27)</f>
        <v>2323327.18241425</v>
      </c>
      <c r="V53" s="29">
        <f t="array" ref="V53">Calibration!sK*SUM(V15:W15*V27:W27)</f>
        <v>2247717.3975409144</v>
      </c>
      <c r="X53" s="29">
        <f t="array" ref="X53">Calibration!sK*SUM(X15:Y15*X27:Y27)</f>
        <v>2161102.8071241179</v>
      </c>
      <c r="Z53" s="29">
        <f t="array" ref="Z53">Calibration!sK*SUM(Z15:AA15*Z27:AA27)</f>
        <v>2061257.7348818383</v>
      </c>
      <c r="AB53" s="29">
        <f t="array" ref="AB53">Calibration!sK*SUM(AB15:AC15*AB27:AC27)</f>
        <v>1946068.6095770383</v>
      </c>
      <c r="AD53" s="29">
        <f t="array" ref="AD53">Calibration!sK*SUM(AD15:AE15*AD27:AE27)</f>
        <v>1814146.8990350447</v>
      </c>
      <c r="AF53" s="29">
        <f t="array" ref="AF53">Calibration!sK*SUM(AF15:AG15*AF27:AG27)</f>
        <v>1665436.907768782</v>
      </c>
      <c r="AH53" s="29">
        <f t="array" ref="AH53">Calibration!sK*SUM(AH15:AI15*AH27:AI27)</f>
        <v>1500878.9943112596</v>
      </c>
      <c r="AJ53" s="29">
        <f t="array" ref="AJ53">Calibration!sK*SUM(AJ15:AK15*AJ27:AK27)</f>
        <v>1319387.8702119223</v>
      </c>
      <c r="AL53" s="29">
        <f t="array" ref="AL53">Calibration!sK*SUM(AL15:AM15*AL27:AM27)</f>
        <v>1109387.0165380093</v>
      </c>
      <c r="AN53" s="29">
        <f t="array" ref="AN53">Calibration!sK*SUM(AN15:AO15*AN27:AO27)</f>
        <v>823906.64800148492</v>
      </c>
      <c r="AP53" s="29">
        <f t="array" ref="AP53">Calibration!sK*SUM(AP15:AQ15*AP27:AQ27)</f>
        <v>745307.918899499</v>
      </c>
      <c r="AQ53" s="29"/>
      <c r="AR53" s="29">
        <f t="array" ref="AR53">Calibration!sK*SUM(AR15:AS15*AR27:AS27)</f>
        <v>651923.40523791115</v>
      </c>
      <c r="AT53" s="29">
        <f t="array" ref="AT53">Calibration!sK*SUM(AT15:AU15*AT27:AU27)</f>
        <v>534604.04357564275</v>
      </c>
      <c r="AV53" s="29">
        <f t="array" ref="AV53">Calibration!sK*SUM(AV15:AW15*AV27:AW27)</f>
        <v>0</v>
      </c>
      <c r="XFD53" s="29"/>
    </row>
    <row r="55" spans="1:48 16321:16384" x14ac:dyDescent="0.2">
      <c r="A55" t="s">
        <v>169</v>
      </c>
      <c r="B55" s="193">
        <f>B30/B32</f>
        <v>0.19850271905982084</v>
      </c>
      <c r="D55" s="193">
        <f>D30/D32</f>
        <v>0.20091382048686571</v>
      </c>
      <c r="F55" s="193">
        <f>F30/F32</f>
        <v>0.20332155481842412</v>
      </c>
      <c r="H55" s="193">
        <f>H30/H32</f>
        <v>0.20572463830353027</v>
      </c>
      <c r="J55" s="193">
        <f>J30/J32</f>
        <v>0.20812212783555573</v>
      </c>
      <c r="L55" s="193">
        <f>L30/L32</f>
        <v>0.21051372083884778</v>
      </c>
      <c r="N55" s="193">
        <f>N30/N32</f>
        <v>0.21290023731947982</v>
      </c>
      <c r="P55" s="193">
        <f>P30/P32</f>
        <v>0.21528429013477521</v>
      </c>
      <c r="R55" s="193">
        <f>R30/R32</f>
        <v>0.21767133870723301</v>
      </c>
      <c r="T55" s="193">
        <f>T30/T32</f>
        <v>0.22007137269528448</v>
      </c>
      <c r="V55" s="193">
        <f>V30/V32</f>
        <v>0.22250183557727399</v>
      </c>
      <c r="X55" s="193">
        <f>X30/X32</f>
        <v>0.22499338337355723</v>
      </c>
      <c r="Z55" s="193">
        <f>Z30/Z32</f>
        <v>0.2276023833489402</v>
      </c>
      <c r="AB55" s="193">
        <f>AB30/AB32</f>
        <v>0.23043966309673003</v>
      </c>
      <c r="AD55" s="193">
        <f>AD30/AD32</f>
        <v>0.23373600984848331</v>
      </c>
      <c r="AF55" s="193">
        <f>AF30/AF32</f>
        <v>0.23797822052499368</v>
      </c>
      <c r="AH55" s="193">
        <f>AH30/AH32</f>
        <v>0.24413909237817666</v>
      </c>
      <c r="AJ55" s="193">
        <f>AJ30/AJ32</f>
        <v>0.2539479691483863</v>
      </c>
      <c r="AL55" s="193">
        <f>AL30/AL32</f>
        <v>0.2703840078322246</v>
      </c>
      <c r="AN55" s="193">
        <f>AN30/AN32</f>
        <v>0.30178881918659278</v>
      </c>
      <c r="AP55" s="193">
        <f>AP30/AP32</f>
        <v>0.31244963213627691</v>
      </c>
      <c r="AR55" s="193">
        <f>AR30/AR32</f>
        <v>0.32654958684867996</v>
      </c>
      <c r="AT55" s="193">
        <f>AT30/AT32</f>
        <v>0.34709346404580771</v>
      </c>
      <c r="AV55" s="193" t="e">
        <f>AV30/AV32</f>
        <v>#DIV/0!</v>
      </c>
      <c r="XCS55" s="193"/>
      <c r="XFD55" s="193"/>
    </row>
    <row r="56" spans="1:48 16321:16384" x14ac:dyDescent="0.2">
      <c r="A56" t="s">
        <v>170</v>
      </c>
      <c r="B56" s="193">
        <f>(Model!$C$52*B5*B20+B2*C5*C20)/B32</f>
        <v>2.9221206744340551E-2</v>
      </c>
      <c r="D56" s="193">
        <f>(Model!$C$52*D5*D20+D2*E5*E20)/D32</f>
        <v>3.2263106078010396E-2</v>
      </c>
      <c r="F56" s="193">
        <f>(Model!$C$52*F5*F20+F2*G5*G20)/F32</f>
        <v>3.5314568968448083E-2</v>
      </c>
      <c r="H56" s="193">
        <f>(Model!$C$52*H5*H20+H2*I5*I20)/H32</f>
        <v>3.8375621589256378E-2</v>
      </c>
      <c r="J56" s="193">
        <f>(Model!$C$52*J5*J20+J2*K5*K20)/J32</f>
        <v>4.1447045069195006E-2</v>
      </c>
      <c r="L56" s="193">
        <f>(Model!$C$52*L5*L20+L2*M5*M20)/L32</f>
        <v>4.453081827280321E-2</v>
      </c>
      <c r="N56" s="193">
        <f>(Model!$C$52*N5*N20+N2*O5*O20)/N32</f>
        <v>4.7630781707449915E-2</v>
      </c>
      <c r="P56" s="193">
        <f>(Model!$C$52*P5*P20+P2*Q5*Q20)/P32</f>
        <v>5.0753553986353873E-2</v>
      </c>
      <c r="R56" s="193">
        <f>(Model!$C$52*R5*R20+R2*S5*S20)/R32</f>
        <v>5.3909824191882089E-2</v>
      </c>
      <c r="T56" s="193">
        <f>(Model!$C$52*T5*T20+T2*U5*U20)/T32</f>
        <v>5.7116298808800099E-2</v>
      </c>
      <c r="V56" s="193">
        <f>(Model!$C$52*V5*V20+V2*W5*W20)/V32</f>
        <v>6.0398855596481692E-2</v>
      </c>
      <c r="X56" s="193">
        <f>(Model!$C$52*X5*X20+X2*Y5*Y20)/X32</f>
        <v>6.3798445499145484E-2</v>
      </c>
      <c r="Z56" s="193">
        <f>(Model!$C$52*Z5*Z20+Z2*AA5*AA20)/Z32</f>
        <v>6.7383916506807848E-2</v>
      </c>
      <c r="AB56" s="193">
        <f>(Model!$C$52*AB5*AB20+AB2*AC5*AC20)/AB32</f>
        <v>7.128222084185204E-2</v>
      </c>
      <c r="AD56" s="193">
        <f>(Model!$C$52*AD5*AD20+AD2*AE5*AE20)/AD32</f>
        <v>7.5749325301450926E-2</v>
      </c>
      <c r="AF56" s="193">
        <f>(Model!$C$52*AF5*AF20+AF2*AG5*AG20)/AF32</f>
        <v>8.1320088565164844E-2</v>
      </c>
      <c r="AH56" s="193">
        <f>(Model!$C$52*AH5*AH20+AH2*AI5*AI20)/AH32</f>
        <v>8.9060482039917691E-2</v>
      </c>
      <c r="AJ56" s="193">
        <f>(Model!$C$52*AJ5*AJ20+AJ2*AK5*AK20)/AJ32</f>
        <v>0.10084771104661808</v>
      </c>
      <c r="AL56" s="193">
        <f>(Model!$C$52*AL5*AL20+AL2*AM5*AM20)/AL32</f>
        <v>0.11984684732428767</v>
      </c>
      <c r="AN56" s="193">
        <f>(Model!$C$52*AN5*AN20+AN2*AO5*AO20)/AN32</f>
        <v>0.15475860269128044</v>
      </c>
      <c r="AP56" s="193">
        <f>(Model!$C$52*AP5*AP20+AP2*AQ5*AQ20)/AP32</f>
        <v>0.16632565241689887</v>
      </c>
      <c r="AR56" s="193">
        <f>(Model!$C$52*AR5*AR20+AR2*AS5*AS20)/AR32</f>
        <v>0.18145891913709652</v>
      </c>
      <c r="AT56" s="193">
        <f>(Model!$C$52*AT5*AT20+AT2*AU5*AU20)/AT32</f>
        <v>0.20324554507306553</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0.15797587854552841</v>
      </c>
      <c r="F57" s="193">
        <f t="array" ref="F57">SUM(Model!tauL*F13:G13*F26:G26)/F32</f>
        <v>0.15741182125515182</v>
      </c>
      <c r="H57" s="193">
        <f t="array" ref="H57">SUM(Model!tauL*H13:I13*H26:I26)/H32</f>
        <v>0.156835486246338</v>
      </c>
      <c r="J57" s="193">
        <f t="array" ref="J57">SUM(Model!tauL*J13:K13*J26:K26)/J32</f>
        <v>0.15624528065701038</v>
      </c>
      <c r="L57" s="193">
        <f t="array" ref="L57">SUM(Model!tauL*L13:M13*L26:M26)/L32</f>
        <v>0.1556390184431822</v>
      </c>
      <c r="N57" s="193">
        <f t="array" ref="N57">SUM(Model!tauL*N13:O13*N26:O26)/N32</f>
        <v>0.15501371471090167</v>
      </c>
      <c r="P57" s="193">
        <f t="array" ref="P57">SUM(Model!tauL*P13:Q13*P26:Q26)/P32</f>
        <v>0.15436531722781902</v>
      </c>
      <c r="R57" s="193">
        <f t="array" ref="R57">SUM(Model!tauL*R13:S13*R26:S26)/R32</f>
        <v>0.15368842782088532</v>
      </c>
      <c r="T57" s="193">
        <f t="array" ref="T57">SUM(Model!tauL*T13:U13*T26:U26)/T32</f>
        <v>0.1529760052364556</v>
      </c>
      <c r="V57" s="193">
        <f t="array" ref="V57">SUM(Model!tauL*V13:W13*V26:W26)/V32</f>
        <v>0.15221911148385955</v>
      </c>
      <c r="X57" s="193">
        <f t="array" ref="X57">SUM(Model!tauL*X13:Y13*X26:Y26)/X32</f>
        <v>0.15140677921322046</v>
      </c>
      <c r="Y57" s="193"/>
      <c r="Z57" s="193">
        <f t="array" ref="Z57">SUM(Model!tauL*Z13:AA13*Z26:AA26)/Z32</f>
        <v>0.15052580574531257</v>
      </c>
      <c r="AB57" s="193">
        <f t="array" ref="AB57">SUM(Model!tauL*AB13:AC13*AB26:AC26)/AB32</f>
        <v>0.14955959759078158</v>
      </c>
      <c r="AD57" s="193">
        <f t="array" ref="AD57">SUM(Model!tauL*AD13:AE13*AD26:AE26)/AD32</f>
        <v>0.14848332224809427</v>
      </c>
      <c r="AF57" s="193">
        <f t="array" ref="AF57">SUM(Model!tauL*AF13:AG13*AF26:AG26)/AF32</f>
        <v>0.14725082754874808</v>
      </c>
      <c r="AH57" s="193">
        <f t="array" ref="AH57">SUM(Model!tauL*AH13:AI13*AH26:AI26)/AH32</f>
        <v>0.14577339569233977</v>
      </c>
      <c r="AJ57" s="193">
        <f t="array" ref="AJ57">SUM(Model!tauL*AJ13:AK13*AJ26:AK26)/AJ32</f>
        <v>0.14391280751948035</v>
      </c>
      <c r="AL57" s="193">
        <f t="array" ref="AL57">SUM(Model!tauL*AL13:AM13*AL26:AM26)/AL32</f>
        <v>0.14150665702792528</v>
      </c>
      <c r="AN57" s="193">
        <f t="array" ref="AN57">SUM(Model!tauL*AN13:AO13*AN26:AO26)/AN32</f>
        <v>0.13826837001124473</v>
      </c>
      <c r="AP57" s="193">
        <f t="array" ref="AP57">SUM(Model!tauL*AP13:AQ13*AP26:AQ26)/AP32</f>
        <v>0.13745075526604289</v>
      </c>
      <c r="AR57" s="193">
        <f t="array" ref="AR57">SUM(Model!tauL*AR13:AS13*AR26:AS26)/AR32</f>
        <v>0.13653422564637666</v>
      </c>
      <c r="AT57" s="193">
        <f t="array" ref="AT57">SUM(Model!tauL*AT13:AU13*AT26:AU26)/AT32</f>
        <v>0.13546227580927089</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1.0674835863326852E-2</v>
      </c>
      <c r="F58" s="193">
        <f t="array" ref="F58">SUM(Model!tauY/(1+Model!tauY)*F3:G3*F18:G18)/F32</f>
        <v>1.0595164594824182E-2</v>
      </c>
      <c r="H58" s="193">
        <f t="array" ref="H58">SUM(Model!tauY/(1+Model!tauY)*H3:I3*H18:I18)/H32</f>
        <v>1.051353046793586E-2</v>
      </c>
      <c r="J58" s="193">
        <f t="array" ref="J58">SUM(Model!tauY/(1+Model!tauY)*J3:K3*J18:K18)/J32</f>
        <v>1.0429802109350348E-2</v>
      </c>
      <c r="L58" s="193">
        <f t="array" ref="L58">SUM(Model!tauY/(1+Model!tauY)*L3:M3*L18:M18)/L32</f>
        <v>1.0343884122862398E-2</v>
      </c>
      <c r="N58" s="193">
        <f t="array" ref="N58">SUM(Model!tauY/(1+Model!tauY)*N3:O3*N18:O18)/N32</f>
        <v>1.0255740901128251E-2</v>
      </c>
      <c r="P58" s="193">
        <f t="array" ref="P58">SUM(Model!tauY/(1+Model!tauY)*P3:Q3*P18:Q18)/P32</f>
        <v>1.0165418920602302E-2</v>
      </c>
      <c r="R58" s="193">
        <f t="array" ref="R58">SUM(Model!tauY/(1+Model!tauY)*R3:S3*R18:S18)/R32</f>
        <v>1.0073086694465576E-2</v>
      </c>
      <c r="T58" s="193">
        <f t="array" ref="T58">SUM(Model!tauY/(1+Model!tauY)*T3:U3*T18:U18)/T32</f>
        <v>9.9790686500287867E-3</v>
      </c>
      <c r="V58" s="193">
        <f t="array" ref="V58">SUM(Model!tauY/(1+Model!tauY)*V3:W3*V18:W18)/V32</f>
        <v>9.8838684969327698E-3</v>
      </c>
      <c r="X58" s="193">
        <f t="array" ref="X58">SUM(Model!tauY/(1+Model!tauY)*X3:Y3*X18:Y18)/X32</f>
        <v>9.7881586611912614E-3</v>
      </c>
      <c r="Y58" s="193"/>
      <c r="Z58" s="193">
        <f t="array" ref="Z58">SUM(Model!tauY/(1+Model!tauY)*Z3:AA3*Z18:AA18)/Z32</f>
        <v>9.6926610968197831E-3</v>
      </c>
      <c r="AB58" s="193">
        <f t="array" ref="AB58">SUM(Model!tauY/(1+Model!tauY)*AB3:AC3*AB18:AC18)/AB32</f>
        <v>9.5978446640964075E-3</v>
      </c>
      <c r="AD58" s="193">
        <f t="array" ref="AD58">SUM(Model!tauY/(1+Model!tauY)*AD3:AE3*AD18:AE18)/AD32</f>
        <v>9.5033622989380909E-3</v>
      </c>
      <c r="AF58" s="193">
        <f t="array" ref="AF58">SUM(Model!tauY/(1+Model!tauY)*AF3:AG3*AF18:AG18)/AF32</f>
        <v>9.4073044110807979E-3</v>
      </c>
      <c r="AH58" s="193">
        <f t="array" ref="AH58">SUM(Model!tauY/(1+Model!tauY)*AH3:AI3*AH18:AI18)/AH32</f>
        <v>9.3052146459191958E-3</v>
      </c>
      <c r="AJ58" s="193">
        <f t="array" ref="AJ58">SUM(Model!tauY/(1+Model!tauY)*AJ3:AK3*AJ18:AK18)/AJ32</f>
        <v>9.1874505822878757E-3</v>
      </c>
      <c r="AL58" s="193">
        <f t="array" ref="AL58">SUM(Model!tauY/(1+Model!tauY)*AL3:AM3*AL18:AM18)/AL32</f>
        <v>9.0305034800116646E-3</v>
      </c>
      <c r="AN58" s="193">
        <f t="array" ref="AN58">SUM(Model!tauY/(1+Model!tauY)*AN3:AO3*AN18:AO18)/AN32</f>
        <v>8.7618464840675658E-3</v>
      </c>
      <c r="AP58" s="193">
        <f t="array" ref="AP58">SUM(Model!tauY/(1+Model!tauY)*AP3:AQ3*AP18:AQ18)/AP32</f>
        <v>8.6732244533351526E-3</v>
      </c>
      <c r="AR58" s="193">
        <f t="array" ref="AR58">SUM(Model!tauY/(1+Model!tauY)*AR3:AS3*AR18:AS18)/AR32</f>
        <v>8.5564420652067558E-3</v>
      </c>
      <c r="AT58" s="193">
        <f t="array" ref="AT58">SUM(Model!tauY/(1+Model!tauY)*AT3:AU3*AT18:AU18)/AT32</f>
        <v>8.3856431634713614E-3</v>
      </c>
      <c r="AV58" s="193" t="e">
        <f t="array" ref="AV58">SUM(Model!tauY/(1+Model!tauY)*AV3:AW3*AV18:AW18)/AV32</f>
        <v>#DIV/0!</v>
      </c>
      <c r="XFD58" s="193"/>
    </row>
    <row r="59" spans="1:48 16321:16384" x14ac:dyDescent="0.2">
      <c r="A59" t="s">
        <v>173</v>
      </c>
      <c r="B59" s="193">
        <f>(B2*C5*C20)/B32</f>
        <v>5.5174232040962052E-4</v>
      </c>
      <c r="D59" s="193">
        <f>(D2*E5*E20)/D32</f>
        <v>3.6257026849470637E-3</v>
      </c>
      <c r="F59" s="193">
        <f>(F2*G5*G20)/F32</f>
        <v>6.7044527562182031E-3</v>
      </c>
      <c r="H59" s="193">
        <f>(H2*I5*I20)/H32</f>
        <v>9.7870281077284162E-3</v>
      </c>
      <c r="J59" s="193">
        <f>(J2*K5*K20)/J32</f>
        <v>1.2872949106199596E-2</v>
      </c>
      <c r="L59" s="193">
        <f>(L2*M5*M20)/L32</f>
        <v>1.5962558727506383E-2</v>
      </c>
      <c r="N59" s="193">
        <f>(N2*O5*O20)/N32</f>
        <v>1.9057533333070184E-2</v>
      </c>
      <c r="P59" s="193">
        <f>(P2*Q5*Q20)/P32</f>
        <v>2.2161570352873382E-2</v>
      </c>
      <c r="R59" s="193">
        <f>(R2*S5*S20)/R32</f>
        <v>2.528132579507477E-2</v>
      </c>
      <c r="T59" s="193">
        <f>(T2*U5*U20)/T32</f>
        <v>2.8427815882450868E-2</v>
      </c>
      <c r="V59" s="193">
        <f>(V2*W5*W20)/V32</f>
        <v>3.16187416488177E-2</v>
      </c>
      <c r="X59" s="193">
        <f>(X2*Y5*Y20)/X32</f>
        <v>3.488314008987875E-2</v>
      </c>
      <c r="Z59" s="193">
        <f>(Z2*AA5*AA20)/Z32</f>
        <v>3.8272434149323797E-2</v>
      </c>
      <c r="AB59" s="193">
        <f>(AB2*AC5*AC20)/AB32</f>
        <v>4.1888320558465551E-2</v>
      </c>
      <c r="AD59" s="193">
        <f>(AD2*AE5*AE20)/AD32</f>
        <v>4.595099498840912E-2</v>
      </c>
      <c r="AF59" s="193">
        <f>(AF2*AG5*AG20)/AF32</f>
        <v>5.0945848076891634E-2</v>
      </c>
      <c r="AH59" s="193">
        <f>(AH2*AI5*AI20)/AH32</f>
        <v>5.7868639507910616E-2</v>
      </c>
      <c r="AJ59" s="193">
        <f>(AJ2*AK5*AK20)/AJ32</f>
        <v>6.8474331431361973E-2</v>
      </c>
      <c r="AL59" s="193">
        <f>(AL2*AM5*AM20)/AL32</f>
        <v>8.5600218756540711E-2</v>
      </c>
      <c r="AN59" s="193">
        <f>(AN2*AO5*AO20)/AN32</f>
        <v>0.11648839341027636</v>
      </c>
      <c r="AP59" s="193">
        <f>(AP2*AQ5*AQ20)/AP32</f>
        <v>0.12644418641239533</v>
      </c>
      <c r="AR59" s="193">
        <f>(AR2*AS5*AS20)/AR32</f>
        <v>0.13920444551479916</v>
      </c>
      <c r="AT59" s="193">
        <f>(AT2*AU5*AU20)/AT32</f>
        <v>0.15696887995489475</v>
      </c>
      <c r="AV59" s="193" t="e">
        <f>(AV2*AW5*AW20)/AV32</f>
        <v>#DIV/0!</v>
      </c>
      <c r="XFD59" s="193"/>
    </row>
    <row r="60" spans="1:48 16321:16384" x14ac:dyDescent="0.2">
      <c r="A60" t="s">
        <v>174</v>
      </c>
      <c r="B60" s="193">
        <f>Model!$C$52*B5*B20/B32</f>
        <v>2.8669464423930927E-2</v>
      </c>
      <c r="D60" s="193">
        <f>Model!$C$52*D5*D20/D32</f>
        <v>2.8637403393063338E-2</v>
      </c>
      <c r="F60" s="193">
        <f>Model!$C$52*F5*F20/F32</f>
        <v>2.8610116212229881E-2</v>
      </c>
      <c r="H60" s="193">
        <f>Model!$C$52*H5*H20/H32</f>
        <v>2.8588593481527962E-2</v>
      </c>
      <c r="J60" s="193">
        <f>Model!$C$52*J5*J20/J32</f>
        <v>2.8574095962995417E-2</v>
      </c>
      <c r="L60" s="193">
        <f>Model!$C$52*L5*L20/L32</f>
        <v>2.8568259545296824E-2</v>
      </c>
      <c r="N60" s="193">
        <f>Model!$C$52*N5*N20/N32</f>
        <v>2.8573248374379731E-2</v>
      </c>
      <c r="P60" s="193">
        <f>Model!$C$52*P5*P20/P32</f>
        <v>2.8591983633480492E-2</v>
      </c>
      <c r="R60" s="193">
        <f>Model!$C$52*R5*R20/R32</f>
        <v>2.8628498396807322E-2</v>
      </c>
      <c r="T60" s="193">
        <f>Model!$C$52*T5*T20/T32</f>
        <v>2.8688482926349235E-2</v>
      </c>
      <c r="V60" s="193">
        <f>Model!$C$52*V5*V20/V32</f>
        <v>2.8780113947663985E-2</v>
      </c>
      <c r="X60" s="193">
        <f>Model!$C$52*X5*X20/X32</f>
        <v>2.8915305409266741E-2</v>
      </c>
      <c r="Z60" s="193">
        <f>Model!$C$52*Z5*Z20/Z32</f>
        <v>2.9111482357484043E-2</v>
      </c>
      <c r="AB60" s="193">
        <f>Model!$C$52*AB5*AB20/AB32</f>
        <v>2.9393900283386492E-2</v>
      </c>
      <c r="AD60" s="193">
        <f>Model!$C$52*AD5*AD20/AD32</f>
        <v>2.9798330313041806E-2</v>
      </c>
      <c r="AF60" s="193">
        <f>Model!$C$52*AF5*AF20/AF32</f>
        <v>3.0374240488273214E-2</v>
      </c>
      <c r="AH60" s="193">
        <f>Model!$C$52*AH5*AH20/AH32</f>
        <v>3.1191842532007085E-2</v>
      </c>
      <c r="AJ60" s="193">
        <f>Model!$C$52*AJ5*AJ20/AJ32</f>
        <v>3.2373379615256111E-2</v>
      </c>
      <c r="AL60" s="193">
        <f>Model!$C$52*AL5*AL20/AL32</f>
        <v>3.4246628567746962E-2</v>
      </c>
      <c r="AN60" s="193">
        <f>Model!$C$52*AN5*AN20/AN32</f>
        <v>3.8270209281004088E-2</v>
      </c>
      <c r="AP60" s="193">
        <f>Model!$C$52*AP5*AP20/AP32</f>
        <v>3.9881466004503548E-2</v>
      </c>
      <c r="AR60" s="193">
        <f>Model!$C$52*AR5*AR20/AR32</f>
        <v>4.225447362229736E-2</v>
      </c>
      <c r="AT60" s="193">
        <f>Model!$C$52*AT5*AT20/AT32</f>
        <v>4.6276665118170773E-2</v>
      </c>
      <c r="AV60" s="193" t="e">
        <f>Model!$C$52*AV5*AV20/AV32</f>
        <v>#DIV/0!</v>
      </c>
      <c r="XFD60" s="193"/>
    </row>
    <row r="62" spans="1:48 16321:16384" x14ac:dyDescent="0.2">
      <c r="A62" t="s">
        <v>175</v>
      </c>
      <c r="B62">
        <f>B13/B15</f>
        <v>1</v>
      </c>
      <c r="D62">
        <f>D13/D15</f>
        <v>0.9963408782996277</v>
      </c>
      <c r="F62">
        <f>F13/F15</f>
        <v>0.99246478335999666</v>
      </c>
      <c r="H62">
        <f>H13/H15</f>
        <v>0.98835034703935853</v>
      </c>
      <c r="J62">
        <f>J13/J15</f>
        <v>0.98397218701568978</v>
      </c>
      <c r="L62">
        <f>L13/L15</f>
        <v>0.97929992826878831</v>
      </c>
      <c r="N62">
        <f>N13/N15</f>
        <v>0.97429711854574097</v>
      </c>
      <c r="P62">
        <f>P13/P15</f>
        <v>0.96892045155021367</v>
      </c>
      <c r="R62">
        <f>R13/R15</f>
        <v>0.96311953611610901</v>
      </c>
      <c r="T62">
        <f>T13/T15</f>
        <v>0.95683879039368835</v>
      </c>
      <c r="V62">
        <f>V13/V15</f>
        <v>0.95002368191455355</v>
      </c>
      <c r="X62">
        <f>X13/X15</f>
        <v>0.94263600224475141</v>
      </c>
      <c r="Z62">
        <f>Z13/Z15</f>
        <v>0.93468656890628155</v>
      </c>
      <c r="AB62">
        <f>AB13/AB15</f>
        <v>0.92629832544828627</v>
      </c>
      <c r="AD62">
        <f>AD13/AD15</f>
        <v>0.91782044286873821</v>
      </c>
      <c r="AF62">
        <f>AF13/AF15</f>
        <v>0.91002944193580693</v>
      </c>
      <c r="AH62">
        <f>AH13/AH15</f>
        <v>0.90449670607351729</v>
      </c>
      <c r="AJ62">
        <f>AJ13/AJ15</f>
        <v>0.9043181842693323</v>
      </c>
      <c r="AL62">
        <f>AL13/AL15</f>
        <v>0.91628530492111304</v>
      </c>
      <c r="AN62">
        <f>AN13/AN15</f>
        <v>0.96528962455204015</v>
      </c>
      <c r="AP62">
        <f>AP13/AP15</f>
        <v>0.98866157063895621</v>
      </c>
      <c r="AR62">
        <f>AR13/AR15</f>
        <v>1.0247230435341257</v>
      </c>
      <c r="AT62">
        <f>AT13/AT15</f>
        <v>1.0879418501832403</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0.99876080668062384</v>
      </c>
      <c r="E65" s="191"/>
      <c r="F65" s="191">
        <f t="array" ref="F65">SQRT((F9:G9*$B$22:$C$22+F10:G10*$B$23:$C$23+F11:G11*$B$24:$C$24+F4:G4*($B$25:$C$25-$B$19:$C$19))/($B$9:$C$9*$B$22:$C$22+$B$10:$C$10*$B$23:$C$23+$B$11:$C$11*$B$24:$C$24+$B$4:$C$4*($B$25:$C$25-$B$19:$C$19))*(F9:G9*F22:G22+F10:G10*F23:G23+F11:G11*F24:G24+F4:G4*(F25:G25-F19:G19))/($B$9:$C$9*F22:G22+$B$10:$C$10*F23:G23+$B$11:$C$11*F24:G24+$B$4:$C$4*(F25:G25-F19:G19)))</f>
        <v>0.99768348658900674</v>
      </c>
      <c r="G65" s="191"/>
      <c r="H65" s="191">
        <f t="array" ref="H65">SQRT((H9:I9*$B$22:$C$22+H10:I10*$B$23:$C$23+H11:I11*$B$24:$C$24+H4:I4*($B$25:$C$25-$B$19:$C$19))/($B$9:$C$9*$B$22:$C$22+$B$10:$C$10*$B$23:$C$23+$B$11:$C$11*$B$24:$C$24+$B$4:$C$4*($B$25:$C$25-$B$19:$C$19))*(H9:I9*H22:I22+H10:I10*H23:I23+H11:I11*H24:I24+H4:I4*(H25:I25-H19:I19))/($B$9:$C$9*H22:I22+$B$10:$C$10*H23:I23+$B$11:$C$11*H24:I24+$B$4:$C$4*(H25:I25-H19:I19)))</f>
        <v>0.9968135456398115</v>
      </c>
      <c r="I65" s="191"/>
      <c r="J65" s="191">
        <f t="array" ref="J65">SQRT((J9:K9*$B$22:$C$22+J10:K10*$B$23:$C$23+J11:K11*$B$24:$C$24+J4:K4*($B$25:$C$25-$B$19:$C$19))/($B$9:$C$9*$B$22:$C$22+$B$10:$C$10*$B$23:$C$23+$B$11:$C$11*$B$24:$C$24+$B$4:$C$4*($B$25:$C$25-$B$19:$C$19))*(J9:K9*J22:K22+J10:K10*J23:K23+J11:K11*J24:K24+J4:K4*(J25:K25-J19:K19))/($B$9:$C$9*J22:K22+$B$10:$C$10*J23:K23+$B$11:$C$11*J24:K24+$B$4:$C$4*(J25:K25-J19:K19)))</f>
        <v>0.99621254658618552</v>
      </c>
      <c r="K65" s="191"/>
      <c r="L65" s="191">
        <f t="array" ref="L65">SQRT((L9:M9*$B$22:$C$22+L10:M10*$B$23:$C$23+L11:M11*$B$24:$C$24+L4:M4*($B$25:$C$25-$B$19:$C$19))/($B$9:$C$9*$B$22:$C$22+$B$10:$C$10*$B$23:$C$23+$B$11:$C$11*$B$24:$C$24+$B$4:$C$4*($B$25:$C$25-$B$19:$C$19))*(L9:M9*L22:M22+L10:M10*L23:M23+L11:M11*L24:M24+L4:M4*(L25:M25-L19:M19))/($B$9:$C$9*L22:M22+$B$10:$C$10*L23:M23+$B$11:$C$11*L24:M24+$B$4:$C$4*(L25:M25-L19:M19)))</f>
        <v>0.99596503161274241</v>
      </c>
      <c r="M65" s="191"/>
      <c r="N65" s="191">
        <f t="array" ref="N65">SQRT((N9:O9*$B$22:$C$22+N10:O10*$B$23:$C$23+N11:O11*$B$24:$C$24+N4:O4*($B$25:$C$25-$B$19:$C$19))/($B$9:$C$9*$B$22:$C$22+$B$10:$C$10*$B$23:$C$23+$B$11:$C$11*$B$24:$C$24+$B$4:$C$4*($B$25:$C$25-$B$19:$C$19))*(N9:O9*N22:O22+N10:O10*N23:O23+N11:O11*N24:O24+N4:O4*(N25:O25-N19:O19))/($B$9:$C$9*N22:O22+$B$10:$C$10*N23:O23+$B$11:$C$11*N24:O24+$B$4:$C$4*(N25:O25-N19:O19)))</f>
        <v>0.99618873723851553</v>
      </c>
      <c r="O65" s="191"/>
      <c r="P65" s="191">
        <f t="array" ref="P65">SQRT((P9:Q9*$B$22:$C$22+P10:Q10*$B$23:$C$23+P11:Q11*$B$24:$C$24+P4:Q4*($B$25:$C$25-$B$19:$C$19))/($B$9:$C$9*$B$22:$C$22+$B$10:$C$10*$B$23:$C$23+$B$11:$C$11*$B$24:$C$24+$B$4:$C$4*($B$25:$C$25-$B$19:$C$19))*(P9:Q9*P22:Q22+P10:Q10*P23:Q23+P11:Q11*P24:Q24+P4:Q4*(P25:Q25-P19:Q19))/($B$9:$C$9*P22:Q22+$B$10:$C$10*P23:Q23+$B$11:$C$11*P24:Q24+$B$4:$C$4*(P25:Q25-P19:Q19)))</f>
        <v>0.99705035431406674</v>
      </c>
      <c r="Q65" s="191"/>
      <c r="R65" s="191">
        <f t="array" ref="R65">SQRT((R9:S9*$B$22:$C$22+R10:S10*$B$23:$C$23+R11:S11*$B$24:$C$24+R4:S4*($B$25:$C$25-$B$19:$C$19))/($B$9:$C$9*$B$22:$C$22+$B$10:$C$10*$B$23:$C$23+$B$11:$C$11*$B$24:$C$24+$B$4:$C$4*($B$25:$C$25-$B$19:$C$19))*(R9:S9*R22:S22+R10:S10*R23:S23+R11:S11*R24:S24+R4:S4*(R25:S25-R19:S19))/($B$9:$C$9*R22:S22+$B$10:$C$10*R23:S23+$B$11:$C$11*R24:S24+$B$4:$C$4*(R25:S25-R19:S19)))</f>
        <v>0.998789966340075</v>
      </c>
      <c r="S65" s="191"/>
      <c r="T65" s="191">
        <f t="array" ref="T65">SQRT((T9:U9*$B$22:$C$22+T10:U10*$B$23:$C$23+T11:U11*$B$24:$C$24+T4:U4*($B$25:$C$25-$B$19:$C$19))/($B$9:$C$9*$B$22:$C$22+$B$10:$C$10*$B$23:$C$23+$B$11:$C$11*$B$24:$C$24+$B$4:$C$4*($B$25:$C$25-$B$19:$C$19))*(T9:U9*T22:U22+T10:U10*T23:U23+T11:U11*T24:U24+T4:U4*(T25:U25-T19:U19))/($B$9:$C$9*T22:U22+$B$10:$C$10*T23:U23+$B$11:$C$11*T24:U24+$B$4:$C$4*(T25:U25-T19:U19)))</f>
        <v>1.0017601403533931</v>
      </c>
      <c r="U65" s="191"/>
      <c r="V65" s="191">
        <f t="array" ref="V65">SQRT((V9:W9*$B$22:$C$22+V10:W10*$B$23:$C$23+V11:W11*$B$24:$C$24+V4:W4*($B$25:$C$25-$B$19:$C$19))/($B$9:$C$9*$B$22:$C$22+$B$10:$C$10*$B$23:$C$23+$B$11:$C$11*$B$24:$C$24+$B$4:$C$4*($B$25:$C$25-$B$19:$C$19))*(V9:W9*V22:W22+V10:W10*V23:W23+V11:W11*V24:W24+V4:W4*(V25:W25-V19:W19))/($B$9:$C$9*V22:W22+$B$10:$C$10*V23:W23+$B$11:$C$11*V24:W24+$B$4:$C$4*(V25:W25-V19:W19)))</f>
        <v>1.0064885314985643</v>
      </c>
      <c r="W65" s="191"/>
      <c r="X65" s="191">
        <f t="array" ref="X65">SQRT((X9:Y9*$B$22:$C$22+X10:Y10*$B$23:$C$23+X11:Y11*$B$24:$C$24+X4:Y4*($B$25:$C$25-$B$19:$C$19))/($B$9:$C$9*$B$22:$C$22+$B$10:$C$10*$B$23:$C$23+$B$11:$C$11*$B$24:$C$24+$B$4:$C$4*($B$25:$C$25-$B$19:$C$19))*(X9:Y9*X22:Y22+X10:Y10*X23:Y23+X11:Y11*X24:Y24+X4:Y4*(X25:Y25-X19:Y19))/($B$9:$C$9*X22:Y22+$B$10:$C$10*X23:Y23+$B$11:$C$11*X24:Y24+$B$4:$C$4*(X25:Y25-X19:Y19)))</f>
        <v>1.0137799795661473</v>
      </c>
      <c r="Y65" s="191"/>
      <c r="Z65" s="191">
        <f t="array" ref="Z65">SQRT((Z9:AA9*$B$22:$C$22+Z10:AA10*$B$23:$C$23+Z11:AA11*$B$24:$C$24+Z4:AA4*($B$25:$C$25-$B$19:$C$19))/($B$9:$C$9*$B$22:$C$22+$B$10:$C$10*$B$23:$C$23+$B$11:$C$11*$B$24:$C$24+$B$4:$C$4*($B$25:$C$25-$B$19:$C$19))*(Z9:AA9*Z22:AA22+Z10:AA10*Z23:AA23+Z11:AA11*Z24:AA24+Z4:AA4*(Z25:AA25-Z19:AA19))/($B$9:$C$9*Z22:AA22+$B$10:$C$10*Z23:AA23+$B$11:$C$11*Z24:AA24+$B$4:$C$4*(Z25:AA25-Z19:AA19)))</f>
        <v>1.0248836276636848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1.0417689999050386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1.0675918360815393</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1.1075198949294858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1.170340286704592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1.2725357209195463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1.4567275065070084</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1.9723567920812817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2.2769342382453597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3.0096662149843603</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0.99863718018884828</v>
      </c>
      <c r="E66" s="191"/>
      <c r="F66" s="191">
        <f t="array" ref="F66">SQRT((F9:G9*$B$22:$C$22)/($B$9:$C$9*$B$22:$C$22)*(F9:G9*F22:G22)/($B$9:$C$9*F22:G22))</f>
        <v>0.99745092930880164</v>
      </c>
      <c r="G66" s="191"/>
      <c r="H66" s="191">
        <f t="array" ref="H66">SQRT((H9:I9*$B$22:$C$22)/($B$9:$C$9*$B$22:$C$22)*(H9:I9*H22:I22)/($B$9:$C$9*H22:I22))</f>
        <v>0.99649210879873296</v>
      </c>
      <c r="I66" s="191"/>
      <c r="J66" s="191">
        <f t="array" ref="J66">SQRT((J9:K9*$B$22:$C$22)/($B$9:$C$9*$B$22:$C$22)*(J9:K9*J22:K22)/($B$9:$C$9*J22:K22))</f>
        <v>0.99582934143829449</v>
      </c>
      <c r="K66" s="191"/>
      <c r="L66" s="191">
        <f t="array" ref="L66">SQRT((L9:M9*$B$22:$C$22)/($B$9:$C$9*$B$22:$C$22)*(L9:M9*L22:M22)/($B$9:$C$9*L22:M22))</f>
        <v>0.99555653275580669</v>
      </c>
      <c r="M66" s="191"/>
      <c r="N66" s="191">
        <f t="array" ref="N66">SQRT((N9:O9*$B$22:$C$22)/($B$9:$C$9*$B$22:$C$22)*(N9:O9*N22:O22)/($B$9:$C$9*N22:O22))</f>
        <v>0.99580385608146482</v>
      </c>
      <c r="O66" s="191"/>
      <c r="P66" s="191">
        <f t="array" ref="P66">SQRT((P9:Q9*$B$22:$C$22)/($B$9:$C$9*$B$22:$C$22)*(P9:Q9*P22:Q22)/($B$9:$C$9*P22:Q22))</f>
        <v>0.99675448791572641</v>
      </c>
      <c r="Q66" s="191"/>
      <c r="R66" s="191">
        <f t="array" ref="R66">SQRT((R9:S9*$B$22:$C$22)/($B$9:$C$9*$B$22:$C$22)*(R9:S9*R22:S22)/($B$9:$C$9*R22:S22))</f>
        <v>0.99867011636639957</v>
      </c>
      <c r="S66" s="191"/>
      <c r="T66" s="191">
        <f t="array" ref="T66">SQRT((T9:U9*$B$22:$C$22)/($B$9:$C$9*$B$22:$C$22)*(T9:U9*T22:U22)/($B$9:$C$9*T22:U22))</f>
        <v>1.0019308466718913</v>
      </c>
      <c r="U66" s="191"/>
      <c r="V66" s="191">
        <f t="array" ref="V66">SQRT((V9:W9*$B$22:$C$22)/($B$9:$C$9*$B$22:$C$22)*(V9:W9*V22:W22)/($B$9:$C$9*V22:W22))</f>
        <v>1.0070970841416809</v>
      </c>
      <c r="W66" s="191"/>
      <c r="X66" s="191">
        <f t="array" ref="X66">SQRT((X9:Y9*$B$22:$C$22)/($B$9:$C$9*$B$22:$C$22)*(X9:Y9*X22:Y22)/($B$9:$C$9*X22:Y22))</f>
        <v>1.01500594228106</v>
      </c>
      <c r="Y66" s="191"/>
      <c r="Z66" s="191">
        <f t="array" ref="Z66">SQRT((Z9:AA9*$B$22:$C$22)/($B$9:$C$9*$B$22:$C$22)*(Z9:AA9*Z22:AA22)/($B$9:$C$9*Z22:AA22))</f>
        <v>1.0269183876946317</v>
      </c>
      <c r="AA66" s="191"/>
      <c r="AB66" s="191">
        <f t="array" ref="AB66">SQRT((AB9:AC9*$B$22:$C$22)/($B$9:$C$9*$B$22:$C$22)*(AB9:AC9*AB22:AC22)/($B$9:$C$9*AB22:AC22))</f>
        <v>1.044736901792062</v>
      </c>
      <c r="AC66" s="191"/>
      <c r="AD66" s="191">
        <f t="array" ref="AD66">SQRT((AD9:AE9*$B$22:$C$22)/($B$9:$C$9*$B$22:$C$22)*(AD9:AE9*AD22:AE22)/($B$9:$C$9*AD22:AE22))</f>
        <v>1.0713116842663495</v>
      </c>
      <c r="AE66" s="191"/>
      <c r="AF66" s="191">
        <f t="array" ref="AF66">SQRT((AF9:AG9*$B$22:$C$22)/($B$9:$C$9*$B$22:$C$22)*(AF9:AG9*AF22:AG22)/($B$9:$C$9*AF22:AG22))</f>
        <v>1.1108361950969807</v>
      </c>
      <c r="AG66" s="191"/>
      <c r="AH66" s="191">
        <f t="array" ref="AH66">SQRT((AH9:AI9*$B$22:$C$22)/($B$9:$C$9*$B$22:$C$22)*(AH9:AI9*AH22:AI22)/($B$9:$C$9*AH22:AI22))</f>
        <v>1.1692560392178437</v>
      </c>
      <c r="AI66" s="191"/>
      <c r="AJ66" s="191">
        <f t="array" ref="AJ66">SQRT((AJ9:AK9*$B$22:$C$22)/($B$9:$C$9*$B$22:$C$22)*(AJ9:AK9*AJ22:AK22)/($B$9:$C$9*AJ22:AK22))</f>
        <v>1.2546403928889196</v>
      </c>
      <c r="AK66" s="191"/>
      <c r="AL66" s="191">
        <f t="array" ref="AL66">SQRT((AL9:AM9*$B$22:$C$22)/($B$9:$C$9*$B$22:$C$22)*(AL9:AM9*AL22:AM22)/($B$9:$C$9*AL22:AM22))</f>
        <v>1.3797441966972506</v>
      </c>
      <c r="AM66" s="191"/>
      <c r="AN66" s="191">
        <f t="array" ref="AN66">SQRT((AN9:AO9*$B$22:$C$22)/($B$9:$C$9*$B$22:$C$22)*(AN9:AO9*AN22:AO22)/($B$9:$C$9*AN22:AO22))</f>
        <v>1.58196728230412</v>
      </c>
      <c r="AO66" s="191"/>
      <c r="AP66" s="191">
        <f t="array" ref="AP66">SQRT((AP9:AQ9*$B$22:$C$22)/($B$9:$C$9*$B$22:$C$22)*(AP9:AQ9*AP22:AQ22)/($B$9:$C$9*AP22:AQ22))</f>
        <v>1.642428292082039</v>
      </c>
      <c r="AQ66" s="191"/>
      <c r="AR66" s="191">
        <f t="array" ref="AR66">SQRT((AR9:AS9*$B$22:$C$22)/($B$9:$C$9*$B$22:$C$22)*(AR9:AS9*AR22:AS22)/($B$9:$C$9*AR22:AS22))</f>
        <v>1.7167997819509968</v>
      </c>
      <c r="AS66" s="191"/>
      <c r="AT66" s="191">
        <f t="array" ref="AT66">SQRT((AT9:AU9*$B$22:$C$22)/($B$9:$C$9*$B$22:$C$22)*(AT9:AU9*AT22:AU22)/($B$9:$C$9*AT22:AU22))</f>
        <v>1.814515753365826</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t="e">
        <f t="array" ref="AV67">SQRT((AV4:AW4*$B$19:$C$19)/($B$4:$C$4*$B$19:$C$19)*(AV4:AW4*AV19:AW19)/($B$4:$C$4*AV19:AW19))</f>
        <v>#DIV/0!</v>
      </c>
      <c r="XFD67" s="191"/>
    </row>
    <row r="68" spans="1:48 16384:16384" x14ac:dyDescent="0.2">
      <c r="A68" t="s">
        <v>181</v>
      </c>
      <c r="B68" s="191">
        <f>B66/B67</f>
        <v>1</v>
      </c>
      <c r="C68" s="191"/>
      <c r="D68" s="191">
        <f>D66/D67</f>
        <v>0.99863718018884828</v>
      </c>
      <c r="E68" s="191"/>
      <c r="F68" s="191">
        <f>F66/F67</f>
        <v>0.99745092930880164</v>
      </c>
      <c r="G68" s="191"/>
      <c r="H68" s="191">
        <f>H66/H67</f>
        <v>0.99649210879873296</v>
      </c>
      <c r="I68" s="191"/>
      <c r="J68" s="191">
        <f>J66/J67</f>
        <v>0.99582934143829449</v>
      </c>
      <c r="K68" s="191"/>
      <c r="L68" s="191">
        <f>L66/L67</f>
        <v>0.99555653275580669</v>
      </c>
      <c r="M68" s="191"/>
      <c r="N68" s="191">
        <f>N66/N67</f>
        <v>0.99580385608146482</v>
      </c>
      <c r="O68" s="191"/>
      <c r="P68" s="191">
        <f>P66/P67</f>
        <v>0.99675448791572641</v>
      </c>
      <c r="Q68" s="191"/>
      <c r="R68" s="191">
        <f>R66/R67</f>
        <v>0.99867011636639957</v>
      </c>
      <c r="S68" s="191"/>
      <c r="T68" s="191">
        <f>T66/T67</f>
        <v>1.0019308466718913</v>
      </c>
      <c r="U68" s="191"/>
      <c r="V68" s="191">
        <f>V66/V67</f>
        <v>1.0070970841416809</v>
      </c>
      <c r="W68" s="191"/>
      <c r="X68" s="191">
        <f>X66/X67</f>
        <v>1.01500594228106</v>
      </c>
      <c r="Y68" s="191"/>
      <c r="Z68" s="191">
        <f>Z66/Z67</f>
        <v>1.0269183876946317</v>
      </c>
      <c r="AA68" s="191"/>
      <c r="AB68" s="191">
        <f>AB66/AB67</f>
        <v>1.044736901792062</v>
      </c>
      <c r="AC68" s="191"/>
      <c r="AD68" s="191">
        <f>AD66/AD67</f>
        <v>1.0713116842663495</v>
      </c>
      <c r="AE68" s="191"/>
      <c r="AF68" s="191">
        <f>AF66/AF67</f>
        <v>1.1108361950969807</v>
      </c>
      <c r="AG68" s="191"/>
      <c r="AH68" s="191">
        <f>AH66/AH67</f>
        <v>1.1692560392178437</v>
      </c>
      <c r="AI68" s="191"/>
      <c r="AJ68" s="191">
        <f>AJ66/AJ67</f>
        <v>1.2546403928889196</v>
      </c>
      <c r="AK68" s="191"/>
      <c r="AL68" s="191">
        <f>AL66/AL67</f>
        <v>1.3797441966972506</v>
      </c>
      <c r="AM68" s="191"/>
      <c r="AN68" s="191">
        <f>AN66/AN67</f>
        <v>1.58196728230412</v>
      </c>
      <c r="AO68" s="191"/>
      <c r="AP68" s="191">
        <f>AP66/AP67</f>
        <v>1.642428292082039</v>
      </c>
      <c r="AQ68" s="191"/>
      <c r="AR68" s="191">
        <f>AR66/AR67</f>
        <v>1.7167997819509968</v>
      </c>
      <c r="AS68" s="191"/>
      <c r="AT68" s="191">
        <f>AT66/AT67</f>
        <v>1.814515753365826</v>
      </c>
      <c r="AU68" s="191"/>
      <c r="AV68" s="191" t="e">
        <f>AV66/AV67</f>
        <v>#DIV/0!</v>
      </c>
      <c r="XFD68" s="191"/>
    </row>
    <row r="69" spans="1:48 16384:16384" x14ac:dyDescent="0.2">
      <c r="A69" t="s">
        <v>177</v>
      </c>
      <c r="B69" s="191">
        <f>B32/B65/($B$32)</f>
        <v>1</v>
      </c>
      <c r="C69" s="191"/>
      <c r="D69" s="191">
        <f>D32/D65/($B$32)</f>
        <v>0.99188543264892604</v>
      </c>
      <c r="E69" s="191"/>
      <c r="F69" s="191">
        <f>F32/F65/($B$32)</f>
        <v>0.98266153217811869</v>
      </c>
      <c r="G69" s="191"/>
      <c r="H69" s="191">
        <f>H32/H65/($B$32)</f>
        <v>0.97214420590900508</v>
      </c>
      <c r="I69" s="191"/>
      <c r="J69" s="191">
        <f>J32/J65/($B$32)</f>
        <v>0.96010684130324775</v>
      </c>
      <c r="K69" s="191"/>
      <c r="L69" s="191">
        <f>L32/L65/($B$32)</f>
        <v>0.94626684711871645</v>
      </c>
      <c r="M69" s="191"/>
      <c r="N69" s="191">
        <f>N32/N65/($B$32)</f>
        <v>0.93026801791315405</v>
      </c>
      <c r="O69" s="191"/>
      <c r="P69" s="191">
        <f>P32/P65/($B$32)</f>
        <v>0.91165731773987824</v>
      </c>
      <c r="Q69" s="191"/>
      <c r="R69" s="191">
        <f>R32/R65/($B$32)</f>
        <v>0.88985522455123833</v>
      </c>
      <c r="S69" s="191"/>
      <c r="T69" s="191">
        <f>T32/T65/($B$32)</f>
        <v>0.86412116944957162</v>
      </c>
      <c r="U69" s="191"/>
      <c r="V69" s="191">
        <f>V32/V65/($B$32)</f>
        <v>0.83352158371841423</v>
      </c>
      <c r="W69" s="191"/>
      <c r="X69" s="191">
        <f>X32/X65/($B$32)</f>
        <v>0.79691868776721508</v>
      </c>
      <c r="Y69" s="191"/>
      <c r="Z69" s="191">
        <f>Z32/Z65/($B$32)</f>
        <v>0.75302152921045706</v>
      </c>
      <c r="AA69" s="191"/>
      <c r="AB69" s="191">
        <f>AB32/AB65/($B$32)</f>
        <v>0.7005606694586084</v>
      </c>
      <c r="AC69" s="191"/>
      <c r="AD69" s="191">
        <f>AD32/AD65/($B$32)</f>
        <v>0.63863317176073831</v>
      </c>
      <c r="AE69" s="191"/>
      <c r="AF69" s="191">
        <f>AF32/AF65/($B$32)</f>
        <v>0.5671320060923668</v>
      </c>
      <c r="AG69" s="191"/>
      <c r="AH69" s="191">
        <f>AH32/AH65/($B$32)</f>
        <v>0.48690245996638243</v>
      </c>
      <c r="AI69" s="191"/>
      <c r="AJ69" s="191">
        <f>AJ32/AJ65/($B$32)</f>
        <v>0.39888923895828443</v>
      </c>
      <c r="AK69" s="191"/>
      <c r="AL69" s="191">
        <f>AL32/AL65/($B$32)</f>
        <v>0.30078450143360486</v>
      </c>
      <c r="AM69" s="191"/>
      <c r="AN69" s="191">
        <f>AN32/AN65/($B$32)</f>
        <v>0.17512524130723883</v>
      </c>
      <c r="AO69" s="191"/>
      <c r="AP69" s="191">
        <f>AP32/AP65/($B$32)</f>
        <v>0.14037520532158929</v>
      </c>
      <c r="AQ69" s="191"/>
      <c r="AR69" s="191">
        <f>AR32/AR65/($B$32)</f>
        <v>9.589153221963323E-2</v>
      </c>
      <c r="AS69" s="191"/>
      <c r="AT69" s="191" t="e">
        <f>AT32/AT65/($B$32)</f>
        <v>#NUM!</v>
      </c>
      <c r="AU69" s="191"/>
      <c r="AV69" s="191" t="e">
        <f>AV32/AV65/($B$32)</f>
        <v>#DIV/0!</v>
      </c>
    </row>
    <row r="70" spans="1:48 16384:16384" x14ac:dyDescent="0.2">
      <c r="A70" t="s">
        <v>178</v>
      </c>
      <c r="B70" s="138">
        <f>B18/$B$18</f>
        <v>1</v>
      </c>
      <c r="C70" s="138"/>
      <c r="D70" s="138">
        <f>D18/$B$18</f>
        <v>0.99164598181533548</v>
      </c>
      <c r="E70" s="138"/>
      <c r="F70" s="138">
        <f>F18/$B$18</f>
        <v>0.98224003412879868</v>
      </c>
      <c r="G70" s="138"/>
      <c r="H70" s="138">
        <f>H18/$B$18</f>
        <v>0.97159857411836648</v>
      </c>
      <c r="I70" s="138"/>
      <c r="J70" s="138">
        <f>J18/$B$18</f>
        <v>0.95949311528357728</v>
      </c>
      <c r="K70" s="138"/>
      <c r="L70" s="138">
        <f>L18/$B$18</f>
        <v>0.94563579739214754</v>
      </c>
      <c r="M70" s="138"/>
      <c r="N70" s="138">
        <f>N18/$B$18</f>
        <v>0.92966048365722487</v>
      </c>
      <c r="O70" s="138"/>
      <c r="P70" s="138">
        <f>P18/$B$18</f>
        <v>0.91109787676430865</v>
      </c>
      <c r="Q70" s="138"/>
      <c r="R70" s="138">
        <f>R18/$B$18</f>
        <v>0.88934419556361632</v>
      </c>
      <c r="S70" s="138"/>
      <c r="T70" s="138">
        <f>T18/$B$18</f>
        <v>0.86362495843877118</v>
      </c>
      <c r="U70" s="138"/>
      <c r="V70" s="138">
        <f>V18/$B$18</f>
        <v>0.83296228766363234</v>
      </c>
      <c r="W70" s="138"/>
      <c r="X70" s="138">
        <f>X18/$B$18</f>
        <v>0.79616557341655358</v>
      </c>
      <c r="Y70" s="138"/>
      <c r="Z70" s="138">
        <f>Z18/$B$18</f>
        <v>0.7518894106822418</v>
      </c>
      <c r="AA70" s="138"/>
      <c r="AB70" s="138">
        <f>AB18/$B$18</f>
        <v>0.69882386588468748</v>
      </c>
      <c r="AC70" s="138"/>
      <c r="AD70" s="138">
        <f>AD18/$B$18</f>
        <v>0.63606775541726979</v>
      </c>
      <c r="AE70" s="138"/>
      <c r="AF70" s="138">
        <f>AF18/$B$18</f>
        <v>0.56361256616114841</v>
      </c>
      <c r="AG70" s="138"/>
      <c r="AH70" s="138">
        <f>AH18/$B$18</f>
        <v>0.48264058244807678</v>
      </c>
      <c r="AI70" s="138"/>
      <c r="AJ70" s="138">
        <f>AJ18/$B$18</f>
        <v>0.39508050775308501</v>
      </c>
      <c r="AK70" s="138"/>
      <c r="AL70" s="138">
        <f>AL18/$B$18</f>
        <v>0.30134571210630301</v>
      </c>
      <c r="AM70" s="138"/>
      <c r="AN70" s="138">
        <f>AN18/$B$18</f>
        <v>0.19406469067625906</v>
      </c>
      <c r="AO70" s="138"/>
      <c r="AP70" s="138">
        <f>AP18/$B$18</f>
        <v>0.16872170777196707</v>
      </c>
      <c r="AQ70" s="138"/>
      <c r="AR70" s="138">
        <f>AR18/$B$18</f>
        <v>0.14076396130172461</v>
      </c>
      <c r="AS70" s="138"/>
      <c r="AT70" s="138">
        <f>AT18/$B$18</f>
        <v>0.10871071193086346</v>
      </c>
      <c r="AU70" s="138"/>
      <c r="AV70" s="138">
        <f>AV18/$B$18</f>
        <v>0</v>
      </c>
    </row>
    <row r="71" spans="1:48 16384:16384" x14ac:dyDescent="0.2">
      <c r="A71" t="s">
        <v>179</v>
      </c>
      <c r="B71" s="138">
        <f>C18/$C$18</f>
        <v>1</v>
      </c>
      <c r="D71" s="138">
        <f>E18/$C$18</f>
        <v>0.92346286217477236</v>
      </c>
      <c r="E71" s="138"/>
      <c r="F71" s="138">
        <f>G18/$C$18</f>
        <v>0.84675132848797074</v>
      </c>
      <c r="G71" s="138"/>
      <c r="H71" s="138">
        <f>I18/$C$18</f>
        <v>0.77000032465539892</v>
      </c>
      <c r="I71" s="138"/>
      <c r="J71" s="138">
        <f>K18/$C$18</f>
        <v>0.69340180980001975</v>
      </c>
      <c r="K71" s="138"/>
      <c r="L71" s="138">
        <f>M18/$C$18</f>
        <v>0.61722287839842138</v>
      </c>
      <c r="M71" s="138"/>
      <c r="N71" s="138">
        <f>O18/$C$18</f>
        <v>0.54182790593686847</v>
      </c>
      <c r="O71" s="138"/>
      <c r="P71" s="138">
        <f>Q18/$C$18</f>
        <v>0.46770086609628131</v>
      </c>
      <c r="Q71" s="138"/>
      <c r="R71" s="138">
        <f>S18/$C$18</f>
        <v>0.39547573996180652</v>
      </c>
      <c r="S71" s="138"/>
      <c r="T71" s="138">
        <f>U18/$C$18</f>
        <v>0.32596199823556643</v>
      </c>
      <c r="U71" s="138"/>
      <c r="V71" s="138">
        <f>W18/$C$18</f>
        <v>0.26016078743439369</v>
      </c>
      <c r="W71" s="138"/>
      <c r="X71" s="138">
        <f>Y18/$C$18</f>
        <v>0.19925796225255293</v>
      </c>
      <c r="Y71" s="138"/>
      <c r="Z71" s="138">
        <f>AA18/$C$18</f>
        <v>0.14456601097987973</v>
      </c>
      <c r="AA71" s="138"/>
      <c r="AB71" s="138">
        <f>AC18/$C$18</f>
        <v>9.7407353625548226E-2</v>
      </c>
      <c r="AC71" s="138"/>
      <c r="AD71" s="138">
        <f>AE18/$C$18</f>
        <v>5.8969028335150442E-2</v>
      </c>
      <c r="AE71" s="138"/>
      <c r="AF71" s="138">
        <f>AG18/$C$18</f>
        <v>3.0214330530726655E-2</v>
      </c>
      <c r="AG71" s="138"/>
      <c r="AH71" s="138">
        <f>AI18/$C$18</f>
        <v>1.1725634137191937E-2</v>
      </c>
      <c r="AI71" s="138"/>
      <c r="AJ71" s="138">
        <f>AK18/$C$18</f>
        <v>2.8196707489715664E-3</v>
      </c>
      <c r="AK71" s="138"/>
      <c r="AL71" s="138">
        <f>AM18/$C$18</f>
        <v>2.8643085081548291E-4</v>
      </c>
      <c r="AM71" s="138"/>
      <c r="AN71" s="138">
        <f>AO18/$C$18</f>
        <v>4.0058277856134206E-6</v>
      </c>
      <c r="AO71" s="138"/>
      <c r="AP71" s="138">
        <f>AQ18/$C$18</f>
        <v>9.6652474729259765E-7</v>
      </c>
      <c r="AQ71" s="138"/>
      <c r="AR71" s="138">
        <f>AS18/$C$18</f>
        <v>1.5202351175409764E-7</v>
      </c>
      <c r="AS71" s="138"/>
      <c r="AT71" s="138">
        <f>AU18/$C$18</f>
        <v>1.1055863407693451E-8</v>
      </c>
      <c r="AU71" s="138"/>
      <c r="AV71" s="138">
        <f>AW18/$C$18</f>
        <v>0</v>
      </c>
      <c r="XFD71" s="138"/>
    </row>
    <row r="72" spans="1:48 16384:16384" x14ac:dyDescent="0.2">
      <c r="A72" t="s">
        <v>180</v>
      </c>
      <c r="B72" s="138">
        <f>C19/$C$19</f>
        <v>1</v>
      </c>
      <c r="D72" s="138">
        <f>E19/$C$19</f>
        <v>1.0569831515017627</v>
      </c>
      <c r="E72" s="138"/>
      <c r="F72" s="138">
        <f>G19/$C$19</f>
        <v>1.118204185512002</v>
      </c>
      <c r="G72" s="138"/>
      <c r="H72" s="138">
        <f>I19/$C$19</f>
        <v>1.1834547582134254</v>
      </c>
      <c r="I72" s="138"/>
      <c r="J72" s="138">
        <f>K19/$C$19</f>
        <v>1.2522759980197353</v>
      </c>
      <c r="K72" s="138"/>
      <c r="L72" s="138">
        <f>M19/$C$19</f>
        <v>1.3238596965167284</v>
      </c>
      <c r="M72" s="138"/>
      <c r="N72" s="138">
        <f>O19/$C$19</f>
        <v>1.3969213989343734</v>
      </c>
      <c r="O72" s="138"/>
      <c r="P72" s="138">
        <f>Q19/$C$19</f>
        <v>1.4695329670148056</v>
      </c>
      <c r="Q72" s="138"/>
      <c r="R72" s="138">
        <f>S19/$C$19</f>
        <v>1.5389220355621009</v>
      </c>
      <c r="S72" s="138"/>
      <c r="T72" s="138">
        <f>U19/$C$19</f>
        <v>1.601236078654525</v>
      </c>
      <c r="U72" s="138"/>
      <c r="V72" s="138">
        <f>W19/$C$19</f>
        <v>1.6513111883998286</v>
      </c>
      <c r="W72" s="138"/>
      <c r="X72" s="138">
        <f>Y19/$C$19</f>
        <v>1.6825297213627277</v>
      </c>
      <c r="Y72" s="138"/>
      <c r="Z72" s="138">
        <f>AA19/$C$19</f>
        <v>1.6868995864538849</v>
      </c>
      <c r="AA72" s="138"/>
      <c r="AB72" s="138">
        <f>AC19/$C$19</f>
        <v>1.6554783703632396</v>
      </c>
      <c r="AC72" s="138"/>
      <c r="AD72" s="138">
        <f>AE19/$C$19</f>
        <v>1.5789822050689661</v>
      </c>
      <c r="AE72" s="138"/>
      <c r="AF72" s="138">
        <f>AG19/$C$19</f>
        <v>1.448011160195587</v>
      </c>
      <c r="AG72" s="138"/>
      <c r="AH72" s="138">
        <f>AI19/$C$19</f>
        <v>1.2533426119520918</v>
      </c>
      <c r="AI72" s="138"/>
      <c r="AJ72" s="138">
        <f>AK19/$C$19</f>
        <v>0.99146589045992284</v>
      </c>
      <c r="AK72" s="138"/>
      <c r="AL72" s="138">
        <f>AM19/$C$19</f>
        <v>0.6773581330658649</v>
      </c>
      <c r="AM72" s="138"/>
      <c r="AN72" s="138">
        <f>AO19/$C$19</f>
        <v>0.34055897929430423</v>
      </c>
      <c r="AO72" s="138"/>
      <c r="AP72" s="138">
        <f>AQ19/$C$19</f>
        <v>0.27249197033587025</v>
      </c>
      <c r="AQ72" s="138"/>
      <c r="AR72" s="138">
        <f>AS19/$C$19</f>
        <v>0.20438247880297983</v>
      </c>
      <c r="AS72" s="138"/>
      <c r="AT72" s="138">
        <f>AU19/$C$19</f>
        <v>0.13625762307439637</v>
      </c>
      <c r="AU72" s="138"/>
      <c r="AV72" s="138">
        <f>AW19/$C$19</f>
        <v>0</v>
      </c>
      <c r="XFD72" s="138"/>
    </row>
    <row r="73" spans="1:48 16384:16384" x14ac:dyDescent="0.2">
      <c r="A73" t="s">
        <v>184</v>
      </c>
      <c r="B73" s="193">
        <f t="array" ref="B73">SUM(B9:C9*B22:C22)/B32</f>
        <v>0.47641153352875076</v>
      </c>
      <c r="D73" s="193">
        <f t="array" ref="D73">SUM(D9:E9*D22:E22)/D32</f>
        <v>0.47497700443867635</v>
      </c>
      <c r="E73" s="138"/>
      <c r="F73" s="193">
        <f t="array" ref="F73">SUM(F9:G9*F22:G22)/F32</f>
        <v>0.47354425907338832</v>
      </c>
      <c r="G73" s="138"/>
      <c r="H73" s="193">
        <f t="array" ref="H73">SUM(H9:I9*H22:I22)/H32</f>
        <v>0.47211404365205872</v>
      </c>
      <c r="I73" s="138"/>
      <c r="J73" s="193">
        <f t="array" ref="J73">SUM(J9:K9*J22:K22)/J32</f>
        <v>0.47068688323594376</v>
      </c>
      <c r="K73" s="138"/>
      <c r="L73" s="193">
        <f t="array" ref="L73">SUM(L9:M9*L22:M22)/L32</f>
        <v>0.46926291945113124</v>
      </c>
      <c r="M73" s="138"/>
      <c r="N73" s="193">
        <f t="array" ref="N73">SUM(N9:O9*N22:O22)/N32</f>
        <v>0.46784160878345593</v>
      </c>
      <c r="O73" s="138"/>
      <c r="P73" s="193">
        <f t="array" ref="P73">SUM(P9:Q9*P22:Q22)/P32</f>
        <v>0.46642135194844858</v>
      </c>
      <c r="Q73" s="138"/>
      <c r="R73" s="193">
        <f t="array" ref="R73">SUM(R9:S9*R22:S22)/R32</f>
        <v>0.46499879291841301</v>
      </c>
      <c r="S73" s="138"/>
      <c r="T73" s="193">
        <f t="array" ref="T73">SUM(T9:U9*T22:U22)/T32</f>
        <v>0.46356792594205753</v>
      </c>
      <c r="U73" s="138"/>
      <c r="V73" s="193">
        <f t="array" ref="V73">SUM(V9:W9*V22:W22)/V32</f>
        <v>0.46211828710593861</v>
      </c>
      <c r="W73" s="138"/>
      <c r="X73" s="193">
        <f t="array" ref="X73">SUM(X9:Y9*X22:Y22)/X32</f>
        <v>0.46063155633951236</v>
      </c>
      <c r="Y73" s="138"/>
      <c r="Z73" s="193">
        <f t="array" ref="Z73">SUM(Z9:AA9*Z22:AA22)/Z32</f>
        <v>0.45907419081535139</v>
      </c>
      <c r="AA73" s="138"/>
      <c r="AB73" s="193">
        <f t="array" ref="AB73">SUM(AB9:AC9*AB22:AC22)/AB32</f>
        <v>0.4573804131556487</v>
      </c>
      <c r="AC73" s="138"/>
      <c r="AD73" s="193">
        <f t="array" ref="AD73">SUM(AD9:AE9*AD22:AE22)/AD32</f>
        <v>0.45541342582584571</v>
      </c>
      <c r="AE73" s="138"/>
      <c r="AF73" s="193">
        <f t="array" ref="AF73">SUM(AF9:AG9*AF22:AG22)/AF32</f>
        <v>0.45288476401225936</v>
      </c>
      <c r="AG73" s="138"/>
      <c r="AH73" s="193">
        <f t="array" ref="AH73">SUM(AH9:AI9*AH22:AI22)/AH32</f>
        <v>0.44921807251707474</v>
      </c>
      <c r="AI73" s="138"/>
      <c r="AJ73" s="193">
        <f t="array" ref="AJ73">SUM(AJ9:AK9*AJ22:AK22)/AJ32</f>
        <v>0.44338908707671743</v>
      </c>
      <c r="AK73" s="138"/>
      <c r="AL73" s="193">
        <f t="array" ref="AL73">SUM(AL9:AM9*AL22:AM22)/AL32</f>
        <v>0.43363467759373009</v>
      </c>
      <c r="AM73" s="138"/>
      <c r="AN73" s="193">
        <f t="array" ref="AN73">SUM(AN9:AO9*AN22:AO22)/AN32</f>
        <v>0.41502111028902289</v>
      </c>
      <c r="AO73" s="138"/>
      <c r="AP73" s="193">
        <f t="array" ref="AP73">SUM(AP9:AQ9*AP22:AQ22)/AP32</f>
        <v>0.40870753776955382</v>
      </c>
      <c r="AQ73" s="138"/>
      <c r="AR73" s="193">
        <f t="array" ref="AR73">SUM(AR9:AS9*AR22:AS22)/AR32</f>
        <v>0.40036019522832406</v>
      </c>
      <c r="AS73" s="138"/>
      <c r="AT73" s="193">
        <f t="array" ref="AT73">SUM(AT9:AU9*AT22:AU22)/AT32</f>
        <v>0.38820271476784451</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0.22604620456442481</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0.22215984016474585</v>
      </c>
      <c r="E75" s="138"/>
      <c r="F75" s="193">
        <f t="array" ref="F75">SUM(F11:G11*F24:G24)/F32</f>
        <v>0.22422066003541558</v>
      </c>
      <c r="G75" s="138"/>
      <c r="H75" s="193">
        <f t="array" ref="H75">SUM(H11:I11*H24:I24)/H32</f>
        <v>0.22662617426743836</v>
      </c>
      <c r="I75" s="138"/>
      <c r="J75" s="193">
        <f t="array" ref="J75">SUM(J11:K11*J24:K24)/J32</f>
        <v>0.22945322889801631</v>
      </c>
      <c r="K75" s="138"/>
      <c r="L75" s="193">
        <f t="array" ref="L75">SUM(L11:M11*L24:M24)/L32</f>
        <v>0.23280324942711225</v>
      </c>
      <c r="M75" s="138"/>
      <c r="N75" s="193">
        <f t="array" ref="N75">SUM(N11:O11*N24:O24)/N32</f>
        <v>0.23681265804749679</v>
      </c>
      <c r="O75" s="138"/>
      <c r="P75" s="193">
        <f t="array" ref="P75">SUM(P11:Q11*P24:Q24)/P32</f>
        <v>0.24166864764958651</v>
      </c>
      <c r="Q75" s="138"/>
      <c r="R75" s="193">
        <f t="array" ref="R75">SUM(R11:S11*R24:S24)/R32</f>
        <v>0.24763347698555499</v>
      </c>
      <c r="S75" s="138"/>
      <c r="T75" s="193">
        <f t="array" ref="T75">SUM(T11:U11*T24:U24)/T32</f>
        <v>0.25508221651140306</v>
      </c>
      <c r="U75" s="138"/>
      <c r="V75" s="193">
        <f t="array" ref="V75">SUM(V11:W11*V24:W24)/V32</f>
        <v>0.26456140253447935</v>
      </c>
      <c r="W75" s="138"/>
      <c r="X75" s="193">
        <f t="array" ref="X75">SUM(X11:Y11*X24:Y24)/X32</f>
        <v>0.27688006599957471</v>
      </c>
      <c r="Y75" s="138"/>
      <c r="Z75" s="193">
        <f t="array" ref="Z75">SUM(Z11:AA11*Z24:AA24)/Z32</f>
        <v>0.29324783088613365</v>
      </c>
      <c r="AA75" s="138"/>
      <c r="AB75" s="193">
        <f t="array" ref="AB75">SUM(AB11:AC11*AB24:AC24)/AB32</f>
        <v>0.31547909033303445</v>
      </c>
      <c r="AC75" s="138"/>
      <c r="AD75" s="193">
        <f t="array" ref="AD75">SUM(AD11:AE11*AD24:AE24)/AD32</f>
        <v>0.34629000069103949</v>
      </c>
      <c r="AE75" s="138"/>
      <c r="AF75" s="193">
        <f t="array" ref="AF75">SUM(AF11:AG11*AF24:AG24)/AF32</f>
        <v>0.38975810489739215</v>
      </c>
      <c r="AG75" s="138"/>
      <c r="AH75" s="193">
        <f t="array" ref="AH75">SUM(AH11:AI11*AH24:AI24)/AH32</f>
        <v>0.4522060042951504</v>
      </c>
      <c r="AI75" s="138"/>
      <c r="AJ75" s="193">
        <f t="array" ref="AJ75">SUM(AJ11:AK11*AJ24:AK24)/AJ32</f>
        <v>0.54472560463947839</v>
      </c>
      <c r="AK75" s="138"/>
      <c r="AL75" s="193">
        <f t="array" ref="AL75">SUM(AL11:AM11*AL24:AM24)/AL32</f>
        <v>0.69397787901481445</v>
      </c>
      <c r="AM75" s="138"/>
      <c r="AN75" s="193">
        <f t="array" ref="AN75">SUM(AN11:AO11*AN24:AO24)/AN32</f>
        <v>1.0093553683284033</v>
      </c>
      <c r="AO75" s="138"/>
      <c r="AP75" s="193">
        <f t="array" ref="AP75">SUM(AP11:AQ11*AP24:AQ24)/AP32</f>
        <v>1.1324690765800616</v>
      </c>
      <c r="AQ75" s="138"/>
      <c r="AR75" s="193">
        <f t="array" ref="AR75">SUM(AR11:AS11*AR24:AS24)/AR32</f>
        <v>1.3109975641455542</v>
      </c>
      <c r="AS75" s="138"/>
      <c r="AT75" s="193">
        <f t="array" ref="AT75">SUM(AT11:AU11*AT24:AU24)/AT32</f>
        <v>1.6076248367134358</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0.22320660595112812</v>
      </c>
      <c r="E76" s="138"/>
      <c r="F76" s="193">
        <f t="array" ref="F76">SUM(F12:G12*F25:G25)/F32</f>
        <v>0.22331735615046822</v>
      </c>
      <c r="G76" s="138"/>
      <c r="H76" s="193">
        <f t="array" ref="H76">SUM(H12:I12*H25:I25)/H32</f>
        <v>0.22332060332234943</v>
      </c>
      <c r="I76" s="138"/>
      <c r="J76" s="193">
        <f t="array" ref="J76">SUM(J12:K12*J25:K25)/J32</f>
        <v>0.22317454722783875</v>
      </c>
      <c r="K76" s="138"/>
      <c r="L76" s="193">
        <f t="array" ref="L76">SUM(L12:M12*L25:M25)/L32</f>
        <v>0.22282129875179624</v>
      </c>
      <c r="M76" s="138"/>
      <c r="N76" s="193">
        <f t="array" ref="N76">SUM(N12:O12*N25:O25)/N32</f>
        <v>0.22218025497576671</v>
      </c>
      <c r="O76" s="138"/>
      <c r="P76" s="193">
        <f t="array" ref="P76">SUM(P12:Q12*P25:Q25)/P32</f>
        <v>0.2211383796691983</v>
      </c>
      <c r="Q76" s="138"/>
      <c r="R76" s="193">
        <f t="array" ref="R76">SUM(R12:S12*R25:S25)/R32</f>
        <v>0.21953633564249503</v>
      </c>
      <c r="S76" s="138"/>
      <c r="T76" s="193">
        <f t="array" ref="T76">SUM(T12:U12*T25:U25)/T32</f>
        <v>0.21714845177788539</v>
      </c>
      <c r="U76" s="138"/>
      <c r="V76" s="193">
        <f t="array" ref="V76">SUM(V12:W12*V25:W25)/V32</f>
        <v>0.21365538020217234</v>
      </c>
      <c r="W76" s="138"/>
      <c r="X76" s="193">
        <f t="array" ref="X76">SUM(X12:Y12*X25:Y25)/X32</f>
        <v>0.20860936213982192</v>
      </c>
      <c r="Y76" s="138"/>
      <c r="Z76" s="193">
        <f t="array" ref="Z76">SUM(Z12:AA12*Z25:AA25)/Z32</f>
        <v>0.20139810865188498</v>
      </c>
      <c r="AA76" s="138"/>
      <c r="AB76" s="193">
        <f t="array" ref="AB76">SUM(AB12:AC12*AB25:AC25)/AB32</f>
        <v>0.19122720285492076</v>
      </c>
      <c r="AC76" s="138"/>
      <c r="AD76" s="193">
        <f t="array" ref="AD76">SUM(AD12:AE12*AD25:AE25)/AD32</f>
        <v>0.17716730255127597</v>
      </c>
      <c r="AE76" s="138"/>
      <c r="AF76" s="193">
        <f t="array" ref="AF76">SUM(AF12:AG12*AF25:AG25)/AF32</f>
        <v>0.15834989688955761</v>
      </c>
      <c r="AG76" s="138"/>
      <c r="AH76" s="193">
        <f t="array" ref="AH76">SUM(AH12:AI12*AH25:AI25)/AH32</f>
        <v>0.13441998966566995</v>
      </c>
      <c r="AI76" s="138"/>
      <c r="AJ76" s="193">
        <f t="array" ref="AJ76">SUM(AJ12:AK12*AJ25:AK25)/AJ32</f>
        <v>0.10618691927155</v>
      </c>
      <c r="AK76" s="138"/>
      <c r="AL76" s="193">
        <f t="array" ref="AL76">SUM(AL12:AM12*AL25:AM25)/AL32</f>
        <v>7.5603413319000529E-2</v>
      </c>
      <c r="AM76" s="138"/>
      <c r="AN76" s="193">
        <f t="array" ref="AN76">SUM(AN12:AO12*AN25:AO25)/AN32</f>
        <v>4.3761641249500494E-2</v>
      </c>
      <c r="AO76" s="138"/>
      <c r="AP76" s="193">
        <f t="array" ref="AP76">SUM(AP12:AQ12*AP25:AQ25)/AP32</f>
        <v>3.704012984216512E-2</v>
      </c>
      <c r="AQ76" s="138"/>
      <c r="AR76" s="193">
        <f t="array" ref="AR76">SUM(AR12:AS12*AR25:AS25)/AR32</f>
        <v>3.0021620713665161E-2</v>
      </c>
      <c r="AS76" s="138"/>
      <c r="AT76" s="193">
        <f t="array" ref="AT76">SUM(AT12:AU12*AT25:AU25)/AT32</f>
        <v>2.2486154706041202E-2</v>
      </c>
      <c r="AU76" s="138"/>
      <c r="AV76" s="193" t="e">
        <f t="array" ref="AV76">SUM(AV12:AW12*AV25:AW25)/AV32</f>
        <v>#DIV/0!</v>
      </c>
      <c r="XFD76" s="193"/>
    </row>
    <row r="77" spans="1:48 16384:16384" x14ac:dyDescent="0.2">
      <c r="A77" t="s">
        <v>188</v>
      </c>
      <c r="B77" s="193">
        <f t="array" ref="B77">SUM(B4:C4*B19:C19)/B32</f>
        <v>0.14586087017236496</v>
      </c>
      <c r="D77" s="193">
        <f t="array" ref="D77">SUM(D4:E4*D19:E19)/D32</f>
        <v>0.14638965511897487</v>
      </c>
      <c r="E77" s="138"/>
      <c r="F77" s="193">
        <f t="array" ref="F77">SUM(F4:G4*F19:G19)/F32</f>
        <v>0.14712847982369689</v>
      </c>
      <c r="G77" s="138"/>
      <c r="H77" s="193">
        <f t="array" ref="H77">SUM(H4:I4*H19:I19)/H32</f>
        <v>0.14810702580627141</v>
      </c>
      <c r="I77" s="138"/>
      <c r="J77" s="193">
        <f t="array" ref="J77">SUM(J4:K4*J19:K19)/J32</f>
        <v>0.14936086392622358</v>
      </c>
      <c r="K77" s="138"/>
      <c r="L77" s="193">
        <f t="array" ref="L77">SUM(L4:M4*L19:M19)/L32</f>
        <v>0.15093367219446449</v>
      </c>
      <c r="M77" s="138"/>
      <c r="N77" s="193">
        <f t="array" ref="N77">SUM(N4:O4*N19:O19)/N32</f>
        <v>0.15288072637114408</v>
      </c>
      <c r="O77" s="138"/>
      <c r="P77" s="193">
        <f t="array" ref="P77">SUM(P4:Q4*P19:Q19)/P32</f>
        <v>0.15527458383165801</v>
      </c>
      <c r="Q77" s="138"/>
      <c r="R77" s="193">
        <f t="array" ref="R77">SUM(R4:S4*R19:S19)/R32</f>
        <v>0.15821481011088756</v>
      </c>
      <c r="S77" s="138"/>
      <c r="T77" s="193">
        <f t="array" ref="T77">SUM(T4:U4*T19:U19)/T32</f>
        <v>0.16184479879577079</v>
      </c>
      <c r="U77" s="138"/>
      <c r="V77" s="193">
        <f t="array" ref="V77">SUM(V4:W4*V19:W19)/V32</f>
        <v>0.166381274407015</v>
      </c>
      <c r="W77" s="138"/>
      <c r="X77" s="193">
        <f t="array" ref="X77">SUM(X4:Y4*X19:Y19)/X32</f>
        <v>0.17216718904333386</v>
      </c>
      <c r="Y77" s="138"/>
      <c r="Z77" s="193">
        <f t="array" ref="Z77">SUM(Z4:AA4*Z19:AA19)/Z32</f>
        <v>0.17976633491779476</v>
      </c>
      <c r="AA77" s="138"/>
      <c r="AB77" s="193">
        <f t="array" ref="AB77">SUM(AB4:AC4*AB19:AC19)/AB32</f>
        <v>0.19013291090802853</v>
      </c>
      <c r="AC77" s="138"/>
      <c r="AD77" s="193">
        <f t="array" ref="AD77">SUM(AD4:AE4*AD19:AE19)/AD32</f>
        <v>0.2049169336325859</v>
      </c>
      <c r="AE77" s="138"/>
      <c r="AF77" s="193">
        <f t="array" ref="AF77">SUM(AF4:AG4*AF19:AG19)/AF32</f>
        <v>0.22703897036363385</v>
      </c>
      <c r="AG77" s="138"/>
      <c r="AH77" s="193">
        <f t="array" ref="AH77">SUM(AH4:AI4*AH19:AI19)/AH32</f>
        <v>0.26189027104231977</v>
      </c>
      <c r="AI77" s="138"/>
      <c r="AJ77" s="193">
        <f t="array" ref="AJ77">SUM(AJ4:AK4*AJ19:AK19)/AJ32</f>
        <v>0.32034781555217051</v>
      </c>
      <c r="AK77" s="138"/>
      <c r="AL77" s="193">
        <f t="array" ref="AL77">SUM(AL4:AM4*AL19:AM19)/AL32</f>
        <v>0.42926217449196979</v>
      </c>
      <c r="AM77" s="138"/>
      <c r="AN77" s="193">
        <f t="array" ref="AN77">SUM(AN4:AO4*AN19:AO19)/AN32</f>
        <v>0.69418432443135136</v>
      </c>
      <c r="AO77" s="138"/>
      <c r="AP77" s="193">
        <f t="array" ref="AP77">SUM(AP4:AQ4*AP19:AQ19)/AP32</f>
        <v>0.80426294875620541</v>
      </c>
      <c r="AQ77" s="138"/>
      <c r="AR77" s="193">
        <f t="array" ref="AR77">SUM(AR4:AS4*AR19:AS19)/AR32</f>
        <v>0.96742558465196826</v>
      </c>
      <c r="AS77" s="138"/>
      <c r="AT77" s="193">
        <f t="array" ref="AT77">SUM(AT4:AU4*AT19:AU19)/AT32</f>
        <v>1.2443599107517465</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0.34567766859783211</v>
      </c>
      <c r="E78" s="138"/>
      <c r="F78" s="193">
        <f t="array" ref="F78">SUM(F13:G13*F26:G26)/F32</f>
        <v>0.34444341681909113</v>
      </c>
      <c r="G78" s="138"/>
      <c r="H78" s="193">
        <f t="array" ref="H78">SUM(H13:I13*H26:I26)/H32</f>
        <v>0.34318229933702787</v>
      </c>
      <c r="I78" s="138"/>
      <c r="J78" s="193">
        <f t="array" ref="J78">SUM(J13:K13*J26:K26)/J32</f>
        <v>0.34189083070276177</v>
      </c>
      <c r="K78" s="138"/>
      <c r="L78" s="193">
        <f t="array" ref="L78">SUM(L13:M13*L26:M26)/L32</f>
        <v>0.34056422748608967</v>
      </c>
      <c r="M78" s="138"/>
      <c r="N78" s="193">
        <f t="array" ref="N78">SUM(N13:O13*N26:O26)/N32</f>
        <v>0.33919595823935172</v>
      </c>
      <c r="O78" s="138"/>
      <c r="P78" s="193">
        <f t="array" ref="P78">SUM(P13:Q13*P26:Q26)/P32</f>
        <v>0.33777715599979269</v>
      </c>
      <c r="Q78" s="138"/>
      <c r="R78" s="193">
        <f t="array" ref="R78">SUM(R13:S13*R26:S26)/R32</f>
        <v>0.33629600866108694</v>
      </c>
      <c r="S78" s="138"/>
      <c r="T78" s="193">
        <f t="array" ref="T78">SUM(T13:U13*T26:U26)/T32</f>
        <v>0.33473710878150104</v>
      </c>
      <c r="U78" s="138"/>
      <c r="V78" s="193">
        <f t="array" ref="V78">SUM(V13:W13*V26:W26)/V32</f>
        <v>0.33308089854116191</v>
      </c>
      <c r="W78" s="138"/>
      <c r="X78" s="193">
        <f t="array" ref="X78">SUM(X13:Y13*X26:Y26)/X32</f>
        <v>0.33130337954252337</v>
      </c>
      <c r="Y78" s="138"/>
      <c r="Z78" s="193">
        <f t="array" ref="Z78">SUM(Z13:AA13*Z26:AA26)/Z32</f>
        <v>0.32937566211321218</v>
      </c>
      <c r="AA78" s="138"/>
      <c r="AB78" s="193">
        <f t="array" ref="AB78">SUM(AB13:AC13*AB26:AC26)/AB32</f>
        <v>0.32726143692064757</v>
      </c>
      <c r="AC78" s="138"/>
      <c r="AD78" s="193">
        <f t="array" ref="AD78">SUM(AD13:AE13*AD26:AE26)/AD32</f>
        <v>0.32490636629432879</v>
      </c>
      <c r="AE78" s="138"/>
      <c r="AF78" s="193">
        <f t="array" ref="AF78">SUM(AF13:AG13*AF26:AG26)/AF32</f>
        <v>0.32220946156335495</v>
      </c>
      <c r="AG78" s="138"/>
      <c r="AH78" s="193">
        <f t="array" ref="AH78">SUM(AH13:AI13*AH26:AI26)/AH32</f>
        <v>0.31897659332842254</v>
      </c>
      <c r="AI78" s="138"/>
      <c r="AJ78" s="193">
        <f t="array" ref="AJ78">SUM(AJ13:AK13*AJ26:AK26)/AJ32</f>
        <v>0.31490531492987012</v>
      </c>
      <c r="AK78" s="138"/>
      <c r="AL78" s="193">
        <f t="array" ref="AL78">SUM(AL13:AM13*AL26:AM26)/AL32</f>
        <v>0.30964025484681085</v>
      </c>
      <c r="AM78" s="138"/>
      <c r="AN78" s="193">
        <f t="array" ref="AN78">SUM(AN13:AO13*AN26:AO26)/AN32</f>
        <v>0.30255434074091681</v>
      </c>
      <c r="AO78" s="138"/>
      <c r="AP78" s="193">
        <f t="array" ref="AP78">SUM(AP13:AQ13*AP26:AQ26)/AP32</f>
        <v>0.30076526280360921</v>
      </c>
      <c r="AQ78" s="138"/>
      <c r="AR78" s="193">
        <f t="array" ref="AR78">SUM(AR13:AS13*AR26:AS26)/AR32</f>
        <v>0.29875974256188592</v>
      </c>
      <c r="AS78" s="138"/>
      <c r="AT78" s="193">
        <f t="array" ref="AT78">SUM(AT13:AU13*AT26:AU26)/AT32</f>
        <v>0.2964141368659014</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0.4534085224105216</v>
      </c>
      <c r="F79" s="193">
        <f t="array" ref="F79">SUM(F15:G15*F27:G27)/F32</f>
        <v>0.45223502547166661</v>
      </c>
      <c r="H79" s="193">
        <f t="array" ref="H79">SUM(H15:I15*H27:I27)/H32</f>
        <v>0.4510930565778099</v>
      </c>
      <c r="J79" s="193">
        <f t="array" ref="J79">SUM(J15:K15*J27:K27)/J32</f>
        <v>0.44998703794565059</v>
      </c>
      <c r="L79" s="193">
        <f t="array" ref="L79">SUM(L15:M15*L27:M27)/L32</f>
        <v>0.44892203814986775</v>
      </c>
      <c r="N79" s="193">
        <f t="array" ref="N79">SUM(N15:O15*N27:O27)/N32</f>
        <v>0.44790380726453383</v>
      </c>
      <c r="P79" s="193">
        <f t="array" ref="P79">SUM(P15:Q15*P27:Q27)/P32</f>
        <v>0.44693855393259629</v>
      </c>
      <c r="R79" s="193">
        <f t="array" ref="R79">SUM(R15:S15*R27:S27)/R32</f>
        <v>0.44603263897777545</v>
      </c>
      <c r="T79" s="193">
        <f t="array" ref="T79">SUM(T15:U15*T27:U27)/T32</f>
        <v>0.44519151590886746</v>
      </c>
      <c r="V79" s="193">
        <f t="array" ref="V79">SUM(V15:W15*V27:W27)/V32</f>
        <v>0.44441726663886655</v>
      </c>
      <c r="X79" s="193">
        <f t="array" ref="X79">SUM(X15:Y15*X27:Y27)/X32</f>
        <v>0.44370324367760039</v>
      </c>
      <c r="Z79" s="193">
        <f t="array" ref="Z79">SUM(Z15:AA15*Z27:AA27)/Z32</f>
        <v>0.44302195333682071</v>
      </c>
      <c r="AB79" s="193">
        <f t="array" ref="AB79">SUM(AB15:AC15*AB27:AC27)/AB32</f>
        <v>0.44229890435425279</v>
      </c>
      <c r="AD79" s="193">
        <f t="array" ref="AD79">SUM(AD15:AE15*AD27:AE27)/AD32</f>
        <v>0.44135762261110167</v>
      </c>
      <c r="AF79" s="193">
        <f t="array" ref="AF79">SUM(AF15:AG15*AF27:AG27)/AF32</f>
        <v>0.43981231810428228</v>
      </c>
      <c r="AH79" s="193">
        <f t="array" ref="AH79">SUM(AH15:AI15*AH27:AI27)/AH32</f>
        <v>0.4368843154258053</v>
      </c>
      <c r="AJ79" s="193">
        <f t="array" ref="AJ79">SUM(AJ15:AK15*AJ27:AK27)/AJ32</f>
        <v>0.43114671593208964</v>
      </c>
      <c r="AL79" s="193">
        <f t="array" ref="AL79">SUM(AL15:AM15*AL27:AM27)/AL32</f>
        <v>0.41997573735277249</v>
      </c>
      <c r="AN79" s="193">
        <f t="array" ref="AN79">SUM(AN15:AO15*AN27:AO27)/AN32</f>
        <v>0.39565684007111124</v>
      </c>
      <c r="AP79" s="193">
        <f t="array" ref="AP79">SUM(AP15:AQ15*AP27:AQ27)/AP32</f>
        <v>0.38678510506428071</v>
      </c>
      <c r="AR79" s="193">
        <f t="array" ref="AR79">SUM(AR15:AS15*AR27:AS27)/AR32</f>
        <v>0.3746906705892657</v>
      </c>
      <c r="AT79" s="193">
        <f t="array" ref="AT79">SUM(AT15:AU15*AT27:AU27)/AT32</f>
        <v>0.35649239910694608</v>
      </c>
      <c r="AV79" s="193" t="e">
        <f t="array" ref="AV79">SUM(AV15:AW15*AV27:AW27)/AV32</f>
        <v>#DIV/0!</v>
      </c>
      <c r="XFD79" s="193"/>
    </row>
    <row r="80" spans="1:48 16384:16384" x14ac:dyDescent="0.2">
      <c r="A80" t="s">
        <v>169</v>
      </c>
      <c r="B80" s="236">
        <f>B55</f>
        <v>0.19850271905982084</v>
      </c>
      <c r="D80" s="236">
        <f>D55</f>
        <v>0.20091382048686571</v>
      </c>
      <c r="F80" s="236">
        <f>F55</f>
        <v>0.20332155481842412</v>
      </c>
      <c r="H80" s="236">
        <f>H55</f>
        <v>0.20572463830353027</v>
      </c>
      <c r="J80" s="236">
        <f>J55</f>
        <v>0.20812212783555573</v>
      </c>
      <c r="L80" s="236">
        <f>L55</f>
        <v>0.21051372083884778</v>
      </c>
      <c r="N80" s="236">
        <f>N55</f>
        <v>0.21290023731947982</v>
      </c>
      <c r="P80" s="236">
        <f>P55</f>
        <v>0.21528429013477521</v>
      </c>
      <c r="R80" s="236">
        <f>R55</f>
        <v>0.21767133870723301</v>
      </c>
      <c r="T80" s="236">
        <f>T55</f>
        <v>0.22007137269528448</v>
      </c>
      <c r="V80" s="236">
        <f>V55</f>
        <v>0.22250183557727399</v>
      </c>
      <c r="X80" s="236">
        <f>X55</f>
        <v>0.22499338337355723</v>
      </c>
      <c r="Z80" s="236">
        <f>Z55</f>
        <v>0.2276023833489402</v>
      </c>
      <c r="AB80" s="236">
        <f>AB55</f>
        <v>0.23043966309673003</v>
      </c>
      <c r="AD80" s="236">
        <f>AD55</f>
        <v>0.23373600984848331</v>
      </c>
      <c r="AF80" s="236">
        <f>AF55</f>
        <v>0.23797822052499368</v>
      </c>
      <c r="AH80" s="236">
        <f>AH55</f>
        <v>0.24413909237817666</v>
      </c>
      <c r="AJ80" s="236">
        <f>AJ55</f>
        <v>0.2539479691483863</v>
      </c>
      <c r="AL80" s="236">
        <f>AL55</f>
        <v>0.2703840078322246</v>
      </c>
      <c r="AN80" s="236">
        <f>AN55</f>
        <v>0.30178881918659278</v>
      </c>
      <c r="AP80" s="236">
        <f>AP55</f>
        <v>0.31244963213627691</v>
      </c>
      <c r="AR80" s="236">
        <f>AR55</f>
        <v>0.32654958684867996</v>
      </c>
      <c r="AT80" s="236">
        <f>AT55</f>
        <v>0.34709346404580771</v>
      </c>
      <c r="AV80" s="236" t="e">
        <f>AV55</f>
        <v>#DIV/0!</v>
      </c>
      <c r="XFD80" s="236"/>
    </row>
    <row r="81" spans="1:48 16384:16384" x14ac:dyDescent="0.2">
      <c r="A81" t="s">
        <v>191</v>
      </c>
      <c r="B81" s="236">
        <f>B51/B$32</f>
        <v>-2.7543485504603994E-2</v>
      </c>
      <c r="D81" s="236">
        <f>D51/D$32</f>
        <v>-2.5132384077559133E-2</v>
      </c>
      <c r="F81" s="236">
        <f>F51/F$32</f>
        <v>-2.2724649746000716E-2</v>
      </c>
      <c r="H81" s="236">
        <f>H51/H$32</f>
        <v>-2.0321566260894566E-2</v>
      </c>
      <c r="J81" s="236">
        <f>J51/J$32</f>
        <v>-1.7924076728869105E-2</v>
      </c>
      <c r="L81" s="236">
        <f>L51/L$32</f>
        <v>-1.5532483725577051E-2</v>
      </c>
      <c r="N81" s="236">
        <f>N51/N$32</f>
        <v>-1.3145967244945021E-2</v>
      </c>
      <c r="P81" s="236">
        <f>P51/P$32</f>
        <v>-1.0761914429649608E-2</v>
      </c>
      <c r="R81" s="236">
        <f>R51/R$32</f>
        <v>-8.374865857191837E-3</v>
      </c>
      <c r="T81" s="236">
        <f>T51/T$32</f>
        <v>-5.9748318691403637E-3</v>
      </c>
      <c r="V81" s="236">
        <f>V51/V$32</f>
        <v>-3.5443689871508641E-3</v>
      </c>
      <c r="X81" s="236">
        <f>X51/X$32</f>
        <v>-1.0528211908675902E-3</v>
      </c>
      <c r="Z81" s="236">
        <f>Z51/Z$32</f>
        <v>1.5561787845153711E-3</v>
      </c>
      <c r="AB81" s="236">
        <f>AB51/AB$32</f>
        <v>4.3934585323051785E-3</v>
      </c>
      <c r="AD81" s="236">
        <f>AD51/AD$32</f>
        <v>7.68980528405844E-3</v>
      </c>
      <c r="AF81" s="236">
        <f>AF51/AF$32</f>
        <v>1.1932015960568854E-2</v>
      </c>
      <c r="AH81" s="236">
        <f>AH51/AH$32</f>
        <v>1.8092887813751794E-2</v>
      </c>
      <c r="AJ81" s="236">
        <f>AJ51/AJ$32</f>
        <v>2.7901764583961475E-2</v>
      </c>
      <c r="AL81" s="236">
        <f>AL51/AL$32</f>
        <v>4.433780326779977E-2</v>
      </c>
      <c r="AN81" s="236">
        <f>AN51/AN$32</f>
        <v>7.5742614622167914E-2</v>
      </c>
      <c r="AP81" s="236">
        <f>AP51/AP$32</f>
        <v>8.6403427571852098E-2</v>
      </c>
      <c r="AR81" s="236">
        <f>AR51/AR$32</f>
        <v>0.10050338228425512</v>
      </c>
      <c r="AT81" s="236">
        <f>AT51/AT$32</f>
        <v>0.1210472594813829</v>
      </c>
      <c r="AV81" s="236" t="e">
        <f>AV51/AV$32</f>
        <v>#DIV/0!</v>
      </c>
      <c r="XFD81" s="236"/>
    </row>
    <row r="82" spans="1:48 16384:16384" x14ac:dyDescent="0.2">
      <c r="A82" t="s">
        <v>192</v>
      </c>
      <c r="B82" s="236">
        <f>B52/B$32</f>
        <v>0.13907860278212886</v>
      </c>
      <c r="D82" s="236">
        <f>D52/D$32</f>
        <v>0.13859350439646564</v>
      </c>
      <c r="F82" s="236">
        <f>F52/F$32</f>
        <v>0.13809865241479971</v>
      </c>
      <c r="H82" s="236">
        <f>H52/H$32</f>
        <v>0.13759302909234514</v>
      </c>
      <c r="J82" s="236">
        <f>J52/J$32</f>
        <v>0.13707523699843557</v>
      </c>
      <c r="L82" s="236">
        <f>L52/L$32</f>
        <v>0.13654335829916062</v>
      </c>
      <c r="N82" s="236">
        <f>N52/N$32</f>
        <v>0.13599477432313309</v>
      </c>
      <c r="P82" s="236">
        <f>P52/P$32</f>
        <v>0.13542593001443459</v>
      </c>
      <c r="R82" s="236">
        <f>R52/R$32</f>
        <v>0.13483208951258385</v>
      </c>
      <c r="T82" s="236">
        <f>T52/T$32</f>
        <v>0.13420707546932378</v>
      </c>
      <c r="V82" s="236">
        <f>V52/V$32</f>
        <v>0.13354304651380294</v>
      </c>
      <c r="X82" s="236">
        <f>X52/X$32</f>
        <v>0.13283038090207308</v>
      </c>
      <c r="Z82" s="236">
        <f>Z52/Z$32</f>
        <v>0.13205749581783235</v>
      </c>
      <c r="AB82" s="236">
        <f>AB52/AB$32</f>
        <v>0.1312098336598764</v>
      </c>
      <c r="AD82" s="236">
        <f>AD52/AD$32</f>
        <v>0.13026560867558201</v>
      </c>
      <c r="AF82" s="236">
        <f>AF52/AF$32</f>
        <v>0.12918433119762054</v>
      </c>
      <c r="AH82" s="236">
        <f>AH52/AH$32</f>
        <v>0.12788816838864089</v>
      </c>
      <c r="AJ82" s="236">
        <f>AJ52/AJ$32</f>
        <v>0.12625585947230916</v>
      </c>
      <c r="AL82" s="236">
        <f>AL52/AL$32</f>
        <v>0.12414492436120114</v>
      </c>
      <c r="AN82" s="236">
        <f>AN52/AN$32</f>
        <v>0.12130394920717474</v>
      </c>
      <c r="AP82" s="236">
        <f>AP52/AP$32</f>
        <v>0.12058664923817287</v>
      </c>
      <c r="AR82" s="236">
        <f>AR52/AR$32</f>
        <v>0.11978257045701839</v>
      </c>
      <c r="AT82" s="236">
        <f>AT52/AT$32</f>
        <v>0.11884214027343887</v>
      </c>
      <c r="AV82" s="236" t="e">
        <f>AV52/AV$32</f>
        <v>#DIV/0!</v>
      </c>
    </row>
    <row r="83" spans="1:48 16384:16384" x14ac:dyDescent="0.2">
      <c r="A83" t="s">
        <v>193</v>
      </c>
      <c r="B83" s="236">
        <f>B53/B$32</f>
        <v>0.18600714462930035</v>
      </c>
      <c r="D83" s="236">
        <f>D53/D$32</f>
        <v>0.18551567831248281</v>
      </c>
      <c r="F83" s="236">
        <f>F53/F$32</f>
        <v>0.18503553277077153</v>
      </c>
      <c r="H83" s="236">
        <f>H53/H$32</f>
        <v>0.18456828717770399</v>
      </c>
      <c r="J83" s="236">
        <f>J53/J$32</f>
        <v>0.18411575091817267</v>
      </c>
      <c r="L83" s="236">
        <f>L53/L$32</f>
        <v>0.183679997839543</v>
      </c>
      <c r="N83" s="236">
        <f>N53/N$32</f>
        <v>0.18326338063004027</v>
      </c>
      <c r="P83" s="236">
        <f>P53/P$32</f>
        <v>0.18286843960496696</v>
      </c>
      <c r="R83" s="236">
        <f>R53/R$32</f>
        <v>0.182497777345591</v>
      </c>
      <c r="T83" s="236">
        <f>T53/T$32</f>
        <v>0.18215362519811226</v>
      </c>
      <c r="V83" s="236">
        <f>V53/V$32</f>
        <v>0.18183683499367687</v>
      </c>
      <c r="X83" s="236">
        <f>X53/X$32</f>
        <v>0.18154468685917394</v>
      </c>
      <c r="Z83" s="236">
        <f>Z53/Z$32</f>
        <v>0.18126593153489035</v>
      </c>
      <c r="AB83" s="236">
        <f>AB53/AB$32</f>
        <v>0.1809700903324773</v>
      </c>
      <c r="AD83" s="236">
        <f>AD53/AD$32</f>
        <v>0.18058495747230199</v>
      </c>
      <c r="AF83" s="236">
        <f>AF53/AF$32</f>
        <v>0.17995268392733677</v>
      </c>
      <c r="AH83" s="236">
        <f>AH53/AH$32</f>
        <v>0.17875466850382737</v>
      </c>
      <c r="AJ83" s="236">
        <f>AJ53/AJ$32</f>
        <v>0.17640708435101279</v>
      </c>
      <c r="AL83" s="236">
        <f>AL53/AL$32</f>
        <v>0.17183639022832958</v>
      </c>
      <c r="AN83" s="236">
        <f>AN53/AN$32</f>
        <v>0.16188612131623759</v>
      </c>
      <c r="AP83" s="236">
        <f>AP53/AP$32</f>
        <v>0.15825618086242629</v>
      </c>
      <c r="AR83" s="236">
        <f>AR53/AR$32</f>
        <v>0.15330764746585548</v>
      </c>
      <c r="AT83" s="236">
        <f>AT53/AT$32</f>
        <v>0.14586168094496044</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F15" sqref="F15"/>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0.99377394688788867</v>
      </c>
      <c r="D3" s="80">
        <f>NeoClassical!F$31</f>
        <v>0.98720033915076844</v>
      </c>
      <c r="E3" s="80">
        <f>NeoClassical!H$31</f>
        <v>0.98023606120743711</v>
      </c>
      <c r="F3" s="80">
        <f>NeoClassical!J$31</f>
        <v>0.97282564313222741</v>
      </c>
      <c r="G3" s="80">
        <f>NeoClassical!L$31</f>
        <v>0.96489543990938731</v>
      </c>
      <c r="H3" s="80">
        <f>NeoClassical!N$31</f>
        <v>0.95634416620007823</v>
      </c>
      <c r="I3" s="80">
        <f>NeoClassical!P$31</f>
        <v>0.94702832340664111</v>
      </c>
      <c r="J3" s="80">
        <f>NeoClassical!R$31</f>
        <v>0.93673682819963666</v>
      </c>
      <c r="K3" s="80">
        <f>NeoClassical!T$31</f>
        <v>0.92514866177075605</v>
      </c>
      <c r="L3" s="80">
        <f>NeoClassical!V$31</f>
        <v>0.9117567196602484</v>
      </c>
      <c r="M3" s="80">
        <f>NeoClassical!X$31</f>
        <v>0.89573562336423407</v>
      </c>
      <c r="N3" s="80">
        <f>NeoClassical!Z$31</f>
        <v>0.87573937854365258</v>
      </c>
      <c r="O3" s="80">
        <f>NeoClassical!AB$31</f>
        <v>0.84972519089397625</v>
      </c>
      <c r="P3" s="80">
        <f>NeoClassical!AD$31</f>
        <v>0.81514729825972798</v>
      </c>
      <c r="Q3" s="80">
        <f>NeoClassical!AF$31</f>
        <v>0.76936993467262049</v>
      </c>
      <c r="R3" s="80">
        <f>NeoClassical!AH$31</f>
        <v>0.70872112396133358</v>
      </c>
      <c r="S3" s="80">
        <f>NeoClassical!AJ$31</f>
        <v>0.62577440941320783</v>
      </c>
      <c r="T3" s="80">
        <f>NeoClassical!AL$31</f>
        <v>0.50455523251495105</v>
      </c>
      <c r="U3" s="80">
        <f>NeoClassical!AN$31</f>
        <v>0.30742264395316771</v>
      </c>
      <c r="V3" s="80">
        <f>NeoClassical!AP$31</f>
        <v>0</v>
      </c>
      <c r="W3" s="80">
        <f>NeoClassical!AR$31</f>
        <v>0</v>
      </c>
      <c r="X3" s="80">
        <f>NeoClassical!AT$31</f>
        <v>0</v>
      </c>
      <c r="Y3" s="80">
        <f>NeoClassical!AV$31</f>
        <v>0</v>
      </c>
    </row>
    <row r="4" spans="1:27" x14ac:dyDescent="0.2">
      <c r="A4" t="s">
        <v>163</v>
      </c>
      <c r="B4" s="80">
        <f>Kaldorian!B$31</f>
        <v>1</v>
      </c>
      <c r="C4" s="80">
        <f>Kaldorian!D$31</f>
        <v>1.0100615684299605</v>
      </c>
      <c r="D4" s="80">
        <f>Kaldorian!F$31</f>
        <v>1.0196913666835627</v>
      </c>
      <c r="E4" s="80">
        <f>Kaldorian!H$31</f>
        <v>1.0288853017727049</v>
      </c>
      <c r="F4" s="80">
        <f>Kaldorian!J$31</f>
        <v>1.0376498188359475</v>
      </c>
      <c r="G4" s="80">
        <f>Kaldorian!L$31</f>
        <v>1.046009460975057</v>
      </c>
      <c r="H4" s="80">
        <f>Kaldorian!N$31</f>
        <v>1.0540203551623042</v>
      </c>
      <c r="I4" s="80">
        <f>Kaldorian!P$31</f>
        <v>1.0617950402786056</v>
      </c>
      <c r="J4" s="80">
        <f>Kaldorian!R$31</f>
        <v>1.0695495837406441</v>
      </c>
      <c r="K4" s="80">
        <f>Kaldorian!T$31</f>
        <v>1.0776885544448778</v>
      </c>
      <c r="L4" s="80">
        <f>Kaldorian!V$31</f>
        <v>1.0869213635734369</v>
      </c>
      <c r="M4" s="80">
        <f>Kaldorian!X$31</f>
        <v>1.0981841293302346</v>
      </c>
      <c r="N4" s="80">
        <f>Kaldorian!Z$31</f>
        <v>1.1115572297563883</v>
      </c>
      <c r="O4" s="80">
        <f>Kaldorian!AB$31</f>
        <v>1.1245056302445802</v>
      </c>
      <c r="P4" s="80">
        <f>Kaldorian!AD$31</f>
        <v>1.1328128910289637</v>
      </c>
      <c r="Q4" s="80">
        <f>Kaldorian!AF$31</f>
        <v>0</v>
      </c>
      <c r="R4" s="80">
        <f>Kaldorian!AH$31</f>
        <v>0</v>
      </c>
      <c r="S4" s="80">
        <f>Kaldorian!AJ$31</f>
        <v>0</v>
      </c>
      <c r="T4" s="80">
        <f>Kaldorian!AL$31</f>
        <v>0</v>
      </c>
      <c r="U4" s="80">
        <f>Kaldorian!AN$31</f>
        <v>0</v>
      </c>
      <c r="V4" s="80">
        <f>Kaldorian!AP$31</f>
        <v>0</v>
      </c>
      <c r="W4" s="80">
        <f>Kaldorian!AR$31</f>
        <v>0</v>
      </c>
      <c r="X4" s="80">
        <f>Kaldorian!AT$31</f>
        <v>0</v>
      </c>
      <c r="Y4" s="80">
        <f>Kaldorian!AV$31</f>
        <v>0</v>
      </c>
    </row>
    <row r="5" spans="1:27" x14ac:dyDescent="0.2">
      <c r="A5" t="s">
        <v>90</v>
      </c>
      <c r="B5" s="80">
        <f>Johansen!B$31</f>
        <v>1</v>
      </c>
      <c r="C5" s="80">
        <f>Johansen!D$31</f>
        <v>0.99818190938924434</v>
      </c>
      <c r="D5" s="80">
        <f>Johansen!F$31</f>
        <v>0.99603632727806435</v>
      </c>
      <c r="E5" s="80">
        <f>Johansen!H$31</f>
        <v>0.99352305443789324</v>
      </c>
      <c r="F5" s="80">
        <f>Johansen!J$31</f>
        <v>0.99059229827538609</v>
      </c>
      <c r="G5" s="80">
        <f>Johansen!L$31</f>
        <v>0.98718119586097552</v>
      </c>
      <c r="H5" s="80">
        <f>Johansen!N$31</f>
        <v>0.98320756420999589</v>
      </c>
      <c r="I5" s="80">
        <f>Johansen!P$31</f>
        <v>0.97856131442106264</v>
      </c>
      <c r="J5" s="80">
        <f>Johansen!R$31</f>
        <v>0.97308878088694251</v>
      </c>
      <c r="K5" s="80">
        <f>Johansen!T$31</f>
        <v>0.96656762652960948</v>
      </c>
      <c r="L5" s="80">
        <f>Johansen!V$31</f>
        <v>0.95866118460338112</v>
      </c>
      <c r="M5" s="80">
        <f>Johansen!X$31</f>
        <v>0.9488378000919192</v>
      </c>
      <c r="N5" s="80">
        <f>Johansen!Z$31</f>
        <v>0.93623961571583747</v>
      </c>
      <c r="O5" s="80">
        <f>Johansen!AB$31</f>
        <v>0.91952869977698637</v>
      </c>
      <c r="P5" s="80">
        <f>Johansen!AD$31</f>
        <v>0.89683039916740503</v>
      </c>
      <c r="Q5" s="80">
        <f>Johansen!AF$31</f>
        <v>0.86563587664335062</v>
      </c>
      <c r="R5" s="80">
        <f>Johansen!AH$31</f>
        <v>0.82193104530012839</v>
      </c>
      <c r="S5" s="80">
        <f>Johansen!AJ$31</f>
        <v>0.75798691799173923</v>
      </c>
      <c r="T5" s="80">
        <f>Johansen!AL$31</f>
        <v>0.65682613047808747</v>
      </c>
      <c r="U5" s="80">
        <f>Johansen!AN$31</f>
        <v>0</v>
      </c>
      <c r="V5" s="80">
        <f>Johansen!AP$31</f>
        <v>0</v>
      </c>
      <c r="W5" s="80">
        <f>Johansen!AR$31</f>
        <v>0</v>
      </c>
      <c r="X5" s="80">
        <f>Johansen!AT$31</f>
        <v>0</v>
      </c>
      <c r="Y5" s="80">
        <f>Johansen!AV$31</f>
        <v>0</v>
      </c>
    </row>
    <row r="6" spans="1:27" x14ac:dyDescent="0.2">
      <c r="A6" t="s">
        <v>146</v>
      </c>
      <c r="B6" s="80">
        <f>'Keynes-K'!B$31</f>
        <v>1</v>
      </c>
      <c r="C6" s="80">
        <f>'Keynes-K'!D$31</f>
        <v>1.0023124974449211</v>
      </c>
      <c r="D6" s="80">
        <f>'Keynes-K'!F$31</f>
        <v>1.0038005904275527</v>
      </c>
      <c r="E6" s="80">
        <f>'Keynes-K'!H$31</f>
        <v>1.004409952584836</v>
      </c>
      <c r="F6" s="80">
        <f>'Keynes-K'!J$31</f>
        <v>1.0040694557389189</v>
      </c>
      <c r="G6" s="80">
        <f>'Keynes-K'!L$31</f>
        <v>1.0026874736203815</v>
      </c>
      <c r="H6" s="80">
        <f>'Keynes-K'!N$31</f>
        <v>1.0001438179448972</v>
      </c>
      <c r="I6" s="80">
        <f>'Keynes-K'!P$31</f>
        <v>0.99628062224766889</v>
      </c>
      <c r="J6" s="80">
        <f>'Keynes-K'!R$31</f>
        <v>0.99088436615280184</v>
      </c>
      <c r="K6" s="80">
        <f>'Keynes-K'!T$31</f>
        <v>0.98365812594401703</v>
      </c>
      <c r="L6" s="80">
        <f>'Keynes-K'!V$31</f>
        <v>0.9741699965386833</v>
      </c>
      <c r="M6" s="80">
        <f>'Keynes-K'!X$31</f>
        <v>0.96175438561051585</v>
      </c>
      <c r="N6" s="80">
        <f>'Keynes-K'!Z$31</f>
        <v>0.94531522968770743</v>
      </c>
      <c r="O6" s="80">
        <f>'Keynes-K'!AB$31</f>
        <v>0.92295101643203714</v>
      </c>
      <c r="P6" s="80">
        <f>'Keynes-K'!AD$31</f>
        <v>0.8914260870030698</v>
      </c>
      <c r="Q6" s="80">
        <f>'Keynes-K'!AF$31</f>
        <v>0.84574491299032128</v>
      </c>
      <c r="R6" s="80">
        <f>'Keynes-K'!AH$31</f>
        <v>0.77855382909075488</v>
      </c>
      <c r="S6" s="80">
        <f>'Keynes-K'!AJ$31</f>
        <v>0.67824320569905705</v>
      </c>
      <c r="T6" s="80">
        <f>'Keynes-K'!AL$31</f>
        <v>0.52576958339199154</v>
      </c>
      <c r="U6" s="80">
        <f>'Keynes-K'!AN$31</f>
        <v>0</v>
      </c>
      <c r="V6" s="80">
        <f>'Keynes-K'!AP$31</f>
        <v>0</v>
      </c>
      <c r="W6" s="80">
        <f>'Keynes-K'!AR$31</f>
        <v>0</v>
      </c>
      <c r="X6" s="80">
        <f>'Keynes-K'!AT$31</f>
        <v>0</v>
      </c>
      <c r="Y6" s="80">
        <f>'Keynes-K'!AV$31</f>
        <v>0</v>
      </c>
    </row>
    <row r="7" spans="1:27" x14ac:dyDescent="0.2">
      <c r="A7" t="s">
        <v>144</v>
      </c>
      <c r="B7" s="80">
        <f>'Keynes-M'!B$31</f>
        <v>1</v>
      </c>
      <c r="C7" s="80">
        <f>'Keynes-M'!D$31</f>
        <v>1.011664907786441</v>
      </c>
      <c r="D7" s="80">
        <f>'Keynes-M'!F$31</f>
        <v>1.0229336239405502</v>
      </c>
      <c r="E7" s="80">
        <f>'Keynes-M'!H$31</f>
        <v>1.0337805373824198</v>
      </c>
      <c r="F7" s="80">
        <f>'Keynes-M'!J$31</f>
        <v>1.0441725952070524</v>
      </c>
      <c r="G7" s="80">
        <f>'Keynes-M'!L$31</f>
        <v>1.0540692630642488</v>
      </c>
      <c r="H7" s="80">
        <f>'Keynes-M'!N$31</f>
        <v>1.0634227948076387</v>
      </c>
      <c r="I7" s="80">
        <f>'Keynes-M'!P$31</f>
        <v>1.0721796865772462</v>
      </c>
      <c r="J7" s="80">
        <f>'Keynes-M'!R$31</f>
        <v>1.0802835502926891</v>
      </c>
      <c r="K7" s="80">
        <f>'Keynes-M'!T$31</f>
        <v>1.0876812258962563</v>
      </c>
      <c r="L7" s="80">
        <f>'Keynes-M'!V$31</f>
        <v>1.0943339453160903</v>
      </c>
      <c r="M7" s="80">
        <f>'Keynes-M'!X$31</f>
        <v>1.1002348667412578</v>
      </c>
      <c r="N7" s="80">
        <f>'Keynes-M'!Z$31</f>
        <v>1.1054232652472213</v>
      </c>
      <c r="O7" s="80">
        <f>'Keynes-M'!AB$31</f>
        <v>1.1099228412238444</v>
      </c>
      <c r="P7" s="80">
        <f>'Keynes-M'!AD$31</f>
        <v>1.1132796288556681</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0.9793323022213396</v>
      </c>
      <c r="D8" s="80">
        <f>Keynesian!F$31</f>
        <v>0.95661313767014189</v>
      </c>
      <c r="E8" s="80">
        <f>Keynesian!H$31</f>
        <v>0.93162207560086718</v>
      </c>
      <c r="F8" s="80">
        <f>Keynesian!J$31</f>
        <v>0.90411808178608744</v>
      </c>
      <c r="G8" s="80">
        <f>Keynesian!L$31</f>
        <v>0.87384528223329583</v>
      </c>
      <c r="H8" s="80">
        <f>Keynesian!N$31</f>
        <v>0.84054365082353255</v>
      </c>
      <c r="I8" s="80">
        <f>Keynesian!P$31</f>
        <v>0.80397204287112412</v>
      </c>
      <c r="J8" s="80">
        <f>Keynesian!R$31</f>
        <v>0.76395216291537982</v>
      </c>
      <c r="K8" s="80">
        <f>Keynesian!T$31</f>
        <v>0.72045442167992968</v>
      </c>
      <c r="L8" s="80">
        <f>Keynesian!V$31</f>
        <v>0.67377568186850501</v>
      </c>
      <c r="M8" s="80">
        <f>Keynesian!X$31</f>
        <v>0.62496749216388658</v>
      </c>
      <c r="N8" s="80">
        <f>Keynesian!Z$31</f>
        <v>0.57705341325971971</v>
      </c>
      <c r="O8" s="80">
        <f>Keynesian!AB$31</f>
        <v>0.53839879185332562</v>
      </c>
      <c r="P8" s="80">
        <f>Keynesian!AD$31</f>
        <v>0.5206698770117516</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0.98645947072765583</v>
      </c>
      <c r="D9" s="80">
        <f>'Neo-K2'!F$31</f>
        <v>0.97181142204574833</v>
      </c>
      <c r="E9" s="80">
        <f>'Neo-K2'!H$31</f>
        <v>0.95588902809451115</v>
      </c>
      <c r="F9" s="80">
        <f>'Neo-K2'!J$31</f>
        <v>0.93848707865377445</v>
      </c>
      <c r="G9" s="80">
        <f>'Neo-K2'!L$31</f>
        <v>0.9193499306109757</v>
      </c>
      <c r="H9" s="80">
        <f>'Neo-K2'!N$31</f>
        <v>0.89815587179177614</v>
      </c>
      <c r="I9" s="80">
        <f>'Neo-K2'!P$31</f>
        <v>0.87449729414354993</v>
      </c>
      <c r="J9" s="80">
        <f>'Neo-K2'!R$31</f>
        <v>0.84785584840214845</v>
      </c>
      <c r="K9" s="80">
        <f>'Neo-K2'!T$31</f>
        <v>0.81757569533125052</v>
      </c>
      <c r="L9" s="80">
        <f>'Neo-K2'!V$31</f>
        <v>0.7828420580968426</v>
      </c>
      <c r="M9" s="80">
        <f>'Neo-K2'!X$31</f>
        <v>0.74268295453166489</v>
      </c>
      <c r="N9" s="80">
        <f>'Neo-K2'!Z$31</f>
        <v>0.69603111969190079</v>
      </c>
      <c r="O9" s="80">
        <f>'Neo-K2'!AB$31</f>
        <v>0.6418960927398013</v>
      </c>
      <c r="P9" s="80">
        <f>'Neo-K2'!AD$31</f>
        <v>0.57967792109741212</v>
      </c>
      <c r="Q9" s="80">
        <f>'Neo-K2'!AF$31</f>
        <v>0.50954447155818028</v>
      </c>
      <c r="R9" s="80">
        <f>'Neo-K2'!AH$31</f>
        <v>0.43261946780339228</v>
      </c>
      <c r="S9" s="80">
        <f>'Neo-K2'!AJ$31</f>
        <v>0.35054398648128282</v>
      </c>
      <c r="T9" s="80">
        <f>'Neo-K2'!AL$31</f>
        <v>0.26357426443249538</v>
      </c>
      <c r="U9" s="80">
        <f>'Neo-K2'!AN$31</f>
        <v>0.16553216736518614</v>
      </c>
      <c r="V9" s="80">
        <f>'Neo-K2'!AP$31</f>
        <v>0.14277254663242578</v>
      </c>
      <c r="W9" s="80">
        <f>'Neo-K2'!AR$31</f>
        <v>0.11793065618254325</v>
      </c>
      <c r="X9" s="80">
        <f>'Neo-K2'!AT$31</f>
        <v>8.9874974977164387E-2</v>
      </c>
      <c r="Y9" s="80">
        <f>'Neo-K2'!AV$31</f>
        <v>0</v>
      </c>
    </row>
    <row r="10" spans="1:27" x14ac:dyDescent="0.2">
      <c r="A10" t="s">
        <v>158</v>
      </c>
      <c r="B10" s="80">
        <f>'Neo-K1'!B$31</f>
        <v>1</v>
      </c>
      <c r="C10" s="80">
        <f>'Neo-K1'!D$31</f>
        <v>0.98882044448081396</v>
      </c>
      <c r="D10" s="80">
        <f>'Neo-K1'!F$31</f>
        <v>0.97684074451193714</v>
      </c>
      <c r="E10" s="80">
        <f>'Neo-K1'!H$31</f>
        <v>0.96394656607524687</v>
      </c>
      <c r="F10" s="80">
        <f>'Neo-K1'!J$31</f>
        <v>0.94999433536421962</v>
      </c>
      <c r="G10" s="80">
        <f>'Neo-K1'!L$31</f>
        <v>0.93480063032644056</v>
      </c>
      <c r="H10" s="80">
        <f>'Neo-K1'!N$31</f>
        <v>0.91812630149371532</v>
      </c>
      <c r="I10" s="80">
        <f>'Neo-K1'!P$31</f>
        <v>0.89965389413439645</v>
      </c>
      <c r="J10" s="80">
        <f>'Neo-K1'!R$31</f>
        <v>0.87895316124755041</v>
      </c>
      <c r="K10" s="80">
        <f>'Neo-K1'!T$31</f>
        <v>0.85543153220345425</v>
      </c>
      <c r="L10" s="80">
        <f>'Neo-K1'!V$31</f>
        <v>0.82826136345862544</v>
      </c>
      <c r="M10" s="80">
        <f>'Neo-K1'!X$31</f>
        <v>0.79628214512609585</v>
      </c>
      <c r="N10" s="80">
        <f>'Neo-K1'!Z$31</f>
        <v>0.75788938081632706</v>
      </c>
      <c r="O10" s="80">
        <f>'Neo-K1'!AB$31</f>
        <v>0.71096915920287274</v>
      </c>
      <c r="P10" s="80">
        <f>'Neo-K1'!AD$31</f>
        <v>0.65301719462545593</v>
      </c>
      <c r="Q10" s="80">
        <f>'Neo-K1'!AF$31</f>
        <v>0.58159390477498374</v>
      </c>
      <c r="R10" s="80">
        <f>'Neo-K1'!AH$31</f>
        <v>0.49500546805729079</v>
      </c>
      <c r="S10" s="80">
        <f>'Neo-K1'!AJ$31</f>
        <v>0.39272848410246769</v>
      </c>
      <c r="T10" s="80">
        <f>'Neo-K1'!AL$31</f>
        <v>0.27529245946362185</v>
      </c>
      <c r="U10" s="80">
        <f>'Neo-K1'!AN$31</f>
        <v>0.1438850271556637</v>
      </c>
      <c r="V10" s="80">
        <f>'Neo-K1'!AP$31</f>
        <v>0.11605603656196964</v>
      </c>
      <c r="W10" s="80">
        <f>'Neo-K1'!AR$31</f>
        <v>8.7740381280134755E-2</v>
      </c>
      <c r="X10" s="80">
        <f>'Neo-K1'!AT$31</f>
        <v>5.8950735544617924E-2</v>
      </c>
      <c r="Y10" s="80">
        <f>'Neo-K1'!AV$31</f>
        <v>2.9699741067582153E-2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99.377394688788868</v>
      </c>
      <c r="D18" s="80">
        <f t="shared" si="1"/>
        <v>98.72003391507684</v>
      </c>
      <c r="E18" s="80">
        <f t="shared" si="1"/>
        <v>98.023606120743707</v>
      </c>
      <c r="F18" s="80">
        <f t="shared" si="1"/>
        <v>97.282564313222736</v>
      </c>
      <c r="G18" s="80">
        <f t="shared" si="1"/>
        <v>96.489543990938728</v>
      </c>
      <c r="H18" s="80">
        <f t="shared" si="1"/>
        <v>95.634416620007826</v>
      </c>
      <c r="I18" s="80">
        <f t="shared" si="1"/>
        <v>94.702832340664116</v>
      </c>
      <c r="J18" s="80">
        <f t="shared" si="1"/>
        <v>93.673682819963659</v>
      </c>
      <c r="K18" s="80">
        <f t="shared" si="1"/>
        <v>92.514866177075604</v>
      </c>
      <c r="L18" s="80">
        <f t="shared" si="1"/>
        <v>91.175671966024836</v>
      </c>
      <c r="M18" s="80">
        <f t="shared" si="1"/>
        <v>89.573562336423407</v>
      </c>
      <c r="N18" s="80">
        <f t="shared" si="1"/>
        <v>87.573937854365255</v>
      </c>
      <c r="O18" s="80">
        <f t="shared" si="1"/>
        <v>84.972519089397622</v>
      </c>
      <c r="P18" s="80">
        <f t="shared" si="1"/>
        <v>81.514729825972793</v>
      </c>
      <c r="Q18" s="80">
        <f t="shared" si="1"/>
        <v>76.936993467262056</v>
      </c>
      <c r="R18" s="80">
        <f t="shared" si="1"/>
        <v>70.87211239613336</v>
      </c>
      <c r="S18" s="80">
        <f t="shared" si="1"/>
        <v>62.577440941320781</v>
      </c>
      <c r="T18" s="80">
        <f t="shared" si="1"/>
        <v>50.455523251495102</v>
      </c>
      <c r="U18" s="80">
        <f t="shared" si="1"/>
        <v>30.74226439531677</v>
      </c>
      <c r="V18" s="80" t="str">
        <f t="shared" si="1"/>
        <v/>
      </c>
      <c r="W18" s="80" t="str">
        <f t="shared" si="1"/>
        <v/>
      </c>
      <c r="X18" s="80" t="str">
        <f t="shared" si="1"/>
        <v/>
      </c>
      <c r="Y18" s="80" t="str">
        <f t="shared" si="1"/>
        <v/>
      </c>
      <c r="Z18" s="138"/>
      <c r="AA18" t="s">
        <v>89</v>
      </c>
      <c r="AB18" s="138">
        <f t="shared" ref="AB18:AB23" si="2">1-B18</f>
        <v>-99</v>
      </c>
      <c r="AC18" s="138">
        <f t="shared" ref="AC18:AC23" si="3">1-C18</f>
        <v>-98.377394688788868</v>
      </c>
      <c r="AD18" s="138">
        <f t="shared" ref="AD18:AD23" si="4">1-D18</f>
        <v>-97.72003391507684</v>
      </c>
      <c r="AE18" s="138">
        <f t="shared" ref="AE18:AE23" si="5">1-E18</f>
        <v>-97.023606120743707</v>
      </c>
      <c r="AF18" s="138">
        <f t="shared" ref="AF18:AF23" si="6">1-F18</f>
        <v>-96.282564313222736</v>
      </c>
      <c r="AG18" s="138">
        <f t="shared" ref="AG18:AG23" si="7">1-G18</f>
        <v>-95.489543990938728</v>
      </c>
      <c r="AH18" s="138">
        <f t="shared" ref="AH18:AH23" si="8">1-H18</f>
        <v>-94.634416620007826</v>
      </c>
      <c r="AI18" s="138">
        <f t="shared" ref="AI18:AI23" si="9">1-I18</f>
        <v>-93.702832340664116</v>
      </c>
      <c r="AJ18" s="138">
        <f t="shared" ref="AJ18:AJ23" si="10">1-J18</f>
        <v>-92.673682819963659</v>
      </c>
      <c r="AK18" s="138">
        <f t="shared" ref="AK18:AK23" si="11">1-K18</f>
        <v>-91.514866177075604</v>
      </c>
      <c r="AL18" s="138">
        <f t="shared" ref="AL18:AL23" si="12">1-L18</f>
        <v>-90.175671966024836</v>
      </c>
      <c r="AM18" s="138">
        <f t="shared" ref="AM18:AM23" si="13">1-M18</f>
        <v>-88.573562336423407</v>
      </c>
      <c r="AN18" s="138">
        <f t="shared" ref="AN18:AN23" si="14">1-N18</f>
        <v>-86.573937854365255</v>
      </c>
      <c r="AO18" s="138">
        <f t="shared" ref="AO18:AO23" si="15">1-O18</f>
        <v>-83.972519089397622</v>
      </c>
      <c r="AP18" s="138">
        <f t="shared" ref="AP18:AP23" si="16">1-P18</f>
        <v>-80.514729825972793</v>
      </c>
      <c r="AQ18" s="138">
        <f t="shared" ref="AQ18:AQ23" si="17">1-Q18</f>
        <v>-75.936993467262056</v>
      </c>
      <c r="AR18" s="138">
        <f t="shared" ref="AR18:AR23" si="18">1-R18</f>
        <v>-69.87211239613336</v>
      </c>
      <c r="AS18" s="138">
        <f t="shared" ref="AS18:AS23" si="19">1-S18</f>
        <v>-61.577440941320781</v>
      </c>
      <c r="AT18" s="138">
        <f t="shared" ref="AT18:AT23" si="20">1-T18</f>
        <v>-49.455523251495102</v>
      </c>
      <c r="AU18" s="138">
        <f t="shared" ref="AU18:AU23" si="21">1-U18</f>
        <v>-29.74226439531677</v>
      </c>
      <c r="AV18" s="138" t="e">
        <f t="shared" ref="AV18:AV23" si="22">1-V18</f>
        <v>#VALUE!</v>
      </c>
      <c r="AW18" s="138" t="e">
        <f t="shared" ref="AW18:AW23" si="23">1-W18</f>
        <v>#VALUE!</v>
      </c>
      <c r="AX18" s="138" t="e">
        <f t="shared" ref="AX18:AX23" si="24">1-X18</f>
        <v>#VALUE!</v>
      </c>
      <c r="AY18" s="138" t="e">
        <f t="shared" ref="AY18:AY23" si="25">1-Y18</f>
        <v>#VALUE!</v>
      </c>
    </row>
    <row r="19" spans="1:51" x14ac:dyDescent="0.2">
      <c r="A19" t="str">
        <f t="shared" si="0"/>
        <v>Kaldorian</v>
      </c>
      <c r="B19" s="80">
        <f t="shared" ref="B19:Y19" si="26">IF(B4&gt;0,100*B4,"")</f>
        <v>100</v>
      </c>
      <c r="C19" s="80">
        <f t="shared" si="26"/>
        <v>101.00615684299605</v>
      </c>
      <c r="D19" s="80">
        <f t="shared" si="26"/>
        <v>101.96913666835627</v>
      </c>
      <c r="E19" s="80">
        <f t="shared" si="26"/>
        <v>102.88853017727048</v>
      </c>
      <c r="F19" s="80">
        <f t="shared" si="26"/>
        <v>103.76498188359476</v>
      </c>
      <c r="G19" s="80">
        <f t="shared" si="26"/>
        <v>104.6009460975057</v>
      </c>
      <c r="H19" s="80">
        <f t="shared" si="26"/>
        <v>105.40203551623041</v>
      </c>
      <c r="I19" s="80">
        <f t="shared" si="26"/>
        <v>106.17950402786056</v>
      </c>
      <c r="J19" s="80">
        <f t="shared" si="26"/>
        <v>106.95495837406442</v>
      </c>
      <c r="K19" s="80">
        <f t="shared" si="26"/>
        <v>107.76885544448777</v>
      </c>
      <c r="L19" s="80">
        <f t="shared" si="26"/>
        <v>108.6921363573437</v>
      </c>
      <c r="M19" s="80">
        <f t="shared" si="26"/>
        <v>109.81841293302345</v>
      </c>
      <c r="N19" s="80">
        <f t="shared" si="26"/>
        <v>111.15572297563882</v>
      </c>
      <c r="O19" s="80">
        <f t="shared" si="26"/>
        <v>112.45056302445802</v>
      </c>
      <c r="P19" s="80">
        <f t="shared" si="26"/>
        <v>113.28128910289637</v>
      </c>
      <c r="Q19" s="80" t="str">
        <f t="shared" si="26"/>
        <v/>
      </c>
      <c r="R19" s="80" t="str">
        <f t="shared" si="26"/>
        <v/>
      </c>
      <c r="S19" s="80" t="str">
        <f t="shared" si="26"/>
        <v/>
      </c>
      <c r="T19" s="80" t="str">
        <f t="shared" si="26"/>
        <v/>
      </c>
      <c r="U19" s="80" t="str">
        <f t="shared" si="26"/>
        <v/>
      </c>
      <c r="V19" s="80" t="str">
        <f t="shared" si="26"/>
        <v/>
      </c>
      <c r="W19" s="80" t="str">
        <f t="shared" si="26"/>
        <v/>
      </c>
      <c r="X19" s="80" t="str">
        <f t="shared" si="26"/>
        <v/>
      </c>
      <c r="Y19" s="80" t="str">
        <f t="shared" si="26"/>
        <v/>
      </c>
      <c r="Z19" s="138"/>
      <c r="AA19" t="s">
        <v>90</v>
      </c>
      <c r="AB19" s="138">
        <f t="shared" si="2"/>
        <v>-99</v>
      </c>
      <c r="AC19" s="138">
        <f t="shared" si="3"/>
        <v>-100.00615684299605</v>
      </c>
      <c r="AD19" s="138">
        <f t="shared" si="4"/>
        <v>-100.96913666835627</v>
      </c>
      <c r="AE19" s="138">
        <f t="shared" si="5"/>
        <v>-101.88853017727048</v>
      </c>
      <c r="AF19" s="138">
        <f t="shared" si="6"/>
        <v>-102.76498188359476</v>
      </c>
      <c r="AG19" s="138">
        <f t="shared" si="7"/>
        <v>-103.6009460975057</v>
      </c>
      <c r="AH19" s="138">
        <f t="shared" si="8"/>
        <v>-104.40203551623041</v>
      </c>
      <c r="AI19" s="138">
        <f t="shared" si="9"/>
        <v>-105.17950402786056</v>
      </c>
      <c r="AJ19" s="138">
        <f t="shared" si="10"/>
        <v>-105.95495837406442</v>
      </c>
      <c r="AK19" s="138">
        <f t="shared" si="11"/>
        <v>-106.76885544448777</v>
      </c>
      <c r="AL19" s="138">
        <f t="shared" si="12"/>
        <v>-107.6921363573437</v>
      </c>
      <c r="AM19" s="138">
        <f t="shared" si="13"/>
        <v>-108.81841293302345</v>
      </c>
      <c r="AN19" s="138">
        <f t="shared" si="14"/>
        <v>-110.15572297563882</v>
      </c>
      <c r="AO19" s="138">
        <f t="shared" si="15"/>
        <v>-111.45056302445802</v>
      </c>
      <c r="AP19" s="138">
        <f t="shared" si="16"/>
        <v>-112.28128910289637</v>
      </c>
      <c r="AQ19" s="138" t="e">
        <f t="shared" si="17"/>
        <v>#VALUE!</v>
      </c>
      <c r="AR19" s="138" t="e">
        <f t="shared" si="18"/>
        <v>#VALUE!</v>
      </c>
      <c r="AS19" s="138" t="e">
        <f t="shared" si="19"/>
        <v>#VALUE!</v>
      </c>
      <c r="AT19" s="138" t="e">
        <f t="shared" si="20"/>
        <v>#VALUE!</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99.818190938924431</v>
      </c>
      <c r="D20" s="80">
        <f t="shared" si="27"/>
        <v>99.603632727806428</v>
      </c>
      <c r="E20" s="80">
        <f t="shared" si="27"/>
        <v>99.352305443789319</v>
      </c>
      <c r="F20" s="80">
        <f t="shared" si="27"/>
        <v>99.059229827538616</v>
      </c>
      <c r="G20" s="80">
        <f t="shared" si="27"/>
        <v>98.718119586097558</v>
      </c>
      <c r="H20" s="80">
        <f t="shared" si="27"/>
        <v>98.320756420999587</v>
      </c>
      <c r="I20" s="80">
        <f t="shared" si="27"/>
        <v>97.85613144210626</v>
      </c>
      <c r="J20" s="80">
        <f t="shared" si="27"/>
        <v>97.308878088694257</v>
      </c>
      <c r="K20" s="80">
        <f t="shared" si="27"/>
        <v>96.65676265296095</v>
      </c>
      <c r="L20" s="80">
        <f t="shared" si="27"/>
        <v>95.866118460338114</v>
      </c>
      <c r="M20" s="80">
        <f t="shared" si="27"/>
        <v>94.883780009191923</v>
      </c>
      <c r="N20" s="80">
        <f t="shared" si="27"/>
        <v>93.623961571583749</v>
      </c>
      <c r="O20" s="80">
        <f t="shared" si="27"/>
        <v>91.95286997769864</v>
      </c>
      <c r="P20" s="80">
        <f t="shared" si="27"/>
        <v>89.683039916740498</v>
      </c>
      <c r="Q20" s="80">
        <f t="shared" si="27"/>
        <v>86.56358766433506</v>
      </c>
      <c r="R20" s="80">
        <f t="shared" si="27"/>
        <v>82.193104530012846</v>
      </c>
      <c r="S20" s="80">
        <f t="shared" si="27"/>
        <v>75.798691799173923</v>
      </c>
      <c r="T20" s="80">
        <f t="shared" si="27"/>
        <v>65.682613047808744</v>
      </c>
      <c r="U20" s="80" t="str">
        <f t="shared" si="27"/>
        <v/>
      </c>
      <c r="V20" s="80" t="str">
        <f t="shared" si="27"/>
        <v/>
      </c>
      <c r="W20" s="80" t="str">
        <f t="shared" si="27"/>
        <v/>
      </c>
      <c r="X20" s="80" t="str">
        <f t="shared" si="27"/>
        <v/>
      </c>
      <c r="Y20" s="80" t="str">
        <f t="shared" si="27"/>
        <v/>
      </c>
      <c r="Z20" s="138"/>
      <c r="AA20" t="s">
        <v>93</v>
      </c>
      <c r="AB20" s="138">
        <f t="shared" si="2"/>
        <v>-99</v>
      </c>
      <c r="AC20" s="138">
        <f t="shared" si="3"/>
        <v>-98.818190938924431</v>
      </c>
      <c r="AD20" s="138">
        <f t="shared" si="4"/>
        <v>-98.603632727806428</v>
      </c>
      <c r="AE20" s="138">
        <f t="shared" si="5"/>
        <v>-98.352305443789319</v>
      </c>
      <c r="AF20" s="138">
        <f t="shared" si="6"/>
        <v>-98.059229827538616</v>
      </c>
      <c r="AG20" s="138">
        <f t="shared" si="7"/>
        <v>-97.718119586097558</v>
      </c>
      <c r="AH20" s="138">
        <f t="shared" si="8"/>
        <v>-97.320756420999587</v>
      </c>
      <c r="AI20" s="138">
        <f t="shared" si="9"/>
        <v>-96.85613144210626</v>
      </c>
      <c r="AJ20" s="138">
        <f t="shared" si="10"/>
        <v>-96.308878088694257</v>
      </c>
      <c r="AK20" s="138">
        <f t="shared" si="11"/>
        <v>-95.65676265296095</v>
      </c>
      <c r="AL20" s="138">
        <f t="shared" si="12"/>
        <v>-94.866118460338114</v>
      </c>
      <c r="AM20" s="138">
        <f t="shared" si="13"/>
        <v>-93.883780009191923</v>
      </c>
      <c r="AN20" s="138">
        <f t="shared" si="14"/>
        <v>-92.623961571583749</v>
      </c>
      <c r="AO20" s="138">
        <f t="shared" si="15"/>
        <v>-90.95286997769864</v>
      </c>
      <c r="AP20" s="138">
        <f t="shared" si="16"/>
        <v>-88.683039916740498</v>
      </c>
      <c r="AQ20" s="138">
        <f t="shared" si="17"/>
        <v>-85.56358766433506</v>
      </c>
      <c r="AR20" s="138">
        <f t="shared" si="18"/>
        <v>-81.193104530012846</v>
      </c>
      <c r="AS20" s="138">
        <f t="shared" si="19"/>
        <v>-74.798691799173923</v>
      </c>
      <c r="AT20" s="138">
        <f t="shared" si="20"/>
        <v>-64.682613047808744</v>
      </c>
      <c r="AU20" s="138"/>
      <c r="AV20" s="138"/>
      <c r="AW20" s="138"/>
      <c r="AX20" s="138"/>
      <c r="AY20" s="138"/>
    </row>
    <row r="21" spans="1:51" x14ac:dyDescent="0.2">
      <c r="A21" t="str">
        <f t="shared" si="0"/>
        <v>Keynes-Kaldor</v>
      </c>
      <c r="B21" s="80">
        <f t="shared" ref="B21:Y21" si="28">IF(B6&gt;0,100*B6,"")</f>
        <v>100</v>
      </c>
      <c r="C21" s="80">
        <f t="shared" si="28"/>
        <v>100.23124974449212</v>
      </c>
      <c r="D21" s="80">
        <f t="shared" si="28"/>
        <v>100.38005904275526</v>
      </c>
      <c r="E21" s="80">
        <f t="shared" si="28"/>
        <v>100.4409952584836</v>
      </c>
      <c r="F21" s="80">
        <f t="shared" si="28"/>
        <v>100.40694557389189</v>
      </c>
      <c r="G21" s="80">
        <f t="shared" si="28"/>
        <v>100.26874736203814</v>
      </c>
      <c r="H21" s="80">
        <f t="shared" si="28"/>
        <v>100.01438179448971</v>
      </c>
      <c r="I21" s="80">
        <f t="shared" si="28"/>
        <v>99.628062224766893</v>
      </c>
      <c r="J21" s="80">
        <f t="shared" si="28"/>
        <v>99.088436615280187</v>
      </c>
      <c r="K21" s="80">
        <f t="shared" si="28"/>
        <v>98.365812594401703</v>
      </c>
      <c r="L21" s="80">
        <f t="shared" si="28"/>
        <v>97.416999653868331</v>
      </c>
      <c r="M21" s="80">
        <f t="shared" si="28"/>
        <v>96.175438561051578</v>
      </c>
      <c r="N21" s="80">
        <f t="shared" si="28"/>
        <v>94.531522968770744</v>
      </c>
      <c r="O21" s="80">
        <f t="shared" si="28"/>
        <v>92.295101643203708</v>
      </c>
      <c r="P21" s="80">
        <f t="shared" si="28"/>
        <v>89.14260870030698</v>
      </c>
      <c r="Q21" s="80">
        <f t="shared" si="28"/>
        <v>84.574491299032132</v>
      </c>
      <c r="R21" s="80">
        <f t="shared" si="28"/>
        <v>77.855382909075487</v>
      </c>
      <c r="S21" s="80">
        <f t="shared" si="28"/>
        <v>67.824320569905709</v>
      </c>
      <c r="T21" s="80">
        <f t="shared" si="28"/>
        <v>52.576958339199152</v>
      </c>
      <c r="U21" s="80" t="str">
        <f t="shared" si="28"/>
        <v/>
      </c>
      <c r="V21" s="80" t="str">
        <f t="shared" si="28"/>
        <v/>
      </c>
      <c r="W21" s="80" t="str">
        <f t="shared" si="28"/>
        <v/>
      </c>
      <c r="X21" s="80" t="str">
        <f t="shared" si="28"/>
        <v/>
      </c>
      <c r="Y21" s="80" t="str">
        <f t="shared" si="28"/>
        <v/>
      </c>
      <c r="Z21" s="138"/>
      <c r="AA21" t="s">
        <v>95</v>
      </c>
      <c r="AB21" s="138">
        <f t="shared" si="2"/>
        <v>-99</v>
      </c>
      <c r="AC21" s="138">
        <f t="shared" si="3"/>
        <v>-99.231249744492118</v>
      </c>
      <c r="AD21" s="138">
        <f t="shared" si="4"/>
        <v>-99.380059042755263</v>
      </c>
      <c r="AE21" s="138">
        <f t="shared" si="5"/>
        <v>-99.440995258483596</v>
      </c>
      <c r="AF21" s="138">
        <f t="shared" si="6"/>
        <v>-99.406945573891889</v>
      </c>
      <c r="AG21" s="138">
        <f t="shared" si="7"/>
        <v>-99.268747362038141</v>
      </c>
      <c r="AH21" s="138">
        <f t="shared" si="8"/>
        <v>-99.014381794489708</v>
      </c>
      <c r="AI21" s="138">
        <f t="shared" si="9"/>
        <v>-98.628062224766893</v>
      </c>
      <c r="AJ21" s="138">
        <f t="shared" si="10"/>
        <v>-98.088436615280187</v>
      </c>
      <c r="AK21" s="138">
        <f t="shared" si="11"/>
        <v>-97.365812594401703</v>
      </c>
      <c r="AL21" s="138">
        <f t="shared" si="12"/>
        <v>-96.416999653868331</v>
      </c>
      <c r="AM21" s="138">
        <f t="shared" si="13"/>
        <v>-95.175438561051578</v>
      </c>
      <c r="AN21" s="138">
        <f t="shared" si="14"/>
        <v>-93.531522968770744</v>
      </c>
      <c r="AO21" s="138">
        <f t="shared" si="15"/>
        <v>-91.295101643203708</v>
      </c>
      <c r="AP21" s="138">
        <f t="shared" si="16"/>
        <v>-88.14260870030698</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101.1664907786441</v>
      </c>
      <c r="D22" s="80">
        <f t="shared" si="29"/>
        <v>102.29336239405502</v>
      </c>
      <c r="E22" s="80">
        <f t="shared" si="29"/>
        <v>103.37805373824199</v>
      </c>
      <c r="F22" s="80">
        <f t="shared" si="29"/>
        <v>104.41725952070524</v>
      </c>
      <c r="G22" s="80">
        <f t="shared" si="29"/>
        <v>105.40692630642488</v>
      </c>
      <c r="H22" s="80">
        <f t="shared" si="29"/>
        <v>106.34227948076386</v>
      </c>
      <c r="I22" s="80">
        <f t="shared" si="29"/>
        <v>107.21796865772461</v>
      </c>
      <c r="J22" s="80">
        <f t="shared" si="29"/>
        <v>108.02835502926891</v>
      </c>
      <c r="K22" s="80">
        <f t="shared" si="29"/>
        <v>108.76812258962562</v>
      </c>
      <c r="L22" s="80">
        <f t="shared" si="29"/>
        <v>109.43339453160903</v>
      </c>
      <c r="M22" s="80">
        <f t="shared" si="29"/>
        <v>110.02348667412578</v>
      </c>
      <c r="N22" s="80">
        <f t="shared" si="29"/>
        <v>110.54232652472213</v>
      </c>
      <c r="O22" s="80">
        <f t="shared" si="29"/>
        <v>110.99228412238445</v>
      </c>
      <c r="P22" s="80">
        <f t="shared" si="29"/>
        <v>111.32796288556681</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-100.1664907786441</v>
      </c>
      <c r="AD22" s="138">
        <f t="shared" si="4"/>
        <v>-101.29336239405502</v>
      </c>
      <c r="AE22" s="138">
        <f t="shared" si="5"/>
        <v>-102.37805373824199</v>
      </c>
      <c r="AF22" s="138">
        <f t="shared" si="6"/>
        <v>-103.41725952070524</v>
      </c>
      <c r="AG22" s="138">
        <f t="shared" si="7"/>
        <v>-104.40692630642488</v>
      </c>
      <c r="AH22" s="138">
        <f t="shared" si="8"/>
        <v>-105.34227948076386</v>
      </c>
      <c r="AI22" s="138">
        <f t="shared" si="9"/>
        <v>-106.21796865772461</v>
      </c>
      <c r="AJ22" s="138">
        <f t="shared" si="10"/>
        <v>-107.02835502926891</v>
      </c>
      <c r="AK22" s="138">
        <f t="shared" si="11"/>
        <v>-107.76812258962562</v>
      </c>
      <c r="AL22" s="138">
        <f t="shared" si="12"/>
        <v>-108.43339453160903</v>
      </c>
      <c r="AM22" s="138">
        <f t="shared" si="13"/>
        <v>-109.02348667412578</v>
      </c>
      <c r="AN22" s="138">
        <f t="shared" si="14"/>
        <v>-109.54232652472213</v>
      </c>
      <c r="AO22" s="138">
        <f t="shared" si="15"/>
        <v>-109.99228412238445</v>
      </c>
      <c r="AP22" s="138">
        <f t="shared" si="16"/>
        <v>-110.32796288556681</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97.933230222133957</v>
      </c>
      <c r="D23" s="80">
        <f t="shared" si="30"/>
        <v>95.661313767014192</v>
      </c>
      <c r="E23" s="80">
        <f t="shared" si="30"/>
        <v>93.162207560086713</v>
      </c>
      <c r="F23" s="80">
        <f t="shared" si="30"/>
        <v>90.411808178608737</v>
      </c>
      <c r="G23" s="80">
        <f t="shared" si="30"/>
        <v>87.384528223329582</v>
      </c>
      <c r="H23" s="80">
        <f t="shared" si="30"/>
        <v>84.054365082353257</v>
      </c>
      <c r="I23" s="80">
        <f t="shared" si="30"/>
        <v>80.397204287112416</v>
      </c>
      <c r="J23" s="80">
        <f t="shared" si="30"/>
        <v>76.395216291537977</v>
      </c>
      <c r="K23" s="80">
        <f t="shared" si="30"/>
        <v>72.045442167992974</v>
      </c>
      <c r="L23" s="80">
        <f t="shared" si="30"/>
        <v>67.377568186850496</v>
      </c>
      <c r="M23" s="80">
        <f t="shared" si="30"/>
        <v>62.496749216388658</v>
      </c>
      <c r="N23" s="80">
        <f t="shared" si="30"/>
        <v>57.705341325971972</v>
      </c>
      <c r="O23" s="80">
        <f t="shared" si="30"/>
        <v>53.839879185332563</v>
      </c>
      <c r="P23" s="80">
        <f t="shared" si="30"/>
        <v>52.066987701175158</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-96.933230222133957</v>
      </c>
      <c r="AD23" s="138">
        <f t="shared" si="4"/>
        <v>-94.661313767014192</v>
      </c>
      <c r="AE23" s="138">
        <f t="shared" si="5"/>
        <v>-92.162207560086713</v>
      </c>
      <c r="AF23" s="138">
        <f t="shared" si="6"/>
        <v>-89.411808178608737</v>
      </c>
      <c r="AG23" s="138">
        <f t="shared" si="7"/>
        <v>-86.384528223329582</v>
      </c>
      <c r="AH23" s="138">
        <f t="shared" si="8"/>
        <v>-83.054365082353257</v>
      </c>
      <c r="AI23" s="138">
        <f t="shared" si="9"/>
        <v>-79.397204287112416</v>
      </c>
      <c r="AJ23" s="138">
        <f t="shared" si="10"/>
        <v>-75.395216291537977</v>
      </c>
      <c r="AK23" s="138">
        <f t="shared" si="11"/>
        <v>-71.045442167992974</v>
      </c>
      <c r="AL23" s="138">
        <f t="shared" si="12"/>
        <v>-66.377568186850496</v>
      </c>
      <c r="AM23" s="138">
        <f t="shared" si="13"/>
        <v>-61.496749216388658</v>
      </c>
      <c r="AN23" s="138">
        <f t="shared" si="14"/>
        <v>-56.705341325971972</v>
      </c>
      <c r="AO23" s="138">
        <f t="shared" si="15"/>
        <v>-52.839879185332563</v>
      </c>
      <c r="AP23" s="138">
        <f t="shared" si="16"/>
        <v>-51.066987701175158</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98.64594707276558</v>
      </c>
      <c r="D24" s="80">
        <f t="shared" si="31"/>
        <v>97.181142204574826</v>
      </c>
      <c r="E24" s="80">
        <f t="shared" si="31"/>
        <v>95.588902809451113</v>
      </c>
      <c r="F24" s="80">
        <f t="shared" si="31"/>
        <v>93.848707865377449</v>
      </c>
      <c r="G24" s="80">
        <f t="shared" si="31"/>
        <v>91.934993061097572</v>
      </c>
      <c r="H24" s="80">
        <f t="shared" si="31"/>
        <v>89.815587179177612</v>
      </c>
      <c r="I24" s="80">
        <f t="shared" si="31"/>
        <v>87.449729414354991</v>
      </c>
      <c r="J24" s="80">
        <f t="shared" si="31"/>
        <v>84.785584840214838</v>
      </c>
      <c r="K24" s="80">
        <f t="shared" si="31"/>
        <v>81.75756953312505</v>
      </c>
      <c r="L24" s="80">
        <f t="shared" si="31"/>
        <v>78.284205809684266</v>
      </c>
      <c r="M24" s="80">
        <f t="shared" si="31"/>
        <v>74.268295453166488</v>
      </c>
      <c r="N24" s="80">
        <f t="shared" si="31"/>
        <v>69.603111969190081</v>
      </c>
      <c r="O24" s="80">
        <f t="shared" si="31"/>
        <v>64.189609273980125</v>
      </c>
      <c r="P24" s="80">
        <f t="shared" si="31"/>
        <v>57.967792109741211</v>
      </c>
      <c r="Q24" s="80">
        <f t="shared" si="31"/>
        <v>50.954447155818031</v>
      </c>
      <c r="R24" s="80">
        <f t="shared" si="31"/>
        <v>43.26194678033923</v>
      </c>
      <c r="S24" s="80">
        <f t="shared" si="31"/>
        <v>35.054398648128284</v>
      </c>
      <c r="T24" s="80">
        <f t="shared" si="31"/>
        <v>26.357426443249537</v>
      </c>
      <c r="U24" s="80">
        <f t="shared" si="31"/>
        <v>16.553216736518614</v>
      </c>
      <c r="V24" s="80">
        <f t="shared" si="31"/>
        <v>14.277254663242578</v>
      </c>
      <c r="W24" s="80">
        <f t="shared" si="31"/>
        <v>11.793065618254325</v>
      </c>
      <c r="X24" s="80">
        <f t="shared" si="31"/>
        <v>8.9874974977164381</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98.882044448081402</v>
      </c>
      <c r="D25" s="80">
        <f t="shared" si="32"/>
        <v>97.684074451193709</v>
      </c>
      <c r="E25" s="80">
        <f t="shared" si="32"/>
        <v>96.394656607524681</v>
      </c>
      <c r="F25" s="80">
        <f t="shared" si="32"/>
        <v>94.999433536421961</v>
      </c>
      <c r="G25" s="80">
        <f t="shared" si="32"/>
        <v>93.480063032644054</v>
      </c>
      <c r="H25" s="80">
        <f t="shared" si="32"/>
        <v>91.812630149371529</v>
      </c>
      <c r="I25" s="80">
        <f t="shared" si="32"/>
        <v>89.965389413439638</v>
      </c>
      <c r="J25" s="80">
        <f t="shared" si="32"/>
        <v>87.895316124755041</v>
      </c>
      <c r="K25" s="80">
        <f t="shared" si="32"/>
        <v>85.543153220345431</v>
      </c>
      <c r="L25" s="80">
        <f t="shared" si="32"/>
        <v>82.826136345862551</v>
      </c>
      <c r="M25" s="80">
        <f t="shared" si="32"/>
        <v>79.628214512609588</v>
      </c>
      <c r="N25" s="80">
        <f t="shared" si="32"/>
        <v>75.788938081632708</v>
      </c>
      <c r="O25" s="80">
        <f t="shared" si="32"/>
        <v>71.096915920287273</v>
      </c>
      <c r="P25" s="80">
        <f t="shared" si="32"/>
        <v>65.301719462545591</v>
      </c>
      <c r="Q25" s="80">
        <f t="shared" si="32"/>
        <v>58.159390477498377</v>
      </c>
      <c r="R25" s="80">
        <f t="shared" si="32"/>
        <v>49.50054680572908</v>
      </c>
      <c r="S25" s="80">
        <f t="shared" si="32"/>
        <v>39.272848410246766</v>
      </c>
      <c r="T25" s="80">
        <f t="shared" si="32"/>
        <v>27.529245946362185</v>
      </c>
      <c r="U25" s="80">
        <f t="shared" si="32"/>
        <v>14.38850271556637</v>
      </c>
      <c r="V25" s="80">
        <f t="shared" si="32"/>
        <v>11.605603656196964</v>
      </c>
      <c r="W25" s="80">
        <f t="shared" si="32"/>
        <v>8.7740381280134763</v>
      </c>
      <c r="X25" s="80">
        <f t="shared" si="32"/>
        <v>5.895073554461792</v>
      </c>
      <c r="Y25" s="80">
        <f t="shared" si="32"/>
        <v>2.9699741067582153</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4.7514111708893948E-2</v>
      </c>
      <c r="D34" s="80">
        <f>NeoClassical!F2</f>
        <v>9.2849929372285908E-2</v>
      </c>
      <c r="E34" s="80">
        <f>NeoClassical!H2</f>
        <v>0.14240911825658109</v>
      </c>
      <c r="F34" s="80">
        <f>NeoClassical!J2</f>
        <v>0.19703383782485873</v>
      </c>
      <c r="G34" s="80">
        <f>NeoClassical!L2</f>
        <v>0.2578838015505287</v>
      </c>
      <c r="H34" s="80">
        <f>NeoClassical!N2</f>
        <v>0.3266078129810055</v>
      </c>
      <c r="I34" s="80">
        <f>NeoClassical!P2</f>
        <v>0.40563537829390528</v>
      </c>
      <c r="J34" s="80">
        <f>NeoClassical!R2</f>
        <v>0.4986911346202329</v>
      </c>
      <c r="K34" s="80">
        <f>NeoClassical!T2</f>
        <v>0.61176120350277607</v>
      </c>
      <c r="L34" s="80">
        <f>NeoClassical!V2</f>
        <v>0.7549731529820628</v>
      </c>
      <c r="M34" s="80">
        <f>NeoClassical!X2</f>
        <v>0.94639967244475509</v>
      </c>
      <c r="N34" s="80">
        <f>NeoClassical!Z2</f>
        <v>1.2196538777103962</v>
      </c>
      <c r="O34" s="80">
        <f>NeoClassical!AB2</f>
        <v>1.6371495408409076</v>
      </c>
      <c r="P34" s="80">
        <f>NeoClassical!AD2</f>
        <v>2.3071801128627034</v>
      </c>
      <c r="Q34" s="80">
        <f>NeoClassical!AF2</f>
        <v>3.4105594141613755</v>
      </c>
      <c r="R34" s="80">
        <f>NeoClassical!AH2</f>
        <v>5.3039708821732559</v>
      </c>
      <c r="S34" s="80">
        <f>NeoClassical!AJ2</f>
        <v>8.8896204999959778</v>
      </c>
      <c r="T34" s="80">
        <f>NeoClassical!AL2</f>
        <v>17.097016313577868</v>
      </c>
      <c r="U34" s="80">
        <f>NeoClassical!AN2</f>
        <v>44.850321988963564</v>
      </c>
      <c r="V34" s="80">
        <f>NeoClassical!AP2</f>
        <v>0</v>
      </c>
      <c r="W34" s="80">
        <f>NeoClassical!AR2</f>
        <v>0</v>
      </c>
      <c r="X34" s="80">
        <f>NeoClassical!AT2</f>
        <v>0</v>
      </c>
      <c r="Y34" s="80">
        <f>NeoClassical!AV2</f>
        <v>0</v>
      </c>
      <c r="Z34" s="138"/>
    </row>
    <row r="35" spans="1:26" x14ac:dyDescent="0.2">
      <c r="A35" t="str">
        <f t="shared" ref="A35:A42" si="34">A4</f>
        <v>Kaldorian</v>
      </c>
      <c r="B35" s="80">
        <f>Kaldorian!B2</f>
        <v>5.7716594496607888E-3</v>
      </c>
      <c r="C35" s="80">
        <f>Kaldorian!D2</f>
        <v>5.0986595952439685E-2</v>
      </c>
      <c r="D35" s="80">
        <f>Kaldorian!F2</f>
        <v>0.1002024731226754</v>
      </c>
      <c r="E35" s="80">
        <f>Kaldorian!H2</f>
        <v>0.15441513320563208</v>
      </c>
      <c r="F35" s="80">
        <f>Kaldorian!J2</f>
        <v>0.21505920820076083</v>
      </c>
      <c r="G35" s="80">
        <f>Kaldorian!L2</f>
        <v>0.28426081021791094</v>
      </c>
      <c r="H35" s="80">
        <f>Kaldorian!N2</f>
        <v>0.36529133159058286</v>
      </c>
      <c r="I35" s="80">
        <f>Kaldorian!P2</f>
        <v>0.46343161747934436</v>
      </c>
      <c r="J35" s="80">
        <f>Kaldorian!R2</f>
        <v>0.58772450364103568</v>
      </c>
      <c r="K35" s="80">
        <f>Kaldorian!T2</f>
        <v>0.75472753268333159</v>
      </c>
      <c r="L35" s="80">
        <f>Kaldorian!V2</f>
        <v>0.99663154414350219</v>
      </c>
      <c r="M35" s="80">
        <f>Kaldorian!X2</f>
        <v>1.376307064075603</v>
      </c>
      <c r="N35" s="80">
        <f>Kaldorian!Z2</f>
        <v>2.0012418218519104</v>
      </c>
      <c r="O35" s="80">
        <f>Kaldorian!AB2</f>
        <v>3.0218989434079977</v>
      </c>
      <c r="P35" s="80">
        <f>Kaldorian!AD2</f>
        <v>4.6791262984123501</v>
      </c>
      <c r="Q35" s="80">
        <f>Kaldorian!AF2</f>
        <v>0</v>
      </c>
      <c r="R35" s="80">
        <f>Kaldorian!AH2</f>
        <v>0</v>
      </c>
      <c r="S35" s="80">
        <f>Kaldorian!AJ2</f>
        <v>0</v>
      </c>
      <c r="T35" s="80">
        <f>Kaldorian!AL2</f>
        <v>0</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4.8970019869446935E-2</v>
      </c>
      <c r="D36" s="80">
        <f>Johansen!F2</f>
        <v>9.5868648270435702E-2</v>
      </c>
      <c r="E36" s="80">
        <f>Johansen!H2</f>
        <v>0.14712455553098699</v>
      </c>
      <c r="F36" s="80">
        <f>Johansen!J2</f>
        <v>0.20362295890514617</v>
      </c>
      <c r="G36" s="80">
        <f>Johansen!L2</f>
        <v>0.26659261976297471</v>
      </c>
      <c r="H36" s="80">
        <f>Johansen!N2</f>
        <v>0.3377952932763828</v>
      </c>
      <c r="I36" s="80">
        <f>Johansen!P2</f>
        <v>0.41985082382356337</v>
      </c>
      <c r="J36" s="80">
        <f>Johansen!R2</f>
        <v>0.5168160557209357</v>
      </c>
      <c r="K36" s="80">
        <f>Johansen!T2</f>
        <v>0.63528604275816969</v>
      </c>
      <c r="L36" s="80">
        <f>Johansen!V2</f>
        <v>0.78656505983119129</v>
      </c>
      <c r="M36" s="80">
        <f>Johansen!X2</f>
        <v>0.99110228162631941</v>
      </c>
      <c r="N36" s="80">
        <f>Johansen!Z2</f>
        <v>1.2873199724269535</v>
      </c>
      <c r="O36" s="80">
        <f>Johansen!AB2</f>
        <v>1.7463931404332922</v>
      </c>
      <c r="P36" s="80">
        <f>Johansen!AD2</f>
        <v>2.4895190103191429</v>
      </c>
      <c r="Q36" s="80">
        <f>Johansen!AF2</f>
        <v>3.7181263922498613</v>
      </c>
      <c r="R36" s="80">
        <f>Johansen!AH2</f>
        <v>5.8402470547986063</v>
      </c>
      <c r="S36" s="80">
        <f>Johansen!AJ2</f>
        <v>9.9058733620442467</v>
      </c>
      <c r="T36" s="80">
        <f>Johansen!AL2</f>
        <v>19.352457508333249</v>
      </c>
      <c r="U36" s="80">
        <f>Johansen!AN2</f>
        <v>0</v>
      </c>
      <c r="V36" s="80">
        <f>Johansen!AP2</f>
        <v>0</v>
      </c>
      <c r="W36" s="80">
        <f>Johansen!AR2</f>
        <v>0</v>
      </c>
      <c r="X36" s="80">
        <f>Johansen!AT2</f>
        <v>0</v>
      </c>
      <c r="Y36" s="80">
        <f>Johansen!AV2</f>
        <v>0</v>
      </c>
      <c r="Z36" s="138"/>
    </row>
    <row r="37" spans="1:26" x14ac:dyDescent="0.2">
      <c r="A37" t="str">
        <f t="shared" si="34"/>
        <v>Keynes-Kaldor</v>
      </c>
      <c r="B37" s="80">
        <f>'Keynes-K'!B2</f>
        <v>5.7716594496607888E-3</v>
      </c>
      <c r="C37" s="80">
        <f>'Keynes-K'!D2</f>
        <v>5.3301865652542302E-2</v>
      </c>
      <c r="D37" s="80">
        <f>'Keynes-K'!F2</f>
        <v>0.10450067379306745</v>
      </c>
      <c r="E37" s="80">
        <f>'Keynes-K'!H2</f>
        <v>0.16003759756056501</v>
      </c>
      <c r="F37" s="80">
        <f>'Keynes-K'!J2</f>
        <v>0.2208183838164301</v>
      </c>
      <c r="G37" s="80">
        <f>'Keynes-K'!L2</f>
        <v>0.28810316704423233</v>
      </c>
      <c r="H37" s="80">
        <f>'Keynes-K'!N2</f>
        <v>0.36369647469107902</v>
      </c>
      <c r="I37" s="80">
        <f>'Keynes-K'!P2</f>
        <v>0.45026986616641701</v>
      </c>
      <c r="J37" s="80">
        <f>'Keynes-K'!R2</f>
        <v>0.5519251814337699</v>
      </c>
      <c r="K37" s="80">
        <f>'Keynes-K'!T2</f>
        <v>0.67523951792995618</v>
      </c>
      <c r="L37" s="80">
        <f>'Keynes-K'!V2</f>
        <v>0.83125500281749987</v>
      </c>
      <c r="M37" s="80">
        <f>'Keynes-K'!X2</f>
        <v>1.0393432376421339</v>
      </c>
      <c r="N37" s="80">
        <f>'Keynes-K'!Z2</f>
        <v>1.3342623505223261</v>
      </c>
      <c r="O37" s="80">
        <f>'Keynes-K'!AB2</f>
        <v>1.7760326165786215</v>
      </c>
      <c r="P37" s="80">
        <f>'Keynes-K'!AD2</f>
        <v>2.4556839402255162</v>
      </c>
      <c r="Q37" s="80">
        <f>'Keynes-K'!AF2</f>
        <v>3.4954284940249991</v>
      </c>
      <c r="R37" s="80">
        <f>'Keynes-K'!AH2</f>
        <v>5.0729387808543711</v>
      </c>
      <c r="S37" s="80">
        <f>'Keynes-K'!AJ2</f>
        <v>7.4656582715713009</v>
      </c>
      <c r="T37" s="80">
        <f>'Keynes-K'!AL2</f>
        <v>10.955046530711257</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6.1523794427630472E-2</v>
      </c>
      <c r="D38" s="80">
        <f>'Keynes-M'!F2</f>
        <v>0.12286646391601222</v>
      </c>
      <c r="E38" s="80">
        <f>'Keynes-M'!H2</f>
        <v>0.19082706635634183</v>
      </c>
      <c r="F38" s="80">
        <f>'Keynes-M'!J2</f>
        <v>0.26674945685701446</v>
      </c>
      <c r="G38" s="80">
        <f>'Keynes-M'!L2</f>
        <v>0.35243922216532536</v>
      </c>
      <c r="H38" s="80">
        <f>'Keynes-M'!N2</f>
        <v>0.45039681041417007</v>
      </c>
      <c r="I38" s="80">
        <f>'Keynes-M'!P2</f>
        <v>0.56420433350983312</v>
      </c>
      <c r="J38" s="80">
        <f>'Keynes-M'!R2</f>
        <v>0.69919712522062705</v>
      </c>
      <c r="K38" s="80">
        <f>'Keynes-M'!T2</f>
        <v>0.86368887874841127</v>
      </c>
      <c r="L38" s="80">
        <f>'Keynes-M'!V2</f>
        <v>1.0713410800859129</v>
      </c>
      <c r="M38" s="80">
        <f>'Keynes-M'!X2</f>
        <v>1.346051370381814</v>
      </c>
      <c r="N38" s="80">
        <f>'Keynes-M'!Z2</f>
        <v>1.7327289508778689</v>
      </c>
      <c r="O38" s="80">
        <f>'Keynes-M'!AB2</f>
        <v>2.3223251545078041</v>
      </c>
      <c r="P38" s="80">
        <f>'Keynes-M'!AD2</f>
        <v>3.3103559860164053</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3.2700247246584303E-2</v>
      </c>
      <c r="D39" s="80">
        <f>Keynesian!F2</f>
        <v>6.0770453461181692E-2</v>
      </c>
      <c r="E39" s="80">
        <f>Keynesian!H2</f>
        <v>8.9980309539193962E-2</v>
      </c>
      <c r="F39" s="80">
        <f>Keynesian!J2</f>
        <v>0.12029589031905873</v>
      </c>
      <c r="G39" s="80">
        <f>Keynesian!L2</f>
        <v>0.15163824321778269</v>
      </c>
      <c r="H39" s="80">
        <f>Keynesian!N2</f>
        <v>0.18386361198041745</v>
      </c>
      <c r="I39" s="80">
        <f>Keynesian!P2</f>
        <v>0.21674015067427413</v>
      </c>
      <c r="J39" s="80">
        <f>Keynesian!R2</f>
        <v>0.24991870569496261</v>
      </c>
      <c r="K39" s="80">
        <f>Keynesian!T2</f>
        <v>0.28289901872395939</v>
      </c>
      <c r="L39" s="80">
        <f>Keynesian!V2</f>
        <v>0.31498714385678389</v>
      </c>
      <c r="M39" s="80">
        <f>Keynesian!X2</f>
        <v>0.34523655566153816</v>
      </c>
      <c r="N39" s="80">
        <f>Keynesian!Z2</f>
        <v>0.37229202933472877</v>
      </c>
      <c r="O39" s="80">
        <f>Keynesian!AB2</f>
        <v>0.39406865407931663</v>
      </c>
      <c r="P39" s="80">
        <f>Keynesian!AD2</f>
        <v>0.40881535512895384</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3.9026796831007619E-2</v>
      </c>
      <c r="D40" s="80">
        <f>'Neo-K2'!F2</f>
        <v>7.4352768910207409E-2</v>
      </c>
      <c r="E40" s="80">
        <f>'Neo-K2'!H2</f>
        <v>0.1119887396177689</v>
      </c>
      <c r="F40" s="80">
        <f>'Neo-K2'!J2</f>
        <v>0.15222913848519373</v>
      </c>
      <c r="G40" s="80">
        <f>'Neo-K2'!L2</f>
        <v>0.19544106561300115</v>
      </c>
      <c r="H40" s="80">
        <f>'Neo-K2'!N2</f>
        <v>0.24208813993010339</v>
      </c>
      <c r="I40" s="80">
        <f>'Neo-K2'!P2</f>
        <v>0.29276360595962542</v>
      </c>
      <c r="J40" s="80">
        <f>'Neo-K2'!R2</f>
        <v>0.34823581169705192</v>
      </c>
      <c r="K40" s="80">
        <f>'Neo-K2'!T2</f>
        <v>0.40951708930420155</v>
      </c>
      <c r="L40" s="80">
        <f>'Neo-K2'!V2</f>
        <v>0.47797733991469471</v>
      </c>
      <c r="M40" s="80">
        <f>'Neo-K2'!X2</f>
        <v>0.55556050681280966</v>
      </c>
      <c r="N40" s="80">
        <f>'Neo-K2'!Z2</f>
        <v>0.64527347345874986</v>
      </c>
      <c r="O40" s="80">
        <f>'Neo-K2'!AB2</f>
        <v>0.7524011991295565</v>
      </c>
      <c r="P40" s="80">
        <f>'Neo-K2'!AD2</f>
        <v>0.88764198147362838</v>
      </c>
      <c r="Q40" s="80">
        <f>'Neo-K2'!AF2</f>
        <v>1.0750158813265609</v>
      </c>
      <c r="R40" s="80">
        <f>'Neo-K2'!AH2</f>
        <v>1.3712031675036946</v>
      </c>
      <c r="S40" s="80">
        <f>'Neo-K2'!AJ2</f>
        <v>1.9142556226222847</v>
      </c>
      <c r="T40" s="80">
        <f>'Neo-K2'!AL2</f>
        <v>3.0890202561517297</v>
      </c>
      <c r="U40" s="80">
        <f>'Neo-K2'!AN2</f>
        <v>6.6230569229361889</v>
      </c>
      <c r="V40" s="80">
        <f>'Neo-K2'!AP2</f>
        <v>8.3153867575230453</v>
      </c>
      <c r="W40" s="80">
        <f>'Neo-K2'!AR2</f>
        <v>11.021216696689862</v>
      </c>
      <c r="X40" s="80">
        <f>'Neo-K2'!AT2</f>
        <v>16.067136217929136</v>
      </c>
      <c r="Y40" s="80">
        <f>'Neo-K2'!AV2</f>
        <v>0</v>
      </c>
    </row>
    <row r="41" spans="1:26" x14ac:dyDescent="0.2">
      <c r="A41" t="str">
        <f t="shared" si="34"/>
        <v>Neo-K1</v>
      </c>
      <c r="B41" s="80">
        <f>'Neo-K1'!B2</f>
        <v>5.7716594496607888E-3</v>
      </c>
      <c r="C41" s="80">
        <f>'Neo-K1'!D2</f>
        <v>4.2068191372939129E-2</v>
      </c>
      <c r="D41" s="80">
        <f>'Neo-K1'!F2</f>
        <v>8.1097968658784311E-2</v>
      </c>
      <c r="E41" s="80">
        <f>'Neo-K1'!H2</f>
        <v>0.12326623401372043</v>
      </c>
      <c r="F41" s="80">
        <f>'Neo-K1'!J2</f>
        <v>0.16908747464175358</v>
      </c>
      <c r="G41" s="80">
        <f>'Neo-K1'!L2</f>
        <v>0.21922748224940952</v>
      </c>
      <c r="H41" s="80">
        <f>'Neo-K1'!N2</f>
        <v>0.27456249496586699</v>
      </c>
      <c r="I41" s="80">
        <f>'Neo-K1'!P2</f>
        <v>0.33626696034103754</v>
      </c>
      <c r="J41" s="80">
        <f>'Neo-K1'!R2</f>
        <v>0.40593853497195431</v>
      </c>
      <c r="K41" s="80">
        <f>'Neo-K1'!T2</f>
        <v>0.48578455612242322</v>
      </c>
      <c r="L41" s="80">
        <f>'Neo-K1'!V2</f>
        <v>0.57887627563127031</v>
      </c>
      <c r="M41" s="80">
        <f>'Neo-K1'!X2</f>
        <v>0.68947132757939855</v>
      </c>
      <c r="N41" s="80">
        <f>'Neo-K1'!Z2</f>
        <v>0.82330496895646599</v>
      </c>
      <c r="O41" s="80">
        <f>'Neo-K1'!AB2</f>
        <v>0.9875282658549166</v>
      </c>
      <c r="P41" s="80">
        <f>'Neo-K1'!AD2</f>
        <v>1.1896336819397086</v>
      </c>
      <c r="Q41" s="80">
        <f>'Neo-K1'!AF2</f>
        <v>1.4348110991719523</v>
      </c>
      <c r="R41" s="80">
        <f>'Neo-K1'!AH2</f>
        <v>1.7227281506372705</v>
      </c>
      <c r="S41" s="80">
        <f>'Neo-K1'!AJ2</f>
        <v>2.0464864719866038</v>
      </c>
      <c r="T41" s="80">
        <f>'Neo-K1'!AL2</f>
        <v>2.3949299606067216</v>
      </c>
      <c r="U41" s="80">
        <f>'Neo-K1'!AN2</f>
        <v>2.756154169471619</v>
      </c>
      <c r="V41" s="80">
        <f>'Neo-K1'!AP2</f>
        <v>2.8289891724615819</v>
      </c>
      <c r="W41" s="80">
        <f>'Neo-K1'!AR2</f>
        <v>2.9018482909044336</v>
      </c>
      <c r="X41" s="80">
        <f>'Neo-K1'!AT2</f>
        <v>2.974666436556701</v>
      </c>
      <c r="Y41" s="80">
        <f>'Neo-K1'!AV2</f>
        <v>3.0473829531073555</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0.56058995943839207</v>
      </c>
      <c r="C49" s="195">
        <f>NeoClassical!D$43</f>
        <v>0.5654958228728465</v>
      </c>
      <c r="D49" s="195">
        <f>NeoClassical!F$43</f>
        <v>0.56376437232647048</v>
      </c>
      <c r="E49" s="195">
        <f>NeoClassical!H$43</f>
        <v>0.56200598994084894</v>
      </c>
      <c r="F49" s="195">
        <f>NeoClassical!J$43</f>
        <v>0.56022174366481237</v>
      </c>
      <c r="G49" s="195">
        <f>NeoClassical!L$43</f>
        <v>0.55841466433446807</v>
      </c>
      <c r="H49" s="195">
        <f>NeoClassical!N$43</f>
        <v>0.55659090157193281</v>
      </c>
      <c r="I49" s="195">
        <f>NeoClassical!P$43</f>
        <v>0.554761136527818</v>
      </c>
      <c r="J49" s="195">
        <f>NeoClassical!R$43</f>
        <v>0.55294314691400837</v>
      </c>
      <c r="K49" s="195">
        <f>NeoClassical!T$43</f>
        <v>0.55116561223344052</v>
      </c>
      <c r="L49" s="195">
        <f>NeoClassical!V$43</f>
        <v>0.54947432335420698</v>
      </c>
      <c r="M49" s="195">
        <f>NeoClassical!X$43</f>
        <v>0.54794083533785165</v>
      </c>
      <c r="N49" s="195">
        <f>NeoClassical!Z$43</f>
        <v>0.54666867420320187</v>
      </c>
      <c r="O49" s="195">
        <f>NeoClassical!AB$43</f>
        <v>0.54577367049029546</v>
      </c>
      <c r="P49" s="195">
        <f>NeoClassical!AD$43</f>
        <v>0.54529824338120447</v>
      </c>
      <c r="Q49" s="195">
        <f>NeoClassical!AF$43</f>
        <v>0.54512847985658475</v>
      </c>
      <c r="R49" s="195">
        <f>NeoClassical!AH$43</f>
        <v>0.54509054357313758</v>
      </c>
      <c r="S49" s="195">
        <f>NeoClassical!AJ$43</f>
        <v>0.54508567652874496</v>
      </c>
      <c r="T49" s="195">
        <f>NeoClassical!AL$43</f>
        <v>0.54508539063742611</v>
      </c>
      <c r="U49" s="195">
        <f>NeoClassical!AN$43</f>
        <v>0.54508538613953605</v>
      </c>
      <c r="V49" s="195" t="e">
        <f>NeoClassical!AP$43</f>
        <v>#DIV/0!</v>
      </c>
      <c r="W49" s="195" t="e">
        <f>NeoClassical!AR$43</f>
        <v>#DIV/0!</v>
      </c>
      <c r="X49" s="195" t="e">
        <f>NeoClassical!AT$43</f>
        <v>#DIV/0!</v>
      </c>
      <c r="Y49" s="195" t="e">
        <f>NeoClassical!AV$43</f>
        <v>#DIV/0!</v>
      </c>
      <c r="Z49" s="138"/>
    </row>
    <row r="50" spans="1:26" x14ac:dyDescent="0.2">
      <c r="A50" t="str">
        <f t="shared" si="35"/>
        <v>Kaldorian</v>
      </c>
      <c r="B50" s="195">
        <f>Kaldorian!B$43</f>
        <v>0.56058995943839207</v>
      </c>
      <c r="C50" s="195">
        <f>Kaldorian!D$43</f>
        <v>0.57842539074215349</v>
      </c>
      <c r="D50" s="195">
        <f>Kaldorian!F$43</f>
        <v>0.58968107700777239</v>
      </c>
      <c r="E50" s="195">
        <f>Kaldorian!H$43</f>
        <v>0.6010370423594924</v>
      </c>
      <c r="F50" s="195">
        <f>Kaldorian!J$43</f>
        <v>0.61260251094490692</v>
      </c>
      <c r="G50" s="195">
        <f>Kaldorian!L$43</f>
        <v>0.62454836112870393</v>
      </c>
      <c r="H50" s="195">
        <f>Kaldorian!N$43</f>
        <v>0.6371451428705156</v>
      </c>
      <c r="I50" s="195">
        <f>Kaldorian!P$43</f>
        <v>0.65083257427248542</v>
      </c>
      <c r="J50" s="195">
        <f>Kaldorian!R$43</f>
        <v>0.66635200942877348</v>
      </c>
      <c r="K50" s="195">
        <f>Kaldorian!T$43</f>
        <v>0.68500083730587447</v>
      </c>
      <c r="L50" s="195">
        <f>Kaldorian!V$43</f>
        <v>0.7090741343626894</v>
      </c>
      <c r="M50" s="195">
        <f>Kaldorian!X$43</f>
        <v>0.74225486365059989</v>
      </c>
      <c r="N50" s="195">
        <f>Kaldorian!Z$43</f>
        <v>0.78852948339088735</v>
      </c>
      <c r="O50" s="195">
        <f>Kaldorian!AB$43</f>
        <v>0.84942250638094574</v>
      </c>
      <c r="P50" s="195">
        <f>Kaldorian!AD$43</f>
        <v>0.92576745044477049</v>
      </c>
      <c r="Q50" s="195" t="e">
        <f>Kaldorian!AF$43</f>
        <v>#DIV/0!</v>
      </c>
      <c r="R50" s="195" t="e">
        <f>Kaldorian!AH$43</f>
        <v>#DIV/0!</v>
      </c>
      <c r="S50" s="195" t="e">
        <f>Kaldorian!AJ$43</f>
        <v>#DIV/0!</v>
      </c>
      <c r="T50" s="195" t="e">
        <f>Kaldorian!AL$43</f>
        <v>#DIV/0!</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0.56058995943839207</v>
      </c>
      <c r="C51" s="195">
        <f>Johansen!D$43</f>
        <v>0.56547475779779111</v>
      </c>
      <c r="D51" s="195">
        <f>Johansen!F$43</f>
        <v>0.56372053685005563</v>
      </c>
      <c r="E51" s="195">
        <f>Johansen!H$43</f>
        <v>0.5619377736842982</v>
      </c>
      <c r="F51" s="195">
        <f>Johansen!J$43</f>
        <v>0.56012786598384123</v>
      </c>
      <c r="G51" s="195">
        <f>Johansen!L$43</f>
        <v>0.55829436549220124</v>
      </c>
      <c r="H51" s="195">
        <f>Johansen!N$43</f>
        <v>0.55644424140215909</v>
      </c>
      <c r="I51" s="195">
        <f>Johansen!P$43</f>
        <v>0.5545894000211391</v>
      </c>
      <c r="J51" s="195">
        <f>Johansen!R$43</f>
        <v>0.5527494698355665</v>
      </c>
      <c r="K51" s="195">
        <f>Johansen!T$43</f>
        <v>0.55095595221265847</v>
      </c>
      <c r="L51" s="195">
        <f>Johansen!V$43</f>
        <v>0.54925902290341844</v>
      </c>
      <c r="M51" s="195">
        <f>Johansen!X$43</f>
        <v>0.54773678449232599</v>
      </c>
      <c r="N51" s="195">
        <f>Johansen!Z$43</f>
        <v>0.5465003638045185</v>
      </c>
      <c r="O51" s="195">
        <f>Johansen!AB$43</f>
        <v>0.54566533144933493</v>
      </c>
      <c r="P51" s="195">
        <f>Johansen!AD$43</f>
        <v>0.54525110002204291</v>
      </c>
      <c r="Q51" s="195">
        <f>Johansen!AF$43</f>
        <v>0.54511597523139665</v>
      </c>
      <c r="R51" s="195">
        <f>Johansen!AH$43</f>
        <v>0.54508867462235699</v>
      </c>
      <c r="S51" s="195">
        <f>Johansen!AJ$43</f>
        <v>0.54508554804021203</v>
      </c>
      <c r="T51" s="195">
        <f>Johansen!AL$43</f>
        <v>0.54508538824182307</v>
      </c>
      <c r="U51" s="195" t="e">
        <f>Johansen!AN$43</f>
        <v>#DIV/0!</v>
      </c>
      <c r="V51" s="195" t="e">
        <f>Johansen!AP$43</f>
        <v>#DIV/0!</v>
      </c>
      <c r="W51" s="195" t="e">
        <f>Johansen!AR$43</f>
        <v>#DIV/0!</v>
      </c>
      <c r="X51" s="195" t="e">
        <f>Johansen!AT$43</f>
        <v>#DIV/0!</v>
      </c>
      <c r="Y51" s="195" t="e">
        <f>Johansen!AV$43</f>
        <v>#DIV/0!</v>
      </c>
      <c r="Z51" s="138"/>
    </row>
    <row r="52" spans="1:26" x14ac:dyDescent="0.2">
      <c r="A52" t="str">
        <f t="shared" si="35"/>
        <v>Keynes-Kaldor</v>
      </c>
      <c r="B52" s="195">
        <f>'Keynes-K'!B$43</f>
        <v>0.56058995943839207</v>
      </c>
      <c r="C52" s="195">
        <f>'Keynes-K'!D$43</f>
        <v>0.56184511894578437</v>
      </c>
      <c r="D52" s="195">
        <f>'Keynes-K'!F$43</f>
        <v>0.55644165125881961</v>
      </c>
      <c r="E52" s="195">
        <f>'Keynes-K'!H$43</f>
        <v>0.55097234562110808</v>
      </c>
      <c r="F52" s="195">
        <f>'Keynes-K'!J$43</f>
        <v>0.54541110599427345</v>
      </c>
      <c r="G52" s="195">
        <f>'Keynes-K'!L$43</f>
        <v>0.53971817583067672</v>
      </c>
      <c r="H52" s="195">
        <f>'Keynes-K'!N$43</f>
        <v>0.53383203976776383</v>
      </c>
      <c r="I52" s="195">
        <f>'Keynes-K'!P$43</f>
        <v>0.52765524624386173</v>
      </c>
      <c r="J52" s="195">
        <f>'Keynes-K'!R$43</f>
        <v>0.52103072527185501</v>
      </c>
      <c r="K52" s="195">
        <f>'Keynes-K'!T$43</f>
        <v>0.51369937957315848</v>
      </c>
      <c r="L52" s="195">
        <f>'Keynes-K'!V$43</f>
        <v>0.50522334060628682</v>
      </c>
      <c r="M52" s="195">
        <f>'Keynes-K'!X$43</f>
        <v>0.4948514006048243</v>
      </c>
      <c r="N52" s="195">
        <f>'Keynes-K'!Z$43</f>
        <v>0.48132066893025743</v>
      </c>
      <c r="O52" s="195">
        <f>'Keynes-K'!AB$43</f>
        <v>0.46273740172419187</v>
      </c>
      <c r="P52" s="195">
        <f>'Keynes-K'!AD$43</f>
        <v>0.43694440792407868</v>
      </c>
      <c r="Q52" s="195">
        <f>'Keynes-K'!AF$43</f>
        <v>0.40212704994583393</v>
      </c>
      <c r="R52" s="195">
        <f>'Keynes-K'!AH$43</f>
        <v>0.35614344702101997</v>
      </c>
      <c r="S52" s="195">
        <f>'Keynes-K'!AJ$43</f>
        <v>0.29526056346028834</v>
      </c>
      <c r="T52" s="195">
        <f>'Keynes-K'!AL$43</f>
        <v>0.21618957972219266</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0.58122509399786282</v>
      </c>
      <c r="D53" s="195">
        <f>'Keynes-M'!F$43</f>
        <v>0.59560144629563205</v>
      </c>
      <c r="E53" s="195">
        <f>'Keynes-M'!H$43</f>
        <v>0.61040733353284404</v>
      </c>
      <c r="F53" s="195">
        <f>'Keynes-M'!J$43</f>
        <v>0.62573916818480846</v>
      </c>
      <c r="G53" s="195">
        <f>'Keynes-M'!L$43</f>
        <v>0.64172167231016197</v>
      </c>
      <c r="H53" s="195">
        <f>'Keynes-M'!N$43</f>
        <v>0.65852285627300833</v>
      </c>
      <c r="I53" s="195">
        <f>'Keynes-M'!P$43</f>
        <v>0.67637854810491682</v>
      </c>
      <c r="J53" s="195">
        <f>'Keynes-M'!R$43</f>
        <v>0.69563322576646858</v>
      </c>
      <c r="K53" s="195">
        <f>'Keynes-M'!T$43</f>
        <v>0.7168109261779525</v>
      </c>
      <c r="L53" s="195">
        <f>'Keynes-M'!V$43</f>
        <v>0.74074260994761687</v>
      </c>
      <c r="M53" s="195">
        <f>'Keynes-M'!X$43</f>
        <v>0.76880247976086424</v>
      </c>
      <c r="N53" s="195">
        <f>'Keynes-M'!Z$43</f>
        <v>0.80335111873297527</v>
      </c>
      <c r="O53" s="195">
        <f>'Keynes-M'!AB$43</f>
        <v>0.84852019195677397</v>
      </c>
      <c r="P53" s="195">
        <f>'Keynes-M'!AD$43</f>
        <v>0.91128183491885761</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0.56058995943839207</v>
      </c>
      <c r="C54" s="195">
        <f>Keynesian!D$43</f>
        <v>0.57404845550530847</v>
      </c>
      <c r="D54" s="195">
        <f>Keynesian!F$43</f>
        <v>0.58088226399618725</v>
      </c>
      <c r="E54" s="195">
        <f>Keynesian!H$43</f>
        <v>0.58768671634937653</v>
      </c>
      <c r="F54" s="195">
        <f>Keynesian!J$43</f>
        <v>0.59444096331295848</v>
      </c>
      <c r="G54" s="195">
        <f>Keynesian!L$43</f>
        <v>0.60111856961673393</v>
      </c>
      <c r="H54" s="195">
        <f>Keynesian!N$43</f>
        <v>0.60768403901690338</v>
      </c>
      <c r="I54" s="195">
        <f>Keynesian!P$43</f>
        <v>0.61409041405204923</v>
      </c>
      <c r="J54" s="195">
        <f>Keynesian!R$43</f>
        <v>0.62027443011950223</v>
      </c>
      <c r="K54" s="195">
        <f>Keynesian!T$43</f>
        <v>0.62614876656308749</v>
      </c>
      <c r="L54" s="195">
        <f>Keynesian!V$43</f>
        <v>0.63158189599769299</v>
      </c>
      <c r="M54" s="195">
        <f>Keynesian!X$43</f>
        <v>0.63635848422466113</v>
      </c>
      <c r="N54" s="195">
        <f>Keynesian!Z$43</f>
        <v>0.64002935190914201</v>
      </c>
      <c r="O54" s="195">
        <f>Keynesian!AB$43</f>
        <v>0.64146910611361219</v>
      </c>
      <c r="P54" s="195">
        <f>Keynesian!AD$43</f>
        <v>0.6389245080914886</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0.56058995943839207</v>
      </c>
      <c r="C55" s="195">
        <f>'Neo-K1'!D$43</f>
        <v>0.56655026363575367</v>
      </c>
      <c r="D55" s="195">
        <f>'Neo-K1'!F$43</f>
        <v>0.5658865663625906</v>
      </c>
      <c r="E55" s="195">
        <f>'Neo-K1'!H$43</f>
        <v>0.565207577079058</v>
      </c>
      <c r="F55" s="195">
        <f>'Neo-K1'!J$43</f>
        <v>0.56451130620237366</v>
      </c>
      <c r="G55" s="195">
        <f>'Neo-K1'!L$43</f>
        <v>0.5637955716744808</v>
      </c>
      <c r="H55" s="195">
        <f>'Neo-K1'!N$43</f>
        <v>0.56305797117575374</v>
      </c>
      <c r="I55" s="195">
        <f>'Neo-K1'!P$43</f>
        <v>0.56229572736601574</v>
      </c>
      <c r="J55" s="195">
        <f>'Neo-K1'!R$43</f>
        <v>0.56150552025847589</v>
      </c>
      <c r="K55" s="195">
        <f>'Neo-K1'!T$43</f>
        <v>0.56068303300822842</v>
      </c>
      <c r="L55" s="195">
        <f>'Neo-K1'!V$43</f>
        <v>0.55982223253981866</v>
      </c>
      <c r="M55" s="195">
        <f>'Neo-K1'!X$43</f>
        <v>0.55891404813920997</v>
      </c>
      <c r="N55" s="195">
        <f>'Neo-K1'!Z$43</f>
        <v>0.55794429769897003</v>
      </c>
      <c r="O55" s="195">
        <f>'Neo-K1'!AB$43</f>
        <v>0.55689112599277568</v>
      </c>
      <c r="P55" s="195">
        <f>'Neo-K1'!AD$43</f>
        <v>0.55572400040546299</v>
      </c>
      <c r="Q55" s="195">
        <f>'Neo-K1'!AF$43</f>
        <v>0.55440905747719871</v>
      </c>
      <c r="R55" s="195">
        <f>'Neo-K1'!AH$43</f>
        <v>0.5529239556793395</v>
      </c>
      <c r="S55" s="195">
        <f>'Neo-K1'!AJ$43</f>
        <v>0.55127417717228788</v>
      </c>
      <c r="T55" s="195">
        <f>'Neo-K1'!AL$43</f>
        <v>0.5494957915109292</v>
      </c>
      <c r="U55" s="195">
        <f>'Neo-K1'!AN$43</f>
        <v>0.54764261462635921</v>
      </c>
      <c r="V55" s="195">
        <f>'Neo-K1'!AP$43</f>
        <v>0.54726796468454597</v>
      </c>
      <c r="W55" s="195">
        <f>'Neo-K1'!AR$43</f>
        <v>0.54689295762223833</v>
      </c>
      <c r="X55" s="195">
        <f>'Neo-K1'!AT$43</f>
        <v>0.54651797510184419</v>
      </c>
      <c r="Y55" s="195">
        <f>'Neo-K1'!AV$43</f>
        <v>0.5461433859786734</v>
      </c>
    </row>
    <row r="56" spans="1:26" x14ac:dyDescent="0.2">
      <c r="A56" t="s">
        <v>157</v>
      </c>
      <c r="B56" s="195">
        <f>'Neo-K2'!B$43</f>
        <v>0.56058995943839207</v>
      </c>
      <c r="C56" s="195">
        <f>'Neo-K2'!D$43</f>
        <v>0.56740878207189749</v>
      </c>
      <c r="D56" s="195">
        <f>'Neo-K2'!F$43</f>
        <v>0.56765063727759024</v>
      </c>
      <c r="E56" s="195">
        <f>'Neo-K2'!H$43</f>
        <v>0.56793031940194805</v>
      </c>
      <c r="F56" s="195">
        <f>'Neo-K2'!J$43</f>
        <v>0.56825308012925579</v>
      </c>
      <c r="G56" s="195">
        <f>'Neo-K2'!L$43</f>
        <v>0.56862551977170384</v>
      </c>
      <c r="H56" s="195">
        <f>'Neo-K2'!N$43</f>
        <v>0.56905595312659607</v>
      </c>
      <c r="I56" s="195">
        <f>'Neo-K2'!P$43</f>
        <v>0.56955474227870939</v>
      </c>
      <c r="J56" s="195">
        <f>'Neo-K2'!R$43</f>
        <v>0.57013461072139138</v>
      </c>
      <c r="K56" s="195">
        <f>'Neo-K2'!T$43</f>
        <v>0.57081058678364116</v>
      </c>
      <c r="L56" s="195">
        <f>'Neo-K2'!V$43</f>
        <v>0.57159911951169995</v>
      </c>
      <c r="M56" s="195">
        <f>'Neo-K2'!X$43</f>
        <v>0.57251542165411429</v>
      </c>
      <c r="N56" s="195">
        <f>'Neo-K2'!Z$43</f>
        <v>0.57356722039942687</v>
      </c>
      <c r="O56" s="195">
        <f>'Neo-K2'!AB$43</f>
        <v>0.5747423309542089</v>
      </c>
      <c r="P56" s="195">
        <f>'Neo-K2'!AD$43</f>
        <v>0.5759863819798694</v>
      </c>
      <c r="Q56" s="195">
        <f>'Neo-K2'!AF$43</f>
        <v>0.57716502315210783</v>
      </c>
      <c r="R56" s="195">
        <f>'Neo-K2'!AH$43</f>
        <v>0.57799564756676747</v>
      </c>
      <c r="S56" s="195">
        <f>'Neo-K2'!AJ$43</f>
        <v>0.57790435264140938</v>
      </c>
      <c r="T56" s="195">
        <f>'Neo-K2'!AL$43</f>
        <v>0.57561202309541748</v>
      </c>
      <c r="U56" s="195">
        <f>'Neo-K2'!AN$43</f>
        <v>0.56667216301371393</v>
      </c>
      <c r="V56" s="195">
        <f>'Neo-K2'!AP$43</f>
        <v>0.5625553023318286</v>
      </c>
      <c r="W56" s="195">
        <f>'Neo-K2'!AR$43</f>
        <v>0.55637455003709202</v>
      </c>
      <c r="X56" s="195">
        <f>'Neo-K2'!AT$43</f>
        <v>0.54600831737082123</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0.56058995943839207</v>
      </c>
      <c r="C63" s="195">
        <f t="shared" si="36"/>
        <v>0.5654958228728465</v>
      </c>
      <c r="D63" s="195">
        <f t="shared" si="36"/>
        <v>0.56376437232647048</v>
      </c>
      <c r="E63" s="195">
        <f t="shared" si="36"/>
        <v>0.56200598994084894</v>
      </c>
      <c r="F63" s="195">
        <f t="shared" si="36"/>
        <v>0.56022174366481237</v>
      </c>
      <c r="G63" s="195">
        <f t="shared" si="36"/>
        <v>0.55841466433446807</v>
      </c>
      <c r="H63" s="195">
        <f t="shared" si="36"/>
        <v>0.55659090157193281</v>
      </c>
      <c r="I63" s="195">
        <f t="shared" si="36"/>
        <v>0.554761136527818</v>
      </c>
      <c r="J63" s="195">
        <f t="shared" si="36"/>
        <v>0.55294314691400837</v>
      </c>
      <c r="K63" s="195">
        <f t="shared" si="36"/>
        <v>0.55116561223344052</v>
      </c>
      <c r="L63" s="195">
        <f t="shared" si="36"/>
        <v>0.54947432335420698</v>
      </c>
      <c r="M63" s="195">
        <f t="shared" si="36"/>
        <v>0.54794083533785165</v>
      </c>
      <c r="N63" s="195">
        <f t="shared" si="36"/>
        <v>0.54666867420320187</v>
      </c>
      <c r="O63" s="195">
        <f t="shared" si="36"/>
        <v>0.54577367049029546</v>
      </c>
      <c r="P63" s="195">
        <f t="shared" si="36"/>
        <v>0.54529824338120447</v>
      </c>
      <c r="Q63" s="195">
        <f t="shared" si="36"/>
        <v>0.54512847985658475</v>
      </c>
      <c r="R63" s="195">
        <f t="shared" si="36"/>
        <v>0.54509054357313758</v>
      </c>
      <c r="S63" s="195">
        <f t="shared" si="36"/>
        <v>0.54508567652874496</v>
      </c>
      <c r="T63" s="195">
        <f t="shared" si="36"/>
        <v>0.54508539063742611</v>
      </c>
      <c r="U63" s="195">
        <f t="shared" si="36"/>
        <v>0.54508538613953605</v>
      </c>
      <c r="V63" s="195" t="e">
        <f t="shared" si="36"/>
        <v>#DIV/0!</v>
      </c>
      <c r="W63" s="195" t="e">
        <f t="shared" si="36"/>
        <v>#DIV/0!</v>
      </c>
      <c r="X63" s="195" t="e">
        <f t="shared" si="36"/>
        <v>#DIV/0!</v>
      </c>
      <c r="Y63" s="195" t="e">
        <f t="shared" si="36"/>
        <v>#DIV/0!</v>
      </c>
      <c r="Z63" s="138"/>
    </row>
    <row r="64" spans="1:26" x14ac:dyDescent="0.2">
      <c r="A64" t="str">
        <f t="shared" ref="A64:Q64" si="37">A50</f>
        <v>Kaldorian</v>
      </c>
      <c r="B64" s="195">
        <f t="shared" si="37"/>
        <v>0.56058995943839207</v>
      </c>
      <c r="C64" s="195">
        <f t="shared" si="37"/>
        <v>0.57842539074215349</v>
      </c>
      <c r="D64" s="195">
        <f t="shared" si="37"/>
        <v>0.58968107700777239</v>
      </c>
      <c r="E64" s="195">
        <f t="shared" si="37"/>
        <v>0.6010370423594924</v>
      </c>
      <c r="F64" s="195">
        <f t="shared" si="37"/>
        <v>0.61260251094490692</v>
      </c>
      <c r="G64" s="195">
        <f t="shared" si="37"/>
        <v>0.62454836112870393</v>
      </c>
      <c r="H64" s="195">
        <f t="shared" si="37"/>
        <v>0.6371451428705156</v>
      </c>
      <c r="I64" s="195">
        <f t="shared" si="37"/>
        <v>0.65083257427248542</v>
      </c>
      <c r="J64" s="195">
        <f t="shared" si="37"/>
        <v>0.66635200942877348</v>
      </c>
      <c r="K64" s="195">
        <f t="shared" si="37"/>
        <v>0.68500083730587447</v>
      </c>
      <c r="L64" s="195">
        <f t="shared" si="37"/>
        <v>0.7090741343626894</v>
      </c>
      <c r="M64" s="195">
        <f t="shared" si="37"/>
        <v>0.74225486365059989</v>
      </c>
      <c r="N64" s="195">
        <f t="shared" si="37"/>
        <v>0.78852948339088735</v>
      </c>
      <c r="O64" s="195">
        <f t="shared" si="37"/>
        <v>0.84942250638094574</v>
      </c>
      <c r="P64" s="195">
        <f t="shared" si="37"/>
        <v>0.92576745044477049</v>
      </c>
      <c r="Q64" s="195" t="e">
        <f t="shared" si="37"/>
        <v>#DIV/0!</v>
      </c>
      <c r="R64" s="195"/>
      <c r="S64" s="195"/>
      <c r="T64" s="195"/>
      <c r="U64" s="195"/>
      <c r="V64" s="195"/>
      <c r="W64" s="195"/>
      <c r="X64" s="195"/>
      <c r="Y64" s="195"/>
      <c r="Z64" s="138"/>
    </row>
    <row r="65" spans="1:26" x14ac:dyDescent="0.2">
      <c r="A65" t="str">
        <f t="shared" ref="A65:Y65" si="38">A51</f>
        <v>Johansen</v>
      </c>
      <c r="B65" s="195">
        <f t="shared" si="38"/>
        <v>0.56058995943839207</v>
      </c>
      <c r="C65" s="195">
        <f t="shared" si="38"/>
        <v>0.56547475779779111</v>
      </c>
      <c r="D65" s="195">
        <f t="shared" si="38"/>
        <v>0.56372053685005563</v>
      </c>
      <c r="E65" s="195">
        <f t="shared" si="38"/>
        <v>0.5619377736842982</v>
      </c>
      <c r="F65" s="195">
        <f t="shared" si="38"/>
        <v>0.56012786598384123</v>
      </c>
      <c r="G65" s="195">
        <f t="shared" si="38"/>
        <v>0.55829436549220124</v>
      </c>
      <c r="H65" s="195">
        <f t="shared" si="38"/>
        <v>0.55644424140215909</v>
      </c>
      <c r="I65" s="195">
        <f t="shared" si="38"/>
        <v>0.5545894000211391</v>
      </c>
      <c r="J65" s="195">
        <f t="shared" si="38"/>
        <v>0.5527494698355665</v>
      </c>
      <c r="K65" s="195">
        <f t="shared" si="38"/>
        <v>0.55095595221265847</v>
      </c>
      <c r="L65" s="195">
        <f t="shared" si="38"/>
        <v>0.54925902290341844</v>
      </c>
      <c r="M65" s="195">
        <f t="shared" si="38"/>
        <v>0.54773678449232599</v>
      </c>
      <c r="N65" s="195">
        <f t="shared" si="38"/>
        <v>0.5465003638045185</v>
      </c>
      <c r="O65" s="195">
        <f t="shared" si="38"/>
        <v>0.54566533144933493</v>
      </c>
      <c r="P65" s="195">
        <f t="shared" si="38"/>
        <v>0.54525110002204291</v>
      </c>
      <c r="Q65" s="195">
        <f t="shared" si="38"/>
        <v>0.54511597523139665</v>
      </c>
      <c r="R65" s="195">
        <f t="shared" si="38"/>
        <v>0.54508867462235699</v>
      </c>
      <c r="S65" s="195">
        <f t="shared" si="38"/>
        <v>0.54508554804021203</v>
      </c>
      <c r="T65" s="195">
        <f t="shared" si="38"/>
        <v>0.54508538824182307</v>
      </c>
      <c r="U65" s="195" t="e">
        <f t="shared" si="38"/>
        <v>#DIV/0!</v>
      </c>
      <c r="V65" s="195" t="e">
        <f t="shared" si="38"/>
        <v>#DIV/0!</v>
      </c>
      <c r="W65" s="195" t="e">
        <f t="shared" si="38"/>
        <v>#DIV/0!</v>
      </c>
      <c r="X65" s="195" t="e">
        <f t="shared" si="38"/>
        <v>#DIV/0!</v>
      </c>
      <c r="Y65" s="195" t="e">
        <f t="shared" si="38"/>
        <v>#DIV/0!</v>
      </c>
      <c r="Z65" s="138"/>
    </row>
    <row r="66" spans="1:26" x14ac:dyDescent="0.2">
      <c r="A66" t="str">
        <f t="shared" ref="A66:R66" si="39">A52</f>
        <v>Keynes-Kaldor</v>
      </c>
      <c r="B66" s="195">
        <f t="shared" si="39"/>
        <v>0.56058995943839207</v>
      </c>
      <c r="C66" s="195">
        <f t="shared" si="39"/>
        <v>0.56184511894578437</v>
      </c>
      <c r="D66" s="195">
        <f t="shared" si="39"/>
        <v>0.55644165125881961</v>
      </c>
      <c r="E66" s="195">
        <f t="shared" si="39"/>
        <v>0.55097234562110808</v>
      </c>
      <c r="F66" s="195">
        <f t="shared" si="39"/>
        <v>0.54541110599427345</v>
      </c>
      <c r="G66" s="195">
        <f t="shared" si="39"/>
        <v>0.53971817583067672</v>
      </c>
      <c r="H66" s="195">
        <f t="shared" si="39"/>
        <v>0.53383203976776383</v>
      </c>
      <c r="I66" s="195">
        <f t="shared" si="39"/>
        <v>0.52765524624386173</v>
      </c>
      <c r="J66" s="195">
        <f t="shared" si="39"/>
        <v>0.52103072527185501</v>
      </c>
      <c r="K66" s="195">
        <f t="shared" si="39"/>
        <v>0.51369937957315848</v>
      </c>
      <c r="L66" s="195">
        <f t="shared" si="39"/>
        <v>0.50522334060628682</v>
      </c>
      <c r="M66" s="195">
        <f t="shared" si="39"/>
        <v>0.4948514006048243</v>
      </c>
      <c r="N66" s="195">
        <f t="shared" si="39"/>
        <v>0.48132066893025743</v>
      </c>
      <c r="O66" s="195">
        <f t="shared" si="39"/>
        <v>0.46273740172419187</v>
      </c>
      <c r="P66" s="195">
        <f t="shared" si="39"/>
        <v>0.43694440792407868</v>
      </c>
      <c r="Q66" s="195">
        <f t="shared" si="39"/>
        <v>0.40212704994583393</v>
      </c>
      <c r="R66" s="195">
        <f t="shared" si="39"/>
        <v>0.35614344702101997</v>
      </c>
      <c r="S66" s="195"/>
      <c r="T66" s="195"/>
      <c r="U66" s="195"/>
      <c r="V66" s="195"/>
      <c r="W66" s="195"/>
      <c r="X66" s="195"/>
      <c r="Y66" s="195"/>
    </row>
    <row r="67" spans="1:26" x14ac:dyDescent="0.2">
      <c r="A67" t="str">
        <f t="shared" ref="A67:K67" si="40">A53</f>
        <v>Keynes-Marshall</v>
      </c>
      <c r="B67" s="195">
        <f t="shared" si="40"/>
        <v>0.56058995943839085</v>
      </c>
      <c r="C67" s="195">
        <f t="shared" si="40"/>
        <v>0.58122509399786282</v>
      </c>
      <c r="D67" s="195">
        <f t="shared" si="40"/>
        <v>0.59560144629563205</v>
      </c>
      <c r="E67" s="195">
        <f t="shared" si="40"/>
        <v>0.61040733353284404</v>
      </c>
      <c r="F67" s="195">
        <f t="shared" si="40"/>
        <v>0.62573916818480846</v>
      </c>
      <c r="G67" s="195">
        <f t="shared" si="40"/>
        <v>0.64172167231016197</v>
      </c>
      <c r="H67" s="195">
        <f t="shared" si="40"/>
        <v>0.65852285627300833</v>
      </c>
      <c r="I67" s="195">
        <f t="shared" si="40"/>
        <v>0.67637854810491682</v>
      </c>
      <c r="J67" s="195">
        <f t="shared" si="40"/>
        <v>0.69563322576646858</v>
      </c>
      <c r="K67" s="195">
        <f t="shared" si="40"/>
        <v>0.7168109261779525</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0.56058995943839207</v>
      </c>
      <c r="C68" s="195">
        <f t="shared" si="41"/>
        <v>0.57404845550530847</v>
      </c>
      <c r="D68" s="195">
        <f t="shared" si="41"/>
        <v>0.58088226399618725</v>
      </c>
      <c r="E68" s="195">
        <f t="shared" si="41"/>
        <v>0.58768671634937653</v>
      </c>
      <c r="F68" s="195">
        <f t="shared" si="41"/>
        <v>0.59444096331295848</v>
      </c>
      <c r="G68" s="195">
        <f t="shared" si="41"/>
        <v>0.60111856961673393</v>
      </c>
      <c r="H68" s="195">
        <f t="shared" si="41"/>
        <v>0.60768403901690338</v>
      </c>
      <c r="I68" s="195">
        <f t="shared" si="41"/>
        <v>0.61409041405204923</v>
      </c>
      <c r="J68" s="195">
        <f t="shared" si="41"/>
        <v>0.62027443011950223</v>
      </c>
      <c r="K68" s="195">
        <f t="shared" si="41"/>
        <v>0.62614876656308749</v>
      </c>
      <c r="L68" s="195">
        <f t="shared" si="41"/>
        <v>0.63158189599769299</v>
      </c>
      <c r="M68" s="195">
        <f t="shared" si="41"/>
        <v>0.63635848422466113</v>
      </c>
      <c r="N68" s="195">
        <f t="shared" si="41"/>
        <v>0.64002935190914201</v>
      </c>
      <c r="O68" s="195"/>
      <c r="P68" s="195"/>
      <c r="Q68" s="195"/>
      <c r="R68" s="195"/>
      <c r="S68" s="195"/>
      <c r="T68" s="195"/>
      <c r="U68" s="195"/>
      <c r="V68" s="195"/>
      <c r="W68" s="195"/>
      <c r="X68" s="195"/>
      <c r="Y68" s="195"/>
    </row>
    <row r="69" spans="1:26" x14ac:dyDescent="0.2">
      <c r="A69" t="str">
        <f t="shared" ref="A69:Y69" si="42">A55</f>
        <v>Neo-K1</v>
      </c>
      <c r="B69" s="195">
        <f t="shared" si="42"/>
        <v>0.56058995943839207</v>
      </c>
      <c r="C69" s="195">
        <f t="shared" si="42"/>
        <v>0.56655026363575367</v>
      </c>
      <c r="D69" s="195">
        <f t="shared" si="42"/>
        <v>0.5658865663625906</v>
      </c>
      <c r="E69" s="195">
        <f t="shared" si="42"/>
        <v>0.565207577079058</v>
      </c>
      <c r="F69" s="195">
        <f t="shared" si="42"/>
        <v>0.56451130620237366</v>
      </c>
      <c r="G69" s="195">
        <f t="shared" si="42"/>
        <v>0.5637955716744808</v>
      </c>
      <c r="H69" s="195">
        <f t="shared" si="42"/>
        <v>0.56305797117575374</v>
      </c>
      <c r="I69" s="195">
        <f t="shared" si="42"/>
        <v>0.56229572736601574</v>
      </c>
      <c r="J69" s="195">
        <f t="shared" si="42"/>
        <v>0.56150552025847589</v>
      </c>
      <c r="K69" s="195">
        <f t="shared" si="42"/>
        <v>0.56068303300822842</v>
      </c>
      <c r="L69" s="195">
        <f t="shared" si="42"/>
        <v>0.55982223253981866</v>
      </c>
      <c r="M69" s="195">
        <f t="shared" si="42"/>
        <v>0.55891404813920997</v>
      </c>
      <c r="N69" s="195">
        <f t="shared" si="42"/>
        <v>0.55794429769897003</v>
      </c>
      <c r="O69" s="195">
        <f t="shared" si="42"/>
        <v>0.55689112599277568</v>
      </c>
      <c r="P69" s="195">
        <f t="shared" si="42"/>
        <v>0.55572400040546299</v>
      </c>
      <c r="Q69" s="195">
        <f t="shared" si="42"/>
        <v>0.55440905747719871</v>
      </c>
      <c r="R69" s="195">
        <f t="shared" si="42"/>
        <v>0.5529239556793395</v>
      </c>
      <c r="S69" s="195">
        <f t="shared" si="42"/>
        <v>0.55127417717228788</v>
      </c>
      <c r="T69" s="195">
        <f t="shared" si="42"/>
        <v>0.5494957915109292</v>
      </c>
      <c r="U69" s="195">
        <f t="shared" si="42"/>
        <v>0.54764261462635921</v>
      </c>
      <c r="V69" s="195">
        <f t="shared" si="42"/>
        <v>0.54726796468454597</v>
      </c>
      <c r="W69" s="195">
        <f t="shared" si="42"/>
        <v>0.54689295762223833</v>
      </c>
      <c r="X69" s="195">
        <f t="shared" si="42"/>
        <v>0.54651797510184419</v>
      </c>
      <c r="Y69" s="195">
        <f t="shared" si="42"/>
        <v>0.5461433859786734</v>
      </c>
    </row>
    <row r="70" spans="1:26" x14ac:dyDescent="0.2">
      <c r="A70" t="str">
        <f t="shared" ref="A70:Y70" si="43">A56</f>
        <v>Neo-K2</v>
      </c>
      <c r="B70" s="195">
        <f t="shared" si="43"/>
        <v>0.56058995943839207</v>
      </c>
      <c r="C70" s="195">
        <f t="shared" si="43"/>
        <v>0.56740878207189749</v>
      </c>
      <c r="D70" s="195">
        <f t="shared" si="43"/>
        <v>0.56765063727759024</v>
      </c>
      <c r="E70" s="195">
        <f t="shared" si="43"/>
        <v>0.56793031940194805</v>
      </c>
      <c r="F70" s="195">
        <f t="shared" si="43"/>
        <v>0.56825308012925579</v>
      </c>
      <c r="G70" s="195">
        <f t="shared" si="43"/>
        <v>0.56862551977170384</v>
      </c>
      <c r="H70" s="195">
        <f t="shared" si="43"/>
        <v>0.56905595312659607</v>
      </c>
      <c r="I70" s="195">
        <f t="shared" si="43"/>
        <v>0.56955474227870939</v>
      </c>
      <c r="J70" s="195">
        <f t="shared" si="43"/>
        <v>0.57013461072139138</v>
      </c>
      <c r="K70" s="195">
        <f t="shared" si="43"/>
        <v>0.57081058678364116</v>
      </c>
      <c r="L70" s="195">
        <f t="shared" si="43"/>
        <v>0.57159911951169995</v>
      </c>
      <c r="M70" s="195">
        <f t="shared" si="43"/>
        <v>0.57251542165411429</v>
      </c>
      <c r="N70" s="195">
        <f t="shared" si="43"/>
        <v>0.57356722039942687</v>
      </c>
      <c r="O70" s="195">
        <f t="shared" si="43"/>
        <v>0.5747423309542089</v>
      </c>
      <c r="P70" s="195">
        <f t="shared" si="43"/>
        <v>0.5759863819798694</v>
      </c>
      <c r="Q70" s="195">
        <f t="shared" si="43"/>
        <v>0.57716502315210783</v>
      </c>
      <c r="R70" s="195">
        <f t="shared" si="43"/>
        <v>0.57799564756676747</v>
      </c>
      <c r="S70" s="195">
        <f t="shared" si="43"/>
        <v>0.57790435264140938</v>
      </c>
      <c r="T70" s="195">
        <f t="shared" si="43"/>
        <v>0.57561202309541748</v>
      </c>
      <c r="U70" s="195">
        <f t="shared" si="43"/>
        <v>0.56667216301371393</v>
      </c>
      <c r="V70" s="195">
        <f t="shared" si="43"/>
        <v>0.5625553023318286</v>
      </c>
      <c r="W70" s="195">
        <f t="shared" si="43"/>
        <v>0.55637455003709202</v>
      </c>
      <c r="X70" s="195">
        <f t="shared" si="43"/>
        <v>0.54600831737082123</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3231.884910273212</v>
      </c>
      <c r="D74" s="80">
        <f>NeoClassical!F$24</f>
        <v>3267.3621756499674</v>
      </c>
      <c r="E74" s="80">
        <f>NeoClassical!H$24</f>
        <v>3302.8106282430831</v>
      </c>
      <c r="F74" s="80">
        <f>NeoClassical!J$24</f>
        <v>3338.2445600653136</v>
      </c>
      <c r="G74" s="80">
        <f>NeoClassical!L$24</f>
        <v>3373.7152824800323</v>
      </c>
      <c r="H74" s="80">
        <f>NeoClassical!N$24</f>
        <v>3409.3378103265968</v>
      </c>
      <c r="I74" s="80">
        <f>NeoClassical!P$24</f>
        <v>3445.3423912094722</v>
      </c>
      <c r="J74" s="80">
        <f>NeoClassical!R$24</f>
        <v>3482.1593415401962</v>
      </c>
      <c r="K74" s="80">
        <f>NeoClassical!T$24</f>
        <v>3520.5752493769069</v>
      </c>
      <c r="L74" s="80">
        <f>NeoClassical!V$24</f>
        <v>3562.0161867042366</v>
      </c>
      <c r="M74" s="80">
        <f>NeoClassical!X$24</f>
        <v>3609.0424645544772</v>
      </c>
      <c r="N74" s="80">
        <f>NeoClassical!Z$24</f>
        <v>3666.0551595735787</v>
      </c>
      <c r="O74" s="80">
        <f>NeoClassical!AB$24</f>
        <v>3739.5212963224321</v>
      </c>
      <c r="P74" s="80">
        <f>NeoClassical!AD$24</f>
        <v>3835.5546617080381</v>
      </c>
      <c r="Q74" s="80">
        <f>NeoClassical!AF$24</f>
        <v>3955.3409428235154</v>
      </c>
      <c r="R74" s="80">
        <f>NeoClassical!AH$24</f>
        <v>4096.3172418259628</v>
      </c>
      <c r="S74" s="80">
        <f>NeoClassical!AJ$24</f>
        <v>4256.7570783006195</v>
      </c>
      <c r="T74" s="80">
        <f>NeoClassical!AL$24</f>
        <v>4426.7274777509747</v>
      </c>
      <c r="U74" s="80">
        <f>NeoClassical!AN$24</f>
        <v>4482.7542013539278</v>
      </c>
      <c r="V74" s="80">
        <f>NeoClassical!AP$24</f>
        <v>0</v>
      </c>
      <c r="W74" s="80">
        <f>NeoClassical!AR$24</f>
        <v>0</v>
      </c>
      <c r="X74" s="80">
        <f>NeoClassical!AT$24</f>
        <v>0</v>
      </c>
      <c r="Y74" s="80">
        <f>NeoClassical!AV$24</f>
        <v>0</v>
      </c>
    </row>
    <row r="75" spans="1:26" x14ac:dyDescent="0.2">
      <c r="A75" t="s">
        <v>90</v>
      </c>
      <c r="B75" s="80">
        <f>Johansen!B$24</f>
        <v>3196.3846373657216</v>
      </c>
      <c r="C75" s="80">
        <f>Johansen!D$24</f>
        <v>3201.1308433441786</v>
      </c>
      <c r="D75" s="80">
        <f>Johansen!F$24</f>
        <v>3205.4992304438492</v>
      </c>
      <c r="E75" s="80">
        <f>Johansen!H$24</f>
        <v>3209.4392069740279</v>
      </c>
      <c r="F75" s="80">
        <f>Johansen!J$24</f>
        <v>3212.892453373699</v>
      </c>
      <c r="G75" s="80">
        <f>Johansen!L$24</f>
        <v>3215.7925096412514</v>
      </c>
      <c r="H75" s="80">
        <f>Johansen!N$24</f>
        <v>3218.0623663239926</v>
      </c>
      <c r="I75" s="80">
        <f>Johansen!P$24</f>
        <v>3219.6143976257204</v>
      </c>
      <c r="J75" s="80">
        <f>Johansen!R$24</f>
        <v>3220.3479090215278</v>
      </c>
      <c r="K75" s="80">
        <f>Johansen!T$24</f>
        <v>3220.1495531673318</v>
      </c>
      <c r="L75" s="80">
        <f>Johansen!V$24</f>
        <v>3218.8923635620836</v>
      </c>
      <c r="M75" s="80">
        <f>Johansen!X$24</f>
        <v>3216.4290422571398</v>
      </c>
      <c r="N75" s="80">
        <f>Johansen!Z$24</f>
        <v>3212.5377302414986</v>
      </c>
      <c r="O75" s="80">
        <f>Johansen!AB$24</f>
        <v>3206.6392358386079</v>
      </c>
      <c r="P75" s="80">
        <f>Johansen!AD$24</f>
        <v>3196.9156205007826</v>
      </c>
      <c r="Q75" s="80">
        <f>Johansen!AF$24</f>
        <v>3178.9863978655258</v>
      </c>
      <c r="R75" s="80">
        <f>Johansen!AH$24</f>
        <v>3144.595252421977</v>
      </c>
      <c r="S75" s="80">
        <f>Johansen!AJ$24</f>
        <v>3077.226696521308</v>
      </c>
      <c r="T75" s="80">
        <f>Johansen!AL$24</f>
        <v>2933.6277402341407</v>
      </c>
      <c r="U75" s="80">
        <f>Johansen!AN$24</f>
        <v>0</v>
      </c>
      <c r="V75" s="80">
        <f>Johansen!AP$24</f>
        <v>0</v>
      </c>
      <c r="W75" s="80">
        <f>Johansen!AR$24</f>
        <v>0</v>
      </c>
      <c r="X75" s="80">
        <f>Johansen!AT$24</f>
        <v>0</v>
      </c>
      <c r="Y75" s="80">
        <f>Johansen!AV$24</f>
        <v>0</v>
      </c>
    </row>
    <row r="76" spans="1:26" x14ac:dyDescent="0.2">
      <c r="A76" t="s">
        <v>143</v>
      </c>
      <c r="B76" s="80">
        <f>Kaldorian!B$24</f>
        <v>3196.3846373657216</v>
      </c>
      <c r="C76" s="80">
        <f>Kaldorian!D$24</f>
        <v>3241.0399035861287</v>
      </c>
      <c r="D76" s="80">
        <f>Kaldorian!F$24</f>
        <v>3285.2614313322706</v>
      </c>
      <c r="E76" s="80">
        <f>Kaldorian!H$24</f>
        <v>3329.1775574694666</v>
      </c>
      <c r="F76" s="80">
        <f>Kaldorian!J$24</f>
        <v>3373.0135812515787</v>
      </c>
      <c r="G76" s="80">
        <f>Kaldorian!L$24</f>
        <v>3417.14963317815</v>
      </c>
      <c r="H76" s="80">
        <f>Kaldorian!N$24</f>
        <v>3462.2216741272241</v>
      </c>
      <c r="I76" s="80">
        <f>Kaldorian!P$24</f>
        <v>3509.3065147093098</v>
      </c>
      <c r="J76" s="80">
        <f>Kaldorian!R$24</f>
        <v>3560.2756088146734</v>
      </c>
      <c r="K76" s="80">
        <f>Kaldorian!T$24</f>
        <v>3618.4703144388554</v>
      </c>
      <c r="L76" s="80">
        <f>Kaldorian!V$24</f>
        <v>3689.8391479366669</v>
      </c>
      <c r="M76" s="80">
        <f>Kaldorian!X$24</f>
        <v>3783.7019340754164</v>
      </c>
      <c r="N76" s="80">
        <f>Kaldorian!Z$24</f>
        <v>3908.7847623419548</v>
      </c>
      <c r="O76" s="80">
        <f>Kaldorian!AB$24</f>
        <v>4064.1586980262987</v>
      </c>
      <c r="P76" s="80">
        <f>Kaldorian!AD$24</f>
        <v>4243.4215430577497</v>
      </c>
      <c r="Q76" s="80">
        <f>Kaldorian!AF$24</f>
        <v>0</v>
      </c>
      <c r="R76" s="80">
        <f>Kaldorian!AH$24</f>
        <v>0</v>
      </c>
      <c r="S76" s="80">
        <f>Kaldorian!AJ$24</f>
        <v>0</v>
      </c>
      <c r="T76" s="80">
        <f>Kaldorian!AL$24</f>
        <v>0</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3215.3292278637387</v>
      </c>
      <c r="D77" s="80">
        <f>'Keynes-K'!F$24</f>
        <v>3232.3332099331733</v>
      </c>
      <c r="E77" s="80">
        <f>'Keynes-K'!H$24</f>
        <v>3247.2875226845081</v>
      </c>
      <c r="F77" s="80">
        <f>'Keynes-K'!J$24</f>
        <v>3260.0506844409556</v>
      </c>
      <c r="G77" s="80">
        <f>'Keynes-K'!L$24</f>
        <v>3270.4470006717825</v>
      </c>
      <c r="H77" s="80">
        <f>'Keynes-K'!N$24</f>
        <v>3278.2570481709431</v>
      </c>
      <c r="I77" s="80">
        <f>'Keynes-K'!P$24</f>
        <v>3283.2133361639912</v>
      </c>
      <c r="J77" s="80">
        <f>'Keynes-K'!R$24</f>
        <v>3284.9848457119306</v>
      </c>
      <c r="K77" s="80">
        <f>'Keynes-K'!T$24</f>
        <v>3283.1571330420134</v>
      </c>
      <c r="L77" s="80">
        <f>'Keynes-K'!V$24</f>
        <v>3277.1842182731498</v>
      </c>
      <c r="M77" s="80">
        <f>'Keynes-K'!X$24</f>
        <v>3266.2520005901451</v>
      </c>
      <c r="N77" s="80">
        <f>'Keynes-K'!Z$24</f>
        <v>3248.8297767005506</v>
      </c>
      <c r="O77" s="80">
        <f>'Keynes-K'!AB$24</f>
        <v>3221.2524943379422</v>
      </c>
      <c r="P77" s="80">
        <f>'Keynes-K'!AD$24</f>
        <v>3174.5233149951487</v>
      </c>
      <c r="Q77" s="80">
        <f>'Keynes-K'!AF$24</f>
        <v>3090.4788958398472</v>
      </c>
      <c r="R77" s="80">
        <f>'Keynes-K'!AH$24</f>
        <v>2938.1543252506235</v>
      </c>
      <c r="S77" s="80">
        <f>'Keynes-K'!AJ$24</f>
        <v>2663.0710199455234</v>
      </c>
      <c r="T77" s="80">
        <f>'Keynes-K'!AL$24</f>
        <v>2162.0571980393593</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3249.1218537627788</v>
      </c>
      <c r="D78" s="80">
        <f>'Keynes-M'!F$24</f>
        <v>3302.1886451665082</v>
      </c>
      <c r="E78" s="80">
        <f>'Keynes-M'!H$24</f>
        <v>3355.7112764421481</v>
      </c>
      <c r="F78" s="80">
        <f>'Keynes-M'!J$24</f>
        <v>3409.8406320129229</v>
      </c>
      <c r="G78" s="80">
        <f>'Keynes-M'!L$24</f>
        <v>3464.7709125136525</v>
      </c>
      <c r="H78" s="80">
        <f>'Keynes-M'!N$24</f>
        <v>3520.7693605015293</v>
      </c>
      <c r="I78" s="80">
        <f>'Keynes-M'!P$24</f>
        <v>3578.2274180523727</v>
      </c>
      <c r="J78" s="80">
        <f>'Keynes-M'!R$24</f>
        <v>3637.7465905433587</v>
      </c>
      <c r="K78" s="80">
        <f>'Keynes-M'!T$24</f>
        <v>3700.2903170008776</v>
      </c>
      <c r="L78" s="80">
        <f>'Keynes-M'!V$24</f>
        <v>3767.457607077436</v>
      </c>
      <c r="M78" s="80">
        <f>'Keynes-M'!X$24</f>
        <v>3841.985629787755</v>
      </c>
      <c r="N78" s="80">
        <f>'Keynes-M'!Z$24</f>
        <v>3928.6571173247598</v>
      </c>
      <c r="O78" s="80">
        <f>'Keynes-M'!AB$24</f>
        <v>4035.7320928849817</v>
      </c>
      <c r="P78" s="80">
        <f>'Keynes-M'!AD$24</f>
        <v>4176.0715633904965</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3136.7149999547146</v>
      </c>
      <c r="D79" s="80">
        <f>Keynesian!F$24</f>
        <v>3070.3339545220847</v>
      </c>
      <c r="E79" s="80">
        <f>Keynesian!H$24</f>
        <v>2996.4686177365165</v>
      </c>
      <c r="F79" s="80">
        <f>Keynesian!J$24</f>
        <v>2914.2673778202902</v>
      </c>
      <c r="G79" s="80">
        <f>Keynesian!L$24</f>
        <v>2822.8175240611881</v>
      </c>
      <c r="H79" s="80">
        <f>Keynesian!N$24</f>
        <v>2721.1798907461703</v>
      </c>
      <c r="I79" s="80">
        <f>Keynesian!P$24</f>
        <v>2608.4658579079073</v>
      </c>
      <c r="J79" s="80">
        <f>Keynesian!R$24</f>
        <v>2483.9869495475937</v>
      </c>
      <c r="K79" s="80">
        <f>Keynesian!T$24</f>
        <v>2347.5494500996006</v>
      </c>
      <c r="L79" s="80">
        <f>Keynesian!V$24</f>
        <v>2200.0660963640089</v>
      </c>
      <c r="M79" s="80">
        <f>Keynesian!X$24</f>
        <v>2045.0277399802501</v>
      </c>
      <c r="N79" s="80">
        <f>Keynesian!Z$24</f>
        <v>1892.6763310836202</v>
      </c>
      <c r="O79" s="80">
        <f>Keynesian!AB$24</f>
        <v>1771.5509315835313</v>
      </c>
      <c r="P79" s="80">
        <f>Keynesian!AD$24</f>
        <v>1721.7309228526667</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3205.7024010312925</v>
      </c>
      <c r="D80" s="80">
        <f>'Neo-K1'!F$24</f>
        <v>3212.7040755250096</v>
      </c>
      <c r="E80" s="80">
        <f>'Neo-K1'!H$24</f>
        <v>3216.9917138380965</v>
      </c>
      <c r="F80" s="80">
        <f>'Neo-K1'!J$24</f>
        <v>3218.0745904927526</v>
      </c>
      <c r="G80" s="80">
        <f>'Neo-K1'!L$24</f>
        <v>3215.3335406357864</v>
      </c>
      <c r="H80" s="80">
        <f>'Neo-K1'!N$24</f>
        <v>3207.9709504521179</v>
      </c>
      <c r="I80" s="80">
        <f>'Neo-K1'!P$24</f>
        <v>3194.9347972001328</v>
      </c>
      <c r="J80" s="80">
        <f>'Neo-K1'!R$24</f>
        <v>3174.7981129829768</v>
      </c>
      <c r="K80" s="80">
        <f>'Neo-K1'!T$24</f>
        <v>3145.5676897524063</v>
      </c>
      <c r="L80" s="80">
        <f>'Neo-K1'!V$24</f>
        <v>3104.3769468442943</v>
      </c>
      <c r="M80" s="80">
        <f>'Neo-K1'!X$24</f>
        <v>3046.9980373699855</v>
      </c>
      <c r="N80" s="80">
        <f>'Neo-K1'!Z$24</f>
        <v>2967.1101433418112</v>
      </c>
      <c r="O80" s="80">
        <f>'Neo-K1'!AB$24</f>
        <v>2855.3645139210503</v>
      </c>
      <c r="P80" s="80">
        <f>'Neo-K1'!AD$24</f>
        <v>2698.6444819810768</v>
      </c>
      <c r="Q80" s="80">
        <f>'Neo-K1'!AF$24</f>
        <v>2480.4868377644461</v>
      </c>
      <c r="R80" s="80">
        <f>'Neo-K1'!AH$24</f>
        <v>2183.5402157102326</v>
      </c>
      <c r="S80" s="80">
        <f>'Neo-K1'!AJ$24</f>
        <v>1793.2404065359833</v>
      </c>
      <c r="T80" s="80">
        <f>'Neo-K1'!AL$24</f>
        <v>1300.4697681673929</v>
      </c>
      <c r="U80" s="80">
        <f>'Neo-K1'!AN$24</f>
        <v>702.09918374696815</v>
      </c>
      <c r="V80" s="80">
        <f>'Neo-K1'!AP$24</f>
        <v>569.84712773234912</v>
      </c>
      <c r="W80" s="80">
        <f>'Neo-K1'!AR$24</f>
        <v>433.46958279232996</v>
      </c>
      <c r="X80" s="80">
        <f>'Neo-K1'!AT$24</f>
        <v>293.00605484250787</v>
      </c>
      <c r="Y80" s="80">
        <f>'Neo-K1'!AV$24</f>
        <v>148.50028437073695</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4.7514111708893948E-2</v>
      </c>
      <c r="D85" s="240">
        <f t="shared" si="45"/>
        <v>9.2849929372285908E-2</v>
      </c>
      <c r="E85" s="240">
        <f t="shared" si="45"/>
        <v>0.14240911825658109</v>
      </c>
      <c r="F85" s="240">
        <f t="shared" si="45"/>
        <v>0.19703383782485873</v>
      </c>
      <c r="G85" s="240">
        <f t="shared" si="45"/>
        <v>0.2578838015505287</v>
      </c>
      <c r="H85" s="240">
        <f t="shared" si="45"/>
        <v>0.3266078129810055</v>
      </c>
      <c r="I85" s="240">
        <f t="shared" si="45"/>
        <v>0.40563537829390528</v>
      </c>
      <c r="J85" s="240">
        <f t="shared" si="45"/>
        <v>0.4986911346202329</v>
      </c>
      <c r="K85" s="240">
        <f t="shared" si="45"/>
        <v>0.61176120350277607</v>
      </c>
      <c r="L85" s="240">
        <f t="shared" si="45"/>
        <v>0.7549731529820628</v>
      </c>
      <c r="M85" s="240">
        <f t="shared" si="45"/>
        <v>0.94639967244475509</v>
      </c>
      <c r="N85" s="240">
        <f t="shared" si="45"/>
        <v>1.2196538777103962</v>
      </c>
      <c r="O85" s="240">
        <f t="shared" si="45"/>
        <v>1.6371495408409076</v>
      </c>
      <c r="P85" s="240">
        <f t="shared" si="45"/>
        <v>2.3071801128627034</v>
      </c>
      <c r="Q85" s="240">
        <f t="shared" si="45"/>
        <v>3.4105594141613755</v>
      </c>
      <c r="R85" s="240">
        <f t="shared" si="44"/>
        <v>5.3039708821732559</v>
      </c>
      <c r="S85" s="240">
        <f t="shared" si="44"/>
        <v>8.8896204999959778</v>
      </c>
      <c r="T85" s="240">
        <f t="shared" si="44"/>
        <v>17.097016313577868</v>
      </c>
      <c r="U85" s="240">
        <f t="shared" si="44"/>
        <v>44.850321988963564</v>
      </c>
      <c r="V85" s="240">
        <f t="shared" si="44"/>
        <v>0</v>
      </c>
      <c r="W85" s="240">
        <f t="shared" si="44"/>
        <v>0</v>
      </c>
      <c r="X85" s="240">
        <f t="shared" si="44"/>
        <v>0</v>
      </c>
      <c r="Y85" s="240">
        <f t="shared" si="44"/>
        <v>0</v>
      </c>
    </row>
    <row r="86" spans="1:25" x14ac:dyDescent="0.2">
      <c r="A86" t="str">
        <f t="shared" ref="A86:A93" si="46">A4</f>
        <v>Kaldorian</v>
      </c>
      <c r="B86" s="240">
        <f t="shared" si="45"/>
        <v>5.7716594496607888E-3</v>
      </c>
      <c r="C86" s="240">
        <f t="shared" si="44"/>
        <v>5.0986595952439685E-2</v>
      </c>
      <c r="D86" s="240">
        <f t="shared" si="44"/>
        <v>0.1002024731226754</v>
      </c>
      <c r="E86" s="240">
        <f t="shared" si="44"/>
        <v>0.15441513320563208</v>
      </c>
      <c r="F86" s="240">
        <f t="shared" si="44"/>
        <v>0.21505920820076083</v>
      </c>
      <c r="G86" s="240">
        <f t="shared" si="44"/>
        <v>0.28426081021791094</v>
      </c>
      <c r="H86" s="240">
        <f t="shared" si="44"/>
        <v>0.36529133159058286</v>
      </c>
      <c r="I86" s="240">
        <f t="shared" si="44"/>
        <v>0.46343161747934436</v>
      </c>
      <c r="J86" s="240">
        <f t="shared" si="44"/>
        <v>0.58772450364103568</v>
      </c>
      <c r="K86" s="240">
        <f t="shared" si="44"/>
        <v>0.75472753268333159</v>
      </c>
      <c r="L86" s="240">
        <f t="shared" si="44"/>
        <v>0.99663154414350219</v>
      </c>
      <c r="M86" s="240">
        <f t="shared" si="44"/>
        <v>1.376307064075603</v>
      </c>
      <c r="N86" s="240">
        <f t="shared" si="44"/>
        <v>2.0012418218519104</v>
      </c>
      <c r="O86" s="240">
        <f t="shared" si="44"/>
        <v>3.0218989434079977</v>
      </c>
      <c r="P86" s="240">
        <f t="shared" si="44"/>
        <v>4.6791262984123501</v>
      </c>
      <c r="Q86" s="240">
        <f t="shared" si="44"/>
        <v>0</v>
      </c>
      <c r="R86" s="240">
        <f t="shared" si="44"/>
        <v>0</v>
      </c>
      <c r="S86" s="240">
        <f t="shared" si="44"/>
        <v>0</v>
      </c>
      <c r="T86" s="240">
        <f t="shared" si="44"/>
        <v>0</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4.8970019869446935E-2</v>
      </c>
      <c r="D87" s="240">
        <f t="shared" si="44"/>
        <v>9.5868648270435702E-2</v>
      </c>
      <c r="E87" s="240">
        <f t="shared" si="44"/>
        <v>0.14712455553098699</v>
      </c>
      <c r="F87" s="240">
        <f t="shared" si="44"/>
        <v>0.20362295890514617</v>
      </c>
      <c r="G87" s="240">
        <f t="shared" si="44"/>
        <v>0.26659261976297471</v>
      </c>
      <c r="H87" s="240">
        <f t="shared" si="44"/>
        <v>0.3377952932763828</v>
      </c>
      <c r="I87" s="240">
        <f t="shared" si="44"/>
        <v>0.41985082382356337</v>
      </c>
      <c r="J87" s="240">
        <f t="shared" si="44"/>
        <v>0.5168160557209357</v>
      </c>
      <c r="K87" s="240">
        <f t="shared" si="44"/>
        <v>0.63528604275816969</v>
      </c>
      <c r="L87" s="240">
        <f t="shared" si="44"/>
        <v>0.78656505983119129</v>
      </c>
      <c r="M87" s="240">
        <f t="shared" si="44"/>
        <v>0.99110228162631941</v>
      </c>
      <c r="N87" s="240">
        <f t="shared" si="44"/>
        <v>1.2873199724269535</v>
      </c>
      <c r="O87" s="240">
        <f t="shared" si="44"/>
        <v>1.7463931404332922</v>
      </c>
      <c r="P87" s="240">
        <f t="shared" si="44"/>
        <v>2.4895190103191429</v>
      </c>
      <c r="Q87" s="240">
        <f t="shared" si="44"/>
        <v>3.7181263922498613</v>
      </c>
      <c r="R87" s="240">
        <f t="shared" si="44"/>
        <v>5.8402470547986063</v>
      </c>
      <c r="S87" s="240">
        <f t="shared" si="44"/>
        <v>9.9058733620442467</v>
      </c>
      <c r="T87" s="240">
        <f t="shared" si="44"/>
        <v>19.352457508333249</v>
      </c>
      <c r="U87" s="240">
        <f t="shared" si="44"/>
        <v>0</v>
      </c>
      <c r="V87" s="240">
        <f t="shared" si="44"/>
        <v>0</v>
      </c>
      <c r="W87" s="240">
        <f t="shared" si="44"/>
        <v>0</v>
      </c>
      <c r="X87" s="240">
        <f t="shared" si="44"/>
        <v>0</v>
      </c>
      <c r="Y87" s="240">
        <f t="shared" si="44"/>
        <v>0</v>
      </c>
    </row>
    <row r="88" spans="1:25" x14ac:dyDescent="0.2">
      <c r="A88" t="str">
        <f t="shared" si="46"/>
        <v>Keynes-Kaldor</v>
      </c>
      <c r="B88" s="240">
        <f t="shared" si="45"/>
        <v>5.7716594496607888E-3</v>
      </c>
      <c r="C88" s="240">
        <f t="shared" si="44"/>
        <v>5.3301865652542302E-2</v>
      </c>
      <c r="D88" s="240">
        <f t="shared" si="44"/>
        <v>0.10450067379306745</v>
      </c>
      <c r="E88" s="240">
        <f t="shared" si="44"/>
        <v>0.16003759756056501</v>
      </c>
      <c r="F88" s="240">
        <f t="shared" si="44"/>
        <v>0.2208183838164301</v>
      </c>
      <c r="G88" s="240">
        <f t="shared" si="44"/>
        <v>0.28810316704423233</v>
      </c>
      <c r="H88" s="240">
        <f t="shared" si="44"/>
        <v>0.36369647469107902</v>
      </c>
      <c r="I88" s="240">
        <f t="shared" si="44"/>
        <v>0.45026986616641701</v>
      </c>
      <c r="J88" s="240">
        <f t="shared" si="44"/>
        <v>0.5519251814337699</v>
      </c>
      <c r="K88" s="240">
        <f t="shared" si="44"/>
        <v>0.67523951792995618</v>
      </c>
      <c r="L88" s="240">
        <f t="shared" si="44"/>
        <v>0.83125500281749987</v>
      </c>
      <c r="M88" s="240">
        <f t="shared" si="44"/>
        <v>1.0393432376421339</v>
      </c>
      <c r="N88" s="240">
        <f t="shared" si="44"/>
        <v>1.3342623505223261</v>
      </c>
      <c r="O88" s="240">
        <f t="shared" si="44"/>
        <v>1.7760326165786215</v>
      </c>
      <c r="P88" s="240">
        <f t="shared" si="44"/>
        <v>2.4556839402255162</v>
      </c>
      <c r="Q88" s="240">
        <f t="shared" si="44"/>
        <v>3.4954284940249991</v>
      </c>
      <c r="R88" s="240">
        <f t="shared" si="44"/>
        <v>5.0729387808543711</v>
      </c>
      <c r="S88" s="240">
        <f t="shared" si="44"/>
        <v>7.4656582715713009</v>
      </c>
      <c r="T88" s="240">
        <f t="shared" si="44"/>
        <v>10.955046530711257</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6.1523794427630472E-2</v>
      </c>
      <c r="D89" s="240">
        <f t="shared" si="44"/>
        <v>0.12286646391601222</v>
      </c>
      <c r="E89" s="240">
        <f t="shared" si="44"/>
        <v>0.19082706635634183</v>
      </c>
      <c r="F89" s="240">
        <f t="shared" si="44"/>
        <v>0.26674945685701446</v>
      </c>
      <c r="G89" s="240">
        <f t="shared" si="44"/>
        <v>0.35243922216532536</v>
      </c>
      <c r="H89" s="240">
        <f t="shared" si="44"/>
        <v>0.45039681041417007</v>
      </c>
      <c r="I89" s="240">
        <f t="shared" si="44"/>
        <v>0.56420433350983312</v>
      </c>
      <c r="J89" s="240">
        <f t="shared" si="44"/>
        <v>0.69919712522062705</v>
      </c>
      <c r="K89" s="240">
        <f t="shared" si="44"/>
        <v>0.86368887874841127</v>
      </c>
      <c r="L89" s="240">
        <f t="shared" si="44"/>
        <v>1.0713410800859129</v>
      </c>
      <c r="M89" s="240">
        <f t="shared" si="44"/>
        <v>1.346051370381814</v>
      </c>
      <c r="N89" s="240">
        <f t="shared" si="44"/>
        <v>1.7327289508778689</v>
      </c>
      <c r="O89" s="240">
        <f t="shared" si="44"/>
        <v>2.3223251545078041</v>
      </c>
      <c r="P89" s="240">
        <f t="shared" si="44"/>
        <v>3.3103559860164053</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3.2700247246584303E-2</v>
      </c>
      <c r="D90" s="240">
        <f t="shared" si="44"/>
        <v>6.0770453461181692E-2</v>
      </c>
      <c r="E90" s="240">
        <f t="shared" si="44"/>
        <v>8.9980309539193962E-2</v>
      </c>
      <c r="F90" s="240">
        <f t="shared" si="44"/>
        <v>0.12029589031905873</v>
      </c>
      <c r="G90" s="240">
        <f t="shared" si="44"/>
        <v>0.15163824321778269</v>
      </c>
      <c r="H90" s="240">
        <f t="shared" si="44"/>
        <v>0.18386361198041745</v>
      </c>
      <c r="I90" s="240">
        <f t="shared" si="44"/>
        <v>0.21674015067427413</v>
      </c>
      <c r="J90" s="240">
        <f t="shared" si="44"/>
        <v>0.24991870569496261</v>
      </c>
      <c r="K90" s="240">
        <f t="shared" si="44"/>
        <v>0.28289901872395939</v>
      </c>
      <c r="L90" s="240">
        <f t="shared" si="44"/>
        <v>0.31498714385678389</v>
      </c>
      <c r="M90" s="240">
        <f t="shared" si="44"/>
        <v>0.34523655566153816</v>
      </c>
      <c r="N90" s="240">
        <f t="shared" si="44"/>
        <v>0.37229202933472877</v>
      </c>
      <c r="O90" s="240">
        <f t="shared" si="44"/>
        <v>0.39406865407931663</v>
      </c>
      <c r="P90" s="240">
        <f t="shared" si="44"/>
        <v>0.40881535512895384</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3.9026796831007619E-2</v>
      </c>
      <c r="D91" s="240">
        <f t="shared" si="44"/>
        <v>7.4352768910207409E-2</v>
      </c>
      <c r="E91" s="240">
        <f t="shared" si="44"/>
        <v>0.1119887396177689</v>
      </c>
      <c r="F91" s="240">
        <f t="shared" si="44"/>
        <v>0.15222913848519373</v>
      </c>
      <c r="G91" s="240">
        <f t="shared" si="44"/>
        <v>0.19544106561300115</v>
      </c>
      <c r="H91" s="240">
        <f t="shared" si="44"/>
        <v>0.24208813993010339</v>
      </c>
      <c r="I91" s="240">
        <f t="shared" si="44"/>
        <v>0.29276360595962542</v>
      </c>
      <c r="J91" s="240">
        <f t="shared" si="44"/>
        <v>0.34823581169705192</v>
      </c>
      <c r="K91" s="240">
        <f t="shared" si="44"/>
        <v>0.40951708930420155</v>
      </c>
      <c r="L91" s="240">
        <f t="shared" si="44"/>
        <v>0.47797733991469471</v>
      </c>
      <c r="M91" s="240">
        <f t="shared" si="44"/>
        <v>0.55556050681280966</v>
      </c>
      <c r="N91" s="240">
        <f t="shared" si="44"/>
        <v>0.64527347345874986</v>
      </c>
      <c r="O91" s="240">
        <f t="shared" si="44"/>
        <v>0.7524011991295565</v>
      </c>
      <c r="P91" s="240">
        <f t="shared" si="44"/>
        <v>0.88764198147362838</v>
      </c>
      <c r="Q91" s="240">
        <f t="shared" si="44"/>
        <v>1.0750158813265609</v>
      </c>
      <c r="R91" s="240">
        <f t="shared" si="44"/>
        <v>1.3712031675036946</v>
      </c>
      <c r="S91" s="240">
        <f t="shared" si="44"/>
        <v>1.9142556226222847</v>
      </c>
      <c r="T91" s="240">
        <f t="shared" si="44"/>
        <v>3.0890202561517297</v>
      </c>
      <c r="U91" s="240">
        <f t="shared" si="44"/>
        <v>6.6230569229361889</v>
      </c>
      <c r="V91" s="240">
        <f t="shared" si="44"/>
        <v>8.3153867575230453</v>
      </c>
      <c r="W91" s="240">
        <f t="shared" si="44"/>
        <v>11.021216696689862</v>
      </c>
      <c r="X91" s="240">
        <f t="shared" si="44"/>
        <v>16.067136217929136</v>
      </c>
      <c r="Y91" s="240">
        <f t="shared" si="44"/>
        <v>0</v>
      </c>
    </row>
    <row r="92" spans="1:25" x14ac:dyDescent="0.2">
      <c r="A92" t="str">
        <f t="shared" si="46"/>
        <v>Neo-K1</v>
      </c>
      <c r="B92" s="240">
        <f t="shared" si="45"/>
        <v>5.7716594496607888E-3</v>
      </c>
      <c r="C92" s="240">
        <f t="shared" si="44"/>
        <v>4.2068191372939129E-2</v>
      </c>
      <c r="D92" s="240">
        <f t="shared" si="44"/>
        <v>8.1097968658784311E-2</v>
      </c>
      <c r="E92" s="240">
        <f t="shared" si="44"/>
        <v>0.12326623401372043</v>
      </c>
      <c r="F92" s="240">
        <f t="shared" si="44"/>
        <v>0.16908747464175358</v>
      </c>
      <c r="G92" s="240">
        <f t="shared" si="44"/>
        <v>0.21922748224940952</v>
      </c>
      <c r="H92" s="240">
        <f t="shared" si="44"/>
        <v>0.27456249496586699</v>
      </c>
      <c r="I92" s="240">
        <f t="shared" si="44"/>
        <v>0.33626696034103754</v>
      </c>
      <c r="J92" s="240">
        <f t="shared" si="44"/>
        <v>0.40593853497195431</v>
      </c>
      <c r="K92" s="240">
        <f t="shared" si="44"/>
        <v>0.48578455612242322</v>
      </c>
      <c r="L92" s="240">
        <f t="shared" si="44"/>
        <v>0.57887627563127031</v>
      </c>
      <c r="M92" s="240">
        <f t="shared" si="44"/>
        <v>0.68947132757939855</v>
      </c>
      <c r="N92" s="240">
        <f t="shared" si="44"/>
        <v>0.82330496895646599</v>
      </c>
      <c r="O92" s="240">
        <f t="shared" si="44"/>
        <v>0.9875282658549166</v>
      </c>
      <c r="P92" s="240">
        <f t="shared" si="44"/>
        <v>1.1896336819397086</v>
      </c>
      <c r="Q92" s="240">
        <f t="shared" si="44"/>
        <v>1.4348110991719523</v>
      </c>
      <c r="R92" s="240">
        <f t="shared" si="44"/>
        <v>1.7227281506372705</v>
      </c>
      <c r="S92" s="240">
        <f t="shared" si="44"/>
        <v>2.0464864719866038</v>
      </c>
      <c r="T92" s="240">
        <f t="shared" si="44"/>
        <v>2.3949299606067216</v>
      </c>
      <c r="U92" s="240">
        <f t="shared" si="44"/>
        <v>2.756154169471619</v>
      </c>
      <c r="V92" s="240">
        <f t="shared" si="44"/>
        <v>2.8289891724615819</v>
      </c>
      <c r="W92" s="240">
        <f t="shared" si="44"/>
        <v>2.9018482909044336</v>
      </c>
      <c r="X92" s="240">
        <f t="shared" si="44"/>
        <v>2.974666436556701</v>
      </c>
      <c r="Y92" s="240">
        <f t="shared" si="44"/>
        <v>3.0473829531073555</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W22" sqref="W22"/>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0.99377394688788867</v>
      </c>
      <c r="D2">
        <f>'Diagnosis Indicators'!D3</f>
        <v>0.98720033915076844</v>
      </c>
      <c r="E2">
        <f>'Diagnosis Indicators'!E3</f>
        <v>0.98023606120743711</v>
      </c>
      <c r="F2">
        <f>'Diagnosis Indicators'!F3</f>
        <v>0.97282564313222741</v>
      </c>
      <c r="G2">
        <f>'Diagnosis Indicators'!G3</f>
        <v>0.96489543990938731</v>
      </c>
      <c r="H2">
        <f>'Diagnosis Indicators'!H3</f>
        <v>0.95634416620007823</v>
      </c>
      <c r="I2">
        <f>'Diagnosis Indicators'!I3</f>
        <v>0.94702832340664111</v>
      </c>
      <c r="J2">
        <f>'Diagnosis Indicators'!J3</f>
        <v>0.93673682819963666</v>
      </c>
      <c r="K2">
        <f>'Diagnosis Indicators'!K3</f>
        <v>0.92514866177075605</v>
      </c>
      <c r="L2">
        <f>'Diagnosis Indicators'!L3</f>
        <v>0.9117567196602484</v>
      </c>
      <c r="M2">
        <f>'Diagnosis Indicators'!M3</f>
        <v>0.89573562336423407</v>
      </c>
      <c r="N2">
        <f>'Diagnosis Indicators'!N3</f>
        <v>0.87573937854365258</v>
      </c>
      <c r="O2">
        <f>'Diagnosis Indicators'!O3</f>
        <v>0.84972519089397625</v>
      </c>
      <c r="P2">
        <f>'Diagnosis Indicators'!P3</f>
        <v>0.81514729825972798</v>
      </c>
      <c r="Q2">
        <f>'Diagnosis Indicators'!Q3</f>
        <v>0.76936993467262049</v>
      </c>
      <c r="R2">
        <f>'Diagnosis Indicators'!R3</f>
        <v>0.70872112396133358</v>
      </c>
      <c r="S2">
        <f>'Diagnosis Indicators'!S3</f>
        <v>0.62577440941320783</v>
      </c>
      <c r="T2">
        <f>'Diagnosis Indicators'!T3</f>
        <v>0.50455523251495105</v>
      </c>
      <c r="U2">
        <f>'Diagnosis Indicators'!U3</f>
        <v>0.30742264395316771</v>
      </c>
    </row>
    <row r="3" spans="1:25" x14ac:dyDescent="0.2">
      <c r="A3" t="str">
        <f>'Diagnosis Indicators'!A4</f>
        <v>Kaldorian</v>
      </c>
      <c r="B3">
        <f>'Diagnosis Indicators'!B4</f>
        <v>1</v>
      </c>
      <c r="C3">
        <f>'Diagnosis Indicators'!C4</f>
        <v>1.0100615684299605</v>
      </c>
      <c r="D3">
        <f>'Diagnosis Indicators'!D4</f>
        <v>1.0196913666835627</v>
      </c>
      <c r="E3">
        <f>'Diagnosis Indicators'!E4</f>
        <v>1.0288853017727049</v>
      </c>
      <c r="F3">
        <f>'Diagnosis Indicators'!F4</f>
        <v>1.0376498188359475</v>
      </c>
      <c r="G3">
        <f>'Diagnosis Indicators'!G4</f>
        <v>1.046009460975057</v>
      </c>
      <c r="H3">
        <f>'Diagnosis Indicators'!H4</f>
        <v>1.0540203551623042</v>
      </c>
      <c r="I3">
        <f>'Diagnosis Indicators'!I4</f>
        <v>1.0617950402786056</v>
      </c>
      <c r="J3">
        <f>'Diagnosis Indicators'!J4</f>
        <v>1.0695495837406441</v>
      </c>
      <c r="K3">
        <f>'Diagnosis Indicators'!K4</f>
        <v>1.0776885544448778</v>
      </c>
      <c r="L3">
        <f>'Diagnosis Indicators'!L4</f>
        <v>1.0869213635734369</v>
      </c>
      <c r="M3">
        <f>'Diagnosis Indicators'!M4</f>
        <v>1.0981841293302346</v>
      </c>
      <c r="N3">
        <f>'Diagnosis Indicators'!N4</f>
        <v>1.1115572297563883</v>
      </c>
      <c r="O3">
        <f>'Diagnosis Indicators'!O4</f>
        <v>1.1245056302445802</v>
      </c>
      <c r="P3">
        <f>'Diagnosis Indicators'!P4</f>
        <v>1.1328128910289637</v>
      </c>
    </row>
    <row r="4" spans="1:25" x14ac:dyDescent="0.2">
      <c r="A4" t="str">
        <f>'Diagnosis Indicators'!A5</f>
        <v>Johansen</v>
      </c>
      <c r="B4">
        <f>'Diagnosis Indicators'!B5</f>
        <v>1</v>
      </c>
      <c r="C4">
        <f>'Diagnosis Indicators'!C5</f>
        <v>0.99818190938924434</v>
      </c>
      <c r="D4">
        <f>'Diagnosis Indicators'!D5</f>
        <v>0.99603632727806435</v>
      </c>
      <c r="E4">
        <f>'Diagnosis Indicators'!E5</f>
        <v>0.99352305443789324</v>
      </c>
      <c r="F4">
        <f>'Diagnosis Indicators'!F5</f>
        <v>0.99059229827538609</v>
      </c>
      <c r="G4">
        <f>'Diagnosis Indicators'!G5</f>
        <v>0.98718119586097552</v>
      </c>
      <c r="H4">
        <f>'Diagnosis Indicators'!H5</f>
        <v>0.98320756420999589</v>
      </c>
      <c r="I4">
        <f>'Diagnosis Indicators'!I5</f>
        <v>0.97856131442106264</v>
      </c>
      <c r="J4">
        <f>'Diagnosis Indicators'!J5</f>
        <v>0.97308878088694251</v>
      </c>
      <c r="K4">
        <f>'Diagnosis Indicators'!K5</f>
        <v>0.96656762652960948</v>
      </c>
      <c r="L4">
        <f>'Diagnosis Indicators'!L5</f>
        <v>0.95866118460338112</v>
      </c>
      <c r="M4">
        <f>'Diagnosis Indicators'!M5</f>
        <v>0.9488378000919192</v>
      </c>
      <c r="N4">
        <f>'Diagnosis Indicators'!N5</f>
        <v>0.93623961571583747</v>
      </c>
      <c r="O4">
        <f>'Diagnosis Indicators'!O5</f>
        <v>0.91952869977698637</v>
      </c>
      <c r="P4">
        <f>'Diagnosis Indicators'!P5</f>
        <v>0.89683039916740503</v>
      </c>
      <c r="Q4">
        <f>'Diagnosis Indicators'!Q5</f>
        <v>0.86563587664335062</v>
      </c>
      <c r="R4">
        <f>'Diagnosis Indicators'!R5</f>
        <v>0.82193104530012839</v>
      </c>
      <c r="S4">
        <f>'Diagnosis Indicators'!S5</f>
        <v>0.75798691799173923</v>
      </c>
      <c r="T4">
        <f>'Diagnosis Indicators'!T5</f>
        <v>0.65682613047808747</v>
      </c>
    </row>
    <row r="5" spans="1:25" x14ac:dyDescent="0.2">
      <c r="A5" t="str">
        <f>'Diagnosis Indicators'!A6</f>
        <v>Keynes-Kaldor</v>
      </c>
      <c r="B5">
        <f>'Diagnosis Indicators'!B6</f>
        <v>1</v>
      </c>
      <c r="C5">
        <f>'Diagnosis Indicators'!C6</f>
        <v>1.0023124974449211</v>
      </c>
      <c r="D5">
        <f>'Diagnosis Indicators'!D6</f>
        <v>1.0038005904275527</v>
      </c>
      <c r="E5">
        <f>'Diagnosis Indicators'!E6</f>
        <v>1.004409952584836</v>
      </c>
      <c r="F5">
        <f>'Diagnosis Indicators'!F6</f>
        <v>1.0040694557389189</v>
      </c>
      <c r="G5">
        <f>'Diagnosis Indicators'!G6</f>
        <v>1.0026874736203815</v>
      </c>
      <c r="H5">
        <f>'Diagnosis Indicators'!H6</f>
        <v>1.0001438179448972</v>
      </c>
      <c r="I5">
        <f>'Diagnosis Indicators'!I6</f>
        <v>0.99628062224766889</v>
      </c>
      <c r="J5">
        <f>'Diagnosis Indicators'!J6</f>
        <v>0.99088436615280184</v>
      </c>
      <c r="K5">
        <f>'Diagnosis Indicators'!K6</f>
        <v>0.98365812594401703</v>
      </c>
      <c r="L5">
        <f>'Diagnosis Indicators'!L6</f>
        <v>0.9741699965386833</v>
      </c>
      <c r="M5">
        <f>'Diagnosis Indicators'!M6</f>
        <v>0.96175438561051585</v>
      </c>
      <c r="N5">
        <f>'Diagnosis Indicators'!N6</f>
        <v>0.94531522968770743</v>
      </c>
      <c r="O5">
        <f>'Diagnosis Indicators'!O6</f>
        <v>0.92295101643203714</v>
      </c>
      <c r="P5">
        <f>'Diagnosis Indicators'!P6</f>
        <v>0.8914260870030698</v>
      </c>
      <c r="Q5">
        <f>'Diagnosis Indicators'!Q6</f>
        <v>0.84574491299032128</v>
      </c>
      <c r="R5">
        <f>'Diagnosis Indicators'!R6</f>
        <v>0.77855382909075488</v>
      </c>
      <c r="S5">
        <f>'Diagnosis Indicators'!S6</f>
        <v>0.67824320569905705</v>
      </c>
      <c r="T5">
        <f>'Diagnosis Indicators'!T6</f>
        <v>0.52576958339199154</v>
      </c>
    </row>
    <row r="6" spans="1:25" x14ac:dyDescent="0.2">
      <c r="A6" t="str">
        <f>'Diagnosis Indicators'!A7</f>
        <v>Keynes-Marshall</v>
      </c>
      <c r="B6">
        <f>'Diagnosis Indicators'!B7</f>
        <v>1</v>
      </c>
      <c r="C6">
        <f>'Diagnosis Indicators'!C7</f>
        <v>1.011664907786441</v>
      </c>
      <c r="D6">
        <f>'Diagnosis Indicators'!D7</f>
        <v>1.0229336239405502</v>
      </c>
      <c r="E6">
        <f>'Diagnosis Indicators'!E7</f>
        <v>1.0337805373824198</v>
      </c>
      <c r="F6">
        <f>'Diagnosis Indicators'!F7</f>
        <v>1.0441725952070524</v>
      </c>
      <c r="G6">
        <f>'Diagnosis Indicators'!G7</f>
        <v>1.0540692630642488</v>
      </c>
      <c r="H6">
        <f>'Diagnosis Indicators'!H7</f>
        <v>1.0634227948076387</v>
      </c>
      <c r="I6">
        <f>'Diagnosis Indicators'!I7</f>
        <v>1.0721796865772462</v>
      </c>
      <c r="J6">
        <f>'Diagnosis Indicators'!J7</f>
        <v>1.0802835502926891</v>
      </c>
      <c r="K6">
        <f>'Diagnosis Indicators'!K7</f>
        <v>1.0876812258962563</v>
      </c>
      <c r="L6">
        <f>'Diagnosis Indicators'!L7</f>
        <v>1.0943339453160903</v>
      </c>
      <c r="M6">
        <f>'Diagnosis Indicators'!M7</f>
        <v>1.1002348667412578</v>
      </c>
      <c r="N6">
        <f>'Diagnosis Indicators'!N7</f>
        <v>1.1054232652472213</v>
      </c>
      <c r="O6">
        <f>'Diagnosis Indicators'!O7</f>
        <v>1.1099228412238444</v>
      </c>
      <c r="P6">
        <f>'Diagnosis Indicators'!P7</f>
        <v>1.1132796288556681</v>
      </c>
    </row>
    <row r="7" spans="1:25" x14ac:dyDescent="0.2">
      <c r="A7" t="str">
        <f>'Diagnosis Indicators'!A8</f>
        <v>Keynesian</v>
      </c>
      <c r="B7">
        <f>'Diagnosis Indicators'!B8</f>
        <v>1</v>
      </c>
      <c r="C7">
        <f>'Diagnosis Indicators'!C8</f>
        <v>0.9793323022213396</v>
      </c>
      <c r="D7">
        <f>'Diagnosis Indicators'!D8</f>
        <v>0.95661313767014189</v>
      </c>
      <c r="E7">
        <f>'Diagnosis Indicators'!E8</f>
        <v>0.93162207560086718</v>
      </c>
      <c r="F7">
        <f>'Diagnosis Indicators'!F8</f>
        <v>0.90411808178608744</v>
      </c>
      <c r="G7">
        <f>'Diagnosis Indicators'!G8</f>
        <v>0.87384528223329583</v>
      </c>
      <c r="H7">
        <f>'Diagnosis Indicators'!H8</f>
        <v>0.84054365082353255</v>
      </c>
      <c r="I7">
        <f>'Diagnosis Indicators'!I8</f>
        <v>0.80397204287112412</v>
      </c>
      <c r="J7">
        <f>'Diagnosis Indicators'!J8</f>
        <v>0.76395216291537982</v>
      </c>
      <c r="K7">
        <f>'Diagnosis Indicators'!K8</f>
        <v>0.72045442167992968</v>
      </c>
      <c r="L7">
        <f>'Diagnosis Indicators'!L8</f>
        <v>0.67377568186850501</v>
      </c>
      <c r="M7">
        <f>'Diagnosis Indicators'!M8</f>
        <v>0.62496749216388658</v>
      </c>
      <c r="N7">
        <f>'Diagnosis Indicators'!N8</f>
        <v>0.57705341325971971</v>
      </c>
      <c r="O7">
        <f>'Diagnosis Indicators'!O8</f>
        <v>0.53839879185332562</v>
      </c>
      <c r="P7">
        <f>'Diagnosis Indicators'!P8</f>
        <v>0.5206698770117516</v>
      </c>
    </row>
    <row r="8" spans="1:25" x14ac:dyDescent="0.2">
      <c r="A8" t="str">
        <f>'Diagnosis Indicators'!A9</f>
        <v>Neo-K2</v>
      </c>
      <c r="B8">
        <f>'Diagnosis Indicators'!B9</f>
        <v>1</v>
      </c>
      <c r="C8">
        <f>'Diagnosis Indicators'!C9</f>
        <v>0.98645947072765583</v>
      </c>
      <c r="D8">
        <f>'Diagnosis Indicators'!D9</f>
        <v>0.97181142204574833</v>
      </c>
      <c r="E8">
        <f>'Diagnosis Indicators'!E9</f>
        <v>0.95588902809451115</v>
      </c>
      <c r="F8">
        <f>'Diagnosis Indicators'!F9</f>
        <v>0.93848707865377445</v>
      </c>
      <c r="G8">
        <f>'Diagnosis Indicators'!G9</f>
        <v>0.9193499306109757</v>
      </c>
      <c r="H8">
        <f>'Diagnosis Indicators'!H9</f>
        <v>0.89815587179177614</v>
      </c>
      <c r="I8">
        <f>'Diagnosis Indicators'!I9</f>
        <v>0.87449729414354993</v>
      </c>
      <c r="J8">
        <f>'Diagnosis Indicators'!J9</f>
        <v>0.84785584840214845</v>
      </c>
      <c r="K8">
        <f>'Diagnosis Indicators'!K9</f>
        <v>0.81757569533125052</v>
      </c>
      <c r="L8">
        <f>'Diagnosis Indicators'!L9</f>
        <v>0.7828420580968426</v>
      </c>
      <c r="M8">
        <f>'Diagnosis Indicators'!M9</f>
        <v>0.74268295453166489</v>
      </c>
      <c r="N8">
        <f>'Diagnosis Indicators'!N9</f>
        <v>0.69603111969190079</v>
      </c>
      <c r="O8">
        <f>'Diagnosis Indicators'!O9</f>
        <v>0.6418960927398013</v>
      </c>
      <c r="P8">
        <f>'Diagnosis Indicators'!P9</f>
        <v>0.57967792109741212</v>
      </c>
      <c r="Q8">
        <f>'Diagnosis Indicators'!Q9</f>
        <v>0.50954447155818028</v>
      </c>
      <c r="R8">
        <f>'Diagnosis Indicators'!R9</f>
        <v>0.43261946780339228</v>
      </c>
      <c r="S8">
        <f>'Diagnosis Indicators'!S9</f>
        <v>0.35054398648128282</v>
      </c>
      <c r="T8">
        <f>'Diagnosis Indicators'!T9</f>
        <v>0.26357426443249538</v>
      </c>
      <c r="U8">
        <f>'Diagnosis Indicators'!U9</f>
        <v>0.16553216736518614</v>
      </c>
      <c r="V8">
        <f>'Diagnosis Indicators'!V9</f>
        <v>0.14277254663242578</v>
      </c>
      <c r="W8">
        <f>'Diagnosis Indicators'!W9</f>
        <v>0.11793065618254325</v>
      </c>
      <c r="X8">
        <f>'Diagnosis Indicators'!X9</f>
        <v>8.9874974977164387E-2</v>
      </c>
    </row>
    <row r="9" spans="1:25" x14ac:dyDescent="0.2">
      <c r="A9" t="str">
        <f>'Diagnosis Indicators'!A10</f>
        <v>Neo-K1</v>
      </c>
      <c r="B9">
        <f>'Diagnosis Indicators'!B10</f>
        <v>1</v>
      </c>
      <c r="C9">
        <f>'Diagnosis Indicators'!C10</f>
        <v>0.98882044448081396</v>
      </c>
      <c r="D9">
        <f>'Diagnosis Indicators'!D10</f>
        <v>0.97684074451193714</v>
      </c>
      <c r="E9">
        <f>'Diagnosis Indicators'!E10</f>
        <v>0.96394656607524687</v>
      </c>
      <c r="F9">
        <f>'Diagnosis Indicators'!F10</f>
        <v>0.94999433536421962</v>
      </c>
      <c r="G9">
        <f>'Diagnosis Indicators'!G10</f>
        <v>0.93480063032644056</v>
      </c>
      <c r="H9">
        <f>'Diagnosis Indicators'!H10</f>
        <v>0.91812630149371532</v>
      </c>
      <c r="I9">
        <f>'Diagnosis Indicators'!I10</f>
        <v>0.89965389413439645</v>
      </c>
      <c r="J9">
        <f>'Diagnosis Indicators'!J10</f>
        <v>0.87895316124755041</v>
      </c>
      <c r="K9">
        <f>'Diagnosis Indicators'!K10</f>
        <v>0.85543153220345425</v>
      </c>
      <c r="L9">
        <f>'Diagnosis Indicators'!L10</f>
        <v>0.82826136345862544</v>
      </c>
      <c r="M9">
        <f>'Diagnosis Indicators'!M10</f>
        <v>0.79628214512609585</v>
      </c>
      <c r="N9">
        <f>'Diagnosis Indicators'!N10</f>
        <v>0.75788938081632706</v>
      </c>
      <c r="O9">
        <f>'Diagnosis Indicators'!O10</f>
        <v>0.71096915920287274</v>
      </c>
      <c r="P9">
        <f>'Diagnosis Indicators'!P10</f>
        <v>0.65301719462545593</v>
      </c>
      <c r="Q9">
        <f>'Diagnosis Indicators'!Q10</f>
        <v>0.58159390477498374</v>
      </c>
      <c r="R9">
        <f>'Diagnosis Indicators'!R10</f>
        <v>0.49500546805729079</v>
      </c>
      <c r="S9">
        <f>'Diagnosis Indicators'!S10</f>
        <v>0.39272848410246769</v>
      </c>
      <c r="T9">
        <f>'Diagnosis Indicators'!T10</f>
        <v>0.27529245946362185</v>
      </c>
      <c r="U9">
        <f>'Diagnosis Indicators'!U10</f>
        <v>0.1438850271556637</v>
      </c>
      <c r="V9">
        <f>'Diagnosis Indicators'!V10</f>
        <v>0.11605603656196964</v>
      </c>
      <c r="W9">
        <f>'Diagnosis Indicators'!W10</f>
        <v>8.7740381280134755E-2</v>
      </c>
      <c r="X9">
        <f>'Diagnosis Indicators'!X10</f>
        <v>5.8950735544617924E-2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cp:lastPrinted>2025-06-12T14:47:45Z</cp:lastPrinted>
  <dcterms:created xsi:type="dcterms:W3CDTF">2012-11-16T13:59:17Z</dcterms:created>
  <dcterms:modified xsi:type="dcterms:W3CDTF">2025-07-03T15:28:46Z</dcterms:modified>
</cp:coreProperties>
</file>