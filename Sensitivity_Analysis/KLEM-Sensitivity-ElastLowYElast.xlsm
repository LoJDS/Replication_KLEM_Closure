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19BD84FB-3E90-48A1-9614-BC4088B90AFC}"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83" i="35" l="1"/>
  <c r="AF83" i="35"/>
  <c r="AB83" i="35"/>
  <c r="R83" i="35"/>
  <c r="AV82" i="35"/>
  <c r="AR82" i="35"/>
  <c r="P82" i="35"/>
  <c r="L82" i="35"/>
  <c r="AR81" i="35"/>
  <c r="AP81" i="35"/>
  <c r="AH81" i="35"/>
  <c r="AF81" i="35"/>
  <c r="AD81" i="35"/>
  <c r="AB81" i="35"/>
  <c r="Z81" i="35"/>
  <c r="X81" i="35"/>
  <c r="R81" i="35"/>
  <c r="L81" i="35"/>
  <c r="J81" i="35"/>
  <c r="B81" i="35"/>
  <c r="AV80" i="35"/>
  <c r="AT80" i="35"/>
  <c r="AR80" i="35"/>
  <c r="AP80" i="35"/>
  <c r="AN80" i="35"/>
  <c r="AH80" i="35"/>
  <c r="AB80" i="35"/>
  <c r="Z80" i="35"/>
  <c r="R80" i="35"/>
  <c r="P80" i="35"/>
  <c r="N80" i="35"/>
  <c r="L80" i="35"/>
  <c r="J80" i="35"/>
  <c r="H80" i="35"/>
  <c r="B80" i="35"/>
  <c r="AV79" i="35" a="1"/>
  <c r="AV79" i="35" s="1"/>
  <c r="AT79" i="35" a="1"/>
  <c r="AT79" i="35" s="1"/>
  <c r="AR79" i="35" a="1"/>
  <c r="AR79" i="35" s="1"/>
  <c r="AP79" i="35" a="1"/>
  <c r="AP79" i="35" s="1"/>
  <c r="AN79" i="35" a="1"/>
  <c r="AN79" i="35" s="1"/>
  <c r="AL79" i="35" a="1"/>
  <c r="AL79" i="35" s="1"/>
  <c r="AJ79" i="35"/>
  <c r="AJ79" i="35" a="1"/>
  <c r="AH79" i="35" a="1"/>
  <c r="AH79" i="35" s="1"/>
  <c r="AF79" i="35" a="1"/>
  <c r="AF79" i="35" s="1"/>
  <c r="AD79" i="35" a="1"/>
  <c r="AD79" i="35" s="1"/>
  <c r="AB79" i="35" a="1"/>
  <c r="AB79" i="35" s="1"/>
  <c r="Z79" i="35" a="1"/>
  <c r="Z79" i="35" s="1"/>
  <c r="X79" i="35" a="1"/>
  <c r="X79" i="35" s="1"/>
  <c r="V79" i="35" a="1"/>
  <c r="V79" i="35" s="1"/>
  <c r="T79" i="35"/>
  <c r="T79" i="35" a="1"/>
  <c r="R79" i="35" a="1"/>
  <c r="R79" i="35" s="1"/>
  <c r="P79" i="35" a="1"/>
  <c r="P79" i="35" s="1"/>
  <c r="N79" i="35" a="1"/>
  <c r="N79" i="35" s="1"/>
  <c r="L79" i="35" a="1"/>
  <c r="L79" i="35" s="1"/>
  <c r="J79" i="35" a="1"/>
  <c r="J79" i="35" s="1"/>
  <c r="H79" i="35" a="1"/>
  <c r="H79" i="35" s="1"/>
  <c r="F79" i="35" a="1"/>
  <c r="F79" i="35" s="1"/>
  <c r="D79" i="35"/>
  <c r="D79" i="35" a="1"/>
  <c r="B79" i="35" a="1"/>
  <c r="B79" i="35" s="1"/>
  <c r="AV78" i="35" a="1"/>
  <c r="AV78" i="35" s="1"/>
  <c r="AT78" i="35" a="1"/>
  <c r="AT78" i="35" s="1"/>
  <c r="AR78" i="35" a="1"/>
  <c r="AR78" i="35" s="1"/>
  <c r="AP78" i="35" a="1"/>
  <c r="AP78" i="35" s="1"/>
  <c r="AN78" i="35" a="1"/>
  <c r="AN78" i="35" s="1"/>
  <c r="AL78" i="35" a="1"/>
  <c r="AL78" i="35" s="1"/>
  <c r="AJ78" i="35"/>
  <c r="AJ78" i="35" a="1"/>
  <c r="AH78" i="35" a="1"/>
  <c r="AH78" i="35" s="1"/>
  <c r="AF78" i="35" a="1"/>
  <c r="AF78" i="35" s="1"/>
  <c r="AD78" i="35" a="1"/>
  <c r="AD78" i="35" s="1"/>
  <c r="AB78" i="35" a="1"/>
  <c r="AB78" i="35" s="1"/>
  <c r="Z78" i="35" a="1"/>
  <c r="Z78" i="35" s="1"/>
  <c r="X78" i="35" a="1"/>
  <c r="X78" i="35" s="1"/>
  <c r="V78" i="35" a="1"/>
  <c r="V78" i="35" s="1"/>
  <c r="T78" i="35"/>
  <c r="T78" i="35" a="1"/>
  <c r="R78" i="35" a="1"/>
  <c r="R78" i="35" s="1"/>
  <c r="P78" i="35" a="1"/>
  <c r="P78" i="35" s="1"/>
  <c r="N78" i="35" a="1"/>
  <c r="N78" i="35" s="1"/>
  <c r="L78" i="35" a="1"/>
  <c r="L78" i="35" s="1"/>
  <c r="J78" i="35" a="1"/>
  <c r="J78" i="35" s="1"/>
  <c r="H78" i="35" a="1"/>
  <c r="H78" i="35" s="1"/>
  <c r="F78" i="35" a="1"/>
  <c r="F78" i="35" s="1"/>
  <c r="D78" i="35"/>
  <c r="D78" i="35" a="1"/>
  <c r="B78" i="35" a="1"/>
  <c r="B78" i="35" s="1"/>
  <c r="AV77" i="35" a="1"/>
  <c r="AV77" i="35" s="1"/>
  <c r="AT77" i="35" a="1"/>
  <c r="AT77" i="35" s="1"/>
  <c r="AR77" i="35" a="1"/>
  <c r="AR77" i="35" s="1"/>
  <c r="AP77" i="35" a="1"/>
  <c r="AP77" i="35" s="1"/>
  <c r="AN77" i="35" a="1"/>
  <c r="AN77" i="35" s="1"/>
  <c r="AL77" i="35" a="1"/>
  <c r="AL77" i="35" s="1"/>
  <c r="AJ77" i="35"/>
  <c r="AJ77" i="35" a="1"/>
  <c r="AH77" i="35" a="1"/>
  <c r="AH77" i="35" s="1"/>
  <c r="AF77" i="35" a="1"/>
  <c r="AF77" i="35" s="1"/>
  <c r="AD77" i="35" a="1"/>
  <c r="AD77" i="35" s="1"/>
  <c r="AB77" i="35" a="1"/>
  <c r="AB77" i="35" s="1"/>
  <c r="Z77" i="35" a="1"/>
  <c r="Z77" i="35" s="1"/>
  <c r="X77" i="35" a="1"/>
  <c r="X77" i="35" s="1"/>
  <c r="V77" i="35" a="1"/>
  <c r="V77" i="35" s="1"/>
  <c r="T77" i="35"/>
  <c r="T77" i="35" a="1"/>
  <c r="R77" i="35" a="1"/>
  <c r="R77" i="35" s="1"/>
  <c r="P77" i="35" a="1"/>
  <c r="P77" i="35" s="1"/>
  <c r="N77" i="35" a="1"/>
  <c r="N77" i="35" s="1"/>
  <c r="L77" i="35" a="1"/>
  <c r="L77" i="35" s="1"/>
  <c r="J77" i="35" a="1"/>
  <c r="J77" i="35" s="1"/>
  <c r="H77" i="35" a="1"/>
  <c r="H77" i="35" s="1"/>
  <c r="F77" i="35" a="1"/>
  <c r="F77" i="35" s="1"/>
  <c r="D77" i="35"/>
  <c r="D77" i="35" a="1"/>
  <c r="B77" i="35" a="1"/>
  <c r="B77" i="35" s="1"/>
  <c r="AV76" i="35" a="1"/>
  <c r="AV76" i="35" s="1"/>
  <c r="AT76" i="35" a="1"/>
  <c r="AT76" i="35" s="1"/>
  <c r="AR76" i="35" a="1"/>
  <c r="AR76" i="35" s="1"/>
  <c r="AP76" i="35" a="1"/>
  <c r="AP76" i="35" s="1"/>
  <c r="AN76" i="35" a="1"/>
  <c r="AN76" i="35" s="1"/>
  <c r="AL76" i="35" a="1"/>
  <c r="AL76" i="35" s="1"/>
  <c r="AJ76" i="35"/>
  <c r="AJ76" i="35" a="1"/>
  <c r="AH76" i="35" a="1"/>
  <c r="AH76" i="35" s="1"/>
  <c r="AF76" i="35" a="1"/>
  <c r="AF76" i="35" s="1"/>
  <c r="AD76" i="35" a="1"/>
  <c r="AD76" i="35" s="1"/>
  <c r="AB76" i="35" a="1"/>
  <c r="AB76" i="35" s="1"/>
  <c r="Z76" i="35" a="1"/>
  <c r="Z76" i="35" s="1"/>
  <c r="X76" i="35" a="1"/>
  <c r="X76" i="35" s="1"/>
  <c r="V76" i="35" a="1"/>
  <c r="V76" i="35" s="1"/>
  <c r="T76" i="35"/>
  <c r="T76" i="35" a="1"/>
  <c r="R76" i="35" a="1"/>
  <c r="R76" i="35" s="1"/>
  <c r="P76" i="35" a="1"/>
  <c r="P76" i="35" s="1"/>
  <c r="N76" i="35" a="1"/>
  <c r="N76" i="35" s="1"/>
  <c r="L76" i="35" a="1"/>
  <c r="L76" i="35" s="1"/>
  <c r="J76" i="35" a="1"/>
  <c r="J76" i="35" s="1"/>
  <c r="H76" i="35" a="1"/>
  <c r="H76" i="35" s="1"/>
  <c r="F76" i="35" a="1"/>
  <c r="F76" i="35" s="1"/>
  <c r="D76" i="35"/>
  <c r="D76" i="35" a="1"/>
  <c r="B76" i="35" a="1"/>
  <c r="B76" i="35" s="1"/>
  <c r="AV75" i="35" a="1"/>
  <c r="AV75" i="35" s="1"/>
  <c r="AT75" i="35" a="1"/>
  <c r="AT75" i="35" s="1"/>
  <c r="AR75" i="35" a="1"/>
  <c r="AR75" i="35" s="1"/>
  <c r="AP75" i="35" a="1"/>
  <c r="AP75" i="35" s="1"/>
  <c r="AN75" i="35" a="1"/>
  <c r="AN75" i="35" s="1"/>
  <c r="AL75" i="35" a="1"/>
  <c r="AL75" i="35" s="1"/>
  <c r="AJ75" i="35"/>
  <c r="AJ75" i="35" a="1"/>
  <c r="AH75" i="35" a="1"/>
  <c r="AH75" i="35" s="1"/>
  <c r="AF75" i="35" a="1"/>
  <c r="AF75" i="35" s="1"/>
  <c r="AD75" i="35" a="1"/>
  <c r="AD75" i="35" s="1"/>
  <c r="AB75" i="35" a="1"/>
  <c r="AB75" i="35" s="1"/>
  <c r="Z75" i="35" a="1"/>
  <c r="Z75" i="35" s="1"/>
  <c r="X75" i="35" a="1"/>
  <c r="X75" i="35" s="1"/>
  <c r="V75" i="35" a="1"/>
  <c r="V75" i="35" s="1"/>
  <c r="T75" i="35"/>
  <c r="T75" i="35" a="1"/>
  <c r="R75" i="35" a="1"/>
  <c r="R75" i="35" s="1"/>
  <c r="P75" i="35" a="1"/>
  <c r="P75" i="35" s="1"/>
  <c r="N75" i="35" a="1"/>
  <c r="N75" i="35" s="1"/>
  <c r="L75" i="35" a="1"/>
  <c r="L75" i="35" s="1"/>
  <c r="J75" i="35" a="1"/>
  <c r="J75" i="35" s="1"/>
  <c r="H75" i="35" a="1"/>
  <c r="H75" i="35" s="1"/>
  <c r="F75" i="35" a="1"/>
  <c r="F75" i="35" s="1"/>
  <c r="D75" i="35"/>
  <c r="D75" i="35" a="1"/>
  <c r="B75" i="35" a="1"/>
  <c r="B75" i="35" s="1"/>
  <c r="AV74" i="35" a="1"/>
  <c r="AV74" i="35" s="1"/>
  <c r="AT74" i="35" a="1"/>
  <c r="AT74" i="35" s="1"/>
  <c r="AR74" i="35" a="1"/>
  <c r="AR74" i="35" s="1"/>
  <c r="AP74" i="35" a="1"/>
  <c r="AP74" i="35" s="1"/>
  <c r="AN74" i="35" a="1"/>
  <c r="AN74" i="35" s="1"/>
  <c r="AL74" i="35" a="1"/>
  <c r="AL74" i="35" s="1"/>
  <c r="AJ74" i="35"/>
  <c r="AJ74" i="35" a="1"/>
  <c r="AH74" i="35" a="1"/>
  <c r="AH74" i="35" s="1"/>
  <c r="AF74" i="35" a="1"/>
  <c r="AF74" i="35" s="1"/>
  <c r="AD74" i="35" a="1"/>
  <c r="AD74" i="35" s="1"/>
  <c r="AB74" i="35" a="1"/>
  <c r="AB74" i="35" s="1"/>
  <c r="Z74" i="35" a="1"/>
  <c r="Z74" i="35" s="1"/>
  <c r="X74" i="35" a="1"/>
  <c r="X74" i="35" s="1"/>
  <c r="V74" i="35" a="1"/>
  <c r="V74" i="35" s="1"/>
  <c r="T74" i="35"/>
  <c r="T74" i="35" a="1"/>
  <c r="R74" i="35" a="1"/>
  <c r="R74" i="35" s="1"/>
  <c r="P74" i="35" a="1"/>
  <c r="P74" i="35" s="1"/>
  <c r="N74" i="35" a="1"/>
  <c r="N74" i="35" s="1"/>
  <c r="L74" i="35" a="1"/>
  <c r="L74" i="35" s="1"/>
  <c r="J74" i="35" a="1"/>
  <c r="J74" i="35" s="1"/>
  <c r="H74" i="35" a="1"/>
  <c r="H74" i="35" s="1"/>
  <c r="F74" i="35" a="1"/>
  <c r="F74" i="35" s="1"/>
  <c r="D74" i="35"/>
  <c r="D74" i="35" a="1"/>
  <c r="B74" i="35" a="1"/>
  <c r="B74" i="35" s="1"/>
  <c r="AV73" i="35" a="1"/>
  <c r="AV73" i="35" s="1"/>
  <c r="AT73" i="35" a="1"/>
  <c r="AT73" i="35" s="1"/>
  <c r="AR73" i="35" a="1"/>
  <c r="AR73" i="35" s="1"/>
  <c r="AP73" i="35" a="1"/>
  <c r="AP73" i="35" s="1"/>
  <c r="AN73" i="35" a="1"/>
  <c r="AN73" i="35" s="1"/>
  <c r="AL73" i="35" a="1"/>
  <c r="AL73" i="35" s="1"/>
  <c r="AJ73" i="35"/>
  <c r="AJ73" i="35" a="1"/>
  <c r="AH73" i="35" a="1"/>
  <c r="AH73" i="35" s="1"/>
  <c r="AF73" i="35" a="1"/>
  <c r="AF73" i="35" s="1"/>
  <c r="AD73" i="35" a="1"/>
  <c r="AD73" i="35" s="1"/>
  <c r="AB73" i="35" a="1"/>
  <c r="AB73" i="35" s="1"/>
  <c r="Z73" i="35" a="1"/>
  <c r="Z73" i="35" s="1"/>
  <c r="X73" i="35" a="1"/>
  <c r="X73" i="35" s="1"/>
  <c r="V73" i="35" a="1"/>
  <c r="V73" i="35" s="1"/>
  <c r="T73" i="35"/>
  <c r="T73" i="35" a="1"/>
  <c r="R73" i="35" a="1"/>
  <c r="R73" i="35" s="1"/>
  <c r="P73" i="35" a="1"/>
  <c r="P73" i="35" s="1"/>
  <c r="N73" i="35" a="1"/>
  <c r="N73" i="35" s="1"/>
  <c r="L73" i="35" a="1"/>
  <c r="L73" i="35" s="1"/>
  <c r="J73" i="35" a="1"/>
  <c r="J73" i="35" s="1"/>
  <c r="H73" i="35" a="1"/>
  <c r="H73" i="35" s="1"/>
  <c r="F73" i="35" a="1"/>
  <c r="F73" i="35" s="1"/>
  <c r="D73" i="35"/>
  <c r="D73" i="35" a="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B69" i="35"/>
  <c r="AV67" i="35" a="1"/>
  <c r="AV67" i="35" s="1"/>
  <c r="AT67" i="35" a="1"/>
  <c r="AT67" i="35" s="1"/>
  <c r="AR67" i="35"/>
  <c r="AR67" i="35" a="1"/>
  <c r="AP67" i="35" a="1"/>
  <c r="AP67" i="35" s="1"/>
  <c r="AN67" i="35" a="1"/>
  <c r="AN67" i="35" s="1"/>
  <c r="AL67" i="35" a="1"/>
  <c r="AL67" i="35" s="1"/>
  <c r="AJ67" i="35" a="1"/>
  <c r="AJ67" i="35" s="1"/>
  <c r="AH67" i="35" a="1"/>
  <c r="AH67" i="35" s="1"/>
  <c r="AF67" i="35" a="1"/>
  <c r="AF67" i="35" s="1"/>
  <c r="AD67" i="35" a="1"/>
  <c r="AD67" i="35" s="1"/>
  <c r="AB67" i="35"/>
  <c r="AB67" i="35" a="1"/>
  <c r="Z67" i="35" a="1"/>
  <c r="Z67" i="35" s="1"/>
  <c r="X67" i="35" a="1"/>
  <c r="X67" i="35" s="1"/>
  <c r="V67" i="35" a="1"/>
  <c r="V67" i="35" s="1"/>
  <c r="T67" i="35" a="1"/>
  <c r="T67" i="35" s="1"/>
  <c r="R67" i="35" a="1"/>
  <c r="R67" i="35" s="1"/>
  <c r="P67" i="35" a="1"/>
  <c r="P67" i="35" s="1"/>
  <c r="N67" i="35" a="1"/>
  <c r="N67" i="35" s="1"/>
  <c r="L67" i="35"/>
  <c r="L67" i="35" a="1"/>
  <c r="J67" i="35" a="1"/>
  <c r="J67" i="35" s="1"/>
  <c r="H67" i="35" a="1"/>
  <c r="H67" i="35" s="1"/>
  <c r="F67" i="35" a="1"/>
  <c r="F67" i="35" s="1"/>
  <c r="D67" i="35" a="1"/>
  <c r="D67" i="35" s="1"/>
  <c r="B67" i="35" a="1"/>
  <c r="B67" i="35" s="1"/>
  <c r="AV66" i="35" a="1"/>
  <c r="AV66" i="35" s="1"/>
  <c r="AT66" i="35" a="1"/>
  <c r="AT66" i="35" s="1"/>
  <c r="AR66" i="35"/>
  <c r="AR68" i="35" s="1"/>
  <c r="AR66" i="35" a="1"/>
  <c r="AP66" i="35" a="1"/>
  <c r="AP66" i="35" s="1"/>
  <c r="AP68" i="35" s="1"/>
  <c r="AN66" i="35" a="1"/>
  <c r="AN66" i="35" s="1"/>
  <c r="AN68" i="35" s="1"/>
  <c r="AL66" i="35" a="1"/>
  <c r="AL66" i="35" s="1"/>
  <c r="AL68" i="35" s="1"/>
  <c r="AJ66" i="35" a="1"/>
  <c r="AJ66" i="35" s="1"/>
  <c r="AJ68" i="35" s="1"/>
  <c r="AH66" i="35" a="1"/>
  <c r="AH66" i="35" s="1"/>
  <c r="AH68" i="35" s="1"/>
  <c r="AF66" i="35" a="1"/>
  <c r="AF66" i="35" s="1"/>
  <c r="AF68" i="35" s="1"/>
  <c r="AD66" i="35" a="1"/>
  <c r="AD66" i="35" s="1"/>
  <c r="AB66" i="35"/>
  <c r="AB68" i="35" s="1"/>
  <c r="AB66" i="35" a="1"/>
  <c r="Z66" i="35" a="1"/>
  <c r="Z66" i="35" s="1"/>
  <c r="X66" i="35" a="1"/>
  <c r="X66" i="35" s="1"/>
  <c r="V66" i="35" a="1"/>
  <c r="V66" i="35" s="1"/>
  <c r="T66" i="35" a="1"/>
  <c r="T66" i="35" s="1"/>
  <c r="R66" i="35" a="1"/>
  <c r="R66" i="35" s="1"/>
  <c r="P66" i="35" a="1"/>
  <c r="P66" i="35" s="1"/>
  <c r="N66" i="35" a="1"/>
  <c r="N66" i="35" s="1"/>
  <c r="L66" i="35"/>
  <c r="L68" i="35" s="1"/>
  <c r="L66" i="35" a="1"/>
  <c r="J66" i="35" a="1"/>
  <c r="J66" i="35" s="1"/>
  <c r="J68" i="35" s="1"/>
  <c r="H66" i="35" a="1"/>
  <c r="H66" i="35" s="1"/>
  <c r="H68" i="35" s="1"/>
  <c r="F66" i="35" a="1"/>
  <c r="F66" i="35" s="1"/>
  <c r="F68" i="35" s="1"/>
  <c r="D66" i="35" a="1"/>
  <c r="D66" i="35" s="1"/>
  <c r="D68" i="35" s="1"/>
  <c r="B66" i="35" a="1"/>
  <c r="B66" i="35" s="1"/>
  <c r="AV65" i="35" a="1"/>
  <c r="AV65" i="35" s="1"/>
  <c r="AV69" i="35" s="1"/>
  <c r="AT65" i="35" a="1"/>
  <c r="AT65" i="35" s="1"/>
  <c r="AT69" i="35" s="1"/>
  <c r="AR65" i="35"/>
  <c r="AR69" i="35" s="1"/>
  <c r="AR65" i="35" a="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c r="AB69" i="35" s="1"/>
  <c r="AB65" i="35" a="1"/>
  <c r="Z65" i="35" a="1"/>
  <c r="Z65" i="35" s="1"/>
  <c r="Z69" i="35" s="1"/>
  <c r="X65" i="35" a="1"/>
  <c r="X65" i="35" s="1"/>
  <c r="X69" i="35" s="1"/>
  <c r="V65" i="35" a="1"/>
  <c r="V65" i="35" s="1"/>
  <c r="V69" i="35" s="1"/>
  <c r="T65" i="35" a="1"/>
  <c r="T65" i="35" s="1"/>
  <c r="T69" i="35" s="1"/>
  <c r="R65" i="35" a="1"/>
  <c r="R65" i="35" s="1"/>
  <c r="R69" i="35" s="1"/>
  <c r="P65" i="35" a="1"/>
  <c r="P65" i="35" s="1"/>
  <c r="P69" i="35" s="1"/>
  <c r="N65" i="35" a="1"/>
  <c r="N65" i="35" s="1"/>
  <c r="N69" i="35" s="1"/>
  <c r="L65" i="35"/>
  <c r="L69" i="35" s="1"/>
  <c r="L65" i="35" a="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c r="AR58" i="35" a="1"/>
  <c r="AP58" i="35" a="1"/>
  <c r="AP58" i="35" s="1"/>
  <c r="AN58" i="35" a="1"/>
  <c r="AN58" i="35" s="1"/>
  <c r="AL58" i="35" a="1"/>
  <c r="AL58" i="35" s="1"/>
  <c r="AJ58" i="35" a="1"/>
  <c r="AJ58" i="35" s="1"/>
  <c r="AH58" i="35"/>
  <c r="AH58" i="35" a="1"/>
  <c r="AF58" i="35"/>
  <c r="AF58" i="35" a="1"/>
  <c r="AD58" i="35" a="1"/>
  <c r="AD58" i="35" s="1"/>
  <c r="AB58" i="35"/>
  <c r="AB58" i="35" a="1"/>
  <c r="Z58" i="35" a="1"/>
  <c r="Z58" i="35" s="1"/>
  <c r="X58" i="35" a="1"/>
  <c r="X58" i="35" s="1"/>
  <c r="V58" i="35" a="1"/>
  <c r="V58" i="35" s="1"/>
  <c r="T58" i="35" a="1"/>
  <c r="T58" i="35" s="1"/>
  <c r="R58" i="35"/>
  <c r="R58" i="35" a="1"/>
  <c r="P58" i="35"/>
  <c r="P58" i="35" a="1"/>
  <c r="N58" i="35" a="1"/>
  <c r="N58" i="35" s="1"/>
  <c r="L58" i="35"/>
  <c r="L58" i="35" a="1"/>
  <c r="J58" i="35" a="1"/>
  <c r="J58" i="35" s="1"/>
  <c r="H58" i="35" a="1"/>
  <c r="H58" i="35" s="1"/>
  <c r="F58" i="35" a="1"/>
  <c r="F58" i="35" s="1"/>
  <c r="D58" i="35" a="1"/>
  <c r="D58" i="35" s="1"/>
  <c r="B58" i="35"/>
  <c r="B58" i="35" a="1"/>
  <c r="AV57" i="35"/>
  <c r="AV57" i="35" a="1"/>
  <c r="AT57" i="35" a="1"/>
  <c r="AT57" i="35" s="1"/>
  <c r="AR57" i="35"/>
  <c r="AR57" i="35" a="1"/>
  <c r="AP57" i="35" a="1"/>
  <c r="AP57" i="35" s="1"/>
  <c r="AN57" i="35" a="1"/>
  <c r="AN57" i="35" s="1"/>
  <c r="AL57" i="35" a="1"/>
  <c r="AL57" i="35" s="1"/>
  <c r="AJ57" i="35" a="1"/>
  <c r="AJ57" i="35" s="1"/>
  <c r="AH57" i="35"/>
  <c r="AH57" i="35" a="1"/>
  <c r="AF57" i="35"/>
  <c r="AF57" i="35" a="1"/>
  <c r="AD57" i="35" a="1"/>
  <c r="AD57" i="35" s="1"/>
  <c r="AB57" i="35"/>
  <c r="AB57" i="35" a="1"/>
  <c r="Z57" i="35" a="1"/>
  <c r="Z57" i="35" s="1"/>
  <c r="X57" i="35" a="1"/>
  <c r="X57" i="35" s="1"/>
  <c r="V57" i="35" a="1"/>
  <c r="V57" i="35" s="1"/>
  <c r="T57" i="35" a="1"/>
  <c r="T57" i="35" s="1"/>
  <c r="R57" i="35"/>
  <c r="R57" i="35" a="1"/>
  <c r="P57" i="35"/>
  <c r="P57" i="35" a="1"/>
  <c r="N57" i="35" a="1"/>
  <c r="N57" i="35" s="1"/>
  <c r="L57" i="35"/>
  <c r="L57" i="35" a="1"/>
  <c r="J57" i="35" a="1"/>
  <c r="J57" i="35" s="1"/>
  <c r="H57" i="35" a="1"/>
  <c r="H57" i="35" s="1"/>
  <c r="F57" i="35" a="1"/>
  <c r="F57" i="35" s="1"/>
  <c r="D57" i="35" a="1"/>
  <c r="D57" i="35" s="1"/>
  <c r="B57" i="35"/>
  <c r="B57" i="35" a="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L55" i="35"/>
  <c r="AL80" i="35" s="1"/>
  <c r="AJ55" i="35"/>
  <c r="AJ80" i="35" s="1"/>
  <c r="AH55" i="35"/>
  <c r="AF55" i="35"/>
  <c r="AF80" i="35" s="1"/>
  <c r="AD55" i="35"/>
  <c r="AD80" i="35" s="1"/>
  <c r="AB55" i="35"/>
  <c r="Z55" i="35"/>
  <c r="X55" i="35"/>
  <c r="X80" i="35" s="1"/>
  <c r="V55" i="35"/>
  <c r="V80" i="35" s="1"/>
  <c r="T55" i="35"/>
  <c r="T80" i="35" s="1"/>
  <c r="R55" i="35"/>
  <c r="P55" i="35"/>
  <c r="N55" i="35"/>
  <c r="L55" i="35"/>
  <c r="J55" i="35"/>
  <c r="H55" i="35"/>
  <c r="F55" i="35"/>
  <c r="F80" i="35" s="1"/>
  <c r="D55" i="35"/>
  <c r="D80" i="35" s="1"/>
  <c r="B55" i="35"/>
  <c r="AV53" i="35"/>
  <c r="AV83" i="35" s="1"/>
  <c r="AV53" i="35" a="1"/>
  <c r="AT53" i="35" a="1"/>
  <c r="AT53" i="35" s="1"/>
  <c r="AT83" i="35" s="1"/>
  <c r="AR53" i="35"/>
  <c r="AR83" i="35" s="1"/>
  <c r="AR53" i="35" a="1"/>
  <c r="AP53" i="35" a="1"/>
  <c r="AP53" i="35" s="1"/>
  <c r="AP83" i="35" s="1"/>
  <c r="AN53" i="35" a="1"/>
  <c r="AN53" i="35" s="1"/>
  <c r="AN83" i="35" s="1"/>
  <c r="AL53" i="35" a="1"/>
  <c r="AL53" i="35" s="1"/>
  <c r="AL83" i="35" s="1"/>
  <c r="AJ53" i="35" a="1"/>
  <c r="AJ53" i="35" s="1"/>
  <c r="AJ83" i="35" s="1"/>
  <c r="AH53" i="35"/>
  <c r="AH53" i="35" a="1"/>
  <c r="AF53" i="35"/>
  <c r="AF53" i="35" a="1"/>
  <c r="AD53" i="35" a="1"/>
  <c r="AD53" i="35" s="1"/>
  <c r="AD83" i="35" s="1"/>
  <c r="AB53" i="35"/>
  <c r="AB53" i="35" a="1"/>
  <c r="Z53" i="35" a="1"/>
  <c r="Z53" i="35" s="1"/>
  <c r="Z83" i="35" s="1"/>
  <c r="X53" i="35" a="1"/>
  <c r="X53" i="35" s="1"/>
  <c r="X83" i="35" s="1"/>
  <c r="V53" i="35" a="1"/>
  <c r="V53" i="35" s="1"/>
  <c r="V83" i="35" s="1"/>
  <c r="T53" i="35" a="1"/>
  <c r="T53" i="35" s="1"/>
  <c r="T83" i="35" s="1"/>
  <c r="R53" i="35"/>
  <c r="R53" i="35" a="1"/>
  <c r="P53" i="35"/>
  <c r="P83" i="35" s="1"/>
  <c r="P53" i="35" a="1"/>
  <c r="N53" i="35" a="1"/>
  <c r="N53" i="35" s="1"/>
  <c r="N83" i="35" s="1"/>
  <c r="L53" i="35"/>
  <c r="L83" i="35" s="1"/>
  <c r="L53" i="35" a="1"/>
  <c r="J53" i="35" a="1"/>
  <c r="J53" i="35" s="1"/>
  <c r="J83" i="35" s="1"/>
  <c r="H53" i="35" a="1"/>
  <c r="H53" i="35" s="1"/>
  <c r="H83" i="35" s="1"/>
  <c r="F53" i="35" a="1"/>
  <c r="F53" i="35" s="1"/>
  <c r="F83" i="35" s="1"/>
  <c r="D53" i="35" a="1"/>
  <c r="D53" i="35" s="1"/>
  <c r="D83" i="35" s="1"/>
  <c r="B53" i="35" a="1"/>
  <c r="B53" i="35" s="1"/>
  <c r="B83" i="35" s="1"/>
  <c r="AV52" i="35"/>
  <c r="AV52" i="35" a="1"/>
  <c r="AT52" i="35" a="1"/>
  <c r="AT52" i="35" s="1"/>
  <c r="AT82" i="35" s="1"/>
  <c r="AR52" i="35"/>
  <c r="AR52" i="35" a="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a="1"/>
  <c r="AD52" i="35" s="1"/>
  <c r="AD82" i="35" s="1"/>
  <c r="AB52" i="35"/>
  <c r="AB82" i="35" s="1"/>
  <c r="AB52" i="35" a="1"/>
  <c r="Z52" i="35" a="1"/>
  <c r="Z52" i="35" s="1"/>
  <c r="Z82" i="35" s="1"/>
  <c r="X52" i="35" a="1"/>
  <c r="X52" i="35" s="1"/>
  <c r="X82" i="35" s="1"/>
  <c r="V52" i="35" a="1"/>
  <c r="V52" i="35" s="1"/>
  <c r="V82" i="35" s="1"/>
  <c r="T52" i="35" a="1"/>
  <c r="T52" i="35" s="1"/>
  <c r="T82" i="35" s="1"/>
  <c r="R52" i="35" a="1"/>
  <c r="R52" i="35" s="1"/>
  <c r="R82" i="35" s="1"/>
  <c r="P52" i="35"/>
  <c r="P52" i="35" a="1"/>
  <c r="N52" i="35" a="1"/>
  <c r="N52" i="35" s="1"/>
  <c r="N82" i="35" s="1"/>
  <c r="L52" i="35"/>
  <c r="L52" i="35" a="1"/>
  <c r="J52" i="35" a="1"/>
  <c r="J52" i="35" s="1"/>
  <c r="J82" i="35" s="1"/>
  <c r="H52" i="35" a="1"/>
  <c r="H52" i="35" s="1"/>
  <c r="H82" i="35" s="1"/>
  <c r="F52" i="35" a="1"/>
  <c r="F52" i="35" s="1"/>
  <c r="F82" i="35" s="1"/>
  <c r="D52" i="35" a="1"/>
  <c r="D52" i="35" s="1"/>
  <c r="D82" i="35" s="1"/>
  <c r="B52" i="35" a="1"/>
  <c r="B52" i="35" s="1"/>
  <c r="B82" i="35" s="1"/>
  <c r="AV51" i="35"/>
  <c r="AV81" i="35" s="1"/>
  <c r="AT51" i="35"/>
  <c r="AT81" i="35" s="1"/>
  <c r="AR51" i="35"/>
  <c r="AP51" i="35"/>
  <c r="AN51" i="35"/>
  <c r="AN81" i="35" s="1"/>
  <c r="AL51" i="35"/>
  <c r="AL81" i="35" s="1"/>
  <c r="AJ51" i="35"/>
  <c r="AJ81" i="35" s="1"/>
  <c r="AH51" i="35"/>
  <c r="AF51" i="35"/>
  <c r="AD51" i="35"/>
  <c r="AB51" i="35"/>
  <c r="Z51" i="35"/>
  <c r="X51" i="35"/>
  <c r="V51" i="35"/>
  <c r="V81" i="35" s="1"/>
  <c r="T51" i="35"/>
  <c r="T81" i="35" s="1"/>
  <c r="R51" i="35"/>
  <c r="P51" i="35"/>
  <c r="P81" i="35" s="1"/>
  <c r="N51" i="35"/>
  <c r="N81" i="35" s="1"/>
  <c r="L51" i="35"/>
  <c r="J51" i="35"/>
  <c r="H51" i="35"/>
  <c r="H81" i="35" s="1"/>
  <c r="F51" i="35"/>
  <c r="F81" i="35" s="1"/>
  <c r="D51" i="35"/>
  <c r="D81" i="35" s="1"/>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c r="AR43" i="35" a="1"/>
  <c r="AP43" i="35" a="1"/>
  <c r="AP43" i="35" s="1"/>
  <c r="AN43" i="35" a="1"/>
  <c r="AN43" i="35" s="1"/>
  <c r="AL43" i="35" a="1"/>
  <c r="AL43" i="35" s="1"/>
  <c r="AJ43" i="35" a="1"/>
  <c r="AJ43" i="35" s="1"/>
  <c r="AH43" i="35" a="1"/>
  <c r="AH43" i="35" s="1"/>
  <c r="AF43" i="35"/>
  <c r="AF43" i="35" a="1"/>
  <c r="AD43" i="35" a="1"/>
  <c r="AD43" i="35" s="1"/>
  <c r="AB43" i="35"/>
  <c r="AB43" i="35" a="1"/>
  <c r="Z43" i="35" a="1"/>
  <c r="Z43" i="35" s="1"/>
  <c r="X43" i="35" a="1"/>
  <c r="X43" i="35" s="1"/>
  <c r="V43" i="35" a="1"/>
  <c r="V43" i="35" s="1"/>
  <c r="T43" i="35" a="1"/>
  <c r="T43" i="35" s="1"/>
  <c r="R43" i="35" a="1"/>
  <c r="R43" i="35" s="1"/>
  <c r="P43" i="35"/>
  <c r="P43" i="35" a="1"/>
  <c r="N43" i="35" a="1"/>
  <c r="N43" i="35" s="1"/>
  <c r="L43" i="35"/>
  <c r="L43" i="35" a="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L81" i="38"/>
  <c r="AD81" i="38"/>
  <c r="AB81" i="38"/>
  <c r="Z81" i="38"/>
  <c r="X81" i="38"/>
  <c r="R81" i="38"/>
  <c r="F81" i="38"/>
  <c r="AT80" i="38"/>
  <c r="AR80" i="38"/>
  <c r="AP80" i="38"/>
  <c r="AN80" i="38"/>
  <c r="AH80" i="38"/>
  <c r="V80" i="38"/>
  <c r="N80" i="38"/>
  <c r="L80" i="38"/>
  <c r="J80" i="38"/>
  <c r="H80" i="38"/>
  <c r="B80" i="38"/>
  <c r="AV79" i="38" a="1"/>
  <c r="AV79" i="38" s="1"/>
  <c r="AT79" i="38"/>
  <c r="AT79" i="38" a="1"/>
  <c r="AR79" i="38" a="1"/>
  <c r="AR79" i="38" s="1"/>
  <c r="AP79" i="38" a="1"/>
  <c r="AP79" i="38" s="1"/>
  <c r="AN79" i="38" a="1"/>
  <c r="AN79" i="38" s="1"/>
  <c r="AL79" i="38" a="1"/>
  <c r="AL79" i="38" s="1"/>
  <c r="AJ79" i="38"/>
  <c r="AJ79" i="38" a="1"/>
  <c r="AH79" i="38" a="1"/>
  <c r="AH79" i="38" s="1"/>
  <c r="AF79" i="38" a="1"/>
  <c r="AF79" i="38" s="1"/>
  <c r="AD79" i="38"/>
  <c r="AD79" i="38" a="1"/>
  <c r="AB79" i="38" a="1"/>
  <c r="AB79" i="38" s="1"/>
  <c r="Z79" i="38" a="1"/>
  <c r="Z79" i="38" s="1"/>
  <c r="X79" i="38" a="1"/>
  <c r="X79" i="38" s="1"/>
  <c r="V79" i="38" a="1"/>
  <c r="V79" i="38" s="1"/>
  <c r="T79" i="38"/>
  <c r="T79" i="38" a="1"/>
  <c r="R79" i="38" a="1"/>
  <c r="R79" i="38" s="1"/>
  <c r="P79" i="38" a="1"/>
  <c r="P79" i="38" s="1"/>
  <c r="N79" i="38"/>
  <c r="N79" i="38" a="1"/>
  <c r="L79" i="38" a="1"/>
  <c r="L79" i="38" s="1"/>
  <c r="J79" i="38" a="1"/>
  <c r="J79" i="38" s="1"/>
  <c r="H79" i="38" a="1"/>
  <c r="H79" i="38" s="1"/>
  <c r="F79" i="38" a="1"/>
  <c r="F79" i="38" s="1"/>
  <c r="D79" i="38"/>
  <c r="D79" i="38" a="1"/>
  <c r="B79" i="38" a="1"/>
  <c r="B79" i="38" s="1"/>
  <c r="AV78" i="38" a="1"/>
  <c r="AV78" i="38" s="1"/>
  <c r="AT78" i="38"/>
  <c r="AT78" i="38" a="1"/>
  <c r="AR78" i="38" a="1"/>
  <c r="AR78" i="38" s="1"/>
  <c r="AP78" i="38" a="1"/>
  <c r="AP78" i="38" s="1"/>
  <c r="AN78" i="38" a="1"/>
  <c r="AN78" i="38" s="1"/>
  <c r="AL78" i="38" a="1"/>
  <c r="AL78" i="38" s="1"/>
  <c r="AJ78" i="38"/>
  <c r="AJ78" i="38" a="1"/>
  <c r="AH78" i="38" a="1"/>
  <c r="AH78" i="38" s="1"/>
  <c r="AF78" i="38" a="1"/>
  <c r="AF78" i="38" s="1"/>
  <c r="AD78" i="38"/>
  <c r="AD78" i="38" a="1"/>
  <c r="AB78" i="38" a="1"/>
  <c r="AB78" i="38" s="1"/>
  <c r="Z78" i="38" a="1"/>
  <c r="Z78" i="38" s="1"/>
  <c r="X78" i="38" a="1"/>
  <c r="X78" i="38" s="1"/>
  <c r="V78" i="38" a="1"/>
  <c r="V78" i="38" s="1"/>
  <c r="T78" i="38"/>
  <c r="T78" i="38" a="1"/>
  <c r="R78" i="38" a="1"/>
  <c r="R78" i="38" s="1"/>
  <c r="P78" i="38" a="1"/>
  <c r="P78" i="38" s="1"/>
  <c r="N78" i="38"/>
  <c r="N78" i="38" a="1"/>
  <c r="L78" i="38" a="1"/>
  <c r="L78" i="38" s="1"/>
  <c r="J78" i="38" a="1"/>
  <c r="J78" i="38" s="1"/>
  <c r="H78" i="38" a="1"/>
  <c r="H78" i="38" s="1"/>
  <c r="F78" i="38" a="1"/>
  <c r="F78" i="38" s="1"/>
  <c r="D78" i="38"/>
  <c r="D78" i="38" a="1"/>
  <c r="B78" i="38" a="1"/>
  <c r="B78" i="38" s="1"/>
  <c r="AV77" i="38" a="1"/>
  <c r="AV77" i="38" s="1"/>
  <c r="AT77" i="38"/>
  <c r="AT77" i="38" a="1"/>
  <c r="AR77" i="38" a="1"/>
  <c r="AR77" i="38" s="1"/>
  <c r="AP77" i="38" a="1"/>
  <c r="AP77" i="38" s="1"/>
  <c r="AN77" i="38" a="1"/>
  <c r="AN77" i="38" s="1"/>
  <c r="AL77" i="38" a="1"/>
  <c r="AL77" i="38" s="1"/>
  <c r="AJ77" i="38"/>
  <c r="AJ77" i="38" a="1"/>
  <c r="AH77" i="38" a="1"/>
  <c r="AH77" i="38" s="1"/>
  <c r="AF77" i="38" a="1"/>
  <c r="AF77" i="38" s="1"/>
  <c r="AD77" i="38" a="1"/>
  <c r="AD77" i="38" s="1"/>
  <c r="AB77" i="38" a="1"/>
  <c r="AB77" i="38" s="1"/>
  <c r="Z77" i="38" a="1"/>
  <c r="Z77" i="38" s="1"/>
  <c r="X77" i="38" a="1"/>
  <c r="X77" i="38" s="1"/>
  <c r="V77" i="38" a="1"/>
  <c r="V77" i="38" s="1"/>
  <c r="T77" i="38"/>
  <c r="T77" i="38" a="1"/>
  <c r="R77" i="38" a="1"/>
  <c r="R77" i="38" s="1"/>
  <c r="P77" i="38" a="1"/>
  <c r="P77" i="38" s="1"/>
  <c r="N77" i="38" a="1"/>
  <c r="N77" i="38" s="1"/>
  <c r="L77" i="38" a="1"/>
  <c r="L77" i="38" s="1"/>
  <c r="J77" i="38" a="1"/>
  <c r="J77" i="38" s="1"/>
  <c r="H77" i="38" a="1"/>
  <c r="H77" i="38" s="1"/>
  <c r="F77" i="38" a="1"/>
  <c r="F77" i="38" s="1"/>
  <c r="D77" i="38"/>
  <c r="D77" i="38" a="1"/>
  <c r="B77" i="38" a="1"/>
  <c r="B77" i="38" s="1"/>
  <c r="AV76" i="38" a="1"/>
  <c r="AV76" i="38" s="1"/>
  <c r="AT76" i="38" a="1"/>
  <c r="AT76" i="38" s="1"/>
  <c r="AR76" i="38" a="1"/>
  <c r="AR76" i="38" s="1"/>
  <c r="AP76" i="38" a="1"/>
  <c r="AP76" i="38" s="1"/>
  <c r="AN76" i="38" a="1"/>
  <c r="AN76" i="38" s="1"/>
  <c r="AL76" i="38" a="1"/>
  <c r="AL76" i="38" s="1"/>
  <c r="AJ76" i="38"/>
  <c r="AJ76" i="38" a="1"/>
  <c r="AH76" i="38" a="1"/>
  <c r="AH76" i="38" s="1"/>
  <c r="AF76" i="38" a="1"/>
  <c r="AF76" i="38" s="1"/>
  <c r="AD76" i="38" a="1"/>
  <c r="AD76" i="38" s="1"/>
  <c r="AB76" i="38" a="1"/>
  <c r="AB76" i="38" s="1"/>
  <c r="Z76" i="38" a="1"/>
  <c r="Z76" i="38" s="1"/>
  <c r="X76" i="38" a="1"/>
  <c r="X76" i="38" s="1"/>
  <c r="V76" i="38" a="1"/>
  <c r="V76" i="38" s="1"/>
  <c r="T76" i="38"/>
  <c r="T76" i="38" a="1"/>
  <c r="R76" i="38" a="1"/>
  <c r="R76" i="38" s="1"/>
  <c r="P76" i="38" a="1"/>
  <c r="P76" i="38" s="1"/>
  <c r="N76" i="38" a="1"/>
  <c r="N76" i="38" s="1"/>
  <c r="L76" i="38" a="1"/>
  <c r="L76" i="38" s="1"/>
  <c r="J76" i="38" a="1"/>
  <c r="J76" i="38" s="1"/>
  <c r="H76" i="38" a="1"/>
  <c r="H76" i="38" s="1"/>
  <c r="F76" i="38" a="1"/>
  <c r="F76" i="38" s="1"/>
  <c r="D76" i="38"/>
  <c r="D76" i="38" a="1"/>
  <c r="B76" i="38" a="1"/>
  <c r="B76" i="38" s="1"/>
  <c r="AV75" i="38" a="1"/>
  <c r="AV75" i="38" s="1"/>
  <c r="AT75" i="38" a="1"/>
  <c r="AT75" i="38" s="1"/>
  <c r="AR75" i="38" a="1"/>
  <c r="AR75" i="38" s="1"/>
  <c r="AP75" i="38" a="1"/>
  <c r="AP75" i="38" s="1"/>
  <c r="AN75" i="38" a="1"/>
  <c r="AN75" i="38" s="1"/>
  <c r="AL75" i="38" a="1"/>
  <c r="AL75" i="38" s="1"/>
  <c r="AJ75" i="38"/>
  <c r="AJ75" i="38" a="1"/>
  <c r="AH75" i="38" a="1"/>
  <c r="AH75" i="38" s="1"/>
  <c r="AF75" i="38" a="1"/>
  <c r="AF75" i="38" s="1"/>
  <c r="AD75" i="38" a="1"/>
  <c r="AD75" i="38" s="1"/>
  <c r="AB75" i="38" a="1"/>
  <c r="AB75" i="38" s="1"/>
  <c r="Z75" i="38" a="1"/>
  <c r="Z75" i="38" s="1"/>
  <c r="X75" i="38" a="1"/>
  <c r="X75" i="38" s="1"/>
  <c r="V75" i="38" a="1"/>
  <c r="V75" i="38" s="1"/>
  <c r="T75" i="38"/>
  <c r="T75" i="38" a="1"/>
  <c r="R75" i="38" a="1"/>
  <c r="R75" i="38" s="1"/>
  <c r="P75" i="38" a="1"/>
  <c r="P75" i="38" s="1"/>
  <c r="N75" i="38" a="1"/>
  <c r="N75" i="38" s="1"/>
  <c r="L75" i="38" a="1"/>
  <c r="L75" i="38" s="1"/>
  <c r="J75" i="38" a="1"/>
  <c r="J75" i="38" s="1"/>
  <c r="H75" i="38" a="1"/>
  <c r="H75" i="38" s="1"/>
  <c r="F75" i="38" a="1"/>
  <c r="F75" i="38" s="1"/>
  <c r="D75" i="38"/>
  <c r="D75" i="38" a="1"/>
  <c r="B75" i="38" a="1"/>
  <c r="B75" i="38" s="1"/>
  <c r="AV74" i="38" a="1"/>
  <c r="AV74" i="38" s="1"/>
  <c r="AT74" i="38" a="1"/>
  <c r="AT74" i="38" s="1"/>
  <c r="AR74" i="38" a="1"/>
  <c r="AR74" i="38" s="1"/>
  <c r="AP74" i="38" a="1"/>
  <c r="AP74" i="38" s="1"/>
  <c r="AN74" i="38" a="1"/>
  <c r="AN74" i="38" s="1"/>
  <c r="AL74" i="38" a="1"/>
  <c r="AL74" i="38" s="1"/>
  <c r="AJ74" i="38"/>
  <c r="AJ74" i="38" a="1"/>
  <c r="AH74" i="38" a="1"/>
  <c r="AH74" i="38" s="1"/>
  <c r="AF74" i="38" a="1"/>
  <c r="AF74" i="38" s="1"/>
  <c r="AD74" i="38" a="1"/>
  <c r="AD74" i="38" s="1"/>
  <c r="AB74" i="38" a="1"/>
  <c r="AB74" i="38" s="1"/>
  <c r="Z74" i="38" a="1"/>
  <c r="Z74" i="38" s="1"/>
  <c r="X74" i="38" a="1"/>
  <c r="X74" i="38" s="1"/>
  <c r="V74" i="38" a="1"/>
  <c r="V74" i="38" s="1"/>
  <c r="T74" i="38"/>
  <c r="T74" i="38" a="1"/>
  <c r="R74" i="38" a="1"/>
  <c r="R74" i="38" s="1"/>
  <c r="P74" i="38" a="1"/>
  <c r="P74" i="38" s="1"/>
  <c r="N74" i="38" a="1"/>
  <c r="N74" i="38" s="1"/>
  <c r="L74" i="38" a="1"/>
  <c r="L74" i="38" s="1"/>
  <c r="J74" i="38" a="1"/>
  <c r="J74" i="38" s="1"/>
  <c r="H74" i="38" a="1"/>
  <c r="H74" i="38" s="1"/>
  <c r="F74" i="38" a="1"/>
  <c r="F74" i="38" s="1"/>
  <c r="D74" i="38"/>
  <c r="D74" i="38" a="1"/>
  <c r="B74" i="38" a="1"/>
  <c r="B74" i="38" s="1"/>
  <c r="AV73" i="38" a="1"/>
  <c r="AV73" i="38" s="1"/>
  <c r="AT73" i="38" a="1"/>
  <c r="AT73" i="38" s="1"/>
  <c r="AR73" i="38" a="1"/>
  <c r="AR73" i="38" s="1"/>
  <c r="AP73" i="38" a="1"/>
  <c r="AP73" i="38" s="1"/>
  <c r="AN73" i="38" a="1"/>
  <c r="AN73" i="38" s="1"/>
  <c r="AL73" i="38" a="1"/>
  <c r="AL73" i="38" s="1"/>
  <c r="AJ73" i="38"/>
  <c r="AJ73" i="38" a="1"/>
  <c r="AH73" i="38" a="1"/>
  <c r="AH73" i="38" s="1"/>
  <c r="AF73" i="38" a="1"/>
  <c r="AF73" i="38" s="1"/>
  <c r="AD73" i="38" a="1"/>
  <c r="AD73" i="38" s="1"/>
  <c r="AB73" i="38" a="1"/>
  <c r="AB73" i="38" s="1"/>
  <c r="Z73" i="38" a="1"/>
  <c r="Z73" i="38" s="1"/>
  <c r="X73" i="38" a="1"/>
  <c r="X73" i="38" s="1"/>
  <c r="V73" i="38" a="1"/>
  <c r="V73" i="38" s="1"/>
  <c r="T73" i="38"/>
  <c r="T73" i="38" a="1"/>
  <c r="R73" i="38" a="1"/>
  <c r="R73" i="38" s="1"/>
  <c r="P73" i="38" a="1"/>
  <c r="P73" i="38" s="1"/>
  <c r="N73" i="38" a="1"/>
  <c r="N73" i="38" s="1"/>
  <c r="L73" i="38" a="1"/>
  <c r="L73" i="38" s="1"/>
  <c r="J73" i="38" a="1"/>
  <c r="J73" i="38" s="1"/>
  <c r="H73" i="38" a="1"/>
  <c r="H73" i="38" s="1"/>
  <c r="F73" i="38" a="1"/>
  <c r="F73" i="38" s="1"/>
  <c r="D73" i="38"/>
  <c r="D73" i="38" a="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B69" i="38"/>
  <c r="AV67" i="38" a="1"/>
  <c r="AV67" i="38" s="1"/>
  <c r="AT67" i="38" a="1"/>
  <c r="AT67" i="38" s="1"/>
  <c r="AR67" i="38"/>
  <c r="AR67" i="38" a="1"/>
  <c r="AP67" i="38" a="1"/>
  <c r="AP67" i="38" s="1"/>
  <c r="AN67" i="38" a="1"/>
  <c r="AN67" i="38" s="1"/>
  <c r="AL67" i="38" a="1"/>
  <c r="AL67" i="38" s="1"/>
  <c r="AJ67" i="38" a="1"/>
  <c r="AJ67" i="38" s="1"/>
  <c r="AH67" i="38" a="1"/>
  <c r="AH67" i="38" s="1"/>
  <c r="AF67" i="38" a="1"/>
  <c r="AF67" i="38" s="1"/>
  <c r="AD67" i="38" a="1"/>
  <c r="AD67" i="38" s="1"/>
  <c r="AB67" i="38"/>
  <c r="AB67" i="38" a="1"/>
  <c r="Z67" i="38" a="1"/>
  <c r="Z67" i="38" s="1"/>
  <c r="X67" i="38" a="1"/>
  <c r="X67" i="38" s="1"/>
  <c r="V67" i="38" a="1"/>
  <c r="V67" i="38" s="1"/>
  <c r="T67" i="38" a="1"/>
  <c r="T67" i="38" s="1"/>
  <c r="R67" i="38" a="1"/>
  <c r="R67" i="38" s="1"/>
  <c r="P67" i="38" a="1"/>
  <c r="P67" i="38" s="1"/>
  <c r="N67" i="38" a="1"/>
  <c r="N67" i="38" s="1"/>
  <c r="L67" i="38"/>
  <c r="L67" i="38" a="1"/>
  <c r="J67" i="38" a="1"/>
  <c r="J67" i="38" s="1"/>
  <c r="H67" i="38" a="1"/>
  <c r="H67" i="38" s="1"/>
  <c r="F67" i="38" a="1"/>
  <c r="F67" i="38" s="1"/>
  <c r="D67" i="38" a="1"/>
  <c r="D67" i="38" s="1"/>
  <c r="B67" i="38" a="1"/>
  <c r="B67" i="38" s="1"/>
  <c r="AV66" i="38" a="1"/>
  <c r="AV66" i="38" s="1"/>
  <c r="AV68" i="38" s="1"/>
  <c r="AT66" i="38" a="1"/>
  <c r="AT66" i="38" s="1"/>
  <c r="AT68" i="38" s="1"/>
  <c r="AR66" i="38"/>
  <c r="AR68" i="38" s="1"/>
  <c r="AR66" i="38" a="1"/>
  <c r="AP66" i="38" a="1"/>
  <c r="AP66" i="38" s="1"/>
  <c r="AP68" i="38" s="1"/>
  <c r="AN66" i="38" a="1"/>
  <c r="AN66" i="38" s="1"/>
  <c r="AL66" i="38" a="1"/>
  <c r="AL66" i="38" s="1"/>
  <c r="AL68" i="38" s="1"/>
  <c r="AJ66" i="38" a="1"/>
  <c r="AJ66" i="38" s="1"/>
  <c r="AH66" i="38" a="1"/>
  <c r="AH66" i="38" s="1"/>
  <c r="AF66" i="38" a="1"/>
  <c r="AF66" i="38" s="1"/>
  <c r="AD66" i="38" a="1"/>
  <c r="AD66" i="38" s="1"/>
  <c r="AB66" i="38"/>
  <c r="AB68" i="38" s="1"/>
  <c r="AB66" i="38" a="1"/>
  <c r="Z66" i="38" a="1"/>
  <c r="Z66" i="38" s="1"/>
  <c r="X66" i="38" a="1"/>
  <c r="X66" i="38" s="1"/>
  <c r="X68" i="38" s="1"/>
  <c r="V66" i="38" a="1"/>
  <c r="V66" i="38" s="1"/>
  <c r="V68" i="38" s="1"/>
  <c r="T66" i="38" a="1"/>
  <c r="T66" i="38" s="1"/>
  <c r="T68" i="38" s="1"/>
  <c r="R66" i="38" a="1"/>
  <c r="R66" i="38" s="1"/>
  <c r="R68" i="38" s="1"/>
  <c r="P66" i="38" a="1"/>
  <c r="P66" i="38" s="1"/>
  <c r="P68" i="38" s="1"/>
  <c r="N66" i="38" a="1"/>
  <c r="N66" i="38" s="1"/>
  <c r="L66" i="38"/>
  <c r="L68" i="38" s="1"/>
  <c r="L66" i="38" a="1"/>
  <c r="J66" i="38" a="1"/>
  <c r="J66" i="38" s="1"/>
  <c r="J68" i="38" s="1"/>
  <c r="H66" i="38" a="1"/>
  <c r="H66" i="38" s="1"/>
  <c r="F66" i="38" a="1"/>
  <c r="F66" i="38" s="1"/>
  <c r="D66" i="38" a="1"/>
  <c r="D66" i="38" s="1"/>
  <c r="B66" i="38" a="1"/>
  <c r="B66" i="38" s="1"/>
  <c r="AV65" i="38" a="1"/>
  <c r="AV65" i="38" s="1"/>
  <c r="AV69" i="38" s="1"/>
  <c r="AT65" i="38" a="1"/>
  <c r="AT65" i="38" s="1"/>
  <c r="AT69" i="38" s="1"/>
  <c r="AR65" i="38"/>
  <c r="AR69" i="38" s="1"/>
  <c r="AR65" i="38" a="1"/>
  <c r="AP65" i="38" a="1"/>
  <c r="AP65" i="38" s="1"/>
  <c r="AP69" i="38" s="1"/>
  <c r="AN65" i="38" a="1"/>
  <c r="AN65" i="38" s="1"/>
  <c r="AN69" i="38" s="1"/>
  <c r="AL65" i="38" a="1"/>
  <c r="AL65" i="38" s="1"/>
  <c r="AL69" i="38" s="1"/>
  <c r="AJ65" i="38" a="1"/>
  <c r="AJ65" i="38" s="1"/>
  <c r="AJ69" i="38" s="1"/>
  <c r="AH65" i="38" a="1"/>
  <c r="AH65" i="38" s="1"/>
  <c r="AH69" i="38" s="1"/>
  <c r="AF65" i="38" a="1"/>
  <c r="AF65" i="38" s="1"/>
  <c r="AF69" i="38" s="1"/>
  <c r="AD65" i="38" a="1"/>
  <c r="AD65" i="38" s="1"/>
  <c r="AD69" i="38" s="1"/>
  <c r="AB65" i="38"/>
  <c r="AB69" i="38" s="1"/>
  <c r="AB65" i="38" a="1"/>
  <c r="Z65" i="38" a="1"/>
  <c r="Z65" i="38" s="1"/>
  <c r="Z69" i="38" s="1"/>
  <c r="X65" i="38" a="1"/>
  <c r="X65" i="38" s="1"/>
  <c r="X69" i="38" s="1"/>
  <c r="V65" i="38" a="1"/>
  <c r="V65" i="38" s="1"/>
  <c r="V69" i="38" s="1"/>
  <c r="T65" i="38" a="1"/>
  <c r="T65" i="38" s="1"/>
  <c r="T69" i="38" s="1"/>
  <c r="R65" i="38" a="1"/>
  <c r="R65" i="38" s="1"/>
  <c r="R69" i="38" s="1"/>
  <c r="P65" i="38" a="1"/>
  <c r="P65" i="38" s="1"/>
  <c r="P69" i="38" s="1"/>
  <c r="N65" i="38" a="1"/>
  <c r="N65" i="38" s="1"/>
  <c r="N69" i="38" s="1"/>
  <c r="L65" i="38"/>
  <c r="L69" i="38" s="1"/>
  <c r="L65" i="38" a="1"/>
  <c r="J65" i="38" a="1"/>
  <c r="J65" i="38" s="1"/>
  <c r="J69" i="38" s="1"/>
  <c r="H65" i="38" a="1"/>
  <c r="H65" i="38" s="1"/>
  <c r="H69" i="38" s="1"/>
  <c r="F65" i="38" a="1"/>
  <c r="F65" i="38" s="1"/>
  <c r="F69" i="38" s="1"/>
  <c r="D65" i="38" a="1"/>
  <c r="D65" i="38" s="1"/>
  <c r="D69" i="38" s="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c r="AR58" i="38" a="1"/>
  <c r="AP58" i="38"/>
  <c r="AP58" i="38" a="1"/>
  <c r="AN58" i="38" a="1"/>
  <c r="AN58" i="38" s="1"/>
  <c r="AL58" i="38" a="1"/>
  <c r="AL58" i="38" s="1"/>
  <c r="AJ58" i="38" a="1"/>
  <c r="AJ58" i="38" s="1"/>
  <c r="AH58" i="38"/>
  <c r="AH58" i="38" a="1"/>
  <c r="AF58" i="38"/>
  <c r="AF58" i="38" a="1"/>
  <c r="AD58" i="38"/>
  <c r="AD58" i="38" a="1"/>
  <c r="AB58" i="38" a="1"/>
  <c r="AB58" i="38" s="1"/>
  <c r="Z58" i="38"/>
  <c r="Z58" i="38" a="1"/>
  <c r="X58" i="38" a="1"/>
  <c r="X58" i="38" s="1"/>
  <c r="V58" i="38" a="1"/>
  <c r="V58" i="38" s="1"/>
  <c r="T58" i="38" a="1"/>
  <c r="T58" i="38" s="1"/>
  <c r="R58" i="38"/>
  <c r="R58" i="38" a="1"/>
  <c r="P58" i="38"/>
  <c r="P58" i="38" a="1"/>
  <c r="N58" i="38"/>
  <c r="N58" i="38" a="1"/>
  <c r="L58" i="38" a="1"/>
  <c r="L58" i="38" s="1"/>
  <c r="J58" i="38"/>
  <c r="J58" i="38" a="1"/>
  <c r="H58" i="38" a="1"/>
  <c r="H58" i="38" s="1"/>
  <c r="F58" i="38" a="1"/>
  <c r="F58" i="38" s="1"/>
  <c r="D58" i="38" a="1"/>
  <c r="D58" i="38" s="1"/>
  <c r="B58" i="38"/>
  <c r="B58" i="38" a="1"/>
  <c r="AV57" i="38"/>
  <c r="AV57" i="38" a="1"/>
  <c r="AT57" i="38"/>
  <c r="AT57" i="38" a="1"/>
  <c r="AR57" i="38" a="1"/>
  <c r="AR57" i="38" s="1"/>
  <c r="AP57" i="38"/>
  <c r="AP57" i="38" a="1"/>
  <c r="AN57" i="38" a="1"/>
  <c r="AN57" i="38" s="1"/>
  <c r="AL57" i="38" a="1"/>
  <c r="AL57" i="38" s="1"/>
  <c r="AJ57" i="38" a="1"/>
  <c r="AJ57" i="38" s="1"/>
  <c r="AH57" i="38"/>
  <c r="AH57" i="38" a="1"/>
  <c r="AF57" i="38"/>
  <c r="AF57" i="38" a="1"/>
  <c r="AD57" i="38"/>
  <c r="AD57" i="38" a="1"/>
  <c r="AB57" i="38" a="1"/>
  <c r="AB57" i="38" s="1"/>
  <c r="Z57" i="38"/>
  <c r="Z57" i="38" a="1"/>
  <c r="X57" i="38" a="1"/>
  <c r="X57" i="38" s="1"/>
  <c r="V57" i="38" a="1"/>
  <c r="V57" i="38" s="1"/>
  <c r="T57" i="38" a="1"/>
  <c r="T57" i="38" s="1"/>
  <c r="R57" i="38"/>
  <c r="R57" i="38" a="1"/>
  <c r="P57" i="38"/>
  <c r="P57" i="38" a="1"/>
  <c r="N57" i="38"/>
  <c r="N57" i="38" a="1"/>
  <c r="L57" i="38" a="1"/>
  <c r="L57" i="38" s="1"/>
  <c r="J57" i="38"/>
  <c r="J57" i="38" a="1"/>
  <c r="H57" i="38" a="1"/>
  <c r="H57" i="38" s="1"/>
  <c r="F57" i="38" a="1"/>
  <c r="F57" i="38" s="1"/>
  <c r="D57" i="38" a="1"/>
  <c r="D57" i="38" s="1"/>
  <c r="B57" i="38"/>
  <c r="B57" i="38" a="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V80" i="38" s="1"/>
  <c r="AT55" i="38"/>
  <c r="AR55" i="38"/>
  <c r="AP55" i="38"/>
  <c r="AN55" i="38"/>
  <c r="AL55" i="38"/>
  <c r="AL80" i="38" s="1"/>
  <c r="AJ55" i="38"/>
  <c r="AJ80" i="38" s="1"/>
  <c r="AH55" i="38"/>
  <c r="AF55" i="38"/>
  <c r="AF80" i="38" s="1"/>
  <c r="AD55" i="38"/>
  <c r="AD80" i="38" s="1"/>
  <c r="AB55" i="38"/>
  <c r="AB80" i="38" s="1"/>
  <c r="Z55" i="38"/>
  <c r="Z80" i="38" s="1"/>
  <c r="X55" i="38"/>
  <c r="X80" i="38" s="1"/>
  <c r="V55" i="38"/>
  <c r="T55" i="38"/>
  <c r="T80" i="38" s="1"/>
  <c r="R55" i="38"/>
  <c r="R80" i="38" s="1"/>
  <c r="P55" i="38"/>
  <c r="P80" i="38" s="1"/>
  <c r="N55" i="38"/>
  <c r="L55" i="38"/>
  <c r="J55" i="38"/>
  <c r="H55" i="38"/>
  <c r="F55" i="38"/>
  <c r="F80" i="38" s="1"/>
  <c r="D55" i="38"/>
  <c r="D80" i="38" s="1"/>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N81" i="38" s="1"/>
  <c r="AL51" i="38"/>
  <c r="AJ51" i="38"/>
  <c r="AJ81" i="38" s="1"/>
  <c r="AH51" i="38"/>
  <c r="AH81" i="38" s="1"/>
  <c r="AF51" i="38"/>
  <c r="AF81" i="38" s="1"/>
  <c r="AD51" i="38"/>
  <c r="AB51" i="38"/>
  <c r="Z51" i="38"/>
  <c r="X51" i="38"/>
  <c r="V51" i="38"/>
  <c r="V81" i="38" s="1"/>
  <c r="T51" i="38"/>
  <c r="T81" i="38" s="1"/>
  <c r="R51" i="38"/>
  <c r="P51" i="38"/>
  <c r="P81" i="38" s="1"/>
  <c r="N51" i="38"/>
  <c r="N81" i="38" s="1"/>
  <c r="L51" i="38"/>
  <c r="L81" i="38" s="1"/>
  <c r="J51" i="38"/>
  <c r="J81" i="38" s="1"/>
  <c r="H51" i="38"/>
  <c r="H81" i="38" s="1"/>
  <c r="F51" i="38"/>
  <c r="D51" i="38"/>
  <c r="D81" i="38" s="1"/>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c r="AT43" i="38" a="1"/>
  <c r="AR43" i="38" a="1"/>
  <c r="AR43" i="38" s="1"/>
  <c r="AP43" i="38"/>
  <c r="AP43" i="38" a="1"/>
  <c r="AN43" i="38" a="1"/>
  <c r="AN43" i="38" s="1"/>
  <c r="AL43" i="38" a="1"/>
  <c r="AL43" i="38" s="1"/>
  <c r="AJ43" i="38" a="1"/>
  <c r="AJ43" i="38" s="1"/>
  <c r="AH43" i="38" a="1"/>
  <c r="AH43" i="38" s="1"/>
  <c r="AF43" i="38"/>
  <c r="AF43" i="38" a="1"/>
  <c r="AD43" i="38"/>
  <c r="AD43" i="38" a="1"/>
  <c r="AB43" i="38" a="1"/>
  <c r="AB43" i="38" s="1"/>
  <c r="Z43" i="38"/>
  <c r="Z43" i="38" a="1"/>
  <c r="X43" i="38" a="1"/>
  <c r="X43" i="38" s="1"/>
  <c r="V43" i="38" a="1"/>
  <c r="V43" i="38" s="1"/>
  <c r="T43" i="38" a="1"/>
  <c r="T43" i="38" s="1"/>
  <c r="R43" i="38" a="1"/>
  <c r="R43" i="38" s="1"/>
  <c r="P43" i="38"/>
  <c r="P43" i="38" a="1"/>
  <c r="N43" i="38"/>
  <c r="N43" i="38" a="1"/>
  <c r="L43" i="38" a="1"/>
  <c r="L43" i="38" s="1"/>
  <c r="J43" i="38"/>
  <c r="J43" i="38" a="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F81" i="21"/>
  <c r="AD81" i="21"/>
  <c r="AB81" i="21"/>
  <c r="Z81" i="21"/>
  <c r="X81" i="21"/>
  <c r="R81" i="21"/>
  <c r="AV80" i="21"/>
  <c r="AT80" i="21"/>
  <c r="AR80" i="21"/>
  <c r="AP80" i="21"/>
  <c r="AN80" i="21"/>
  <c r="AH80" i="21"/>
  <c r="P80" i="21"/>
  <c r="N80" i="21"/>
  <c r="L80" i="21"/>
  <c r="J80" i="21"/>
  <c r="H80" i="21"/>
  <c r="B80" i="21"/>
  <c r="AV79" i="21" a="1"/>
  <c r="AV79" i="21" s="1"/>
  <c r="AT79" i="21" a="1"/>
  <c r="AT79" i="21" s="1"/>
  <c r="AR79" i="21"/>
  <c r="AR79" i="21" a="1"/>
  <c r="AP79" i="21"/>
  <c r="AP79" i="21" a="1"/>
  <c r="AN79" i="21" a="1"/>
  <c r="AN79" i="21" s="1"/>
  <c r="AL79" i="21" a="1"/>
  <c r="AL79" i="21" s="1"/>
  <c r="AJ79" i="21"/>
  <c r="AJ79" i="21" a="1"/>
  <c r="AH79" i="21" a="1"/>
  <c r="AH79" i="21" s="1"/>
  <c r="AF79" i="21" a="1"/>
  <c r="AF79" i="21" s="1"/>
  <c r="AD79" i="21" a="1"/>
  <c r="AD79" i="21" s="1"/>
  <c r="AB79" i="21"/>
  <c r="AB79" i="21" a="1"/>
  <c r="Z79" i="21"/>
  <c r="Z79" i="21" a="1"/>
  <c r="X79" i="21" a="1"/>
  <c r="X79" i="21" s="1"/>
  <c r="V79" i="21" a="1"/>
  <c r="V79" i="21" s="1"/>
  <c r="T79" i="21"/>
  <c r="T79" i="21" a="1"/>
  <c r="R79" i="21" a="1"/>
  <c r="R79" i="21" s="1"/>
  <c r="P79" i="21" a="1"/>
  <c r="P79" i="21" s="1"/>
  <c r="N79" i="21" a="1"/>
  <c r="N79" i="21" s="1"/>
  <c r="L79" i="21"/>
  <c r="L79" i="21" a="1"/>
  <c r="J79" i="21"/>
  <c r="J79" i="21" a="1"/>
  <c r="H79" i="21" a="1"/>
  <c r="H79" i="21" s="1"/>
  <c r="F79" i="21" a="1"/>
  <c r="F79" i="21" s="1"/>
  <c r="D79" i="21"/>
  <c r="D79" i="21" a="1"/>
  <c r="B79" i="21" a="1"/>
  <c r="B79" i="21" s="1"/>
  <c r="AV78" i="21" a="1"/>
  <c r="AV78" i="21" s="1"/>
  <c r="AT78" i="21" a="1"/>
  <c r="AT78" i="21" s="1"/>
  <c r="AR78" i="21"/>
  <c r="AR78" i="21" a="1"/>
  <c r="AP78" i="21"/>
  <c r="AP78" i="21" a="1"/>
  <c r="AN78" i="21" a="1"/>
  <c r="AN78" i="21" s="1"/>
  <c r="AL78" i="21" a="1"/>
  <c r="AL78" i="21" s="1"/>
  <c r="AJ78" i="21"/>
  <c r="AJ78" i="21" a="1"/>
  <c r="AH78" i="21" a="1"/>
  <c r="AH78" i="21" s="1"/>
  <c r="AF78" i="21" a="1"/>
  <c r="AF78" i="21" s="1"/>
  <c r="AD78" i="21" a="1"/>
  <c r="AD78" i="21" s="1"/>
  <c r="AB78" i="21"/>
  <c r="AB78" i="21" a="1"/>
  <c r="Z78" i="21"/>
  <c r="Z78" i="21" a="1"/>
  <c r="X78" i="21" a="1"/>
  <c r="X78" i="21" s="1"/>
  <c r="V78" i="21" a="1"/>
  <c r="V78" i="21" s="1"/>
  <c r="T78" i="21"/>
  <c r="T78" i="21" a="1"/>
  <c r="R78" i="21" a="1"/>
  <c r="R78" i="21" s="1"/>
  <c r="P78" i="21" a="1"/>
  <c r="P78" i="21" s="1"/>
  <c r="N78" i="21" a="1"/>
  <c r="N78" i="21" s="1"/>
  <c r="L78" i="21"/>
  <c r="L78" i="21" a="1"/>
  <c r="J78" i="21"/>
  <c r="J78" i="21" a="1"/>
  <c r="H78" i="21" a="1"/>
  <c r="H78" i="21" s="1"/>
  <c r="F78" i="21" a="1"/>
  <c r="F78" i="21" s="1"/>
  <c r="D78" i="21"/>
  <c r="D78" i="21" a="1"/>
  <c r="B78" i="21" a="1"/>
  <c r="B78" i="21" s="1"/>
  <c r="AV77" i="21" a="1"/>
  <c r="AV77" i="21" s="1"/>
  <c r="AT77" i="21" a="1"/>
  <c r="AT77" i="21" s="1"/>
  <c r="AR77" i="21"/>
  <c r="AR77" i="21" a="1"/>
  <c r="AP77" i="21"/>
  <c r="AP77" i="21" a="1"/>
  <c r="AN77" i="21" a="1"/>
  <c r="AN77" i="21" s="1"/>
  <c r="AL77" i="21" a="1"/>
  <c r="AL77" i="21" s="1"/>
  <c r="AJ77" i="21"/>
  <c r="AJ77" i="21" a="1"/>
  <c r="AH77" i="21" a="1"/>
  <c r="AH77" i="21" s="1"/>
  <c r="AF77" i="21" a="1"/>
  <c r="AF77" i="21" s="1"/>
  <c r="AD77" i="21" a="1"/>
  <c r="AD77" i="21" s="1"/>
  <c r="AB77" i="21" a="1"/>
  <c r="AB77" i="21" s="1"/>
  <c r="Z77" i="21"/>
  <c r="Z77" i="21" a="1"/>
  <c r="X77" i="21" a="1"/>
  <c r="X77" i="21" s="1"/>
  <c r="V77" i="21" a="1"/>
  <c r="V77" i="21" s="1"/>
  <c r="T77" i="21"/>
  <c r="T77" i="21" a="1"/>
  <c r="R77" i="21" a="1"/>
  <c r="R77" i="21" s="1"/>
  <c r="P77" i="21" a="1"/>
  <c r="P77" i="21" s="1"/>
  <c r="N77" i="21" a="1"/>
  <c r="N77" i="21" s="1"/>
  <c r="L77" i="21" a="1"/>
  <c r="L77" i="21" s="1"/>
  <c r="J77" i="21"/>
  <c r="J77" i="21" a="1"/>
  <c r="H77" i="21" a="1"/>
  <c r="H77" i="21" s="1"/>
  <c r="F77" i="21" a="1"/>
  <c r="F77" i="21" s="1"/>
  <c r="D77" i="21"/>
  <c r="D77" i="21" a="1"/>
  <c r="B77" i="21" a="1"/>
  <c r="B77" i="21" s="1"/>
  <c r="AV76" i="21" a="1"/>
  <c r="AV76" i="21" s="1"/>
  <c r="AT76" i="21" a="1"/>
  <c r="AT76" i="21" s="1"/>
  <c r="AR76" i="21" a="1"/>
  <c r="AR76" i="21" s="1"/>
  <c r="AP76" i="21"/>
  <c r="AP76" i="21" a="1"/>
  <c r="AN76" i="21" a="1"/>
  <c r="AN76" i="21" s="1"/>
  <c r="AL76" i="21" a="1"/>
  <c r="AL76" i="21" s="1"/>
  <c r="AJ76" i="21"/>
  <c r="AJ76" i="21" a="1"/>
  <c r="AH76" i="21" a="1"/>
  <c r="AH76" i="21" s="1"/>
  <c r="AF76" i="21" a="1"/>
  <c r="AF76" i="21" s="1"/>
  <c r="AD76" i="21" a="1"/>
  <c r="AD76" i="21" s="1"/>
  <c r="AB76" i="21" a="1"/>
  <c r="AB76" i="21" s="1"/>
  <c r="Z76" i="21"/>
  <c r="Z76" i="21" a="1"/>
  <c r="X76" i="21" a="1"/>
  <c r="X76" i="21" s="1"/>
  <c r="V76" i="21" a="1"/>
  <c r="V76" i="21" s="1"/>
  <c r="T76" i="21"/>
  <c r="T76" i="21" a="1"/>
  <c r="R76" i="21" a="1"/>
  <c r="R76" i="21" s="1"/>
  <c r="P76" i="21" a="1"/>
  <c r="P76" i="21" s="1"/>
  <c r="N76" i="21" a="1"/>
  <c r="N76" i="21" s="1"/>
  <c r="L76" i="21" a="1"/>
  <c r="L76" i="21" s="1"/>
  <c r="J76" i="21"/>
  <c r="J76" i="21" a="1"/>
  <c r="H76" i="21" a="1"/>
  <c r="H76" i="21" s="1"/>
  <c r="F76" i="21" a="1"/>
  <c r="F76" i="21" s="1"/>
  <c r="D76" i="21"/>
  <c r="D76" i="21" a="1"/>
  <c r="B76" i="21" a="1"/>
  <c r="B76" i="21" s="1"/>
  <c r="AV75" i="21" a="1"/>
  <c r="AV75" i="21" s="1"/>
  <c r="AT75" i="21" a="1"/>
  <c r="AT75" i="21" s="1"/>
  <c r="AR75" i="21" a="1"/>
  <c r="AR75" i="21" s="1"/>
  <c r="AP75" i="21"/>
  <c r="AP75" i="21" a="1"/>
  <c r="AN75" i="21" a="1"/>
  <c r="AN75" i="21" s="1"/>
  <c r="AL75" i="21" a="1"/>
  <c r="AL75" i="21" s="1"/>
  <c r="AJ75" i="21"/>
  <c r="AJ75" i="21" a="1"/>
  <c r="AH75" i="21" a="1"/>
  <c r="AH75" i="21" s="1"/>
  <c r="AF75" i="21" a="1"/>
  <c r="AF75" i="21" s="1"/>
  <c r="AD75" i="21" a="1"/>
  <c r="AD75" i="21" s="1"/>
  <c r="AB75" i="21" a="1"/>
  <c r="AB75" i="21" s="1"/>
  <c r="Z75" i="21"/>
  <c r="Z75" i="21" a="1"/>
  <c r="X75" i="21" a="1"/>
  <c r="X75" i="21" s="1"/>
  <c r="V75" i="21" a="1"/>
  <c r="V75" i="21" s="1"/>
  <c r="T75" i="21"/>
  <c r="T75" i="21" a="1"/>
  <c r="R75" i="21" a="1"/>
  <c r="R75" i="21" s="1"/>
  <c r="P75" i="21" a="1"/>
  <c r="P75" i="21" s="1"/>
  <c r="N75" i="21" a="1"/>
  <c r="N75" i="21" s="1"/>
  <c r="L75" i="21" a="1"/>
  <c r="L75" i="21" s="1"/>
  <c r="J75" i="21"/>
  <c r="J75" i="21" a="1"/>
  <c r="H75" i="21" a="1"/>
  <c r="H75" i="21" s="1"/>
  <c r="F75" i="21" a="1"/>
  <c r="F75" i="21" s="1"/>
  <c r="D75" i="21"/>
  <c r="D75" i="21" a="1"/>
  <c r="B75" i="21" a="1"/>
  <c r="B75" i="21" s="1"/>
  <c r="AV74" i="21" a="1"/>
  <c r="AV74" i="21" s="1"/>
  <c r="AT74" i="21" a="1"/>
  <c r="AT74" i="21" s="1"/>
  <c r="AR74" i="21" a="1"/>
  <c r="AR74" i="21" s="1"/>
  <c r="AP74" i="21"/>
  <c r="AP74" i="21" a="1"/>
  <c r="AN74" i="21" a="1"/>
  <c r="AN74" i="21" s="1"/>
  <c r="AL74" i="21" a="1"/>
  <c r="AL74" i="21" s="1"/>
  <c r="AJ74" i="21"/>
  <c r="AJ74" i="21" a="1"/>
  <c r="AH74" i="21" a="1"/>
  <c r="AH74" i="21" s="1"/>
  <c r="AF74" i="21" a="1"/>
  <c r="AF74" i="21" s="1"/>
  <c r="AD74" i="21" a="1"/>
  <c r="AD74" i="21" s="1"/>
  <c r="AB74" i="21" a="1"/>
  <c r="AB74" i="21" s="1"/>
  <c r="Z74" i="21"/>
  <c r="Z74" i="21" a="1"/>
  <c r="X74" i="21" a="1"/>
  <c r="X74" i="21" s="1"/>
  <c r="V74" i="21" a="1"/>
  <c r="V74" i="21" s="1"/>
  <c r="T74" i="21"/>
  <c r="T74" i="21" a="1"/>
  <c r="R74" i="21" a="1"/>
  <c r="R74" i="21" s="1"/>
  <c r="P74" i="21" a="1"/>
  <c r="P74" i="21" s="1"/>
  <c r="N74" i="21" a="1"/>
  <c r="N74" i="21" s="1"/>
  <c r="L74" i="21" a="1"/>
  <c r="L74" i="21" s="1"/>
  <c r="J74" i="21"/>
  <c r="J74" i="21" a="1"/>
  <c r="H74" i="21" a="1"/>
  <c r="H74" i="21" s="1"/>
  <c r="F74" i="21" a="1"/>
  <c r="F74" i="21" s="1"/>
  <c r="D74" i="21"/>
  <c r="D74" i="21" a="1"/>
  <c r="B74" i="21" a="1"/>
  <c r="B74" i="21" s="1"/>
  <c r="AV73" i="21" a="1"/>
  <c r="AV73" i="21" s="1"/>
  <c r="AT73" i="21" a="1"/>
  <c r="AT73" i="21" s="1"/>
  <c r="AR73" i="21" a="1"/>
  <c r="AR73" i="21" s="1"/>
  <c r="AP73" i="21"/>
  <c r="AP73" i="21" a="1"/>
  <c r="AN73" i="21" a="1"/>
  <c r="AN73" i="21" s="1"/>
  <c r="AL73" i="21" a="1"/>
  <c r="AL73" i="21" s="1"/>
  <c r="AJ73" i="21"/>
  <c r="AJ73" i="21" a="1"/>
  <c r="AH73" i="21" a="1"/>
  <c r="AH73" i="21" s="1"/>
  <c r="AF73" i="21" a="1"/>
  <c r="AF73" i="21" s="1"/>
  <c r="AD73" i="21" a="1"/>
  <c r="AD73" i="21" s="1"/>
  <c r="AB73" i="21" a="1"/>
  <c r="AB73" i="21" s="1"/>
  <c r="Z73" i="21"/>
  <c r="Z73" i="21" a="1"/>
  <c r="X73" i="21" a="1"/>
  <c r="X73" i="21" s="1"/>
  <c r="V73" i="21" a="1"/>
  <c r="V73" i="21" s="1"/>
  <c r="T73" i="21"/>
  <c r="T73" i="21" a="1"/>
  <c r="R73" i="21" a="1"/>
  <c r="R73" i="21" s="1"/>
  <c r="P73" i="21" a="1"/>
  <c r="P73" i="21" s="1"/>
  <c r="N73" i="21" a="1"/>
  <c r="N73" i="21" s="1"/>
  <c r="L73" i="21" a="1"/>
  <c r="L73" i="21" s="1"/>
  <c r="J73" i="21"/>
  <c r="J73" i="21" a="1"/>
  <c r="H73" i="21" a="1"/>
  <c r="H73" i="21" s="1"/>
  <c r="F73" i="21" a="1"/>
  <c r="F73" i="21" s="1"/>
  <c r="D73" i="21"/>
  <c r="D73" i="21" a="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H69" i="21"/>
  <c r="B69" i="21"/>
  <c r="R68" i="21"/>
  <c r="AV67" i="21" a="1"/>
  <c r="AV67" i="21" s="1"/>
  <c r="AT67" i="21" a="1"/>
  <c r="AT67" i="21" s="1"/>
  <c r="AR67" i="21"/>
  <c r="AR67" i="21" a="1"/>
  <c r="AP67" i="21" a="1"/>
  <c r="AP67" i="21" s="1"/>
  <c r="AN67" i="21" a="1"/>
  <c r="AN67" i="21" s="1"/>
  <c r="AL67" i="21" a="1"/>
  <c r="AL67" i="21" s="1"/>
  <c r="AJ67" i="21" a="1"/>
  <c r="AJ67" i="21" s="1"/>
  <c r="AH67" i="21"/>
  <c r="AH67" i="21" a="1"/>
  <c r="AF67" i="21" a="1"/>
  <c r="AF67" i="21" s="1"/>
  <c r="AD67" i="21" a="1"/>
  <c r="AD67" i="21" s="1"/>
  <c r="AB67" i="21"/>
  <c r="AB67" i="21" a="1"/>
  <c r="Z67" i="21" a="1"/>
  <c r="Z67" i="21" s="1"/>
  <c r="X67" i="21" a="1"/>
  <c r="X67" i="21" s="1"/>
  <c r="V67" i="21" a="1"/>
  <c r="V67" i="21" s="1"/>
  <c r="T67" i="21" a="1"/>
  <c r="T67" i="21" s="1"/>
  <c r="R67" i="21"/>
  <c r="R67" i="21" a="1"/>
  <c r="P67" i="21" a="1"/>
  <c r="P67" i="21" s="1"/>
  <c r="N67" i="21" a="1"/>
  <c r="N67" i="21" s="1"/>
  <c r="L67" i="21"/>
  <c r="L67" i="21" a="1"/>
  <c r="J67" i="21" a="1"/>
  <c r="J67" i="21" s="1"/>
  <c r="H67" i="21" a="1"/>
  <c r="H67" i="21" s="1"/>
  <c r="F67" i="21" a="1"/>
  <c r="F67" i="21" s="1"/>
  <c r="D67" i="21" a="1"/>
  <c r="D67" i="21" s="1"/>
  <c r="B67" i="21"/>
  <c r="B67" i="21" a="1"/>
  <c r="AV66" i="21" a="1"/>
  <c r="AV66" i="21" s="1"/>
  <c r="AT66" i="21" a="1"/>
  <c r="AT66" i="21" s="1"/>
  <c r="AR66" i="21"/>
  <c r="AR68" i="21" s="1"/>
  <c r="AR66" i="21" a="1"/>
  <c r="AP66" i="21" a="1"/>
  <c r="AP66" i="21" s="1"/>
  <c r="AP68" i="21" s="1"/>
  <c r="AN66" i="21" a="1"/>
  <c r="AN66" i="21" s="1"/>
  <c r="AN68" i="21" s="1"/>
  <c r="AL66" i="21" a="1"/>
  <c r="AL66" i="21" s="1"/>
  <c r="AJ66" i="21" a="1"/>
  <c r="AJ66" i="21" s="1"/>
  <c r="AJ68" i="21" s="1"/>
  <c r="AH66" i="21"/>
  <c r="AH68" i="21" s="1"/>
  <c r="AH66" i="21" a="1"/>
  <c r="AF66" i="21" a="1"/>
  <c r="AF66" i="21" s="1"/>
  <c r="AD66" i="21" a="1"/>
  <c r="AD66" i="21" s="1"/>
  <c r="AB66" i="21"/>
  <c r="AB68" i="21" s="1"/>
  <c r="AB66" i="21" a="1"/>
  <c r="Z66" i="21" a="1"/>
  <c r="Z66" i="21" s="1"/>
  <c r="Z68" i="21" s="1"/>
  <c r="X66" i="21" a="1"/>
  <c r="X66" i="21" s="1"/>
  <c r="X68" i="21" s="1"/>
  <c r="V66" i="21" a="1"/>
  <c r="V66" i="21" s="1"/>
  <c r="T66" i="21" a="1"/>
  <c r="T66" i="21" s="1"/>
  <c r="R66" i="21"/>
  <c r="R66" i="21" a="1"/>
  <c r="P66" i="21" a="1"/>
  <c r="P66" i="21" s="1"/>
  <c r="P68" i="21" s="1"/>
  <c r="N66" i="21" a="1"/>
  <c r="N66" i="21" s="1"/>
  <c r="N68" i="21" s="1"/>
  <c r="L66" i="21"/>
  <c r="L68" i="21" s="1"/>
  <c r="L66" i="21" a="1"/>
  <c r="J66" i="21" a="1"/>
  <c r="J66" i="21" s="1"/>
  <c r="J68" i="21" s="1"/>
  <c r="H66" i="21" a="1"/>
  <c r="H66" i="21" s="1"/>
  <c r="H68" i="21" s="1"/>
  <c r="F66" i="21" a="1"/>
  <c r="F66" i="21" s="1"/>
  <c r="D66" i="21" a="1"/>
  <c r="D66" i="21" s="1"/>
  <c r="B66" i="21"/>
  <c r="B68" i="21" s="1"/>
  <c r="B66" i="21" a="1"/>
  <c r="AV65" i="21" a="1"/>
  <c r="AV65" i="21" s="1"/>
  <c r="AV69" i="21" s="1"/>
  <c r="AT65" i="21" a="1"/>
  <c r="AT65" i="21" s="1"/>
  <c r="AT69" i="21" s="1"/>
  <c r="AR65" i="21"/>
  <c r="AR69" i="21" s="1"/>
  <c r="AR65" i="21" a="1"/>
  <c r="AP65" i="21" a="1"/>
  <c r="AP65" i="21" s="1"/>
  <c r="AP69" i="21" s="1"/>
  <c r="AN65" i="21" a="1"/>
  <c r="AN65" i="21" s="1"/>
  <c r="AN69" i="21" s="1"/>
  <c r="AL65" i="21" a="1"/>
  <c r="AL65" i="21" s="1"/>
  <c r="AL69" i="21" s="1"/>
  <c r="AJ65" i="21" a="1"/>
  <c r="AJ65" i="21" s="1"/>
  <c r="AJ69" i="21" s="1"/>
  <c r="AH65" i="21"/>
  <c r="AH65" i="21" a="1"/>
  <c r="AF65" i="21" a="1"/>
  <c r="AF65" i="21" s="1"/>
  <c r="AF69" i="21" s="1"/>
  <c r="AD65" i="21" a="1"/>
  <c r="AD65" i="21" s="1"/>
  <c r="AD69" i="21" s="1"/>
  <c r="AB65" i="21"/>
  <c r="AB69" i="21" s="1"/>
  <c r="AB65" i="21" a="1"/>
  <c r="Z65" i="21" a="1"/>
  <c r="Z65" i="21" s="1"/>
  <c r="Z69" i="21" s="1"/>
  <c r="X65" i="21" a="1"/>
  <c r="X65" i="21" s="1"/>
  <c r="X69" i="21" s="1"/>
  <c r="V65" i="21" a="1"/>
  <c r="V65" i="21" s="1"/>
  <c r="V69" i="21" s="1"/>
  <c r="T65" i="21" a="1"/>
  <c r="T65" i="21" s="1"/>
  <c r="T69" i="21" s="1"/>
  <c r="R65" i="21"/>
  <c r="R69" i="21" s="1"/>
  <c r="R65" i="21" a="1"/>
  <c r="P65" i="21" a="1"/>
  <c r="P65" i="21" s="1"/>
  <c r="P69" i="21" s="1"/>
  <c r="N65" i="21" a="1"/>
  <c r="N65" i="21" s="1"/>
  <c r="N69" i="21" s="1"/>
  <c r="L65" i="21"/>
  <c r="L69" i="21" s="1"/>
  <c r="L65" i="21" a="1"/>
  <c r="J65" i="21" a="1"/>
  <c r="J65" i="21" s="1"/>
  <c r="J69" i="21" s="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c r="AP58" i="21" a="1"/>
  <c r="AN58" i="21" a="1"/>
  <c r="AN58" i="21" s="1"/>
  <c r="AL58" i="21" a="1"/>
  <c r="AL58" i="21" s="1"/>
  <c r="AJ58" i="21" a="1"/>
  <c r="AJ58" i="21" s="1"/>
  <c r="AH58" i="21"/>
  <c r="AH58" i="21" a="1"/>
  <c r="AF58" i="21"/>
  <c r="AF58" i="21" a="1"/>
  <c r="AD58" i="21"/>
  <c r="AD58" i="21" a="1"/>
  <c r="AB58" i="21" a="1"/>
  <c r="AB58" i="21" s="1"/>
  <c r="Z58" i="21"/>
  <c r="Z58" i="21" a="1"/>
  <c r="X58" i="21" a="1"/>
  <c r="X58" i="21" s="1"/>
  <c r="V58" i="21" a="1"/>
  <c r="V58" i="21" s="1"/>
  <c r="T58" i="21" a="1"/>
  <c r="T58" i="21" s="1"/>
  <c r="R58" i="21"/>
  <c r="R58" i="21" a="1"/>
  <c r="P58" i="21"/>
  <c r="P58" i="21" a="1"/>
  <c r="N58" i="21"/>
  <c r="N58" i="21" a="1"/>
  <c r="L58" i="21" a="1"/>
  <c r="L58" i="21" s="1"/>
  <c r="J58" i="21" a="1"/>
  <c r="J58" i="21" s="1"/>
  <c r="H58" i="21" a="1"/>
  <c r="H58" i="21" s="1"/>
  <c r="F58" i="21" a="1"/>
  <c r="F58" i="21" s="1"/>
  <c r="D58" i="21" a="1"/>
  <c r="D58" i="21" s="1"/>
  <c r="B58" i="21"/>
  <c r="B58" i="21" a="1"/>
  <c r="AV57" i="21"/>
  <c r="AV57" i="21" a="1"/>
  <c r="AT57" i="21"/>
  <c r="AT57" i="21" a="1"/>
  <c r="AR57" i="21" a="1"/>
  <c r="AR57" i="21" s="1"/>
  <c r="AP57" i="21" a="1"/>
  <c r="AP57" i="21" s="1"/>
  <c r="AN57" i="21" a="1"/>
  <c r="AN57" i="21" s="1"/>
  <c r="AL57" i="21" a="1"/>
  <c r="AL57" i="21" s="1"/>
  <c r="AJ57" i="21" a="1"/>
  <c r="AJ57" i="21" s="1"/>
  <c r="AH57" i="21"/>
  <c r="AH57" i="21" a="1"/>
  <c r="AF57" i="21"/>
  <c r="AF57" i="21" a="1"/>
  <c r="AD57" i="21"/>
  <c r="AD57" i="21" a="1"/>
  <c r="AB57" i="21" a="1"/>
  <c r="AB57" i="21" s="1"/>
  <c r="Z57" i="21" a="1"/>
  <c r="Z57" i="21" s="1"/>
  <c r="X57" i="21" a="1"/>
  <c r="X57" i="21" s="1"/>
  <c r="V57" i="21" a="1"/>
  <c r="V57" i="21" s="1"/>
  <c r="T57" i="21" a="1"/>
  <c r="T57" i="21" s="1"/>
  <c r="R57" i="21" a="1"/>
  <c r="R57" i="21" s="1"/>
  <c r="P57" i="21"/>
  <c r="P57" i="21" a="1"/>
  <c r="N57" i="21"/>
  <c r="N57" i="21" a="1"/>
  <c r="L57" i="21" a="1"/>
  <c r="L57" i="21" s="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N55" i="21"/>
  <c r="AL55" i="21"/>
  <c r="AL80" i="21" s="1"/>
  <c r="AJ55" i="21"/>
  <c r="AJ80" i="21" s="1"/>
  <c r="AH55" i="21"/>
  <c r="AF55" i="21"/>
  <c r="AF80" i="21" s="1"/>
  <c r="AD55" i="21"/>
  <c r="AD80" i="21" s="1"/>
  <c r="AB55" i="21"/>
  <c r="AB80" i="21" s="1"/>
  <c r="Z55" i="21"/>
  <c r="Z80" i="21" s="1"/>
  <c r="X55" i="21"/>
  <c r="X80" i="21" s="1"/>
  <c r="V55" i="21"/>
  <c r="V80" i="21" s="1"/>
  <c r="T55" i="21"/>
  <c r="T80" i="21" s="1"/>
  <c r="R55" i="21"/>
  <c r="R80" i="21" s="1"/>
  <c r="P55" i="21"/>
  <c r="N55" i="21"/>
  <c r="L55" i="21"/>
  <c r="J55" i="21"/>
  <c r="H55" i="2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N81" i="21" s="1"/>
  <c r="AL51" i="21"/>
  <c r="AL81" i="21" s="1"/>
  <c r="AJ51" i="21"/>
  <c r="AJ81" i="21" s="1"/>
  <c r="AH51" i="21"/>
  <c r="AH81" i="21" s="1"/>
  <c r="AF51" i="21"/>
  <c r="AD51" i="21"/>
  <c r="AB51" i="21"/>
  <c r="Z51" i="21"/>
  <c r="X51" i="21"/>
  <c r="V51" i="21"/>
  <c r="V81" i="21" s="1"/>
  <c r="T51" i="21"/>
  <c r="T81" i="21" s="1"/>
  <c r="R51" i="21"/>
  <c r="P51" i="21"/>
  <c r="P81" i="21" s="1"/>
  <c r="N51" i="21"/>
  <c r="N81" i="21" s="1"/>
  <c r="L51" i="21"/>
  <c r="L81" i="21" s="1"/>
  <c r="J51" i="21"/>
  <c r="J81" i="21" s="1"/>
  <c r="H51" i="21"/>
  <c r="H81" i="21" s="1"/>
  <c r="F51" i="21"/>
  <c r="F81" i="21" s="1"/>
  <c r="D51" i="21"/>
  <c r="D81" i="21" s="1"/>
  <c r="B51" i="21"/>
  <c r="B81" i="21" s="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c r="AT43" i="21" a="1"/>
  <c r="AR43" i="21" a="1"/>
  <c r="AR43" i="21" s="1"/>
  <c r="AP43" i="21" a="1"/>
  <c r="AP43" i="21" s="1"/>
  <c r="AN43" i="21" a="1"/>
  <c r="AN43" i="21" s="1"/>
  <c r="AL43" i="21" a="1"/>
  <c r="AL43" i="21" s="1"/>
  <c r="AJ43" i="21" a="1"/>
  <c r="AJ43" i="21" s="1"/>
  <c r="AH43" i="21" a="1"/>
  <c r="AH43" i="21" s="1"/>
  <c r="AF43" i="21"/>
  <c r="AF43" i="21" a="1"/>
  <c r="AD43" i="21"/>
  <c r="AD43" i="21" a="1"/>
  <c r="AB43" i="21" a="1"/>
  <c r="AB43" i="21" s="1"/>
  <c r="Z43" i="21" a="1"/>
  <c r="Z43" i="21" s="1"/>
  <c r="X43" i="21" a="1"/>
  <c r="X43" i="21" s="1"/>
  <c r="V43" i="21" a="1"/>
  <c r="V43" i="21" s="1"/>
  <c r="T43" i="21" a="1"/>
  <c r="T43" i="21" s="1"/>
  <c r="R43" i="21" a="1"/>
  <c r="R43" i="21" s="1"/>
  <c r="P43" i="21"/>
  <c r="P43" i="21" a="1"/>
  <c r="N43" i="21" a="1"/>
  <c r="N43" i="21" s="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L81" i="24"/>
  <c r="AH81" i="24"/>
  <c r="AF81" i="24"/>
  <c r="AD81" i="24"/>
  <c r="AB81" i="24"/>
  <c r="F81" i="24"/>
  <c r="B81" i="24"/>
  <c r="AV80" i="24"/>
  <c r="AT80" i="24"/>
  <c r="AR80" i="24"/>
  <c r="AP80" i="24"/>
  <c r="AN80" i="24"/>
  <c r="V80" i="24"/>
  <c r="R80" i="24"/>
  <c r="P80" i="24"/>
  <c r="N80" i="24"/>
  <c r="L80" i="24"/>
  <c r="J80" i="24"/>
  <c r="AV79" i="24" a="1"/>
  <c r="AV79" i="24" s="1"/>
  <c r="AT79" i="24"/>
  <c r="AT79" i="24" a="1"/>
  <c r="AR79" i="24" a="1"/>
  <c r="AR79" i="24" s="1"/>
  <c r="AP79" i="24" a="1"/>
  <c r="AP79" i="24" s="1"/>
  <c r="AN79" i="24" a="1"/>
  <c r="AN79" i="24" s="1"/>
  <c r="AL79" i="24" a="1"/>
  <c r="AL79" i="24" s="1"/>
  <c r="AJ79" i="24"/>
  <c r="AJ79" i="24" a="1"/>
  <c r="AH79" i="24"/>
  <c r="AH79" i="24" a="1"/>
  <c r="AF79" i="24" a="1"/>
  <c r="AF79" i="24" s="1"/>
  <c r="AD79" i="24"/>
  <c r="AD79" i="24" a="1"/>
  <c r="AB79" i="24" a="1"/>
  <c r="AB79" i="24" s="1"/>
  <c r="Z79" i="24" a="1"/>
  <c r="Z79" i="24" s="1"/>
  <c r="X79" i="24" a="1"/>
  <c r="X79" i="24" s="1"/>
  <c r="V79" i="24" a="1"/>
  <c r="V79" i="24" s="1"/>
  <c r="T79" i="24"/>
  <c r="T79" i="24" a="1"/>
  <c r="R79" i="24"/>
  <c r="R79" i="24" a="1"/>
  <c r="P79" i="24" a="1"/>
  <c r="P79" i="24" s="1"/>
  <c r="N79" i="24"/>
  <c r="N79" i="24" a="1"/>
  <c r="L79" i="24" a="1"/>
  <c r="L79" i="24" s="1"/>
  <c r="J79" i="24" a="1"/>
  <c r="J79" i="24" s="1"/>
  <c r="H79" i="24" a="1"/>
  <c r="H79" i="24" s="1"/>
  <c r="F79" i="24" a="1"/>
  <c r="F79" i="24" s="1"/>
  <c r="D79" i="24"/>
  <c r="D79" i="24" a="1"/>
  <c r="B79" i="24"/>
  <c r="B79" i="24" a="1"/>
  <c r="AV78" i="24" a="1"/>
  <c r="AV78" i="24" s="1"/>
  <c r="AT78" i="24"/>
  <c r="AT78" i="24" a="1"/>
  <c r="AR78" i="24" a="1"/>
  <c r="AR78" i="24" s="1"/>
  <c r="AP78" i="24" a="1"/>
  <c r="AP78" i="24" s="1"/>
  <c r="AN78" i="24" a="1"/>
  <c r="AN78" i="24" s="1"/>
  <c r="AL78" i="24" a="1"/>
  <c r="AL78" i="24" s="1"/>
  <c r="AJ78" i="24"/>
  <c r="AJ78" i="24" a="1"/>
  <c r="AH78" i="24"/>
  <c r="AH78" i="24" a="1"/>
  <c r="AF78" i="24" a="1"/>
  <c r="AF78" i="24" s="1"/>
  <c r="AD78" i="24"/>
  <c r="AD78" i="24" a="1"/>
  <c r="AB78" i="24" a="1"/>
  <c r="AB78" i="24" s="1"/>
  <c r="Z78" i="24" a="1"/>
  <c r="Z78" i="24" s="1"/>
  <c r="X78" i="24" a="1"/>
  <c r="X78" i="24" s="1"/>
  <c r="V78" i="24" a="1"/>
  <c r="V78" i="24" s="1"/>
  <c r="T78" i="24"/>
  <c r="T78" i="24" a="1"/>
  <c r="R78" i="24"/>
  <c r="R78" i="24" a="1"/>
  <c r="P78" i="24" a="1"/>
  <c r="P78" i="24" s="1"/>
  <c r="N78" i="24"/>
  <c r="N78" i="24" a="1"/>
  <c r="L78" i="24" a="1"/>
  <c r="L78" i="24" s="1"/>
  <c r="J78" i="24" a="1"/>
  <c r="J78" i="24" s="1"/>
  <c r="H78" i="24" a="1"/>
  <c r="H78" i="24" s="1"/>
  <c r="F78" i="24" a="1"/>
  <c r="F78" i="24" s="1"/>
  <c r="D78" i="24"/>
  <c r="D78" i="24" a="1"/>
  <c r="B78" i="24"/>
  <c r="B78" i="24" a="1"/>
  <c r="AV77" i="24" a="1"/>
  <c r="AV77" i="24" s="1"/>
  <c r="AT77" i="24"/>
  <c r="AT77" i="24" a="1"/>
  <c r="AR77" i="24" a="1"/>
  <c r="AR77" i="24" s="1"/>
  <c r="AP77" i="24" a="1"/>
  <c r="AP77" i="24" s="1"/>
  <c r="AN77" i="24" a="1"/>
  <c r="AN77" i="24" s="1"/>
  <c r="AL77" i="24" a="1"/>
  <c r="AL77" i="24" s="1"/>
  <c r="AJ77" i="24"/>
  <c r="AJ77" i="24" a="1"/>
  <c r="AH77" i="24"/>
  <c r="AH77" i="24" a="1"/>
  <c r="AF77" i="24" a="1"/>
  <c r="AF77" i="24" s="1"/>
  <c r="AD77" i="24"/>
  <c r="AD77" i="24" a="1"/>
  <c r="AB77" i="24" a="1"/>
  <c r="AB77" i="24" s="1"/>
  <c r="Z77" i="24" a="1"/>
  <c r="Z77" i="24" s="1"/>
  <c r="X77" i="24" a="1"/>
  <c r="X77" i="24" s="1"/>
  <c r="V77" i="24" a="1"/>
  <c r="V77" i="24" s="1"/>
  <c r="T77" i="24"/>
  <c r="T77" i="24" a="1"/>
  <c r="R77" i="24"/>
  <c r="R77" i="24" a="1"/>
  <c r="P77" i="24" a="1"/>
  <c r="P77" i="24" s="1"/>
  <c r="N77" i="24"/>
  <c r="N77" i="24" a="1"/>
  <c r="L77" i="24" a="1"/>
  <c r="L77" i="24" s="1"/>
  <c r="J77" i="24" a="1"/>
  <c r="J77" i="24" s="1"/>
  <c r="H77" i="24" a="1"/>
  <c r="H77" i="24" s="1"/>
  <c r="F77" i="24" a="1"/>
  <c r="F77" i="24" s="1"/>
  <c r="D77" i="24"/>
  <c r="D77" i="24" a="1"/>
  <c r="B77" i="24"/>
  <c r="B77" i="24" a="1"/>
  <c r="AV76" i="24" a="1"/>
  <c r="AV76" i="24" s="1"/>
  <c r="AT76" i="24"/>
  <c r="AT76" i="24" a="1"/>
  <c r="AR76" i="24" a="1"/>
  <c r="AR76" i="24" s="1"/>
  <c r="AP76" i="24" a="1"/>
  <c r="AP76" i="24" s="1"/>
  <c r="AN76" i="24" a="1"/>
  <c r="AN76" i="24" s="1"/>
  <c r="AL76" i="24" a="1"/>
  <c r="AL76" i="24" s="1"/>
  <c r="AJ76" i="24"/>
  <c r="AJ76" i="24" a="1"/>
  <c r="AH76" i="24"/>
  <c r="AH76" i="24" a="1"/>
  <c r="AF76" i="24" a="1"/>
  <c r="AF76" i="24" s="1"/>
  <c r="AD76" i="24"/>
  <c r="AD76" i="24" a="1"/>
  <c r="AB76" i="24" a="1"/>
  <c r="AB76" i="24" s="1"/>
  <c r="Z76" i="24" a="1"/>
  <c r="Z76" i="24" s="1"/>
  <c r="X76" i="24" a="1"/>
  <c r="X76" i="24" s="1"/>
  <c r="V76" i="24" a="1"/>
  <c r="V76" i="24" s="1"/>
  <c r="T76" i="24"/>
  <c r="T76" i="24" a="1"/>
  <c r="R76" i="24"/>
  <c r="R76" i="24" a="1"/>
  <c r="P76" i="24" a="1"/>
  <c r="P76" i="24" s="1"/>
  <c r="N76" i="24"/>
  <c r="N76" i="24" a="1"/>
  <c r="L76" i="24" a="1"/>
  <c r="L76" i="24" s="1"/>
  <c r="J76" i="24" a="1"/>
  <c r="J76" i="24" s="1"/>
  <c r="H76" i="24" a="1"/>
  <c r="H76" i="24" s="1"/>
  <c r="F76" i="24" a="1"/>
  <c r="F76" i="24" s="1"/>
  <c r="D76" i="24"/>
  <c r="D76" i="24" a="1"/>
  <c r="B76" i="24"/>
  <c r="B76" i="24" a="1"/>
  <c r="AV75" i="24" a="1"/>
  <c r="AV75" i="24" s="1"/>
  <c r="AT75" i="24"/>
  <c r="AT75" i="24" a="1"/>
  <c r="AR75" i="24" a="1"/>
  <c r="AR75" i="24" s="1"/>
  <c r="AP75" i="24" a="1"/>
  <c r="AP75" i="24" s="1"/>
  <c r="AN75" i="24" a="1"/>
  <c r="AN75" i="24" s="1"/>
  <c r="AL75" i="24" a="1"/>
  <c r="AL75" i="24" s="1"/>
  <c r="AJ75" i="24"/>
  <c r="AJ75" i="24" a="1"/>
  <c r="AH75" i="24"/>
  <c r="AH75" i="24" a="1"/>
  <c r="AF75" i="24" a="1"/>
  <c r="AF75" i="24" s="1"/>
  <c r="AD75" i="24"/>
  <c r="AD75" i="24" a="1"/>
  <c r="AB75" i="24" a="1"/>
  <c r="AB75" i="24" s="1"/>
  <c r="Z75" i="24" a="1"/>
  <c r="Z75" i="24" s="1"/>
  <c r="X75" i="24" a="1"/>
  <c r="X75" i="24" s="1"/>
  <c r="V75" i="24" a="1"/>
  <c r="V75" i="24" s="1"/>
  <c r="T75" i="24"/>
  <c r="T75" i="24" a="1"/>
  <c r="R75" i="24"/>
  <c r="R75" i="24" a="1"/>
  <c r="P75" i="24" a="1"/>
  <c r="P75" i="24" s="1"/>
  <c r="N75" i="24"/>
  <c r="N75" i="24" a="1"/>
  <c r="L75" i="24" a="1"/>
  <c r="L75" i="24" s="1"/>
  <c r="J75" i="24" a="1"/>
  <c r="J75" i="24" s="1"/>
  <c r="H75" i="24" a="1"/>
  <c r="H75" i="24" s="1"/>
  <c r="F75" i="24" a="1"/>
  <c r="F75" i="24" s="1"/>
  <c r="D75" i="24"/>
  <c r="D75" i="24" a="1"/>
  <c r="B75" i="24" a="1"/>
  <c r="B75" i="24" s="1"/>
  <c r="AV74" i="24" a="1"/>
  <c r="AV74" i="24" s="1"/>
  <c r="AT74" i="24"/>
  <c r="AT74" i="24" a="1"/>
  <c r="AR74" i="24" a="1"/>
  <c r="AR74" i="24" s="1"/>
  <c r="AP74" i="24" a="1"/>
  <c r="AP74" i="24" s="1"/>
  <c r="AN74" i="24" a="1"/>
  <c r="AN74" i="24" s="1"/>
  <c r="AL74" i="24" a="1"/>
  <c r="AL74" i="24" s="1"/>
  <c r="AJ74" i="24"/>
  <c r="AJ74" i="24" a="1"/>
  <c r="AH74" i="24" a="1"/>
  <c r="AH74" i="24" s="1"/>
  <c r="AF74" i="24" a="1"/>
  <c r="AF74" i="24" s="1"/>
  <c r="AD74" i="24"/>
  <c r="AD74" i="24" a="1"/>
  <c r="AB74" i="24" a="1"/>
  <c r="AB74" i="24" s="1"/>
  <c r="Z74" i="24" a="1"/>
  <c r="Z74" i="24" s="1"/>
  <c r="X74" i="24" a="1"/>
  <c r="X74" i="24" s="1"/>
  <c r="V74" i="24" a="1"/>
  <c r="V74" i="24" s="1"/>
  <c r="T74" i="24"/>
  <c r="T74" i="24" a="1"/>
  <c r="R74" i="24" a="1"/>
  <c r="R74" i="24" s="1"/>
  <c r="P74" i="24" a="1"/>
  <c r="P74" i="24" s="1"/>
  <c r="N74" i="24"/>
  <c r="N74" i="24" a="1"/>
  <c r="L74" i="24" a="1"/>
  <c r="L74" i="24" s="1"/>
  <c r="J74" i="24" a="1"/>
  <c r="J74" i="24" s="1"/>
  <c r="H74" i="24" a="1"/>
  <c r="H74" i="24" s="1"/>
  <c r="F74" i="24" a="1"/>
  <c r="F74" i="24" s="1"/>
  <c r="D74" i="24"/>
  <c r="D74" i="24" a="1"/>
  <c r="B74" i="24" a="1"/>
  <c r="B74" i="24" s="1"/>
  <c r="AV73" i="24" a="1"/>
  <c r="AV73" i="24" s="1"/>
  <c r="AT73" i="24"/>
  <c r="AT73" i="24" a="1"/>
  <c r="AR73" i="24" a="1"/>
  <c r="AR73" i="24" s="1"/>
  <c r="AP73" i="24" a="1"/>
  <c r="AP73" i="24" s="1"/>
  <c r="AN73" i="24" a="1"/>
  <c r="AN73" i="24" s="1"/>
  <c r="AL73" i="24" a="1"/>
  <c r="AL73" i="24" s="1"/>
  <c r="AJ73" i="24"/>
  <c r="AJ73" i="24" a="1"/>
  <c r="AH73" i="24" a="1"/>
  <c r="AH73" i="24" s="1"/>
  <c r="AF73" i="24" a="1"/>
  <c r="AF73" i="24" s="1"/>
  <c r="AD73" i="24"/>
  <c r="AD73" i="24" a="1"/>
  <c r="AB73" i="24" a="1"/>
  <c r="AB73" i="24" s="1"/>
  <c r="Z73" i="24" a="1"/>
  <c r="Z73" i="24" s="1"/>
  <c r="X73" i="24" a="1"/>
  <c r="X73" i="24" s="1"/>
  <c r="V73" i="24" a="1"/>
  <c r="V73" i="24" s="1"/>
  <c r="T73" i="24"/>
  <c r="T73" i="24" a="1"/>
  <c r="R73" i="24" a="1"/>
  <c r="R73" i="24" s="1"/>
  <c r="P73" i="24" a="1"/>
  <c r="P73" i="24" s="1"/>
  <c r="N73" i="24"/>
  <c r="N73" i="24" a="1"/>
  <c r="L73" i="24" a="1"/>
  <c r="L73" i="24" s="1"/>
  <c r="J73" i="24" a="1"/>
  <c r="J73" i="24" s="1"/>
  <c r="H73" i="24" a="1"/>
  <c r="H73" i="24" s="1"/>
  <c r="F73" i="24" a="1"/>
  <c r="F73" i="24" s="1"/>
  <c r="D73" i="24"/>
  <c r="D73" i="24" a="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B69" i="24"/>
  <c r="AB68" i="24"/>
  <c r="X68" i="24"/>
  <c r="AV67" i="24" a="1"/>
  <c r="AV67" i="24" s="1"/>
  <c r="AT67" i="24" a="1"/>
  <c r="AT67" i="24" s="1"/>
  <c r="AR67" i="24"/>
  <c r="AR67" i="24" a="1"/>
  <c r="AP67" i="24" a="1"/>
  <c r="AP67" i="24" s="1"/>
  <c r="AN67" i="24" a="1"/>
  <c r="AN67" i="24" s="1"/>
  <c r="AL67" i="24"/>
  <c r="AL67" i="24" a="1"/>
  <c r="AJ67" i="24" a="1"/>
  <c r="AJ67" i="24" s="1"/>
  <c r="AH67" i="24" a="1"/>
  <c r="AH67" i="24" s="1"/>
  <c r="AF67" i="24" a="1"/>
  <c r="AF67" i="24" s="1"/>
  <c r="AD67" i="24" a="1"/>
  <c r="AD67" i="24" s="1"/>
  <c r="AB67" i="24"/>
  <c r="AB67" i="24" a="1"/>
  <c r="Z67" i="24" a="1"/>
  <c r="Z67" i="24" s="1"/>
  <c r="X67" i="24" a="1"/>
  <c r="X67" i="24" s="1"/>
  <c r="V67" i="24"/>
  <c r="V67" i="24" a="1"/>
  <c r="T67" i="24" a="1"/>
  <c r="T67" i="24" s="1"/>
  <c r="R67" i="24" a="1"/>
  <c r="R67" i="24" s="1"/>
  <c r="P67" i="24" a="1"/>
  <c r="P67" i="24" s="1"/>
  <c r="N67" i="24" a="1"/>
  <c r="N67" i="24" s="1"/>
  <c r="L67" i="24"/>
  <c r="L67" i="24" a="1"/>
  <c r="J67" i="24" a="1"/>
  <c r="J67" i="24" s="1"/>
  <c r="H67" i="24" a="1"/>
  <c r="H67" i="24" s="1"/>
  <c r="F67" i="24"/>
  <c r="F67" i="24" a="1"/>
  <c r="D67" i="24" a="1"/>
  <c r="D67" i="24" s="1"/>
  <c r="B67" i="24" a="1"/>
  <c r="B67" i="24" s="1"/>
  <c r="AV66" i="24" a="1"/>
  <c r="AV66" i="24" s="1"/>
  <c r="AT66" i="24" a="1"/>
  <c r="AT66" i="24" s="1"/>
  <c r="AT68" i="24" s="1"/>
  <c r="AR66" i="24"/>
  <c r="AR68" i="24" s="1"/>
  <c r="AR66" i="24" a="1"/>
  <c r="AP66" i="24" a="1"/>
  <c r="AP66" i="24" s="1"/>
  <c r="AP68" i="24" s="1"/>
  <c r="AN66" i="24" a="1"/>
  <c r="AN66" i="24" s="1"/>
  <c r="AL66" i="24" a="1"/>
  <c r="AL66" i="24" s="1"/>
  <c r="AL68" i="24" s="1"/>
  <c r="AJ66" i="24" a="1"/>
  <c r="AJ66" i="24" s="1"/>
  <c r="AJ68" i="24" s="1"/>
  <c r="AH66" i="24" a="1"/>
  <c r="AH66" i="24" s="1"/>
  <c r="AH68" i="24" s="1"/>
  <c r="AF66" i="24" a="1"/>
  <c r="AF66" i="24" s="1"/>
  <c r="AF68" i="24" s="1"/>
  <c r="AD66" i="24" a="1"/>
  <c r="AD66" i="24" s="1"/>
  <c r="AD68" i="24" s="1"/>
  <c r="AB66" i="24"/>
  <c r="AB66" i="24" a="1"/>
  <c r="Z66" i="24" a="1"/>
  <c r="Z66" i="24" s="1"/>
  <c r="Z68" i="24" s="1"/>
  <c r="X66" i="24" a="1"/>
  <c r="X66" i="24" s="1"/>
  <c r="V66" i="24" a="1"/>
  <c r="V66" i="24" s="1"/>
  <c r="V68" i="24" s="1"/>
  <c r="T66" i="24" a="1"/>
  <c r="T66" i="24" s="1"/>
  <c r="R66" i="24" a="1"/>
  <c r="R66" i="24" s="1"/>
  <c r="P66" i="24" a="1"/>
  <c r="P66" i="24" s="1"/>
  <c r="N66" i="24"/>
  <c r="N66" i="24" a="1"/>
  <c r="L66" i="24"/>
  <c r="L66" i="24" a="1"/>
  <c r="J66" i="24" a="1"/>
  <c r="J66" i="24" s="1"/>
  <c r="J68" i="24" s="1"/>
  <c r="H66" i="24" a="1"/>
  <c r="H66" i="24" s="1"/>
  <c r="F66" i="24" a="1"/>
  <c r="F66" i="24" s="1"/>
  <c r="F68" i="24" s="1"/>
  <c r="D66" i="24" a="1"/>
  <c r="D66" i="24" s="1"/>
  <c r="B66" i="24" a="1"/>
  <c r="B66" i="24" s="1"/>
  <c r="AV65" i="24" a="1"/>
  <c r="AV65" i="24" s="1"/>
  <c r="AV69" i="24" s="1"/>
  <c r="AT65" i="24" a="1"/>
  <c r="AT65" i="24" s="1"/>
  <c r="AT69" i="24" s="1"/>
  <c r="AR65" i="24"/>
  <c r="AR65" i="24" a="1"/>
  <c r="AP65" i="24" a="1"/>
  <c r="AP65" i="24" s="1"/>
  <c r="AP69" i="24" s="1"/>
  <c r="AN65" i="24" a="1"/>
  <c r="AN65" i="24" s="1"/>
  <c r="AN69" i="24" s="1"/>
  <c r="AL65" i="24" a="1"/>
  <c r="AL65" i="24" s="1"/>
  <c r="AL69" i="24" s="1"/>
  <c r="AJ65" i="24" a="1"/>
  <c r="AJ65" i="24" s="1"/>
  <c r="AJ69" i="24" s="1"/>
  <c r="AH65" i="24" a="1"/>
  <c r="AH65" i="24" s="1"/>
  <c r="AH69" i="24" s="1"/>
  <c r="AF65" i="24" a="1"/>
  <c r="AF65" i="24" s="1"/>
  <c r="AF69" i="24" s="1"/>
  <c r="AD65" i="24"/>
  <c r="AD69" i="24" s="1"/>
  <c r="AD65" i="24" a="1"/>
  <c r="AB65" i="24"/>
  <c r="AB69" i="24" s="1"/>
  <c r="AB65" i="24" a="1"/>
  <c r="Z65" i="24" a="1"/>
  <c r="Z65" i="24" s="1"/>
  <c r="Z69" i="24" s="1"/>
  <c r="X65" i="24" a="1"/>
  <c r="X65" i="24" s="1"/>
  <c r="X69" i="24" s="1"/>
  <c r="V65" i="24" a="1"/>
  <c r="V65" i="24" s="1"/>
  <c r="V69" i="24" s="1"/>
  <c r="T65" i="24" a="1"/>
  <c r="T65" i="24" s="1"/>
  <c r="T69" i="24" s="1"/>
  <c r="R65" i="24" a="1"/>
  <c r="R65" i="24" s="1"/>
  <c r="R69" i="24" s="1"/>
  <c r="P65" i="24" a="1"/>
  <c r="P65" i="24" s="1"/>
  <c r="P69" i="24" s="1"/>
  <c r="N65" i="24" a="1"/>
  <c r="N65" i="24" s="1"/>
  <c r="N69" i="24" s="1"/>
  <c r="L65" i="24"/>
  <c r="L69" i="24" s="1"/>
  <c r="L65" i="24" a="1"/>
  <c r="J65" i="24" a="1"/>
  <c r="J65" i="24" s="1"/>
  <c r="J69"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c r="AR58" i="24" a="1"/>
  <c r="AP58" i="24"/>
  <c r="AP58" i="24" a="1"/>
  <c r="AN58" i="24" a="1"/>
  <c r="AN58" i="24" s="1"/>
  <c r="AL58" i="24" a="1"/>
  <c r="AL58" i="24" s="1"/>
  <c r="AJ58" i="24" a="1"/>
  <c r="AJ58" i="24" s="1"/>
  <c r="AH58" i="24"/>
  <c r="AH58" i="24" a="1"/>
  <c r="AF58" i="24"/>
  <c r="AF58" i="24" a="1"/>
  <c r="AD58" i="24" a="1"/>
  <c r="AD58" i="24" s="1"/>
  <c r="AB58" i="24"/>
  <c r="AB58" i="24" a="1"/>
  <c r="Z58" i="24"/>
  <c r="Z58" i="24" a="1"/>
  <c r="X58" i="24" a="1"/>
  <c r="X58" i="24" s="1"/>
  <c r="V58" i="24" a="1"/>
  <c r="V58" i="24" s="1"/>
  <c r="T58" i="24" a="1"/>
  <c r="T58" i="24" s="1"/>
  <c r="R58" i="24"/>
  <c r="R58" i="24" a="1"/>
  <c r="P58" i="24"/>
  <c r="P58" i="24" a="1"/>
  <c r="N58" i="24" a="1"/>
  <c r="N58" i="24" s="1"/>
  <c r="L58" i="24"/>
  <c r="L58" i="24" a="1"/>
  <c r="J58" i="24"/>
  <c r="J58" i="24" a="1"/>
  <c r="H58" i="24" a="1"/>
  <c r="H58" i="24" s="1"/>
  <c r="F58" i="24" a="1"/>
  <c r="F58" i="24" s="1"/>
  <c r="D58" i="24" a="1"/>
  <c r="D58" i="24" s="1"/>
  <c r="B58" i="24"/>
  <c r="B58" i="24" a="1"/>
  <c r="AV57" i="24"/>
  <c r="AV57" i="24" a="1"/>
  <c r="AT57" i="24" a="1"/>
  <c r="AT57" i="24" s="1"/>
  <c r="AR57" i="24"/>
  <c r="AR57" i="24" a="1"/>
  <c r="AP57" i="24"/>
  <c r="AP57" i="24" a="1"/>
  <c r="AN57" i="24" a="1"/>
  <c r="AN57" i="24" s="1"/>
  <c r="AL57" i="24" a="1"/>
  <c r="AL57" i="24" s="1"/>
  <c r="AJ57" i="24" a="1"/>
  <c r="AJ57" i="24" s="1"/>
  <c r="AH57" i="24"/>
  <c r="AH57" i="24" a="1"/>
  <c r="AF57" i="24"/>
  <c r="AF57" i="24" a="1"/>
  <c r="AD57" i="24" a="1"/>
  <c r="AD57" i="24" s="1"/>
  <c r="AB57" i="24"/>
  <c r="AB57" i="24" a="1"/>
  <c r="Z57" i="24"/>
  <c r="Z57" i="24" a="1"/>
  <c r="X57" i="24" a="1"/>
  <c r="X57" i="24" s="1"/>
  <c r="V57" i="24" a="1"/>
  <c r="V57" i="24" s="1"/>
  <c r="T57" i="24" a="1"/>
  <c r="T57" i="24" s="1"/>
  <c r="R57" i="24"/>
  <c r="R57" i="24" a="1"/>
  <c r="P57" i="24"/>
  <c r="P57" i="24" a="1"/>
  <c r="N57" i="24" a="1"/>
  <c r="N57" i="24" s="1"/>
  <c r="L57" i="24"/>
  <c r="L57" i="24" a="1"/>
  <c r="J57" i="24"/>
  <c r="J57" i="24" a="1"/>
  <c r="H57" i="24" a="1"/>
  <c r="H57" i="24" s="1"/>
  <c r="F57" i="24" a="1"/>
  <c r="F57" i="24" s="1"/>
  <c r="D57" i="24"/>
  <c r="D57" i="24" a="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L55" i="24"/>
  <c r="AL80" i="24" s="1"/>
  <c r="AJ55" i="24"/>
  <c r="AJ80" i="24" s="1"/>
  <c r="AH55" i="24"/>
  <c r="AH80" i="24" s="1"/>
  <c r="AF55" i="24"/>
  <c r="AF80" i="24" s="1"/>
  <c r="AD55" i="24"/>
  <c r="AD80" i="24" s="1"/>
  <c r="AB55" i="24"/>
  <c r="AB80" i="24" s="1"/>
  <c r="Z55" i="24"/>
  <c r="Z80" i="24" s="1"/>
  <c r="X55" i="24"/>
  <c r="X80" i="24" s="1"/>
  <c r="V55" i="24"/>
  <c r="T55" i="24"/>
  <c r="T80" i="24" s="1"/>
  <c r="R55" i="24"/>
  <c r="P55" i="24"/>
  <c r="N55" i="24"/>
  <c r="L55" i="24"/>
  <c r="J55" i="24"/>
  <c r="H55" i="24"/>
  <c r="H80" i="24" s="1"/>
  <c r="F55" i="24"/>
  <c r="F80" i="24" s="1"/>
  <c r="D55" i="24"/>
  <c r="D80" i="24" s="1"/>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N81" i="24" s="1"/>
  <c r="AL51" i="24"/>
  <c r="AJ51" i="24"/>
  <c r="AJ81" i="24" s="1"/>
  <c r="AH51" i="24"/>
  <c r="AF51" i="24"/>
  <c r="AD51" i="24"/>
  <c r="AB51" i="24"/>
  <c r="Z51" i="24"/>
  <c r="Z81" i="24" s="1"/>
  <c r="X51" i="24"/>
  <c r="X81" i="24" s="1"/>
  <c r="V51" i="24"/>
  <c r="V81" i="24" s="1"/>
  <c r="T51" i="24"/>
  <c r="T81" i="24" s="1"/>
  <c r="R51" i="24"/>
  <c r="R81" i="24" s="1"/>
  <c r="P51" i="24"/>
  <c r="P81" i="24" s="1"/>
  <c r="N51" i="24"/>
  <c r="N81" i="24" s="1"/>
  <c r="L51" i="24"/>
  <c r="L81" i="24" s="1"/>
  <c r="J51" i="24"/>
  <c r="J81" i="24" s="1"/>
  <c r="H51" i="24"/>
  <c r="H81" i="24" s="1"/>
  <c r="F51" i="24"/>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c r="AR43" i="24" a="1"/>
  <c r="AP43" i="24"/>
  <c r="AP43" i="24" a="1"/>
  <c r="AN43" i="24" a="1"/>
  <c r="AN43" i="24" s="1"/>
  <c r="AL43" i="24" a="1"/>
  <c r="AL43" i="24" s="1"/>
  <c r="AJ43" i="24"/>
  <c r="AJ43" i="24" a="1"/>
  <c r="AH43" i="24"/>
  <c r="AH43" i="24" a="1"/>
  <c r="AF43" i="24"/>
  <c r="AF43" i="24" a="1"/>
  <c r="AD43" i="24" a="1"/>
  <c r="AD43" i="24" s="1"/>
  <c r="AB43" i="24"/>
  <c r="AB43" i="24" a="1"/>
  <c r="Z43" i="24"/>
  <c r="Z43" i="24" a="1"/>
  <c r="X43" i="24" a="1"/>
  <c r="X43" i="24" s="1"/>
  <c r="V43" i="24" a="1"/>
  <c r="V43" i="24" s="1"/>
  <c r="T43" i="24" a="1"/>
  <c r="T43" i="24" s="1"/>
  <c r="R43" i="24"/>
  <c r="R43" i="24" a="1"/>
  <c r="P43" i="24"/>
  <c r="P43" i="24" a="1"/>
  <c r="N43" i="24" a="1"/>
  <c r="N43" i="24" s="1"/>
  <c r="L43" i="24"/>
  <c r="L43" i="24" a="1"/>
  <c r="J43" i="24"/>
  <c r="J43" i="24" a="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L81" i="18"/>
  <c r="AB81" i="18"/>
  <c r="Z81" i="18"/>
  <c r="X81" i="18"/>
  <c r="T81" i="18"/>
  <c r="R81" i="18"/>
  <c r="F81" i="18"/>
  <c r="AR80" i="18"/>
  <c r="AP80" i="18"/>
  <c r="AN80" i="18"/>
  <c r="AJ80" i="18"/>
  <c r="AH80" i="18"/>
  <c r="V80" i="18"/>
  <c r="L80" i="18"/>
  <c r="J80" i="18"/>
  <c r="H80" i="18"/>
  <c r="D80" i="18"/>
  <c r="B80" i="18"/>
  <c r="AV79" i="18" a="1"/>
  <c r="AV79" i="18" s="1"/>
  <c r="AT79" i="18" a="1"/>
  <c r="AT79" i="18" s="1"/>
  <c r="AR79" i="18" a="1"/>
  <c r="AR79" i="18" s="1"/>
  <c r="AP79" i="18"/>
  <c r="AP79" i="18" a="1"/>
  <c r="AN79" i="18" a="1"/>
  <c r="AN79" i="18" s="1"/>
  <c r="AL79" i="18" a="1"/>
  <c r="AL79" i="18" s="1"/>
  <c r="AJ79" i="18"/>
  <c r="AJ79" i="18" a="1"/>
  <c r="AH79" i="18" a="1"/>
  <c r="AH79" i="18" s="1"/>
  <c r="AF79" i="18" a="1"/>
  <c r="AF79" i="18" s="1"/>
  <c r="AD79" i="18" a="1"/>
  <c r="AD79" i="18" s="1"/>
  <c r="AB79" i="18" a="1"/>
  <c r="AB79" i="18" s="1"/>
  <c r="Z79" i="18"/>
  <c r="Z79" i="18" a="1"/>
  <c r="X79" i="18" a="1"/>
  <c r="X79" i="18" s="1"/>
  <c r="V79" i="18" a="1"/>
  <c r="V79" i="18" s="1"/>
  <c r="T79" i="18"/>
  <c r="T79" i="18" a="1"/>
  <c r="R79" i="18" a="1"/>
  <c r="R79" i="18" s="1"/>
  <c r="P79" i="18" a="1"/>
  <c r="P79" i="18" s="1"/>
  <c r="N79" i="18" a="1"/>
  <c r="N79" i="18" s="1"/>
  <c r="L79" i="18" a="1"/>
  <c r="L79" i="18" s="1"/>
  <c r="J79" i="18"/>
  <c r="J79" i="18" a="1"/>
  <c r="H79" i="18" a="1"/>
  <c r="H79" i="18" s="1"/>
  <c r="F79" i="18" a="1"/>
  <c r="F79" i="18" s="1"/>
  <c r="D79" i="18"/>
  <c r="D79" i="18" a="1"/>
  <c r="B79" i="18" a="1"/>
  <c r="B79" i="18" s="1"/>
  <c r="AV78" i="18" a="1"/>
  <c r="AV78" i="18" s="1"/>
  <c r="AT78" i="18" a="1"/>
  <c r="AT78" i="18" s="1"/>
  <c r="AR78" i="18" a="1"/>
  <c r="AR78" i="18" s="1"/>
  <c r="AP78" i="18"/>
  <c r="AP78" i="18" a="1"/>
  <c r="AN78" i="18" a="1"/>
  <c r="AN78" i="18" s="1"/>
  <c r="AL78" i="18" a="1"/>
  <c r="AL78" i="18" s="1"/>
  <c r="AJ78" i="18"/>
  <c r="AJ78" i="18" a="1"/>
  <c r="AH78" i="18" a="1"/>
  <c r="AH78" i="18" s="1"/>
  <c r="AF78" i="18" a="1"/>
  <c r="AF78" i="18" s="1"/>
  <c r="AD78" i="18" a="1"/>
  <c r="AD78" i="18" s="1"/>
  <c r="AB78" i="18" a="1"/>
  <c r="AB78" i="18" s="1"/>
  <c r="Z78" i="18"/>
  <c r="Z78" i="18" a="1"/>
  <c r="X78" i="18" a="1"/>
  <c r="X78" i="18" s="1"/>
  <c r="V78" i="18" a="1"/>
  <c r="V78" i="18" s="1"/>
  <c r="T78" i="18"/>
  <c r="T78" i="18" a="1"/>
  <c r="R78" i="18" a="1"/>
  <c r="R78" i="18" s="1"/>
  <c r="P78" i="18" a="1"/>
  <c r="P78" i="18" s="1"/>
  <c r="N78" i="18" a="1"/>
  <c r="N78" i="18" s="1"/>
  <c r="L78" i="18" a="1"/>
  <c r="L78" i="18" s="1"/>
  <c r="J78" i="18"/>
  <c r="J78" i="18" a="1"/>
  <c r="H78" i="18" a="1"/>
  <c r="H78" i="18" s="1"/>
  <c r="F78" i="18" a="1"/>
  <c r="F78" i="18" s="1"/>
  <c r="D78" i="18"/>
  <c r="D78" i="18" a="1"/>
  <c r="B78" i="18" a="1"/>
  <c r="B78" i="18" s="1"/>
  <c r="AV77" i="18" a="1"/>
  <c r="AV77" i="18" s="1"/>
  <c r="AT77" i="18" a="1"/>
  <c r="AT77" i="18" s="1"/>
  <c r="AR77" i="18" a="1"/>
  <c r="AR77" i="18" s="1"/>
  <c r="AP77" i="18"/>
  <c r="AP77" i="18" a="1"/>
  <c r="AN77" i="18" a="1"/>
  <c r="AN77" i="18" s="1"/>
  <c r="AL77" i="18" a="1"/>
  <c r="AL77" i="18" s="1"/>
  <c r="AJ77" i="18"/>
  <c r="AJ77" i="18" a="1"/>
  <c r="AH77" i="18" a="1"/>
  <c r="AH77" i="18" s="1"/>
  <c r="AF77" i="18" a="1"/>
  <c r="AF77" i="18" s="1"/>
  <c r="AD77" i="18" a="1"/>
  <c r="AD77" i="18" s="1"/>
  <c r="AB77" i="18" a="1"/>
  <c r="AB77" i="18" s="1"/>
  <c r="Z77" i="18"/>
  <c r="Z77" i="18" a="1"/>
  <c r="X77" i="18" a="1"/>
  <c r="X77" i="18" s="1"/>
  <c r="V77" i="18" a="1"/>
  <c r="V77" i="18" s="1"/>
  <c r="T77" i="18"/>
  <c r="T77" i="18" a="1"/>
  <c r="R77" i="18" a="1"/>
  <c r="R77" i="18" s="1"/>
  <c r="P77" i="18" a="1"/>
  <c r="P77" i="18" s="1"/>
  <c r="N77" i="18" a="1"/>
  <c r="N77" i="18" s="1"/>
  <c r="L77" i="18" a="1"/>
  <c r="L77" i="18" s="1"/>
  <c r="J77" i="18"/>
  <c r="J77" i="18" a="1"/>
  <c r="H77" i="18" a="1"/>
  <c r="H77" i="18" s="1"/>
  <c r="F77" i="18" a="1"/>
  <c r="F77" i="18" s="1"/>
  <c r="D77" i="18"/>
  <c r="D77" i="18" a="1"/>
  <c r="B77" i="18" a="1"/>
  <c r="B77" i="18" s="1"/>
  <c r="AV76" i="18" a="1"/>
  <c r="AV76" i="18" s="1"/>
  <c r="AT76" i="18" a="1"/>
  <c r="AT76" i="18" s="1"/>
  <c r="AR76" i="18" a="1"/>
  <c r="AR76" i="18" s="1"/>
  <c r="AP76" i="18"/>
  <c r="AP76" i="18" a="1"/>
  <c r="AN76" i="18" a="1"/>
  <c r="AN76" i="18" s="1"/>
  <c r="AL76" i="18" a="1"/>
  <c r="AL76" i="18" s="1"/>
  <c r="AJ76" i="18"/>
  <c r="AJ76" i="18" a="1"/>
  <c r="AH76" i="18" a="1"/>
  <c r="AH76" i="18" s="1"/>
  <c r="AF76" i="18" a="1"/>
  <c r="AF76" i="18" s="1"/>
  <c r="AD76" i="18" a="1"/>
  <c r="AD76" i="18" s="1"/>
  <c r="AB76" i="18" a="1"/>
  <c r="AB76" i="18" s="1"/>
  <c r="Z76" i="18"/>
  <c r="Z76" i="18" a="1"/>
  <c r="X76" i="18" a="1"/>
  <c r="X76" i="18" s="1"/>
  <c r="V76" i="18" a="1"/>
  <c r="V76" i="18" s="1"/>
  <c r="T76" i="18"/>
  <c r="T76" i="18" a="1"/>
  <c r="R76" i="18" a="1"/>
  <c r="R76" i="18" s="1"/>
  <c r="P76" i="18" a="1"/>
  <c r="P76" i="18" s="1"/>
  <c r="N76" i="18" a="1"/>
  <c r="N76" i="18" s="1"/>
  <c r="L76" i="18" a="1"/>
  <c r="L76" i="18" s="1"/>
  <c r="J76" i="18"/>
  <c r="J76" i="18" a="1"/>
  <c r="H76" i="18" a="1"/>
  <c r="H76" i="18" s="1"/>
  <c r="F76" i="18" a="1"/>
  <c r="F76" i="18" s="1"/>
  <c r="D76" i="18"/>
  <c r="D76" i="18" a="1"/>
  <c r="B76" i="18" a="1"/>
  <c r="B76" i="18" s="1"/>
  <c r="AV75" i="18" a="1"/>
  <c r="AV75" i="18" s="1"/>
  <c r="AT75" i="18" a="1"/>
  <c r="AT75" i="18" s="1"/>
  <c r="AR75" i="18" a="1"/>
  <c r="AR75" i="18" s="1"/>
  <c r="AP75" i="18"/>
  <c r="AP75" i="18" a="1"/>
  <c r="AN75" i="18" a="1"/>
  <c r="AN75" i="18" s="1"/>
  <c r="AL75" i="18" a="1"/>
  <c r="AL75" i="18" s="1"/>
  <c r="AJ75" i="18"/>
  <c r="AJ75" i="18" a="1"/>
  <c r="AH75" i="18" a="1"/>
  <c r="AH75" i="18" s="1"/>
  <c r="AF75" i="18" a="1"/>
  <c r="AF75" i="18" s="1"/>
  <c r="AD75" i="18" a="1"/>
  <c r="AD75" i="18" s="1"/>
  <c r="AB75" i="18" a="1"/>
  <c r="AB75" i="18" s="1"/>
  <c r="Z75" i="18"/>
  <c r="Z75" i="18" a="1"/>
  <c r="X75" i="18" a="1"/>
  <c r="X75" i="18" s="1"/>
  <c r="V75" i="18" a="1"/>
  <c r="V75" i="18" s="1"/>
  <c r="T75" i="18"/>
  <c r="T75" i="18" a="1"/>
  <c r="R75" i="18" a="1"/>
  <c r="R75" i="18" s="1"/>
  <c r="P75" i="18" a="1"/>
  <c r="P75" i="18" s="1"/>
  <c r="N75" i="18" a="1"/>
  <c r="N75" i="18" s="1"/>
  <c r="L75" i="18" a="1"/>
  <c r="L75" i="18" s="1"/>
  <c r="J75" i="18"/>
  <c r="J75" i="18" a="1"/>
  <c r="H75" i="18" a="1"/>
  <c r="H75" i="18" s="1"/>
  <c r="F75" i="18" a="1"/>
  <c r="F75" i="18" s="1"/>
  <c r="D75" i="18"/>
  <c r="D75" i="18" a="1"/>
  <c r="B75" i="18" a="1"/>
  <c r="B75" i="18" s="1"/>
  <c r="AV74" i="18" a="1"/>
  <c r="AV74" i="18" s="1"/>
  <c r="AT74" i="18" a="1"/>
  <c r="AT74" i="18" s="1"/>
  <c r="AR74" i="18" a="1"/>
  <c r="AR74" i="18" s="1"/>
  <c r="AP74" i="18"/>
  <c r="AP74" i="18" a="1"/>
  <c r="AN74" i="18" a="1"/>
  <c r="AN74" i="18" s="1"/>
  <c r="AL74" i="18" a="1"/>
  <c r="AL74" i="18" s="1"/>
  <c r="AJ74" i="18"/>
  <c r="AJ74" i="18" a="1"/>
  <c r="AH74" i="18" a="1"/>
  <c r="AH74" i="18" s="1"/>
  <c r="AF74" i="18" a="1"/>
  <c r="AF74" i="18" s="1"/>
  <c r="AD74" i="18" a="1"/>
  <c r="AD74" i="18" s="1"/>
  <c r="AB74" i="18" a="1"/>
  <c r="AB74" i="18" s="1"/>
  <c r="Z74" i="18" a="1"/>
  <c r="Z74" i="18" s="1"/>
  <c r="X74" i="18" a="1"/>
  <c r="X74" i="18" s="1"/>
  <c r="V74" i="18" a="1"/>
  <c r="V74" i="18" s="1"/>
  <c r="T74" i="18"/>
  <c r="T74" i="18" a="1"/>
  <c r="R74" i="18" a="1"/>
  <c r="R74" i="18" s="1"/>
  <c r="P74" i="18" a="1"/>
  <c r="P74" i="18" s="1"/>
  <c r="N74" i="18" a="1"/>
  <c r="N74" i="18" s="1"/>
  <c r="L74" i="18" a="1"/>
  <c r="L74" i="18" s="1"/>
  <c r="J74" i="18" a="1"/>
  <c r="J74" i="18" s="1"/>
  <c r="H74" i="18" a="1"/>
  <c r="H74" i="18" s="1"/>
  <c r="F74" i="18" a="1"/>
  <c r="F74" i="18" s="1"/>
  <c r="D74" i="18"/>
  <c r="D74" i="18" a="1"/>
  <c r="B74" i="18" a="1"/>
  <c r="B74" i="18" s="1"/>
  <c r="AV73" i="18" a="1"/>
  <c r="AV73" i="18" s="1"/>
  <c r="AT73" i="18" a="1"/>
  <c r="AT73" i="18" s="1"/>
  <c r="AR73" i="18" a="1"/>
  <c r="AR73" i="18" s="1"/>
  <c r="AP73" i="18" a="1"/>
  <c r="AP73" i="18" s="1"/>
  <c r="AN73" i="18" a="1"/>
  <c r="AN73" i="18" s="1"/>
  <c r="AL73" i="18" a="1"/>
  <c r="AL73" i="18" s="1"/>
  <c r="AJ73" i="18"/>
  <c r="AJ73" i="18" a="1"/>
  <c r="AH73" i="18" a="1"/>
  <c r="AH73" i="18" s="1"/>
  <c r="AF73" i="18" a="1"/>
  <c r="AF73" i="18" s="1"/>
  <c r="AD73" i="18" a="1"/>
  <c r="AD73" i="18" s="1"/>
  <c r="AB73" i="18" a="1"/>
  <c r="AB73" i="18" s="1"/>
  <c r="Z73" i="18" a="1"/>
  <c r="Z73" i="18" s="1"/>
  <c r="X73" i="18" a="1"/>
  <c r="X73" i="18" s="1"/>
  <c r="V73" i="18" a="1"/>
  <c r="V73" i="18" s="1"/>
  <c r="T73" i="18"/>
  <c r="T73" i="18" a="1"/>
  <c r="R73" i="18" a="1"/>
  <c r="R73" i="18" s="1"/>
  <c r="P73" i="18" a="1"/>
  <c r="P73" i="18" s="1"/>
  <c r="N73" i="18" a="1"/>
  <c r="N73" i="18" s="1"/>
  <c r="L73" i="18" a="1"/>
  <c r="L73" i="18" s="1"/>
  <c r="J73" i="18" a="1"/>
  <c r="J73" i="18" s="1"/>
  <c r="H73" i="18" a="1"/>
  <c r="H73" i="18" s="1"/>
  <c r="F73" i="18" a="1"/>
  <c r="F73" i="18" s="1"/>
  <c r="D73" i="18"/>
  <c r="D73" i="18" a="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c r="AR67" i="18" a="1"/>
  <c r="AP67" i="18" a="1"/>
  <c r="AP67" i="18" s="1"/>
  <c r="AN67" i="18" a="1"/>
  <c r="AN67" i="18" s="1"/>
  <c r="AL67" i="18" a="1"/>
  <c r="AL67" i="18" s="1"/>
  <c r="AJ67" i="18" a="1"/>
  <c r="AJ67" i="18" s="1"/>
  <c r="AH67" i="18" a="1"/>
  <c r="AH67" i="18" s="1"/>
  <c r="AF67" i="18" a="1"/>
  <c r="AF67" i="18" s="1"/>
  <c r="AD67" i="18" a="1"/>
  <c r="AD67" i="18" s="1"/>
  <c r="AB67" i="18"/>
  <c r="AB67" i="18" a="1"/>
  <c r="Z67" i="18" a="1"/>
  <c r="Z67" i="18" s="1"/>
  <c r="X67" i="18" a="1"/>
  <c r="X67" i="18" s="1"/>
  <c r="V67" i="18" a="1"/>
  <c r="V67" i="18" s="1"/>
  <c r="T67" i="18" a="1"/>
  <c r="T67" i="18" s="1"/>
  <c r="R67" i="18" a="1"/>
  <c r="R67" i="18" s="1"/>
  <c r="P67" i="18" a="1"/>
  <c r="P67" i="18" s="1"/>
  <c r="N67" i="18" a="1"/>
  <c r="N67" i="18" s="1"/>
  <c r="L67" i="18"/>
  <c r="L67" i="18" a="1"/>
  <c r="J67" i="18" a="1"/>
  <c r="J67" i="18" s="1"/>
  <c r="H67" i="18" a="1"/>
  <c r="H67" i="18" s="1"/>
  <c r="F67" i="18" a="1"/>
  <c r="F67" i="18" s="1"/>
  <c r="D67" i="18" a="1"/>
  <c r="D67" i="18" s="1"/>
  <c r="B67" i="18" a="1"/>
  <c r="B67" i="18" s="1"/>
  <c r="AV66" i="18" a="1"/>
  <c r="AV66" i="18" s="1"/>
  <c r="AV68" i="18" s="1"/>
  <c r="AT66" i="18" a="1"/>
  <c r="AT66" i="18" s="1"/>
  <c r="AR66" i="18"/>
  <c r="AR68" i="18" s="1"/>
  <c r="AR66" i="18" a="1"/>
  <c r="AP66" i="18" a="1"/>
  <c r="AP66" i="18" s="1"/>
  <c r="AP68" i="18" s="1"/>
  <c r="AN66" i="18" a="1"/>
  <c r="AN66" i="18" s="1"/>
  <c r="AN68" i="18" s="1"/>
  <c r="AL66" i="18" a="1"/>
  <c r="AL66" i="18" s="1"/>
  <c r="AL68" i="18" s="1"/>
  <c r="AJ66" i="18" a="1"/>
  <c r="AJ66" i="18" s="1"/>
  <c r="AH66" i="18" a="1"/>
  <c r="AH66" i="18" s="1"/>
  <c r="AF66" i="18" a="1"/>
  <c r="AF66" i="18" s="1"/>
  <c r="AD66" i="18" a="1"/>
  <c r="AD66" i="18" s="1"/>
  <c r="AB66" i="18"/>
  <c r="AB68" i="18" s="1"/>
  <c r="AB66" i="18" a="1"/>
  <c r="Z66" i="18" a="1"/>
  <c r="Z66" i="18" s="1"/>
  <c r="X66" i="18" a="1"/>
  <c r="X66" i="18" s="1"/>
  <c r="V66" i="18" a="1"/>
  <c r="V66" i="18" s="1"/>
  <c r="T66" i="18" a="1"/>
  <c r="T66" i="18" s="1"/>
  <c r="T68" i="18" s="1"/>
  <c r="R66" i="18" a="1"/>
  <c r="R66" i="18" s="1"/>
  <c r="P66" i="18" a="1"/>
  <c r="P66" i="18" s="1"/>
  <c r="P68" i="18" s="1"/>
  <c r="N66" i="18" a="1"/>
  <c r="N66" i="18" s="1"/>
  <c r="N68" i="18" s="1"/>
  <c r="L66" i="18"/>
  <c r="L68" i="18" s="1"/>
  <c r="L66" i="18" a="1"/>
  <c r="J66" i="18" a="1"/>
  <c r="J66" i="18" s="1"/>
  <c r="J68" i="18" s="1"/>
  <c r="H66" i="18" a="1"/>
  <c r="H66" i="18" s="1"/>
  <c r="F66" i="18" a="1"/>
  <c r="F66" i="18" s="1"/>
  <c r="D66" i="18" a="1"/>
  <c r="D66" i="18" s="1"/>
  <c r="B66" i="18" a="1"/>
  <c r="B66" i="18" s="1"/>
  <c r="AV65" i="18" a="1"/>
  <c r="AV65" i="18" s="1"/>
  <c r="AV69" i="18" s="1"/>
  <c r="AT65" i="18" a="1"/>
  <c r="AT65" i="18" s="1"/>
  <c r="AT69" i="18" s="1"/>
  <c r="AR65" i="18"/>
  <c r="AR69" i="18" s="1"/>
  <c r="AR65" i="18" a="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c r="AB69" i="18" s="1"/>
  <c r="AB65" i="18" a="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c r="L69" i="18" s="1"/>
  <c r="L65" i="18" a="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c r="AP58" i="18" a="1"/>
  <c r="AN58" i="18"/>
  <c r="AN58" i="18" a="1"/>
  <c r="AL58" i="18" a="1"/>
  <c r="AL58" i="18" s="1"/>
  <c r="AJ58" i="18" a="1"/>
  <c r="AJ58" i="18" s="1"/>
  <c r="AH58" i="18" a="1"/>
  <c r="AH58" i="18" s="1"/>
  <c r="AF58" i="18"/>
  <c r="AF58" i="18" a="1"/>
  <c r="AD58" i="18"/>
  <c r="AD58" i="18" a="1"/>
  <c r="AB58" i="18"/>
  <c r="AB58" i="18" a="1"/>
  <c r="Z58" i="18"/>
  <c r="Z58" i="18" a="1"/>
  <c r="X58" i="18" a="1"/>
  <c r="X58" i="18" s="1"/>
  <c r="V58" i="18" a="1"/>
  <c r="V58" i="18" s="1"/>
  <c r="T58" i="18" a="1"/>
  <c r="T58" i="18" s="1"/>
  <c r="R58" i="18" a="1"/>
  <c r="R58" i="18" s="1"/>
  <c r="P58" i="18"/>
  <c r="P58" i="18" a="1"/>
  <c r="N58" i="18" a="1"/>
  <c r="N58" i="18" s="1"/>
  <c r="L58" i="18"/>
  <c r="L58" i="18" a="1"/>
  <c r="J58" i="18"/>
  <c r="J58" i="18" a="1"/>
  <c r="H58" i="18" a="1"/>
  <c r="H58" i="18" s="1"/>
  <c r="F58" i="18" a="1"/>
  <c r="F58" i="18" s="1"/>
  <c r="D58" i="18" a="1"/>
  <c r="D58" i="18" s="1"/>
  <c r="B58" i="18" a="1"/>
  <c r="B58" i="18" s="1"/>
  <c r="AV57" i="18"/>
  <c r="AV57" i="18" a="1"/>
  <c r="AT57" i="18" a="1"/>
  <c r="AT57" i="18" s="1"/>
  <c r="AR57" i="18"/>
  <c r="AR57" i="18" a="1"/>
  <c r="AP57" i="18"/>
  <c r="AP57" i="18" a="1"/>
  <c r="AN57" i="18" a="1"/>
  <c r="AN57" i="18" s="1"/>
  <c r="AL57" i="18" a="1"/>
  <c r="AL57" i="18" s="1"/>
  <c r="AJ57" i="18" a="1"/>
  <c r="AJ57" i="18" s="1"/>
  <c r="AH57" i="18" a="1"/>
  <c r="AH57" i="18" s="1"/>
  <c r="AF57" i="18"/>
  <c r="AF57" i="18" a="1"/>
  <c r="AD57" i="18" a="1"/>
  <c r="AD57" i="18" s="1"/>
  <c r="AB57" i="18"/>
  <c r="AB57" i="18" a="1"/>
  <c r="Z57" i="18"/>
  <c r="Z57" i="18" a="1"/>
  <c r="X57" i="18" a="1"/>
  <c r="X57" i="18" s="1"/>
  <c r="V57" i="18" a="1"/>
  <c r="V57" i="18" s="1"/>
  <c r="T57" i="18" a="1"/>
  <c r="T57" i="18" s="1"/>
  <c r="R57" i="18" a="1"/>
  <c r="R57" i="18" s="1"/>
  <c r="P57" i="18" a="1"/>
  <c r="P57" i="18" s="1"/>
  <c r="N57" i="18" a="1"/>
  <c r="N57" i="18" s="1"/>
  <c r="L57" i="18"/>
  <c r="L57" i="18" a="1"/>
  <c r="J57" i="18"/>
  <c r="J57" i="18" a="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T80" i="18" s="1"/>
  <c r="AR55" i="18"/>
  <c r="AP55" i="18"/>
  <c r="AN55" i="18"/>
  <c r="AL55" i="18"/>
  <c r="AL80" i="18" s="1"/>
  <c r="AJ55" i="18"/>
  <c r="AH55" i="18"/>
  <c r="AF55" i="18"/>
  <c r="AF80" i="18" s="1"/>
  <c r="AD55" i="18"/>
  <c r="AD80" i="18" s="1"/>
  <c r="AB55" i="18"/>
  <c r="AB80" i="18" s="1"/>
  <c r="Z55" i="18"/>
  <c r="Z80" i="18" s="1"/>
  <c r="X55" i="18"/>
  <c r="X80" i="18" s="1"/>
  <c r="V55" i="18"/>
  <c r="T55" i="18"/>
  <c r="T80" i="18" s="1"/>
  <c r="R55" i="18"/>
  <c r="R80" i="18" s="1"/>
  <c r="P55" i="18"/>
  <c r="P80" i="18" s="1"/>
  <c r="N55" i="18"/>
  <c r="N80" i="18" s="1"/>
  <c r="L55" i="18"/>
  <c r="J55" i="18"/>
  <c r="H55" i="18"/>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J51" i="18"/>
  <c r="AJ81" i="18" s="1"/>
  <c r="AH51" i="18"/>
  <c r="AH81" i="18" s="1"/>
  <c r="AF51" i="18"/>
  <c r="AF81" i="18" s="1"/>
  <c r="AD51" i="18"/>
  <c r="AD81" i="18" s="1"/>
  <c r="AB51" i="18"/>
  <c r="Z51" i="18"/>
  <c r="X51" i="18"/>
  <c r="V51" i="18"/>
  <c r="V81" i="18" s="1"/>
  <c r="T51" i="18"/>
  <c r="R51" i="18"/>
  <c r="P51" i="18"/>
  <c r="P81" i="18" s="1"/>
  <c r="N51" i="18"/>
  <c r="N81" i="18" s="1"/>
  <c r="L51" i="18"/>
  <c r="L81" i="18" s="1"/>
  <c r="J51" i="18"/>
  <c r="J81" i="18" s="1"/>
  <c r="H51" i="18"/>
  <c r="H81" i="18" s="1"/>
  <c r="F51" i="18"/>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a="1"/>
  <c r="AV43" i="18" s="1"/>
  <c r="AT43" i="18" a="1"/>
  <c r="AT43" i="18" s="1"/>
  <c r="AR43" i="18"/>
  <c r="AR43" i="18" a="1"/>
  <c r="AP43" i="18"/>
  <c r="AP43" i="18" a="1"/>
  <c r="AN43" i="18" a="1"/>
  <c r="AN43" i="18" s="1"/>
  <c r="AL43" i="18" a="1"/>
  <c r="AL43" i="18" s="1"/>
  <c r="AJ43" i="18" a="1"/>
  <c r="AJ43" i="18" s="1"/>
  <c r="AH43" i="18" a="1"/>
  <c r="AH43" i="18" s="1"/>
  <c r="AF43" i="18" a="1"/>
  <c r="AF43" i="18" s="1"/>
  <c r="AD43" i="18" a="1"/>
  <c r="AD43" i="18" s="1"/>
  <c r="AB43" i="18"/>
  <c r="AB43" i="18" a="1"/>
  <c r="Z43" i="18"/>
  <c r="Z43" i="18" a="1"/>
  <c r="X43" i="18" a="1"/>
  <c r="X43" i="18" s="1"/>
  <c r="V43" i="18" a="1"/>
  <c r="V43" i="18" s="1"/>
  <c r="T43" i="18" a="1"/>
  <c r="T43" i="18" s="1"/>
  <c r="R43" i="18" a="1"/>
  <c r="R43" i="18" s="1"/>
  <c r="P43" i="18" a="1"/>
  <c r="P43" i="18" s="1"/>
  <c r="N43" i="18" a="1"/>
  <c r="N43" i="18" s="1"/>
  <c r="L43" i="18" a="1"/>
  <c r="L43" i="18" s="1"/>
  <c r="J43" i="18"/>
  <c r="J43" i="18" a="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N81" i="22"/>
  <c r="AL81" i="22"/>
  <c r="AD81" i="22"/>
  <c r="AB81" i="22"/>
  <c r="Z81" i="22"/>
  <c r="X81" i="22"/>
  <c r="H81" i="22"/>
  <c r="F81" i="22"/>
  <c r="AT80" i="22"/>
  <c r="AR80" i="22"/>
  <c r="AP80" i="22"/>
  <c r="AN80" i="22"/>
  <c r="X80" i="22"/>
  <c r="V80" i="22"/>
  <c r="N80" i="22"/>
  <c r="L80" i="22"/>
  <c r="J80" i="22"/>
  <c r="H80" i="22"/>
  <c r="AV79" i="22" a="1"/>
  <c r="AV79" i="22" s="1"/>
  <c r="AT79" i="22" a="1"/>
  <c r="AT79" i="22" s="1"/>
  <c r="AR79" i="22" a="1"/>
  <c r="AR79" i="22" s="1"/>
  <c r="AP79" i="22" a="1"/>
  <c r="AP79" i="22" s="1"/>
  <c r="AN79" i="22" a="1"/>
  <c r="AN79" i="22" s="1"/>
  <c r="AL79" i="22" a="1"/>
  <c r="AL79" i="22" s="1"/>
  <c r="AJ79" i="22"/>
  <c r="AJ79" i="22" a="1"/>
  <c r="AH79" i="22" a="1"/>
  <c r="AH79" i="22" s="1"/>
  <c r="AF79" i="22" a="1"/>
  <c r="AF79" i="22" s="1"/>
  <c r="AD79" i="22" a="1"/>
  <c r="AD79" i="22" s="1"/>
  <c r="AB79" i="22" a="1"/>
  <c r="AB79" i="22" s="1"/>
  <c r="Z79" i="22" a="1"/>
  <c r="Z79" i="22" s="1"/>
  <c r="X79" i="22" a="1"/>
  <c r="X79" i="22" s="1"/>
  <c r="V79" i="22" a="1"/>
  <c r="V79" i="22" s="1"/>
  <c r="T79" i="22"/>
  <c r="T79" i="22" a="1"/>
  <c r="R79" i="22" a="1"/>
  <c r="R79" i="22" s="1"/>
  <c r="P79" i="22" a="1"/>
  <c r="P79" i="22" s="1"/>
  <c r="N79" i="22" a="1"/>
  <c r="N79" i="22" s="1"/>
  <c r="L79" i="22" a="1"/>
  <c r="L79" i="22" s="1"/>
  <c r="J79" i="22" a="1"/>
  <c r="J79" i="22" s="1"/>
  <c r="H79" i="22" a="1"/>
  <c r="H79" i="22" s="1"/>
  <c r="F79" i="22" a="1"/>
  <c r="F79" i="22" s="1"/>
  <c r="D79" i="22"/>
  <c r="D79" i="22" a="1"/>
  <c r="B79" i="22" a="1"/>
  <c r="B79" i="22" s="1"/>
  <c r="AV78" i="22" a="1"/>
  <c r="AV78" i="22" s="1"/>
  <c r="AT78" i="22" a="1"/>
  <c r="AT78" i="22" s="1"/>
  <c r="AR78" i="22" a="1"/>
  <c r="AR78" i="22" s="1"/>
  <c r="AP78" i="22" a="1"/>
  <c r="AP78" i="22" s="1"/>
  <c r="AN78" i="22" a="1"/>
  <c r="AN78" i="22" s="1"/>
  <c r="AL78" i="22" a="1"/>
  <c r="AL78" i="22" s="1"/>
  <c r="AJ78" i="22"/>
  <c r="AJ78" i="22" a="1"/>
  <c r="AH78" i="22" a="1"/>
  <c r="AH78" i="22" s="1"/>
  <c r="AF78" i="22" a="1"/>
  <c r="AF78" i="22" s="1"/>
  <c r="AD78" i="22" a="1"/>
  <c r="AD78" i="22" s="1"/>
  <c r="AB78" i="22" a="1"/>
  <c r="AB78" i="22" s="1"/>
  <c r="Z78" i="22" a="1"/>
  <c r="Z78" i="22" s="1"/>
  <c r="X78" i="22" a="1"/>
  <c r="X78" i="22" s="1"/>
  <c r="V78" i="22" a="1"/>
  <c r="V78" i="22" s="1"/>
  <c r="T78" i="22"/>
  <c r="T78" i="22" a="1"/>
  <c r="R78" i="22" a="1"/>
  <c r="R78" i="22" s="1"/>
  <c r="P78" i="22" a="1"/>
  <c r="P78" i="22" s="1"/>
  <c r="N78" i="22" a="1"/>
  <c r="N78" i="22" s="1"/>
  <c r="L78" i="22" a="1"/>
  <c r="L78" i="22" s="1"/>
  <c r="J78" i="22" a="1"/>
  <c r="J78" i="22" s="1"/>
  <c r="H78" i="22" a="1"/>
  <c r="H78" i="22" s="1"/>
  <c r="F78" i="22" a="1"/>
  <c r="F78" i="22" s="1"/>
  <c r="D78" i="22"/>
  <c r="D78" i="22" a="1"/>
  <c r="B78" i="22" a="1"/>
  <c r="B78" i="22" s="1"/>
  <c r="AV77" i="22" a="1"/>
  <c r="AV77" i="22" s="1"/>
  <c r="AT77" i="22" a="1"/>
  <c r="AT77" i="22" s="1"/>
  <c r="AR77" i="22" a="1"/>
  <c r="AR77" i="22" s="1"/>
  <c r="AP77" i="22" a="1"/>
  <c r="AP77" i="22" s="1"/>
  <c r="AN77" i="22" a="1"/>
  <c r="AN77" i="22" s="1"/>
  <c r="AL77" i="22" a="1"/>
  <c r="AL77" i="22" s="1"/>
  <c r="AJ77" i="22"/>
  <c r="AJ77" i="22" a="1"/>
  <c r="AH77" i="22" a="1"/>
  <c r="AH77" i="22" s="1"/>
  <c r="AF77" i="22" a="1"/>
  <c r="AF77" i="22" s="1"/>
  <c r="AD77" i="22" a="1"/>
  <c r="AD77" i="22" s="1"/>
  <c r="AB77" i="22" a="1"/>
  <c r="AB77" i="22" s="1"/>
  <c r="Z77" i="22" a="1"/>
  <c r="Z77" i="22" s="1"/>
  <c r="X77" i="22" a="1"/>
  <c r="X77" i="22" s="1"/>
  <c r="V77" i="22" a="1"/>
  <c r="V77" i="22" s="1"/>
  <c r="T77" i="22"/>
  <c r="T77" i="22" a="1"/>
  <c r="R77" i="22" a="1"/>
  <c r="R77" i="22" s="1"/>
  <c r="P77" i="22" a="1"/>
  <c r="P77" i="22" s="1"/>
  <c r="N77" i="22" a="1"/>
  <c r="N77" i="22" s="1"/>
  <c r="L77" i="22" a="1"/>
  <c r="L77" i="22" s="1"/>
  <c r="J77" i="22" a="1"/>
  <c r="J77" i="22" s="1"/>
  <c r="H77" i="22" a="1"/>
  <c r="H77" i="22" s="1"/>
  <c r="F77" i="22" a="1"/>
  <c r="F77" i="22" s="1"/>
  <c r="D77" i="22"/>
  <c r="D77" i="22" a="1"/>
  <c r="B77" i="22" a="1"/>
  <c r="B77" i="22" s="1"/>
  <c r="AV76" i="22" a="1"/>
  <c r="AV76" i="22" s="1"/>
  <c r="AT76" i="22" a="1"/>
  <c r="AT76" i="22" s="1"/>
  <c r="AR76" i="22" a="1"/>
  <c r="AR76" i="22" s="1"/>
  <c r="AP76" i="22" a="1"/>
  <c r="AP76" i="22" s="1"/>
  <c r="AN76" i="22" a="1"/>
  <c r="AN76" i="22" s="1"/>
  <c r="AL76" i="22" a="1"/>
  <c r="AL76" i="22" s="1"/>
  <c r="AJ76" i="22"/>
  <c r="AJ76" i="22" a="1"/>
  <c r="AH76" i="22" a="1"/>
  <c r="AH76" i="22" s="1"/>
  <c r="AF76" i="22" a="1"/>
  <c r="AF76" i="22" s="1"/>
  <c r="AD76" i="22" a="1"/>
  <c r="AD76" i="22" s="1"/>
  <c r="AB76" i="22" a="1"/>
  <c r="AB76" i="22" s="1"/>
  <c r="Z76" i="22" a="1"/>
  <c r="Z76" i="22" s="1"/>
  <c r="X76" i="22" a="1"/>
  <c r="X76" i="22" s="1"/>
  <c r="V76" i="22" a="1"/>
  <c r="V76" i="22" s="1"/>
  <c r="T76" i="22"/>
  <c r="T76" i="22" a="1"/>
  <c r="R76" i="22" a="1"/>
  <c r="R76" i="22" s="1"/>
  <c r="P76" i="22" a="1"/>
  <c r="P76" i="22" s="1"/>
  <c r="N76" i="22" a="1"/>
  <c r="N76" i="22" s="1"/>
  <c r="L76" i="22" a="1"/>
  <c r="L76" i="22" s="1"/>
  <c r="J76" i="22" a="1"/>
  <c r="J76" i="22" s="1"/>
  <c r="H76" i="22" a="1"/>
  <c r="H76" i="22" s="1"/>
  <c r="F76" i="22" a="1"/>
  <c r="F76" i="22" s="1"/>
  <c r="D76" i="22"/>
  <c r="D76" i="22" a="1"/>
  <c r="B76" i="22" a="1"/>
  <c r="B76" i="22" s="1"/>
  <c r="AV75" i="22" a="1"/>
  <c r="AV75" i="22" s="1"/>
  <c r="AT75" i="22" a="1"/>
  <c r="AT75" i="22" s="1"/>
  <c r="AR75" i="22" a="1"/>
  <c r="AR75" i="22" s="1"/>
  <c r="AP75" i="22" a="1"/>
  <c r="AP75" i="22" s="1"/>
  <c r="AN75" i="22" a="1"/>
  <c r="AN75" i="22" s="1"/>
  <c r="AL75" i="22" a="1"/>
  <c r="AL75" i="22" s="1"/>
  <c r="AJ75" i="22"/>
  <c r="AJ75" i="22" a="1"/>
  <c r="AH75" i="22" a="1"/>
  <c r="AH75" i="22" s="1"/>
  <c r="AF75" i="22" a="1"/>
  <c r="AF75" i="22" s="1"/>
  <c r="AD75" i="22" a="1"/>
  <c r="AD75" i="22" s="1"/>
  <c r="AB75" i="22" a="1"/>
  <c r="AB75" i="22" s="1"/>
  <c r="Z75" i="22" a="1"/>
  <c r="Z75" i="22" s="1"/>
  <c r="X75" i="22" a="1"/>
  <c r="X75" i="22" s="1"/>
  <c r="V75" i="22" a="1"/>
  <c r="V75" i="22" s="1"/>
  <c r="T75" i="22"/>
  <c r="T75" i="22" a="1"/>
  <c r="R75" i="22" a="1"/>
  <c r="R75" i="22" s="1"/>
  <c r="P75" i="22" a="1"/>
  <c r="P75" i="22" s="1"/>
  <c r="N75" i="22" a="1"/>
  <c r="N75" i="22" s="1"/>
  <c r="L75" i="22" a="1"/>
  <c r="L75" i="22" s="1"/>
  <c r="J75" i="22" a="1"/>
  <c r="J75" i="22" s="1"/>
  <c r="H75" i="22" a="1"/>
  <c r="H75" i="22" s="1"/>
  <c r="F75" i="22" a="1"/>
  <c r="F75" i="22" s="1"/>
  <c r="D75" i="22"/>
  <c r="D75" i="22" a="1"/>
  <c r="B75" i="22" a="1"/>
  <c r="B75" i="22" s="1"/>
  <c r="AV74" i="22" a="1"/>
  <c r="AV74" i="22" s="1"/>
  <c r="AT74" i="22" a="1"/>
  <c r="AT74" i="22" s="1"/>
  <c r="AR74" i="22" a="1"/>
  <c r="AR74" i="22" s="1"/>
  <c r="AP74" i="22" a="1"/>
  <c r="AP74" i="22" s="1"/>
  <c r="AN74" i="22" a="1"/>
  <c r="AN74" i="22" s="1"/>
  <c r="AL74" i="22" a="1"/>
  <c r="AL74" i="22" s="1"/>
  <c r="AJ74" i="22"/>
  <c r="AJ74" i="22" a="1"/>
  <c r="AH74" i="22" a="1"/>
  <c r="AH74" i="22" s="1"/>
  <c r="AF74" i="22" a="1"/>
  <c r="AF74" i="22" s="1"/>
  <c r="AD74" i="22" a="1"/>
  <c r="AD74" i="22" s="1"/>
  <c r="AB74" i="22" a="1"/>
  <c r="AB74" i="22" s="1"/>
  <c r="Z74" i="22" a="1"/>
  <c r="Z74" i="22" s="1"/>
  <c r="X74" i="22" a="1"/>
  <c r="X74" i="22" s="1"/>
  <c r="V74" i="22" a="1"/>
  <c r="V74" i="22" s="1"/>
  <c r="T74" i="22"/>
  <c r="T74" i="22" a="1"/>
  <c r="R74" i="22" a="1"/>
  <c r="R74" i="22" s="1"/>
  <c r="P74" i="22" a="1"/>
  <c r="P74" i="22" s="1"/>
  <c r="N74" i="22" a="1"/>
  <c r="N74" i="22" s="1"/>
  <c r="L74" i="22" a="1"/>
  <c r="L74" i="22" s="1"/>
  <c r="J74" i="22" a="1"/>
  <c r="J74" i="22" s="1"/>
  <c r="H74" i="22" a="1"/>
  <c r="H74" i="22" s="1"/>
  <c r="F74" i="22" a="1"/>
  <c r="F74" i="22" s="1"/>
  <c r="D74" i="22"/>
  <c r="D74" i="22" a="1"/>
  <c r="B74" i="22" a="1"/>
  <c r="B74" i="22" s="1"/>
  <c r="AV73" i="22" a="1"/>
  <c r="AV73" i="22" s="1"/>
  <c r="AT73" i="22" a="1"/>
  <c r="AT73" i="22" s="1"/>
  <c r="AR73" i="22" a="1"/>
  <c r="AR73" i="22" s="1"/>
  <c r="AP73" i="22" a="1"/>
  <c r="AP73" i="22" s="1"/>
  <c r="AN73" i="22" a="1"/>
  <c r="AN73" i="22" s="1"/>
  <c r="AL73" i="22" a="1"/>
  <c r="AL73" i="22" s="1"/>
  <c r="AJ73" i="22"/>
  <c r="AJ73" i="22" a="1"/>
  <c r="AH73" i="22" a="1"/>
  <c r="AH73" i="22" s="1"/>
  <c r="AF73" i="22" a="1"/>
  <c r="AF73" i="22" s="1"/>
  <c r="AD73" i="22" a="1"/>
  <c r="AD73" i="22" s="1"/>
  <c r="AB73" i="22" a="1"/>
  <c r="AB73" i="22" s="1"/>
  <c r="Z73" i="22" a="1"/>
  <c r="Z73" i="22" s="1"/>
  <c r="X73" i="22" a="1"/>
  <c r="X73" i="22" s="1"/>
  <c r="V73" i="22" a="1"/>
  <c r="V73" i="22" s="1"/>
  <c r="T73" i="22"/>
  <c r="T73" i="22" a="1"/>
  <c r="R73" i="22" a="1"/>
  <c r="R73" i="22" s="1"/>
  <c r="P73" i="22" a="1"/>
  <c r="P73" i="22" s="1"/>
  <c r="N73" i="22" a="1"/>
  <c r="N73" i="22" s="1"/>
  <c r="L73" i="22" a="1"/>
  <c r="L73" i="22" s="1"/>
  <c r="J73" i="22" a="1"/>
  <c r="J73" i="22" s="1"/>
  <c r="H73" i="22" a="1"/>
  <c r="H73" i="22" s="1"/>
  <c r="F73" i="22" a="1"/>
  <c r="F73" i="22" s="1"/>
  <c r="D73" i="22"/>
  <c r="D73" i="22" a="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V67" i="22" a="1"/>
  <c r="AV67" i="22" s="1"/>
  <c r="AT67" i="22" a="1"/>
  <c r="AT67" i="22" s="1"/>
  <c r="AR67" i="22"/>
  <c r="AR67" i="22" a="1"/>
  <c r="AP67" i="22" a="1"/>
  <c r="AP67" i="22" s="1"/>
  <c r="AN67" i="22" a="1"/>
  <c r="AN67" i="22" s="1"/>
  <c r="AL67" i="22" a="1"/>
  <c r="AL67" i="22" s="1"/>
  <c r="AJ67" i="22" a="1"/>
  <c r="AJ67" i="22" s="1"/>
  <c r="AH67" i="22" a="1"/>
  <c r="AH67" i="22" s="1"/>
  <c r="AF67" i="22" a="1"/>
  <c r="AF67" i="22" s="1"/>
  <c r="AD67" i="22" a="1"/>
  <c r="AD67" i="22" s="1"/>
  <c r="AB67" i="22"/>
  <c r="AB67" i="22" a="1"/>
  <c r="Z67" i="22" a="1"/>
  <c r="Z67" i="22" s="1"/>
  <c r="X67" i="22" a="1"/>
  <c r="X67" i="22" s="1"/>
  <c r="V67" i="22" a="1"/>
  <c r="V67" i="22" s="1"/>
  <c r="T67" i="22" a="1"/>
  <c r="T67" i="22" s="1"/>
  <c r="R67" i="22" a="1"/>
  <c r="R67" i="22" s="1"/>
  <c r="P67" i="22" a="1"/>
  <c r="P67" i="22" s="1"/>
  <c r="N67" i="22" a="1"/>
  <c r="N67" i="22" s="1"/>
  <c r="L67" i="22"/>
  <c r="L67" i="22" a="1"/>
  <c r="J67" i="22" a="1"/>
  <c r="J67" i="22" s="1"/>
  <c r="H67" i="22" a="1"/>
  <c r="H67" i="22" s="1"/>
  <c r="F67" i="22" a="1"/>
  <c r="F67" i="22" s="1"/>
  <c r="D67" i="22" a="1"/>
  <c r="D67" i="22" s="1"/>
  <c r="B67" i="22" a="1"/>
  <c r="B67" i="22" s="1"/>
  <c r="AV66" i="22" a="1"/>
  <c r="AV66" i="22" s="1"/>
  <c r="AT66" i="22" a="1"/>
  <c r="AT66" i="22" s="1"/>
  <c r="AR66" i="22"/>
  <c r="AR68" i="22" s="1"/>
  <c r="AR66" i="22" a="1"/>
  <c r="AP66" i="22" a="1"/>
  <c r="AP66" i="22" s="1"/>
  <c r="AP68" i="22" s="1"/>
  <c r="AN66" i="22" a="1"/>
  <c r="AN66" i="22" s="1"/>
  <c r="AN68" i="22" s="1"/>
  <c r="AL66" i="22" a="1"/>
  <c r="AL66" i="22" s="1"/>
  <c r="AL68" i="22" s="1"/>
  <c r="AJ66" i="22" a="1"/>
  <c r="AJ66" i="22" s="1"/>
  <c r="AJ68" i="22" s="1"/>
  <c r="AH66" i="22" a="1"/>
  <c r="AH66" i="22" s="1"/>
  <c r="AH68" i="22" s="1"/>
  <c r="AF66" i="22" a="1"/>
  <c r="AF66" i="22" s="1"/>
  <c r="AF68" i="22" s="1"/>
  <c r="AD66" i="22" a="1"/>
  <c r="AD66" i="22" s="1"/>
  <c r="AB66" i="22"/>
  <c r="AB68" i="22" s="1"/>
  <c r="AB66" i="22" a="1"/>
  <c r="Z66" i="22" a="1"/>
  <c r="Z66" i="22" s="1"/>
  <c r="X66" i="22" a="1"/>
  <c r="X66" i="22" s="1"/>
  <c r="V66" i="22" a="1"/>
  <c r="V66" i="22" s="1"/>
  <c r="T66" i="22" a="1"/>
  <c r="T66" i="22" s="1"/>
  <c r="R66" i="22" a="1"/>
  <c r="R66" i="22" s="1"/>
  <c r="P66" i="22" a="1"/>
  <c r="P66" i="22" s="1"/>
  <c r="N66" i="22" a="1"/>
  <c r="N66" i="22" s="1"/>
  <c r="N68" i="22" s="1"/>
  <c r="L66" i="22"/>
  <c r="L68" i="22" s="1"/>
  <c r="L66" i="22" a="1"/>
  <c r="J66" i="22" a="1"/>
  <c r="J66" i="22" s="1"/>
  <c r="J68" i="22" s="1"/>
  <c r="H66" i="22" a="1"/>
  <c r="H66" i="22" s="1"/>
  <c r="H68" i="22" s="1"/>
  <c r="F66" i="22" a="1"/>
  <c r="F66" i="22" s="1"/>
  <c r="F68" i="22" s="1"/>
  <c r="D66" i="22" a="1"/>
  <c r="D66" i="22" s="1"/>
  <c r="D68" i="22" s="1"/>
  <c r="B66" i="22" a="1"/>
  <c r="B66" i="22" s="1"/>
  <c r="AV65" i="22" a="1"/>
  <c r="AV65" i="22" s="1"/>
  <c r="AV69" i="22" s="1"/>
  <c r="AT65" i="22" a="1"/>
  <c r="AT65" i="22" s="1"/>
  <c r="AT69" i="22" s="1"/>
  <c r="AR65" i="22"/>
  <c r="AR69" i="22" s="1"/>
  <c r="AR65" i="22" a="1"/>
  <c r="AP65" i="22" a="1"/>
  <c r="AP65" i="22" s="1"/>
  <c r="AP69" i="22" s="1"/>
  <c r="AN65" i="22" a="1"/>
  <c r="AN65" i="22" s="1"/>
  <c r="AN69" i="22" s="1"/>
  <c r="AL65" i="22" a="1"/>
  <c r="AL65" i="22" s="1"/>
  <c r="AL69" i="22" s="1"/>
  <c r="AJ65" i="22" a="1"/>
  <c r="AJ65" i="22" s="1"/>
  <c r="AJ69" i="22" s="1"/>
  <c r="AH65" i="22" a="1"/>
  <c r="AH65" i="22" s="1"/>
  <c r="AH69" i="22" s="1"/>
  <c r="AF65" i="22" a="1"/>
  <c r="AF65" i="22" s="1"/>
  <c r="AF69" i="22" s="1"/>
  <c r="AD65" i="22" a="1"/>
  <c r="AD65" i="22" s="1"/>
  <c r="AD69" i="22" s="1"/>
  <c r="AB65" i="22"/>
  <c r="AB69" i="22" s="1"/>
  <c r="AB65" i="22" a="1"/>
  <c r="Z65" i="22" a="1"/>
  <c r="Z65" i="22" s="1"/>
  <c r="Z69" i="22" s="1"/>
  <c r="X65" i="22" a="1"/>
  <c r="X65" i="22" s="1"/>
  <c r="X69" i="22" s="1"/>
  <c r="V65" i="22" a="1"/>
  <c r="V65" i="22" s="1"/>
  <c r="V69" i="22" s="1"/>
  <c r="T65" i="22" a="1"/>
  <c r="T65" i="22" s="1"/>
  <c r="T69" i="22" s="1"/>
  <c r="R65" i="22" a="1"/>
  <c r="R65" i="22" s="1"/>
  <c r="R69" i="22" s="1"/>
  <c r="P65" i="22" a="1"/>
  <c r="P65" i="22" s="1"/>
  <c r="P69" i="22" s="1"/>
  <c r="N65" i="22" a="1"/>
  <c r="N65" i="22" s="1"/>
  <c r="N69" i="22" s="1"/>
  <c r="L65" i="22"/>
  <c r="L69" i="22" s="1"/>
  <c r="L65" i="22" a="1"/>
  <c r="J65" i="22" a="1"/>
  <c r="J65" i="22" s="1"/>
  <c r="J69" i="22" s="1"/>
  <c r="H65" i="22" a="1"/>
  <c r="H65" i="22" s="1"/>
  <c r="H69" i="22" s="1"/>
  <c r="F65" i="22" a="1"/>
  <c r="F65" i="22" s="1"/>
  <c r="F69" i="22" s="1"/>
  <c r="D65" i="22" a="1"/>
  <c r="D65" i="22" s="1"/>
  <c r="D69" i="22" s="1"/>
  <c r="B65" i="22"/>
  <c r="B69" i="22" s="1"/>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c r="AP58" i="22" a="1"/>
  <c r="AN58" i="22"/>
  <c r="AN58" i="22" a="1"/>
  <c r="AL58" i="22" a="1"/>
  <c r="AL58" i="22" s="1"/>
  <c r="AJ58" i="22" a="1"/>
  <c r="AJ58" i="22" s="1"/>
  <c r="AH58" i="22"/>
  <c r="AH58" i="22" a="1"/>
  <c r="AF58" i="22"/>
  <c r="AF58" i="22" a="1"/>
  <c r="AD58" i="22"/>
  <c r="AD58" i="22" a="1"/>
  <c r="AB58" i="22" a="1"/>
  <c r="AB58" i="22" s="1"/>
  <c r="Z58" i="22"/>
  <c r="Z58" i="22" a="1"/>
  <c r="X58" i="22"/>
  <c r="X58" i="22" a="1"/>
  <c r="V58" i="22" a="1"/>
  <c r="V58" i="22" s="1"/>
  <c r="T58" i="22" a="1"/>
  <c r="T58" i="22" s="1"/>
  <c r="R58" i="22"/>
  <c r="R58" i="22" a="1"/>
  <c r="P58" i="22" a="1"/>
  <c r="P58" i="22" s="1"/>
  <c r="N58" i="22"/>
  <c r="N58" i="22" a="1"/>
  <c r="L58" i="22" a="1"/>
  <c r="L58" i="22" s="1"/>
  <c r="J58" i="22"/>
  <c r="J58" i="22" a="1"/>
  <c r="H58" i="22"/>
  <c r="H58" i="22" a="1"/>
  <c r="F58" i="22" a="1"/>
  <c r="F58" i="22" s="1"/>
  <c r="D58" i="22" a="1"/>
  <c r="D58" i="22" s="1"/>
  <c r="B58" i="22"/>
  <c r="B58" i="22" a="1"/>
  <c r="AV57" i="22" a="1"/>
  <c r="AV57" i="22" s="1"/>
  <c r="AT57" i="22"/>
  <c r="AT57" i="22" a="1"/>
  <c r="AR57" i="22" a="1"/>
  <c r="AR57" i="22" s="1"/>
  <c r="AP57" i="22"/>
  <c r="AP57" i="22" a="1"/>
  <c r="AN57" i="22" a="1"/>
  <c r="AN57" i="22" s="1"/>
  <c r="AL57" i="22" a="1"/>
  <c r="AL57" i="22" s="1"/>
  <c r="AJ57" i="22" a="1"/>
  <c r="AJ57" i="22" s="1"/>
  <c r="AH57" i="22"/>
  <c r="AH57" i="22" a="1"/>
  <c r="AF57" i="22" a="1"/>
  <c r="AF57" i="22" s="1"/>
  <c r="AD57" i="22" a="1"/>
  <c r="AD57" i="22" s="1"/>
  <c r="AB57" i="22" a="1"/>
  <c r="AB57" i="22" s="1"/>
  <c r="Z57" i="22"/>
  <c r="Z57" i="22" a="1"/>
  <c r="X57" i="22" a="1"/>
  <c r="X57" i="22" s="1"/>
  <c r="V57" i="22" a="1"/>
  <c r="V57" i="22" s="1"/>
  <c r="T57" i="22" a="1"/>
  <c r="T57" i="22" s="1"/>
  <c r="R57" i="22"/>
  <c r="R57" i="22" a="1"/>
  <c r="P57" i="22" a="1"/>
  <c r="P57" i="22" s="1"/>
  <c r="N57" i="22" a="1"/>
  <c r="N57" i="22" s="1"/>
  <c r="L57" i="22" a="1"/>
  <c r="L57" i="22" s="1"/>
  <c r="J57" i="22"/>
  <c r="J57" i="22" a="1"/>
  <c r="H57" i="22" a="1"/>
  <c r="H57" i="22" s="1"/>
  <c r="F57" i="22" a="1"/>
  <c r="F57" i="22" s="1"/>
  <c r="D57" i="22" a="1"/>
  <c r="D57" i="22" s="1"/>
  <c r="B57" i="22"/>
  <c r="B57" i="22" a="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V80" i="22" s="1"/>
  <c r="AT55" i="22"/>
  <c r="AR55" i="22"/>
  <c r="AP55" i="22"/>
  <c r="AN55" i="22"/>
  <c r="AL55" i="22"/>
  <c r="AL80" i="22" s="1"/>
  <c r="AJ55" i="22"/>
  <c r="AJ80" i="22" s="1"/>
  <c r="AH55" i="22"/>
  <c r="AH80" i="22" s="1"/>
  <c r="AF55" i="22"/>
  <c r="AF80" i="22" s="1"/>
  <c r="AD55" i="22"/>
  <c r="AD80" i="22" s="1"/>
  <c r="AB55" i="22"/>
  <c r="AB80" i="22" s="1"/>
  <c r="Z55" i="22"/>
  <c r="Z80" i="22" s="1"/>
  <c r="X55" i="22"/>
  <c r="V55" i="22"/>
  <c r="T55" i="22"/>
  <c r="T80" i="22" s="1"/>
  <c r="R55" i="22"/>
  <c r="R80" i="22" s="1"/>
  <c r="P55" i="22"/>
  <c r="P80" i="22" s="1"/>
  <c r="N55" i="22"/>
  <c r="L55" i="22"/>
  <c r="J55" i="22"/>
  <c r="H55" i="22"/>
  <c r="F55" i="22"/>
  <c r="F80" i="22" s="1"/>
  <c r="D55" i="22"/>
  <c r="D80" i="22" s="1"/>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L51" i="22"/>
  <c r="AJ51" i="22"/>
  <c r="AJ81" i="22" s="1"/>
  <c r="AH51" i="22"/>
  <c r="AH81" i="22" s="1"/>
  <c r="AF51" i="22"/>
  <c r="AF81" i="22" s="1"/>
  <c r="AD51" i="22"/>
  <c r="AB51" i="22"/>
  <c r="Z51" i="22"/>
  <c r="X51" i="22"/>
  <c r="V51" i="22"/>
  <c r="V81" i="22" s="1"/>
  <c r="T51" i="22"/>
  <c r="T81" i="22" s="1"/>
  <c r="R51" i="22"/>
  <c r="R81" i="22" s="1"/>
  <c r="P51" i="22"/>
  <c r="P81" i="22" s="1"/>
  <c r="N51" i="22"/>
  <c r="N81" i="22" s="1"/>
  <c r="L51" i="22"/>
  <c r="L81" i="22" s="1"/>
  <c r="J51" i="22"/>
  <c r="J81" i="22" s="1"/>
  <c r="H51" i="22"/>
  <c r="F51" i="22"/>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a="1"/>
  <c r="AV43" i="22" s="1"/>
  <c r="AT43" i="22" a="1"/>
  <c r="AT43" i="22" s="1"/>
  <c r="AR43" i="22" a="1"/>
  <c r="AR43" i="22" s="1"/>
  <c r="AP43" i="22"/>
  <c r="AP43" i="22" a="1"/>
  <c r="AN43" i="22" a="1"/>
  <c r="AN43" i="22" s="1"/>
  <c r="AL43" i="22" a="1"/>
  <c r="AL43" i="22" s="1"/>
  <c r="AJ43" i="22" a="1"/>
  <c r="AJ43" i="22" s="1"/>
  <c r="AH43" i="22" a="1"/>
  <c r="AH43" i="22" s="1"/>
  <c r="AF43" i="22" a="1"/>
  <c r="AF43" i="22" s="1"/>
  <c r="AD43" i="22" a="1"/>
  <c r="AD43" i="22" s="1"/>
  <c r="AB43" i="22" a="1"/>
  <c r="AB43" i="22" s="1"/>
  <c r="Z43" i="22"/>
  <c r="Z43" i="22" a="1"/>
  <c r="X43" i="22" a="1"/>
  <c r="X43" i="22" s="1"/>
  <c r="V43" i="22" a="1"/>
  <c r="V43" i="22" s="1"/>
  <c r="T43" i="22" a="1"/>
  <c r="T43" i="22" s="1"/>
  <c r="R43" i="22" a="1"/>
  <c r="R43" i="22" s="1"/>
  <c r="P43" i="22" a="1"/>
  <c r="P43" i="22" s="1"/>
  <c r="N43" i="22" a="1"/>
  <c r="N43" i="22" s="1"/>
  <c r="L43" i="22" a="1"/>
  <c r="L43" i="22" s="1"/>
  <c r="J43" i="22"/>
  <c r="J43" i="22" a="1"/>
  <c r="H43" i="22" a="1"/>
  <c r="H43" i="22" s="1"/>
  <c r="F43" i="22" a="1"/>
  <c r="F43" i="22" s="1"/>
  <c r="D43" i="22" a="1"/>
  <c r="D43" i="22" s="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H81" i="12"/>
  <c r="AF81" i="12"/>
  <c r="AD81" i="12"/>
  <c r="AB81" i="12"/>
  <c r="Z81" i="12"/>
  <c r="X81" i="12"/>
  <c r="B81" i="12"/>
  <c r="AV80" i="12"/>
  <c r="AT80" i="12"/>
  <c r="AR80" i="12"/>
  <c r="AP80" i="12"/>
  <c r="R80" i="12"/>
  <c r="P80" i="12"/>
  <c r="N80" i="12"/>
  <c r="L80" i="12"/>
  <c r="J80" i="12"/>
  <c r="AV79" i="12" a="1"/>
  <c r="AV79" i="12" s="1"/>
  <c r="AT79" i="12"/>
  <c r="AT79" i="12" a="1"/>
  <c r="AR79" i="12"/>
  <c r="AR79" i="12" a="1"/>
  <c r="AP79" i="12" a="1"/>
  <c r="AP79" i="12" s="1"/>
  <c r="AN79" i="12" a="1"/>
  <c r="AN79" i="12" s="1"/>
  <c r="AL79" i="12" a="1"/>
  <c r="AL79" i="12" s="1"/>
  <c r="AJ79" i="12"/>
  <c r="AJ79" i="12" a="1"/>
  <c r="AH79" i="12" a="1"/>
  <c r="AH79" i="12" s="1"/>
  <c r="AF79" i="12" a="1"/>
  <c r="AF79" i="12" s="1"/>
  <c r="AD79" i="12"/>
  <c r="AD79" i="12" a="1"/>
  <c r="AB79" i="12"/>
  <c r="AB79" i="12" a="1"/>
  <c r="Z79" i="12" a="1"/>
  <c r="Z79" i="12" s="1"/>
  <c r="X79" i="12" a="1"/>
  <c r="X79" i="12" s="1"/>
  <c r="V79" i="12" a="1"/>
  <c r="V79" i="12" s="1"/>
  <c r="T79" i="12"/>
  <c r="T79" i="12" a="1"/>
  <c r="R79" i="12" a="1"/>
  <c r="R79" i="12" s="1"/>
  <c r="P79" i="12" a="1"/>
  <c r="P79" i="12" s="1"/>
  <c r="N79" i="12"/>
  <c r="N79" i="12" a="1"/>
  <c r="L79" i="12"/>
  <c r="L79" i="12" a="1"/>
  <c r="J79" i="12" a="1"/>
  <c r="J79" i="12" s="1"/>
  <c r="H79" i="12" a="1"/>
  <c r="H79" i="12" s="1"/>
  <c r="F79" i="12" a="1"/>
  <c r="F79" i="12" s="1"/>
  <c r="D79" i="12"/>
  <c r="D79" i="12" a="1"/>
  <c r="B79" i="12" a="1"/>
  <c r="B79" i="12" s="1"/>
  <c r="AV78" i="12" a="1"/>
  <c r="AV78" i="12" s="1"/>
  <c r="AT78" i="12"/>
  <c r="AT78" i="12" a="1"/>
  <c r="AR78" i="12"/>
  <c r="AR78" i="12" a="1"/>
  <c r="AP78" i="12" a="1"/>
  <c r="AP78" i="12" s="1"/>
  <c r="AN78" i="12" a="1"/>
  <c r="AN78" i="12" s="1"/>
  <c r="AL78" i="12" a="1"/>
  <c r="AL78" i="12" s="1"/>
  <c r="AJ78" i="12"/>
  <c r="AJ78" i="12" a="1"/>
  <c r="AH78" i="12" a="1"/>
  <c r="AH78" i="12" s="1"/>
  <c r="AF78" i="12" a="1"/>
  <c r="AF78" i="12" s="1"/>
  <c r="AD78" i="12"/>
  <c r="AD78" i="12" a="1"/>
  <c r="AB78" i="12"/>
  <c r="AB78" i="12" a="1"/>
  <c r="Z78" i="12" a="1"/>
  <c r="Z78" i="12" s="1"/>
  <c r="X78" i="12" a="1"/>
  <c r="X78" i="12" s="1"/>
  <c r="V78" i="12" a="1"/>
  <c r="V78" i="12" s="1"/>
  <c r="T78" i="12"/>
  <c r="T78" i="12" a="1"/>
  <c r="R78" i="12" a="1"/>
  <c r="R78" i="12" s="1"/>
  <c r="P78" i="12" a="1"/>
  <c r="P78" i="12" s="1"/>
  <c r="N78" i="12"/>
  <c r="N78" i="12" a="1"/>
  <c r="L78" i="12"/>
  <c r="L78" i="12" a="1"/>
  <c r="J78" i="12" a="1"/>
  <c r="J78" i="12" s="1"/>
  <c r="H78" i="12" a="1"/>
  <c r="H78" i="12" s="1"/>
  <c r="F78" i="12" a="1"/>
  <c r="F78" i="12" s="1"/>
  <c r="D78" i="12"/>
  <c r="D78" i="12" a="1"/>
  <c r="B78" i="12" a="1"/>
  <c r="B78" i="12" s="1"/>
  <c r="AV77" i="12" a="1"/>
  <c r="AV77" i="12" s="1"/>
  <c r="AT77" i="12"/>
  <c r="AT77" i="12" a="1"/>
  <c r="AR77" i="12"/>
  <c r="AR77" i="12" a="1"/>
  <c r="AP77" i="12" a="1"/>
  <c r="AP77" i="12" s="1"/>
  <c r="AN77" i="12" a="1"/>
  <c r="AN77" i="12" s="1"/>
  <c r="AL77" i="12" a="1"/>
  <c r="AL77" i="12" s="1"/>
  <c r="AJ77" i="12"/>
  <c r="AJ77" i="12" a="1"/>
  <c r="AH77" i="12" a="1"/>
  <c r="AH77" i="12" s="1"/>
  <c r="AF77" i="12" a="1"/>
  <c r="AF77" i="12" s="1"/>
  <c r="AD77" i="12"/>
  <c r="AD77" i="12" a="1"/>
  <c r="AB77" i="12"/>
  <c r="AB77" i="12" a="1"/>
  <c r="Z77" i="12" a="1"/>
  <c r="Z77" i="12" s="1"/>
  <c r="X77" i="12" a="1"/>
  <c r="X77" i="12" s="1"/>
  <c r="V77" i="12" a="1"/>
  <c r="V77" i="12" s="1"/>
  <c r="T77" i="12"/>
  <c r="T77" i="12" a="1"/>
  <c r="R77" i="12" a="1"/>
  <c r="R77" i="12" s="1"/>
  <c r="P77" i="12" a="1"/>
  <c r="P77" i="12" s="1"/>
  <c r="N77" i="12"/>
  <c r="N77" i="12" a="1"/>
  <c r="L77" i="12"/>
  <c r="L77" i="12" a="1"/>
  <c r="J77" i="12" a="1"/>
  <c r="J77" i="12" s="1"/>
  <c r="H77" i="12" a="1"/>
  <c r="H77" i="12" s="1"/>
  <c r="F77" i="12" a="1"/>
  <c r="F77" i="12" s="1"/>
  <c r="D77" i="12"/>
  <c r="D77" i="12" a="1"/>
  <c r="B77" i="12" a="1"/>
  <c r="B77" i="12" s="1"/>
  <c r="AV76" i="12" a="1"/>
  <c r="AV76" i="12" s="1"/>
  <c r="AT76" i="12"/>
  <c r="AT76" i="12" a="1"/>
  <c r="AR76" i="12" a="1"/>
  <c r="AR76" i="12" s="1"/>
  <c r="AP76" i="12" a="1"/>
  <c r="AP76" i="12" s="1"/>
  <c r="AN76" i="12" a="1"/>
  <c r="AN76" i="12" s="1"/>
  <c r="AL76" i="12" a="1"/>
  <c r="AL76" i="12" s="1"/>
  <c r="AJ76" i="12"/>
  <c r="AJ76" i="12" a="1"/>
  <c r="AH76" i="12" a="1"/>
  <c r="AH76" i="12" s="1"/>
  <c r="AF76" i="12" a="1"/>
  <c r="AF76" i="12" s="1"/>
  <c r="AD76" i="12"/>
  <c r="AD76" i="12" a="1"/>
  <c r="AB76" i="12" a="1"/>
  <c r="AB76" i="12" s="1"/>
  <c r="Z76" i="12" a="1"/>
  <c r="Z76" i="12" s="1"/>
  <c r="X76" i="12" a="1"/>
  <c r="X76" i="12" s="1"/>
  <c r="V76" i="12" a="1"/>
  <c r="V76" i="12" s="1"/>
  <c r="T76" i="12"/>
  <c r="T76" i="12" a="1"/>
  <c r="R76" i="12" a="1"/>
  <c r="R76" i="12" s="1"/>
  <c r="P76" i="12" a="1"/>
  <c r="P76" i="12" s="1"/>
  <c r="N76" i="12"/>
  <c r="N76" i="12" a="1"/>
  <c r="L76" i="12" a="1"/>
  <c r="L76" i="12" s="1"/>
  <c r="J76" i="12" a="1"/>
  <c r="J76" i="12" s="1"/>
  <c r="H76" i="12" a="1"/>
  <c r="H76" i="12" s="1"/>
  <c r="F76" i="12" a="1"/>
  <c r="F76" i="12" s="1"/>
  <c r="D76" i="12"/>
  <c r="D76" i="12" a="1"/>
  <c r="B76" i="12" a="1"/>
  <c r="B76" i="12" s="1"/>
  <c r="AV75" i="12" a="1"/>
  <c r="AV75" i="12" s="1"/>
  <c r="AT75" i="12"/>
  <c r="AT75" i="12" a="1"/>
  <c r="AR75" i="12" a="1"/>
  <c r="AR75" i="12" s="1"/>
  <c r="AP75" i="12" a="1"/>
  <c r="AP75" i="12" s="1"/>
  <c r="AN75" i="12" a="1"/>
  <c r="AN75" i="12" s="1"/>
  <c r="AL75" i="12" a="1"/>
  <c r="AL75" i="12" s="1"/>
  <c r="AJ75" i="12"/>
  <c r="AJ75" i="12" a="1"/>
  <c r="AH75" i="12" a="1"/>
  <c r="AH75" i="12" s="1"/>
  <c r="AF75" i="12" a="1"/>
  <c r="AF75" i="12" s="1"/>
  <c r="AD75" i="12"/>
  <c r="AD75" i="12" a="1"/>
  <c r="AB75" i="12" a="1"/>
  <c r="AB75" i="12" s="1"/>
  <c r="Z75" i="12" a="1"/>
  <c r="Z75" i="12" s="1"/>
  <c r="X75" i="12" a="1"/>
  <c r="X75" i="12" s="1"/>
  <c r="V75" i="12" a="1"/>
  <c r="V75" i="12" s="1"/>
  <c r="T75" i="12"/>
  <c r="T75" i="12" a="1"/>
  <c r="R75" i="12" a="1"/>
  <c r="R75" i="12" s="1"/>
  <c r="P75" i="12" a="1"/>
  <c r="P75" i="12" s="1"/>
  <c r="N75" i="12"/>
  <c r="N75" i="12" a="1"/>
  <c r="L75" i="12" a="1"/>
  <c r="L75" i="12" s="1"/>
  <c r="J75" i="12" a="1"/>
  <c r="J75" i="12" s="1"/>
  <c r="H75" i="12" a="1"/>
  <c r="H75" i="12" s="1"/>
  <c r="F75" i="12" a="1"/>
  <c r="F75" i="12" s="1"/>
  <c r="D75" i="12"/>
  <c r="D75" i="12" a="1"/>
  <c r="B75" i="12" a="1"/>
  <c r="B75" i="12" s="1"/>
  <c r="AV74" i="12" a="1"/>
  <c r="AV74" i="12" s="1"/>
  <c r="AT74" i="12"/>
  <c r="AT74" i="12" a="1"/>
  <c r="AR74" i="12" a="1"/>
  <c r="AR74" i="12" s="1"/>
  <c r="AP74" i="12" a="1"/>
  <c r="AP74" i="12" s="1"/>
  <c r="AN74" i="12" a="1"/>
  <c r="AN74" i="12" s="1"/>
  <c r="AL74" i="12" a="1"/>
  <c r="AL74" i="12" s="1"/>
  <c r="AJ74" i="12"/>
  <c r="AJ74" i="12" a="1"/>
  <c r="AH74" i="12" a="1"/>
  <c r="AH74" i="12" s="1"/>
  <c r="AF74" i="12" a="1"/>
  <c r="AF74" i="12" s="1"/>
  <c r="AD74" i="12" a="1"/>
  <c r="AD74" i="12" s="1"/>
  <c r="AB74" i="12" a="1"/>
  <c r="AB74" i="12" s="1"/>
  <c r="Z74" i="12" a="1"/>
  <c r="Z74" i="12" s="1"/>
  <c r="X74" i="12" a="1"/>
  <c r="X74" i="12" s="1"/>
  <c r="V74" i="12" a="1"/>
  <c r="V74" i="12" s="1"/>
  <c r="T74" i="12"/>
  <c r="T74" i="12" a="1"/>
  <c r="R74" i="12" a="1"/>
  <c r="R74" i="12" s="1"/>
  <c r="P74" i="12" a="1"/>
  <c r="P74" i="12" s="1"/>
  <c r="N74" i="12" a="1"/>
  <c r="N74" i="12" s="1"/>
  <c r="L74" i="12" a="1"/>
  <c r="L74" i="12" s="1"/>
  <c r="J74" i="12" a="1"/>
  <c r="J74" i="12" s="1"/>
  <c r="H74" i="12" a="1"/>
  <c r="H74" i="12" s="1"/>
  <c r="F74" i="12" a="1"/>
  <c r="F74" i="12" s="1"/>
  <c r="D74" i="12"/>
  <c r="D74" i="12" a="1"/>
  <c r="B74" i="12" a="1"/>
  <c r="B74" i="12" s="1"/>
  <c r="AV73" i="12" a="1"/>
  <c r="AV73" i="12" s="1"/>
  <c r="AT73" i="12" a="1"/>
  <c r="AT73" i="12" s="1"/>
  <c r="AR73" i="12" a="1"/>
  <c r="AR73" i="12" s="1"/>
  <c r="AP73" i="12" a="1"/>
  <c r="AP73" i="12" s="1"/>
  <c r="AN73" i="12" a="1"/>
  <c r="AN73" i="12" s="1"/>
  <c r="AL73" i="12" a="1"/>
  <c r="AL73" i="12" s="1"/>
  <c r="AJ73" i="12"/>
  <c r="AJ73" i="12" a="1"/>
  <c r="AH73" i="12" a="1"/>
  <c r="AH73" i="12" s="1"/>
  <c r="AF73" i="12" a="1"/>
  <c r="AF73" i="12" s="1"/>
  <c r="AD73" i="12" a="1"/>
  <c r="AD73" i="12" s="1"/>
  <c r="AB73" i="12" a="1"/>
  <c r="AB73" i="12" s="1"/>
  <c r="Z73" i="12" a="1"/>
  <c r="Z73" i="12" s="1"/>
  <c r="X73" i="12" a="1"/>
  <c r="X73" i="12" s="1"/>
  <c r="V73" i="12" a="1"/>
  <c r="V73" i="12" s="1"/>
  <c r="T73" i="12"/>
  <c r="T73" i="12" a="1"/>
  <c r="R73" i="12" a="1"/>
  <c r="R73" i="12" s="1"/>
  <c r="P73" i="12" a="1"/>
  <c r="P73" i="12" s="1"/>
  <c r="N73" i="12" a="1"/>
  <c r="N73" i="12" s="1"/>
  <c r="L73" i="12" a="1"/>
  <c r="L73" i="12" s="1"/>
  <c r="J73" i="12" a="1"/>
  <c r="J73" i="12" s="1"/>
  <c r="H73" i="12" a="1"/>
  <c r="H73" i="12" s="1"/>
  <c r="F73" i="12" a="1"/>
  <c r="F73" i="12" s="1"/>
  <c r="D73" i="12"/>
  <c r="D73" i="12" a="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N69" i="12"/>
  <c r="B69" i="12"/>
  <c r="X68" i="12"/>
  <c r="AV67" i="12" a="1"/>
  <c r="AV67" i="12" s="1"/>
  <c r="AT67" i="12" a="1"/>
  <c r="AT67" i="12" s="1"/>
  <c r="AR67" i="12"/>
  <c r="AR67" i="12" a="1"/>
  <c r="AP67" i="12" a="1"/>
  <c r="AP67" i="12" s="1"/>
  <c r="AN67" i="12" a="1"/>
  <c r="AN67" i="12" s="1"/>
  <c r="AL67" i="12" a="1"/>
  <c r="AL67" i="12" s="1"/>
  <c r="AJ67" i="12" a="1"/>
  <c r="AJ67" i="12" s="1"/>
  <c r="AH67" i="12" a="1"/>
  <c r="AH67" i="12" s="1"/>
  <c r="AF67" i="12" a="1"/>
  <c r="AF67" i="12" s="1"/>
  <c r="AD67" i="12" a="1"/>
  <c r="AD67" i="12" s="1"/>
  <c r="AB67" i="12"/>
  <c r="AB67" i="12" a="1"/>
  <c r="Z67" i="12" a="1"/>
  <c r="Z67" i="12" s="1"/>
  <c r="X67" i="12" a="1"/>
  <c r="X67" i="12" s="1"/>
  <c r="V67" i="12" a="1"/>
  <c r="V67" i="12" s="1"/>
  <c r="T67" i="12" a="1"/>
  <c r="T67" i="12" s="1"/>
  <c r="R67" i="12" a="1"/>
  <c r="R67" i="12" s="1"/>
  <c r="P67" i="12" a="1"/>
  <c r="P67" i="12" s="1"/>
  <c r="N67" i="12" a="1"/>
  <c r="N67" i="12" s="1"/>
  <c r="L67" i="12"/>
  <c r="L67" i="12" a="1"/>
  <c r="J67" i="12" a="1"/>
  <c r="J67" i="12" s="1"/>
  <c r="H67" i="12" a="1"/>
  <c r="H67" i="12" s="1"/>
  <c r="F67" i="12" a="1"/>
  <c r="F67" i="12" s="1"/>
  <c r="D67" i="12" a="1"/>
  <c r="D67" i="12" s="1"/>
  <c r="B67" i="12" a="1"/>
  <c r="B67" i="12" s="1"/>
  <c r="AV66" i="12" a="1"/>
  <c r="AV66" i="12" s="1"/>
  <c r="AT66" i="12" a="1"/>
  <c r="AT66" i="12" s="1"/>
  <c r="AR66" i="12"/>
  <c r="AR66" i="12" a="1"/>
  <c r="AP66" i="12" a="1"/>
  <c r="AP66" i="12" s="1"/>
  <c r="AP68" i="12" s="1"/>
  <c r="AN66" i="12" a="1"/>
  <c r="AN66" i="12" s="1"/>
  <c r="AN68" i="12" s="1"/>
  <c r="AL66" i="12" a="1"/>
  <c r="AL66" i="12" s="1"/>
  <c r="AL68" i="12" s="1"/>
  <c r="AJ66" i="12" a="1"/>
  <c r="AJ66" i="12" s="1"/>
  <c r="AJ68" i="12" s="1"/>
  <c r="AH66" i="12" a="1"/>
  <c r="AH66" i="12" s="1"/>
  <c r="AH68" i="12" s="1"/>
  <c r="AF66" i="12" a="1"/>
  <c r="AF66" i="12" s="1"/>
  <c r="AF68" i="12" s="1"/>
  <c r="AD66" i="12" a="1"/>
  <c r="AD66" i="12" s="1"/>
  <c r="AD68" i="12" s="1"/>
  <c r="AB66" i="12"/>
  <c r="AB66" i="12" a="1"/>
  <c r="Z66" i="12" a="1"/>
  <c r="Z66" i="12" s="1"/>
  <c r="X66" i="12" a="1"/>
  <c r="X66" i="12" s="1"/>
  <c r="V66" i="12" a="1"/>
  <c r="V66" i="12" s="1"/>
  <c r="T66" i="12" a="1"/>
  <c r="T66" i="12" s="1"/>
  <c r="R66" i="12" a="1"/>
  <c r="R66" i="12" s="1"/>
  <c r="P66" i="12" a="1"/>
  <c r="P66" i="12" s="1"/>
  <c r="N66" i="12" a="1"/>
  <c r="N66" i="12" s="1"/>
  <c r="N68" i="12" s="1"/>
  <c r="L66" i="12"/>
  <c r="L68" i="12" s="1"/>
  <c r="L66" i="12" a="1"/>
  <c r="J66" i="12" a="1"/>
  <c r="J66" i="12" s="1"/>
  <c r="J68" i="12" s="1"/>
  <c r="H66" i="12" a="1"/>
  <c r="H66" i="12" s="1"/>
  <c r="H68" i="12" s="1"/>
  <c r="F66" i="12" a="1"/>
  <c r="F66" i="12" s="1"/>
  <c r="F68" i="12" s="1"/>
  <c r="D66" i="12" a="1"/>
  <c r="D66" i="12" s="1"/>
  <c r="D68" i="12" s="1"/>
  <c r="B66" i="12" a="1"/>
  <c r="B66" i="12" s="1"/>
  <c r="B68" i="12" s="1"/>
  <c r="AV65" i="12" a="1"/>
  <c r="AV65" i="12" s="1"/>
  <c r="AV69" i="12" s="1"/>
  <c r="AT65" i="12" a="1"/>
  <c r="AT65" i="12" s="1"/>
  <c r="AT69" i="12" s="1"/>
  <c r="AR65" i="12"/>
  <c r="AR69" i="12" s="1"/>
  <c r="AR65" i="12" a="1"/>
  <c r="AP65" i="12" a="1"/>
  <c r="AP65" i="12" s="1"/>
  <c r="AP69" i="12" s="1"/>
  <c r="AN65" i="12" a="1"/>
  <c r="AN65" i="12" s="1"/>
  <c r="AL65" i="12" a="1"/>
  <c r="AL65" i="12" s="1"/>
  <c r="AL69" i="12" s="1"/>
  <c r="AJ65" i="12" a="1"/>
  <c r="AJ65" i="12" s="1"/>
  <c r="AJ69" i="12" s="1"/>
  <c r="AH65" i="12" a="1"/>
  <c r="AH65" i="12" s="1"/>
  <c r="AH69" i="12" s="1"/>
  <c r="AF65" i="12" a="1"/>
  <c r="AF65" i="12" s="1"/>
  <c r="AF69" i="12" s="1"/>
  <c r="AD65" i="12" a="1"/>
  <c r="AD65" i="12" s="1"/>
  <c r="AD69" i="12" s="1"/>
  <c r="AB65" i="12"/>
  <c r="AB69" i="12" s="1"/>
  <c r="AB65" i="12" a="1"/>
  <c r="Z65" i="12" a="1"/>
  <c r="Z65" i="12" s="1"/>
  <c r="Z69" i="12" s="1"/>
  <c r="X65" i="12" a="1"/>
  <c r="X65" i="12" s="1"/>
  <c r="X69" i="12" s="1"/>
  <c r="V65" i="12" a="1"/>
  <c r="V65" i="12" s="1"/>
  <c r="V69" i="12" s="1"/>
  <c r="T65" i="12" a="1"/>
  <c r="T65" i="12" s="1"/>
  <c r="T69" i="12" s="1"/>
  <c r="R65" i="12" a="1"/>
  <c r="R65" i="12" s="1"/>
  <c r="R69" i="12" s="1"/>
  <c r="P65" i="12" a="1"/>
  <c r="P65" i="12" s="1"/>
  <c r="P69" i="12" s="1"/>
  <c r="N65" i="12" a="1"/>
  <c r="N65" i="12" s="1"/>
  <c r="N69" i="12" s="1"/>
  <c r="L65" i="12"/>
  <c r="L69" i="12" s="1"/>
  <c r="L65" i="12" a="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c r="AP58" i="12" a="1"/>
  <c r="AN58" i="12" a="1"/>
  <c r="AN58" i="12" s="1"/>
  <c r="AL58" i="12" a="1"/>
  <c r="AL58" i="12" s="1"/>
  <c r="AJ58" i="12" a="1"/>
  <c r="AJ58" i="12" s="1"/>
  <c r="AH58" i="12" a="1"/>
  <c r="AH58" i="12" s="1"/>
  <c r="AF58" i="12"/>
  <c r="AF58" i="12" a="1"/>
  <c r="AD58" i="12" a="1"/>
  <c r="AD58" i="12" s="1"/>
  <c r="AB58" i="12" a="1"/>
  <c r="AB58" i="12" s="1"/>
  <c r="Z58" i="12" a="1"/>
  <c r="Z58" i="12" s="1"/>
  <c r="X58" i="12" a="1"/>
  <c r="X58" i="12" s="1"/>
  <c r="V58" i="12" a="1"/>
  <c r="V58" i="12" s="1"/>
  <c r="T58" i="12" a="1"/>
  <c r="T58" i="12" s="1"/>
  <c r="R58" i="12" a="1"/>
  <c r="R58" i="12" s="1"/>
  <c r="P58" i="12"/>
  <c r="P58" i="12" a="1"/>
  <c r="N58" i="12" a="1"/>
  <c r="N58" i="12" s="1"/>
  <c r="L58" i="12" a="1"/>
  <c r="L58" i="12" s="1"/>
  <c r="J58" i="12" a="1"/>
  <c r="J58" i="12" s="1"/>
  <c r="H58" i="12" a="1"/>
  <c r="H58" i="12" s="1"/>
  <c r="F58" i="12" a="1"/>
  <c r="F58" i="12" s="1"/>
  <c r="D58" i="12"/>
  <c r="D58" i="12" a="1"/>
  <c r="B58" i="12" a="1"/>
  <c r="B58" i="12" s="1"/>
  <c r="AV57" i="12"/>
  <c r="AV57" i="12" a="1"/>
  <c r="AT57" i="12" a="1"/>
  <c r="AT57" i="12" s="1"/>
  <c r="AR57" i="12" a="1"/>
  <c r="AR57" i="12" s="1"/>
  <c r="AP57" i="12" a="1"/>
  <c r="AP57" i="12" s="1"/>
  <c r="AN57" i="12" a="1"/>
  <c r="AN57" i="12" s="1"/>
  <c r="AL57" i="12" a="1"/>
  <c r="AL57" i="12" s="1"/>
  <c r="AJ57" i="12" a="1"/>
  <c r="AJ57" i="12" s="1"/>
  <c r="AH57" i="12" a="1"/>
  <c r="AH57" i="12" s="1"/>
  <c r="AF57" i="12"/>
  <c r="AF57" i="12" a="1"/>
  <c r="AD57" i="12" a="1"/>
  <c r="AD57" i="12" s="1"/>
  <c r="AB57" i="12" a="1"/>
  <c r="AB57" i="12" s="1"/>
  <c r="Z57" i="12" a="1"/>
  <c r="Z57" i="12" s="1"/>
  <c r="X57" i="12" a="1"/>
  <c r="X57" i="12" s="1"/>
  <c r="V57" i="12" a="1"/>
  <c r="V57" i="12" s="1"/>
  <c r="T57" i="12"/>
  <c r="T57" i="12" a="1"/>
  <c r="R57" i="12" a="1"/>
  <c r="R57" i="12" s="1"/>
  <c r="P57" i="12"/>
  <c r="P57" i="12" a="1"/>
  <c r="N57" i="12" a="1"/>
  <c r="N57" i="12" s="1"/>
  <c r="L57" i="12" a="1"/>
  <c r="L57" i="12" s="1"/>
  <c r="J57" i="12" a="1"/>
  <c r="J57" i="12" s="1"/>
  <c r="H57" i="12" a="1"/>
  <c r="H57" i="12" s="1"/>
  <c r="F57" i="12" a="1"/>
  <c r="F57" i="12" s="1"/>
  <c r="D57" i="12" a="1"/>
  <c r="D57" i="12" s="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H80" i="12" s="1"/>
  <c r="AF55" i="12"/>
  <c r="AF80" i="12" s="1"/>
  <c r="AD55" i="12"/>
  <c r="AD80" i="12" s="1"/>
  <c r="AB55" i="12"/>
  <c r="AB80" i="12" s="1"/>
  <c r="Z55" i="12"/>
  <c r="Z80" i="12" s="1"/>
  <c r="X55" i="12"/>
  <c r="X80" i="12" s="1"/>
  <c r="V55" i="12"/>
  <c r="V80" i="12" s="1"/>
  <c r="T55" i="12"/>
  <c r="T80" i="12" s="1"/>
  <c r="R55" i="12"/>
  <c r="P55" i="12"/>
  <c r="N55" i="12"/>
  <c r="L55" i="12"/>
  <c r="J55" i="12"/>
  <c r="H55" i="12"/>
  <c r="H80" i="12" s="1"/>
  <c r="F55" i="12"/>
  <c r="F80" i="12" s="1"/>
  <c r="D55" i="12"/>
  <c r="D80" i="12" s="1"/>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J81" i="12" s="1"/>
  <c r="AH51" i="12"/>
  <c r="AF51" i="12"/>
  <c r="AD51" i="12"/>
  <c r="AB51" i="12"/>
  <c r="Z51" i="12"/>
  <c r="X51" i="12"/>
  <c r="V51" i="12"/>
  <c r="V81" i="12" s="1"/>
  <c r="T51" i="12"/>
  <c r="T81" i="12" s="1"/>
  <c r="R51" i="12"/>
  <c r="R81" i="12" s="1"/>
  <c r="P51" i="12"/>
  <c r="P81" i="12" s="1"/>
  <c r="N51" i="12"/>
  <c r="N81" i="12" s="1"/>
  <c r="L51" i="12"/>
  <c r="L81" i="12" s="1"/>
  <c r="J51" i="12"/>
  <c r="J81" i="12" s="1"/>
  <c r="H51" i="12"/>
  <c r="H81" i="12" s="1"/>
  <c r="F51" i="12"/>
  <c r="F81" i="12" s="1"/>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a="1"/>
  <c r="AP43" i="12" s="1"/>
  <c r="AN43" i="12" a="1"/>
  <c r="AN43" i="12" s="1"/>
  <c r="AL43" i="12" a="1"/>
  <c r="AL43" i="12" s="1"/>
  <c r="AJ43" i="12"/>
  <c r="AJ43" i="12" a="1"/>
  <c r="AH43" i="12" a="1"/>
  <c r="AH43" i="12" s="1"/>
  <c r="AF43" i="12"/>
  <c r="AF43" i="12" a="1"/>
  <c r="AD43" i="12" a="1"/>
  <c r="AD43" i="12" s="1"/>
  <c r="AB43" i="12" a="1"/>
  <c r="AB43" i="12" s="1"/>
  <c r="Z43" i="12" a="1"/>
  <c r="Z43" i="12" s="1"/>
  <c r="X43" i="12" a="1"/>
  <c r="X43" i="12" s="1"/>
  <c r="V43" i="12" a="1"/>
  <c r="V43" i="12" s="1"/>
  <c r="T43" i="12" a="1"/>
  <c r="T43" i="12" s="1"/>
  <c r="R43" i="12" a="1"/>
  <c r="R43" i="12" s="1"/>
  <c r="P43" i="12"/>
  <c r="P43" i="12" a="1"/>
  <c r="N43" i="12" a="1"/>
  <c r="N43" i="12" s="1"/>
  <c r="L43" i="12" a="1"/>
  <c r="L43" i="12" s="1"/>
  <c r="J43" i="12" a="1"/>
  <c r="J43" i="12" s="1"/>
  <c r="H43" i="12" a="1"/>
  <c r="H43" i="12" s="1"/>
  <c r="F43" i="12" a="1"/>
  <c r="F43" i="12" s="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L81" i="11"/>
  <c r="AH81" i="11"/>
  <c r="AD81" i="11"/>
  <c r="AB81" i="11"/>
  <c r="Z81" i="11"/>
  <c r="X81" i="11"/>
  <c r="V81" i="11"/>
  <c r="T81" i="11"/>
  <c r="R81" i="11"/>
  <c r="F81" i="11"/>
  <c r="B81" i="11"/>
  <c r="AT80" i="11"/>
  <c r="AR80" i="11"/>
  <c r="AP80" i="11"/>
  <c r="AN80" i="11"/>
  <c r="AL80" i="11"/>
  <c r="AJ80" i="11"/>
  <c r="AH80" i="11"/>
  <c r="V80" i="11"/>
  <c r="R80" i="11"/>
  <c r="N80" i="11"/>
  <c r="L80" i="11"/>
  <c r="J80" i="11"/>
  <c r="H80" i="11"/>
  <c r="F80" i="11"/>
  <c r="D80" i="11"/>
  <c r="B80" i="11"/>
  <c r="AV79" i="11"/>
  <c r="AV79" i="11" a="1"/>
  <c r="AT79" i="11"/>
  <c r="AT79" i="11" a="1"/>
  <c r="AR79" i="11" a="1"/>
  <c r="AR79" i="11" s="1"/>
  <c r="AP79" i="11" a="1"/>
  <c r="AP79" i="11" s="1"/>
  <c r="AN79" i="11" a="1"/>
  <c r="AN79" i="11" s="1"/>
  <c r="AL79" i="11" a="1"/>
  <c r="AL79" i="11" s="1"/>
  <c r="AJ79" i="11" a="1"/>
  <c r="AJ79" i="11" s="1"/>
  <c r="AH79" i="11" a="1"/>
  <c r="AH79" i="11" s="1"/>
  <c r="AF79" i="11"/>
  <c r="AF79" i="11" a="1"/>
  <c r="AD79" i="11"/>
  <c r="AD79" i="11" a="1"/>
  <c r="AB79" i="11" a="1"/>
  <c r="AB79" i="11" s="1"/>
  <c r="Z79" i="11" a="1"/>
  <c r="Z79" i="11" s="1"/>
  <c r="X79" i="11" a="1"/>
  <c r="X79" i="11" s="1"/>
  <c r="V79" i="11" a="1"/>
  <c r="V79" i="11" s="1"/>
  <c r="T79" i="11" a="1"/>
  <c r="T79" i="11" s="1"/>
  <c r="R79" i="11" a="1"/>
  <c r="R79" i="11" s="1"/>
  <c r="P79" i="11"/>
  <c r="P79" i="11" a="1"/>
  <c r="N79" i="11"/>
  <c r="N79" i="11" a="1"/>
  <c r="L79" i="11" a="1"/>
  <c r="L79" i="11" s="1"/>
  <c r="J79" i="11" a="1"/>
  <c r="J79" i="11" s="1"/>
  <c r="H79" i="11" a="1"/>
  <c r="H79" i="11" s="1"/>
  <c r="F79" i="11" a="1"/>
  <c r="F79" i="11" s="1"/>
  <c r="D79" i="11" a="1"/>
  <c r="D79" i="11" s="1"/>
  <c r="B79" i="11" a="1"/>
  <c r="B79" i="11" s="1"/>
  <c r="AV78" i="11"/>
  <c r="AV78" i="11" a="1"/>
  <c r="AT78" i="11"/>
  <c r="AT78" i="11" a="1"/>
  <c r="AR78" i="11" a="1"/>
  <c r="AR78" i="11" s="1"/>
  <c r="AP78" i="11" a="1"/>
  <c r="AP78" i="11" s="1"/>
  <c r="AN78" i="11" a="1"/>
  <c r="AN78" i="11" s="1"/>
  <c r="AL78" i="11" a="1"/>
  <c r="AL78" i="11" s="1"/>
  <c r="AJ78" i="11" a="1"/>
  <c r="AJ78" i="11" s="1"/>
  <c r="AH78" i="11" a="1"/>
  <c r="AH78" i="11" s="1"/>
  <c r="AF78" i="11"/>
  <c r="AF78" i="11" a="1"/>
  <c r="AD78" i="11"/>
  <c r="AD78" i="11" a="1"/>
  <c r="AB78" i="11" a="1"/>
  <c r="AB78" i="11" s="1"/>
  <c r="Z78" i="11" a="1"/>
  <c r="Z78" i="11" s="1"/>
  <c r="X78" i="11" a="1"/>
  <c r="X78" i="11" s="1"/>
  <c r="V78" i="11" a="1"/>
  <c r="V78" i="11" s="1"/>
  <c r="T78" i="11" a="1"/>
  <c r="T78" i="11" s="1"/>
  <c r="R78" i="11" a="1"/>
  <c r="R78" i="11" s="1"/>
  <c r="P78" i="11"/>
  <c r="P78" i="11" a="1"/>
  <c r="N78" i="11"/>
  <c r="N78" i="11" a="1"/>
  <c r="L78" i="11" a="1"/>
  <c r="L78" i="11" s="1"/>
  <c r="J78" i="11" a="1"/>
  <c r="J78" i="11" s="1"/>
  <c r="H78" i="11" a="1"/>
  <c r="H78" i="11" s="1"/>
  <c r="F78" i="11" a="1"/>
  <c r="F78" i="11" s="1"/>
  <c r="D78" i="11" a="1"/>
  <c r="D78" i="11" s="1"/>
  <c r="B78" i="11" a="1"/>
  <c r="B78" i="11" s="1"/>
  <c r="AV77" i="11"/>
  <c r="AV77" i="11" a="1"/>
  <c r="AT77" i="11"/>
  <c r="AT77" i="11" a="1"/>
  <c r="AR77" i="11" a="1"/>
  <c r="AR77" i="11" s="1"/>
  <c r="AP77" i="11" a="1"/>
  <c r="AP77" i="11" s="1"/>
  <c r="AN77" i="11" a="1"/>
  <c r="AN77" i="11" s="1"/>
  <c r="AL77" i="11" a="1"/>
  <c r="AL77" i="11" s="1"/>
  <c r="AJ77" i="11" a="1"/>
  <c r="AJ77" i="11" s="1"/>
  <c r="AH77" i="11" a="1"/>
  <c r="AH77" i="11" s="1"/>
  <c r="AF77" i="11"/>
  <c r="AF77" i="11" a="1"/>
  <c r="AD77" i="11"/>
  <c r="AD77" i="11" a="1"/>
  <c r="AB77" i="11" a="1"/>
  <c r="AB77" i="11" s="1"/>
  <c r="Z77" i="11" a="1"/>
  <c r="Z77" i="11" s="1"/>
  <c r="X77" i="11" a="1"/>
  <c r="X77" i="11" s="1"/>
  <c r="V77" i="11" a="1"/>
  <c r="V77" i="11" s="1"/>
  <c r="T77" i="11" a="1"/>
  <c r="T77" i="11" s="1"/>
  <c r="R77" i="11" a="1"/>
  <c r="R77" i="11" s="1"/>
  <c r="P77" i="11"/>
  <c r="P77" i="11" a="1"/>
  <c r="N77" i="11"/>
  <c r="N77" i="11" a="1"/>
  <c r="L77" i="11" a="1"/>
  <c r="L77" i="11" s="1"/>
  <c r="J77" i="11" a="1"/>
  <c r="J77" i="11" s="1"/>
  <c r="H77" i="11" a="1"/>
  <c r="H77" i="11" s="1"/>
  <c r="F77" i="11" a="1"/>
  <c r="F77" i="11" s="1"/>
  <c r="D77" i="11" a="1"/>
  <c r="D77" i="11" s="1"/>
  <c r="B77" i="11" a="1"/>
  <c r="B77" i="11" s="1"/>
  <c r="AV76" i="11"/>
  <c r="AV76" i="11" a="1"/>
  <c r="AT76" i="11"/>
  <c r="AT76" i="11" a="1"/>
  <c r="AR76" i="11" a="1"/>
  <c r="AR76" i="11" s="1"/>
  <c r="AP76" i="11" a="1"/>
  <c r="AP76" i="11" s="1"/>
  <c r="AN76" i="11" a="1"/>
  <c r="AN76" i="11" s="1"/>
  <c r="AL76" i="11" a="1"/>
  <c r="AL76" i="11" s="1"/>
  <c r="AJ76" i="11" a="1"/>
  <c r="AJ76" i="11" s="1"/>
  <c r="AH76" i="11" a="1"/>
  <c r="AH76" i="11" s="1"/>
  <c r="AF76" i="11"/>
  <c r="AF76" i="11" a="1"/>
  <c r="AD76" i="11"/>
  <c r="AD76" i="11" a="1"/>
  <c r="AB76" i="11" a="1"/>
  <c r="AB76" i="11" s="1"/>
  <c r="Z76" i="11" a="1"/>
  <c r="Z76" i="11" s="1"/>
  <c r="X76" i="11" a="1"/>
  <c r="X76" i="11" s="1"/>
  <c r="V76" i="11" a="1"/>
  <c r="V76" i="11" s="1"/>
  <c r="T76" i="11" a="1"/>
  <c r="T76" i="11" s="1"/>
  <c r="R76" i="11" a="1"/>
  <c r="R76" i="11" s="1"/>
  <c r="P76" i="11"/>
  <c r="P76" i="11" a="1"/>
  <c r="N76" i="11"/>
  <c r="N76" i="11" a="1"/>
  <c r="L76" i="11" a="1"/>
  <c r="L76" i="11" s="1"/>
  <c r="J76" i="11" a="1"/>
  <c r="J76" i="11" s="1"/>
  <c r="H76" i="11" a="1"/>
  <c r="H76" i="11" s="1"/>
  <c r="F76" i="11" a="1"/>
  <c r="F76" i="11" s="1"/>
  <c r="D76" i="11" a="1"/>
  <c r="D76" i="11" s="1"/>
  <c r="B76" i="11" a="1"/>
  <c r="B76" i="11" s="1"/>
  <c r="AV75" i="11"/>
  <c r="AV75" i="11" a="1"/>
  <c r="AT75" i="11"/>
  <c r="AT75" i="11" a="1"/>
  <c r="AR75" i="11" a="1"/>
  <c r="AR75" i="11" s="1"/>
  <c r="AP75" i="11" a="1"/>
  <c r="AP75" i="11" s="1"/>
  <c r="AN75" i="11" a="1"/>
  <c r="AN75" i="11" s="1"/>
  <c r="AL75" i="11" a="1"/>
  <c r="AL75" i="11" s="1"/>
  <c r="AJ75" i="11" a="1"/>
  <c r="AJ75" i="11" s="1"/>
  <c r="AH75" i="11" a="1"/>
  <c r="AH75" i="11" s="1"/>
  <c r="AF75" i="11"/>
  <c r="AF75" i="11" a="1"/>
  <c r="AD75" i="11"/>
  <c r="AD75" i="11" a="1"/>
  <c r="AB75" i="11" a="1"/>
  <c r="AB75" i="11" s="1"/>
  <c r="Z75" i="11" a="1"/>
  <c r="Z75" i="11" s="1"/>
  <c r="X75" i="11" a="1"/>
  <c r="X75" i="11" s="1"/>
  <c r="V75" i="11" a="1"/>
  <c r="V75" i="11" s="1"/>
  <c r="T75" i="11" a="1"/>
  <c r="T75" i="11" s="1"/>
  <c r="R75" i="11" a="1"/>
  <c r="R75" i="11" s="1"/>
  <c r="P75" i="11"/>
  <c r="P75" i="11" a="1"/>
  <c r="N75" i="11"/>
  <c r="N75" i="11" a="1"/>
  <c r="L75" i="11" a="1"/>
  <c r="L75" i="11" s="1"/>
  <c r="J75" i="11" a="1"/>
  <c r="J75" i="11" s="1"/>
  <c r="H75" i="11" a="1"/>
  <c r="H75" i="11" s="1"/>
  <c r="F75" i="11" a="1"/>
  <c r="F75" i="11" s="1"/>
  <c r="D75" i="11" a="1"/>
  <c r="D75" i="11" s="1"/>
  <c r="B75" i="11" a="1"/>
  <c r="B75" i="11" s="1"/>
  <c r="AV74" i="11"/>
  <c r="AV74" i="11" a="1"/>
  <c r="AT74" i="11" a="1"/>
  <c r="AT74" i="11" s="1"/>
  <c r="AR74" i="11" a="1"/>
  <c r="AR74" i="11" s="1"/>
  <c r="AP74" i="11" a="1"/>
  <c r="AP74" i="11" s="1"/>
  <c r="AN74" i="11" a="1"/>
  <c r="AN74" i="11" s="1"/>
  <c r="AL74" i="11" a="1"/>
  <c r="AL74" i="11" s="1"/>
  <c r="AJ74" i="11" a="1"/>
  <c r="AJ74" i="11" s="1"/>
  <c r="AH74" i="11" a="1"/>
  <c r="AH74" i="11" s="1"/>
  <c r="AF74" i="11"/>
  <c r="AF74" i="11" a="1"/>
  <c r="AD74" i="11" a="1"/>
  <c r="AD74" i="11" s="1"/>
  <c r="AB74" i="11" a="1"/>
  <c r="AB74" i="11" s="1"/>
  <c r="Z74" i="11" a="1"/>
  <c r="Z74" i="11" s="1"/>
  <c r="X74" i="11" a="1"/>
  <c r="X74" i="11" s="1"/>
  <c r="V74" i="11" a="1"/>
  <c r="V74" i="11" s="1"/>
  <c r="T74" i="11" a="1"/>
  <c r="T74" i="11" s="1"/>
  <c r="R74" i="11" a="1"/>
  <c r="R74" i="11" s="1"/>
  <c r="P74" i="11"/>
  <c r="P74" i="11" a="1"/>
  <c r="N74" i="11" a="1"/>
  <c r="N74" i="11" s="1"/>
  <c r="L74" i="11" a="1"/>
  <c r="L74" i="11" s="1"/>
  <c r="J74" i="11" a="1"/>
  <c r="J74" i="11" s="1"/>
  <c r="H74" i="11" a="1"/>
  <c r="H74" i="11" s="1"/>
  <c r="F74" i="11" a="1"/>
  <c r="F74" i="11" s="1"/>
  <c r="D74" i="11" a="1"/>
  <c r="D74" i="11" s="1"/>
  <c r="B74" i="11" a="1"/>
  <c r="B74" i="11" s="1"/>
  <c r="AV73" i="11"/>
  <c r="AV73" i="11" a="1"/>
  <c r="AT73" i="11" a="1"/>
  <c r="AT73" i="11" s="1"/>
  <c r="AR73" i="11" a="1"/>
  <c r="AR73" i="11" s="1"/>
  <c r="AP73" i="11" a="1"/>
  <c r="AP73" i="11" s="1"/>
  <c r="AN73" i="11" a="1"/>
  <c r="AN73" i="11" s="1"/>
  <c r="AL73" i="11" a="1"/>
  <c r="AL73" i="11" s="1"/>
  <c r="AJ73" i="11" a="1"/>
  <c r="AJ73" i="11" s="1"/>
  <c r="AH73" i="11" a="1"/>
  <c r="AH73" i="11" s="1"/>
  <c r="AF73" i="11"/>
  <c r="AF73" i="11" a="1"/>
  <c r="AD73" i="11" a="1"/>
  <c r="AD73" i="11" s="1"/>
  <c r="AB73" i="11" a="1"/>
  <c r="AB73" i="11" s="1"/>
  <c r="Z73" i="11" a="1"/>
  <c r="Z73" i="11" s="1"/>
  <c r="X73" i="11" a="1"/>
  <c r="X73" i="11" s="1"/>
  <c r="V73" i="11" a="1"/>
  <c r="V73" i="11" s="1"/>
  <c r="T73" i="11" a="1"/>
  <c r="T73" i="11" s="1"/>
  <c r="R73" i="11" a="1"/>
  <c r="R73" i="11" s="1"/>
  <c r="P73" i="11"/>
  <c r="P73" i="11" a="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N69" i="11"/>
  <c r="H69" i="11"/>
  <c r="B69" i="11"/>
  <c r="X68" i="11"/>
  <c r="AV67" i="11" a="1"/>
  <c r="AV67" i="11" s="1"/>
  <c r="AT67" i="11" a="1"/>
  <c r="AT67" i="11" s="1"/>
  <c r="AR67" i="11" a="1"/>
  <c r="AR67" i="11" s="1"/>
  <c r="AP67" i="11" a="1"/>
  <c r="AP67" i="11" s="1"/>
  <c r="AN67" i="11"/>
  <c r="AN67" i="11" a="1"/>
  <c r="AL67" i="11" a="1"/>
  <c r="AL67" i="11" s="1"/>
  <c r="AJ67" i="11" a="1"/>
  <c r="AJ67" i="11" s="1"/>
  <c r="AH67" i="11" a="1"/>
  <c r="AH67" i="11" s="1"/>
  <c r="AF67" i="11" a="1"/>
  <c r="AF67" i="11" s="1"/>
  <c r="AD67" i="11" a="1"/>
  <c r="AD67" i="11" s="1"/>
  <c r="AB67" i="11" a="1"/>
  <c r="AB67" i="11" s="1"/>
  <c r="Z67" i="11" a="1"/>
  <c r="Z67" i="11" s="1"/>
  <c r="X67" i="11"/>
  <c r="X67" i="11" a="1"/>
  <c r="V67" i="11" a="1"/>
  <c r="V67" i="11" s="1"/>
  <c r="T67" i="11" a="1"/>
  <c r="T67" i="11" s="1"/>
  <c r="R67" i="11" a="1"/>
  <c r="R67" i="11" s="1"/>
  <c r="P67" i="11" a="1"/>
  <c r="P67" i="11" s="1"/>
  <c r="N67" i="11" a="1"/>
  <c r="N67" i="11" s="1"/>
  <c r="L67" i="11" a="1"/>
  <c r="L67" i="11" s="1"/>
  <c r="J67" i="11" a="1"/>
  <c r="J67" i="11" s="1"/>
  <c r="H67" i="11"/>
  <c r="H67" i="11" a="1"/>
  <c r="F67" i="11" a="1"/>
  <c r="F67" i="11" s="1"/>
  <c r="D67" i="11" a="1"/>
  <c r="D67" i="11" s="1"/>
  <c r="B67" i="11" a="1"/>
  <c r="B67" i="11" s="1"/>
  <c r="AV66" i="11" a="1"/>
  <c r="AV66" i="11" s="1"/>
  <c r="AT66" i="11" a="1"/>
  <c r="AT66" i="11" s="1"/>
  <c r="AT68" i="11" s="1"/>
  <c r="AR66" i="11" a="1"/>
  <c r="AR66" i="11" s="1"/>
  <c r="AR68" i="11" s="1"/>
  <c r="AP66" i="11" a="1"/>
  <c r="AP66" i="11" s="1"/>
  <c r="AP68" i="11" s="1"/>
  <c r="AN66" i="11"/>
  <c r="AN68" i="11" s="1"/>
  <c r="AN66" i="11" a="1"/>
  <c r="AL66" i="11" a="1"/>
  <c r="AL66" i="11" s="1"/>
  <c r="AL68" i="11" s="1"/>
  <c r="AJ66" i="11" a="1"/>
  <c r="AJ66" i="11" s="1"/>
  <c r="AJ68" i="11" s="1"/>
  <c r="AH66" i="11" a="1"/>
  <c r="AH66" i="11" s="1"/>
  <c r="AH68" i="11" s="1"/>
  <c r="AF66" i="11" a="1"/>
  <c r="AF66" i="11" s="1"/>
  <c r="AD66" i="11" a="1"/>
  <c r="AD66" i="11" s="1"/>
  <c r="AB66" i="11" a="1"/>
  <c r="AB66" i="11" s="1"/>
  <c r="Z66" i="11" a="1"/>
  <c r="Z66" i="11" s="1"/>
  <c r="X66" i="11"/>
  <c r="X66" i="11" a="1"/>
  <c r="V66" i="11" a="1"/>
  <c r="V66" i="11" s="1"/>
  <c r="T66" i="11" a="1"/>
  <c r="T66" i="11" s="1"/>
  <c r="R66" i="11" a="1"/>
  <c r="R66" i="11" s="1"/>
  <c r="R68" i="11" s="1"/>
  <c r="P66" i="11" a="1"/>
  <c r="P66" i="11" s="1"/>
  <c r="P68" i="11" s="1"/>
  <c r="N66" i="11" a="1"/>
  <c r="N66" i="11" s="1"/>
  <c r="N68" i="11" s="1"/>
  <c r="L66" i="11" a="1"/>
  <c r="L66" i="11" s="1"/>
  <c r="L68" i="11" s="1"/>
  <c r="J66" i="11" a="1"/>
  <c r="J66" i="11" s="1"/>
  <c r="J68" i="11" s="1"/>
  <c r="H66" i="11"/>
  <c r="H68" i="11" s="1"/>
  <c r="H66" i="11" a="1"/>
  <c r="F66" i="11" a="1"/>
  <c r="F66" i="11" s="1"/>
  <c r="F68" i="11" s="1"/>
  <c r="D66" i="11" a="1"/>
  <c r="D66" i="11" s="1"/>
  <c r="B66" i="11" a="1"/>
  <c r="B66" i="11" s="1"/>
  <c r="AV65" i="11" a="1"/>
  <c r="AV65" i="11" s="1"/>
  <c r="AV69" i="11" s="1"/>
  <c r="AT65" i="11" a="1"/>
  <c r="AT65" i="11" s="1"/>
  <c r="AT69" i="11" s="1"/>
  <c r="AR65" i="11" a="1"/>
  <c r="AR65" i="11" s="1"/>
  <c r="AR69" i="11" s="1"/>
  <c r="AP65" i="11" a="1"/>
  <c r="AP65" i="11" s="1"/>
  <c r="AP69" i="11" s="1"/>
  <c r="AN65" i="11"/>
  <c r="AN65" i="11" a="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c r="X69" i="11" s="1"/>
  <c r="X65" i="11" a="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c r="H65" i="11" a="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c r="AR58" i="11" a="1"/>
  <c r="AP58" i="11"/>
  <c r="AP58" i="11" a="1"/>
  <c r="AN58" i="11"/>
  <c r="AN58" i="11" a="1"/>
  <c r="AL58" i="11" a="1"/>
  <c r="AL58" i="11" s="1"/>
  <c r="AJ58" i="11" a="1"/>
  <c r="AJ58" i="11" s="1"/>
  <c r="AH58" i="11" a="1"/>
  <c r="AH58" i="11" s="1"/>
  <c r="AF58" i="11"/>
  <c r="AF58" i="11" a="1"/>
  <c r="AD58" i="11"/>
  <c r="AD58" i="11" a="1"/>
  <c r="AB58" i="11"/>
  <c r="AB58" i="11" a="1"/>
  <c r="Z58" i="11"/>
  <c r="Z58" i="11" a="1"/>
  <c r="X58" i="11"/>
  <c r="X58" i="11" a="1"/>
  <c r="V58" i="11" a="1"/>
  <c r="V58" i="11" s="1"/>
  <c r="T58" i="11" a="1"/>
  <c r="T58" i="11" s="1"/>
  <c r="R58" i="11" a="1"/>
  <c r="R58" i="11" s="1"/>
  <c r="P58" i="11"/>
  <c r="P58" i="11" a="1"/>
  <c r="N58" i="11"/>
  <c r="N58" i="11" a="1"/>
  <c r="L58" i="11"/>
  <c r="L58" i="11" a="1"/>
  <c r="J58" i="11"/>
  <c r="J58" i="11" a="1"/>
  <c r="H58" i="11"/>
  <c r="H58" i="11" a="1"/>
  <c r="F58" i="11" a="1"/>
  <c r="F58" i="11" s="1"/>
  <c r="D58" i="11" a="1"/>
  <c r="D58" i="11" s="1"/>
  <c r="B58" i="11" a="1"/>
  <c r="B58" i="11" s="1"/>
  <c r="AV57" i="11"/>
  <c r="AV57" i="11" a="1"/>
  <c r="AT57" i="11"/>
  <c r="AT57" i="11" a="1"/>
  <c r="AR57" i="11" a="1"/>
  <c r="AR57" i="11" s="1"/>
  <c r="AP57" i="11"/>
  <c r="AP57" i="11" a="1"/>
  <c r="AN57" i="11"/>
  <c r="AN57" i="11" a="1"/>
  <c r="AL57" i="11" a="1"/>
  <c r="AL57" i="11" s="1"/>
  <c r="AJ57" i="11" a="1"/>
  <c r="AJ57" i="11" s="1"/>
  <c r="AH57" i="11" a="1"/>
  <c r="AH57" i="11" s="1"/>
  <c r="AF57" i="11"/>
  <c r="AF57" i="11" a="1"/>
  <c r="AD57" i="11"/>
  <c r="AD57" i="11" a="1"/>
  <c r="AB57" i="11" a="1"/>
  <c r="AB57" i="11" s="1"/>
  <c r="Z57" i="11"/>
  <c r="Z57" i="11" a="1"/>
  <c r="X57" i="11"/>
  <c r="X57" i="11" a="1"/>
  <c r="V57" i="11" a="1"/>
  <c r="V57" i="11" s="1"/>
  <c r="T57" i="11" a="1"/>
  <c r="T57" i="11" s="1"/>
  <c r="R57" i="11" a="1"/>
  <c r="R57" i="11" s="1"/>
  <c r="P57" i="11"/>
  <c r="P57" i="11" a="1"/>
  <c r="N57" i="11"/>
  <c r="N57" i="11" a="1"/>
  <c r="L57" i="11" a="1"/>
  <c r="L57" i="11" s="1"/>
  <c r="J57" i="11"/>
  <c r="J57" i="11" a="1"/>
  <c r="H57" i="11"/>
  <c r="H57" i="11" a="1"/>
  <c r="F57" i="11" a="1"/>
  <c r="F57" i="11" s="1"/>
  <c r="D57" i="11" a="1"/>
  <c r="D57" i="11" s="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V80" i="11" s="1"/>
  <c r="AT55" i="11"/>
  <c r="AR55" i="11"/>
  <c r="AP55" i="11"/>
  <c r="AN55" i="11"/>
  <c r="AL55" i="11"/>
  <c r="AJ55" i="11"/>
  <c r="AH55" i="11"/>
  <c r="AF55" i="11"/>
  <c r="AF80" i="11" s="1"/>
  <c r="AD55" i="11"/>
  <c r="AD80" i="11" s="1"/>
  <c r="AB55" i="11"/>
  <c r="AB80" i="11" s="1"/>
  <c r="Z55" i="11"/>
  <c r="Z80" i="11" s="1"/>
  <c r="X55" i="11"/>
  <c r="X80" i="11" s="1"/>
  <c r="V55" i="11"/>
  <c r="T55" i="11"/>
  <c r="T80" i="11" s="1"/>
  <c r="R55" i="11"/>
  <c r="P55" i="11"/>
  <c r="P80" i="11" s="1"/>
  <c r="N55" i="11"/>
  <c r="L55" i="11"/>
  <c r="J55" i="11"/>
  <c r="H55" i="11"/>
  <c r="F55" i="1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J51" i="11"/>
  <c r="AJ81" i="11" s="1"/>
  <c r="AH51" i="11"/>
  <c r="AF51" i="11"/>
  <c r="AF81" i="11" s="1"/>
  <c r="AD51" i="11"/>
  <c r="AB51" i="11"/>
  <c r="Z51" i="11"/>
  <c r="X51" i="11"/>
  <c r="V51" i="11"/>
  <c r="T51" i="11"/>
  <c r="R51" i="11"/>
  <c r="P51" i="11"/>
  <c r="P81" i="11" s="1"/>
  <c r="N51" i="11"/>
  <c r="N81" i="11" s="1"/>
  <c r="L51" i="11"/>
  <c r="L81" i="11" s="1"/>
  <c r="J51" i="11"/>
  <c r="J81" i="11" s="1"/>
  <c r="H51" i="11"/>
  <c r="H81" i="11" s="1"/>
  <c r="F51" i="11"/>
  <c r="D51" i="11"/>
  <c r="D81" i="11" s="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c r="AT43" i="11" a="1"/>
  <c r="AR43" i="11" a="1"/>
  <c r="AR43" i="11" s="1"/>
  <c r="AP43" i="11"/>
  <c r="AP43" i="11" a="1"/>
  <c r="AN43" i="11"/>
  <c r="AN43" i="11" a="1"/>
  <c r="AL43" i="11" a="1"/>
  <c r="AL43" i="11" s="1"/>
  <c r="AJ43" i="11" a="1"/>
  <c r="AJ43" i="11" s="1"/>
  <c r="AH43" i="11" a="1"/>
  <c r="AH43" i="11" s="1"/>
  <c r="AF43" i="11"/>
  <c r="AF43" i="11" a="1"/>
  <c r="AD43" i="11"/>
  <c r="AD43" i="11" a="1"/>
  <c r="AB43" i="11" a="1"/>
  <c r="AB43" i="11" s="1"/>
  <c r="Z43" i="11"/>
  <c r="Z43" i="11" a="1"/>
  <c r="X43" i="11"/>
  <c r="X43" i="11" a="1"/>
  <c r="V43" i="11" a="1"/>
  <c r="V43" i="11" s="1"/>
  <c r="T43" i="11" a="1"/>
  <c r="T43" i="11" s="1"/>
  <c r="R43" i="11" a="1"/>
  <c r="R43" i="11" s="1"/>
  <c r="P43" i="11"/>
  <c r="P43" i="11" a="1"/>
  <c r="N43" i="11"/>
  <c r="N43" i="11" a="1"/>
  <c r="L43" i="11" a="1"/>
  <c r="L43" i="11" s="1"/>
  <c r="J43" i="11"/>
  <c r="J43" i="11" a="1"/>
  <c r="H43" i="11"/>
  <c r="H43" i="11" a="1"/>
  <c r="F43" i="11" a="1"/>
  <c r="F43" i="11" s="1"/>
  <c r="D43" i="11" a="1"/>
  <c r="D43" i="11" s="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X4" i="23"/>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M7" i="39" s="1"/>
  <c r="L8" i="23"/>
  <c r="L7" i="39" s="1"/>
  <c r="K8" i="23"/>
  <c r="K7" i="39" s="1"/>
  <c r="J8" i="23"/>
  <c r="J7" i="39" s="1"/>
  <c r="I8" i="23"/>
  <c r="H8" i="23"/>
  <c r="G8" i="23"/>
  <c r="F8" i="23"/>
  <c r="E8" i="23"/>
  <c r="D8" i="23"/>
  <c r="C8" i="23"/>
  <c r="B8" i="23"/>
  <c r="Y7" i="23"/>
  <c r="X7" i="23"/>
  <c r="W7" i="23"/>
  <c r="V7" i="23"/>
  <c r="U7" i="23"/>
  <c r="T7" i="23"/>
  <c r="S7" i="23"/>
  <c r="R7" i="23"/>
  <c r="Q7" i="23"/>
  <c r="P7" i="23"/>
  <c r="P6" i="39" s="1"/>
  <c r="O7" i="23"/>
  <c r="O6" i="39" s="1"/>
  <c r="N7" i="23"/>
  <c r="N6" i="39" s="1"/>
  <c r="M7" i="23"/>
  <c r="M6" i="39" s="1"/>
  <c r="L7" i="23"/>
  <c r="L6" i="39" s="1"/>
  <c r="K7" i="23"/>
  <c r="K6" i="39" s="1"/>
  <c r="J7" i="23"/>
  <c r="I7" i="23"/>
  <c r="H7" i="23"/>
  <c r="G7" i="23"/>
  <c r="F7" i="23"/>
  <c r="E7" i="23"/>
  <c r="D7" i="23"/>
  <c r="C7" i="23"/>
  <c r="B7" i="23"/>
  <c r="Y6" i="23"/>
  <c r="X6" i="23"/>
  <c r="W6" i="23"/>
  <c r="V6" i="23"/>
  <c r="U6" i="23"/>
  <c r="T6" i="23"/>
  <c r="T5" i="39" s="1"/>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T3" i="39" s="1"/>
  <c r="S4" i="23"/>
  <c r="S3" i="39" s="1"/>
  <c r="R4" i="23"/>
  <c r="R3" i="39" s="1"/>
  <c r="Q4" i="23"/>
  <c r="Q3" i="39" s="1"/>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B68" i="35" l="1"/>
  <c r="AD68" i="35"/>
  <c r="P68" i="35"/>
  <c r="R68" i="35"/>
  <c r="AT68" i="35"/>
  <c r="T68" i="35"/>
  <c r="AV68" i="35"/>
  <c r="V68" i="35"/>
  <c r="X68" i="35"/>
  <c r="Z68" i="35"/>
  <c r="N68" i="35"/>
  <c r="Z68" i="38"/>
  <c r="B68" i="38"/>
  <c r="AD68" i="38"/>
  <c r="D68" i="38"/>
  <c r="AF68" i="38"/>
  <c r="F68" i="38"/>
  <c r="AH68" i="38"/>
  <c r="H68" i="38"/>
  <c r="AJ68" i="38"/>
  <c r="AN68" i="38"/>
  <c r="N68" i="38"/>
  <c r="AL68" i="21"/>
  <c r="T68" i="21"/>
  <c r="AT68" i="21"/>
  <c r="V68" i="21"/>
  <c r="AV68" i="21"/>
  <c r="D68" i="21"/>
  <c r="AD68" i="21"/>
  <c r="F68" i="21"/>
  <c r="AF68" i="21"/>
  <c r="L68" i="24"/>
  <c r="AN68" i="24"/>
  <c r="T68" i="24"/>
  <c r="AV68" i="24"/>
  <c r="N68" i="24"/>
  <c r="B68" i="24"/>
  <c r="P68" i="24"/>
  <c r="D68" i="24"/>
  <c r="R68" i="24"/>
  <c r="H68" i="24"/>
  <c r="AT68" i="18"/>
  <c r="V68" i="18"/>
  <c r="R68" i="18"/>
  <c r="X68" i="18"/>
  <c r="Z68" i="18"/>
  <c r="B68" i="18"/>
  <c r="AD68" i="18"/>
  <c r="D68" i="18"/>
  <c r="AF68" i="18"/>
  <c r="F68" i="18"/>
  <c r="AH68" i="18"/>
  <c r="H68" i="18"/>
  <c r="AJ68" i="18"/>
  <c r="B68" i="22"/>
  <c r="AD68" i="22"/>
  <c r="P68" i="22"/>
  <c r="T68" i="22"/>
  <c r="AV68" i="22"/>
  <c r="R68" i="22"/>
  <c r="V68" i="22"/>
  <c r="X68" i="22"/>
  <c r="Z68" i="22"/>
  <c r="AT68" i="22"/>
  <c r="P68" i="12"/>
  <c r="AR68" i="12"/>
  <c r="R68" i="12"/>
  <c r="AT68" i="12"/>
  <c r="T68" i="12"/>
  <c r="AV68" i="12"/>
  <c r="V68" i="12"/>
  <c r="Z68" i="12"/>
  <c r="AB68" i="12"/>
  <c r="T68" i="11"/>
  <c r="AV68" i="11"/>
  <c r="V68" i="11"/>
  <c r="Z68" i="11"/>
  <c r="AB68" i="11"/>
  <c r="B68" i="11"/>
  <c r="AD68" i="11"/>
  <c r="D68" i="11"/>
  <c r="AF68" i="11"/>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V52" i="38" l="1"/>
  <c r="AV82" i="38" s="1"/>
  <c r="Z52" i="38"/>
  <c r="Z82" i="38" s="1"/>
  <c r="AT52" i="38"/>
  <c r="AT82" i="38" s="1"/>
  <c r="J52" i="38"/>
  <c r="J82" i="38" s="1"/>
  <c r="AP52" i="38"/>
  <c r="AP82" i="38" s="1"/>
  <c r="P52" i="38"/>
  <c r="P82" i="38" s="1"/>
  <c r="AF52" i="38"/>
  <c r="AF82" i="38" s="1"/>
  <c r="N52" i="38"/>
  <c r="N82" i="38" s="1"/>
  <c r="AD52" i="38"/>
  <c r="AD82" i="38" s="1"/>
  <c r="AJ52" i="38"/>
  <c r="AJ82" i="38" s="1"/>
  <c r="X52" i="38"/>
  <c r="X82" i="38" s="1"/>
  <c r="AN52" i="38"/>
  <c r="AN82" i="38" s="1"/>
  <c r="AH52" i="38"/>
  <c r="AH82" i="38" s="1"/>
  <c r="L52" i="38"/>
  <c r="L82" i="38" s="1"/>
  <c r="R52" i="38"/>
  <c r="R82" i="38" s="1"/>
  <c r="D52" i="38"/>
  <c r="D82" i="38" s="1"/>
  <c r="V52" i="38"/>
  <c r="V82" i="38" s="1"/>
  <c r="H52" i="38"/>
  <c r="H82" i="38" s="1"/>
  <c r="F52" i="38"/>
  <c r="F82" i="38" s="1"/>
  <c r="AL52" i="38"/>
  <c r="AL82" i="38" s="1"/>
  <c r="B52" i="38"/>
  <c r="B82" i="38" s="1"/>
  <c r="AB52" i="38"/>
  <c r="AB82" i="38" s="1"/>
  <c r="T52" i="38"/>
  <c r="T82" i="38" s="1"/>
  <c r="AR52" i="38"/>
  <c r="AR82" i="38" s="1"/>
  <c r="AD52" i="21"/>
  <c r="AD82" i="21" s="1"/>
  <c r="AT52" i="21"/>
  <c r="AT82" i="21" s="1"/>
  <c r="P52" i="21"/>
  <c r="P82" i="21" s="1"/>
  <c r="AF52" i="21"/>
  <c r="AF82" i="21" s="1"/>
  <c r="AV52" i="21"/>
  <c r="AV82" i="21" s="1"/>
  <c r="N52" i="21"/>
  <c r="N82" i="21" s="1"/>
  <c r="AR52" i="21"/>
  <c r="AR82" i="21" s="1"/>
  <c r="AH52" i="21"/>
  <c r="AH82" i="21" s="1"/>
  <c r="B52" i="21"/>
  <c r="B82" i="21" s="1"/>
  <c r="F52" i="21"/>
  <c r="F82" i="21" s="1"/>
  <c r="Z52" i="21"/>
  <c r="Z82" i="21" s="1"/>
  <c r="D52" i="21"/>
  <c r="D82" i="21" s="1"/>
  <c r="AN52" i="21"/>
  <c r="AN82" i="21" s="1"/>
  <c r="L52" i="21"/>
  <c r="L82" i="21" s="1"/>
  <c r="AB52" i="21"/>
  <c r="AB82" i="21" s="1"/>
  <c r="R52" i="21"/>
  <c r="R82" i="21" s="1"/>
  <c r="T52" i="21"/>
  <c r="T82" i="21" s="1"/>
  <c r="AJ52" i="21"/>
  <c r="AJ82" i="21" s="1"/>
  <c r="H52" i="21"/>
  <c r="H82" i="21" s="1"/>
  <c r="V52" i="21"/>
  <c r="V82" i="21" s="1"/>
  <c r="AP52" i="21"/>
  <c r="AP82" i="21" s="1"/>
  <c r="AL52" i="21"/>
  <c r="AL82" i="21" s="1"/>
  <c r="X52" i="21"/>
  <c r="X82" i="21" s="1"/>
  <c r="J52" i="21"/>
  <c r="J82" i="21" s="1"/>
  <c r="J52" i="24"/>
  <c r="J82" i="24" s="1"/>
  <c r="AB52" i="24"/>
  <c r="AB82" i="24" s="1"/>
  <c r="P52" i="24"/>
  <c r="P82" i="24" s="1"/>
  <c r="Z52" i="24"/>
  <c r="Z82" i="24" s="1"/>
  <c r="D52" i="24"/>
  <c r="D82" i="24" s="1"/>
  <c r="AR52" i="24"/>
  <c r="AR82" i="24" s="1"/>
  <c r="AP52" i="24"/>
  <c r="AP82" i="24" s="1"/>
  <c r="R52" i="24"/>
  <c r="R82" i="24" s="1"/>
  <c r="AH52" i="24"/>
  <c r="AH82" i="24" s="1"/>
  <c r="B52" i="24"/>
  <c r="B82" i="24" s="1"/>
  <c r="T52" i="24"/>
  <c r="T82" i="24" s="1"/>
  <c r="AF52" i="24"/>
  <c r="AF82" i="24" s="1"/>
  <c r="L52" i="24"/>
  <c r="L82" i="24" s="1"/>
  <c r="AV52" i="24"/>
  <c r="AV82" i="24" s="1"/>
  <c r="AL52" i="24"/>
  <c r="AL82" i="24" s="1"/>
  <c r="N52" i="24"/>
  <c r="N82" i="24" s="1"/>
  <c r="AN52" i="24"/>
  <c r="AN82" i="24" s="1"/>
  <c r="V52" i="24"/>
  <c r="V82" i="24" s="1"/>
  <c r="AJ52" i="24"/>
  <c r="AJ82" i="24" s="1"/>
  <c r="X52" i="24"/>
  <c r="X82" i="24" s="1"/>
  <c r="AD52" i="24"/>
  <c r="AD82" i="24" s="1"/>
  <c r="AT52" i="24"/>
  <c r="AT82" i="24" s="1"/>
  <c r="H52" i="24"/>
  <c r="H82" i="24" s="1"/>
  <c r="F52" i="24"/>
  <c r="F82" i="24" s="1"/>
  <c r="Z52" i="18"/>
  <c r="Z82" i="18" s="1"/>
  <c r="J52" i="18"/>
  <c r="J82" i="18" s="1"/>
  <c r="AR52" i="18"/>
  <c r="AR82" i="18" s="1"/>
  <c r="AP52" i="18"/>
  <c r="AP82" i="18" s="1"/>
  <c r="L52" i="18"/>
  <c r="L82" i="18" s="1"/>
  <c r="AB52" i="18"/>
  <c r="AB82" i="18" s="1"/>
  <c r="D52" i="18"/>
  <c r="D82" i="18" s="1"/>
  <c r="T52" i="18"/>
  <c r="T82" i="18" s="1"/>
  <c r="AN52" i="18"/>
  <c r="AN82" i="18" s="1"/>
  <c r="V52" i="18"/>
  <c r="V82" i="18" s="1"/>
  <c r="F52" i="18"/>
  <c r="F82" i="18" s="1"/>
  <c r="H52" i="18"/>
  <c r="H82" i="18" s="1"/>
  <c r="AD52" i="18"/>
  <c r="AD82" i="18" s="1"/>
  <c r="AF52" i="18"/>
  <c r="AF82" i="18" s="1"/>
  <c r="X52" i="18"/>
  <c r="X82" i="18" s="1"/>
  <c r="AV52" i="18"/>
  <c r="AV82" i="18" s="1"/>
  <c r="N52" i="18"/>
  <c r="N82" i="18" s="1"/>
  <c r="B52" i="18"/>
  <c r="B82" i="18" s="1"/>
  <c r="AJ52" i="18"/>
  <c r="AJ82" i="18" s="1"/>
  <c r="R52" i="18"/>
  <c r="R82" i="18" s="1"/>
  <c r="AH52" i="18"/>
  <c r="AH82" i="18" s="1"/>
  <c r="AT52" i="18"/>
  <c r="AT82" i="18" s="1"/>
  <c r="AL52" i="18"/>
  <c r="AL82" i="18" s="1"/>
  <c r="P52" i="18"/>
  <c r="P82" i="18" s="1"/>
  <c r="J52" i="22"/>
  <c r="J82" i="22" s="1"/>
  <c r="Z52" i="22"/>
  <c r="Z82" i="22" s="1"/>
  <c r="AP52" i="22"/>
  <c r="AP82" i="22" s="1"/>
  <c r="AB52" i="22"/>
  <c r="AB82" i="22" s="1"/>
  <c r="AR52" i="22"/>
  <c r="AR82" i="22" s="1"/>
  <c r="P52" i="22"/>
  <c r="P82" i="22" s="1"/>
  <c r="B52" i="22"/>
  <c r="B82" i="22" s="1"/>
  <c r="AH52" i="22"/>
  <c r="AH82" i="22" s="1"/>
  <c r="R52" i="22"/>
  <c r="R82" i="22" s="1"/>
  <c r="AD52" i="22"/>
  <c r="AD82" i="22" s="1"/>
  <c r="AT52" i="22"/>
  <c r="AT82" i="22" s="1"/>
  <c r="AV52" i="22"/>
  <c r="AV82" i="22" s="1"/>
  <c r="H52" i="22"/>
  <c r="H82" i="22" s="1"/>
  <c r="D52" i="22"/>
  <c r="D82" i="22" s="1"/>
  <c r="X52" i="22"/>
  <c r="X82" i="22" s="1"/>
  <c r="AJ52" i="22"/>
  <c r="AJ82" i="22" s="1"/>
  <c r="T52" i="22"/>
  <c r="T82" i="22" s="1"/>
  <c r="AF52" i="22"/>
  <c r="AF82" i="22" s="1"/>
  <c r="AN52" i="22"/>
  <c r="AN82" i="22" s="1"/>
  <c r="L52" i="22"/>
  <c r="L82" i="22" s="1"/>
  <c r="V52" i="22"/>
  <c r="V82" i="22" s="1"/>
  <c r="F52" i="22"/>
  <c r="F82" i="22" s="1"/>
  <c r="AL52" i="22"/>
  <c r="AL82" i="22" s="1"/>
  <c r="N52" i="22"/>
  <c r="N82" i="22" s="1"/>
  <c r="AV52" i="12"/>
  <c r="AV82" i="12" s="1"/>
  <c r="T52" i="12"/>
  <c r="T82" i="12" s="1"/>
  <c r="AF52" i="12"/>
  <c r="AF82" i="12" s="1"/>
  <c r="P52" i="12"/>
  <c r="P82" i="12" s="1"/>
  <c r="AN52" i="12"/>
  <c r="AN82" i="12" s="1"/>
  <c r="AR52" i="12"/>
  <c r="AR82" i="12" s="1"/>
  <c r="B52" i="12"/>
  <c r="B82" i="12" s="1"/>
  <c r="Z52" i="12"/>
  <c r="Z82" i="12" s="1"/>
  <c r="D52" i="12"/>
  <c r="D82" i="12" s="1"/>
  <c r="AD52" i="12"/>
  <c r="AD82" i="12" s="1"/>
  <c r="J52" i="12"/>
  <c r="J82" i="12" s="1"/>
  <c r="AJ52" i="12"/>
  <c r="AJ82" i="12" s="1"/>
  <c r="N52" i="12"/>
  <c r="N82" i="12" s="1"/>
  <c r="X52" i="12"/>
  <c r="X82" i="12" s="1"/>
  <c r="AP52" i="12"/>
  <c r="AP82" i="12" s="1"/>
  <c r="F52" i="12"/>
  <c r="F82" i="12" s="1"/>
  <c r="L52" i="12"/>
  <c r="L82" i="12" s="1"/>
  <c r="AL52" i="12"/>
  <c r="AL82" i="12" s="1"/>
  <c r="V52" i="12"/>
  <c r="V82" i="12" s="1"/>
  <c r="AB52" i="12"/>
  <c r="AB82" i="12" s="1"/>
  <c r="H52" i="12"/>
  <c r="H82" i="12" s="1"/>
  <c r="AH52" i="12"/>
  <c r="AH82" i="12" s="1"/>
  <c r="AT52" i="12"/>
  <c r="AT82" i="12" s="1"/>
  <c r="R52" i="12"/>
  <c r="R82" i="12" s="1"/>
  <c r="AP52" i="11"/>
  <c r="AP82" i="11" s="1"/>
  <c r="AN52" i="11"/>
  <c r="AN82" i="11" s="1"/>
  <c r="P52" i="11"/>
  <c r="P82" i="11" s="1"/>
  <c r="AV52" i="11"/>
  <c r="AV82" i="11" s="1"/>
  <c r="N52" i="11"/>
  <c r="N82" i="11" s="1"/>
  <c r="AF52" i="11"/>
  <c r="AF82" i="11" s="1"/>
  <c r="J52" i="11"/>
  <c r="J82" i="11" s="1"/>
  <c r="AD52" i="11"/>
  <c r="AD82" i="11" s="1"/>
  <c r="H52" i="11"/>
  <c r="H82" i="11" s="1"/>
  <c r="Z52" i="11"/>
  <c r="Z82" i="11" s="1"/>
  <c r="AT52" i="11"/>
  <c r="AT82" i="11" s="1"/>
  <c r="X52" i="11"/>
  <c r="X82" i="11" s="1"/>
  <c r="R52" i="11"/>
  <c r="R82" i="11" s="1"/>
  <c r="B52" i="11"/>
  <c r="B82" i="11" s="1"/>
  <c r="D52" i="11"/>
  <c r="D82" i="11" s="1"/>
  <c r="AL52" i="11"/>
  <c r="AL82" i="11" s="1"/>
  <c r="F52" i="11"/>
  <c r="F82" i="11" s="1"/>
  <c r="AB52" i="11"/>
  <c r="AB82" i="11" s="1"/>
  <c r="AR52" i="11"/>
  <c r="AR82" i="11" s="1"/>
  <c r="T52" i="11"/>
  <c r="T82" i="11" s="1"/>
  <c r="V52" i="11"/>
  <c r="V82" i="11" s="1"/>
  <c r="L52" i="11"/>
  <c r="L82" i="11" s="1"/>
  <c r="AH52" i="11"/>
  <c r="AH82" i="11" s="1"/>
  <c r="AJ52" i="11"/>
  <c r="AJ82" i="11"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V9" i="39"/>
  <c r="X25" i="23"/>
  <c r="X9" i="39"/>
  <c r="M25" i="23"/>
  <c r="M9" i="39"/>
  <c r="O25" i="23"/>
  <c r="O9" i="39"/>
  <c r="Q25" i="23"/>
  <c r="Q9" i="39"/>
  <c r="C25" i="23"/>
  <c r="C9" i="39"/>
  <c r="D25" i="23"/>
  <c r="D9" i="39"/>
  <c r="E25" i="23"/>
  <c r="E9" i="39"/>
  <c r="F25" i="23"/>
  <c r="F9" i="39"/>
  <c r="G25" i="23"/>
  <c r="G9" i="39"/>
  <c r="W25" i="23"/>
  <c r="W9" i="39"/>
  <c r="H25" i="23"/>
  <c r="H9" i="39"/>
  <c r="I25" i="23"/>
  <c r="I9" i="39"/>
  <c r="Y25" i="23"/>
  <c r="Y9" i="39"/>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Z53" i="38" l="1"/>
  <c r="Z83" i="38" s="1"/>
  <c r="AT53" i="38"/>
  <c r="AT83" i="38" s="1"/>
  <c r="AF53" i="38"/>
  <c r="AF83" i="38" s="1"/>
  <c r="AP53" i="38"/>
  <c r="AP83" i="38" s="1"/>
  <c r="J53" i="38"/>
  <c r="J83" i="38" s="1"/>
  <c r="P53" i="38"/>
  <c r="P83" i="38" s="1"/>
  <c r="AH53" i="38"/>
  <c r="AH83" i="38" s="1"/>
  <c r="N53" i="38"/>
  <c r="N83" i="38" s="1"/>
  <c r="AD53" i="38"/>
  <c r="AD83" i="38" s="1"/>
  <c r="AV53" i="38"/>
  <c r="AV83" i="38" s="1"/>
  <c r="D53" i="38"/>
  <c r="D83" i="38" s="1"/>
  <c r="T53" i="38"/>
  <c r="T83" i="38" s="1"/>
  <c r="R53" i="38"/>
  <c r="R83" i="38" s="1"/>
  <c r="F53" i="38"/>
  <c r="F83" i="38" s="1"/>
  <c r="V53" i="38"/>
  <c r="V83" i="38" s="1"/>
  <c r="AJ53" i="38"/>
  <c r="AJ83" i="38" s="1"/>
  <c r="AL53" i="38"/>
  <c r="AL83" i="38" s="1"/>
  <c r="AB53" i="38"/>
  <c r="AB83" i="38" s="1"/>
  <c r="H53" i="38"/>
  <c r="H83" i="38" s="1"/>
  <c r="AR53" i="38"/>
  <c r="AR83" i="38" s="1"/>
  <c r="X53" i="38"/>
  <c r="X83" i="38" s="1"/>
  <c r="L53" i="38"/>
  <c r="L83" i="38" s="1"/>
  <c r="AN53" i="38"/>
  <c r="AN83" i="38" s="1"/>
  <c r="B53" i="38"/>
  <c r="B83" i="38" s="1"/>
  <c r="AF53" i="21"/>
  <c r="AF83" i="21" s="1"/>
  <c r="N53" i="21"/>
  <c r="N83" i="21" s="1"/>
  <c r="AV53" i="21"/>
  <c r="AV83" i="21" s="1"/>
  <c r="P53" i="21"/>
  <c r="P83" i="21" s="1"/>
  <c r="AD53" i="21"/>
  <c r="AD83" i="21" s="1"/>
  <c r="AT53" i="21"/>
  <c r="AT83" i="21" s="1"/>
  <c r="AB53" i="21"/>
  <c r="AB83" i="21" s="1"/>
  <c r="AL53" i="21"/>
  <c r="AL83" i="21" s="1"/>
  <c r="F53" i="21"/>
  <c r="F83" i="21" s="1"/>
  <c r="J53" i="21"/>
  <c r="J83" i="21" s="1"/>
  <c r="AH53" i="21"/>
  <c r="AH83" i="21" s="1"/>
  <c r="B53" i="21"/>
  <c r="B83" i="21" s="1"/>
  <c r="H53" i="21"/>
  <c r="H83" i="21" s="1"/>
  <c r="R53" i="21"/>
  <c r="R83" i="21" s="1"/>
  <c r="T53" i="21"/>
  <c r="T83" i="21" s="1"/>
  <c r="D53" i="21"/>
  <c r="D83" i="21" s="1"/>
  <c r="AN53" i="21"/>
  <c r="AN83" i="21" s="1"/>
  <c r="AJ53" i="21"/>
  <c r="AJ83" i="21" s="1"/>
  <c r="V53" i="21"/>
  <c r="V83" i="21" s="1"/>
  <c r="AR53" i="21"/>
  <c r="AR83" i="21" s="1"/>
  <c r="L53" i="21"/>
  <c r="L83" i="21" s="1"/>
  <c r="X53" i="21"/>
  <c r="X83" i="21" s="1"/>
  <c r="Z53" i="21"/>
  <c r="Z83" i="21" s="1"/>
  <c r="AP53" i="21"/>
  <c r="AP83" i="21" s="1"/>
  <c r="B53" i="24"/>
  <c r="B83" i="24" s="1"/>
  <c r="AP53" i="24"/>
  <c r="AP83" i="24" s="1"/>
  <c r="T53" i="24"/>
  <c r="T83" i="24" s="1"/>
  <c r="R53" i="24"/>
  <c r="R83" i="24" s="1"/>
  <c r="P53" i="24"/>
  <c r="P83" i="24" s="1"/>
  <c r="AF53" i="24"/>
  <c r="AF83" i="24" s="1"/>
  <c r="AH53" i="24"/>
  <c r="AH83" i="24" s="1"/>
  <c r="J53" i="24"/>
  <c r="J83" i="24" s="1"/>
  <c r="AB53" i="24"/>
  <c r="AB83" i="24" s="1"/>
  <c r="AV53" i="24"/>
  <c r="AV83" i="24" s="1"/>
  <c r="Z53" i="24"/>
  <c r="Z83" i="24" s="1"/>
  <c r="D53" i="24"/>
  <c r="D83" i="24" s="1"/>
  <c r="AR53" i="24"/>
  <c r="AR83" i="24" s="1"/>
  <c r="L53" i="24"/>
  <c r="L83" i="24" s="1"/>
  <c r="X53" i="24"/>
  <c r="X83" i="24" s="1"/>
  <c r="V53" i="24"/>
  <c r="V83" i="24" s="1"/>
  <c r="F53" i="24"/>
  <c r="F83" i="24" s="1"/>
  <c r="N53" i="24"/>
  <c r="N83" i="24" s="1"/>
  <c r="AL53" i="24"/>
  <c r="AL83" i="24" s="1"/>
  <c r="H53" i="24"/>
  <c r="H83" i="24" s="1"/>
  <c r="AD53" i="24"/>
  <c r="AD83" i="24" s="1"/>
  <c r="AT53" i="24"/>
  <c r="AT83" i="24" s="1"/>
  <c r="AJ53" i="24"/>
  <c r="AJ83" i="24" s="1"/>
  <c r="AN53" i="24"/>
  <c r="AN83" i="24" s="1"/>
  <c r="AB53" i="18"/>
  <c r="AB83" i="18" s="1"/>
  <c r="J53" i="18"/>
  <c r="J83" i="18" s="1"/>
  <c r="Z53" i="18"/>
  <c r="Z83" i="18" s="1"/>
  <c r="L53" i="18"/>
  <c r="L83" i="18" s="1"/>
  <c r="AR53" i="18"/>
  <c r="AR83" i="18" s="1"/>
  <c r="AP53" i="18"/>
  <c r="AP83" i="18" s="1"/>
  <c r="AJ53" i="18"/>
  <c r="AJ83" i="18" s="1"/>
  <c r="D53" i="18"/>
  <c r="D83" i="18" s="1"/>
  <c r="H53" i="18"/>
  <c r="H83" i="18" s="1"/>
  <c r="V53" i="18"/>
  <c r="V83" i="18" s="1"/>
  <c r="AF53" i="18"/>
  <c r="AF83" i="18" s="1"/>
  <c r="AH53" i="18"/>
  <c r="AH83" i="18" s="1"/>
  <c r="X53" i="18"/>
  <c r="X83" i="18" s="1"/>
  <c r="AV53" i="18"/>
  <c r="AV83" i="18" s="1"/>
  <c r="P53" i="18"/>
  <c r="P83" i="18" s="1"/>
  <c r="AL53" i="18"/>
  <c r="AL83" i="18" s="1"/>
  <c r="AN53" i="18"/>
  <c r="AN83" i="18" s="1"/>
  <c r="N53" i="18"/>
  <c r="N83" i="18" s="1"/>
  <c r="R53" i="18"/>
  <c r="R83" i="18" s="1"/>
  <c r="F53" i="18"/>
  <c r="F83" i="18" s="1"/>
  <c r="AD53" i="18"/>
  <c r="AD83" i="18" s="1"/>
  <c r="B53" i="18"/>
  <c r="B83" i="18" s="1"/>
  <c r="T53" i="18"/>
  <c r="T83" i="18" s="1"/>
  <c r="AT53" i="18"/>
  <c r="AT83" i="18" s="1"/>
  <c r="AP53" i="22"/>
  <c r="AP83" i="22" s="1"/>
  <c r="J53" i="22"/>
  <c r="J83" i="22" s="1"/>
  <c r="Z53" i="22"/>
  <c r="Z83" i="22" s="1"/>
  <c r="X53" i="22"/>
  <c r="X83" i="22" s="1"/>
  <c r="AT53" i="22"/>
  <c r="AT83" i="22" s="1"/>
  <c r="AL53" i="22"/>
  <c r="AL83" i="22" s="1"/>
  <c r="L53" i="22"/>
  <c r="L83" i="22" s="1"/>
  <c r="AN53" i="22"/>
  <c r="AN83" i="22" s="1"/>
  <c r="T53" i="22"/>
  <c r="T83" i="22" s="1"/>
  <c r="B53" i="22"/>
  <c r="B83" i="22" s="1"/>
  <c r="AV53" i="22"/>
  <c r="AV83" i="22" s="1"/>
  <c r="AD53" i="22"/>
  <c r="AD83" i="22" s="1"/>
  <c r="N53" i="22"/>
  <c r="N83" i="22" s="1"/>
  <c r="AF53" i="22"/>
  <c r="AF83" i="22" s="1"/>
  <c r="P53" i="22"/>
  <c r="P83" i="22" s="1"/>
  <c r="F53" i="22"/>
  <c r="F83" i="22" s="1"/>
  <c r="AR53" i="22"/>
  <c r="AR83" i="22" s="1"/>
  <c r="V53" i="22"/>
  <c r="V83" i="22" s="1"/>
  <c r="AH53" i="22"/>
  <c r="AH83" i="22" s="1"/>
  <c r="H53" i="22"/>
  <c r="H83" i="22" s="1"/>
  <c r="AJ53" i="22"/>
  <c r="AJ83" i="22" s="1"/>
  <c r="AB53" i="22"/>
  <c r="AB83" i="22" s="1"/>
  <c r="R53" i="22"/>
  <c r="R83" i="22" s="1"/>
  <c r="D53" i="22"/>
  <c r="D83" i="22" s="1"/>
  <c r="P53" i="12"/>
  <c r="P83" i="12" s="1"/>
  <c r="AF53" i="12"/>
  <c r="AF83" i="12" s="1"/>
  <c r="AV53" i="12"/>
  <c r="AV83" i="12" s="1"/>
  <c r="T53" i="12"/>
  <c r="T83" i="12" s="1"/>
  <c r="N53" i="12"/>
  <c r="N83" i="12" s="1"/>
  <c r="X53" i="12"/>
  <c r="X83" i="12" s="1"/>
  <c r="F53" i="12"/>
  <c r="F83" i="12" s="1"/>
  <c r="R53" i="12"/>
  <c r="R83" i="12" s="1"/>
  <c r="D53" i="12"/>
  <c r="D83" i="12" s="1"/>
  <c r="H53" i="12"/>
  <c r="H83" i="12" s="1"/>
  <c r="AH53" i="12"/>
  <c r="AH83" i="12" s="1"/>
  <c r="B53" i="12"/>
  <c r="B83" i="12" s="1"/>
  <c r="L53" i="12"/>
  <c r="L83" i="12" s="1"/>
  <c r="AB53" i="12"/>
  <c r="AB83" i="12" s="1"/>
  <c r="J53" i="12"/>
  <c r="J83" i="12" s="1"/>
  <c r="V53" i="12"/>
  <c r="V83" i="12" s="1"/>
  <c r="AN53" i="12"/>
  <c r="AN83" i="12" s="1"/>
  <c r="AT53" i="12"/>
  <c r="AT83" i="12" s="1"/>
  <c r="AJ53" i="12"/>
  <c r="AJ83" i="12" s="1"/>
  <c r="AP53" i="12"/>
  <c r="AP83" i="12" s="1"/>
  <c r="Z53" i="12"/>
  <c r="Z83" i="12" s="1"/>
  <c r="AR53" i="12"/>
  <c r="AR83" i="12" s="1"/>
  <c r="AD53" i="12"/>
  <c r="AD83" i="12" s="1"/>
  <c r="AL53" i="12"/>
  <c r="AL83" i="12" s="1"/>
  <c r="P53" i="11"/>
  <c r="P83" i="11" s="1"/>
  <c r="AF53" i="11"/>
  <c r="AF83" i="11" s="1"/>
  <c r="J53" i="11"/>
  <c r="J83" i="11" s="1"/>
  <c r="N53" i="11"/>
  <c r="N83" i="11" s="1"/>
  <c r="AD53" i="11"/>
  <c r="AD83" i="11" s="1"/>
  <c r="H53" i="11"/>
  <c r="H83" i="11" s="1"/>
  <c r="AV53" i="11"/>
  <c r="AV83" i="11" s="1"/>
  <c r="Z53" i="11"/>
  <c r="Z83" i="11" s="1"/>
  <c r="AT53" i="11"/>
  <c r="AT83" i="11" s="1"/>
  <c r="X53" i="11"/>
  <c r="X83" i="11" s="1"/>
  <c r="AP53" i="11"/>
  <c r="AP83" i="11" s="1"/>
  <c r="AN53" i="11"/>
  <c r="AN83" i="11" s="1"/>
  <c r="AJ53" i="11"/>
  <c r="AJ83" i="11" s="1"/>
  <c r="L53" i="11"/>
  <c r="L83" i="11" s="1"/>
  <c r="AL53" i="11"/>
  <c r="AL83" i="11" s="1"/>
  <c r="F53" i="11"/>
  <c r="F83" i="11" s="1"/>
  <c r="R53" i="11"/>
  <c r="R83" i="11" s="1"/>
  <c r="AH53" i="11"/>
  <c r="AH83" i="11" s="1"/>
  <c r="T53" i="11"/>
  <c r="T83" i="11" s="1"/>
  <c r="AR53" i="11"/>
  <c r="AR83" i="11" s="1"/>
  <c r="D53" i="11"/>
  <c r="D83" i="11" s="1"/>
  <c r="AB53" i="11"/>
  <c r="AB83" i="11" s="1"/>
  <c r="B53" i="11"/>
  <c r="B83" i="11" s="1"/>
  <c r="V53" i="11"/>
  <c r="V83" i="11"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5"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K56"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7"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<sst xmlns="http://schemas.openxmlformats.org/spreadsheetml/2006/main" count="1133" uniqueCount="199">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</sst>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0.99298848352742275</c:v>
                </c:pt>
                <c:pt idx="2">
                  <c:v>0.98547935248719576</c:v>
                </c:pt>
                <c:pt idx="3">
                  <c:v>0.97740741133034548</c:v>
                </c:pt>
                <c:pt idx="4">
                  <c:v>0.96869459040557127</c:v>
                </c:pt>
                <c:pt idx="5">
                  <c:v>0.95924619914338727</c:v>
                </c:pt>
                <c:pt idx="6">
                  <c:v>0.94894533480880183</c:v>
                </c:pt>
                <c:pt idx="7">
                  <c:v>0.93764505984409352</c:v>
                </c:pt>
                <c:pt idx="8">
                  <c:v>0.92515598926468623</c:v>
                </c:pt>
                <c:pt idx="9">
                  <c:v>0.91122716367384882</c:v>
                </c:pt>
                <c:pt idx="10">
                  <c:v>0.89551465692636567</c:v>
                </c:pt>
                <c:pt idx="11">
                  <c:v>0.8775281579507459</c:v>
                </c:pt>
                <c:pt idx="12">
                  <c:v>0.85653651353761007</c:v>
                </c:pt>
                <c:pt idx="13">
                  <c:v>0.83139378576688783</c:v>
                </c:pt>
                <c:pt idx="14">
                  <c:v>0.80021121564499664</c:v>
                </c:pt>
                <c:pt idx="15">
                  <c:v>0.75974860336886774</c:v>
                </c:pt>
                <c:pt idx="16">
                  <c:v>0.70440631551071664</c:v>
                </c:pt>
                <c:pt idx="17">
                  <c:v>0.62481958571426155</c:v>
                </c:pt>
                <c:pt idx="18">
                  <c:v>0.50466257910145773</c:v>
                </c:pt>
                <c:pt idx="19">
                  <c:v>0.30751002201738581</c:v>
                </c:pt>
                <c:pt idx="20">
                  <c:v>0.25229108978813874</c:v>
                </c:pt>
                <c:pt idx="21">
                  <c:v>0.18980815893633937</c:v>
                </c:pt>
                <c:pt idx="22">
                  <c:v>0.12004292566676686</c:v>
                </c:pt>
                <c:pt idx="23">
                  <c:v>4.7235024379815992E-2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0.9978504512840537</c:v>
                </c:pt>
                <c:pt idx="2">
                  <c:v>0.9952850023562364</c:v>
                </c:pt>
                <c:pt idx="3">
                  <c:v>0.99224802439128323</c:v>
                </c:pt>
                <c:pt idx="4">
                  <c:v>0.9886728823846942</c:v>
                </c:pt>
                <c:pt idx="5">
                  <c:v>0.98447804432890829</c:v>
                </c:pt>
                <c:pt idx="6">
                  <c:v>0.97956387761577723</c:v>
                </c:pt>
                <c:pt idx="7">
                  <c:v>0.97380489408770154</c:v>
                </c:pt>
                <c:pt idx="8">
                  <c:v>0.96704067874248267</c:v>
                </c:pt>
                <c:pt idx="9">
                  <c:v>0.95906099460612582</c:v>
                </c:pt>
                <c:pt idx="10">
                  <c:v>0.9495818484711569</c:v>
                </c:pt>
                <c:pt idx="11">
                  <c:v>0.93820579731687981</c:v>
                </c:pt>
                <c:pt idx="12">
                  <c:v>0.92435221639086307</c:v>
                </c:pt>
                <c:pt idx="13">
                  <c:v>0.9071290408913516</c:v>
                </c:pt>
                <c:pt idx="14">
                  <c:v>0.88508484343141103</c:v>
                </c:pt>
                <c:pt idx="15">
                  <c:v>0.85571807298031477</c:v>
                </c:pt>
                <c:pt idx="16">
                  <c:v>0.81451629667474279</c:v>
                </c:pt>
                <c:pt idx="17">
                  <c:v>0.75305703722060924</c:v>
                </c:pt>
                <c:pt idx="18">
                  <c:v>0.65397819376631727</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0.99787099266904999</c:v>
                </c:pt>
                <c:pt idx="2">
                  <c:v>0.9953269046619232</c:v>
                </c:pt>
                <c:pt idx="3">
                  <c:v>0.99231223035581873</c:v>
                </c:pt>
                <c:pt idx="4">
                  <c:v>0.9887602777663711</c:v>
                </c:pt>
                <c:pt idx="5">
                  <c:v>0.98458998919386964</c:v>
                </c:pt>
                <c:pt idx="6">
                  <c:v>0.97970127615111313</c:v>
                </c:pt>
                <c:pt idx="7">
                  <c:v>0.97396863442197623</c:v>
                </c:pt>
                <c:pt idx="8">
                  <c:v>0.9672312165325081</c:v>
                </c:pt>
                <c:pt idx="9">
                  <c:v>0.95927791836505771</c:v>
                </c:pt>
                <c:pt idx="10">
                  <c:v>0.94982333497450033</c:v>
                </c:pt>
                <c:pt idx="11">
                  <c:v>0.93846763621892071</c:v>
                </c:pt>
                <c:pt idx="12">
                  <c:v>0.92462641629775877</c:v>
                </c:pt>
                <c:pt idx="13">
                  <c:v>0.90740153650178201</c:v>
                </c:pt>
                <c:pt idx="14">
                  <c:v>0.88533302160900951</c:v>
                </c:pt>
                <c:pt idx="15">
                  <c:v>0.85591059180810447</c:v>
                </c:pt>
                <c:pt idx="16">
                  <c:v>0.81462607565808021</c:v>
                </c:pt>
                <c:pt idx="17">
                  <c:v>0.75309297008674747</c:v>
                </c:pt>
                <c:pt idx="18">
                  <c:v>0.65398293791960038</c:v>
                </c:pt>
                <c:pt idx="19">
                  <c:v>0.47084242288442657</c:v>
                </c:pt>
                <c:pt idx="20">
                  <c:v>0.4135754802359049</c:v>
                </c:pt>
                <c:pt idx="21">
                  <c:v>0.34413732150647841</c:v>
                </c:pt>
                <c:pt idx="22">
                  <c:v>0.25788014549159116</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1.0026824455102463</c:v>
                </c:pt>
                <c:pt idx="2">
                  <c:v>1.0043936986810917</c:v>
                </c:pt>
                <c:pt idx="3">
                  <c:v>1.0050589601822784</c:v>
                </c:pt>
                <c:pt idx="4">
                  <c:v>1.0045795600871796</c:v>
                </c:pt>
                <c:pt idx="5">
                  <c:v>1.002827830338185</c:v>
                </c:pt>
                <c:pt idx="6">
                  <c:v>0.9996390365080573</c:v>
                </c:pt>
                <c:pt idx="7">
                  <c:v>0.99480019451647173</c:v>
                </c:pt>
                <c:pt idx="8">
                  <c:v>0.98803323685238675</c:v>
                </c:pt>
                <c:pt idx="9">
                  <c:v>0.97896960296114988</c:v>
                </c:pt>
                <c:pt idx="10">
                  <c:v>0.96711042282891901</c:v>
                </c:pt>
                <c:pt idx="11">
                  <c:v>0.95176163193881902</c:v>
                </c:pt>
                <c:pt idx="12">
                  <c:v>0.93192379010892779</c:v>
                </c:pt>
                <c:pt idx="13">
                  <c:v>0.9060962121712105</c:v>
                </c:pt>
                <c:pt idx="14">
                  <c:v>0.87191118386883359</c:v>
                </c:pt>
                <c:pt idx="15">
                  <c:v>0.82543183166335043</c:v>
                </c:pt>
                <c:pt idx="16">
                  <c:v>0.75981647591911006</c:v>
                </c:pt>
                <c:pt idx="17">
                  <c:v>0.66303090531299569</c:v>
                </c:pt>
                <c:pt idx="18">
                  <c:v>0.51506954124809012</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1.011664907786441</c:v>
                </c:pt>
                <c:pt idx="2">
                  <c:v>1.0229336239405502</c:v>
                </c:pt>
                <c:pt idx="3">
                  <c:v>1.0337805373824198</c:v>
                </c:pt>
                <c:pt idx="4">
                  <c:v>1.0441725952070524</c:v>
                </c:pt>
                <c:pt idx="5">
                  <c:v>1.0540692630642488</c:v>
                </c:pt>
                <c:pt idx="6">
                  <c:v>1.0634227948076387</c:v>
                </c:pt>
                <c:pt idx="7">
                  <c:v>1.0721796865772462</c:v>
                </c:pt>
                <c:pt idx="8">
                  <c:v>1.0802835502926891</c:v>
                </c:pt>
                <c:pt idx="9">
                  <c:v>1.0876812258962563</c:v>
                </c:pt>
                <c:pt idx="10">
                  <c:v>1.0943339453160903</c:v>
                </c:pt>
                <c:pt idx="11">
                  <c:v>1.1002348667412578</c:v>
                </c:pt>
                <c:pt idx="12">
                  <c:v>1.1054232652472213</c:v>
                </c:pt>
                <c:pt idx="13">
                  <c:v>1.1099228412238444</c:v>
                </c:pt>
                <c:pt idx="14">
                  <c:v>1.1132796288556681</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0.97738974502732823</c:v>
                </c:pt>
                <c:pt idx="2">
                  <c:v>0.95248623605545135</c:v>
                </c:pt>
                <c:pt idx="3">
                  <c:v>0.92507226763515416</c:v>
                </c:pt>
                <c:pt idx="4">
                  <c:v>0.89492553739385217</c:v>
                </c:pt>
                <c:pt idx="5">
                  <c:v>0.86183086119569285</c:v>
                </c:pt>
                <c:pt idx="6">
                  <c:v>0.82559591787403452</c:v>
                </c:pt>
                <c:pt idx="7">
                  <c:v>0.78608000411273626</c:v>
                </c:pt>
                <c:pt idx="8">
                  <c:v>0.74323849191588209</c:v>
                </c:pt>
                <c:pt idx="9">
                  <c:v>0.6972044274990119</c:v>
                </c:pt>
                <c:pt idx="10">
                  <c:v>0.64847162578220041</c:v>
                </c:pt>
                <c:pt idx="11">
                  <c:v>0.59843304916264728</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0.98479795522464675</c:v>
                </c:pt>
                <c:pt idx="2">
                  <c:v>0.9681198448609033</c:v>
                </c:pt>
                <c:pt idx="3">
                  <c:v>0.94973596729793153</c:v>
                </c:pt>
                <c:pt idx="4">
                  <c:v>0.92937418790626725</c:v>
                </c:pt>
                <c:pt idx="5">
                  <c:v>0.9067170514738675</c:v>
                </c:pt>
                <c:pt idx="6">
                  <c:v>0.88139643313782845</c:v>
                </c:pt>
                <c:pt idx="7">
                  <c:v>0.85299660711724423</c:v>
                </c:pt>
                <c:pt idx="8">
                  <c:v>0.82106515272515501</c:v>
                </c:pt>
                <c:pt idx="9">
                  <c:v>0.78514163704179807</c:v>
                </c:pt>
                <c:pt idx="10">
                  <c:v>0.74481502293855328</c:v>
                </c:pt>
                <c:pt idx="11">
                  <c:v>0.6998197243254759</c:v>
                </c:pt>
                <c:pt idx="12">
                  <c:v>0.650174990948857</c:v>
                </c:pt>
                <c:pt idx="13">
                  <c:v>0.59633883764047679</c:v>
                </c:pt>
                <c:pt idx="14">
                  <c:v>0.53927620895896677</c:v>
                </c:pt>
                <c:pt idx="15">
                  <c:v>0.48024069533368269</c:v>
                </c:pt>
                <c:pt idx="16">
                  <c:v>0.42004918360313659</c:v>
                </c:pt>
                <c:pt idx="17">
                  <c:v>0.35777867324048596</c:v>
                </c:pt>
                <c:pt idx="18">
                  <c:v>0.28888287346999758</c:v>
                </c:pt>
                <c:pt idx="19">
                  <c:v>0.20064573286793702</c:v>
                </c:pt>
                <c:pt idx="20">
                  <c:v>0.177720656375497</c:v>
                </c:pt>
                <c:pt idx="21">
                  <c:v>0.15137504717560613</c:v>
                </c:pt>
                <c:pt idx="22">
                  <c:v>0.11978709667728568</c:v>
                </c:pt>
                <c:pt idx="23">
                  <c:v>7.8679768015507551E-2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0.98733809296963548</c:v>
                </c:pt>
                <c:pt idx="2">
                  <c:v>0.97360150583197114</c:v>
                </c:pt>
                <c:pt idx="3">
                  <c:v>0.95863282079040091</c:v>
                </c:pt>
                <c:pt idx="4">
                  <c:v>0.94224275405097835</c:v>
                </c:pt>
                <c:pt idx="5">
                  <c:v>0.92420187529375164</c:v>
                </c:pt>
                <c:pt idx="6">
                  <c:v>0.90422946506884516</c:v>
                </c:pt>
                <c:pt idx="7">
                  <c:v>0.88197985479742624</c:v>
                </c:pt>
                <c:pt idx="8">
                  <c:v>0.85702412525673177</c:v>
                </c:pt>
                <c:pt idx="9">
                  <c:v>0.82882677827985085</c:v>
                </c:pt>
                <c:pt idx="10">
                  <c:v>0.79671675208228854</c:v>
                </c:pt>
                <c:pt idx="11">
                  <c:v>0.75985367707391671</c:v>
                </c:pt>
                <c:pt idx="12">
                  <c:v>0.71719261194673045</c:v>
                </c:pt>
                <c:pt idx="13">
                  <c:v>0.6674572238101607</c:v>
                </c:pt>
                <c:pt idx="14">
                  <c:v>0.60914224972345388</c:v>
                </c:pt>
                <c:pt idx="15">
                  <c:v>0.54057696060712324</c:v>
                </c:pt>
                <c:pt idx="16">
                  <c:v>0.46008540936836778</c:v>
                </c:pt>
                <c:pt idx="17">
                  <c:v>0.36625076552259872</c:v>
                </c:pt>
                <c:pt idx="18">
                  <c:v>0.25821911206216136</c:v>
                </c:pt>
                <c:pt idx="19">
                  <c:v>0.13590765269873906</c:v>
                </c:pt>
                <c:pt idx="20">
                  <c:v>0.1097803412875698</c:v>
                </c:pt>
                <c:pt idx="21">
                  <c:v>8.3116066914706743E-2</c:v>
                </c:pt>
                <c:pt idx="22">
                  <c:v>5.5924336146372107E-2</c:v>
                </c:pt>
                <c:pt idx="23">
                  <c:v>2.8215368650051705E-2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0.56058995943839085</c:v>
                </c:pt>
                <c:pt idx="1">
                  <c:v>0.56580028316147624</c:v>
                </c:pt>
                <c:pt idx="2">
                  <c:v>0.56439257700612822</c:v>
                </c:pt>
                <c:pt idx="3">
                  <c:v>0.5629764970101736</c:v>
                </c:pt>
                <c:pt idx="4">
                  <c:v>0.56155112555578046</c:v>
                </c:pt>
                <c:pt idx="5">
                  <c:v>0.56011561522307463</c:v>
                </c:pt>
                <c:pt idx="6">
                  <c:v>0.55866942374024275</c:v>
                </c:pt>
                <c:pt idx="7">
                  <c:v>0.5572125219026024</c:v>
                </c:pt>
                <c:pt idx="8">
                  <c:v>0.55574594570066449</c:v>
                </c:pt>
                <c:pt idx="9">
                  <c:v>0.55427256799099545</c:v>
                </c:pt>
                <c:pt idx="10">
                  <c:v>0.55279842983103189</c:v>
                </c:pt>
                <c:pt idx="11">
                  <c:v>0.55133494841274044</c:v>
                </c:pt>
                <c:pt idx="12">
                  <c:v>0.54990253748657658</c:v>
                </c:pt>
                <c:pt idx="13">
                  <c:v>0.54853641371811956</c:v>
                </c:pt>
                <c:pt idx="14">
                  <c:v>0.54729486346627942</c:v>
                </c:pt>
                <c:pt idx="15">
                  <c:v>0.54626609603674703</c:v>
                </c:pt>
                <c:pt idx="16">
                  <c:v>0.54555350531278479</c:v>
                </c:pt>
                <c:pt idx="17">
                  <c:v>0.54519941628895163</c:v>
                </c:pt>
                <c:pt idx="18">
                  <c:v>0.5450979614809589</c:v>
                </c:pt>
                <c:pt idx="19">
                  <c:v>0.54508567921869455</c:v>
                </c:pt>
                <c:pt idx="20">
                  <c:v>0.54508548073381524</c:v>
                </c:pt>
                <c:pt idx="21">
                  <c:v>0.54508541011608058</c:v>
                </c:pt>
                <c:pt idx="22">
                  <c:v>0.54508539032253911</c:v>
                </c:pt>
                <c:pt idx="23">
                  <c:v>0.54508538652230276</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0.56058995943839085</c:v>
                </c:pt>
                <c:pt idx="1">
                  <c:v>0.56134440333386504</c:v>
                </c:pt>
                <c:pt idx="2">
                  <c:v>0.55525584688463381</c:v>
                </c:pt>
                <c:pt idx="3">
                  <c:v>0.54890095585004006</c:v>
                </c:pt>
                <c:pt idx="4">
                  <c:v>0.54223830767114345</c:v>
                </c:pt>
                <c:pt idx="5">
                  <c:v>0.53521644080334962</c:v>
                </c:pt>
                <c:pt idx="6">
                  <c:v>0.52776954912528673</c:v>
                </c:pt>
                <c:pt idx="7">
                  <c:v>0.51981147148954543</c:v>
                </c:pt>
                <c:pt idx="8">
                  <c:v>0.51122506794681633</c:v>
                </c:pt>
                <c:pt idx="9">
                  <c:v>0.50184456422524992</c:v>
                </c:pt>
                <c:pt idx="10">
                  <c:v>0.4914236817546746</c:v>
                </c:pt>
                <c:pt idx="11">
                  <c:v>0.47957653906536352</c:v>
                </c:pt>
                <c:pt idx="12">
                  <c:v>0.46566143824016992</c:v>
                </c:pt>
                <c:pt idx="13">
                  <c:v>0.44854021504812946</c:v>
                </c:pt>
                <c:pt idx="14">
                  <c:v>0.42605323308461784</c:v>
                </c:pt>
                <c:pt idx="15">
                  <c:v>0.39383248524331038</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0.56058995943839085</c:v>
                </c:pt>
                <c:pt idx="1">
                  <c:v>0.56578921106192848</c:v>
                </c:pt>
                <c:pt idx="2">
                  <c:v>0.56436965286517915</c:v>
                </c:pt>
                <c:pt idx="3">
                  <c:v>0.56294083566009612</c:v>
                </c:pt>
                <c:pt idx="4">
                  <c:v>0.56150174597020075</c:v>
                </c:pt>
                <c:pt idx="5">
                  <c:v>0.56005146494431002</c:v>
                </c:pt>
                <c:pt idx="6">
                  <c:v>0.55858943408489825</c:v>
                </c:pt>
                <c:pt idx="7">
                  <c:v>0.55711569901516889</c:v>
                </c:pt>
                <c:pt idx="8">
                  <c:v>0.55563153603930804</c:v>
                </c:pt>
                <c:pt idx="9">
                  <c:v>0.55414031431176236</c:v>
                </c:pt>
                <c:pt idx="10">
                  <c:v>0.55264899115032762</c:v>
                </c:pt>
                <c:pt idx="11">
                  <c:v>0.55117055430516615</c:v>
                </c:pt>
                <c:pt idx="12">
                  <c:v>0.54972799905239789</c:v>
                </c:pt>
                <c:pt idx="13">
                  <c:v>0.54836062227570515</c:v>
                </c:pt>
                <c:pt idx="14">
                  <c:v>0.54713256378986108</c:v>
                </c:pt>
                <c:pt idx="15">
                  <c:v>0.54613803811408246</c:v>
                </c:pt>
                <c:pt idx="16">
                  <c:v>0.5454783348789386</c:v>
                </c:pt>
                <c:pt idx="17">
                  <c:v>0.54517339656073205</c:v>
                </c:pt>
                <c:pt idx="18">
                  <c:v>0.54509416443203851</c:v>
                </c:pt>
                <c:pt idx="19">
                  <c:v>0.54508557146921277</c:v>
                </c:pt>
                <c:pt idx="20">
                  <c:v>0.54508544540494708</c:v>
                </c:pt>
                <c:pt idx="21">
                  <c:v>0.54508540124902483</c:v>
                </c:pt>
                <c:pt idx="22">
                  <c:v>0.54508538888581748</c:v>
                </c:pt>
                <c:pt idx="23">
                  <c:v>0</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0.56058995943839085</c:v>
                </c:pt>
                <c:pt idx="1">
                  <c:v>0.56087131414166502</c:v>
                </c:pt>
                <c:pt idx="2">
                  <c:v>0.55436318943593366</c:v>
                </c:pt>
                <c:pt idx="3">
                  <c:v>0.54764099507439812</c:v>
                </c:pt>
                <c:pt idx="4">
                  <c:v>0.54066339969586785</c:v>
                </c:pt>
                <c:pt idx="5">
                  <c:v>0.53338057928995442</c:v>
                </c:pt>
                <c:pt idx="6">
                  <c:v>0.52573044206401809</c:v>
                </c:pt>
                <c:pt idx="7">
                  <c:v>0.51763308611974812</c:v>
                </c:pt>
                <c:pt idx="8">
                  <c:v>0.50898180870153664</c:v>
                </c:pt>
                <c:pt idx="9">
                  <c:v>0.49962849914551144</c:v>
                </c:pt>
                <c:pt idx="10">
                  <c:v>0.48935853557845671</c:v>
                </c:pt>
                <c:pt idx="11">
                  <c:v>0.47784723710716009</c:v>
                </c:pt>
                <c:pt idx="12">
                  <c:v>0.46458112325206025</c:v>
                </c:pt>
                <c:pt idx="13">
                  <c:v>0.44871272031382431</c:v>
                </c:pt>
                <c:pt idx="14">
                  <c:v>0.42879304883943459</c:v>
                </c:pt>
                <c:pt idx="15">
                  <c:v>0.40231132238739181</c:v>
                </c:pt>
                <c:pt idx="16">
                  <c:v>0.36509760626209664</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0.58122509399786282</c:v>
                </c:pt>
                <c:pt idx="2">
                  <c:v>0.59560144629563205</c:v>
                </c:pt>
                <c:pt idx="3">
                  <c:v>0.61040733353284404</c:v>
                </c:pt>
                <c:pt idx="4">
                  <c:v>0.62573916818480846</c:v>
                </c:pt>
                <c:pt idx="5">
                  <c:v>0.64172167231016197</c:v>
                </c:pt>
                <c:pt idx="6">
                  <c:v>0.65852285627300833</c:v>
                </c:pt>
                <c:pt idx="7">
                  <c:v>0.67637854810491682</c:v>
                </c:pt>
                <c:pt idx="8">
                  <c:v>0.69563322576646858</c:v>
                </c:pt>
                <c:pt idx="9">
                  <c:v>0.7168109261779525</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0.57467057453159953</c:v>
                </c:pt>
                <c:pt idx="2">
                  <c:v>0.58210617984837976</c:v>
                </c:pt>
                <c:pt idx="3">
                  <c:v>0.58947843764537433</c:v>
                </c:pt>
                <c:pt idx="4">
                  <c:v>0.59675108455096071</c:v>
                </c:pt>
                <c:pt idx="5">
                  <c:v>0.60388102836751467</c:v>
                </c:pt>
                <c:pt idx="6">
                  <c:v>0.61081526781839346</c:v>
                </c:pt>
                <c:pt idx="7">
                  <c:v>0.61749114322110266</c:v>
                </c:pt>
                <c:pt idx="8">
                  <c:v>0.62383276086681805</c:v>
                </c:pt>
                <c:pt idx="9">
                  <c:v>0.62974314224161132</c:v>
                </c:pt>
                <c:pt idx="10">
                  <c:v>0.63508747234777452</c:v>
                </c:pt>
                <c:pt idx="11">
                  <c:v>0.63961952061332139</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0.56058995943839085</c:v>
                </c:pt>
                <c:pt idx="1">
                  <c:v>0.56666365383268569</c:v>
                </c:pt>
                <c:pt idx="2">
                  <c:v>0.56611644667502614</c:v>
                </c:pt>
                <c:pt idx="3">
                  <c:v>0.5655557307531065</c:v>
                </c:pt>
                <c:pt idx="4">
                  <c:v>0.56497756421506051</c:v>
                </c:pt>
                <c:pt idx="5">
                  <c:v>0.56437707573724427</c:v>
                </c:pt>
                <c:pt idx="6">
                  <c:v>0.56374828321141757</c:v>
                </c:pt>
                <c:pt idx="7">
                  <c:v>0.56308383941114903</c:v>
                </c:pt>
                <c:pt idx="8">
                  <c:v>0.56237478217619807</c:v>
                </c:pt>
                <c:pt idx="9">
                  <c:v>0.56161026352128207</c:v>
                </c:pt>
                <c:pt idx="10">
                  <c:v>0.56077735236091619</c:v>
                </c:pt>
                <c:pt idx="11">
                  <c:v>0.55986096016117715</c:v>
                </c:pt>
                <c:pt idx="12">
                  <c:v>0.55884414080728206</c:v>
                </c:pt>
                <c:pt idx="13">
                  <c:v>0.55770905648643265</c:v>
                </c:pt>
                <c:pt idx="14">
                  <c:v>0.55643903981850895</c:v>
                </c:pt>
                <c:pt idx="15">
                  <c:v>0.55502214483581025</c:v>
                </c:pt>
                <c:pt idx="16">
                  <c:v>0.55345598614529568</c:v>
                </c:pt>
                <c:pt idx="17">
                  <c:v>0.55175246771997011</c:v>
                </c:pt>
                <c:pt idx="18">
                  <c:v>0.54993968626857137</c:v>
                </c:pt>
                <c:pt idx="19">
                  <c:v>0.54805865061200609</c:v>
                </c:pt>
                <c:pt idx="20">
                  <c:v>0.54767831877429352</c:v>
                </c:pt>
                <c:pt idx="21">
                  <c:v>0.54729747407563489</c:v>
                </c:pt>
                <c:pt idx="22">
                  <c:v>0.54691647369958984</c:v>
                </c:pt>
                <c:pt idx="23">
                  <c:v>0.54653566339055426</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0.56058995943839085</c:v>
                </c:pt>
                <c:pt idx="1">
                  <c:v>0.56759777050542803</c:v>
                </c:pt>
                <c:pt idx="2">
                  <c:v>0.56805052591544158</c:v>
                </c:pt>
                <c:pt idx="3">
                  <c:v>0.56856406157599482</c:v>
                </c:pt>
                <c:pt idx="4">
                  <c:v>0.56914387349067996</c:v>
                </c:pt>
                <c:pt idx="5">
                  <c:v>0.56979540233132964</c:v>
                </c:pt>
                <c:pt idx="6">
                  <c:v>0.5705237108652792</c:v>
                </c:pt>
                <c:pt idx="7">
                  <c:v>0.57133275178974163</c:v>
                </c:pt>
                <c:pt idx="8">
                  <c:v>0.57222421961125236</c:v>
                </c:pt>
                <c:pt idx="9">
                  <c:v>0.57319560792985635</c:v>
                </c:pt>
                <c:pt idx="10">
                  <c:v>0.57423690911654257</c:v>
                </c:pt>
                <c:pt idx="11">
                  <c:v>0.57532520081158534</c:v>
                </c:pt>
                <c:pt idx="12">
                  <c:v>0.5764158665420237</c:v>
                </c:pt>
                <c:pt idx="13">
                  <c:v>0.57742910779186352</c:v>
                </c:pt>
                <c:pt idx="14">
                  <c:v>0.57823088529884237</c:v>
                </c:pt>
                <c:pt idx="15">
                  <c:v>0.57860563053120628</c:v>
                </c:pt>
                <c:pt idx="16">
                  <c:v>0.57819597564107028</c:v>
                </c:pt>
                <c:pt idx="17">
                  <c:v>0.57627240013056602</c:v>
                </c:pt>
                <c:pt idx="18">
                  <c:v>0.57073546816459808</c:v>
                </c:pt>
                <c:pt idx="19">
                  <c:v>0.55310686336587467</c:v>
                </c:pt>
                <c:pt idx="20">
                  <c:v>0.54527007229345814</c:v>
                </c:pt>
                <c:pt idx="21">
                  <c:v>0.53366788717023961</c:v>
                </c:pt>
                <c:pt idx="22">
                  <c:v>0.51461223005684076</c:v>
                </c:pt>
                <c:pt idx="23">
                  <c:v>0.47582378527403463</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5.3644036461969129E-2</c:v>
                </c:pt>
                <c:pt idx="2">
                  <c:v>0.10607645386373697</c:v>
                </c:pt>
                <c:pt idx="3">
                  <c:v>0.16379167927433749</c:v>
                </c:pt>
                <c:pt idx="4">
                  <c:v>0.22769314942891675</c:v>
                </c:pt>
                <c:pt idx="5">
                  <c:v>0.29893234197813662</c:v>
                </c:pt>
                <c:pt idx="6">
                  <c:v>0.37901129615381612</c:v>
                </c:pt>
                <c:pt idx="7">
                  <c:v>0.46994251756804911</c:v>
                </c:pt>
                <c:pt idx="8">
                  <c:v>0.57450794079875522</c:v>
                </c:pt>
                <c:pt idx="9">
                  <c:v>0.69669662204680116</c:v>
                </c:pt>
                <c:pt idx="10">
                  <c:v>0.84247878252757935</c:v>
                </c:pt>
                <c:pt idx="11">
                  <c:v>1.0212481912171971</c:v>
                </c:pt>
                <c:pt idx="12">
                  <c:v>1.2486864002303917</c:v>
                </c:pt>
                <c:pt idx="13">
                  <c:v>1.5528639967317652</c:v>
                </c:pt>
                <c:pt idx="14">
                  <c:v>1.9883084073055186</c:v>
                </c:pt>
                <c:pt idx="15">
                  <c:v>2.6710772483492029</c:v>
                </c:pt>
                <c:pt idx="16">
                  <c:v>3.8723797168517295</c:v>
                </c:pt>
                <c:pt idx="17">
                  <c:v>6.2920342769098818</c:v>
                </c:pt>
                <c:pt idx="18">
                  <c:v>12.110764265187182</c:v>
                </c:pt>
                <c:pt idx="19">
                  <c:v>32.179650757654947</c:v>
                </c:pt>
                <c:pt idx="20">
                  <c:v>42.339410448277228</c:v>
                </c:pt>
                <c:pt idx="21">
                  <c:v>58.559769135722718</c:v>
                </c:pt>
                <c:pt idx="22">
                  <c:v>87.347928838558531</c:v>
                </c:pt>
                <c:pt idx="23">
                  <c:v>148.19171381775723</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5.7108697624743236E-2</c:v>
                </c:pt>
                <c:pt idx="2">
                  <c:v>0.11331983967653925</c:v>
                </c:pt>
                <c:pt idx="3">
                  <c:v>0.17517045521565594</c:v>
                </c:pt>
                <c:pt idx="4">
                  <c:v>0.24361702320304171</c:v>
                </c:pt>
                <c:pt idx="5">
                  <c:v>0.31987478364591959</c:v>
                </c:pt>
                <c:pt idx="6">
                  <c:v>0.40553878672262572</c:v>
                </c:pt>
                <c:pt idx="7">
                  <c:v>0.50274422899682292</c:v>
                </c:pt>
                <c:pt idx="8">
                  <c:v>0.61445595655934149</c:v>
                </c:pt>
                <c:pt idx="9">
                  <c:v>0.74494816387285201</c:v>
                </c:pt>
                <c:pt idx="10">
                  <c:v>0.9006617356480765</c:v>
                </c:pt>
                <c:pt idx="11">
                  <c:v>1.0918183838904878</c:v>
                </c:pt>
                <c:pt idx="12">
                  <c:v>1.3356574359828721</c:v>
                </c:pt>
                <c:pt idx="13">
                  <c:v>1.6634106129600357</c:v>
                </c:pt>
                <c:pt idx="14">
                  <c:v>2.1365790117755732</c:v>
                </c:pt>
                <c:pt idx="15">
                  <c:v>2.8879425003748671</c:v>
                </c:pt>
                <c:pt idx="16">
                  <c:v>4.2313657990880476</c:v>
                </c:pt>
                <c:pt idx="17">
                  <c:v>6.9809692916674972</c:v>
                </c:pt>
                <c:pt idx="18">
                  <c:v>13.684972601982004</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5.5513694648321114E-2</c:v>
                </c:pt>
                <c:pt idx="2">
                  <c:v>0.11000591048962401</c:v>
                </c:pt>
                <c:pt idx="3">
                  <c:v>0.170004118491073</c:v>
                </c:pt>
                <c:pt idx="4">
                  <c:v>0.2364554684156881</c:v>
                </c:pt>
                <c:pt idx="5">
                  <c:v>0.31057125044199085</c:v>
                </c:pt>
                <c:pt idx="6">
                  <c:v>0.39393835293542717</c:v>
                </c:pt>
                <c:pt idx="7">
                  <c:v>0.4886944747824693</c:v>
                </c:pt>
                <c:pt idx="8">
                  <c:v>0.59781369091895231</c:v>
                </c:pt>
                <c:pt idx="9">
                  <c:v>0.7255936531461743</c:v>
                </c:pt>
                <c:pt idx="10">
                  <c:v>0.87852350846535354</c:v>
                </c:pt>
                <c:pt idx="11">
                  <c:v>1.0669181207160645</c:v>
                </c:pt>
                <c:pt idx="12">
                  <c:v>1.3081976900576149</c:v>
                </c:pt>
                <c:pt idx="13">
                  <c:v>1.6339550226113069</c:v>
                </c:pt>
                <c:pt idx="14">
                  <c:v>2.1064231134538547</c:v>
                </c:pt>
                <c:pt idx="15">
                  <c:v>2.8597501250173862</c:v>
                </c:pt>
                <c:pt idx="16">
                  <c:v>4.2094621402365497</c:v>
                </c:pt>
                <c:pt idx="17">
                  <c:v>6.968874649945537</c:v>
                </c:pt>
                <c:pt idx="18">
                  <c:v>13.681045548711618</c:v>
                </c:pt>
                <c:pt idx="19">
                  <c:v>37.017844219136684</c:v>
                </c:pt>
                <c:pt idx="20">
                  <c:v>48.765237472119068</c:v>
                </c:pt>
                <c:pt idx="21">
                  <c:v>67.293490942470612</c:v>
                </c:pt>
                <c:pt idx="22">
                  <c:v>99.314639800888344</c:v>
                </c:pt>
                <c:pt idx="23">
                  <c:v>0</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6.1386969598904356E-2</c:v>
                </c:pt>
                <c:pt idx="2">
                  <c:v>0.12183414429023202</c:v>
                </c:pt>
                <c:pt idx="3">
                  <c:v>0.18785757776253628</c:v>
                </c:pt>
                <c:pt idx="4">
                  <c:v>0.26038048531400992</c:v>
                </c:pt>
                <c:pt idx="5">
                  <c:v>0.34056821033723989</c:v>
                </c:pt>
                <c:pt idx="6">
                  <c:v>0.42993026313445276</c:v>
                </c:pt>
                <c:pt idx="7">
                  <c:v>0.53047246627170397</c:v>
                </c:pt>
                <c:pt idx="8">
                  <c:v>0.64494132509917879</c:v>
                </c:pt>
                <c:pt idx="9">
                  <c:v>0.77722464514270451</c:v>
                </c:pt>
                <c:pt idx="10">
                  <c:v>0.93303558489829197</c:v>
                </c:pt>
                <c:pt idx="11">
                  <c:v>1.1211254507647823</c:v>
                </c:pt>
                <c:pt idx="12">
                  <c:v>1.3555348596773606</c:v>
                </c:pt>
                <c:pt idx="13">
                  <c:v>1.6599505385387006</c:v>
                </c:pt>
                <c:pt idx="14">
                  <c:v>2.0763975263277672</c:v>
                </c:pt>
                <c:pt idx="15">
                  <c:v>2.6824109319608946</c:v>
                </c:pt>
                <c:pt idx="16">
                  <c:v>3.6208131688305794</c:v>
                </c:pt>
                <c:pt idx="17">
                  <c:v>5.1273914854279585</c:v>
                </c:pt>
                <c:pt idx="18">
                  <c:v>7.4415395056993168</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6.1523794427630472E-2</c:v>
                </c:pt>
                <c:pt idx="2">
                  <c:v>0.12286646391601222</c:v>
                </c:pt>
                <c:pt idx="3">
                  <c:v>0.19082706635634183</c:v>
                </c:pt>
                <c:pt idx="4">
                  <c:v>0.26674945685701446</c:v>
                </c:pt>
                <c:pt idx="5">
                  <c:v>0.35243922216532536</c:v>
                </c:pt>
                <c:pt idx="6">
                  <c:v>0.45039681041417007</c:v>
                </c:pt>
                <c:pt idx="7">
                  <c:v>0.56420433350983312</c:v>
                </c:pt>
                <c:pt idx="8">
                  <c:v>0.69919712522062705</c:v>
                </c:pt>
                <c:pt idx="9">
                  <c:v>0.86368887874841127</c:v>
                </c:pt>
                <c:pt idx="10">
                  <c:v>1.0713410800859129</c:v>
                </c:pt>
                <c:pt idx="11">
                  <c:v>1.346051370381814</c:v>
                </c:pt>
                <c:pt idx="12">
                  <c:v>1.7327289508778689</c:v>
                </c:pt>
                <c:pt idx="13">
                  <c:v>2.3223251545078041</c:v>
                </c:pt>
                <c:pt idx="14">
                  <c:v>3.3103559860164053</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3.4887949747467187E-2</c:v>
                </c:pt>
                <c:pt idx="2">
                  <c:v>6.4974668220133536E-2</c:v>
                </c:pt>
                <c:pt idx="3">
                  <c:v>9.5933182871647954E-2</c:v>
                </c:pt>
                <c:pt idx="4">
                  <c:v>0.12761657711332441</c:v>
                </c:pt>
                <c:pt idx="5">
                  <c:v>0.15981900263662782</c:v>
                </c:pt>
                <c:pt idx="6">
                  <c:v>0.19226147219898668</c:v>
                </c:pt>
                <c:pt idx="7">
                  <c:v>0.22457749022887025</c:v>
                </c:pt>
                <c:pt idx="8">
                  <c:v>0.25629108360389857</c:v>
                </c:pt>
                <c:pt idx="9">
                  <c:v>0.28677539912445354</c:v>
                </c:pt>
                <c:pt idx="10">
                  <c:v>0.31514583404300911</c:v>
                </c:pt>
                <c:pt idx="11">
                  <c:v>0.33987571968301161</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4.3214292043521736E-2</c:v>
                </c:pt>
                <c:pt idx="2">
                  <c:v>8.2949104354581901E-2</c:v>
                </c:pt>
                <c:pt idx="3">
                  <c:v>0.12512174411041616</c:v>
                </c:pt>
                <c:pt idx="4">
                  <c:v>0.16987238662689574</c:v>
                </c:pt>
                <c:pt idx="5">
                  <c:v>0.21733600740505107</c:v>
                </c:pt>
                <c:pt idx="6">
                  <c:v>0.2676363307340095</c:v>
                </c:pt>
                <c:pt idx="7">
                  <c:v>0.32089388307596778</c:v>
                </c:pt>
                <c:pt idx="8">
                  <c:v>0.37724960860265228</c:v>
                </c:pt>
                <c:pt idx="9">
                  <c:v>0.436937186809714</c:v>
                </c:pt>
                <c:pt idx="10">
                  <c:v>0.50046231968398414</c:v>
                </c:pt>
                <c:pt idx="11">
                  <c:v>0.56901473755452403</c:v>
                </c:pt>
                <c:pt idx="12">
                  <c:v>0.64537795198825565</c:v>
                </c:pt>
                <c:pt idx="13">
                  <c:v>0.73589424227181499</c:v>
                </c:pt>
                <c:pt idx="14">
                  <c:v>0.85476209105546297</c:v>
                </c:pt>
                <c:pt idx="15">
                  <c:v>1.0342489497221938</c:v>
                </c:pt>
                <c:pt idx="16">
                  <c:v>1.3541297677266095</c:v>
                </c:pt>
                <c:pt idx="17">
                  <c:v>2.0521927494171446</c:v>
                </c:pt>
                <c:pt idx="18">
                  <c:v>4.0628021998342607</c:v>
                </c:pt>
                <c:pt idx="19">
                  <c:v>13.218237967316345</c:v>
                </c:pt>
                <c:pt idx="20">
                  <c:v>18.82632098945567</c:v>
                </c:pt>
                <c:pt idx="21">
                  <c:v>29.122745997963648</c:v>
                </c:pt>
                <c:pt idx="22">
                  <c:v>52.062543245530911</c:v>
                </c:pt>
                <c:pt idx="23">
                  <c:v>129.86474407808529</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4.6817481432235131E-2</c:v>
                </c:pt>
                <c:pt idx="2">
                  <c:v>9.1075901266131465E-2</c:v>
                </c:pt>
                <c:pt idx="3">
                  <c:v>0.13892619017453958</c:v>
                </c:pt>
                <c:pt idx="4">
                  <c:v>0.19080998005724531</c:v>
                </c:pt>
                <c:pt idx="5">
                  <c:v>0.24724475748896085</c:v>
                </c:pt>
                <c:pt idx="6">
                  <c:v>0.30884042797855549</c:v>
                </c:pt>
                <c:pt idx="7">
                  <c:v>0.37631995232843801</c:v>
                </c:pt>
                <c:pt idx="8">
                  <c:v>0.45054347806711798</c:v>
                </c:pt>
                <c:pt idx="9">
                  <c:v>0.53253635064856975</c:v>
                </c:pt>
                <c:pt idx="10">
                  <c:v>0.62351590040204297</c:v>
                </c:pt>
                <c:pt idx="11">
                  <c:v>0.72491141045219543</c:v>
                </c:pt>
                <c:pt idx="12">
                  <c:v>0.83835919674831039</c:v>
                </c:pt>
                <c:pt idx="13">
                  <c:v>0.9656423110636263</c:v>
                </c:pt>
                <c:pt idx="14">
                  <c:v>1.1085313829799615</c:v>
                </c:pt>
                <c:pt idx="15">
                  <c:v>1.2684744199453728</c:v>
                </c:pt>
                <c:pt idx="16">
                  <c:v>1.446126019075723</c:v>
                </c:pt>
                <c:pt idx="17">
                  <c:v>1.6408218762669604</c:v>
                </c:pt>
                <c:pt idx="18">
                  <c:v>1.8502513367112541</c:v>
                </c:pt>
                <c:pt idx="19">
                  <c:v>2.0706091544958203</c:v>
                </c:pt>
                <c:pt idx="20">
                  <c:v>2.1155889755602368</c:v>
                </c:pt>
                <c:pt idx="21">
                  <c:v>2.1607819051998547</c:v>
                </c:pt>
                <c:pt idx="22">
                  <c:v>2.2061499119168153</c:v>
                </c:pt>
                <c:pt idx="23">
                  <c:v>2.2516556166176462</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56" zoomScaleNormal="100" workbookViewId="0">
      <selection activeCell="E99" sqref="E99"/>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1000.0000000000006</v>
      </c>
      <c r="I21">
        <v>999.99999999999898</v>
      </c>
      <c r="K21" s="120">
        <f t="array" ref="K21:L21">H21:I21-pY</f>
        <v>0</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1886.3937399999948</v>
      </c>
      <c r="I38" s="29">
        <v>262.78711299999759</v>
      </c>
      <c r="K38" s="120">
        <f t="array" ref="K38:L38">H38:I38-M</f>
        <v>-1.8189894035458565E-12</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24661.962529999983</v>
      </c>
      <c r="I40" s="29">
        <v>1145.754757999995</v>
      </c>
      <c r="K40" s="120">
        <f t="array" ref="K40:L40">H40:I40-D</f>
        <v>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14362.768558000003</v>
      </c>
      <c r="I48" s="29">
        <v>817.26650999999993</v>
      </c>
      <c r="K48" s="120">
        <f t="array" ref="K48:L48">H48:I48-KLE</f>
        <v>0</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0.4719576767198812</v>
      </c>
      <c r="I70" s="38">
        <v>0.31738834428178975</v>
      </c>
      <c r="K70" s="120">
        <f t="array" ref="K70:L71">H70:I71-C70:D71</f>
        <v>0</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0.96381792329050164</v>
      </c>
      <c r="D77" s="184">
        <v>0.94968696469905056</v>
      </c>
      <c r="E77" s="62" t="s">
        <v>127</v>
      </c>
      <c r="F77" s="63">
        <f t="array" ref="F77:G77">(aS*D^rhoS+bS*M^rhoS)^(1/rhoS)</f>
        <v>26548.356269999997</v>
      </c>
      <c r="G77" s="64">
        <v>1408.5418709999931</v>
      </c>
      <c r="J77">
        <v>0.95656838134985123</v>
      </c>
      <c r="K77">
        <v>0.88500540761921231</v>
      </c>
      <c r="M77">
        <v>0.97096440194717171</v>
      </c>
      <c r="N77">
        <v>0.94099850948718067</v>
      </c>
    </row>
    <row r="78" spans="2:14" x14ac:dyDescent="0.2">
      <c r="B78" t="s">
        <v>130</v>
      </c>
      <c r="C78" s="185">
        <f t="array" ref="C78:D78">(S/M)^rhoS*pW*M/(pD*D+pW*M)</f>
        <v>0.26656145772407763</v>
      </c>
      <c r="D78" s="186">
        <v>0.65721667750764312</v>
      </c>
      <c r="F78" s="129">
        <f t="array" ref="F78:G78">F77:G77-S</f>
        <v>0</v>
      </c>
      <c r="G78" s="130">
        <v>0</v>
      </c>
      <c r="J78">
        <v>0.29150803042407891</v>
      </c>
      <c r="K78">
        <v>0.76679688485558739</v>
      </c>
      <c r="M78">
        <v>0.23922401666925366</v>
      </c>
      <c r="N78">
        <v>0.68167509101198809</v>
      </c>
    </row>
    <row r="79" spans="2:14" x14ac:dyDescent="0.2">
      <c r="B79" t="s">
        <v>131</v>
      </c>
      <c r="C79" s="187">
        <v>2</v>
      </c>
      <c r="D79" s="188">
        <v>4</v>
      </c>
      <c r="J79">
        <v>2</v>
      </c>
      <c r="K79">
        <v>3.7610000000000001</v>
      </c>
      <c r="M79">
        <v>2</v>
      </c>
      <c r="N79">
        <v>4</v>
      </c>
    </row>
    <row r="80" spans="2:14" x14ac:dyDescent="0.2">
      <c r="B80" t="s">
        <v>132</v>
      </c>
      <c r="C80" s="189">
        <f t="array" ref="C80:D80">(sigmaS-1)/sigmaS</f>
        <v>0.5</v>
      </c>
      <c r="D80" s="190">
        <v>0.75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0.15141286857026257</v>
      </c>
      <c r="D92" s="184">
        <v>9.5323115800082098E-2</v>
      </c>
      <c r="E92" s="62" t="s">
        <v>19</v>
      </c>
      <c r="F92" s="63">
        <f t="array" ref="F92:G92">(aY*KLE^rhoY+bY*(alphaMY*Y)^rhoY)^(1/rhoY)</f>
        <v>27857.010133999996</v>
      </c>
      <c r="G92" s="64">
        <v>1236.7674480000003</v>
      </c>
      <c r="J92">
        <v>0.34302659523177403</v>
      </c>
      <c r="K92">
        <v>0.42557690792009023</v>
      </c>
      <c r="M92">
        <v>0.42285434707953978</v>
      </c>
      <c r="N92">
        <v>0.3208524508888656</v>
      </c>
    </row>
    <row r="93" spans="2:14" x14ac:dyDescent="0.2">
      <c r="B93" t="s">
        <v>38</v>
      </c>
      <c r="C93" s="185">
        <f t="array" ref="C93:D93">(Y/(alphaMY*Y))^rhoY*pMY*alphaMY*Y/(pMY*alphaMY*Y+pK*K+pL*Labour+pEY*alphaEY*Y)</f>
        <v>0.11948206672181409</v>
      </c>
      <c r="D93" s="186">
        <v>1.4660261259133902E-3</v>
      </c>
      <c r="F93" s="129">
        <f t="array" ref="F93:G93">F92:G92-Y</f>
        <v>0</v>
      </c>
      <c r="G93" s="130">
        <v>0</v>
      </c>
      <c r="J93">
        <v>0.35296646929548525</v>
      </c>
      <c r="K93">
        <v>6.2733891927605194E-4</v>
      </c>
      <c r="M93">
        <v>0.3176642154488255</v>
      </c>
      <c r="N93">
        <v>3.8708344241683464E-2</v>
      </c>
    </row>
    <row r="94" spans="2:14" x14ac:dyDescent="0.2">
      <c r="B94" t="s">
        <v>39</v>
      </c>
      <c r="C94" s="187">
        <v>0.35</v>
      </c>
      <c r="D94" s="188">
        <v>0.17499999999999999</v>
      </c>
      <c r="J94">
        <v>0.6678438215200766</v>
      </c>
      <c r="K94">
        <v>0.23777313182546062</v>
      </c>
      <c r="M94">
        <v>0.7</v>
      </c>
      <c r="N94">
        <v>0.35</v>
      </c>
    </row>
    <row r="95" spans="2:14" x14ac:dyDescent="0.2">
      <c r="B95" t="s">
        <v>40</v>
      </c>
      <c r="C95" s="189">
        <f t="array" ref="C95:D95">(sigmaY-1)/sigmaY</f>
        <v>-1.8571428571428574</v>
      </c>
      <c r="D95" s="190">
        <v>-4.7142857142857144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2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7209494.4144816259</v>
      </c>
      <c r="M3" s="52">
        <v>1.1951755956027149E-2</v>
      </c>
      <c r="N3" s="53">
        <f t="array" ref="N3:N4">TRANSPOSE(pC*Consumption)</f>
        <v>3613705.6518756263</v>
      </c>
      <c r="O3" s="54">
        <f t="array" ref="O3:O4">TRANSPOSE(pG*G)</f>
        <v>2979803.5733488202</v>
      </c>
      <c r="P3" s="54">
        <f t="array" ref="P3:P4">TRANSPOSE(pI*I)</f>
        <v>17324327.384491667</v>
      </c>
      <c r="Q3" s="60">
        <f t="array" ref="Q3:Q4">TRANSPOSE(pX*X)</f>
        <v>4846.9806206521125</v>
      </c>
      <c r="R3" s="9">
        <f t="array" ref="R3">SUM(L3:Q3)</f>
        <v>31132178.016770147</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2326543.9421404679</v>
      </c>
      <c r="M4" s="56">
        <v>0.27235676147948762</v>
      </c>
      <c r="N4" s="55">
        <v>899318.34241124941</v>
      </c>
      <c r="O4" s="57">
        <v>0</v>
      </c>
      <c r="P4" s="57">
        <v>0</v>
      </c>
      <c r="Q4" s="49">
        <v>6.9026471858662246E-8</v>
      </c>
      <c r="R4" s="11">
        <f t="array" ref="R4">SUM(L4:Q4)</f>
        <v>3225862.5569085479</v>
      </c>
    </row>
    <row r="5" spans="2:18" x14ac:dyDescent="0.2">
      <c r="B5" s="12" t="s">
        <v>1</v>
      </c>
      <c r="C5" s="51">
        <v>5036295.3101960644</v>
      </c>
      <c r="D5" s="52">
        <v>74905.331803938272</v>
      </c>
      <c r="E5" s="13"/>
      <c r="F5" s="13"/>
      <c r="G5" s="13"/>
      <c r="H5" s="13"/>
      <c r="I5" s="1"/>
      <c r="K5" s="12" t="s">
        <v>1</v>
      </c>
      <c r="L5" s="51">
        <f t="array" ref="L5:M5">w*Labour</f>
        <v>3974806.0879011974</v>
      </c>
      <c r="M5" s="52">
        <v>4.1792513985145999E-3</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1816499.9964601253</v>
      </c>
      <c r="M6" s="58">
        <v>1.9099322036653914E-3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94075.77992968318</v>
      </c>
      <c r="M7" s="58">
        <v>5.1197157873229138E-3</v>
      </c>
      <c r="N7" s="13"/>
      <c r="O7" s="13"/>
      <c r="P7" s="13"/>
      <c r="Q7" s="13"/>
      <c r="R7" s="1"/>
    </row>
    <row r="8" spans="2:18" x14ac:dyDescent="0.2">
      <c r="B8" s="14" t="s">
        <v>2</v>
      </c>
      <c r="C8" s="53">
        <v>6425198.1590000018</v>
      </c>
      <c r="D8" s="58">
        <v>273229.1540000001</v>
      </c>
      <c r="E8" s="13"/>
      <c r="F8" s="13"/>
      <c r="G8" s="13"/>
      <c r="H8" s="13"/>
      <c r="I8" s="1"/>
      <c r="K8" s="14" t="s">
        <v>2</v>
      </c>
      <c r="L8" s="53">
        <f t="array" ref="L8:M8">pK*kappa*Y</f>
        <v>3608151.6521442519</v>
      </c>
      <c r="M8" s="58">
        <v>1.0084013249312249E-2</v>
      </c>
      <c r="N8" s="13"/>
      <c r="O8" s="13"/>
      <c r="P8" s="13"/>
      <c r="Q8" s="13"/>
      <c r="R8" s="1"/>
    </row>
    <row r="9" spans="2:18" x14ac:dyDescent="0.2">
      <c r="B9" s="2" t="s">
        <v>3</v>
      </c>
      <c r="C9" s="127">
        <v>1886393.7399999965</v>
      </c>
      <c r="D9" s="128">
        <v>262787.11299999768</v>
      </c>
      <c r="E9" s="13"/>
      <c r="F9" s="13"/>
      <c r="G9" s="13"/>
      <c r="H9" s="13"/>
      <c r="I9" s="1"/>
      <c r="K9" s="2" t="s">
        <v>3</v>
      </c>
      <c r="L9" s="127">
        <f t="array" ref="L9:M9">pW*M</f>
        <v>11615075.368845124</v>
      </c>
      <c r="M9" s="128">
        <v>24650.050609172675</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487530.77492946351</v>
      </c>
      <c r="M10" s="60">
        <v>3201212.2007236579</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31132178.016831938</v>
      </c>
      <c r="M12" s="18">
        <f>SUM(M3:M11)</f>
        <v>3225862.5569342608</v>
      </c>
      <c r="N12" s="19"/>
      <c r="O12" s="20">
        <f t="array" ref="O12:P12">pY*Y</f>
        <v>19029571.873038955</v>
      </c>
      <c r="P12" s="21">
        <v>0.30560143007428542</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-6.1791390180587769E-5</v>
      </c>
      <c r="M14" s="24">
        <f t="array" ref="M14">R4-M12</f>
        <v>-2.5712884962558746E-5</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6.7150043470132204E-7</v>
      </c>
    </row>
    <row r="19" spans="2:21" ht="10.5" x14ac:dyDescent="0.25">
      <c r="B19" s="96" t="s">
        <v>79</v>
      </c>
      <c r="C19" s="112" t="s">
        <v>87</v>
      </c>
      <c r="H19" s="96" t="s">
        <v>60</v>
      </c>
      <c r="K19" s="96" t="s">
        <v>59</v>
      </c>
      <c r="Q19" s="96" t="s">
        <v>42</v>
      </c>
    </row>
    <row r="21" spans="2:21" ht="10.5" x14ac:dyDescent="0.25">
      <c r="B21" t="s">
        <v>12</v>
      </c>
      <c r="C21" s="84">
        <f t="array" ref="C21:D21">ABS(C80:D80)</f>
        <v>7664.788727719284</v>
      </c>
      <c r="D21" s="85">
        <v>68809.943883371117</v>
      </c>
      <c r="H21" s="63">
        <f t="array" ref="H21:I21">(aY^sigmaY*pKLE^(1-sigmaY)+bY^sigmaY*pMY^(1-sigmaY))^(1/(1-sigmaY))*(1+tauY)</f>
        <v>7664.7887277261707</v>
      </c>
      <c r="I21" s="64">
        <v>68809.943883383385</v>
      </c>
      <c r="J21" s="113" t="s">
        <v>69</v>
      </c>
      <c r="K21" s="120">
        <f t="array" ref="K21:L21">H21:I21/pY-1</f>
        <v>8.9839247152667667E-13</v>
      </c>
      <c r="L21" s="120">
        <v>1.7830181775480014E-13</v>
      </c>
      <c r="N21" s="71">
        <f t="array" ref="N21:O35">PRICES/Calibration!PRICES-1</f>
        <v>6.6647887277192837</v>
      </c>
      <c r="O21" s="72">
        <v>67.809943883371119</v>
      </c>
      <c r="Q21" s="120">
        <f t="array" ref="Q21:R21">(pKLE*KLE+pMY*alphaMY*Y)*(1+tauY)/Y-pY</f>
        <v>6.8839653977192938E-9</v>
      </c>
      <c r="R21" s="120">
        <v>1.2369127944111824E-8</v>
      </c>
      <c r="T21" s="120">
        <f t="array" ref="T21:U21">(aX^sigmaX*pD^(1-sigmaX)+bX^sigmaX*pW^(1-sigmaX))^(1/(1-sigmaX))-pY</f>
        <v>-1.4551915228366852E-11</v>
      </c>
      <c r="U21" s="120">
        <v>-1.6007106751203537E-10</v>
      </c>
    </row>
    <row r="22" spans="2:21" x14ac:dyDescent="0.2">
      <c r="B22" t="s">
        <v>116</v>
      </c>
      <c r="C22" s="101">
        <f t="array" ref="C22:D22">Calibration!pW</f>
        <v>1000</v>
      </c>
      <c r="D22" s="102">
        <v>1000</v>
      </c>
      <c r="N22" s="73">
        <v>0</v>
      </c>
      <c r="O22" s="74">
        <v>0</v>
      </c>
    </row>
    <row r="23" spans="2:21" ht="10.5" x14ac:dyDescent="0.25">
      <c r="B23" t="s">
        <v>128</v>
      </c>
      <c r="C23" s="97">
        <f t="array" ref="C23:D23">ABS(C81:D81)</f>
        <v>5335.0856121758297</v>
      </c>
      <c r="D23" s="98">
        <v>1750.0620122214573</v>
      </c>
      <c r="H23" s="63">
        <f t="array" ref="H23:I23">(aS^sigmaS*pD^(1-sigmaS)+bS^sigmaS*pW^(1-sigmaS))^(1/(1-sigmaS))</f>
        <v>5335.0856121820916</v>
      </c>
      <c r="I23" s="64">
        <v>1750.0620122288676</v>
      </c>
      <c r="J23" s="113" t="s">
        <v>121</v>
      </c>
      <c r="K23" s="120">
        <f t="array" ref="K23:L23">(pY*Y+pW*M)/(pS*S+pW*X)-1</f>
        <v>1.9526602557107253E-12</v>
      </c>
      <c r="L23" s="120">
        <v>-2.8288482667448989E-12</v>
      </c>
      <c r="N23" s="73">
        <v>4.3350856121758294</v>
      </c>
      <c r="O23" s="74">
        <v>0.75006201222145719</v>
      </c>
      <c r="Q23" s="120">
        <f t="array" ref="Q23:R23">pS*S-pD*D-pW*M</f>
        <v>-3.5963952541351318E-5</v>
      </c>
      <c r="R23" s="120">
        <v>-1.0432995622977614E-7</v>
      </c>
    </row>
    <row r="24" spans="2:21" x14ac:dyDescent="0.2">
      <c r="B24" t="s">
        <v>77</v>
      </c>
      <c r="C24" s="116">
        <f t="array" ref="C24:D24">aX^(sigmaX/(sigmaX-1))*(pY^(1-sigmaX)-bX^sigmaX*pW^(1-sigmaX))^(1/(1-sigmaX))</f>
        <v>7981.7649413544514</v>
      </c>
      <c r="D24" s="174">
        <v>70585.684372087024</v>
      </c>
      <c r="N24" s="73">
        <v>6.9817649413544514</v>
      </c>
      <c r="O24" s="74">
        <v>69.58568437208703</v>
      </c>
    </row>
    <row r="25" spans="2:21" x14ac:dyDescent="0.2">
      <c r="B25" t="s">
        <v>13</v>
      </c>
      <c r="C25" s="33">
        <f t="array" ref="C25:D26">TRANSPOSE(pS*(1+tauTS))</f>
        <v>5419.9758007751507</v>
      </c>
      <c r="D25" s="34">
        <v>5419.9758007751507</v>
      </c>
      <c r="E25" t="s">
        <v>63</v>
      </c>
      <c r="N25" s="73">
        <v>4.3350856121758294</v>
      </c>
      <c r="O25" s="74">
        <v>4.3350856121758294</v>
      </c>
    </row>
    <row r="26" spans="2:21" x14ac:dyDescent="0.2">
      <c r="C26" s="35">
        <v>229021.41735013999</v>
      </c>
      <c r="D26" s="36">
        <v>229021.41735013999</v>
      </c>
      <c r="E26" t="s">
        <v>41</v>
      </c>
      <c r="N26" s="73">
        <v>226.70716911575749</v>
      </c>
      <c r="O26" s="74">
        <v>226.70716911575747</v>
      </c>
    </row>
    <row r="27" spans="2:21" ht="10.5" x14ac:dyDescent="0.25">
      <c r="B27" t="s">
        <v>14</v>
      </c>
      <c r="C27" s="41">
        <f t="array" ref="C27:D27">pS*(1+tauTS)</f>
        <v>5419.9758007751507</v>
      </c>
      <c r="D27" s="42">
        <v>229021.41735013999</v>
      </c>
      <c r="J27" s="96"/>
      <c r="N27" s="73">
        <v>4.3350856121758294</v>
      </c>
      <c r="O27" s="74">
        <v>226.70716911575752</v>
      </c>
    </row>
    <row r="28" spans="2:21" ht="10.5" x14ac:dyDescent="0.25">
      <c r="B28" t="s">
        <v>15</v>
      </c>
      <c r="C28" s="41">
        <f t="array" ref="C28:D28">pS*(1+tauTS)</f>
        <v>5419.9758007751507</v>
      </c>
      <c r="D28" s="42">
        <v>229021.41735013999</v>
      </c>
      <c r="J28" s="96"/>
      <c r="N28" s="73">
        <v>4.3350856121758294</v>
      </c>
      <c r="O28" s="74">
        <v>226.70716911575752</v>
      </c>
    </row>
    <row r="29" spans="2:21" ht="10.5" x14ac:dyDescent="0.25">
      <c r="B29" t="s">
        <v>29</v>
      </c>
      <c r="C29" s="41">
        <f t="array" ref="C29:D29">pS*(1+tauTS)</f>
        <v>5419.9758007751507</v>
      </c>
      <c r="D29" s="42">
        <v>229021.41735013999</v>
      </c>
      <c r="J29" s="96"/>
      <c r="N29" s="73">
        <v>4.3350856121758294</v>
      </c>
      <c r="O29" s="74">
        <v>226.70716911575752</v>
      </c>
    </row>
    <row r="30" spans="2:21" ht="10.5" x14ac:dyDescent="0.25">
      <c r="B30" t="s">
        <v>16</v>
      </c>
      <c r="C30" s="41">
        <f t="array" ref="C30:D30">pW</f>
        <v>1000</v>
      </c>
      <c r="D30" s="42">
        <v>1000</v>
      </c>
      <c r="J30" s="96"/>
      <c r="N30" s="73">
        <v>0</v>
      </c>
      <c r="O30" s="74">
        <v>0</v>
      </c>
    </row>
    <row r="31" spans="2:21" x14ac:dyDescent="0.2">
      <c r="B31" t="s">
        <v>17</v>
      </c>
      <c r="C31" s="97">
        <f>ABS(C82)</f>
        <v>8675.4805167480481</v>
      </c>
      <c r="D31" s="174">
        <f>wQ</f>
        <v>8675.4805167480481</v>
      </c>
      <c r="N31" s="73">
        <v>7.6754805167480473</v>
      </c>
      <c r="O31" s="74">
        <v>7.6754805167480473</v>
      </c>
    </row>
    <row r="32" spans="2:21" x14ac:dyDescent="0.2">
      <c r="B32" t="s">
        <v>36</v>
      </c>
      <c r="C32" s="41">
        <f t="array" ref="C32:D32">w*(1+tauL)</f>
        <v>12640.20482768516</v>
      </c>
      <c r="D32" s="42">
        <v>12640.204827685162</v>
      </c>
      <c r="N32" s="73">
        <v>7.6754805167480473</v>
      </c>
      <c r="O32" s="74">
        <v>7.6754805167480473</v>
      </c>
      <c r="Q32" s="120">
        <f t="array" ref="Q32:R32">bKL*(Labour/KL)^(rhoKL-1)*pKL/pL-1</f>
        <v>1.1342038419570599E-12</v>
      </c>
      <c r="R32" s="120">
        <v>-6.7150043503438894E-7</v>
      </c>
      <c r="S32" t="s">
        <v>135</v>
      </c>
    </row>
    <row r="33" spans="2:19" x14ac:dyDescent="0.2">
      <c r="B33" t="s">
        <v>18</v>
      </c>
      <c r="C33" s="154">
        <f>ABS(C83)</f>
        <v>5335.0856121758297</v>
      </c>
      <c r="D33" s="175">
        <f>C33</f>
        <v>5335.0856121758297</v>
      </c>
      <c r="E33" t="s">
        <v>56</v>
      </c>
      <c r="N33" s="73">
        <v>4.3350856121758294</v>
      </c>
      <c r="O33" s="74">
        <v>4.3350856121758294</v>
      </c>
      <c r="Q33" s="120">
        <f t="array" ref="Q33:R33">aKL*(K/KL)^(rhoKL-1)*pKL/pK-1</f>
        <v>-2.2006840794119853E-12</v>
      </c>
      <c r="R33" s="120">
        <v>4.0548339663715183E-7</v>
      </c>
      <c r="S33" t="s">
        <v>135</v>
      </c>
    </row>
    <row r="34" spans="2:19" ht="10.5" x14ac:dyDescent="0.25">
      <c r="B34" t="s">
        <v>61</v>
      </c>
      <c r="C34" s="97">
        <f t="array" ref="C34:D34">ABS(C84:D84)</f>
        <v>7055.9147129592893</v>
      </c>
      <c r="D34" s="98">
        <v>6263.2510699158211</v>
      </c>
      <c r="J34" s="113" t="s">
        <v>134</v>
      </c>
      <c r="K34" s="120">
        <f t="array" ref="K34:L34">pKL*KL/(pK*K+pL*Labour)-1</f>
        <v>-1.482147737874584E-13</v>
      </c>
      <c r="L34" s="120">
        <v>6.3837823915946501E-13</v>
      </c>
      <c r="N34" s="73">
        <v>6.0559147129592894</v>
      </c>
      <c r="O34" s="74">
        <v>5.263251069915821</v>
      </c>
      <c r="Q34" s="120">
        <f t="array" ref="Q34:R34">(aKL^sigmaKL*pK^(1-sigmaKL)+bKL^sigmaKL*pL^(1-sigmaKL))^((rhoKL-1)/rhoKL)-pKL</f>
        <v>1.038642949424684E-9</v>
      </c>
      <c r="R34" s="120">
        <v>-4.1118255467154086E-9</v>
      </c>
      <c r="S34" t="s">
        <v>135</v>
      </c>
    </row>
    <row r="35" spans="2:19" x14ac:dyDescent="0.2">
      <c r="B35" t="s">
        <v>62</v>
      </c>
      <c r="C35" s="35">
        <f t="array" ref="C35:D35">(aKLE^sigmaKLE*pKL^(1-sigmaKLE)+bKLE^sigmaKLE*pEY^(1-sigmaKLE))^(1/(1-sigmaKLE))</f>
        <v>10083.323188222234</v>
      </c>
      <c r="D35" s="36">
        <v>106042.84091233264</v>
      </c>
      <c r="N35" s="75">
        <v>9.0833231882222343</v>
      </c>
      <c r="O35" s="76">
        <v>105.04284091233264</v>
      </c>
      <c r="Q35" s="120">
        <f t="array" ref="Q35:R35">(pKL*KL+pEY*alphaEY*Y)/KLE-pKLE</f>
        <v>0</v>
      </c>
      <c r="R35" s="120">
        <v>2.9103830456733704E-10</v>
      </c>
    </row>
    <row r="37" spans="2:19" ht="10.5" x14ac:dyDescent="0.25">
      <c r="B37" t="s">
        <v>19</v>
      </c>
      <c r="C37" s="84">
        <f t="array" ref="C37:D37">ABS(C89:D89)</f>
        <v>2482.7262106024609</v>
      </c>
      <c r="D37" s="85">
        <v>4.4412393445962141E-6</v>
      </c>
      <c r="H37" s="63">
        <f t="array" ref="H37:I37">(aX*D^rhoX+bX*X^rhoX)^(1/rhoX)</f>
        <v>2482.7262105993491</v>
      </c>
      <c r="I37" s="64">
        <v>4.4412418742182363E-6</v>
      </c>
      <c r="J37" s="113" t="s">
        <v>120</v>
      </c>
      <c r="K37" s="120">
        <f t="array" ref="K37:L37">H37:I37/Y-1</f>
        <v>-1.2534417948018017E-12</v>
      </c>
      <c r="L37" s="120">
        <v>5.6957570304660976E-7</v>
      </c>
      <c r="N37" s="71">
        <f t="array" ref="N37:O48">VOLUMES/Calibration!VOLUMES-1</f>
        <v>-0.91087607038013574</v>
      </c>
      <c r="O37" s="72">
        <v>-0.99999999640899395</v>
      </c>
      <c r="Q37" s="120">
        <f t="array" ref="Q37:R37">(aY*KLE^rhoY+bY*(alphaMY*Y)^rhoY)^(1/rhoY)-Y</f>
        <v>0</v>
      </c>
      <c r="R37" s="120">
        <v>0</v>
      </c>
    </row>
    <row r="38" spans="2:19" x14ac:dyDescent="0.2">
      <c r="B38" t="s">
        <v>3</v>
      </c>
      <c r="C38" s="41">
        <f t="array" ref="C38:D38">(bS/pW)^sigmaS*(aS^sigmaS*pD^(1-sigmaS)+bS^sigmaS*pW^(1-sigmaS))^(-1/rhoS)*S</f>
        <v>11615.075368845124</v>
      </c>
      <c r="D38" s="42">
        <v>24.650050609172673</v>
      </c>
      <c r="N38" s="73">
        <v>5.1572910906951721</v>
      </c>
      <c r="O38" s="74">
        <v>-0.90619764292180915</v>
      </c>
      <c r="Q38" s="120">
        <f t="array" ref="Q38:R38">pD*D+pW*M-pS*S</f>
        <v>3.5963952541351318E-5</v>
      </c>
      <c r="R38" s="120">
        <v>1.0432995622977614E-7</v>
      </c>
    </row>
    <row r="39" spans="2:19" ht="10.5" x14ac:dyDescent="0.25">
      <c r="B39" t="s">
        <v>127</v>
      </c>
      <c r="C39" s="82">
        <f t="array" ref="C39:D39">ABS(C85:D85)</f>
        <v>5743.0756483601463</v>
      </c>
      <c r="D39" s="83">
        <v>14.08541870999948</v>
      </c>
      <c r="E39" t="s">
        <v>122</v>
      </c>
      <c r="H39" s="63">
        <f t="array" ref="H39:I39">MMULT(Y,TRANSPOSE(alpha))+Consumption+G+I</f>
        <v>5743.0756483631803</v>
      </c>
      <c r="I39" s="64">
        <v>14.085418709886902</v>
      </c>
      <c r="J39" s="113" t="s">
        <v>72</v>
      </c>
      <c r="K39" s="120">
        <f t="array" ref="K39:L39">H39:I39/S-1</f>
        <v>5.2824411511664948E-13</v>
      </c>
      <c r="L39" s="120">
        <v>-7.9924955542765019E-12</v>
      </c>
      <c r="N39" s="73">
        <v>-0.78367490665138084</v>
      </c>
      <c r="O39" s="74">
        <v>-0.99000000000000032</v>
      </c>
    </row>
    <row r="40" spans="2:19" x14ac:dyDescent="0.2">
      <c r="B40" t="s">
        <v>76</v>
      </c>
      <c r="C40" s="41">
        <f t="array" ref="C40:D40">(aS/pD)^sigmaS*(aS^sigmaS*pD^(1-sigmaS)+bS^sigmaS*pW^(1-sigmaS))^(-1/rhoS)*S</f>
        <v>2383.5235730665436</v>
      </c>
      <c r="D40" s="42">
        <v>4.3295115408955575E-6</v>
      </c>
      <c r="F40" s="166"/>
      <c r="N40" s="75">
        <v>-0.90335223443117674</v>
      </c>
      <c r="O40" s="76">
        <v>-0.99999999622125813</v>
      </c>
    </row>
    <row r="41" spans="2:19" ht="10.5" x14ac:dyDescent="0.25">
      <c r="B41" t="s">
        <v>28</v>
      </c>
      <c r="C41" s="41">
        <f>(aU/pCQ)^sigmaU/(aU^sigmaU*pCQ^(1-sigmaU)+bU^sigmaU*pCE^(1-sigmaU))*Revenue</f>
        <v>666.7383369790698</v>
      </c>
      <c r="D41" s="42">
        <f>(bU/pCE)^sigmaU/(aU^sigmaU*pCQ^(1-sigmaU)+bU^sigmaU*pCE^(1-sigmaU))*Revenue</f>
        <v>3.9267870787661936</v>
      </c>
      <c r="E41" t="s">
        <v>57</v>
      </c>
      <c r="H41" s="62" t="s">
        <v>67</v>
      </c>
      <c r="I41" s="94">
        <v>0.99000000000000032</v>
      </c>
      <c r="J41" s="113" t="s">
        <v>73</v>
      </c>
      <c r="K41" s="120">
        <f>Model!SE/(1-I41)/Calibration!SE-1</f>
        <v>0</v>
      </c>
      <c r="N41" s="73">
        <v>-0.89795244873489344</v>
      </c>
      <c r="O41" s="74">
        <v>-0.98966384417463094</v>
      </c>
    </row>
    <row r="42" spans="2:19" x14ac:dyDescent="0.2">
      <c r="B42" t="s">
        <v>7</v>
      </c>
      <c r="C42" s="116">
        <f t="array" ref="C42">omegaG*GDP/pG</f>
        <v>549.78171174171234</v>
      </c>
      <c r="D42" s="8">
        <v>0</v>
      </c>
      <c r="N42" s="73">
        <v>-0.8323070280462721</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4.8469806206521122</v>
      </c>
      <c r="D44" s="169">
        <v>6.9026471858662245E-11</v>
      </c>
      <c r="N44" s="73">
        <v>-0.99848297076557357</v>
      </c>
      <c r="O44" s="74">
        <v>-0.99999999999924161</v>
      </c>
    </row>
    <row r="45" spans="2:19" x14ac:dyDescent="0.2">
      <c r="B45" t="s">
        <v>27</v>
      </c>
      <c r="C45" s="84">
        <f t="array" ref="C45:D45">ABS(C88:D88)</f>
        <v>458.16552526719636</v>
      </c>
      <c r="D45" s="85">
        <v>4.8173140270980256E-7</v>
      </c>
      <c r="H45" s="29"/>
      <c r="N45" s="73">
        <v>-0.90902727162570618</v>
      </c>
      <c r="O45" s="74">
        <v>-0.99999999356879687</v>
      </c>
      <c r="Q45" s="120">
        <f t="array" ref="Q45:R45">(bKL/pL)^sigmaKL*(aKL^sigmaKL*pK^(1-sigmaKL)+bKL^sigmaKL*pL^(1-sigmaKL))^(-1/rhoKL)*KL/Labour-1</f>
        <v>3.8480330033507926E-13</v>
      </c>
      <c r="R45" s="120">
        <v>-1.0072519263104596E-7</v>
      </c>
      <c r="S45" t="s">
        <v>135</v>
      </c>
    </row>
    <row r="46" spans="2:19" x14ac:dyDescent="0.2">
      <c r="B46" t="s">
        <v>2</v>
      </c>
      <c r="C46" s="35">
        <f t="array" ref="C46:D46">(KL^rhoKL/aKL-bKL*Labour^rhoKL/aKL)^(1/rhoKL)</f>
        <v>676.30623282026863</v>
      </c>
      <c r="D46" s="36">
        <v>1.8901314772340916E-6</v>
      </c>
      <c r="N46" s="73">
        <v>-0.89474157588852843</v>
      </c>
      <c r="O46" s="74">
        <v>-0.99999999308224818</v>
      </c>
      <c r="Q46" s="120">
        <f t="array" ref="Q46:R46">(aKL/pK)^sigmaKL*(aKL^sigmaKL*pK^(1-sigmaKL)+bKL^sigmaKL*pL^(1-sigmaKL))^(-1/rhoKL)*KL/K-1</f>
        <v>-6.1595173406203685E-13</v>
      </c>
      <c r="R46" s="120">
        <v>6.082240022742269E-8</v>
      </c>
      <c r="S46" t="s">
        <v>135</v>
      </c>
    </row>
    <row r="47" spans="2:19" x14ac:dyDescent="0.2">
      <c r="B47" t="s">
        <v>35</v>
      </c>
      <c r="C47" s="41">
        <f t="array" ref="C47:D47">(aKLE/pKL)^sigmaKLE*(aKLE^sigmaKLE*pKL^(1-sigmaKLE)+bKLE^sigmaKLE*pEY^(1-sigmaKLE))^(-1/rhoKLE)*KLE</f>
        <v>1332.138796865077</v>
      </c>
      <c r="D47" s="42">
        <v>2.5822367123660485E-6</v>
      </c>
      <c r="N47" s="73">
        <v>-0.90320937711660276</v>
      </c>
      <c r="O47" s="74">
        <v>-0.99999999324669697</v>
      </c>
      <c r="Q47" s="120">
        <f t="array" ref="Q47:R47">(aKL*K^rhoKL+bKL*Labour^rhoKL)^(1/rhoKL)-KL</f>
        <v>0</v>
      </c>
      <c r="R47" s="120">
        <v>0</v>
      </c>
    </row>
    <row r="48" spans="2:19" x14ac:dyDescent="0.2">
      <c r="B48" t="s">
        <v>53</v>
      </c>
      <c r="C48" s="35">
        <f t="array" ref="C48:D48">(aY/pKLE)^sigmaY*(aY^sigmaY*pKLE^(1-sigmaY)+bY^sigmaY*pMY^(1-sigmaY))^(-1/rhoY)*Y</f>
        <v>1162.9104274215013</v>
      </c>
      <c r="D48" s="36">
        <v>2.7208810689023489E-6</v>
      </c>
      <c r="N48" s="75">
        <v>-0.91903298986365933</v>
      </c>
      <c r="O48" s="76">
        <v>-0.99999999667075423</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129.86474407808529</v>
      </c>
      <c r="J52" s="29"/>
      <c r="AA52" s="81"/>
    </row>
    <row r="53" spans="2:38" x14ac:dyDescent="0.2">
      <c r="C53" s="29"/>
      <c r="D53" s="29"/>
      <c r="Y53" s="81"/>
      <c r="AA53" s="81"/>
      <c r="AC53" s="81"/>
    </row>
    <row r="54" spans="2:38" ht="10.5" x14ac:dyDescent="0.25">
      <c r="C54" s="29"/>
      <c r="D54" s="29"/>
      <c r="K54" s="194" t="s">
        <v>157</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5599318.7590725776</v>
      </c>
      <c r="J55" s="113" t="s">
        <v>71</v>
      </c>
      <c r="K55" s="120">
        <f t="array" ref="K55">pK/pI/Calibration!pK*Calibration!pI-1</f>
        <v>0</v>
      </c>
      <c r="N55" s="77">
        <f t="array" ref="N55:N59">AGGREGATES/Calibration!AGGREGATES-1</f>
        <v>0.91440830258473471</v>
      </c>
      <c r="T55" s="113" t="s">
        <v>137</v>
      </c>
      <c r="U55" s="120">
        <f>SUM(K)/SUM(Calibration!K)-1</f>
        <v>-0.89903507150135731</v>
      </c>
      <c r="W55" s="120">
        <f>SUM(K)/SUM(Calibration!K)-1</f>
        <v>-0.89903507150135731</v>
      </c>
      <c r="Y55" s="120">
        <f>SUM(K)/SUM(Calibration!K)-1</f>
        <v>-0.89903507150135731</v>
      </c>
      <c r="AA55" s="120">
        <f>SUM(K)/SUM(Calibration!K)-1</f>
        <v>-0.89903507150135731</v>
      </c>
      <c r="AC55" s="120">
        <f>SUM(K)/SUM(Calibration!K)-1</f>
        <v>-0.89903507150135731</v>
      </c>
      <c r="AE55" s="120">
        <f>SUM(K)/SUM(Calibration!K)-1</f>
        <v>-0.89903507150135731</v>
      </c>
      <c r="AG55" s="120">
        <f t="array" ref="AG55">pK/pI/Calibration!pK*Calibration!pI*20%^sigmaw*(20%+80%*(SUM(Calibration!K)-SUM(K))/SUM(Calibration!K))^-sigmaw-1</f>
        <v>0.16476772365488812</v>
      </c>
      <c r="AI55" s="120">
        <f t="array" ref="AI55">pK/pI/Calibration!pK*Calibration!pI-1</f>
        <v>0</v>
      </c>
      <c r="AK55" s="120">
        <f>SUM(K)/SUM(Calibration!K)-1</f>
        <v>-0.89903507150135731</v>
      </c>
    </row>
    <row r="56" spans="2:38" ht="10.5" x14ac:dyDescent="0.25">
      <c r="B56" t="s">
        <v>47</v>
      </c>
      <c r="C56" s="80">
        <f>(aU*CQ^rhoU+bU*CE^rhoU)^(1/rhoU)</f>
        <v>7.8679768015507551E-2</v>
      </c>
      <c r="J56" s="113" t="s">
        <v>74</v>
      </c>
      <c r="K56" s="120">
        <f t="array" ref="K56">w/CPI/Calibration!w*10.8%^sigmaw*(10.8%+89.2%*(SUM(Calibration!Labour)-SUM(Labour))/SUM(Calibration!Labour))^-sigmaw-1</f>
        <v>-3.294364780970227E-12</v>
      </c>
      <c r="N56" s="78">
        <v>-0.92132023198449242</v>
      </c>
      <c r="T56" s="113" t="s">
        <v>138</v>
      </c>
      <c r="U56" s="120">
        <f>SUM(Labour)/SUM(Calibration!Labour)-1</f>
        <v>-0.91036048908272782</v>
      </c>
      <c r="W56" s="120">
        <f>SUM(Labour)/SUM(Calibration!Labour)-1</f>
        <v>-0.91036048908272782</v>
      </c>
      <c r="Y56" s="120">
        <f>SUM(Labour)/SUM(Calibration!Labour)-1</f>
        <v>-0.91036048908272782</v>
      </c>
      <c r="AA56" s="120">
        <f t="array" ref="AA56">omegaI*GDP/SUM(pI*I)-1</f>
        <v>-0.8323070280462721</v>
      </c>
      <c r="AC56" s="120">
        <f t="array" ref="AC56">w/CPI/Calibration!w-1</f>
        <v>-0.19283628382171381</v>
      </c>
      <c r="AE56" s="120">
        <f t="array" ref="AE56">w/CPI/Calibration!w-1</f>
        <v>-0.19283628382171381</v>
      </c>
      <c r="AG56" s="120">
        <f t="array" ref="AG56">w/CPI/Calibration!w*10.8%^sigmaw*(10.8%+89.2%*(SUM(Calibration!Labour)-SUM(Labour))/SUM(Calibration!Labour))^-sigmaw-1</f>
        <v>-3.294364780970227E-12</v>
      </c>
      <c r="AI56" s="120">
        <f t="array" ref="AI56">w/CPI/Calibration!w*10.8%^sigmaw*(10.8%+89.2%*(SUM(Calibration!Labour)-SUM(Labour))/SUM(Calibration!Labour))^-sigmaw-1</f>
        <v>-3.294364780970227E-12</v>
      </c>
      <c r="AK56" s="120">
        <f t="array" ref="AK56">w/CPI/Calibration!w-1</f>
        <v>-0.19283628382171381</v>
      </c>
    </row>
    <row r="57" spans="2:38" ht="10.5" x14ac:dyDescent="0.25">
      <c r="B57" t="s">
        <v>64</v>
      </c>
      <c r="C57" s="86">
        <f>ABS(C87)</f>
        <v>13182276.513293786</v>
      </c>
      <c r="J57" s="113" t="s">
        <v>88</v>
      </c>
      <c r="K57" s="120">
        <f t="array" ref="K57">I/SUM(K)/Calibration!I*SUM(K)-1</f>
        <v>0</v>
      </c>
      <c r="N57" s="78">
        <v>-0.10534363806666169</v>
      </c>
      <c r="Q57" s="120">
        <f t="array" ref="Q57">(SUM(pC*Consumption+pG*G+pI*I)+B)/GDP-1</f>
        <v>0</v>
      </c>
      <c r="R57" s="120">
        <f t="array" ref="R57">SUM(w*Labour,pK*K,T)/GDP-1</f>
        <v>6.638023464233811E-12</v>
      </c>
      <c r="T57" s="113" t="s">
        <v>139</v>
      </c>
      <c r="U57" s="120">
        <f>B/GDP/Calibration!B*Calibration!GDP-1</f>
        <v>-12.439082249537158</v>
      </c>
      <c r="W57" s="120">
        <f>B/GDP/Calibration!B*Calibration!GDP-1</f>
        <v>-12.439082249537158</v>
      </c>
      <c r="Y57" s="120">
        <f>B/GDP/Calibration!B*Calibration!GDP-1</f>
        <v>-12.439082249537158</v>
      </c>
      <c r="AA57" s="120">
        <f>B/GDP/Calibration!B*Calibration!GDP-1</f>
        <v>-12.439082249537158</v>
      </c>
      <c r="AC57" s="120">
        <f>B/GDP/Calibration!B*Calibration!GDP-1</f>
        <v>-12.439082249537158</v>
      </c>
      <c r="AE57" s="120">
        <f>B/GDP/Calibration!B*Calibration!GDP-1</f>
        <v>-12.439082249537158</v>
      </c>
      <c r="AG57" s="120">
        <f>B/GDP/Calibration!B*Calibration!GDP-1</f>
        <v>-12.439082249537158</v>
      </c>
      <c r="AI57" s="120">
        <f t="array" ref="AI57">I/SUM(K)/Calibration!I*SUM(K)-1</f>
        <v>0</v>
      </c>
      <c r="AK57" s="120">
        <f>B/GDP/Calibration!B*Calibration!GDP-1</f>
        <v>-12.439082249537158</v>
      </c>
    </row>
    <row r="58" spans="2:38" ht="10.5" x14ac:dyDescent="0.25">
      <c r="B58" t="s">
        <v>54</v>
      </c>
      <c r="C58" s="117">
        <f t="array" ref="C58">GDP-SUM(pG*G,pI*I,B)</f>
        <v>4513023.9942868743</v>
      </c>
      <c r="J58" s="113" t="s">
        <v>136</v>
      </c>
      <c r="K58" s="120">
        <f t="array" ref="K58:L58">bKL*(KL/Labour)^(1/sigmaKL)*pKL/pL-1</f>
        <v>1.1337597527472099E-12</v>
      </c>
      <c r="L58" s="120">
        <v>-6.7150043470132204E-7</v>
      </c>
      <c r="N58" s="78">
        <v>-0.35708847216569306</v>
      </c>
      <c r="Q58" s="120">
        <f t="array" ref="Q58">SUM(pC*Consumption)-Revenue</f>
        <v>0</v>
      </c>
      <c r="T58" s="113" t="s">
        <v>140</v>
      </c>
      <c r="U58" s="120">
        <f t="array" ref="U58:V58">bKL*(KL/Labour)^(1/sigmaKL)*pKL/pL-1</f>
        <v>1.1337597527472099E-12</v>
      </c>
      <c r="V58" s="120">
        <v>-6.7150043470132204E-7</v>
      </c>
      <c r="W58" s="120">
        <f t="array" ref="W58:X58">bKL*(KL/Labour)^(1/sigmaKL)*pKL/pL-1</f>
        <v>1.1337597527472099E-12</v>
      </c>
      <c r="X58" s="120">
        <v>-6.7150043470132204E-7</v>
      </c>
      <c r="Y58" s="120">
        <f t="array" ref="Y58">omegaI*GDP/SUM(pI*I)-1</f>
        <v>-0.8323070280462721</v>
      </c>
      <c r="Z58" s="120">
        <f>Labour_Q/KL_Q/Calibration!Labour_Q*Calibration!KL_Q-Labour_E/KL_E/Calibration!Labour_E*Calibration!KL_E</f>
        <v>-1.2412866711249304E-2</v>
      </c>
      <c r="AA58" s="120">
        <f t="array" ref="AA58:AB58">bKL*(KL/Labour)^(1/sigmaKL)*pKL/pL-1</f>
        <v>1.1337597527472099E-12</v>
      </c>
      <c r="AB58" s="120">
        <v>-6.7150043470132204E-7</v>
      </c>
      <c r="AC58" s="120">
        <f t="array" ref="AC58">omegaI*GDP/SUM(pI*I)-1</f>
        <v>-0.8323070280462721</v>
      </c>
      <c r="AD58" s="120">
        <f>Labour_Q/KL_Q/Calibration!Labour_Q*Calibration!KL_Q-Labour_E/KL_E/Calibration!Labour_E*Calibration!KL_E</f>
        <v>-1.2412866711249304E-2</v>
      </c>
      <c r="AE58" s="120">
        <f t="array" ref="AE58">omegaI*GDP/SUM(pI*I)-1</f>
        <v>-0.8323070280462721</v>
      </c>
      <c r="AF58" s="120">
        <f>Labour_Q/KL_Q/Calibration!Labour_Q*Calibration!KL_Q-Labour_E/KL_E/Calibration!Labour_E*Calibration!KL_E</f>
        <v>-1.2412866711249304E-2</v>
      </c>
      <c r="AG58" s="120">
        <f t="array" ref="AG58:AH58">bKL*(KL/Labour)^(1/sigmaKL)*pKL/pL-1</f>
        <v>1.1337597527472099E-12</v>
      </c>
      <c r="AH58" s="120">
        <v>-6.7150043470132204E-7</v>
      </c>
      <c r="AI58" s="120">
        <f t="array" ref="AI58:AJ58">bKL*(KL/Labour)^(1/sigmaKL)*pKL/pL-1</f>
        <v>1.1337597527472099E-12</v>
      </c>
      <c r="AJ58" s="120">
        <v>-6.7150043470132204E-7</v>
      </c>
      <c r="AK58" s="120">
        <f t="array" ref="AK58">(pI*I)/(Calibration!pI*Calibration!I)-1</f>
        <v>4.3350856121758294</v>
      </c>
      <c r="AL58" s="120">
        <f>Labour_Q/KL_Q/Calibration!Labour_Q*Calibration!KL_Q-Labour_E/KL_E/Calibration!Labour_E*Calibration!KL_E</f>
        <v>-1.2412866711249304E-2</v>
      </c>
    </row>
    <row r="59" spans="2:38" ht="10.5" x14ac:dyDescent="0.25">
      <c r="B59" t="s">
        <v>75</v>
      </c>
      <c r="C59" s="117">
        <f t="array" ref="C59">SUM(pX*X - pW*M)</f>
        <v>-11634878.438833576</v>
      </c>
      <c r="J59" s="113" t="s">
        <v>70</v>
      </c>
      <c r="K59" s="120">
        <f t="array" ref="K59">(sL*(SUM(w*Labour))+sG*(T-SUM(pG*G))+sK*SUM(pK*K)-B)/SUM(pI*I)-1</f>
        <v>6.2658767063794585E-12</v>
      </c>
      <c r="N59" s="79">
        <v>-11.234047709227143</v>
      </c>
      <c r="T59" s="113" t="s">
        <v>141</v>
      </c>
      <c r="U59" s="120">
        <f t="array" ref="U59">(sL*(SUM(w*Labour))+sG*(T-SUM(pG*G))+sK*SUM(pK*K)-B)/SUM(pI*I)-1</f>
        <v>6.2658767063794585E-12</v>
      </c>
      <c r="W59" s="120">
        <f t="array" ref="W59">omegaI*GDP/SUM(pI*I)-1</f>
        <v>-0.8323070280462721</v>
      </c>
      <c r="Y59" s="120">
        <f t="array" ref="Y59">(sL*(SUM(w*Labour))+sG*(T-SUM(pG*G))+sK*SUM(pK*K)-B)/SUM(pI*I)-1</f>
        <v>6.2658767063794585E-12</v>
      </c>
      <c r="AA59" s="120">
        <f t="array" ref="AA59">(sL*(SUM(w*Labour))+sG*(T-SUM(pG*G))+sK*SUM(pK*K)-B)/SUM(pI*I)-1</f>
        <v>6.2658767063794585E-12</v>
      </c>
      <c r="AC59" s="120">
        <f t="array" ref="AC59">(sL*(SUM(w*Labour))+sG*(T-SUM(pG*G))+sK*SUM(pK*K)-B)/SUM(pI*I)-1</f>
        <v>6.2658767063794585E-12</v>
      </c>
      <c r="AE59" s="120">
        <f t="array" ref="AE59">(sL*(SUM(w*Labour))+sG*(T-SUM(pG*G))+sK*SUM(pK*K)-B)/SUM(pI*I)-1</f>
        <v>6.2658767063794585E-12</v>
      </c>
      <c r="AG59" s="120">
        <f t="array" ref="AG59">(sL*(SUM(w*Labour))+sG*(T-SUM(pG*G))+sK*SUM(pK*K)-B)/SUM(pI*I)-1</f>
        <v>6.2658767063794585E-12</v>
      </c>
      <c r="AI59" s="120">
        <f t="array" ref="AI59">(sL*(SUM(w*Labour))+sG*(T-SUM(pG*G))+sK*SUM(pK*K)-B)/SUM(pI*I)-1</f>
        <v>6.2658767063794585E-12</v>
      </c>
      <c r="AK59" s="120">
        <f t="array" ref="AK59">(sL*(SUM(w*Labour))+sG*(T-SUM(pG*G))+sK*SUM(pK*K)-B)/SUM(pI*I)-1</f>
        <v>6.2658767063794585E-12</v>
      </c>
    </row>
    <row r="60" spans="2:38" ht="10.5" x14ac:dyDescent="0.25">
      <c r="B60" t="s">
        <v>161</v>
      </c>
      <c r="C60" s="232">
        <f t="array" ref="C60">SQRT(SUM(pC*Calibration!Consumption)*SUM(pC*Consumption)/SUM(Calibration!pC*Calibration!Consumption)/SUM(Calibration!pC*Consumption))</f>
        <v>10.748105177254782</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0.43159836162748638</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0.53577029734131054</v>
      </c>
      <c r="D70" s="38">
        <v>0.49651250461252866</v>
      </c>
      <c r="E70" t="s">
        <v>24</v>
      </c>
      <c r="N70" s="71">
        <f t="array" ref="N70:O73">FACTORS/Calibration!FACTORS-1</f>
        <v>0.13520835398828268</v>
      </c>
      <c r="O70" s="72">
        <v>0.56436905626157996</v>
      </c>
    </row>
    <row r="71" spans="2:15" x14ac:dyDescent="0.2">
      <c r="C71" s="39">
        <f t="array" ref="C71:D71">(bKLE/pEY)^sigmaKLE*(aKLE^sigmaKLE*pKL^(1-sigmaKLE)+bKLE^sigmaKLE*pEY^(1-sigmaKLE))^(-1/rhoKLE)*KLE/Y</f>
        <v>4.0917240082771721E-3</v>
      </c>
      <c r="D71" s="40">
        <v>0.26776751295506884</v>
      </c>
      <c r="E71" t="s">
        <v>25</v>
      </c>
      <c r="N71" s="73">
        <v>-0.80882668676728731</v>
      </c>
      <c r="O71" s="74">
        <v>-0.2341285396294206</v>
      </c>
    </row>
    <row r="72" spans="2:15" x14ac:dyDescent="0.2">
      <c r="B72" t="s">
        <v>22</v>
      </c>
      <c r="C72" s="37">
        <f t="array" ref="C72:D72">Labour/Y</f>
        <v>0.18454130113526188</v>
      </c>
      <c r="D72" s="38">
        <v>0.10846778687934017</v>
      </c>
      <c r="N72" s="73">
        <v>2.0744134177152374E-2</v>
      </c>
      <c r="O72" s="74">
        <v>0.79091961464238958</v>
      </c>
    </row>
    <row r="73" spans="2:15" x14ac:dyDescent="0.2">
      <c r="B73" t="s">
        <v>23</v>
      </c>
      <c r="C73" s="39">
        <f t="array" ref="C73:D73">K/Y</f>
        <v>0.27240467754040243</v>
      </c>
      <c r="D73" s="40">
        <v>0.4255864929985973</v>
      </c>
      <c r="N73" s="75">
        <v>0.18103437045948234</v>
      </c>
      <c r="O73" s="76">
        <v>0.92641053541872376</v>
      </c>
    </row>
    <row r="79" spans="2:15" ht="10.5" x14ac:dyDescent="0.25">
      <c r="B79" s="96" t="s">
        <v>106</v>
      </c>
    </row>
    <row r="80" spans="2:15" x14ac:dyDescent="0.2">
      <c r="B80" t="s">
        <v>12</v>
      </c>
      <c r="C80" s="84">
        <v>7664.788727719284</v>
      </c>
      <c r="D80" s="85">
        <v>68809.943883371117</v>
      </c>
    </row>
    <row r="81" spans="2:5" x14ac:dyDescent="0.2">
      <c r="B81" t="s">
        <v>128</v>
      </c>
      <c r="C81" s="97">
        <v>5335.0856121758297</v>
      </c>
      <c r="D81" s="98">
        <v>1750.0620122214573</v>
      </c>
    </row>
    <row r="82" spans="2:5" x14ac:dyDescent="0.2">
      <c r="B82" t="s">
        <v>17</v>
      </c>
      <c r="C82" s="97">
        <v>8675.4805167480481</v>
      </c>
      <c r="D82" s="98">
        <v>1000</v>
      </c>
    </row>
    <row r="83" spans="2:5" x14ac:dyDescent="0.2">
      <c r="B83" t="s">
        <v>18</v>
      </c>
      <c r="C83" s="156">
        <v>5335.0856121758297</v>
      </c>
      <c r="D83" s="157">
        <v>1000</v>
      </c>
    </row>
    <row r="84" spans="2:5" x14ac:dyDescent="0.2">
      <c r="B84" t="s">
        <v>61</v>
      </c>
      <c r="C84" s="156">
        <v>7055.9147129592893</v>
      </c>
      <c r="D84" s="157">
        <v>6263.2510699158211</v>
      </c>
    </row>
    <row r="85" spans="2:5" x14ac:dyDescent="0.2">
      <c r="B85" t="s">
        <v>127</v>
      </c>
      <c r="C85" s="82">
        <v>5743.0756483601463</v>
      </c>
      <c r="D85" s="83">
        <v>14.08541870999948</v>
      </c>
    </row>
    <row r="86" spans="2:5" x14ac:dyDescent="0.2">
      <c r="B86" t="s">
        <v>8</v>
      </c>
      <c r="C86" s="97">
        <v>3196.3846373657216</v>
      </c>
      <c r="D86" s="224">
        <v>129.86474407808529</v>
      </c>
      <c r="E86" t="s">
        <v>164</v>
      </c>
    </row>
    <row r="87" spans="2:5" x14ac:dyDescent="0.2">
      <c r="B87" t="s">
        <v>64</v>
      </c>
      <c r="C87" s="159">
        <v>13182276.513293786</v>
      </c>
      <c r="D87" s="160">
        <v>0</v>
      </c>
    </row>
    <row r="88" spans="2:5" x14ac:dyDescent="0.2">
      <c r="B88" t="s">
        <v>27</v>
      </c>
      <c r="C88" s="159">
        <v>458.16552526719636</v>
      </c>
      <c r="D88" s="167">
        <v>4.8173140270980256E-7</v>
      </c>
    </row>
    <row r="89" spans="2:5" x14ac:dyDescent="0.2">
      <c r="B89" t="s">
        <v>19</v>
      </c>
      <c r="C89" s="158">
        <v>2482.7262106024609</v>
      </c>
      <c r="D89" s="161">
        <v>4.4412393445962141E-6</v>
      </c>
    </row>
  </sheetData>
  <scenarios current="0">
    <scenario name="a" count="20" user="Louis Daumas" comment="Créé par Louis Daumas le 6/12/2025">
      <inputCells r="C80" val="984.580050867445" numFmtId="3"/>
      <inputCells r="D80" val="6824.37464639664" numFmtId="3"/>
      <inputCells r="C81" val="983.766706443904" numFmtId="3"/>
      <inputCells r="D81" val="1742.71602209647" numFmtId="3"/>
      <inputCells r="C82" val="1218.3198789661" numFmtId="3"/>
      <inputCells r="D82" val="1000" numFmtId="3"/>
      <inputCells r="C83" val="0" numFmtId="3"/>
      <inputCells r="D83" val="1000" numFmtId="3"/>
      <inputCells r="C84" val="641.595495995807" numFmtId="3"/>
      <inputCells r="D84" val="343.47753400999" numFmtId="3"/>
      <inputCells r="C85" val="21889.4175465808" numFmtId="3"/>
      <inputCells r="D85" val="128.875702335123" numFmtId="3"/>
      <inputCells r="C86" val="2882.27055256273" numFmtId="3"/>
      <inputCells r="D86" val="15.7737764692144" numFmtId="9"/>
      <inputCells r="C87" val="13070794.6999873" numFmtId="165"/>
      <inputCells r="D87" val="0"/>
      <inputCells r="C88" val="5111.16167662792" numFmtId="165"/>
      <inputCells r="D88" val="0.0389653720823747" numFmtId="165"/>
      <inputCells r="C89" val="23120.891876694" numFmtId="165"/>
      <inputCells r="D89" val="0.413192675063443" numFmtId="165"/>
    </scenario>
  </scenarios>
  <conditionalFormatting sqref="K21:L21">
    <cfRule type="cellIs" dxfId="87" priority="1988" stopIfTrue="1" operator="notEqual">
      <formula>0</formula>
    </cfRule>
  </conditionalFormatting>
  <conditionalFormatting sqref="Q48:R48">
    <cfRule type="cellIs" dxfId="86" priority="1977" stopIfTrue="1" operator="notEqual">
      <formula>0</formula>
    </cfRule>
  </conditionalFormatting>
  <conditionalFormatting sqref="K39:L39">
    <cfRule type="cellIs" dxfId="85" priority="1985" stopIfTrue="1" operator="notEqual">
      <formula>0</formula>
    </cfRule>
  </conditionalFormatting>
  <conditionalFormatting sqref="K41">
    <cfRule type="cellIs" dxfId="84" priority="1984" stopIfTrue="1" operator="notEqual">
      <formula>0</formula>
    </cfRule>
  </conditionalFormatting>
  <conditionalFormatting sqref="Q47:R47">
    <cfRule type="cellIs" dxfId="83" priority="1982" stopIfTrue="1" operator="notEqual">
      <formula>0</formula>
    </cfRule>
  </conditionalFormatting>
  <conditionalFormatting sqref="Q37:R37">
    <cfRule type="cellIs" dxfId="82" priority="1979" stopIfTrue="1" operator="notEqual">
      <formula>0</formula>
    </cfRule>
  </conditionalFormatting>
  <conditionalFormatting sqref="R57">
    <cfRule type="cellIs" dxfId="81" priority="1973" stopIfTrue="1" operator="notEqual">
      <formula>0</formula>
    </cfRule>
  </conditionalFormatting>
  <conditionalFormatting sqref="Q57:Q58">
    <cfRule type="cellIs" dxfId="80" priority="1975" stopIfTrue="1" operator="notEqual">
      <formula>0</formula>
    </cfRule>
  </conditionalFormatting>
  <conditionalFormatting sqref="W59">
    <cfRule type="cellIs" dxfId="79" priority="1920" stopIfTrue="1" operator="notEqual">
      <formula>0</formula>
    </cfRule>
  </conditionalFormatting>
  <conditionalFormatting sqref="K37:L37">
    <cfRule type="cellIs" dxfId="78" priority="1554" stopIfTrue="1" operator="notEqual">
      <formula>0</formula>
    </cfRule>
  </conditionalFormatting>
  <conditionalFormatting sqref="Q21:R21">
    <cfRule type="cellIs" dxfId="77" priority="1537" stopIfTrue="1" operator="notEqual">
      <formula>0</formula>
    </cfRule>
  </conditionalFormatting>
  <conditionalFormatting sqref="Q23:R23">
    <cfRule type="cellIs" dxfId="76" priority="1541" stopIfTrue="1" operator="notEqual">
      <formula>0</formula>
    </cfRule>
  </conditionalFormatting>
  <conditionalFormatting sqref="Q38:R38">
    <cfRule type="cellIs" dxfId="75" priority="1540" stopIfTrue="1" operator="notEqual">
      <formula>0</formula>
    </cfRule>
  </conditionalFormatting>
  <conditionalFormatting sqref="Q34:R34">
    <cfRule type="cellIs" dxfId="74" priority="1539" stopIfTrue="1" operator="notEqual">
      <formula>0</formula>
    </cfRule>
  </conditionalFormatting>
  <conditionalFormatting sqref="Q35:R35">
    <cfRule type="cellIs" dxfId="73" priority="1538" stopIfTrue="1" operator="notEqual">
      <formula>0</formula>
    </cfRule>
  </conditionalFormatting>
  <conditionalFormatting sqref="K23:L23">
    <cfRule type="cellIs" dxfId="72" priority="1536" stopIfTrue="1" operator="notEqual">
      <formula>0</formula>
    </cfRule>
  </conditionalFormatting>
  <conditionalFormatting sqref="K34:L34">
    <cfRule type="cellIs" dxfId="71" priority="1307" stopIfTrue="1" operator="notEqual">
      <formula>0</formula>
    </cfRule>
  </conditionalFormatting>
  <conditionalFormatting sqref="Q33:R33">
    <cfRule type="cellIs" dxfId="70" priority="1301" stopIfTrue="1" operator="notEqual">
      <formula>0</formula>
    </cfRule>
  </conditionalFormatting>
  <conditionalFormatting sqref="Q46:R46">
    <cfRule type="cellIs" dxfId="69" priority="1305" stopIfTrue="1" operator="notEqual">
      <formula>0</formula>
    </cfRule>
  </conditionalFormatting>
  <conditionalFormatting sqref="Q45:R45">
    <cfRule type="cellIs" dxfId="68" priority="1306" stopIfTrue="1" operator="notEqual">
      <formula>0</formula>
    </cfRule>
  </conditionalFormatting>
  <conditionalFormatting sqref="W58">
    <cfRule type="cellIs" dxfId="67" priority="1292" stopIfTrue="1" operator="notEqual">
      <formula>0</formula>
    </cfRule>
  </conditionalFormatting>
  <conditionalFormatting sqref="Q32:R32">
    <cfRule type="cellIs" dxfId="66" priority="1302" stopIfTrue="1" operator="notEqual">
      <formula>0</formula>
    </cfRule>
  </conditionalFormatting>
  <conditionalFormatting sqref="X58">
    <cfRule type="cellIs" dxfId="65" priority="1291" stopIfTrue="1" operator="notEqual">
      <formula>0</formula>
    </cfRule>
  </conditionalFormatting>
  <conditionalFormatting sqref="W55">
    <cfRule type="cellIs" dxfId="64" priority="1250" stopIfTrue="1" operator="notEqual">
      <formula>0</formula>
    </cfRule>
  </conditionalFormatting>
  <conditionalFormatting sqref="W56">
    <cfRule type="cellIs" dxfId="63" priority="1249" stopIfTrue="1" operator="notEqual">
      <formula>0</formula>
    </cfRule>
  </conditionalFormatting>
  <conditionalFormatting sqref="Y55">
    <cfRule type="cellIs" dxfId="62" priority="1247" stopIfTrue="1" operator="notEqual">
      <formula>0</formula>
    </cfRule>
  </conditionalFormatting>
  <conditionalFormatting sqref="Y56">
    <cfRule type="cellIs" dxfId="61" priority="1246" stopIfTrue="1" operator="notEqual">
      <formula>0</formula>
    </cfRule>
  </conditionalFormatting>
  <conditionalFormatting sqref="AA59">
    <cfRule type="cellIs" dxfId="60" priority="1243" stopIfTrue="1" operator="notEqual">
      <formula>0</formula>
    </cfRule>
  </conditionalFormatting>
  <conditionalFormatting sqref="AA55">
    <cfRule type="cellIs" dxfId="59" priority="1241" stopIfTrue="1" operator="notEqual">
      <formula>0</formula>
    </cfRule>
  </conditionalFormatting>
  <conditionalFormatting sqref="AA58">
    <cfRule type="cellIs" dxfId="58" priority="1237" stopIfTrue="1" operator="notEqual">
      <formula>0</formula>
    </cfRule>
  </conditionalFormatting>
  <conditionalFormatting sqref="AB58">
    <cfRule type="cellIs" dxfId="57" priority="1236" stopIfTrue="1" operator="notEqual">
      <formula>0</formula>
    </cfRule>
  </conditionalFormatting>
  <conditionalFormatting sqref="U58">
    <cfRule type="cellIs" dxfId="56" priority="1214" stopIfTrue="1" operator="notEqual">
      <formula>0</formula>
    </cfRule>
  </conditionalFormatting>
  <conditionalFormatting sqref="V58">
    <cfRule type="cellIs" dxfId="55" priority="1213" stopIfTrue="1" operator="notEqual">
      <formula>0</formula>
    </cfRule>
  </conditionalFormatting>
  <conditionalFormatting sqref="U57">
    <cfRule type="cellIs" dxfId="54" priority="1211" stopIfTrue="1" operator="notEqual">
      <formula>0</formula>
    </cfRule>
  </conditionalFormatting>
  <conditionalFormatting sqref="U55">
    <cfRule type="cellIs" dxfId="53" priority="1215" stopIfTrue="1" operator="notEqual">
      <formula>0</formula>
    </cfRule>
  </conditionalFormatting>
  <conditionalFormatting sqref="U56">
    <cfRule type="cellIs" dxfId="52" priority="1212" stopIfTrue="1" operator="notEqual">
      <formula>0</formula>
    </cfRule>
  </conditionalFormatting>
  <conditionalFormatting sqref="U59">
    <cfRule type="cellIs" dxfId="51" priority="1210" stopIfTrue="1" operator="notEqual">
      <formula>0</formula>
    </cfRule>
  </conditionalFormatting>
  <conditionalFormatting sqref="Z58">
    <cfRule type="cellIs" dxfId="50" priority="1188" stopIfTrue="1" operator="notEqual">
      <formula>0</formula>
    </cfRule>
  </conditionalFormatting>
  <conditionalFormatting sqref="AC59">
    <cfRule type="cellIs" dxfId="49" priority="1181" stopIfTrue="1" operator="notEqual">
      <formula>0</formula>
    </cfRule>
  </conditionalFormatting>
  <conditionalFormatting sqref="AC55">
    <cfRule type="cellIs" dxfId="48" priority="1180" stopIfTrue="1" operator="notEqual">
      <formula>0</formula>
    </cfRule>
  </conditionalFormatting>
  <conditionalFormatting sqref="AC56">
    <cfRule type="cellIs" dxfId="47" priority="1176" stopIfTrue="1" operator="notEqual">
      <formula>0</formula>
    </cfRule>
  </conditionalFormatting>
  <conditionalFormatting sqref="AD58">
    <cfRule type="cellIs" dxfId="46" priority="1174" stopIfTrue="1" operator="notEqual">
      <formula>0</formula>
    </cfRule>
  </conditionalFormatting>
  <conditionalFormatting sqref="AE59">
    <cfRule type="cellIs" dxfId="45" priority="1167" stopIfTrue="1" operator="notEqual">
      <formula>0</formula>
    </cfRule>
  </conditionalFormatting>
  <conditionalFormatting sqref="AE55">
    <cfRule type="cellIs" dxfId="44" priority="1166" stopIfTrue="1" operator="notEqual">
      <formula>0</formula>
    </cfRule>
  </conditionalFormatting>
  <conditionalFormatting sqref="AE56">
    <cfRule type="cellIs" dxfId="43" priority="1164" stopIfTrue="1" operator="notEqual">
      <formula>0</formula>
    </cfRule>
  </conditionalFormatting>
  <conditionalFormatting sqref="AF58">
    <cfRule type="cellIs" dxfId="42" priority="1162" stopIfTrue="1" operator="notEqual">
      <formula>0</formula>
    </cfRule>
  </conditionalFormatting>
  <conditionalFormatting sqref="AI59">
    <cfRule type="cellIs" dxfId="41" priority="1155" stopIfTrue="1" operator="notEqual">
      <formula>0</formula>
    </cfRule>
  </conditionalFormatting>
  <conditionalFormatting sqref="AI57">
    <cfRule type="cellIs" dxfId="40" priority="1153" stopIfTrue="1" operator="notEqual">
      <formula>0</formula>
    </cfRule>
  </conditionalFormatting>
  <conditionalFormatting sqref="AI55">
    <cfRule type="cellIs" dxfId="39" priority="1154" stopIfTrue="1" operator="notEqual">
      <formula>0</formula>
    </cfRule>
  </conditionalFormatting>
  <conditionalFormatting sqref="AI58">
    <cfRule type="cellIs" dxfId="38" priority="1149" stopIfTrue="1" operator="notEqual">
      <formula>0</formula>
    </cfRule>
  </conditionalFormatting>
  <conditionalFormatting sqref="AJ58">
    <cfRule type="cellIs" dxfId="37" priority="1148" stopIfTrue="1" operator="notEqual">
      <formula>0</formula>
    </cfRule>
  </conditionalFormatting>
  <conditionalFormatting sqref="W57">
    <cfRule type="cellIs" dxfId="36" priority="1050" stopIfTrue="1" operator="notEqual">
      <formula>0</formula>
    </cfRule>
  </conditionalFormatting>
  <conditionalFormatting sqref="Y57">
    <cfRule type="cellIs" dxfId="35" priority="1049" stopIfTrue="1" operator="notEqual">
      <formula>0</formula>
    </cfRule>
  </conditionalFormatting>
  <conditionalFormatting sqref="AA57">
    <cfRule type="cellIs" dxfId="34" priority="1048" stopIfTrue="1" operator="notEqual">
      <formula>0</formula>
    </cfRule>
  </conditionalFormatting>
  <conditionalFormatting sqref="AC57">
    <cfRule type="cellIs" dxfId="33" priority="1047" stopIfTrue="1" operator="notEqual">
      <formula>0</formula>
    </cfRule>
  </conditionalFormatting>
  <conditionalFormatting sqref="AE57">
    <cfRule type="cellIs" dxfId="32" priority="1046" stopIfTrue="1" operator="notEqual">
      <formula>0</formula>
    </cfRule>
  </conditionalFormatting>
  <conditionalFormatting sqref="AK57">
    <cfRule type="cellIs" dxfId="31" priority="946" stopIfTrue="1" operator="notEqual">
      <formula>0</formula>
    </cfRule>
  </conditionalFormatting>
  <conditionalFormatting sqref="AK58">
    <cfRule type="cellIs" dxfId="30" priority="945" stopIfTrue="1" operator="notEqual">
      <formula>0</formula>
    </cfRule>
  </conditionalFormatting>
  <conditionalFormatting sqref="Y58">
    <cfRule type="cellIs" dxfId="29" priority="984" stopIfTrue="1" operator="notEqual">
      <formula>0</formula>
    </cfRule>
  </conditionalFormatting>
  <conditionalFormatting sqref="AA56">
    <cfRule type="cellIs" dxfId="28" priority="977" stopIfTrue="1" operator="notEqual">
      <formula>0</formula>
    </cfRule>
  </conditionalFormatting>
  <conditionalFormatting sqref="AC58">
    <cfRule type="cellIs" dxfId="27" priority="970" stopIfTrue="1" operator="notEqual">
      <formula>0</formula>
    </cfRule>
  </conditionalFormatting>
  <conditionalFormatting sqref="AE58">
    <cfRule type="cellIs" dxfId="26" priority="963" stopIfTrue="1" operator="notEqual">
      <formula>0</formula>
    </cfRule>
  </conditionalFormatting>
  <conditionalFormatting sqref="AK59">
    <cfRule type="cellIs" dxfId="25" priority="950" stopIfTrue="1" operator="notEqual">
      <formula>0</formula>
    </cfRule>
  </conditionalFormatting>
  <conditionalFormatting sqref="AK56">
    <cfRule type="cellIs" dxfId="24" priority="948" stopIfTrue="1" operator="notEqual">
      <formula>0</formula>
    </cfRule>
  </conditionalFormatting>
  <conditionalFormatting sqref="AK55">
    <cfRule type="cellIs" dxfId="23" priority="949" stopIfTrue="1" operator="notEqual">
      <formula>0</formula>
    </cfRule>
  </conditionalFormatting>
  <conditionalFormatting sqref="AL58">
    <cfRule type="cellIs" dxfId="22" priority="947" stopIfTrue="1" operator="notEqual">
      <formula>0</formula>
    </cfRule>
  </conditionalFormatting>
  <conditionalFormatting sqref="T21:U21">
    <cfRule type="cellIs" dxfId="21" priority="907" stopIfTrue="1" operator="notEqual">
      <formula>0</formula>
    </cfRule>
  </conditionalFormatting>
  <conditionalFormatting sqref="AG58">
    <cfRule type="cellIs" dxfId="20" priority="884" stopIfTrue="1" operator="notEqual">
      <formula>0</formula>
    </cfRule>
  </conditionalFormatting>
  <conditionalFormatting sqref="AH58">
    <cfRule type="cellIs" dxfId="19" priority="883" stopIfTrue="1" operator="notEqual">
      <formula>0</formula>
    </cfRule>
  </conditionalFormatting>
  <conditionalFormatting sqref="AG57">
    <cfRule type="cellIs" dxfId="18" priority="880" stopIfTrue="1" operator="notEqual">
      <formula>0</formula>
    </cfRule>
  </conditionalFormatting>
  <conditionalFormatting sqref="AG59">
    <cfRule type="cellIs" dxfId="17" priority="887" stopIfTrue="1" operator="notEqual">
      <formula>0</formula>
    </cfRule>
  </conditionalFormatting>
  <conditionalFormatting sqref="AG56">
    <cfRule type="cellIs" dxfId="16" priority="759" stopIfTrue="1" operator="notEqual">
      <formula>0</formula>
    </cfRule>
  </conditionalFormatting>
  <conditionalFormatting sqref="AG55">
    <cfRule type="cellIs" dxfId="15" priority="758" stopIfTrue="1" operator="notEqual">
      <formula>0</formula>
    </cfRule>
  </conditionalFormatting>
  <conditionalFormatting sqref="AI56">
    <cfRule type="cellIs" dxfId="14" priority="757" stopIfTrue="1" operator="notEqual">
      <formula>0</formula>
    </cfRule>
  </conditionalFormatting>
  <conditionalFormatting sqref="Y59">
    <cfRule type="cellIs" dxfId="13" priority="636" stopIfTrue="1" operator="notEqual">
      <formula>0</formula>
    </cfRule>
  </conditionalFormatting>
  <conditionalFormatting sqref="K59">
    <cfRule type="cellIs" dxfId="12" priority="6" stopIfTrue="1" operator="notEqual">
      <formula>0</formula>
    </cfRule>
  </conditionalFormatting>
  <conditionalFormatting sqref="K57">
    <cfRule type="cellIs" dxfId="11" priority="4" stopIfTrue="1" operator="notEqual">
      <formula>0</formula>
    </cfRule>
  </conditionalFormatting>
  <conditionalFormatting sqref="K55">
    <cfRule type="cellIs" dxfId="10" priority="5" stopIfTrue="1" operator="notEqual">
      <formula>0</formula>
    </cfRule>
  </conditionalFormatting>
  <conditionalFormatting sqref="K58">
    <cfRule type="cellIs" dxfId="9" priority="3" stopIfTrue="1" operator="notEqual">
      <formula>0</formula>
    </cfRule>
  </conditionalFormatting>
  <conditionalFormatting sqref="L58">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S2" activePane="bottomRight" state="frozen"/>
      <selection pane="topRight" activeCell="B1" sqref="B1"/>
      <selection pane="bottomLeft" activeCell="A2" sqref="A2"/>
      <selection pane="bottomRight" activeCell="AV1"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4.3214292043521736E-2</v>
      </c>
      <c r="E2" s="227"/>
      <c r="F2" s="226">
        <v>8.2949104354581901E-2</v>
      </c>
      <c r="G2" s="227"/>
      <c r="H2" s="226">
        <v>0.12512174411041616</v>
      </c>
      <c r="I2" s="227"/>
      <c r="J2" s="226">
        <v>0.16987238662689574</v>
      </c>
      <c r="K2" s="227"/>
      <c r="L2" s="226">
        <v>0.21733600740505107</v>
      </c>
      <c r="M2" s="227"/>
      <c r="N2" s="226">
        <v>0.2676363307340095</v>
      </c>
      <c r="O2" s="227"/>
      <c r="P2" s="226">
        <v>0.32089388307596778</v>
      </c>
      <c r="Q2" s="227"/>
      <c r="R2" s="226">
        <v>0.37724960860265228</v>
      </c>
      <c r="S2" s="227"/>
      <c r="T2" s="226">
        <v>0.436937186809714</v>
      </c>
      <c r="U2" s="227"/>
      <c r="V2" s="226">
        <v>0.50046231968398414</v>
      </c>
      <c r="W2" s="227"/>
      <c r="X2" s="226">
        <v>0.56901473755452403</v>
      </c>
      <c r="Y2" s="227"/>
      <c r="Z2" s="226">
        <v>0.64537795198825565</v>
      </c>
      <c r="AA2" s="227"/>
      <c r="AB2" s="226">
        <v>0.73589424227181499</v>
      </c>
      <c r="AC2" s="227"/>
      <c r="AD2" s="226">
        <v>0.85476209105546297</v>
      </c>
      <c r="AE2" s="227"/>
      <c r="AF2" s="226">
        <v>1.0342489497221938</v>
      </c>
      <c r="AG2" s="227"/>
      <c r="AH2" s="226">
        <v>1.3541297677266095</v>
      </c>
      <c r="AI2" s="227"/>
      <c r="AJ2" s="226">
        <v>2.0521927494171446</v>
      </c>
      <c r="AK2" s="227"/>
      <c r="AL2" s="226">
        <v>4.0628021998342607</v>
      </c>
      <c r="AM2" s="227"/>
      <c r="AN2" s="226">
        <v>13.218237967316345</v>
      </c>
      <c r="AO2" s="227"/>
      <c r="AP2" s="226">
        <v>18.82632098945567</v>
      </c>
      <c r="AQ2" s="227"/>
      <c r="AR2" s="226">
        <v>29.122745997963648</v>
      </c>
      <c r="AS2" s="227"/>
      <c r="AT2" s="226">
        <v>52.062543245530911</v>
      </c>
      <c r="AU2" s="227"/>
      <c r="AV2" s="226">
        <v>129.86474407808529</v>
      </c>
      <c r="AW2" s="227"/>
    </row>
    <row r="3" spans="1:49" x14ac:dyDescent="0.2">
      <c r="A3" t="s">
        <v>12</v>
      </c>
      <c r="B3" s="84">
        <v>1000</v>
      </c>
      <c r="C3" s="85">
        <v>1000</v>
      </c>
      <c r="D3" s="84">
        <v>999.24383665135508</v>
      </c>
      <c r="E3" s="85">
        <v>1018.229972635086</v>
      </c>
      <c r="F3" s="84">
        <v>998.8894619167113</v>
      </c>
      <c r="G3" s="85">
        <v>1038.2778835884164</v>
      </c>
      <c r="H3" s="84">
        <v>999.0388389151575</v>
      </c>
      <c r="I3" s="85">
        <v>1060.3710087352524</v>
      </c>
      <c r="J3" s="84">
        <v>999.82854047883541</v>
      </c>
      <c r="K3" s="85">
        <v>1084.7731813574865</v>
      </c>
      <c r="L3" s="84">
        <v>1001.4417072442074</v>
      </c>
      <c r="M3" s="85">
        <v>1111.7956525197774</v>
      </c>
      <c r="N3" s="84">
        <v>1004.1293351012804</v>
      </c>
      <c r="O3" s="85">
        <v>1141.8127245248929</v>
      </c>
      <c r="P3" s="84">
        <v>1008.2384592378884</v>
      </c>
      <c r="Q3" s="85">
        <v>1175.2903612304217</v>
      </c>
      <c r="R3" s="84">
        <v>1014.2567464243745</v>
      </c>
      <c r="S3" s="85">
        <v>1212.8373485678046</v>
      </c>
      <c r="T3" s="84">
        <v>1022.8793224514305</v>
      </c>
      <c r="U3" s="85">
        <v>1255.3026974707991</v>
      </c>
      <c r="V3" s="84">
        <v>1035.1124005545846</v>
      </c>
      <c r="W3" s="85">
        <v>1303.9633720140705</v>
      </c>
      <c r="X3" s="84">
        <v>1052.4340654011942</v>
      </c>
      <c r="Y3" s="85">
        <v>1360.8903998617161</v>
      </c>
      <c r="Z3" s="84">
        <v>1077.0486216279671</v>
      </c>
      <c r="AA3" s="85">
        <v>1429.66729617185</v>
      </c>
      <c r="AB3" s="84">
        <v>1112.3000579376746</v>
      </c>
      <c r="AC3" s="85">
        <v>1516.8119353613072</v>
      </c>
      <c r="AD3" s="84">
        <v>1163.4122337660604</v>
      </c>
      <c r="AE3" s="85">
        <v>1634.7066467070181</v>
      </c>
      <c r="AF3" s="84">
        <v>1239.1072662544218</v>
      </c>
      <c r="AG3" s="85">
        <v>1808.3196668998837</v>
      </c>
      <c r="AH3" s="84">
        <v>1356.0789427035425</v>
      </c>
      <c r="AI3" s="85">
        <v>2093.9976389250301</v>
      </c>
      <c r="AJ3" s="84">
        <v>1553.3519583100863</v>
      </c>
      <c r="AK3" s="85">
        <v>2646.3229283969704</v>
      </c>
      <c r="AL3" s="84">
        <v>1941.9236721247846</v>
      </c>
      <c r="AM3" s="85">
        <v>4020.4887873228131</v>
      </c>
      <c r="AN3" s="84">
        <v>2951.131884447344</v>
      </c>
      <c r="AO3" s="85">
        <v>9397.5424656642899</v>
      </c>
      <c r="AP3" s="84">
        <v>3380.9655683274759</v>
      </c>
      <c r="AQ3" s="85">
        <v>12482.394728231289</v>
      </c>
      <c r="AR3" s="84">
        <v>4024.1553328852733</v>
      </c>
      <c r="AS3" s="85">
        <v>17985.061840009039</v>
      </c>
      <c r="AT3" s="84">
        <v>5126.3411426440598</v>
      </c>
      <c r="AU3" s="85">
        <v>29873.733156311271</v>
      </c>
      <c r="AV3" s="84">
        <v>7664.788727719284</v>
      </c>
      <c r="AW3" s="85">
        <v>68809.943883371117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999.20643700638584</v>
      </c>
      <c r="E5" s="42">
        <v>1015.866494510887</v>
      </c>
      <c r="F5" s="41">
        <v>998.8344483650352</v>
      </c>
      <c r="G5" s="42">
        <v>1032.9931921168773</v>
      </c>
      <c r="H5" s="41">
        <v>998.99125658128594</v>
      </c>
      <c r="I5" s="42">
        <v>1051.4798915086819</v>
      </c>
      <c r="J5" s="41">
        <v>999.82008159971235</v>
      </c>
      <c r="K5" s="42">
        <v>1071.4311798382189</v>
      </c>
      <c r="L5" s="41">
        <v>1001.5123164753328</v>
      </c>
      <c r="M5" s="42">
        <v>1092.957860953356</v>
      </c>
      <c r="N5" s="41">
        <v>1004.3291455398405</v>
      </c>
      <c r="O5" s="42">
        <v>1116.1791606556958</v>
      </c>
      <c r="P5" s="41">
        <v>1008.6297485784061</v>
      </c>
      <c r="Q5" s="42">
        <v>1141.230387558604</v>
      </c>
      <c r="R5" s="41">
        <v>1014.9154364926766</v>
      </c>
      <c r="S5" s="42">
        <v>1168.2791975142236</v>
      </c>
      <c r="T5" s="41">
        <v>1023.8946428250737</v>
      </c>
      <c r="U5" s="42">
        <v>1197.5603970869763</v>
      </c>
      <c r="V5" s="41">
        <v>1036.5816102741928</v>
      </c>
      <c r="W5" s="42">
        <v>1229.440497545165</v>
      </c>
      <c r="X5" s="41">
        <v>1054.4453852372471</v>
      </c>
      <c r="Y5" s="42">
        <v>1264.5334341601315</v>
      </c>
      <c r="Z5" s="41">
        <v>1079.6376868833593</v>
      </c>
      <c r="AA5" s="42">
        <v>1303.884112513844</v>
      </c>
      <c r="AB5" s="41">
        <v>1115.3491062811459</v>
      </c>
      <c r="AC5" s="42">
        <v>1349.2093907899678</v>
      </c>
      <c r="AD5" s="41">
        <v>1166.4268006693453</v>
      </c>
      <c r="AE5" s="42">
        <v>1403.0895778323672</v>
      </c>
      <c r="AF5" s="41">
        <v>1240.7154629387501</v>
      </c>
      <c r="AG5" s="42">
        <v>1468.7546839816282</v>
      </c>
      <c r="AH5" s="41">
        <v>1352.7722662542913</v>
      </c>
      <c r="AI5" s="42">
        <v>1548.531326637634</v>
      </c>
      <c r="AJ5" s="41">
        <v>1535.4782413990579</v>
      </c>
      <c r="AK5" s="42">
        <v>1638.3566403724349</v>
      </c>
      <c r="AL5" s="41">
        <v>1876.8571299048565</v>
      </c>
      <c r="AM5" s="42">
        <v>1715.2077428604455</v>
      </c>
      <c r="AN5" s="41">
        <v>2675.5454662470634</v>
      </c>
      <c r="AO5" s="42">
        <v>1747.2390595736372</v>
      </c>
      <c r="AP5" s="41">
        <v>2983.8267487694416</v>
      </c>
      <c r="AQ5" s="42">
        <v>1748.8593503968384</v>
      </c>
      <c r="AR5" s="41">
        <v>3414.8191371606995</v>
      </c>
      <c r="AS5" s="42">
        <v>1749.6643941838042</v>
      </c>
      <c r="AT5" s="41">
        <v>4079.9096777156801</v>
      </c>
      <c r="AU5" s="42">
        <v>1749.9808725714888</v>
      </c>
      <c r="AV5" s="41">
        <v>5335.0856121758297</v>
      </c>
      <c r="AW5" s="42">
        <v>1750.0620122214573</v>
      </c>
    </row>
    <row r="6" spans="1:49" x14ac:dyDescent="0.2">
      <c r="A6" t="s">
        <v>77</v>
      </c>
      <c r="B6" s="41">
        <v>999.99999999999943</v>
      </c>
      <c r="C6" s="42">
        <v>999.99999999999909</v>
      </c>
      <c r="D6" s="41">
        <v>999.14578914744084</v>
      </c>
      <c r="E6" s="42">
        <v>1019.650311616513</v>
      </c>
      <c r="F6" s="41">
        <v>998.74540685043928</v>
      </c>
      <c r="G6" s="42">
        <v>1041.1995278424617</v>
      </c>
      <c r="H6" s="41">
        <v>998.91418158208228</v>
      </c>
      <c r="I6" s="42">
        <v>1064.8795176042661</v>
      </c>
      <c r="J6" s="41">
        <v>999.80632296642693</v>
      </c>
      <c r="K6" s="42">
        <v>1090.9592331514693</v>
      </c>
      <c r="L6" s="41">
        <v>1001.6281822117616</v>
      </c>
      <c r="M6" s="42">
        <v>1119.7559406461612</v>
      </c>
      <c r="N6" s="41">
        <v>1004.6618261901377</v>
      </c>
      <c r="O6" s="42">
        <v>1151.6513876465092</v>
      </c>
      <c r="P6" s="41">
        <v>1009.2959747382995</v>
      </c>
      <c r="Q6" s="42">
        <v>1187.1215108064025</v>
      </c>
      <c r="R6" s="41">
        <v>1016.0746592342831</v>
      </c>
      <c r="S6" s="42">
        <v>1226.7895497427978</v>
      </c>
      <c r="T6" s="41">
        <v>1025.7694434560051</v>
      </c>
      <c r="U6" s="42">
        <v>1271.5270940656471</v>
      </c>
      <c r="V6" s="41">
        <v>1039.490237858025</v>
      </c>
      <c r="W6" s="42">
        <v>1322.6484965325817</v>
      </c>
      <c r="X6" s="41">
        <v>1058.8550168950942</v>
      </c>
      <c r="Y6" s="42">
        <v>1382.2892063023608</v>
      </c>
      <c r="Z6" s="41">
        <v>1086.2545935380556</v>
      </c>
      <c r="AA6" s="42">
        <v>1454.1463812807992</v>
      </c>
      <c r="AB6" s="41">
        <v>1125.2774918328785</v>
      </c>
      <c r="AC6" s="42">
        <v>1544.940886759073</v>
      </c>
      <c r="AD6" s="41">
        <v>1181.4668600268724</v>
      </c>
      <c r="AE6" s="42">
        <v>1667.4231151238498</v>
      </c>
      <c r="AF6" s="41">
        <v>1263.988433339732</v>
      </c>
      <c r="AG6" s="42">
        <v>1847.2589935882008</v>
      </c>
      <c r="AH6" s="41">
        <v>1390.2871552311451</v>
      </c>
      <c r="AI6" s="42">
        <v>2142.2824527475691</v>
      </c>
      <c r="AJ6" s="41">
        <v>1601.0554495120477</v>
      </c>
      <c r="AK6" s="42">
        <v>2711.017445120408</v>
      </c>
      <c r="AL6" s="41">
        <v>2011.7894838502159</v>
      </c>
      <c r="AM6" s="42">
        <v>4122.6863755619124</v>
      </c>
      <c r="AN6" s="41">
        <v>3068.8579347062591</v>
      </c>
      <c r="AO6" s="42">
        <v>9639.7754838412111</v>
      </c>
      <c r="AP6" s="41">
        <v>3517.5972484420395</v>
      </c>
      <c r="AQ6" s="42">
        <v>12804.360509881175</v>
      </c>
      <c r="AR6" s="41">
        <v>4188.4693812470114</v>
      </c>
      <c r="AS6" s="42">
        <v>18449.116065347745</v>
      </c>
      <c r="AT6" s="41">
        <v>5337.2780113855206</v>
      </c>
      <c r="AU6" s="42">
        <v>30644.642317880836</v>
      </c>
      <c r="AV6" s="41">
        <v>7981.7649413544514</v>
      </c>
      <c r="AW6" s="42">
        <v>70585.684372087024</v>
      </c>
    </row>
    <row r="7" spans="1:49" x14ac:dyDescent="0.2">
      <c r="A7" t="s">
        <v>13</v>
      </c>
      <c r="B7" s="33">
        <v>1015.9116825427475</v>
      </c>
      <c r="C7" s="34">
        <v>1015.9116825427475</v>
      </c>
      <c r="D7" s="33">
        <v>1015.1054926267012</v>
      </c>
      <c r="E7" s="34">
        <v>1015.1054926267012</v>
      </c>
      <c r="F7" s="33">
        <v>1014.7275850201798</v>
      </c>
      <c r="G7" s="34">
        <v>1014.7275850201798</v>
      </c>
      <c r="H7" s="33">
        <v>1014.8868883189878</v>
      </c>
      <c r="I7" s="34">
        <v>1014.8868883189878</v>
      </c>
      <c r="J7" s="33">
        <v>1015.7289013379908</v>
      </c>
      <c r="K7" s="34">
        <v>1015.7289013379908</v>
      </c>
      <c r="L7" s="33">
        <v>1017.4480625177399</v>
      </c>
      <c r="M7" s="34">
        <v>1017.4480625177399</v>
      </c>
      <c r="N7" s="33">
        <v>1020.3097120720993</v>
      </c>
      <c r="O7" s="34">
        <v>1020.3097120720993</v>
      </c>
      <c r="P7" s="33">
        <v>1024.6787449409569</v>
      </c>
      <c r="Q7" s="34">
        <v>1024.6787449409569</v>
      </c>
      <c r="R7" s="33">
        <v>1031.0644487258819</v>
      </c>
      <c r="S7" s="34">
        <v>1031.0644487258819</v>
      </c>
      <c r="T7" s="33">
        <v>1040.186529338926</v>
      </c>
      <c r="U7" s="34">
        <v>1040.186529338926</v>
      </c>
      <c r="V7" s="33">
        <v>1053.0753677865257</v>
      </c>
      <c r="W7" s="34">
        <v>1053.0753677865257</v>
      </c>
      <c r="X7" s="33">
        <v>1071.2233854658073</v>
      </c>
      <c r="Y7" s="34">
        <v>1071.2233854658073</v>
      </c>
      <c r="Z7" s="33">
        <v>1096.8165390182335</v>
      </c>
      <c r="AA7" s="34">
        <v>1096.8165390182335</v>
      </c>
      <c r="AB7" s="33">
        <v>1133.0961871846284</v>
      </c>
      <c r="AC7" s="34">
        <v>1133.0961871846284</v>
      </c>
      <c r="AD7" s="33">
        <v>1184.9866136309486</v>
      </c>
      <c r="AE7" s="34">
        <v>1184.9866136309486</v>
      </c>
      <c r="AF7" s="33">
        <v>1260.4573335109094</v>
      </c>
      <c r="AG7" s="34">
        <v>1260.4573335109094</v>
      </c>
      <c r="AH7" s="33">
        <v>1374.2971491075625</v>
      </c>
      <c r="AI7" s="34">
        <v>1374.2971491075625</v>
      </c>
      <c r="AJ7" s="33">
        <v>1559.9102837274959</v>
      </c>
      <c r="AK7" s="34">
        <v>1559.9102837274959</v>
      </c>
      <c r="AL7" s="33">
        <v>1906.7210847339948</v>
      </c>
      <c r="AM7" s="34">
        <v>1906.7210847339948</v>
      </c>
      <c r="AN7" s="33">
        <v>2718.1178963346738</v>
      </c>
      <c r="AO7" s="34">
        <v>2718.1178963346738</v>
      </c>
      <c r="AP7" s="33">
        <v>3031.3044527584193</v>
      </c>
      <c r="AQ7" s="34">
        <v>3031.3044527584193</v>
      </c>
      <c r="AR7" s="33">
        <v>3469.1546552120994</v>
      </c>
      <c r="AS7" s="34">
        <v>3469.1546552120994</v>
      </c>
      <c r="AT7" s="33">
        <v>4144.8279053105753</v>
      </c>
      <c r="AU7" s="34">
        <v>4144.8279053105753</v>
      </c>
      <c r="AV7" s="33">
        <v>5419.9758007751507</v>
      </c>
      <c r="AW7" s="34">
        <v>5419.9758007751507</v>
      </c>
    </row>
    <row r="8" spans="1:49" x14ac:dyDescent="0.2">
      <c r="B8" s="35">
        <v>1005.7716594496609</v>
      </c>
      <c r="C8" s="36">
        <v>1005.7716594496609</v>
      </c>
      <c r="D8" s="35">
        <v>1059.766445881909</v>
      </c>
      <c r="E8" s="36">
        <v>1059.766445881909</v>
      </c>
      <c r="F8" s="35">
        <v>1118.6790522073527</v>
      </c>
      <c r="G8" s="36">
        <v>1118.6790522073527</v>
      </c>
      <c r="H8" s="35">
        <v>1183.0428894312795</v>
      </c>
      <c r="I8" s="36">
        <v>1183.0428894312795</v>
      </c>
      <c r="J8" s="35">
        <v>1253.4377514638077</v>
      </c>
      <c r="K8" s="36">
        <v>1253.4377514638077</v>
      </c>
      <c r="L8" s="35">
        <v>1330.4969587149233</v>
      </c>
      <c r="M8" s="36">
        <v>1330.4969587149233</v>
      </c>
      <c r="N8" s="35">
        <v>1414.9092556553528</v>
      </c>
      <c r="O8" s="36">
        <v>1414.9092556553528</v>
      </c>
      <c r="P8" s="35">
        <v>1507.444238106576</v>
      </c>
      <c r="Q8" s="36">
        <v>1507.444238106576</v>
      </c>
      <c r="R8" s="35">
        <v>1609.0120675150852</v>
      </c>
      <c r="S8" s="36">
        <v>1609.0120675150852</v>
      </c>
      <c r="T8" s="35">
        <v>1720.8190680248838</v>
      </c>
      <c r="U8" s="36">
        <v>1720.8190680248838</v>
      </c>
      <c r="V8" s="35">
        <v>1844.7291408600499</v>
      </c>
      <c r="W8" s="36">
        <v>1844.7291408600499</v>
      </c>
      <c r="X8" s="35">
        <v>1984.0715943276798</v>
      </c>
      <c r="Y8" s="36">
        <v>1984.0715943276798</v>
      </c>
      <c r="Z8" s="35">
        <v>2145.3821706780527</v>
      </c>
      <c r="AA8" s="36">
        <v>2145.3821706780527</v>
      </c>
      <c r="AB8" s="35">
        <v>2342.0848130913682</v>
      </c>
      <c r="AC8" s="36">
        <v>2342.0848130913682</v>
      </c>
      <c r="AD8" s="35">
        <v>2602.3973593184883</v>
      </c>
      <c r="AE8" s="36">
        <v>2602.3973593184883</v>
      </c>
      <c r="AF8" s="35">
        <v>2987.8126732891801</v>
      </c>
      <c r="AG8" s="36">
        <v>2987.8126732891801</v>
      </c>
      <c r="AH8" s="35">
        <v>3645.4436922948321</v>
      </c>
      <c r="AI8" s="36">
        <v>3645.4436922948321</v>
      </c>
      <c r="AJ8" s="35">
        <v>5000.580258704178</v>
      </c>
      <c r="AK8" s="36">
        <v>5000.580258704178</v>
      </c>
      <c r="AL8" s="35">
        <v>8683.7575337266207</v>
      </c>
      <c r="AM8" s="36">
        <v>8683.7575337266207</v>
      </c>
      <c r="AN8" s="35">
        <v>24842.660734807992</v>
      </c>
      <c r="AO8" s="36">
        <v>24842.660734807992</v>
      </c>
      <c r="AP8" s="35">
        <v>34673.446846378647</v>
      </c>
      <c r="AQ8" s="36">
        <v>34673.446846378647</v>
      </c>
      <c r="AR8" s="35">
        <v>52704.696127679679</v>
      </c>
      <c r="AS8" s="36">
        <v>52704.696127679679</v>
      </c>
      <c r="AT8" s="35">
        <v>92858.435729676537</v>
      </c>
      <c r="AU8" s="36">
        <v>92858.435729676537</v>
      </c>
      <c r="AV8" s="35">
        <v>229021.41735013999</v>
      </c>
      <c r="AW8" s="36">
        <v>229021.41735013999</v>
      </c>
    </row>
    <row r="9" spans="1:49" x14ac:dyDescent="0.2">
      <c r="A9" t="s">
        <v>14</v>
      </c>
      <c r="B9" s="41">
        <v>1015.9116825427475</v>
      </c>
      <c r="C9" s="42">
        <v>1005.7716594496609</v>
      </c>
      <c r="D9" s="41">
        <v>1015.1054926267012</v>
      </c>
      <c r="E9" s="42">
        <v>1059.766445881909</v>
      </c>
      <c r="F9" s="41">
        <v>1014.7275850201798</v>
      </c>
      <c r="G9" s="42">
        <v>1118.6790522073527</v>
      </c>
      <c r="H9" s="41">
        <v>1014.8868883189878</v>
      </c>
      <c r="I9" s="42">
        <v>1183.0428894312795</v>
      </c>
      <c r="J9" s="41">
        <v>1015.7289013379908</v>
      </c>
      <c r="K9" s="42">
        <v>1253.4377514638077</v>
      </c>
      <c r="L9" s="41">
        <v>1017.4480625177399</v>
      </c>
      <c r="M9" s="42">
        <v>1330.4969587149233</v>
      </c>
      <c r="N9" s="41">
        <v>1020.3097120720993</v>
      </c>
      <c r="O9" s="42">
        <v>1414.9092556553528</v>
      </c>
      <c r="P9" s="41">
        <v>1024.6787449409569</v>
      </c>
      <c r="Q9" s="42">
        <v>1507.444238106576</v>
      </c>
      <c r="R9" s="41">
        <v>1031.0644487258819</v>
      </c>
      <c r="S9" s="42">
        <v>1609.0120675150852</v>
      </c>
      <c r="T9" s="41">
        <v>1040.186529338926</v>
      </c>
      <c r="U9" s="42">
        <v>1720.8190680248838</v>
      </c>
      <c r="V9" s="41">
        <v>1053.0753677865257</v>
      </c>
      <c r="W9" s="42">
        <v>1844.7291408600499</v>
      </c>
      <c r="X9" s="41">
        <v>1071.2233854658073</v>
      </c>
      <c r="Y9" s="42">
        <v>1984.0715943276798</v>
      </c>
      <c r="Z9" s="41">
        <v>1096.8165390182335</v>
      </c>
      <c r="AA9" s="42">
        <v>2145.3821706780527</v>
      </c>
      <c r="AB9" s="41">
        <v>1133.0961871846284</v>
      </c>
      <c r="AC9" s="42">
        <v>2342.0848130913682</v>
      </c>
      <c r="AD9" s="41">
        <v>1184.9866136309486</v>
      </c>
      <c r="AE9" s="42">
        <v>2602.3973593184883</v>
      </c>
      <c r="AF9" s="41">
        <v>1260.4573335109094</v>
      </c>
      <c r="AG9" s="42">
        <v>2987.8126732891801</v>
      </c>
      <c r="AH9" s="41">
        <v>1374.2971491075625</v>
      </c>
      <c r="AI9" s="42">
        <v>3645.4436922948321</v>
      </c>
      <c r="AJ9" s="41">
        <v>1559.9102837274959</v>
      </c>
      <c r="AK9" s="42">
        <v>5000.580258704178</v>
      </c>
      <c r="AL9" s="41">
        <v>1906.7210847339948</v>
      </c>
      <c r="AM9" s="42">
        <v>8683.7575337266207</v>
      </c>
      <c r="AN9" s="41">
        <v>2718.1178963346738</v>
      </c>
      <c r="AO9" s="42">
        <v>24842.660734807992</v>
      </c>
      <c r="AP9" s="41">
        <v>3031.3044527584193</v>
      </c>
      <c r="AQ9" s="42">
        <v>34673.446846378647</v>
      </c>
      <c r="AR9" s="41">
        <v>3469.1546552120994</v>
      </c>
      <c r="AS9" s="42">
        <v>52704.696127679679</v>
      </c>
      <c r="AT9" s="41">
        <v>4144.8279053105753</v>
      </c>
      <c r="AU9" s="42">
        <v>92858.435729676537</v>
      </c>
      <c r="AV9" s="41">
        <v>5419.9758007751507</v>
      </c>
      <c r="AW9" s="42">
        <v>229021.41735013999</v>
      </c>
    </row>
    <row r="10" spans="1:49" x14ac:dyDescent="0.2">
      <c r="A10" t="s">
        <v>15</v>
      </c>
      <c r="B10" s="41">
        <v>1015.9116825427475</v>
      </c>
      <c r="C10" s="42">
        <v>1005.7716594496609</v>
      </c>
      <c r="D10" s="41">
        <v>1015.1054926267012</v>
      </c>
      <c r="E10" s="42">
        <v>1059.766445881909</v>
      </c>
      <c r="F10" s="41">
        <v>1014.7275850201798</v>
      </c>
      <c r="G10" s="42">
        <v>1118.6790522073527</v>
      </c>
      <c r="H10" s="41">
        <v>1014.8868883189878</v>
      </c>
      <c r="I10" s="42">
        <v>1183.0428894312795</v>
      </c>
      <c r="J10" s="41">
        <v>1015.7289013379908</v>
      </c>
      <c r="K10" s="42">
        <v>1253.4377514638077</v>
      </c>
      <c r="L10" s="41">
        <v>1017.4480625177399</v>
      </c>
      <c r="M10" s="42">
        <v>1330.4969587149233</v>
      </c>
      <c r="N10" s="41">
        <v>1020.3097120720993</v>
      </c>
      <c r="O10" s="42">
        <v>1414.9092556553528</v>
      </c>
      <c r="P10" s="41">
        <v>1024.6787449409569</v>
      </c>
      <c r="Q10" s="42">
        <v>1507.444238106576</v>
      </c>
      <c r="R10" s="41">
        <v>1031.0644487258819</v>
      </c>
      <c r="S10" s="42">
        <v>1609.0120675150852</v>
      </c>
      <c r="T10" s="41">
        <v>1040.186529338926</v>
      </c>
      <c r="U10" s="42">
        <v>1720.8190680248838</v>
      </c>
      <c r="V10" s="41">
        <v>1053.0753677865257</v>
      </c>
      <c r="W10" s="42">
        <v>1844.7291408600499</v>
      </c>
      <c r="X10" s="41">
        <v>1071.2233854658073</v>
      </c>
      <c r="Y10" s="42">
        <v>1984.0715943276798</v>
      </c>
      <c r="Z10" s="41">
        <v>1096.8165390182335</v>
      </c>
      <c r="AA10" s="42">
        <v>2145.3821706780527</v>
      </c>
      <c r="AB10" s="41">
        <v>1133.0961871846284</v>
      </c>
      <c r="AC10" s="42">
        <v>2342.0848130913682</v>
      </c>
      <c r="AD10" s="41">
        <v>1184.9866136309486</v>
      </c>
      <c r="AE10" s="42">
        <v>2602.3973593184883</v>
      </c>
      <c r="AF10" s="41">
        <v>1260.4573335109094</v>
      </c>
      <c r="AG10" s="42">
        <v>2987.8126732891801</v>
      </c>
      <c r="AH10" s="41">
        <v>1374.2971491075625</v>
      </c>
      <c r="AI10" s="42">
        <v>3645.4436922948321</v>
      </c>
      <c r="AJ10" s="41">
        <v>1559.9102837274959</v>
      </c>
      <c r="AK10" s="42">
        <v>5000.580258704178</v>
      </c>
      <c r="AL10" s="41">
        <v>1906.7210847339948</v>
      </c>
      <c r="AM10" s="42">
        <v>8683.7575337266207</v>
      </c>
      <c r="AN10" s="41">
        <v>2718.1178963346738</v>
      </c>
      <c r="AO10" s="42">
        <v>24842.660734807992</v>
      </c>
      <c r="AP10" s="41">
        <v>3031.3044527584193</v>
      </c>
      <c r="AQ10" s="42">
        <v>34673.446846378647</v>
      </c>
      <c r="AR10" s="41">
        <v>3469.1546552120994</v>
      </c>
      <c r="AS10" s="42">
        <v>52704.696127679679</v>
      </c>
      <c r="AT10" s="41">
        <v>4144.8279053105753</v>
      </c>
      <c r="AU10" s="42">
        <v>92858.435729676537</v>
      </c>
      <c r="AV10" s="41">
        <v>5419.9758007751507</v>
      </c>
      <c r="AW10" s="42">
        <v>229021.41735013999</v>
      </c>
    </row>
    <row r="11" spans="1:49" x14ac:dyDescent="0.2">
      <c r="A11" t="s">
        <v>29</v>
      </c>
      <c r="B11" s="41">
        <v>1015.9116825427475</v>
      </c>
      <c r="C11" s="42">
        <v>1005.7716594496609</v>
      </c>
      <c r="D11" s="41">
        <v>1015.1054926267012</v>
      </c>
      <c r="E11" s="42">
        <v>1059.766445881909</v>
      </c>
      <c r="F11" s="41">
        <v>1014.7275850201798</v>
      </c>
      <c r="G11" s="42">
        <v>1118.6790522073527</v>
      </c>
      <c r="H11" s="41">
        <v>1014.8868883189878</v>
      </c>
      <c r="I11" s="42">
        <v>1183.0428894312795</v>
      </c>
      <c r="J11" s="41">
        <v>1015.7289013379908</v>
      </c>
      <c r="K11" s="42">
        <v>1253.4377514638077</v>
      </c>
      <c r="L11" s="41">
        <v>1017.4480625177399</v>
      </c>
      <c r="M11" s="42">
        <v>1330.4969587149233</v>
      </c>
      <c r="N11" s="41">
        <v>1020.3097120720993</v>
      </c>
      <c r="O11" s="42">
        <v>1414.9092556553528</v>
      </c>
      <c r="P11" s="41">
        <v>1024.6787449409569</v>
      </c>
      <c r="Q11" s="42">
        <v>1507.444238106576</v>
      </c>
      <c r="R11" s="41">
        <v>1031.0644487258819</v>
      </c>
      <c r="S11" s="42">
        <v>1609.0120675150852</v>
      </c>
      <c r="T11" s="41">
        <v>1040.186529338926</v>
      </c>
      <c r="U11" s="42">
        <v>1720.8190680248838</v>
      </c>
      <c r="V11" s="41">
        <v>1053.0753677865257</v>
      </c>
      <c r="W11" s="42">
        <v>1844.7291408600499</v>
      </c>
      <c r="X11" s="41">
        <v>1071.2233854658073</v>
      </c>
      <c r="Y11" s="42">
        <v>1984.0715943276798</v>
      </c>
      <c r="Z11" s="41">
        <v>1096.8165390182335</v>
      </c>
      <c r="AA11" s="42">
        <v>2145.3821706780527</v>
      </c>
      <c r="AB11" s="41">
        <v>1133.0961871846284</v>
      </c>
      <c r="AC11" s="42">
        <v>2342.0848130913682</v>
      </c>
      <c r="AD11" s="41">
        <v>1184.9866136309486</v>
      </c>
      <c r="AE11" s="42">
        <v>2602.3973593184883</v>
      </c>
      <c r="AF11" s="41">
        <v>1260.4573335109094</v>
      </c>
      <c r="AG11" s="42">
        <v>2987.8126732891801</v>
      </c>
      <c r="AH11" s="41">
        <v>1374.2971491075625</v>
      </c>
      <c r="AI11" s="42">
        <v>3645.4436922948321</v>
      </c>
      <c r="AJ11" s="41">
        <v>1559.9102837274959</v>
      </c>
      <c r="AK11" s="42">
        <v>5000.580258704178</v>
      </c>
      <c r="AL11" s="41">
        <v>1906.7210847339948</v>
      </c>
      <c r="AM11" s="42">
        <v>8683.7575337266207</v>
      </c>
      <c r="AN11" s="41">
        <v>2718.1178963346738</v>
      </c>
      <c r="AO11" s="42">
        <v>24842.660734807992</v>
      </c>
      <c r="AP11" s="41">
        <v>3031.3044527584193</v>
      </c>
      <c r="AQ11" s="42">
        <v>34673.446846378647</v>
      </c>
      <c r="AR11" s="41">
        <v>3469.1546552120994</v>
      </c>
      <c r="AS11" s="42">
        <v>52704.696127679679</v>
      </c>
      <c r="AT11" s="41">
        <v>4144.8279053105753</v>
      </c>
      <c r="AU11" s="42">
        <v>92858.435729676537</v>
      </c>
      <c r="AV11" s="41">
        <v>5419.9758007751507</v>
      </c>
      <c r="AW11" s="42">
        <v>229021.41735013999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994.95836248865669</v>
      </c>
      <c r="E13" s="98">
        <v>994.95836248865669</v>
      </c>
      <c r="F13" s="97">
        <v>990.03789388969926</v>
      </c>
      <c r="G13" s="98">
        <v>990.03789388969926</v>
      </c>
      <c r="H13" s="97">
        <v>985.31419966360545</v>
      </c>
      <c r="I13" s="98">
        <v>985.31419966360545</v>
      </c>
      <c r="J13" s="97">
        <v>980.89512601742979</v>
      </c>
      <c r="K13" s="98">
        <v>980.89512601742979</v>
      </c>
      <c r="L13" s="97">
        <v>976.93222557344211</v>
      </c>
      <c r="M13" s="98">
        <v>976.93222557344211</v>
      </c>
      <c r="N13" s="97">
        <v>973.64186998388448</v>
      </c>
      <c r="O13" s="98">
        <v>973.64186998388448</v>
      </c>
      <c r="P13" s="97">
        <v>971.33258672117972</v>
      </c>
      <c r="Q13" s="98">
        <v>971.33258672117972</v>
      </c>
      <c r="R13" s="97">
        <v>970.44841739426352</v>
      </c>
      <c r="S13" s="98">
        <v>970.44841739426352</v>
      </c>
      <c r="T13" s="97">
        <v>971.63320061308957</v>
      </c>
      <c r="U13" s="98">
        <v>971.63320061308957</v>
      </c>
      <c r="V13" s="97">
        <v>975.82963351629246</v>
      </c>
      <c r="W13" s="98">
        <v>975.82963351629246</v>
      </c>
      <c r="X13" s="97">
        <v>984.43186605727306</v>
      </c>
      <c r="Y13" s="98">
        <v>984.43186605727306</v>
      </c>
      <c r="Z13" s="97">
        <v>999.52597142919558</v>
      </c>
      <c r="AA13" s="98">
        <v>999.52597142919558</v>
      </c>
      <c r="AB13" s="97">
        <v>1024.2804268777461</v>
      </c>
      <c r="AC13" s="98">
        <v>1024.2804268777461</v>
      </c>
      <c r="AD13" s="97">
        <v>1063.6458995224878</v>
      </c>
      <c r="AE13" s="98">
        <v>1063.6458995224878</v>
      </c>
      <c r="AF13" s="97">
        <v>1125.8933817262262</v>
      </c>
      <c r="AG13" s="98">
        <v>1125.8933817262262</v>
      </c>
      <c r="AH13" s="97">
        <v>1226.9236384660355</v>
      </c>
      <c r="AI13" s="98">
        <v>1226.9236384660355</v>
      </c>
      <c r="AJ13" s="97">
        <v>1404.4762381859791</v>
      </c>
      <c r="AK13" s="98">
        <v>1404.4762381859791</v>
      </c>
      <c r="AL13" s="97">
        <v>1770.066316240039</v>
      </c>
      <c r="AM13" s="98">
        <v>1770.066316240039</v>
      </c>
      <c r="AN13" s="97">
        <v>2794.0333908990488</v>
      </c>
      <c r="AO13" s="98">
        <v>2794.0333908990488</v>
      </c>
      <c r="AP13" s="97">
        <v>3260.0800475198139</v>
      </c>
      <c r="AQ13" s="98">
        <v>3260.0800475198139</v>
      </c>
      <c r="AR13" s="97">
        <v>3988.3752386378592</v>
      </c>
      <c r="AS13" s="98">
        <v>3988.3752386378592</v>
      </c>
      <c r="AT13" s="97">
        <v>5314.7759832553729</v>
      </c>
      <c r="AU13" s="98">
        <v>5314.7759832553729</v>
      </c>
      <c r="AV13" s="97">
        <v>8675.4805167480481</v>
      </c>
      <c r="AW13" s="98">
        <v>8675.4805167480481</v>
      </c>
    </row>
    <row r="14" spans="1:49" x14ac:dyDescent="0.2">
      <c r="A14" t="s">
        <v>36</v>
      </c>
      <c r="B14" s="41">
        <v>1457.0034251455234</v>
      </c>
      <c r="C14" s="42">
        <v>1457.0034251455236</v>
      </c>
      <c r="D14" s="41">
        <v>1449.657742023154</v>
      </c>
      <c r="E14" s="42">
        <v>1449.6577420231542</v>
      </c>
      <c r="F14" s="41">
        <v>1442.4886024211519</v>
      </c>
      <c r="G14" s="42">
        <v>1442.4886024211521</v>
      </c>
      <c r="H14" s="41">
        <v>1435.606163754393</v>
      </c>
      <c r="I14" s="42">
        <v>1435.6061637543933</v>
      </c>
      <c r="J14" s="41">
        <v>1429.1675583159449</v>
      </c>
      <c r="K14" s="42">
        <v>1429.1675583159451</v>
      </c>
      <c r="L14" s="41">
        <v>1423.3935987955442</v>
      </c>
      <c r="M14" s="42">
        <v>1423.3935987955444</v>
      </c>
      <c r="N14" s="41">
        <v>1418.5995394316119</v>
      </c>
      <c r="O14" s="42">
        <v>1418.5995394316121</v>
      </c>
      <c r="P14" s="41">
        <v>1415.23490580822</v>
      </c>
      <c r="Q14" s="42">
        <v>1415.23490580822</v>
      </c>
      <c r="R14" s="41">
        <v>1413.9466680704943</v>
      </c>
      <c r="S14" s="42">
        <v>1413.9466680704945</v>
      </c>
      <c r="T14" s="41">
        <v>1415.672901278379</v>
      </c>
      <c r="U14" s="42">
        <v>1415.672901278379</v>
      </c>
      <c r="V14" s="41">
        <v>1421.7871183917389</v>
      </c>
      <c r="W14" s="42">
        <v>1421.7871183917391</v>
      </c>
      <c r="X14" s="41">
        <v>1434.3206006678458</v>
      </c>
      <c r="Y14" s="42">
        <v>1434.3206006678461</v>
      </c>
      <c r="Z14" s="41">
        <v>1456.3127638942444</v>
      </c>
      <c r="AA14" s="42">
        <v>1456.3127638942447</v>
      </c>
      <c r="AB14" s="41">
        <v>1492.3800902703947</v>
      </c>
      <c r="AC14" s="42">
        <v>1492.3800902703949</v>
      </c>
      <c r="AD14" s="41">
        <v>1549.7357187462558</v>
      </c>
      <c r="AE14" s="42">
        <v>1549.735718746256</v>
      </c>
      <c r="AF14" s="41">
        <v>1640.4305135237876</v>
      </c>
      <c r="AG14" s="42">
        <v>1640.4305135237878</v>
      </c>
      <c r="AH14" s="41">
        <v>1787.6319436370215</v>
      </c>
      <c r="AI14" s="42">
        <v>1787.6319436370218</v>
      </c>
      <c r="AJ14" s="41">
        <v>2046.3266895724714</v>
      </c>
      <c r="AK14" s="42">
        <v>2046.3266895724717</v>
      </c>
      <c r="AL14" s="41">
        <v>2578.9926854964556</v>
      </c>
      <c r="AM14" s="42">
        <v>2578.992685496456</v>
      </c>
      <c r="AN14" s="41">
        <v>4070.9162205108746</v>
      </c>
      <c r="AO14" s="42">
        <v>4070.9162205108755</v>
      </c>
      <c r="AP14" s="41">
        <v>4749.947795484949</v>
      </c>
      <c r="AQ14" s="42">
        <v>4749.9477954849499</v>
      </c>
      <c r="AR14" s="41">
        <v>5811.0763834609543</v>
      </c>
      <c r="AS14" s="42">
        <v>5811.0763834609552</v>
      </c>
      <c r="AT14" s="41">
        <v>7743.6468114842446</v>
      </c>
      <c r="AU14" s="42">
        <v>7743.6468114842455</v>
      </c>
      <c r="AV14" s="41">
        <v>12640.20482768516</v>
      </c>
      <c r="AW14" s="42">
        <v>12640.204827685162</v>
      </c>
    </row>
    <row r="15" spans="1:49" x14ac:dyDescent="0.2">
      <c r="A15" t="s">
        <v>18</v>
      </c>
      <c r="B15" s="154">
        <v>1000</v>
      </c>
      <c r="C15" s="155">
        <v>1000</v>
      </c>
      <c r="D15" s="154">
        <v>999.20643700638584</v>
      </c>
      <c r="E15" s="155">
        <v>999.20643700638584</v>
      </c>
      <c r="F15" s="154">
        <v>998.8344483650352</v>
      </c>
      <c r="G15" s="155">
        <v>998.8344483650352</v>
      </c>
      <c r="H15" s="154">
        <v>998.99125658128594</v>
      </c>
      <c r="I15" s="155">
        <v>998.99125658128594</v>
      </c>
      <c r="J15" s="154">
        <v>999.82008159971235</v>
      </c>
      <c r="K15" s="155">
        <v>999.82008159971235</v>
      </c>
      <c r="L15" s="154">
        <v>1001.5123164753328</v>
      </c>
      <c r="M15" s="155">
        <v>1001.5123164753328</v>
      </c>
      <c r="N15" s="154">
        <v>1004.3291455398405</v>
      </c>
      <c r="O15" s="155">
        <v>1004.3291455398405</v>
      </c>
      <c r="P15" s="154">
        <v>1008.6297485784061</v>
      </c>
      <c r="Q15" s="155">
        <v>1008.6297485784061</v>
      </c>
      <c r="R15" s="154">
        <v>1014.9154364926766</v>
      </c>
      <c r="S15" s="155">
        <v>1014.9154364926766</v>
      </c>
      <c r="T15" s="154">
        <v>1023.8946428250737</v>
      </c>
      <c r="U15" s="155">
        <v>1023.8946428250737</v>
      </c>
      <c r="V15" s="154">
        <v>1036.5816102741928</v>
      </c>
      <c r="W15" s="155">
        <v>1036.5816102741928</v>
      </c>
      <c r="X15" s="154">
        <v>1054.4453852372471</v>
      </c>
      <c r="Y15" s="155">
        <v>1054.4453852372471</v>
      </c>
      <c r="Z15" s="154">
        <v>1079.6376868833593</v>
      </c>
      <c r="AA15" s="155">
        <v>1079.6376868833593</v>
      </c>
      <c r="AB15" s="154">
        <v>1115.3491062811459</v>
      </c>
      <c r="AC15" s="155">
        <v>1115.3491062811459</v>
      </c>
      <c r="AD15" s="154">
        <v>1166.4268006693453</v>
      </c>
      <c r="AE15" s="155">
        <v>1166.4268006693453</v>
      </c>
      <c r="AF15" s="154">
        <v>1240.7154629387501</v>
      </c>
      <c r="AG15" s="155">
        <v>1240.7154629387501</v>
      </c>
      <c r="AH15" s="154">
        <v>1352.7722662542913</v>
      </c>
      <c r="AI15" s="155">
        <v>1352.7722662542913</v>
      </c>
      <c r="AJ15" s="154">
        <v>1535.4782413990579</v>
      </c>
      <c r="AK15" s="155">
        <v>1535.4782413990579</v>
      </c>
      <c r="AL15" s="154">
        <v>1876.8571299048565</v>
      </c>
      <c r="AM15" s="155">
        <v>1876.8571299048565</v>
      </c>
      <c r="AN15" s="154">
        <v>2675.5454662470634</v>
      </c>
      <c r="AO15" s="155">
        <v>2675.5454662470634</v>
      </c>
      <c r="AP15" s="154">
        <v>2983.8267487694416</v>
      </c>
      <c r="AQ15" s="155">
        <v>2983.8267487694416</v>
      </c>
      <c r="AR15" s="154">
        <v>3414.8191371606995</v>
      </c>
      <c r="AS15" s="155">
        <v>3414.8191371606995</v>
      </c>
      <c r="AT15" s="154">
        <v>4079.9096777156801</v>
      </c>
      <c r="AU15" s="155">
        <v>4079.9096777156801</v>
      </c>
      <c r="AV15" s="154">
        <v>5335.0856121758297</v>
      </c>
      <c r="AW15" s="155">
        <v>5335.0856121758297</v>
      </c>
    </row>
    <row r="16" spans="1:49" s="29" customFormat="1" x14ac:dyDescent="0.2">
      <c r="A16" t="s">
        <v>61</v>
      </c>
      <c r="B16" s="41">
        <v>1000</v>
      </c>
      <c r="C16" s="42">
        <v>1000</v>
      </c>
      <c r="D16" s="41">
        <v>996.94086824858277</v>
      </c>
      <c r="E16" s="42">
        <v>997.99364940108637</v>
      </c>
      <c r="F16" s="41">
        <v>994.14159371518645</v>
      </c>
      <c r="G16" s="42">
        <v>996.32249350267136</v>
      </c>
      <c r="H16" s="41">
        <v>991.69219063746823</v>
      </c>
      <c r="I16" s="42">
        <v>995.08458715264396</v>
      </c>
      <c r="J16" s="41">
        <v>989.7165953266026</v>
      </c>
      <c r="K16" s="42">
        <v>994.41288096466894</v>
      </c>
      <c r="L16" s="41">
        <v>988.38444909359703</v>
      </c>
      <c r="M16" s="42">
        <v>994.48718862948681</v>
      </c>
      <c r="N16" s="41">
        <v>987.93243555939955</v>
      </c>
      <c r="O16" s="42">
        <v>995.55565626666544</v>
      </c>
      <c r="P16" s="41">
        <v>988.69201034726973</v>
      </c>
      <c r="Q16" s="42">
        <v>997.96271423535711</v>
      </c>
      <c r="R16" s="41">
        <v>991.13311861814452</v>
      </c>
      <c r="S16" s="42">
        <v>1002.1929895802223</v>
      </c>
      <c r="T16" s="41">
        <v>995.92882016679675</v>
      </c>
      <c r="U16" s="42">
        <v>1008.9361000676402</v>
      </c>
      <c r="V16" s="41">
        <v>1004.0542233600493</v>
      </c>
      <c r="W16" s="42">
        <v>1019.1854672117034</v>
      </c>
      <c r="X16" s="41">
        <v>1016.9375229767959</v>
      </c>
      <c r="Y16" s="42">
        <v>1034.3883887488962</v>
      </c>
      <c r="Z16" s="41">
        <v>1036.6948750449626</v>
      </c>
      <c r="AA16" s="42">
        <v>1056.6776210193477</v>
      </c>
      <c r="AB16" s="41">
        <v>1066.505491649546</v>
      </c>
      <c r="AC16" s="42">
        <v>1089.2376133566956</v>
      </c>
      <c r="AD16" s="41">
        <v>1111.2743571601738</v>
      </c>
      <c r="AE16" s="42">
        <v>1136.9461411530979</v>
      </c>
      <c r="AF16" s="41">
        <v>1179.0808226770746</v>
      </c>
      <c r="AG16" s="42">
        <v>1207.7725661097693</v>
      </c>
      <c r="AH16" s="41">
        <v>1285.2162410240114</v>
      </c>
      <c r="AI16" s="42">
        <v>1316.6647922748216</v>
      </c>
      <c r="AJ16" s="41">
        <v>1465.1972897133085</v>
      </c>
      <c r="AK16" s="42">
        <v>1497.9090014718158</v>
      </c>
      <c r="AL16" s="41">
        <v>1819.6871939872656</v>
      </c>
      <c r="AM16" s="42">
        <v>1846.2808520817196</v>
      </c>
      <c r="AN16" s="41">
        <v>2738.5265504579893</v>
      </c>
      <c r="AO16" s="42">
        <v>2709.2862909486462</v>
      </c>
      <c r="AP16" s="41">
        <v>3130.2005810478872</v>
      </c>
      <c r="AQ16" s="42">
        <v>3062.3008686548196</v>
      </c>
      <c r="AR16" s="41">
        <v>3717.2946291766434</v>
      </c>
      <c r="AS16" s="42">
        <v>3577.1551428731068</v>
      </c>
      <c r="AT16" s="41">
        <v>4726.134230892616</v>
      </c>
      <c r="AU16" s="42">
        <v>4427.322181138823</v>
      </c>
      <c r="AV16" s="41">
        <v>7055.9147129592893</v>
      </c>
      <c r="AW16" s="42">
        <v>6263.2510699158211</v>
      </c>
    </row>
    <row r="17" spans="1:49" x14ac:dyDescent="0.2">
      <c r="A17" t="s">
        <v>62</v>
      </c>
      <c r="B17" s="35">
        <v>1000.0000000000002</v>
      </c>
      <c r="C17" s="36">
        <v>999.99999999999977</v>
      </c>
      <c r="D17" s="35">
        <v>999.27861628536755</v>
      </c>
      <c r="E17" s="36">
        <v>1027.5351201193289</v>
      </c>
      <c r="F17" s="35">
        <v>998.94061958985947</v>
      </c>
      <c r="G17" s="36">
        <v>1057.6203759905816</v>
      </c>
      <c r="H17" s="35">
        <v>999.0830879492637</v>
      </c>
      <c r="I17" s="36">
        <v>1090.5505627709135</v>
      </c>
      <c r="J17" s="35">
        <v>999.8364042338178</v>
      </c>
      <c r="K17" s="36">
        <v>1126.6582406846339</v>
      </c>
      <c r="L17" s="35">
        <v>1001.3760455448029</v>
      </c>
      <c r="M17" s="36">
        <v>1166.3237888862318</v>
      </c>
      <c r="N17" s="35">
        <v>1003.9435347080351</v>
      </c>
      <c r="O17" s="36">
        <v>1209.9878031786989</v>
      </c>
      <c r="P17" s="35">
        <v>1007.8746306692996</v>
      </c>
      <c r="Q17" s="36">
        <v>1258.1793685499433</v>
      </c>
      <c r="R17" s="35">
        <v>1013.6443367072643</v>
      </c>
      <c r="S17" s="36">
        <v>1311.5701188900459</v>
      </c>
      <c r="T17" s="35">
        <v>1021.9354509167603</v>
      </c>
      <c r="U17" s="36">
        <v>1371.087290928371</v>
      </c>
      <c r="V17" s="35">
        <v>1033.7467770154637</v>
      </c>
      <c r="W17" s="36">
        <v>1438.1461626556184</v>
      </c>
      <c r="X17" s="35">
        <v>1050.5648630992646</v>
      </c>
      <c r="Y17" s="36">
        <v>1515.1276581116506</v>
      </c>
      <c r="Z17" s="35">
        <v>1074.6428967467414</v>
      </c>
      <c r="AA17" s="36">
        <v>1606.3518082774403</v>
      </c>
      <c r="AB17" s="35">
        <v>1109.467245553763</v>
      </c>
      <c r="AC17" s="36">
        <v>1720.0588749371916</v>
      </c>
      <c r="AD17" s="35">
        <v>1160.6113154799498</v>
      </c>
      <c r="AE17" s="36">
        <v>1872.5626817832513</v>
      </c>
      <c r="AF17" s="35">
        <v>1237.6123929303039</v>
      </c>
      <c r="AG17" s="36">
        <v>2097.8436842937176</v>
      </c>
      <c r="AH17" s="35">
        <v>1359.1564907891222</v>
      </c>
      <c r="AI17" s="36">
        <v>2474.4759213249677</v>
      </c>
      <c r="AJ17" s="35">
        <v>1570.0383196419732</v>
      </c>
      <c r="AK17" s="36">
        <v>3222.7132071005103</v>
      </c>
      <c r="AL17" s="35">
        <v>2003.1248038614169</v>
      </c>
      <c r="AM17" s="36">
        <v>5155.3658702446164</v>
      </c>
      <c r="AN17" s="35">
        <v>3215.7793485924481</v>
      </c>
      <c r="AO17" s="36">
        <v>13095.208484372066</v>
      </c>
      <c r="AP17" s="35">
        <v>3765.5939533348546</v>
      </c>
      <c r="AQ17" s="36">
        <v>17767.300267361123</v>
      </c>
      <c r="AR17" s="35">
        <v>4621.5049407859206</v>
      </c>
      <c r="AS17" s="36">
        <v>26202.213036599525</v>
      </c>
      <c r="AT17" s="35">
        <v>6172.1300858165887</v>
      </c>
      <c r="AU17" s="36">
        <v>44665.876488223505</v>
      </c>
      <c r="AV17" s="35">
        <v>10083.323188222234</v>
      </c>
      <c r="AW17" s="36">
        <v>106042.84091233264</v>
      </c>
    </row>
    <row r="18" spans="1:49" x14ac:dyDescent="0.2">
      <c r="A18" t="s">
        <v>19</v>
      </c>
      <c r="B18" s="33">
        <v>27857.010133999996</v>
      </c>
      <c r="C18" s="34">
        <v>1236.7674480000003</v>
      </c>
      <c r="D18" s="33">
        <v>27578.972440534417</v>
      </c>
      <c r="E18" s="34">
        <v>1154.3630901074673</v>
      </c>
      <c r="F18" s="33">
        <v>27261.421097237253</v>
      </c>
      <c r="G18" s="34">
        <v>1072.3683697927047</v>
      </c>
      <c r="H18" s="33">
        <v>26897.182576748561</v>
      </c>
      <c r="I18" s="34">
        <v>990.8859963477604</v>
      </c>
      <c r="J18" s="33">
        <v>26477.574473953955</v>
      </c>
      <c r="K18" s="34">
        <v>910.04329118041846</v>
      </c>
      <c r="L18" s="33">
        <v>25992.251177242801</v>
      </c>
      <c r="M18" s="34">
        <v>829.98958038885894</v>
      </c>
      <c r="N18" s="33">
        <v>25428.930160270298</v>
      </c>
      <c r="O18" s="34">
        <v>750.90541155711446</v>
      </c>
      <c r="P18" s="33">
        <v>24773.382650322117</v>
      </c>
      <c r="Q18" s="34">
        <v>672.99840158944767</v>
      </c>
      <c r="R18" s="33">
        <v>24009.642108848431</v>
      </c>
      <c r="S18" s="34">
        <v>596.5001491185127</v>
      </c>
      <c r="T18" s="33">
        <v>23120.795710858434</v>
      </c>
      <c r="U18" s="34">
        <v>521.65536771713164</v>
      </c>
      <c r="V18" s="33">
        <v>22090.712622630093</v>
      </c>
      <c r="W18" s="34">
        <v>448.69615216958329</v>
      </c>
      <c r="X18" s="33">
        <v>20907.140270916218</v>
      </c>
      <c r="Y18" s="34">
        <v>377.81101677176753</v>
      </c>
      <c r="Z18" s="33">
        <v>19566.380394654097</v>
      </c>
      <c r="AA18" s="34">
        <v>309.11864656645355</v>
      </c>
      <c r="AB18" s="33">
        <v>18078.764306555233</v>
      </c>
      <c r="AC18" s="34">
        <v>242.69779275573359</v>
      </c>
      <c r="AD18" s="33">
        <v>16471.735166191145</v>
      </c>
      <c r="AE18" s="34">
        <v>178.795122797196</v>
      </c>
      <c r="AF18" s="33">
        <v>14783.89119034764</v>
      </c>
      <c r="AG18" s="34">
        <v>118.41555413010765</v>
      </c>
      <c r="AH18" s="33">
        <v>13042.301658328499</v>
      </c>
      <c r="AI18" s="34">
        <v>64.519353583201976</v>
      </c>
      <c r="AJ18" s="33">
        <v>11219.917834977052</v>
      </c>
      <c r="AK18" s="34">
        <v>23.57787781349942</v>
      </c>
      <c r="AL18" s="33">
        <v>9170.7097388148795</v>
      </c>
      <c r="AM18" s="34">
        <v>3.5239577130205624</v>
      </c>
      <c r="AN18" s="33">
        <v>6459.3927987511361</v>
      </c>
      <c r="AO18" s="34">
        <v>6.3429949499518107E-2</v>
      </c>
      <c r="AP18" s="33">
        <v>5732.291091768212</v>
      </c>
      <c r="AQ18" s="34">
        <v>1.6361229421617232E-2</v>
      </c>
      <c r="AR18" s="33">
        <v>4883.7535135741382</v>
      </c>
      <c r="AS18" s="34">
        <v>2.8523221322597327E-3</v>
      </c>
      <c r="AT18" s="33">
        <v>3849.1411025560142</v>
      </c>
      <c r="AU18" s="34">
        <v>2.4997872306040884E-4</v>
      </c>
      <c r="AV18" s="33">
        <v>2482.7262106024609</v>
      </c>
      <c r="AW18" s="34">
        <v>4.4412393445962141E-6</v>
      </c>
    </row>
    <row r="19" spans="1:49" x14ac:dyDescent="0.2">
      <c r="A19" t="s">
        <v>3</v>
      </c>
      <c r="B19" s="41">
        <v>1886.3937399999918</v>
      </c>
      <c r="C19" s="42">
        <v>262.78711299999759</v>
      </c>
      <c r="D19" s="41">
        <v>1864.010773821602</v>
      </c>
      <c r="E19" s="42">
        <v>265.87299010368594</v>
      </c>
      <c r="F19" s="41">
        <v>1840.9019169286892</v>
      </c>
      <c r="G19" s="42">
        <v>269.30005379740106</v>
      </c>
      <c r="H19" s="41">
        <v>1816.9902868945362</v>
      </c>
      <c r="I19" s="42">
        <v>273.04038313074881</v>
      </c>
      <c r="J19" s="41">
        <v>1792.208340830995</v>
      </c>
      <c r="K19" s="42">
        <v>277.0455487021149</v>
      </c>
      <c r="L19" s="41">
        <v>1766.5117527166694</v>
      </c>
      <c r="M19" s="42">
        <v>281.24125207044654</v>
      </c>
      <c r="N19" s="41">
        <v>1739.9077596764309</v>
      </c>
      <c r="O19" s="42">
        <v>285.5208174584306</v>
      </c>
      <c r="P19" s="41">
        <v>1712.5008656374764</v>
      </c>
      <c r="Q19" s="42">
        <v>289.74151356443036</v>
      </c>
      <c r="R19" s="41">
        <v>1684.5744073038852</v>
      </c>
      <c r="S19" s="42">
        <v>293.72571544996424</v>
      </c>
      <c r="T19" s="41">
        <v>1656.7266284253139</v>
      </c>
      <c r="U19" s="42">
        <v>297.27366348128254</v>
      </c>
      <c r="V19" s="41">
        <v>1630.099848701474</v>
      </c>
      <c r="W19" s="42">
        <v>300.19542838516128</v>
      </c>
      <c r="X19" s="41">
        <v>1606.7513650165658</v>
      </c>
      <c r="Y19" s="42">
        <v>302.36943290446538</v>
      </c>
      <c r="Z19" s="41">
        <v>1590.2456685390823</v>
      </c>
      <c r="AA19" s="42">
        <v>303.82261178176083</v>
      </c>
      <c r="AB19" s="41">
        <v>1586.5771503674832</v>
      </c>
      <c r="AC19" s="42">
        <v>304.78215608891048</v>
      </c>
      <c r="AD19" s="41">
        <v>1605.6693549344229</v>
      </c>
      <c r="AE19" s="42">
        <v>305.53922609484232</v>
      </c>
      <c r="AF19" s="41">
        <v>1664.336707147306</v>
      </c>
      <c r="AG19" s="42">
        <v>305.73224925849064</v>
      </c>
      <c r="AH19" s="41">
        <v>1794.3211719142753</v>
      </c>
      <c r="AI19" s="42">
        <v>302.21367034530931</v>
      </c>
      <c r="AJ19" s="41">
        <v>2069.0609015271352</v>
      </c>
      <c r="AK19" s="42">
        <v>284.00715547865855</v>
      </c>
      <c r="AL19" s="41">
        <v>2697.5320570987724</v>
      </c>
      <c r="AM19" s="42">
        <v>227.44220502376416</v>
      </c>
      <c r="AN19" s="41">
        <v>4454.7100310865208</v>
      </c>
      <c r="AO19" s="42">
        <v>122.45693586812105</v>
      </c>
      <c r="AP19" s="41">
        <v>5199.1103611895305</v>
      </c>
      <c r="AQ19" s="42">
        <v>98.329445245939311</v>
      </c>
      <c r="AR19" s="41">
        <v>6285.2634868294481</v>
      </c>
      <c r="AS19" s="42">
        <v>73.882968230218935</v>
      </c>
      <c r="AT19" s="41">
        <v>8048.7042467655992</v>
      </c>
      <c r="AU19" s="42">
        <v>49.290958873215267</v>
      </c>
      <c r="AV19" s="41">
        <v>11615.075368845124</v>
      </c>
      <c r="AW19" s="42">
        <v>24.650050609172673</v>
      </c>
    </row>
    <row r="20" spans="1:49" x14ac:dyDescent="0.2">
      <c r="A20" t="s">
        <v>127</v>
      </c>
      <c r="B20" s="82">
        <v>26548.356269999993</v>
      </c>
      <c r="C20" s="83">
        <v>1408.5418709999938</v>
      </c>
      <c r="D20" s="82">
        <v>26275.032537743878</v>
      </c>
      <c r="E20" s="83">
        <v>1338.1147774499941</v>
      </c>
      <c r="F20" s="82">
        <v>25968.622697854251</v>
      </c>
      <c r="G20" s="83">
        <v>1267.6876838999945</v>
      </c>
      <c r="H20" s="82">
        <v>25623.268168562026</v>
      </c>
      <c r="I20" s="83">
        <v>1197.2605903499948</v>
      </c>
      <c r="J20" s="82">
        <v>25231.906890971899</v>
      </c>
      <c r="K20" s="83">
        <v>1126.8334967999951</v>
      </c>
      <c r="L20" s="82">
        <v>24786.159059667996</v>
      </c>
      <c r="M20" s="83">
        <v>1056.4064032499953</v>
      </c>
      <c r="N20" s="82">
        <v>24276.126001395038</v>
      </c>
      <c r="O20" s="83">
        <v>985.97930969999561</v>
      </c>
      <c r="P20" s="82">
        <v>23690.408184553064</v>
      </c>
      <c r="Q20" s="83">
        <v>915.55221614999596</v>
      </c>
      <c r="R20" s="82">
        <v>23016.313889316825</v>
      </c>
      <c r="S20" s="83">
        <v>845.12512259999642</v>
      </c>
      <c r="T20" s="82">
        <v>22240.554023900531</v>
      </c>
      <c r="U20" s="83">
        <v>774.69802904999653</v>
      </c>
      <c r="V20" s="82">
        <v>21350.71861971408</v>
      </c>
      <c r="W20" s="83">
        <v>704.27093549999688</v>
      </c>
      <c r="X20" s="82">
        <v>20337.884982763269</v>
      </c>
      <c r="Y20" s="83">
        <v>633.84384194999711</v>
      </c>
      <c r="Z20" s="82">
        <v>19200.539838487253</v>
      </c>
      <c r="AA20" s="83">
        <v>563.41674839999746</v>
      </c>
      <c r="AB20" s="82">
        <v>17949.189296743367</v>
      </c>
      <c r="AC20" s="83">
        <v>492.98965484999781</v>
      </c>
      <c r="AD20" s="82">
        <v>16609.112588701115</v>
      </c>
      <c r="AE20" s="83">
        <v>422.56256129999809</v>
      </c>
      <c r="AF20" s="82">
        <v>15216.055793635485</v>
      </c>
      <c r="AG20" s="83">
        <v>352.13546774999827</v>
      </c>
      <c r="AH20" s="82">
        <v>13799.269283929727</v>
      </c>
      <c r="AI20" s="83">
        <v>281.70837419999856</v>
      </c>
      <c r="AJ20" s="82">
        <v>12350.690271702564</v>
      </c>
      <c r="AK20" s="83">
        <v>211.28128064999879</v>
      </c>
      <c r="AL20" s="82">
        <v>10777.287648058098</v>
      </c>
      <c r="AM20" s="83">
        <v>140.85418709999902</v>
      </c>
      <c r="AN20" s="82">
        <v>8757.9015639729878</v>
      </c>
      <c r="AO20" s="83">
        <v>70.427093549999285</v>
      </c>
      <c r="AP20" s="82">
        <v>8218.3970840318107</v>
      </c>
      <c r="AQ20" s="83">
        <v>56.341674839999328</v>
      </c>
      <c r="AR20" s="82">
        <v>7585.6598749630048</v>
      </c>
      <c r="AS20" s="83">
        <v>42.256256129999379</v>
      </c>
      <c r="AT20" s="82">
        <v>6805.0318559607313</v>
      </c>
      <c r="AU20" s="83">
        <v>28.170837419999433</v>
      </c>
      <c r="AV20" s="82">
        <v>5743.0756483601463</v>
      </c>
      <c r="AW20" s="83">
        <v>14.08541870999948</v>
      </c>
    </row>
    <row r="21" spans="1:49" x14ac:dyDescent="0.2">
      <c r="A21" t="s">
        <v>76</v>
      </c>
      <c r="B21" s="82">
        <v>24661.962529999968</v>
      </c>
      <c r="C21" s="83">
        <v>1145.7547579999991</v>
      </c>
      <c r="D21" s="82">
        <v>24411.023029564214</v>
      </c>
      <c r="E21" s="83">
        <v>1072.3999876763521</v>
      </c>
      <c r="F21" s="82">
        <v>24127.723479391116</v>
      </c>
      <c r="G21" s="83">
        <v>999.05223536234564</v>
      </c>
      <c r="H21" s="82">
        <v>23806.279876014152</v>
      </c>
      <c r="I21" s="83">
        <v>925.79023489705401</v>
      </c>
      <c r="J21" s="82">
        <v>23439.698612615415</v>
      </c>
      <c r="K21" s="83">
        <v>852.71655281445828</v>
      </c>
      <c r="L21" s="82">
        <v>23019.65164305309</v>
      </c>
      <c r="M21" s="83">
        <v>779.96143144199573</v>
      </c>
      <c r="N21" s="82">
        <v>22536.253042466262</v>
      </c>
      <c r="O21" s="83">
        <v>707.68704128488775</v>
      </c>
      <c r="P21" s="82">
        <v>21978.042269131412</v>
      </c>
      <c r="Q21" s="83">
        <v>636.0886290298796</v>
      </c>
      <c r="R21" s="82">
        <v>21332.131144975505</v>
      </c>
      <c r="S21" s="83">
        <v>565.39153846206887</v>
      </c>
      <c r="T21" s="82">
        <v>20584.79869105418</v>
      </c>
      <c r="U21" s="83">
        <v>495.84000832759449</v>
      </c>
      <c r="V21" s="82">
        <v>19722.804231065238</v>
      </c>
      <c r="W21" s="83">
        <v>427.67504471110055</v>
      </c>
      <c r="X21" s="82">
        <v>18735.745016248304</v>
      </c>
      <c r="Y21" s="83">
        <v>361.10194179953515</v>
      </c>
      <c r="Z21" s="82">
        <v>17619.608581686032</v>
      </c>
      <c r="AA21" s="83">
        <v>296.26148200209383</v>
      </c>
      <c r="AB21" s="82">
        <v>16380.879600585838</v>
      </c>
      <c r="AC21" s="83">
        <v>233.25430883814136</v>
      </c>
      <c r="AD21" s="82">
        <v>15038.631484335834</v>
      </c>
      <c r="AE21" s="83">
        <v>172.33413514957854</v>
      </c>
      <c r="AF21" s="82">
        <v>13619.15865546962</v>
      </c>
      <c r="AG21" s="83">
        <v>114.47685733825294</v>
      </c>
      <c r="AH21" s="82">
        <v>12136.304039168906</v>
      </c>
      <c r="AI21" s="83">
        <v>62.559718932702609</v>
      </c>
      <c r="AJ21" s="82">
        <v>10552.511030289686</v>
      </c>
      <c r="AK21" s="83">
        <v>22.923854267159573</v>
      </c>
      <c r="AL21" s="82">
        <v>8713.5842409937777</v>
      </c>
      <c r="AM21" s="83">
        <v>3.432712809485357</v>
      </c>
      <c r="AN21" s="82">
        <v>6183.8814946915527</v>
      </c>
      <c r="AO21" s="83">
        <v>6.1830579627138088E-2</v>
      </c>
      <c r="AP21" s="82">
        <v>5493.2845705205191</v>
      </c>
      <c r="AQ21" s="83">
        <v>1.5949226344607305E-2</v>
      </c>
      <c r="AR21" s="82">
        <v>4683.9050823821808</v>
      </c>
      <c r="AS21" s="83">
        <v>2.7805434646319092E-3</v>
      </c>
      <c r="AT21" s="82">
        <v>3693.8699909568854</v>
      </c>
      <c r="AU21" s="83">
        <v>2.4368940397558254E-4</v>
      </c>
      <c r="AV21" s="82">
        <v>2383.5235730665436</v>
      </c>
      <c r="AW21" s="83">
        <v>4.3295115408955575E-6</v>
      </c>
    </row>
    <row r="22" spans="1:49" x14ac:dyDescent="0.2">
      <c r="A22" t="s">
        <v>28</v>
      </c>
      <c r="B22" s="41">
        <v>6533.6044688320644</v>
      </c>
      <c r="C22" s="42">
        <v>379.90788307663382</v>
      </c>
      <c r="D22" s="41">
        <v>6445.744032595966</v>
      </c>
      <c r="E22" s="42">
        <v>362.8562740128599</v>
      </c>
      <c r="F22" s="41">
        <v>6348.3981637051247</v>
      </c>
      <c r="G22" s="42">
        <v>345.69646385180999</v>
      </c>
      <c r="H22" s="41">
        <v>6239.9843861785412</v>
      </c>
      <c r="I22" s="42">
        <v>328.42478889924843</v>
      </c>
      <c r="J22" s="41">
        <v>6118.6113664875884</v>
      </c>
      <c r="K22" s="42">
        <v>311.03739552453152</v>
      </c>
      <c r="L22" s="41">
        <v>5982.0535768321406</v>
      </c>
      <c r="M22" s="42">
        <v>293.52984376261617</v>
      </c>
      <c r="N22" s="41">
        <v>5827.7067446403762</v>
      </c>
      <c r="O22" s="42">
        <v>275.89748867733675</v>
      </c>
      <c r="P22" s="41">
        <v>5652.6018555742767</v>
      </c>
      <c r="Q22" s="42">
        <v>258.13548405823821</v>
      </c>
      <c r="R22" s="41">
        <v>5453.4737334592255</v>
      </c>
      <c r="S22" s="42">
        <v>240.23947008108928</v>
      </c>
      <c r="T22" s="41">
        <v>5226.9574637655651</v>
      </c>
      <c r="U22" s="42">
        <v>222.20626474498479</v>
      </c>
      <c r="V22" s="41">
        <v>4969.9935666902993</v>
      </c>
      <c r="W22" s="42">
        <v>204.03523208997913</v>
      </c>
      <c r="X22" s="41">
        <v>4680.5215085912323</v>
      </c>
      <c r="Y22" s="42">
        <v>185.72871730334435</v>
      </c>
      <c r="Z22" s="41">
        <v>4358.5065166954646</v>
      </c>
      <c r="AA22" s="42">
        <v>167.28983417374204</v>
      </c>
      <c r="AB22" s="41">
        <v>4007.1139470987023</v>
      </c>
      <c r="AC22" s="42">
        <v>148.71158198879894</v>
      </c>
      <c r="AD22" s="41">
        <v>3633.3441246791249</v>
      </c>
      <c r="AE22" s="42">
        <v>129.94566498948294</v>
      </c>
      <c r="AF22" s="41">
        <v>3246.7439113233122</v>
      </c>
      <c r="AG22" s="42">
        <v>110.83390037915802</v>
      </c>
      <c r="AH22" s="41">
        <v>2854.733324551642</v>
      </c>
      <c r="AI22" s="42">
        <v>90.990271645252037</v>
      </c>
      <c r="AJ22" s="41">
        <v>2454.2971693107738</v>
      </c>
      <c r="AK22" s="42">
        <v>69.6920811745441</v>
      </c>
      <c r="AL22" s="41">
        <v>2019.7700795887588</v>
      </c>
      <c r="AM22" s="42">
        <v>46.294924596380007</v>
      </c>
      <c r="AN22" s="41">
        <v>1468.1190142867893</v>
      </c>
      <c r="AO22" s="42">
        <v>22.001993794443035</v>
      </c>
      <c r="AP22" s="41">
        <v>1322.8522471700035</v>
      </c>
      <c r="AQ22" s="42">
        <v>17.289210144491246</v>
      </c>
      <c r="AR22" s="41">
        <v>1153.6921781524791</v>
      </c>
      <c r="AS22" s="42">
        <v>12.681372621604458</v>
      </c>
      <c r="AT22" s="41">
        <v>946.58829698082604</v>
      </c>
      <c r="AU22" s="42">
        <v>8.209884167949884</v>
      </c>
      <c r="AV22" s="41">
        <v>666.7383369790698</v>
      </c>
      <c r="AW22" s="42">
        <v>3.9267870787661936</v>
      </c>
    </row>
    <row r="23" spans="1:49" x14ac:dyDescent="0.2">
      <c r="A23" t="s">
        <v>7</v>
      </c>
      <c r="B23" s="116">
        <v>3278.5018080150408</v>
      </c>
      <c r="C23" s="8">
        <v>0</v>
      </c>
      <c r="D23" s="116">
        <v>3249.0329844183921</v>
      </c>
      <c r="E23" s="8">
        <v>0</v>
      </c>
      <c r="F23" s="116">
        <v>3214.6829886239852</v>
      </c>
      <c r="G23" s="8">
        <v>0</v>
      </c>
      <c r="H23" s="116">
        <v>3174.5611300890887</v>
      </c>
      <c r="I23" s="8">
        <v>0</v>
      </c>
      <c r="J23" s="116">
        <v>3127.5905392218024</v>
      </c>
      <c r="K23" s="8">
        <v>0</v>
      </c>
      <c r="L23" s="116">
        <v>3072.4919005964075</v>
      </c>
      <c r="M23" s="8">
        <v>0</v>
      </c>
      <c r="N23" s="116">
        <v>3007.7514384239907</v>
      </c>
      <c r="O23" s="8">
        <v>0</v>
      </c>
      <c r="P23" s="116">
        <v>2931.6259953732697</v>
      </c>
      <c r="Q23" s="8">
        <v>0</v>
      </c>
      <c r="R23" s="116">
        <v>2842.1774011308053</v>
      </c>
      <c r="S23" s="8">
        <v>0</v>
      </c>
      <c r="T23" s="116">
        <v>2737.3856124697863</v>
      </c>
      <c r="U23" s="8">
        <v>0</v>
      </c>
      <c r="V23" s="116">
        <v>2615.3870747844298</v>
      </c>
      <c r="W23" s="8">
        <v>0</v>
      </c>
      <c r="X23" s="116">
        <v>2474.8972714606562</v>
      </c>
      <c r="Y23" s="8">
        <v>0</v>
      </c>
      <c r="Z23" s="116">
        <v>2315.8495820129724</v>
      </c>
      <c r="AA23" s="8">
        <v>0</v>
      </c>
      <c r="AB23" s="116">
        <v>2140.1628779961752</v>
      </c>
      <c r="AC23" s="8">
        <v>0</v>
      </c>
      <c r="AD23" s="116">
        <v>1952.2595964243278</v>
      </c>
      <c r="AE23" s="8">
        <v>0</v>
      </c>
      <c r="AF23" s="116">
        <v>1758.5781441305546</v>
      </c>
      <c r="AG23" s="8">
        <v>0</v>
      </c>
      <c r="AH23" s="116">
        <v>1565.3701299929464</v>
      </c>
      <c r="AI23" s="8">
        <v>0</v>
      </c>
      <c r="AJ23" s="116">
        <v>1374.9579049143697</v>
      </c>
      <c r="AK23" s="8">
        <v>0</v>
      </c>
      <c r="AL23" s="116">
        <v>1179.7317030650272</v>
      </c>
      <c r="AM23" s="8">
        <v>0</v>
      </c>
      <c r="AN23" s="116">
        <v>938.39400647918183</v>
      </c>
      <c r="AO23" s="8">
        <v>0</v>
      </c>
      <c r="AP23" s="116">
        <v>872.81101268024111</v>
      </c>
      <c r="AQ23" s="8">
        <v>0</v>
      </c>
      <c r="AR23" s="116">
        <v>794.32063256232641</v>
      </c>
      <c r="AS23" s="8">
        <v>0</v>
      </c>
      <c r="AT23" s="116">
        <v>694.3002020085105</v>
      </c>
      <c r="AU23" s="8">
        <v>0</v>
      </c>
      <c r="AV23" s="116">
        <v>549.78171174171234</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3167.9473522264125</v>
      </c>
      <c r="E25" s="42">
        <v>81.934080304628381</v>
      </c>
      <c r="F25" s="41">
        <v>3133.6930859558497</v>
      </c>
      <c r="G25" s="42">
        <v>73.203305827834839</v>
      </c>
      <c r="H25" s="41">
        <v>3090.8994508299998</v>
      </c>
      <c r="I25" s="42">
        <v>64.851780616466613</v>
      </c>
      <c r="J25" s="41">
        <v>3037.8754898198868</v>
      </c>
      <c r="K25" s="42">
        <v>56.911243866136751</v>
      </c>
      <c r="L25" s="41">
        <v>2972.5924954794732</v>
      </c>
      <c r="M25" s="42">
        <v>49.412474369181325</v>
      </c>
      <c r="N25" s="41">
        <v>2892.6215021891499</v>
      </c>
      <c r="O25" s="42">
        <v>42.384726179588732</v>
      </c>
      <c r="P25" s="41">
        <v>2795.1274978889237</v>
      </c>
      <c r="Q25" s="42">
        <v>35.853997889287982</v>
      </c>
      <c r="R25" s="41">
        <v>2676.9034487603039</v>
      </c>
      <c r="S25" s="42">
        <v>29.841409796448996</v>
      </c>
      <c r="T25" s="41">
        <v>2534.5263379705921</v>
      </c>
      <c r="U25" s="42">
        <v>24.361311282518365</v>
      </c>
      <c r="V25" s="41">
        <v>2364.7080737258912</v>
      </c>
      <c r="W25" s="42">
        <v>19.419384699440847</v>
      </c>
      <c r="X25" s="41">
        <v>2164.949000290957</v>
      </c>
      <c r="Y25" s="42">
        <v>15.012126709080324</v>
      </c>
      <c r="Z25" s="41">
        <v>1934.5622325231436</v>
      </c>
      <c r="AA25" s="42">
        <v>11.129333137201181</v>
      </c>
      <c r="AB25" s="41">
        <v>1675.9754559248063</v>
      </c>
      <c r="AC25" s="42">
        <v>7.7627617384917116</v>
      </c>
      <c r="AD25" s="41">
        <v>1395.7734387573</v>
      </c>
      <c r="AE25" s="42">
        <v>4.9236810900465802</v>
      </c>
      <c r="AF25" s="41">
        <v>1104.3679159747455</v>
      </c>
      <c r="AG25" s="42">
        <v>2.6648467893628607</v>
      </c>
      <c r="AH25" s="41">
        <v>813.44300220408854</v>
      </c>
      <c r="AI25" s="42">
        <v>1.0828082024268719</v>
      </c>
      <c r="AJ25" s="41">
        <v>533.32601558345482</v>
      </c>
      <c r="AK25" s="42">
        <v>0.24776099596465967</v>
      </c>
      <c r="AL25" s="41">
        <v>278.92116289855386</v>
      </c>
      <c r="AM25" s="42">
        <v>1.6043047985398795E-2</v>
      </c>
      <c r="AN25" s="41">
        <v>85.066250259359165</v>
      </c>
      <c r="AO25" s="42">
        <v>5.2854221033737136E-5</v>
      </c>
      <c r="AP25" s="41">
        <v>57.516118706976997</v>
      </c>
      <c r="AQ25" s="42">
        <v>7.7274110577909963E-6</v>
      </c>
      <c r="AR25" s="41">
        <v>34.589723893556638</v>
      </c>
      <c r="AS25" s="42">
        <v>6.4891618401206661E-7</v>
      </c>
      <c r="AT25" s="41">
        <v>16.799318162170071</v>
      </c>
      <c r="AU25" s="42">
        <v>2.0612845837038095E-8</v>
      </c>
      <c r="AV25" s="41">
        <v>4.8469806206521122</v>
      </c>
      <c r="AW25" s="42">
        <v>6.9026471858662245E-11</v>
      </c>
    </row>
    <row r="26" spans="1:49" x14ac:dyDescent="0.2">
      <c r="A26" t="s">
        <v>27</v>
      </c>
      <c r="B26" s="33">
        <v>5036.2953101960647</v>
      </c>
      <c r="C26" s="34">
        <v>74.905331803938267</v>
      </c>
      <c r="D26" s="33">
        <v>4994.7921502887293</v>
      </c>
      <c r="E26" s="34">
        <v>70.346319172702991</v>
      </c>
      <c r="F26" s="33">
        <v>4946.5457611179008</v>
      </c>
      <c r="G26" s="34">
        <v>65.774943009782291</v>
      </c>
      <c r="H26" s="33">
        <v>4890.2351885521684</v>
      </c>
      <c r="I26" s="34">
        <v>61.193421404644795</v>
      </c>
      <c r="J26" s="33">
        <v>4824.2434394723941</v>
      </c>
      <c r="K26" s="34">
        <v>56.605073254350536</v>
      </c>
      <c r="L26" s="33">
        <v>4746.6218538398698</v>
      </c>
      <c r="M26" s="34">
        <v>52.014397478196216</v>
      </c>
      <c r="N26" s="33">
        <v>4655.0282912103448</v>
      </c>
      <c r="O26" s="34">
        <v>47.427604364227761</v>
      </c>
      <c r="P26" s="33">
        <v>4546.712792537417</v>
      </c>
      <c r="Q26" s="34">
        <v>42.852699308378</v>
      </c>
      <c r="R26" s="33">
        <v>4418.5405323303485</v>
      </c>
      <c r="S26" s="34">
        <v>38.299587319626433</v>
      </c>
      <c r="T26" s="33">
        <v>4267.1229611839426</v>
      </c>
      <c r="U26" s="34">
        <v>33.779832661365617</v>
      </c>
      <c r="V26" s="33">
        <v>4089.1263674699553</v>
      </c>
      <c r="W26" s="34">
        <v>29.305708587464562</v>
      </c>
      <c r="X26" s="33">
        <v>3881.8469592557781</v>
      </c>
      <c r="Y26" s="34">
        <v>24.888908502995665</v>
      </c>
      <c r="Z26" s="33">
        <v>3644.1038616004967</v>
      </c>
      <c r="AA26" s="34">
        <v>20.539540416392015</v>
      </c>
      <c r="AB26" s="33">
        <v>3377.3183980180638</v>
      </c>
      <c r="AC26" s="34">
        <v>16.268376520648225</v>
      </c>
      <c r="AD26" s="33">
        <v>3086.1884807789547</v>
      </c>
      <c r="AE26" s="34">
        <v>12.09961381640351</v>
      </c>
      <c r="AF26" s="33">
        <v>2777.6873526596592</v>
      </c>
      <c r="AG26" s="34">
        <v>8.1071183551875556</v>
      </c>
      <c r="AH26" s="33">
        <v>2456.8609917150038</v>
      </c>
      <c r="AI26" s="34">
        <v>4.4908301384532585</v>
      </c>
      <c r="AJ26" s="33">
        <v>2118.6724239181699</v>
      </c>
      <c r="AK26" s="34">
        <v>1.687069119695106</v>
      </c>
      <c r="AL26" s="33">
        <v>1735.0854985447022</v>
      </c>
      <c r="AM26" s="34">
        <v>0.26582477593314613</v>
      </c>
      <c r="AN26" s="33">
        <v>1220.6311939047739</v>
      </c>
      <c r="AO26" s="34">
        <v>5.3500737969491684E-3</v>
      </c>
      <c r="AP26" s="33">
        <v>1081.337573934728</v>
      </c>
      <c r="AQ26" s="34">
        <v>1.4322715235617475E-3</v>
      </c>
      <c r="AR26" s="33">
        <v>918.33236985088774</v>
      </c>
      <c r="AS26" s="34">
        <v>2.6177915441435057E-4</v>
      </c>
      <c r="AT26" s="33">
        <v>719.43523614191031</v>
      </c>
      <c r="AU26" s="34">
        <v>2.4468914490180464E-5</v>
      </c>
      <c r="AV26" s="33">
        <v>458.16552526719636</v>
      </c>
      <c r="AW26" s="34">
        <v>4.8173140270980256E-7</v>
      </c>
    </row>
    <row r="27" spans="1:49" x14ac:dyDescent="0.2">
      <c r="A27" t="s">
        <v>2</v>
      </c>
      <c r="B27" s="35">
        <v>6425.1981590000069</v>
      </c>
      <c r="C27" s="36">
        <v>273.22915400000028</v>
      </c>
      <c r="D27" s="35">
        <v>6364.1098138526295</v>
      </c>
      <c r="E27" s="36">
        <v>256.43549772756154</v>
      </c>
      <c r="F27" s="35">
        <v>6293.9728902728921</v>
      </c>
      <c r="G27" s="36">
        <v>239.60650438436491</v>
      </c>
      <c r="H27" s="35">
        <v>6213.1094178454905</v>
      </c>
      <c r="I27" s="36">
        <v>222.75167745000695</v>
      </c>
      <c r="J27" s="35">
        <v>6119.4835945446903</v>
      </c>
      <c r="K27" s="36">
        <v>205.88506374860768</v>
      </c>
      <c r="L27" s="35">
        <v>6010.6635181113725</v>
      </c>
      <c r="M27" s="36">
        <v>189.02492040522367</v>
      </c>
      <c r="N27" s="35">
        <v>5883.7554998535352</v>
      </c>
      <c r="O27" s="36">
        <v>172.19634457842983</v>
      </c>
      <c r="P27" s="35">
        <v>5735.400052981925</v>
      </c>
      <c r="Q27" s="36">
        <v>155.43110237616855</v>
      </c>
      <c r="R27" s="35">
        <v>5561.820424317556</v>
      </c>
      <c r="S27" s="36">
        <v>138.76812746865696</v>
      </c>
      <c r="T27" s="35">
        <v>5359.010632227657</v>
      </c>
      <c r="U27" s="36">
        <v>122.25282008711196</v>
      </c>
      <c r="V27" s="35">
        <v>5123.1493960919033</v>
      </c>
      <c r="W27" s="36">
        <v>105.93322157266701</v>
      </c>
      <c r="X27" s="35">
        <v>4851.3456717080517</v>
      </c>
      <c r="Y27" s="36">
        <v>89.855438559746588</v>
      </c>
      <c r="Z27" s="35">
        <v>4542.7715773846348</v>
      </c>
      <c r="AA27" s="36">
        <v>74.059777152909206</v>
      </c>
      <c r="AB27" s="35">
        <v>4200.0045340320348</v>
      </c>
      <c r="AC27" s="36">
        <v>58.588143403936357</v>
      </c>
      <c r="AD27" s="35">
        <v>3829.8314307180763</v>
      </c>
      <c r="AE27" s="36">
        <v>43.52880461164596</v>
      </c>
      <c r="AF27" s="35">
        <v>3441.9631930476266</v>
      </c>
      <c r="AG27" s="36">
        <v>29.144360428600411</v>
      </c>
      <c r="AH27" s="35">
        <v>3043.9238010137378</v>
      </c>
      <c r="AI27" s="36">
        <v>16.142836334866931</v>
      </c>
      <c r="AJ27" s="35">
        <v>2631.6029906939816</v>
      </c>
      <c r="AK27" s="36">
        <v>6.0720831507705855</v>
      </c>
      <c r="AL27" s="35">
        <v>2175.0223091678622</v>
      </c>
      <c r="AM27" s="36">
        <v>0.96115509399697774</v>
      </c>
      <c r="AN27" s="35">
        <v>1577.6315394799087</v>
      </c>
      <c r="AO27" s="36">
        <v>1.9642508206120571E-2</v>
      </c>
      <c r="AP27" s="35">
        <v>1416.6841364054453</v>
      </c>
      <c r="AQ27" s="36">
        <v>5.2942913119414167E-3</v>
      </c>
      <c r="AR27" s="35">
        <v>1227.4497530033029</v>
      </c>
      <c r="AS27" s="36">
        <v>9.7738022018075332E-4</v>
      </c>
      <c r="AT27" s="35">
        <v>993.61323526216427</v>
      </c>
      <c r="AU27" s="36">
        <v>9.2865457900294084E-5</v>
      </c>
      <c r="AV27" s="35">
        <v>676.30623282026863</v>
      </c>
      <c r="AW27" s="36">
        <v>1.8901314772340916E-6</v>
      </c>
    </row>
    <row r="28" spans="1:49" x14ac:dyDescent="0.2">
      <c r="A28" t="s">
        <v>35</v>
      </c>
      <c r="B28" s="41">
        <v>13763.097676000007</v>
      </c>
      <c r="C28" s="42">
        <v>382.36647900000003</v>
      </c>
      <c r="D28" s="41">
        <v>13641.529839456902</v>
      </c>
      <c r="E28" s="42">
        <v>358.93022609300954</v>
      </c>
      <c r="F28" s="41">
        <v>13501.067561908274</v>
      </c>
      <c r="G28" s="42">
        <v>335.44042058572472</v>
      </c>
      <c r="H28" s="41">
        <v>13338.104190482522</v>
      </c>
      <c r="I28" s="42">
        <v>311.90979653322813</v>
      </c>
      <c r="J28" s="41">
        <v>13148.243514178439</v>
      </c>
      <c r="K28" s="42">
        <v>288.35724181623499</v>
      </c>
      <c r="L28" s="41">
        <v>12926.209753874635</v>
      </c>
      <c r="M28" s="42">
        <v>264.80758056528845</v>
      </c>
      <c r="N28" s="41">
        <v>12665.692180496844</v>
      </c>
      <c r="O28" s="42">
        <v>241.29498317134104</v>
      </c>
      <c r="P28" s="41">
        <v>12359.320836468431</v>
      </c>
      <c r="Q28" s="42">
        <v>217.86291860447841</v>
      </c>
      <c r="R28" s="41">
        <v>11998.749556334706</v>
      </c>
      <c r="S28" s="42">
        <v>194.56480994102657</v>
      </c>
      <c r="T28" s="41">
        <v>11575.036675706742</v>
      </c>
      <c r="U28" s="42">
        <v>171.46299082243294</v>
      </c>
      <c r="V28" s="41">
        <v>11079.51083393314</v>
      </c>
      <c r="W28" s="42">
        <v>148.62349713414454</v>
      </c>
      <c r="X28" s="41">
        <v>10505.357385864812</v>
      </c>
      <c r="Y28" s="42">
        <v>126.1096200811814</v>
      </c>
      <c r="Z28" s="41">
        <v>9850.0557977179797</v>
      </c>
      <c r="AA28" s="42">
        <v>103.97657637831769</v>
      </c>
      <c r="AB28" s="41">
        <v>9118.2972008461675</v>
      </c>
      <c r="AC28" s="42">
        <v>82.282170121767393</v>
      </c>
      <c r="AD28" s="41">
        <v>8323.7721510479842</v>
      </c>
      <c r="AE28" s="42">
        <v>61.15009805478941</v>
      </c>
      <c r="AF28" s="41">
        <v>7486.4249142557765</v>
      </c>
      <c r="AG28" s="42">
        <v>40.950609705557625</v>
      </c>
      <c r="AH28" s="41">
        <v>6621.2195402111529</v>
      </c>
      <c r="AI28" s="42">
        <v>22.682715355244472</v>
      </c>
      <c r="AJ28" s="41">
        <v>5716.8171948647523</v>
      </c>
      <c r="AK28" s="42">
        <v>8.5291203352538414</v>
      </c>
      <c r="AL28" s="41">
        <v>4702.4449950359767</v>
      </c>
      <c r="AM28" s="42">
        <v>1.3483923327481746</v>
      </c>
      <c r="AN28" s="41">
        <v>3355.8601934514732</v>
      </c>
      <c r="AO28" s="42">
        <v>2.7436792570015571E-2</v>
      </c>
      <c r="AP28" s="41">
        <v>2991.3217392334727</v>
      </c>
      <c r="AQ28" s="42">
        <v>7.3802229002266108E-3</v>
      </c>
      <c r="AR28" s="41">
        <v>2563.1593412804887</v>
      </c>
      <c r="AS28" s="42">
        <v>1.3582847676430277E-3</v>
      </c>
      <c r="AT28" s="41">
        <v>2036.5279860132371</v>
      </c>
      <c r="AU28" s="42">
        <v>1.2837586442361999E-4</v>
      </c>
      <c r="AV28" s="41">
        <v>1332.138796865077</v>
      </c>
      <c r="AW28" s="42">
        <v>2.5822367123660485E-6</v>
      </c>
    </row>
    <row r="29" spans="1:49" x14ac:dyDescent="0.2">
      <c r="A29" t="s">
        <v>53</v>
      </c>
      <c r="B29" s="35">
        <v>14362.768558000003</v>
      </c>
      <c r="C29" s="36">
        <v>817.26651000000004</v>
      </c>
      <c r="D29" s="35">
        <v>14219.242157353465</v>
      </c>
      <c r="E29" s="36">
        <v>761.59958574228688</v>
      </c>
      <c r="F29" s="35">
        <v>14055.437442622018</v>
      </c>
      <c r="G29" s="36">
        <v>706.34490404546113</v>
      </c>
      <c r="H29" s="35">
        <v>13867.677032697195</v>
      </c>
      <c r="I29" s="36">
        <v>651.57806343092875</v>
      </c>
      <c r="J29" s="35">
        <v>13651.50909189818</v>
      </c>
      <c r="K29" s="36">
        <v>597.39060670459378</v>
      </c>
      <c r="L29" s="35">
        <v>13401.626866609862</v>
      </c>
      <c r="M29" s="36">
        <v>543.88780215735096</v>
      </c>
      <c r="N29" s="35">
        <v>13111.726383301831</v>
      </c>
      <c r="O29" s="36">
        <v>491.19430311741479</v>
      </c>
      <c r="P29" s="35">
        <v>12774.497686393514</v>
      </c>
      <c r="Q29" s="36">
        <v>439.45068649243996</v>
      </c>
      <c r="R29" s="35">
        <v>12381.724995238945</v>
      </c>
      <c r="S29" s="36">
        <v>388.81064500357689</v>
      </c>
      <c r="T29" s="35">
        <v>11924.68082417659</v>
      </c>
      <c r="U29" s="36">
        <v>339.43289229617847</v>
      </c>
      <c r="V29" s="35">
        <v>11394.992826216287</v>
      </c>
      <c r="W29" s="36">
        <v>291.46332555729879</v>
      </c>
      <c r="X29" s="35">
        <v>10786.200826450486</v>
      </c>
      <c r="Y29" s="36">
        <v>245.01389301576086</v>
      </c>
      <c r="Z29" s="35">
        <v>10096.109460815667</v>
      </c>
      <c r="AA29" s="36">
        <v>200.1450552834215</v>
      </c>
      <c r="AB29" s="35">
        <v>9329.5354470048696</v>
      </c>
      <c r="AC29" s="36">
        <v>156.8860965479808</v>
      </c>
      <c r="AD29" s="35">
        <v>8499.8135686881906</v>
      </c>
      <c r="AE29" s="36">
        <v>115.37372923300018</v>
      </c>
      <c r="AF29" s="35">
        <v>7625.6331128319734</v>
      </c>
      <c r="AG29" s="36">
        <v>76.242525223094347</v>
      </c>
      <c r="AH29" s="35">
        <v>6719.134413540517</v>
      </c>
      <c r="AI29" s="36">
        <v>41.40730176172854</v>
      </c>
      <c r="AJ29" s="35">
        <v>5763.2731382392076</v>
      </c>
      <c r="AK29" s="36">
        <v>15.052341942674722</v>
      </c>
      <c r="AL29" s="35">
        <v>4677.2443554915026</v>
      </c>
      <c r="AM29" s="36">
        <v>2.2295115861151524</v>
      </c>
      <c r="AN29" s="35">
        <v>3231.7755194647339</v>
      </c>
      <c r="AO29" s="36">
        <v>3.9550579510273687E-2</v>
      </c>
      <c r="AP29" s="35">
        <v>2846.1280620038683</v>
      </c>
      <c r="AQ29" s="36">
        <v>1.0163890404537851E-2</v>
      </c>
      <c r="AR29" s="35">
        <v>2398.9398394675368</v>
      </c>
      <c r="AS29" s="36">
        <v>1.7647153848546863E-3</v>
      </c>
      <c r="AT29" s="35">
        <v>1859.7212070087276</v>
      </c>
      <c r="AU29" s="36">
        <v>1.5396024319677278E-4</v>
      </c>
      <c r="AV29" s="35">
        <v>1162.9104274215013</v>
      </c>
      <c r="AW29" s="36">
        <v>2.7208810689023489E-6</v>
      </c>
    </row>
    <row r="30" spans="1:49" x14ac:dyDescent="0.2">
      <c r="A30" t="s">
        <v>48</v>
      </c>
      <c r="B30" s="119">
        <v>2924829.9599999995</v>
      </c>
      <c r="D30" s="119">
        <v>2935536.2301159026</v>
      </c>
      <c r="F30" s="119">
        <v>2942448.4013205068</v>
      </c>
      <c r="H30" s="119">
        <v>2944846.9313957514</v>
      </c>
      <c r="J30" s="119">
        <v>2941862.8644567826</v>
      </c>
      <c r="L30" s="119">
        <v>2932470.8994511794</v>
      </c>
      <c r="N30" s="119">
        <v>2915476.7507145437</v>
      </c>
      <c r="P30" s="119">
        <v>2889545.1898234328</v>
      </c>
      <c r="R30" s="119">
        <v>2853273.7577625359</v>
      </c>
      <c r="T30" s="119">
        <v>2805366.5845798738</v>
      </c>
      <c r="V30" s="119">
        <v>2744974.5654355409</v>
      </c>
      <c r="X30" s="119">
        <v>2672291.3132259743</v>
      </c>
      <c r="Z30" s="119">
        <v>2589504.2319508712</v>
      </c>
      <c r="AB30" s="119">
        <v>2502139.2137897438</v>
      </c>
      <c r="AD30" s="119">
        <v>2420724.8641927075</v>
      </c>
      <c r="AF30" s="119">
        <v>2362851.7493610531</v>
      </c>
      <c r="AH30" s="119">
        <v>2357544.7577328323</v>
      </c>
      <c r="AJ30" s="119">
        <v>2460287.0188635783</v>
      </c>
      <c r="AL30" s="119">
        <v>2795451.4352957001</v>
      </c>
      <c r="AN30" s="119">
        <v>3652247.0698800702</v>
      </c>
      <c r="AP30" s="119">
        <v>3952084.0924311113</v>
      </c>
      <c r="AR30" s="119">
        <v>4336344.1423769891</v>
      </c>
      <c r="AT30" s="119">
        <v>4853335.917476045</v>
      </c>
      <c r="AV30" s="119">
        <v>5599318.7590725776</v>
      </c>
    </row>
    <row r="31" spans="1:49" x14ac:dyDescent="0.2">
      <c r="A31" t="s">
        <v>47</v>
      </c>
      <c r="B31" s="80">
        <v>1</v>
      </c>
      <c r="D31" s="80">
        <v>0.98479795522464675</v>
      </c>
      <c r="F31" s="80">
        <v>0.9681198448609033</v>
      </c>
      <c r="H31" s="80">
        <v>0.94973596729793153</v>
      </c>
      <c r="J31" s="80">
        <v>0.92937418790626725</v>
      </c>
      <c r="L31" s="80">
        <v>0.9067170514738675</v>
      </c>
      <c r="N31" s="80">
        <v>0.88139643313782845</v>
      </c>
      <c r="P31" s="80">
        <v>0.85299660711724423</v>
      </c>
      <c r="R31" s="80">
        <v>0.82106515272515501</v>
      </c>
      <c r="T31" s="80">
        <v>0.78514163704179807</v>
      </c>
      <c r="V31" s="80">
        <v>0.74481502293855328</v>
      </c>
      <c r="X31" s="80">
        <v>0.6998197243254759</v>
      </c>
      <c r="Z31" s="80">
        <v>0.650174990948857</v>
      </c>
      <c r="AB31" s="80">
        <v>0.59633883764047679</v>
      </c>
      <c r="AD31" s="80">
        <v>0.53927620895896677</v>
      </c>
      <c r="AF31" s="80">
        <v>0.48024069533368269</v>
      </c>
      <c r="AH31" s="80">
        <v>0.42004918360313659</v>
      </c>
      <c r="AJ31" s="80">
        <v>0.35777867324048596</v>
      </c>
      <c r="AL31" s="80">
        <v>0.28888287346999758</v>
      </c>
      <c r="AN31" s="80">
        <v>0.20064573286793702</v>
      </c>
      <c r="AP31" s="80">
        <v>0.177720656375497</v>
      </c>
      <c r="AR31" s="80">
        <v>0.15137504717560613</v>
      </c>
      <c r="AT31" s="80">
        <v>0.11978709667728568</v>
      </c>
      <c r="AV31" s="80">
        <v>7.8679768015507551E-2</v>
      </c>
    </row>
    <row r="32" spans="1:49" x14ac:dyDescent="0.2">
      <c r="A32" t="s">
        <v>64</v>
      </c>
      <c r="B32" s="86">
        <v>14734457.915000005</v>
      </c>
      <c r="D32" s="86">
        <v>14590429.574182244</v>
      </c>
      <c r="F32" s="86">
        <v>14430799.720515408</v>
      </c>
      <c r="H32" s="86">
        <v>14252928.83507045</v>
      </c>
      <c r="J32" s="86">
        <v>14053693.61702089</v>
      </c>
      <c r="L32" s="86">
        <v>13829477.638817428</v>
      </c>
      <c r="N32" s="86">
        <v>13576153.645385286</v>
      </c>
      <c r="P32" s="86">
        <v>13289207.183831351</v>
      </c>
      <c r="R32" s="86">
        <v>12964022.470206477</v>
      </c>
      <c r="T32" s="86">
        <v>12596502.760061737</v>
      </c>
      <c r="V32" s="86">
        <v>12184233.356140124</v>
      </c>
      <c r="X32" s="86">
        <v>11728433.303814091</v>
      </c>
      <c r="Z32" s="86">
        <v>11236915.604598682</v>
      </c>
      <c r="AB32" s="86">
        <v>10727941.226371715</v>
      </c>
      <c r="AD32" s="86">
        <v>10234197.440090396</v>
      </c>
      <c r="AF32" s="86">
        <v>9806016.0868111867</v>
      </c>
      <c r="AH32" s="86">
        <v>9517008.7509003449</v>
      </c>
      <c r="AJ32" s="86">
        <v>9488374.2007579282</v>
      </c>
      <c r="AL32" s="86">
        <v>9951148.336676145</v>
      </c>
      <c r="AN32" s="86">
        <v>11283823.799383022</v>
      </c>
      <c r="AP32" s="86">
        <v>11704491.629277235</v>
      </c>
      <c r="AR32" s="86">
        <v>12190521.515256152</v>
      </c>
      <c r="AT32" s="86">
        <v>12730825.795075282</v>
      </c>
      <c r="AV32" s="86">
        <v>13182276.513293786</v>
      </c>
    </row>
    <row r="33" spans="1:49 16319:16321" x14ac:dyDescent="0.2">
      <c r="A33" t="s">
        <v>54</v>
      </c>
      <c r="B33" s="117">
        <v>7019665.6909999885</v>
      </c>
      <c r="D33" s="117">
        <v>6927653.0754305068</v>
      </c>
      <c r="F33" s="117">
        <v>6828618.1299362201</v>
      </c>
      <c r="H33" s="117">
        <v>6721418.9480680311</v>
      </c>
      <c r="J33" s="117">
        <v>6604716.4146640049</v>
      </c>
      <c r="L33" s="117">
        <v>6476969.3860434042</v>
      </c>
      <c r="N33" s="117">
        <v>6336435.7010062831</v>
      </c>
      <c r="P33" s="117">
        <v>6181225.8231152175</v>
      </c>
      <c r="R33" s="117">
        <v>6009431.095084114</v>
      </c>
      <c r="T33" s="117">
        <v>5819387.5206442541</v>
      </c>
      <c r="V33" s="117">
        <v>5610167.5415375801</v>
      </c>
      <c r="X33" s="117">
        <v>5382383.168431107</v>
      </c>
      <c r="Z33" s="117">
        <v>5139382.6605023677</v>
      </c>
      <c r="AB33" s="117">
        <v>4888740.6727786427</v>
      </c>
      <c r="AD33" s="117">
        <v>4643634.4058829341</v>
      </c>
      <c r="AF33" s="117">
        <v>4423533.1052422803</v>
      </c>
      <c r="AH33" s="117">
        <v>4254951.7812230512</v>
      </c>
      <c r="AJ33" s="117">
        <v>4176984.2390405927</v>
      </c>
      <c r="AL33" s="117">
        <v>4253152.0973038655</v>
      </c>
      <c r="AN33" s="117">
        <v>4537108.6340068402</v>
      </c>
      <c r="AP33" s="117">
        <v>4609444.4161488004</v>
      </c>
      <c r="AR33" s="117">
        <v>4670704.4810229996</v>
      </c>
      <c r="AT33" s="117">
        <v>4685802.5895242039</v>
      </c>
      <c r="AV33" s="117">
        <v>4513023.9942868743</v>
      </c>
    </row>
    <row r="34" spans="1:49 16319:16321" x14ac:dyDescent="0.2">
      <c r="A34" t="s">
        <v>75</v>
      </c>
      <c r="B34" s="117">
        <v>1136879.4410000162</v>
      </c>
      <c r="D34" s="117">
        <v>1119997.6686057528</v>
      </c>
      <c r="F34" s="117">
        <v>1096694.4210575945</v>
      </c>
      <c r="H34" s="117">
        <v>1065720.5614211811</v>
      </c>
      <c r="J34" s="117">
        <v>1025532.8441529134</v>
      </c>
      <c r="L34" s="117">
        <v>974251.96506153885</v>
      </c>
      <c r="N34" s="117">
        <v>909577.6512338774</v>
      </c>
      <c r="P34" s="117">
        <v>828739.11657630489</v>
      </c>
      <c r="R34" s="117">
        <v>728444.73580290354</v>
      </c>
      <c r="T34" s="117">
        <v>604887.35734651401</v>
      </c>
      <c r="V34" s="117">
        <v>453832.18133869686</v>
      </c>
      <c r="X34" s="117">
        <v>270840.32907900587</v>
      </c>
      <c r="Z34" s="117">
        <v>51623.285339501512</v>
      </c>
      <c r="AB34" s="117">
        <v>-207621.08879309584</v>
      </c>
      <c r="AD34" s="117">
        <v>-510511.4611819188</v>
      </c>
      <c r="AF34" s="117">
        <v>-863036.19364168833</v>
      </c>
      <c r="AH34" s="117">
        <v>-1282009.0318530691</v>
      </c>
      <c r="AJ34" s="117">
        <v>-1819494.2804263742</v>
      </c>
      <c r="AL34" s="117">
        <v>-2646037.056175997</v>
      </c>
      <c r="AN34" s="117">
        <v>-4492100.6638410622</v>
      </c>
      <c r="AP34" s="117">
        <v>-5239923.6800010819</v>
      </c>
      <c r="AR34" s="117">
        <v>-6324556.7305171946</v>
      </c>
      <c r="AT34" s="117">
        <v>-8081195.8874560315</v>
      </c>
      <c r="AV34" s="117">
        <v>-11634878.438833576</v>
      </c>
    </row>
    <row r="35" spans="1:49 16319:16321" x14ac:dyDescent="0.2">
      <c r="A35" t="s">
        <v>78</v>
      </c>
      <c r="B35" s="233">
        <v>1</v>
      </c>
      <c r="D35" s="233">
        <v>1.0021271054496257</v>
      </c>
      <c r="F35" s="233">
        <v>1.0048224667213077</v>
      </c>
      <c r="H35" s="233">
        <v>1.0082052053774042</v>
      </c>
      <c r="J35" s="233">
        <v>1.0124303847073</v>
      </c>
      <c r="L35" s="233">
        <v>1.0177012278214015</v>
      </c>
      <c r="N35" s="233">
        <v>1.024290209073393</v>
      </c>
      <c r="P35" s="233">
        <v>1.0325677140823697</v>
      </c>
      <c r="R35" s="233">
        <v>1.0430475742932739</v>
      </c>
      <c r="T35" s="233">
        <v>1.0564567581836903</v>
      </c>
      <c r="V35" s="233">
        <v>1.0738457725360326</v>
      </c>
      <c r="X35" s="233">
        <v>1.0967648522061688</v>
      </c>
      <c r="Z35" s="233">
        <v>1.1275514365374133</v>
      </c>
      <c r="AB35" s="233">
        <v>1.1698131630377371</v>
      </c>
      <c r="AD35" s="233">
        <v>1.2293158284488999</v>
      </c>
      <c r="AF35" s="233">
        <v>1.3159414519813448</v>
      </c>
      <c r="AH35" s="233">
        <v>1.4490947193916897</v>
      </c>
      <c r="AJ35" s="233">
        <v>1.6753407639534688</v>
      </c>
      <c r="AL35" s="233">
        <v>2.1329452575283065</v>
      </c>
      <c r="AN35" s="233">
        <v>3.4078884591874026</v>
      </c>
      <c r="AP35" s="233">
        <v>3.9884421201266553</v>
      </c>
      <c r="AR35" s="233">
        <v>4.8962975158926936</v>
      </c>
      <c r="AT35" s="233">
        <v>6.5511243558388532</v>
      </c>
      <c r="AV35" s="233">
        <v>10.748105177254782</v>
      </c>
    </row>
    <row r="36" spans="1:49 16319:16321" x14ac:dyDescent="0.2">
      <c r="A36" t="s">
        <v>21</v>
      </c>
      <c r="B36" s="37">
        <v>0.4719576767198812</v>
      </c>
      <c r="C36" s="38">
        <v>0.31738834428178975</v>
      </c>
      <c r="D36" s="37">
        <v>0.47196385939572388</v>
      </c>
      <c r="E36" s="38">
        <v>0.31843759708081382</v>
      </c>
      <c r="F36" s="37">
        <v>0.47196677435968809</v>
      </c>
      <c r="G36" s="38">
        <v>0.31954681235080168</v>
      </c>
      <c r="H36" s="37">
        <v>0.47196554439406757</v>
      </c>
      <c r="I36" s="38">
        <v>0.32071760610021038</v>
      </c>
      <c r="J36" s="37">
        <v>0.4719590740328411</v>
      </c>
      <c r="K36" s="38">
        <v>0.3219503963040487</v>
      </c>
      <c r="L36" s="37">
        <v>0.47194603039366601</v>
      </c>
      <c r="M36" s="38">
        <v>0.32324401501658445</v>
      </c>
      <c r="N36" s="37">
        <v>0.47192481105717399</v>
      </c>
      <c r="O36" s="38">
        <v>0.32459495548053674</v>
      </c>
      <c r="P36" s="37">
        <v>0.47189358642391305</v>
      </c>
      <c r="Q36" s="38">
        <v>0.32599678654400926</v>
      </c>
      <c r="R36" s="37">
        <v>0.47185044719144958</v>
      </c>
      <c r="S36" s="38">
        <v>0.32743959681206425</v>
      </c>
      <c r="T36" s="37">
        <v>0.47179382200233111</v>
      </c>
      <c r="U36" s="38">
        <v>0.32891015490494196</v>
      </c>
      <c r="V36" s="37">
        <v>0.47172344184857007</v>
      </c>
      <c r="W36" s="38">
        <v>0.33039373599049882</v>
      </c>
      <c r="X36" s="37">
        <v>0.47164239586866286</v>
      </c>
      <c r="Y36" s="38">
        <v>0.33187979184909078</v>
      </c>
      <c r="Z36" s="37">
        <v>0.47156123908408359</v>
      </c>
      <c r="AA36" s="38">
        <v>0.33337531506505585</v>
      </c>
      <c r="AB36" s="37">
        <v>0.47150570541981729</v>
      </c>
      <c r="AC36" s="38">
        <v>0.33493237842683443</v>
      </c>
      <c r="AD36" s="37">
        <v>0.47153040543569213</v>
      </c>
      <c r="AE36" s="38">
        <v>0.33669981886014366</v>
      </c>
      <c r="AF36" s="37">
        <v>0.47174347586124299</v>
      </c>
      <c r="AG36" s="38">
        <v>0.33901701856195021</v>
      </c>
      <c r="AH36" s="37">
        <v>0.47236113014747366</v>
      </c>
      <c r="AI36" s="38">
        <v>0.34260798882270793</v>
      </c>
      <c r="AJ36" s="37">
        <v>0.47387328476421353</v>
      </c>
      <c r="AK36" s="38">
        <v>0.34910882593715237</v>
      </c>
      <c r="AL36" s="37">
        <v>0.47762096761907014</v>
      </c>
      <c r="AM36" s="38">
        <v>0.36265136033506301</v>
      </c>
      <c r="AN36" s="37">
        <v>0.48843272455053954</v>
      </c>
      <c r="AO36" s="38">
        <v>0.39543154991531282</v>
      </c>
      <c r="AP36" s="37">
        <v>0.49305634882006505</v>
      </c>
      <c r="AQ36" s="38">
        <v>0.40771597469519993</v>
      </c>
      <c r="AR36" s="37">
        <v>0.49987396156131736</v>
      </c>
      <c r="AS36" s="38">
        <v>0.42448389120479663</v>
      </c>
      <c r="AT36" s="37">
        <v>0.51122017997647318</v>
      </c>
      <c r="AU36" s="38">
        <v>0.44967918977584648</v>
      </c>
      <c r="AV36" s="37">
        <v>0.53577029734131054</v>
      </c>
      <c r="AW36" s="38">
        <v>0.49651250461252866</v>
      </c>
    </row>
    <row r="37" spans="1:49 16319:16321" x14ac:dyDescent="0.2">
      <c r="B37" s="39">
        <v>2.1403217525954435E-2</v>
      </c>
      <c r="C37" s="40">
        <v>0.34962461301992531</v>
      </c>
      <c r="D37" s="39">
        <v>2.0843069964644384E-2</v>
      </c>
      <c r="E37" s="40">
        <v>0.34688225592566374</v>
      </c>
      <c r="F37" s="39">
        <v>2.0283274174758299E-2</v>
      </c>
      <c r="G37" s="40">
        <v>0.34413598448452193</v>
      </c>
      <c r="H37" s="39">
        <v>1.9725253301945168E-2</v>
      </c>
      <c r="I37" s="40">
        <v>0.34139352773029397</v>
      </c>
      <c r="J37" s="39">
        <v>1.9170818429965791E-2</v>
      </c>
      <c r="K37" s="40">
        <v>0.3386646633666337</v>
      </c>
      <c r="L37" s="39">
        <v>1.8622174203865631E-2</v>
      </c>
      <c r="M37" s="40">
        <v>0.3359612442022078</v>
      </c>
      <c r="N37" s="39">
        <v>1.8082032304130174E-2</v>
      </c>
      <c r="O37" s="40">
        <v>0.33329774758642844</v>
      </c>
      <c r="P37" s="39">
        <v>1.7553602199718115E-2</v>
      </c>
      <c r="Q37" s="40">
        <v>0.3306911944106507</v>
      </c>
      <c r="R37" s="39">
        <v>1.7040554323571436E-2</v>
      </c>
      <c r="S37" s="40">
        <v>0.32816089965726303</v>
      </c>
      <c r="T37" s="39">
        <v>1.6546769495453029E-2</v>
      </c>
      <c r="U37" s="40">
        <v>0.32572711186198899</v>
      </c>
      <c r="V37" s="39">
        <v>1.6075711827780999E-2</v>
      </c>
      <c r="W37" s="40">
        <v>0.32340770735656588</v>
      </c>
      <c r="X37" s="39">
        <v>1.5629019651587611E-2</v>
      </c>
      <c r="Y37" s="40">
        <v>0.32121088605603132</v>
      </c>
      <c r="Z37" s="39">
        <v>1.5203669240967044E-2</v>
      </c>
      <c r="AA37" s="40">
        <v>0.31912060899287137</v>
      </c>
      <c r="AB37" s="39">
        <v>1.4786735759230075E-2</v>
      </c>
      <c r="AC37" s="40">
        <v>0.31706988490214744</v>
      </c>
      <c r="AD37" s="39">
        <v>1.4346691073411072E-2</v>
      </c>
      <c r="AE37" s="40">
        <v>0.314896723465108</v>
      </c>
      <c r="AF37" s="39">
        <v>1.3820631689828083E-2</v>
      </c>
      <c r="AG37" s="40">
        <v>0.31228034523235343</v>
      </c>
      <c r="AH37" s="39">
        <v>1.3096152537324508E-2</v>
      </c>
      <c r="AI37" s="40">
        <v>0.3086535835607741</v>
      </c>
      <c r="AJ37" s="39">
        <v>1.1982558373004874E-2</v>
      </c>
      <c r="AK37" s="40">
        <v>0.3030755259358901</v>
      </c>
      <c r="AL37" s="39">
        <v>1.0197938155672912E-2</v>
      </c>
      <c r="AM37" s="40">
        <v>0.29425116201616386</v>
      </c>
      <c r="AN37" s="39">
        <v>7.4940857957816543E-3</v>
      </c>
      <c r="AO37" s="40">
        <v>0.28150638728098193</v>
      </c>
      <c r="AP37" s="39">
        <v>6.8119200018768207E-3</v>
      </c>
      <c r="AQ37" s="40">
        <v>0.27848469734075482</v>
      </c>
      <c r="AR37" s="39">
        <v>6.0556083112660829E-3</v>
      </c>
      <c r="AS37" s="40">
        <v>0.27526402465585315</v>
      </c>
      <c r="AT37" s="39">
        <v>5.1858024383329409E-3</v>
      </c>
      <c r="AU37" s="40">
        <v>0.27176614747881728</v>
      </c>
      <c r="AV37" s="39">
        <v>4.0917240082771721E-3</v>
      </c>
      <c r="AW37" s="40">
        <v>0.26776751295506884</v>
      </c>
    </row>
    <row r="38" spans="1:49 16319:16321" x14ac:dyDescent="0.2">
      <c r="A38" t="s">
        <v>22</v>
      </c>
      <c r="B38" s="37">
        <v>0.18079094942242827</v>
      </c>
      <c r="C38" s="38">
        <v>6.0565413429233668E-2</v>
      </c>
      <c r="D38" s="37">
        <v>0.18110871103187273</v>
      </c>
      <c r="E38" s="38">
        <v>6.0939508353609943E-2</v>
      </c>
      <c r="F38" s="37">
        <v>0.18144856584967969</v>
      </c>
      <c r="G38" s="38">
        <v>6.1336146106675066E-2</v>
      </c>
      <c r="H38" s="37">
        <v>0.18181217213358111</v>
      </c>
      <c r="I38" s="38">
        <v>6.1756268259106982E-2</v>
      </c>
      <c r="J38" s="37">
        <v>0.18220110925258703</v>
      </c>
      <c r="K38" s="38">
        <v>6.2200418159149347E-2</v>
      </c>
      <c r="L38" s="37">
        <v>0.18261680458042498</v>
      </c>
      <c r="M38" s="38">
        <v>6.2668735496446734E-2</v>
      </c>
      <c r="N38" s="37">
        <v>0.18306032781840256</v>
      </c>
      <c r="O38" s="38">
        <v>6.3160557420780264E-2</v>
      </c>
      <c r="P38" s="37">
        <v>0.18353217470195973</v>
      </c>
      <c r="Q38" s="38">
        <v>6.3674295818788043E-2</v>
      </c>
      <c r="R38" s="37">
        <v>0.18403191985531325</v>
      </c>
      <c r="S38" s="38">
        <v>6.420717140846359E-2</v>
      </c>
      <c r="T38" s="37">
        <v>0.18455779007553508</v>
      </c>
      <c r="U38" s="38">
        <v>6.4755075384717947E-2</v>
      </c>
      <c r="V38" s="37">
        <v>0.18510613203491616</v>
      </c>
      <c r="W38" s="38">
        <v>6.5313037443629693E-2</v>
      </c>
      <c r="X38" s="37">
        <v>0.18567087171916044</v>
      </c>
      <c r="Y38" s="38">
        <v>6.5876608669754186E-2</v>
      </c>
      <c r="Z38" s="37">
        <v>0.18624312663348477</v>
      </c>
      <c r="AA38" s="38">
        <v>6.6445491543572988E-2</v>
      </c>
      <c r="AB38" s="37">
        <v>0.18681135174672706</v>
      </c>
      <c r="AC38" s="38">
        <v>6.7031415226020408E-2</v>
      </c>
      <c r="AD38" s="37">
        <v>0.18736268217288196</v>
      </c>
      <c r="AE38" s="38">
        <v>6.7673064159182228E-2</v>
      </c>
      <c r="AF38" s="37">
        <v>0.18788607930726675</v>
      </c>
      <c r="AG38" s="38">
        <v>6.8463289428008403E-2</v>
      </c>
      <c r="AH38" s="37">
        <v>0.1883763354105609</v>
      </c>
      <c r="AI38" s="38">
        <v>6.960438828113856E-2</v>
      </c>
      <c r="AJ38" s="37">
        <v>0.18883136713474011</v>
      </c>
      <c r="AK38" s="38">
        <v>7.1553052104171191E-2</v>
      </c>
      <c r="AL38" s="37">
        <v>0.18919860599240004</v>
      </c>
      <c r="AM38" s="38">
        <v>7.5433588476660318E-2</v>
      </c>
      <c r="AN38" s="37">
        <v>0.18896995924148965</v>
      </c>
      <c r="AO38" s="38">
        <v>8.4346177778208922E-2</v>
      </c>
      <c r="AP38" s="37">
        <v>0.18863968291623742</v>
      </c>
      <c r="AQ38" s="38">
        <v>8.7540580640557641E-2</v>
      </c>
      <c r="AR38" s="37">
        <v>0.18803823069662112</v>
      </c>
      <c r="AS38" s="38">
        <v>9.1777556066908128E-2</v>
      </c>
      <c r="AT38" s="37">
        <v>0.18690799245165909</v>
      </c>
      <c r="AU38" s="38">
        <v>9.7883988647575443E-2</v>
      </c>
      <c r="AV38" s="37">
        <v>0.18454130113526188</v>
      </c>
      <c r="AW38" s="38">
        <v>0.10846778687934017</v>
      </c>
    </row>
    <row r="39" spans="1:49 16319:16321" x14ac:dyDescent="0.2">
      <c r="A39" t="s">
        <v>23</v>
      </c>
      <c r="B39" s="39">
        <v>0.23064923795098646</v>
      </c>
      <c r="C39" s="40">
        <v>0.22092201281804777</v>
      </c>
      <c r="D39" s="39">
        <v>0.23075949720660832</v>
      </c>
      <c r="E39" s="40">
        <v>0.22214457472274884</v>
      </c>
      <c r="F39" s="39">
        <v>0.23087471734592518</v>
      </c>
      <c r="G39" s="40">
        <v>0.22343675096523249</v>
      </c>
      <c r="H39" s="39">
        <v>0.23099480401402533</v>
      </c>
      <c r="I39" s="40">
        <v>0.22480051012026842</v>
      </c>
      <c r="J39" s="39">
        <v>0.23111949323622671</v>
      </c>
      <c r="K39" s="40">
        <v>0.22623656011084248</v>
      </c>
      <c r="L39" s="39">
        <v>0.23124828538799039</v>
      </c>
      <c r="M39" s="40">
        <v>0.22774372699554069</v>
      </c>
      <c r="N39" s="39">
        <v>0.23138037907100822</v>
      </c>
      <c r="O39" s="40">
        <v>0.22931828953177338</v>
      </c>
      <c r="P39" s="39">
        <v>0.23151461122356459</v>
      </c>
      <c r="Q39" s="40">
        <v>0.23095315235382521</v>
      </c>
      <c r="R39" s="39">
        <v>0.23164945146216159</v>
      </c>
      <c r="S39" s="40">
        <v>0.23263720499269563</v>
      </c>
      <c r="T39" s="39">
        <v>0.23178314013262333</v>
      </c>
      <c r="U39" s="40">
        <v>0.23435552982444097</v>
      </c>
      <c r="V39" s="39">
        <v>0.23191417513818291</v>
      </c>
      <c r="W39" s="40">
        <v>0.23609121910327835</v>
      </c>
      <c r="X39" s="39">
        <v>0.2320425275214098</v>
      </c>
      <c r="Y39" s="40">
        <v>0.23783170572293688</v>
      </c>
      <c r="Z39" s="39">
        <v>0.23217230196678612</v>
      </c>
      <c r="AA39" s="40">
        <v>0.23958366140487103</v>
      </c>
      <c r="AB39" s="39">
        <v>0.23231701364175331</v>
      </c>
      <c r="AC39" s="40">
        <v>0.24140369279296731</v>
      </c>
      <c r="AD39" s="39">
        <v>0.23250928891686828</v>
      </c>
      <c r="AE39" s="40">
        <v>0.24345633108247519</v>
      </c>
      <c r="AF39" s="39">
        <v>0.23281848795632876</v>
      </c>
      <c r="AG39" s="40">
        <v>0.24611936027068201</v>
      </c>
      <c r="AH39" s="39">
        <v>0.23338854450356633</v>
      </c>
      <c r="AI39" s="40">
        <v>0.25020145798655091</v>
      </c>
      <c r="AJ39" s="39">
        <v>0.2345474387067438</v>
      </c>
      <c r="AK39" s="40">
        <v>0.25753306547776061</v>
      </c>
      <c r="AL39" s="39">
        <v>0.23717055398254683</v>
      </c>
      <c r="AM39" s="40">
        <v>0.27274875928437947</v>
      </c>
      <c r="AN39" s="39">
        <v>0.24423836552948586</v>
      </c>
      <c r="AO39" s="40">
        <v>0.30967245537961213</v>
      </c>
      <c r="AP39" s="39">
        <v>0.2471409971555453</v>
      </c>
      <c r="AQ39" s="40">
        <v>0.32358762141348302</v>
      </c>
      <c r="AR39" s="39">
        <v>0.25133327257235044</v>
      </c>
      <c r="AS39" s="40">
        <v>0.34266123350044986</v>
      </c>
      <c r="AT39" s="39">
        <v>0.25813894808957705</v>
      </c>
      <c r="AU39" s="40">
        <v>0.37149344857583178</v>
      </c>
      <c r="AV39" s="39">
        <v>0.27240467754040243</v>
      </c>
      <c r="AW39" s="40">
        <v>0.4255864929985973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0.11603870964617967</v>
      </c>
      <c r="E42" s="135"/>
      <c r="F42" s="177">
        <f>10.8%+(1-10.8%)*(1-SUM(F26:G26)/SUM($B$26:$C$26))</f>
        <v>0.1252563964437908</v>
      </c>
      <c r="G42" s="135"/>
      <c r="H42" s="177">
        <f>10.8%+(1-10.8%)*(1-SUM(H26:I26)/SUM($B$26:$C$26))</f>
        <v>0.13588320446891297</v>
      </c>
      <c r="I42" s="135"/>
      <c r="J42" s="177">
        <f>10.8%+(1-10.8%)*(1-SUM(J26:K26)/SUM($B$26:$C$26))</f>
        <v>0.14820075002012537</v>
      </c>
      <c r="K42" s="135"/>
      <c r="L42" s="177">
        <f>10.8%+(1-10.8%)*(1-SUM(L26:M26)/SUM($B$26:$C$26))</f>
        <v>0.16254832553378143</v>
      </c>
      <c r="M42" s="135"/>
      <c r="N42" s="177">
        <f>10.8%+(1-10.8%)*(1-SUM(N26:O26)/SUM($B$26:$C$26))</f>
        <v>0.17933359446222352</v>
      </c>
      <c r="O42" s="135"/>
      <c r="P42" s="177">
        <f>10.8%+(1-10.8%)*(1-SUM(P26:Q26)/SUM($B$26:$C$26))</f>
        <v>0.19903507894291611</v>
      </c>
      <c r="Q42" s="135"/>
      <c r="R42" s="177">
        <f>10.8%+(1-10.8%)*(1-SUM(R26:S26)/SUM($B$26:$C$26))</f>
        <v>0.22219813598000887</v>
      </c>
      <c r="S42" s="135"/>
      <c r="T42" s="177">
        <f>10.8%+(1-10.8%)*(1-SUM(T26:U26)/SUM($B$26:$C$26))</f>
        <v>0.2494121125699271</v>
      </c>
      <c r="U42" s="135"/>
      <c r="V42" s="177">
        <f>10.8%+(1-10.8%)*(1-SUM(V26:W26)/SUM($B$26:$C$26))</f>
        <v>0.281256661760449</v>
      </c>
      <c r="W42" s="135"/>
      <c r="X42" s="177">
        <f>10.8%+(1-10.8%)*(1-SUM(X26:Y26)/SUM($B$26:$C$26))</f>
        <v>0.31820160503868877</v>
      </c>
      <c r="Y42" s="162"/>
      <c r="Z42" s="177">
        <f>10.8%+(1-10.8%)*(1-SUM(Z26:AA26)/SUM($B$26:$C$26))</f>
        <v>0.36045126310675124</v>
      </c>
      <c r="AA42" s="135"/>
      <c r="AB42" s="177">
        <f>10.8%+(1-10.8%)*(1-SUM(AB26:AC26)/SUM($B$26:$C$26))</f>
        <v>0.40775570850921616</v>
      </c>
      <c r="AC42" s="135"/>
      <c r="AD42" s="177">
        <f>10.8%+(1-10.8%)*(1-SUM(AD26:AE26)/SUM($B$26:$C$26))</f>
        <v>0.45929084495934802</v>
      </c>
      <c r="AE42" s="135"/>
      <c r="AF42" s="177">
        <f>10.8%+(1-10.8%)*(1-SUM(AF26:AG26)/SUM($B$26:$C$26))</f>
        <v>0.51382682031185234</v>
      </c>
      <c r="AG42" s="135"/>
      <c r="AH42" s="177">
        <f>10.8%+(1-10.8%)*(1-SUM(AH26:AI26)/SUM($B$26:$C$26))</f>
        <v>0.57044812386113275</v>
      </c>
      <c r="AI42" s="135"/>
      <c r="AJ42" s="177">
        <f>10.8%+(1-10.8%)*(1-SUM(AJ26:AK26)/SUM($B$26:$C$26))</f>
        <v>0.62995765569287265</v>
      </c>
      <c r="AK42" s="135"/>
      <c r="AL42" s="177">
        <f>10.8%+(1-10.8%)*(1-SUM(AL26:AM26)/SUM($B$26:$C$26))</f>
        <v>0.69714877407037124</v>
      </c>
      <c r="AM42" s="135"/>
      <c r="AN42" s="177">
        <f>10.8%+(1-10.8%)*(1-SUM(AN26:AO26)/SUM($B$26:$C$26))</f>
        <v>0.78697611901949582</v>
      </c>
      <c r="AO42" s="135"/>
      <c r="AP42" s="177">
        <f>10.8%+(1-10.8%)*(1-SUM(AP26:AQ26)/SUM($B$26:$C$26))</f>
        <v>0.81128614173155444</v>
      </c>
      <c r="AQ42" s="135"/>
      <c r="AR42" s="177">
        <f>10.8%+(1-10.8%)*(1-SUM(AR26:AS26)/SUM($B$26:$C$26))</f>
        <v>0.83973379939679604</v>
      </c>
      <c r="AS42" s="135"/>
      <c r="AT42" s="177">
        <f>10.8%+(1-10.8%)*(1-SUM(AT26:AU26)/SUM($B$26:$C$26))</f>
        <v>0.87444510646059359</v>
      </c>
      <c r="AU42" s="135"/>
      <c r="AV42" s="177">
        <f>10.8%+(1-10.8%)*(1-SUM(AV26:AW26)/SUM($B$26:$C$26))</f>
        <v>0.92004155626179318</v>
      </c>
    </row>
    <row r="43" spans="1:49 16319:16321" x14ac:dyDescent="0.2">
      <c r="A43" t="s">
        <v>108</v>
      </c>
      <c r="B43" s="162">
        <f>SUM(B15:C15*B27:C27)/SUM(B15:C15*B27:C27,B13:C13*B26:C26)</f>
        <v>0.56058995943839085</v>
      </c>
      <c r="C43" s="135"/>
      <c r="D43" s="162">
        <f t="array" ref="D43">SUM(D15:E15*D27:E27)/SUM(D15:E15*D27:E27,D13:E13*D26:E26)</f>
        <v>0.56759777050542803</v>
      </c>
      <c r="E43" s="135"/>
      <c r="F43" s="162">
        <f t="array" ref="F43">SUM(F15:G15*F27:G27)/SUM(F15:G15*F27:G27,F13:G13*F26:G26)</f>
        <v>0.56805052591544158</v>
      </c>
      <c r="G43" s="135"/>
      <c r="H43" s="162">
        <f t="array" ref="H43">SUM(H15:I15*H27:I27)/SUM(H15:I15*H27:I27,H13:I13*H26:I26)</f>
        <v>0.56856406157599482</v>
      </c>
      <c r="I43" s="135"/>
      <c r="J43" s="162">
        <f t="array" ref="J43">SUM(J15:K15*J27:K27)/SUM(J15:K15*J27:K27,J13:K13*J26:K26)</f>
        <v>0.56914387349067996</v>
      </c>
      <c r="K43" s="135"/>
      <c r="L43" s="162">
        <f t="array" ref="L43">SUM(L15:M15*L27:M27)/SUM(L15:M15*L27:M27,L13:M13*L26:M26)</f>
        <v>0.56979540233132964</v>
      </c>
      <c r="M43" s="135"/>
      <c r="N43" s="162">
        <f t="array" ref="N43">SUM(N15:O15*N27:O27)/SUM(N15:O15*N27:O27,N13:O13*N26:O26)</f>
        <v>0.5705237108652792</v>
      </c>
      <c r="O43" s="135"/>
      <c r="P43" s="162">
        <f t="array" ref="P43">SUM(P15:Q15*P27:Q27)/SUM(P15:Q15*P27:Q27,P13:Q13*P26:Q26)</f>
        <v>0.57133275178974163</v>
      </c>
      <c r="Q43" s="135"/>
      <c r="R43" s="162">
        <f t="array" ref="R43">SUM(R15:S15*R27:S27)/SUM(R15:S15*R27:S27,R13:S13*R26:S26)</f>
        <v>0.57222421961125236</v>
      </c>
      <c r="S43" s="135"/>
      <c r="T43" s="162">
        <f t="array" ref="T43">SUM(T15:U15*T27:U27)/SUM(T15:U15*T27:U27,T13:U13*T26:U26)</f>
        <v>0.57319560792985635</v>
      </c>
      <c r="U43" s="135"/>
      <c r="V43" s="162">
        <f t="array" ref="V43">SUM(V15:W15*V27:W27)/SUM(V15:W15*V27:W27,V13:W13*V26:W26)</f>
        <v>0.57423690911654257</v>
      </c>
      <c r="W43" s="135"/>
      <c r="X43" s="162">
        <f t="array" ref="X43">SUM(X15:Y15*X27:Y27)/SUM(X15:Y15*X27:Y27,X13:Y13*X26:Y26)</f>
        <v>0.57532520081158534</v>
      </c>
      <c r="Y43" s="135"/>
      <c r="Z43" s="162">
        <f t="array" ref="Z43">SUM(Z15:AA15*Z27:AA27)/SUM(Z15:AA15*Z27:AA27,Z13:AA13*Z26:AA26)</f>
        <v>0.5764158665420237</v>
      </c>
      <c r="AA43" s="135"/>
      <c r="AB43" s="162">
        <f t="array" ref="AB43">SUM(AB15:AC15*AB27:AC27)/SUM(AB15:AC15*AB27:AC27,AB13:AC13*AB26:AC26)</f>
        <v>0.57742910779186352</v>
      </c>
      <c r="AC43" s="135"/>
      <c r="AD43" s="162">
        <f t="array" ref="AD43">SUM(AD15:AE15*AD27:AE27)/SUM(AD15:AE15*AD27:AE27,AD13:AE13*AD26:AE26)</f>
        <v>0.57823088529884237</v>
      </c>
      <c r="AE43" s="135"/>
      <c r="AF43" s="162">
        <f t="array" ref="AF43">SUM(AF15:AG15*AF27:AG27)/SUM(AF15:AG15*AF27:AG27,AF13:AG13*AF26:AG26)</f>
        <v>0.57860563053120628</v>
      </c>
      <c r="AG43" s="135"/>
      <c r="AH43" s="162">
        <f t="array" ref="AH43">SUM(AH15:AI15*AH27:AI27)/SUM(AH15:AI15*AH27:AI27,AH13:AI13*AH26:AI26)</f>
        <v>0.57819597564107028</v>
      </c>
      <c r="AI43" s="135"/>
      <c r="AJ43" s="162">
        <f t="array" ref="AJ43">SUM(AJ15:AK15*AJ27:AK27)/SUM(AJ15:AK15*AJ27:AK27,AJ13:AK13*AJ26:AK26)</f>
        <v>0.57627240013056602</v>
      </c>
      <c r="AK43" s="135"/>
      <c r="AL43" s="162">
        <f t="array" ref="AL43">SUM(AL15:AM15*AL27:AM27)/SUM(AL15:AM15*AL27:AM27,AL13:AM13*AL26:AM26)</f>
        <v>0.57073546816459808</v>
      </c>
      <c r="AM43" s="135"/>
      <c r="AN43" s="162">
        <f t="array" ref="AN43">SUM(AN15:AO15*AN27:AO27)/SUM(AN15:AO15*AN27:AO27,AN13:AO13*AN26:AO26)</f>
        <v>0.55310686336587467</v>
      </c>
      <c r="AO43" s="135"/>
      <c r="AP43" s="162">
        <f t="array" ref="AP43">SUM(AP15:AQ15*AP27:AQ27)/SUM(AP15:AQ15*AP27:AQ27,AP13:AQ13*AP26:AQ26)</f>
        <v>0.54527007229345814</v>
      </c>
      <c r="AQ43" s="135"/>
      <c r="AR43" s="162">
        <f t="array" ref="AR43">SUM(AR15:AS15*AR27:AS27)/SUM(AR15:AS15*AR27:AS27,AR13:AS13*AR26:AS26)</f>
        <v>0.53366788717023961</v>
      </c>
      <c r="AS43" s="135"/>
      <c r="AT43" s="162">
        <f t="array" ref="AT43">SUM(AT15:AU15*AT27:AU27)/SUM(AT15:AU15*AT27:AU27,AT13:AU13*AT26:AU26)</f>
        <v>0.51461223005684076</v>
      </c>
      <c r="AU43" s="135"/>
      <c r="AV43" s="162">
        <f t="array" ref="AV43">SUM(AV15:AW15*AV27:AW27)/SUM(AV15:AW15*AV27:AW27,AV13:AW13*AV26:AW26)</f>
        <v>0.47582378527403463</v>
      </c>
    </row>
    <row r="44" spans="1:49 16319:16321" x14ac:dyDescent="0.2">
      <c r="A44" t="s">
        <v>142</v>
      </c>
      <c r="B44" s="193">
        <f>(SUM(B11:C11*B24:C24)+B34)/B32</f>
        <v>0.29754226190682465</v>
      </c>
      <c r="D44" s="193">
        <f>(SUM(D11:E11*D24:E24)+D34)/D32</f>
        <v>0.29914576869392356</v>
      </c>
      <c r="F44" s="193">
        <f>(SUM(F11:G11*F24:G24)+F34)/F32</f>
        <v>0.30075631073703962</v>
      </c>
      <c r="H44" s="193">
        <f>(SUM(H11:I11*H24:I24)+H34)/H32</f>
        <v>0.30237219800772208</v>
      </c>
      <c r="J44" s="193">
        <f>(SUM(J11:K11*J24:K24)+J34)/J32</f>
        <v>0.30399076687881088</v>
      </c>
      <c r="L44" s="193">
        <f>(SUM(L11:M11*L24:M24)+L34)/L32</f>
        <v>0.30560860155323732</v>
      </c>
      <c r="N44" s="193">
        <f>(SUM(N11:O11*N24:O24)+N34)/N32</f>
        <v>0.30722103249574784</v>
      </c>
      <c r="P44" s="193">
        <f>(SUM(P11:Q11*P24:Q24)+P34)/P32</f>
        <v>0.30882252480298533</v>
      </c>
      <c r="R44" s="193">
        <f>(SUM(R11:S11*R24:S24)+R34)/R32</f>
        <v>0.31040699822083678</v>
      </c>
      <c r="T44" s="193">
        <f>(SUM(T11:U11*T24:U24)+T34)/T32</f>
        <v>0.31196941520782595</v>
      </c>
      <c r="V44" s="193">
        <f>(SUM(V11:W11*V24:W24)+V34)/V32</f>
        <v>0.31350894202915286</v>
      </c>
      <c r="X44" s="193">
        <f>(SUM(X11:Y11*X24:Y24)+X34)/X32</f>
        <v>0.3150363058608377</v>
      </c>
      <c r="Z44" s="193">
        <f>(SUM(Z11:AA11*Z24:AA24)+Z34)/Z32</f>
        <v>0.31658783832194454</v>
      </c>
      <c r="AB44" s="193">
        <f>(SUM(AB11:AC11*AB24:AC24)+AB34)/AB32</f>
        <v>0.31825213100428534</v>
      </c>
      <c r="AD44" s="193">
        <f>(SUM(AD11:AE11*AD24:AE24)+AD34)/AD32</f>
        <v>0.32021676006312511</v>
      </c>
      <c r="AF44" s="193">
        <f>(SUM(AF11:AG11*AF24:AG24)+AF34)/AF32</f>
        <v>0.32284979294553168</v>
      </c>
      <c r="AH44" s="193">
        <f>(SUM(AH11:AI11*AH24:AI24)+AH34)/AH32</f>
        <v>0.3268646004381956</v>
      </c>
      <c r="AJ44" s="193">
        <f>(SUM(AJ11:AK11*AJ24:AK24)+AJ34)/AJ32</f>
        <v>0.33373251509157936</v>
      </c>
      <c r="AL44" s="193">
        <f>(SUM(AL11:AM11*AL24:AM24)+AL34)/AL32</f>
        <v>0.34655065024997223</v>
      </c>
      <c r="AN44" s="193">
        <f>(SUM(AN11:AO11*AN24:AO24)+AN34)/AN32</f>
        <v>0.37186415679243012</v>
      </c>
      <c r="AP44" s="193">
        <f>(SUM(AP11:AQ11*AP24:AQ24)+AP34)/AP32</f>
        <v>0.38013537408535736</v>
      </c>
      <c r="AR44" s="193">
        <f>(SUM(AR11:AS11*AR24:AS24)+AR34)/AR32</f>
        <v>0.39081149301826484</v>
      </c>
      <c r="AT44" s="193">
        <f>(SUM(AT11:AU11*AT24:AU24)+AT34)/AT32</f>
        <v>0.40588634522061495</v>
      </c>
      <c r="AV44" s="193">
        <f>(SUM(AV11:AW11*AV24:AW24)+AV34)/AV32</f>
        <v>0.43159836162748638</v>
      </c>
    </row>
    <row r="45" spans="1:49 16319:16321" x14ac:dyDescent="0.2">
      <c r="A45" t="s">
        <v>82</v>
      </c>
      <c r="B45" s="193">
        <f>SUM(B11:C11*B24:C24)/B32</f>
        <v>0.22038438833194082</v>
      </c>
      <c r="D45" s="193">
        <f>SUM(D11:E11*D24:E24)/D32</f>
        <v>0.22238328113923306</v>
      </c>
      <c r="F45" s="193">
        <f>SUM(F11:G11*F24:G24)/F32</f>
        <v>0.22475952315093728</v>
      </c>
      <c r="H45" s="193">
        <f>SUM(H11:I11*H24:I24)/H32</f>
        <v>0.22760015825692426</v>
      </c>
      <c r="J45" s="193">
        <f>SUM(J11:K11*J24:K24)/J32</f>
        <v>0.23101828917296016</v>
      </c>
      <c r="L45" s="193">
        <f>SUM(L11:M11*L24:M24)/L32</f>
        <v>0.23516111318773691</v>
      </c>
      <c r="N45" s="193">
        <f>SUM(N11:O11*N24:O24)/N32</f>
        <v>0.24022284766428381</v>
      </c>
      <c r="P45" s="193">
        <f>SUM(P11:Q11*P24:Q24)/P32</f>
        <v>0.24646070704273462</v>
      </c>
      <c r="R45" s="193">
        <f>SUM(R11:S11*R24:S24)/R32</f>
        <v>0.25421728260772414</v>
      </c>
      <c r="T45" s="193">
        <f>SUM(T11:U11*T24:U24)/T32</f>
        <v>0.26394915364250005</v>
      </c>
      <c r="V45" s="193">
        <f>SUM(V11:W11*V24:W24)/V32</f>
        <v>0.27626144618157927</v>
      </c>
      <c r="X45" s="193">
        <f>SUM(X11:Y11*X24:Y24)/X32</f>
        <v>0.29194367941507626</v>
      </c>
      <c r="Z45" s="193">
        <f>SUM(Z11:AA11*Z24:AA24)/Z32</f>
        <v>0.31199375866912815</v>
      </c>
      <c r="AB45" s="193">
        <f>SUM(AB11:AC11*AB24:AC24)/AB32</f>
        <v>0.33760543322808167</v>
      </c>
      <c r="AD45" s="193">
        <f>SUM(AD11:AE11*AD24:AE24)/AD32</f>
        <v>0.37009966140154305</v>
      </c>
      <c r="AF45" s="193">
        <f>SUM(AF11:AG11*AF24:AG24)/AF32</f>
        <v>0.41086068197542502</v>
      </c>
      <c r="AH45" s="193">
        <f>SUM(AH11:AI11*AH24:AI24)/AH32</f>
        <v>0.4615717406130731</v>
      </c>
      <c r="AJ45" s="193">
        <f>SUM(AJ11:AK11*AJ24:AK24)/AJ32</f>
        <v>0.52549289910774033</v>
      </c>
      <c r="AL45" s="193">
        <f>SUM(AL11:AM11*AL24:AM24)/AL32</f>
        <v>0.61245333470938401</v>
      </c>
      <c r="AN45" s="193">
        <f>SUM(AN11:AO11*AN24:AO24)/AN32</f>
        <v>0.76996507929058911</v>
      </c>
      <c r="AP45" s="193">
        <f>SUM(AP11:AQ11*AP24:AQ24)/AP32</f>
        <v>0.82782023268221494</v>
      </c>
      <c r="AR45" s="193">
        <f>SUM(AR11:AS11*AR24:AS24)/AR32</f>
        <v>0.90962085836019546</v>
      </c>
      <c r="AT45" s="193">
        <f>SUM(AT11:AU11*AT24:AU24)/AT32</f>
        <v>1.0406602410807022</v>
      </c>
      <c r="AV45" s="193">
        <f>SUM(AV11:AW11*AV24:AW24)/AV32</f>
        <v>1.3142136236499662</v>
      </c>
      <c r="XCQ45" s="193"/>
    </row>
    <row r="46" spans="1:49 16319:16321" x14ac:dyDescent="0.2">
      <c r="A46" t="s">
        <v>139</v>
      </c>
      <c r="B46" s="193">
        <f>B34/B32</f>
        <v>7.7157873574883795E-2</v>
      </c>
      <c r="D46" s="193">
        <f>D34/D32</f>
        <v>7.6762487554690506E-2</v>
      </c>
      <c r="F46" s="193">
        <f>F34/F32</f>
        <v>7.5996787586102343E-2</v>
      </c>
      <c r="H46" s="193">
        <f>H34/H32</f>
        <v>7.4772039750797881E-2</v>
      </c>
      <c r="J46" s="193">
        <f>J34/J32</f>
        <v>7.2972477705850719E-2</v>
      </c>
      <c r="L46" s="193">
        <f>L34/L32</f>
        <v>7.044748836550041E-2</v>
      </c>
      <c r="N46" s="193">
        <f>N34/N32</f>
        <v>6.6998184831464025E-2</v>
      </c>
      <c r="P46" s="193">
        <f>P34/P32</f>
        <v>6.2361817760250682E-2</v>
      </c>
      <c r="R46" s="193">
        <f>R34/R32</f>
        <v>5.618971561311261E-2</v>
      </c>
      <c r="T46" s="193">
        <f>T34/T32</f>
        <v>4.8020261565325878E-2</v>
      </c>
      <c r="V46" s="193">
        <f>V34/V32</f>
        <v>3.7247495847573586E-2</v>
      </c>
      <c r="X46" s="193">
        <f>X34/X32</f>
        <v>2.3092626445761388E-2</v>
      </c>
      <c r="Z46" s="193">
        <f>Z34/Z32</f>
        <v>4.5940796528163652E-3</v>
      </c>
      <c r="AB46" s="193">
        <f>AB34/AB32</f>
        <v>-1.9353302223796311E-2</v>
      </c>
      <c r="AD46" s="193">
        <f>AD34/AD32</f>
        <v>-4.9882901338417954E-2</v>
      </c>
      <c r="AF46" s="193">
        <f>AF34/AF32</f>
        <v>-8.8010889029893347E-2</v>
      </c>
      <c r="AH46" s="193">
        <f>AH34/AH32</f>
        <v>-0.13470714017487756</v>
      </c>
      <c r="AJ46" s="193">
        <f>AJ34/AJ32</f>
        <v>-0.19176038401616091</v>
      </c>
      <c r="AL46" s="193">
        <f>AL34/AL32</f>
        <v>-0.26590268445941173</v>
      </c>
      <c r="AN46" s="193">
        <f>AN34/AN32</f>
        <v>-0.39810092249815898</v>
      </c>
      <c r="AP46" s="193">
        <f>AP34/AP32</f>
        <v>-0.44768485859685758</v>
      </c>
      <c r="AR46" s="193">
        <f>AR34/AR32</f>
        <v>-0.51880936534193067</v>
      </c>
      <c r="AT46" s="193">
        <f>AT34/AT32</f>
        <v>-0.63477389586008737</v>
      </c>
      <c r="AV46" s="193">
        <f>AV34/AV32</f>
        <v>-0.88261526202247975</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0.99284647334456388</v>
      </c>
      <c r="E49" s="191"/>
      <c r="F49" s="191">
        <f>F13/F35/$B$13*$B$35</f>
        <v>0.98528638309625993</v>
      </c>
      <c r="G49" s="191"/>
      <c r="H49" s="191">
        <f>H13/H35/$B$13*$B$35</f>
        <v>0.97729529108587576</v>
      </c>
      <c r="I49" s="191"/>
      <c r="J49" s="191">
        <f>J13/J35/$B$13*$B$35</f>
        <v>0.9688519238792036</v>
      </c>
      <c r="K49" s="191"/>
      <c r="L49" s="191">
        <f>L13/L35/$B$13*$B$35</f>
        <v>0.95994010704375998</v>
      </c>
      <c r="M49" s="191"/>
      <c r="N49" s="191">
        <f>N13/N35/$B$13*$B$35</f>
        <v>0.95055274507082654</v>
      </c>
      <c r="O49" s="191"/>
      <c r="P49" s="191">
        <f>P13/P35/$B$13*$B$35</f>
        <v>0.94069625989070471</v>
      </c>
      <c r="Q49" s="191"/>
      <c r="R49" s="191">
        <f>R13/R35/$B$13*$B$35</f>
        <v>0.93039707997192689</v>
      </c>
      <c r="S49" s="191"/>
      <c r="T49" s="191">
        <f>T13/T35/$B$13*$B$35</f>
        <v>0.91970938998352059</v>
      </c>
      <c r="U49" s="191"/>
      <c r="V49" s="191">
        <f>V13/V35/$B$13*$B$35</f>
        <v>0.90872419343025224</v>
      </c>
      <c r="W49" s="191"/>
      <c r="X49" s="191">
        <f>X13/X35/$B$13*$B$35</f>
        <v>0.89757787558296076</v>
      </c>
      <c r="Y49" s="191"/>
      <c r="Z49" s="191">
        <f>Z13/Z35/$B$13*$B$35</f>
        <v>0.88645709547285056</v>
      </c>
      <c r="AA49" s="191"/>
      <c r="AB49" s="191">
        <f>AB13/AB35/$B$13*$B$35</f>
        <v>0.87559317952785232</v>
      </c>
      <c r="AC49" s="191"/>
      <c r="AD49" s="191">
        <f>AD13/AD35/$B$13*$B$35</f>
        <v>0.86523403905451401</v>
      </c>
      <c r="AE49" s="191"/>
      <c r="AF49" s="191">
        <f>AF13/AF35/$B$13*$B$35</f>
        <v>0.85558014760537171</v>
      </c>
      <c r="AG49" s="191"/>
      <c r="AH49" s="191">
        <f>AH13/AH35/$B$13*$B$35</f>
        <v>0.8466828441560269</v>
      </c>
      <c r="AI49" s="191"/>
      <c r="AJ49" s="191">
        <f>AJ13/AJ35/$B$13*$B$35</f>
        <v>0.83832272717563228</v>
      </c>
      <c r="AK49" s="191"/>
      <c r="AL49" s="191">
        <f>AL13/AL35/$B$13*$B$35</f>
        <v>0.82986954774977295</v>
      </c>
      <c r="AM49" s="191"/>
      <c r="AN49" s="191">
        <f>AN13/AN35/$B$13*$B$35</f>
        <v>0.81987231224265922</v>
      </c>
      <c r="AO49" s="191"/>
      <c r="AP49" s="191">
        <f>AP13/AP35/$B$13*$B$35</f>
        <v>0.81738181207861882</v>
      </c>
      <c r="AQ49" s="191"/>
      <c r="AR49" s="191">
        <f>AR13/AR35/$B$13*$B$35</f>
        <v>0.81456962647636377</v>
      </c>
      <c r="AS49" s="191"/>
      <c r="AT49" s="191">
        <f>AT13/AT35/$B$13*$B$35</f>
        <v>0.81127691897932697</v>
      </c>
      <c r="AU49" s="191"/>
      <c r="AV49" s="191">
        <f>AV13/AV35/$B$13*$B$35</f>
        <v>0.80716371617828619</v>
      </c>
    </row>
    <row r="51" spans="1:48 16321:16384" x14ac:dyDescent="0.2">
      <c r="A51" t="s">
        <v>166</v>
      </c>
      <c r="B51" s="29">
        <f>B30-B10*B23</f>
        <v>-405838.32800000021</v>
      </c>
      <c r="D51" s="29">
        <f>D30-D10*D23</f>
        <v>-362574.99809253076</v>
      </c>
      <c r="F51" s="29">
        <f>F30-F10*F23</f>
        <v>-319579.10433136392</v>
      </c>
      <c r="H51" s="29">
        <f>H30-H10*H23</f>
        <v>-276973.53569877287</v>
      </c>
      <c r="J51" s="29">
        <f>J30-J10*J23</f>
        <v>-234921.23778207321</v>
      </c>
      <c r="L51" s="29">
        <f>L30-L10*L23</f>
        <v>-193630.03191208374</v>
      </c>
      <c r="N51" s="29">
        <f>N30-N10*N23</f>
        <v>-153361.25340828067</v>
      </c>
      <c r="P51" s="29">
        <f>P30-P10*P23</f>
        <v>-114429.65575193288</v>
      </c>
      <c r="R51" s="29">
        <f>R30-R10*R23</f>
        <v>-77194.317515557632</v>
      </c>
      <c r="T51" s="29">
        <f>T30-T10*T23</f>
        <v>-42025.055117383599</v>
      </c>
      <c r="V51" s="29">
        <f>V30-V10*V23</f>
        <v>-9225.1402471982874</v>
      </c>
      <c r="X51" s="29">
        <f>X30-X10*X23</f>
        <v>21123.479411801323</v>
      </c>
      <c r="Z51" s="29">
        <f>Z30-Z10*Z23</f>
        <v>49442.10852057999</v>
      </c>
      <c r="AB51" s="29">
        <f>AB30-AB10*AB23</f>
        <v>77128.816778196488</v>
      </c>
      <c r="AD51" s="29">
        <f>AD30-AD10*AD23</f>
        <v>107323.37609732104</v>
      </c>
      <c r="AF51" s="29">
        <f>AF30-AF10*AF23</f>
        <v>146239.0310396906</v>
      </c>
      <c r="AH51" s="29">
        <f>AH30-AH10*AH23</f>
        <v>206261.05078539159</v>
      </c>
      <c r="AJ51" s="29">
        <f>AJ30-AJ10*AJ23</f>
        <v>315476.0432952405</v>
      </c>
      <c r="AL51" s="29">
        <f>AL30-AL10*AL23</f>
        <v>546032.12273246842</v>
      </c>
      <c r="AN51" s="29">
        <f>AN30-AN10*AN23</f>
        <v>1101581.5270558102</v>
      </c>
      <c r="AP51" s="29">
        <f>AP30-AP10*AP23</f>
        <v>1306328.1832769113</v>
      </c>
      <c r="AQ51" s="29"/>
      <c r="AR51" s="29">
        <f>AR30-AR10*AR23</f>
        <v>1580723.0221923748</v>
      </c>
      <c r="AT51" s="29">
        <f>AT30-AT10*AT23</f>
        <v>1975581.0655284012</v>
      </c>
      <c r="AV51" s="29">
        <f>AV30-AV10*AV23</f>
        <v>2619515.1857237574</v>
      </c>
      <c r="XFD51" s="29"/>
    </row>
    <row r="52" spans="1:48 16321:16384" x14ac:dyDescent="0.2">
      <c r="A52" t="s">
        <v>167</v>
      </c>
      <c r="B52" s="29">
        <f t="array" ref="B52">Calibration!sL*SUM(B13:C13*B26:C26)</f>
        <v>2049247.8195702801</v>
      </c>
      <c r="D52" s="29">
        <f t="array" ref="D52">Calibration!sL*SUM(D13:E13*D26:E26)</f>
        <v>2020541.5286980721</v>
      </c>
      <c r="F52" s="29">
        <f t="array" ref="F52">Calibration!sL*SUM(F13:G13*F26:G26)</f>
        <v>1989583.7279845178</v>
      </c>
      <c r="H52" s="29">
        <f t="array" ref="H52">Calibration!sL*SUM(H13:I13*H26:I26)</f>
        <v>1956035.8729395289</v>
      </c>
      <c r="J52" s="29">
        <f t="array" ref="J52">Calibration!sL*SUM(J13:K13*J26:K26)</f>
        <v>1919505.925817291</v>
      </c>
      <c r="L52" s="29">
        <f t="array" ref="L52">Calibration!sL*SUM(L13:M13*L26:M26)</f>
        <v>1879549.7182416287</v>
      </c>
      <c r="N52" s="29">
        <f t="array" ref="N52">Calibration!sL*SUM(N13:O13*N26:O26)</f>
        <v>1835673.8649184022</v>
      </c>
      <c r="P52" s="29">
        <f t="array" ref="P52">Calibration!sL*SUM(P13:Q13*P26:Q26)</f>
        <v>1787356.0816599871</v>
      </c>
      <c r="R52" s="29">
        <f t="array" ref="R52">Calibration!sL*SUM(R13:S13*R26:S26)</f>
        <v>1734087.7209671892</v>
      </c>
      <c r="T52" s="29">
        <f t="array" ref="T52">Calibration!sL*SUM(T13:U13*T26:U26)</f>
        <v>1675457.9216569322</v>
      </c>
      <c r="V52" s="29">
        <f t="array" ref="V52">Calibration!sL*SUM(V13:W13*V26:W26)</f>
        <v>1611303.9142757242</v>
      </c>
      <c r="X52" s="29">
        <f t="array" ref="X52">Calibration!sL*SUM(X13:Y13*X26:Y26)</f>
        <v>1541953.4576740027</v>
      </c>
      <c r="Z52" s="29">
        <f t="array" ref="Z52">Calibration!sL*SUM(Z13:AA13*Z26:AA26)</f>
        <v>1468579.1431116837</v>
      </c>
      <c r="AB52" s="29">
        <f t="array" ref="AB52">Calibration!sL*SUM(AB13:AC13*AB26:AC26)</f>
        <v>1393636.0900393394</v>
      </c>
      <c r="AD52" s="29">
        <f t="array" ref="AD52">Calibration!sL*SUM(AD13:AE13*AD26:AE26)</f>
        <v>1321266.489511254</v>
      </c>
      <c r="AF52" s="29">
        <f t="array" ref="AF52">Calibration!sL*SUM(AF13:AG13*AF26:AG26)</f>
        <v>1257528.6559873405</v>
      </c>
      <c r="AH52" s="29">
        <f t="array" ref="AH52">Calibration!sL*SUM(AH13:AI13*AH26:AI26)</f>
        <v>1210773.1496012853</v>
      </c>
      <c r="AJ52" s="29">
        <f t="array" ref="AJ52">Calibration!sL*SUM(AJ13:AK13*AJ26:AK26)</f>
        <v>1193975.5868002237</v>
      </c>
      <c r="AL52" s="29">
        <f t="array" ref="AL52">Calibration!sL*SUM(AL13:AM13*AL26:AM26)</f>
        <v>1231539.939990256</v>
      </c>
      <c r="AN52" s="29">
        <f t="array" ref="AN52">Calibration!sL*SUM(AN13:AO13*AN26:AO26)</f>
        <v>1367380.9082990007</v>
      </c>
      <c r="AP52" s="29">
        <f t="array" ref="AP52">Calibration!sL*SUM(AP13:AQ13*AP26:AQ26)</f>
        <v>1413388.9283660075</v>
      </c>
      <c r="AQ52" s="29"/>
      <c r="AR52" s="29">
        <f t="array" ref="AR52">Calibration!sL*SUM(AR13:AS13*AR26:AS26)</f>
        <v>1468478.4578616049</v>
      </c>
      <c r="AT52" s="29">
        <f t="array" ref="AT52">Calibration!sL*SUM(AT13:AU13*AT26:AU26)</f>
        <v>1533021.4630864605</v>
      </c>
      <c r="AV52" s="29">
        <f t="array" ref="AV52">Calibration!sL*SUM(AV13:AW13*AV26:AW26)</f>
        <v>1593630.007493359</v>
      </c>
    </row>
    <row r="53" spans="1:48 16321:16384" x14ac:dyDescent="0.2">
      <c r="A53" t="s">
        <v>168</v>
      </c>
      <c r="B53" s="29">
        <f t="array" ref="B53">Calibration!sK*SUM(B15:C15*B27:C27)</f>
        <v>2740714.4444297305</v>
      </c>
      <c r="D53" s="29">
        <f t="array" ref="D53">Calibration!sK*SUM(D15:E15*D27:E27)</f>
        <v>2706698.7665248415</v>
      </c>
      <c r="F53" s="29">
        <f t="array" ref="F53">Calibration!sK*SUM(F15:G15*F27:G27)</f>
        <v>2670149.7874344592</v>
      </c>
      <c r="H53" s="29">
        <f t="array" ref="H53">Calibration!sK*SUM(H15:I15*H27:I27)</f>
        <v>2630627.0952047003</v>
      </c>
      <c r="J53" s="29">
        <f t="array" ref="J53">Calibration!sK*SUM(J15:K15*J27:K27)</f>
        <v>2587608.9069204279</v>
      </c>
      <c r="L53" s="29">
        <f t="array" ref="L53">Calibration!sK*SUM(L15:M15*L27:M27)</f>
        <v>2540487.7143600713</v>
      </c>
      <c r="N53" s="29">
        <f t="array" ref="N53">Calibration!sK*SUM(N15:O15*N27:O27)</f>
        <v>2488567.4639874171</v>
      </c>
      <c r="P53" s="29">
        <f t="array" ref="P53">Calibration!sK*SUM(P15:Q15*P27:Q27)</f>
        <v>2431080.208761869</v>
      </c>
      <c r="R53" s="29">
        <f t="array" ref="R53">Calibration!sK*SUM(R15:S15*R27:S27)</f>
        <v>2367230.2067095912</v>
      </c>
      <c r="T53" s="29">
        <f t="array" ref="T53">Calibration!sK*SUM(T15:U15*T27:U27)</f>
        <v>2296290.8056466002</v>
      </c>
      <c r="V53" s="29">
        <f t="array" ref="V53">Calibration!sK*SUM(V15:W15*V27:W27)</f>
        <v>2217787.5598288644</v>
      </c>
      <c r="X53" s="29">
        <f t="array" ref="X53">Calibration!sK*SUM(X15:Y15*X27:Y27)</f>
        <v>2131805.4120470509</v>
      </c>
      <c r="Z53" s="29">
        <f t="array" ref="Z53">Calibration!sK*SUM(Z15:AA15*Z27:AA27)</f>
        <v>2039449.643069102</v>
      </c>
      <c r="AB53" s="29">
        <f t="array" ref="AB53">Calibration!sK*SUM(AB15:AC15*AB27:AC27)</f>
        <v>1943425.3628805429</v>
      </c>
      <c r="AD53" s="29">
        <f t="array" ref="AD53">Calibration!sK*SUM(AD15:AE15*AD27:AE27)</f>
        <v>1848571.7807756269</v>
      </c>
      <c r="AF53" s="29">
        <f t="array" ref="AF53">Calibration!sK*SUM(AF15:AG15*AF27:AG27)</f>
        <v>1762102.6531851366</v>
      </c>
      <c r="AH53" s="29">
        <f t="array" ref="AH53">Calibration!sK*SUM(AH15:AI15*AH27:AI27)</f>
        <v>1693739.1049934316</v>
      </c>
      <c r="AJ53" s="29">
        <f t="array" ref="AJ53">Calibration!sK*SUM(AJ15:AK15*AJ27:AK27)</f>
        <v>1657127.4123021304</v>
      </c>
      <c r="AL53" s="29">
        <f t="array" ref="AL53">Calibration!sK*SUM(AL15:AM15*AL27:AM27)</f>
        <v>1671004.9826525236</v>
      </c>
      <c r="AN53" s="29">
        <f t="array" ref="AN53">Calibration!sK*SUM(AN15:AO15*AN27:AO27)</f>
        <v>1727087.187047608</v>
      </c>
      <c r="AP53" s="29">
        <f t="array" ref="AP53">Calibration!sK*SUM(AP15:AQ15*AP27:AQ27)</f>
        <v>1729574.1922579366</v>
      </c>
      <c r="AQ53" s="29"/>
      <c r="AR53" s="29">
        <f t="array" ref="AR53">Calibration!sK*SUM(AR15:AS15*AR27:AS27)</f>
        <v>1714994.4340041976</v>
      </c>
      <c r="AT53" s="29">
        <f t="array" ref="AT53">Calibration!sK*SUM(AT15:AU15*AT27:AU27)</f>
        <v>1658665.8253659839</v>
      </c>
      <c r="AV53" s="29">
        <f t="array" ref="AV53">Calibration!sK*SUM(AV15:AW15*AV27:AW27)</f>
        <v>1476303.7525495265</v>
      </c>
      <c r="XFD53" s="29"/>
    </row>
    <row r="55" spans="1:48 16321:16384" x14ac:dyDescent="0.2">
      <c r="A55" t="s">
        <v>169</v>
      </c>
      <c r="B55" s="193">
        <f>B30/B32</f>
        <v>0.19850271905982084</v>
      </c>
      <c r="D55" s="193">
        <f>D30/D32</f>
        <v>0.20119601106949805</v>
      </c>
      <c r="F55" s="193">
        <f>F30/F32</f>
        <v>0.2039005778132589</v>
      </c>
      <c r="H55" s="193">
        <f>H30/H32</f>
        <v>0.20661345927369851</v>
      </c>
      <c r="J55" s="193">
        <f>J30/J32</f>
        <v>0.20933022624698433</v>
      </c>
      <c r="L55" s="193">
        <f>L30/L32</f>
        <v>0.2120449503616926</v>
      </c>
      <c r="N55" s="193">
        <f>N30/N32</f>
        <v>0.21474983466363118</v>
      </c>
      <c r="P55" s="193">
        <f>P30/P32</f>
        <v>0.21743548353577261</v>
      </c>
      <c r="R55" s="193">
        <f>R30/R32</f>
        <v>0.22009170103799519</v>
      </c>
      <c r="T55" s="193">
        <f>T30/T32</f>
        <v>0.2227099567250144</v>
      </c>
      <c r="V55" s="193">
        <f>V30/V32</f>
        <v>0.22528906704271534</v>
      </c>
      <c r="X55" s="193">
        <f>X30/X32</f>
        <v>0.22784725325222629</v>
      </c>
      <c r="Z55" s="193">
        <f>Z30/Z32</f>
        <v>0.23044617607443119</v>
      </c>
      <c r="AB55" s="193">
        <f>AB30/AB32</f>
        <v>0.23323573097500921</v>
      </c>
      <c r="AD55" s="193">
        <f>AD30/AD32</f>
        <v>0.2365329453885664</v>
      </c>
      <c r="AF55" s="193">
        <f>AF30/AF32</f>
        <v>0.24095939966272559</v>
      </c>
      <c r="AH55" s="193">
        <f>AH30/AH32</f>
        <v>0.2477190910967482</v>
      </c>
      <c r="AJ55" s="193">
        <f>AJ30/AJ32</f>
        <v>0.25929489782001341</v>
      </c>
      <c r="AL55" s="193">
        <f>AL30/AL32</f>
        <v>0.28091747210648343</v>
      </c>
      <c r="AN55" s="193">
        <f>AN30/AN32</f>
        <v>0.32367104758227155</v>
      </c>
      <c r="AP55" s="193">
        <f>AP30/AP32</f>
        <v>0.3376553393011531</v>
      </c>
      <c r="AR55" s="193">
        <f>AR30/AR32</f>
        <v>0.35571440786599295</v>
      </c>
      <c r="AT55" s="193">
        <f>AT30/AT32</f>
        <v>0.38122710934851384</v>
      </c>
      <c r="AV55" s="193">
        <f>AV30/AV32</f>
        <v>0.4247611369269863</v>
      </c>
      <c r="XCS55" s="193"/>
      <c r="XFD55" s="193"/>
    </row>
    <row r="56" spans="1:48 16321:16384" x14ac:dyDescent="0.2">
      <c r="A56" t="s">
        <v>170</v>
      </c>
      <c r="B56" s="193">
        <f>(Model!$C$52*B5*B20+B2*C5*C20)/B32</f>
        <v>2.9221206744340551E-2</v>
      </c>
      <c r="D56" s="193">
        <f>(Model!$C$52*D5*D20+D2*E5*E20)/D32</f>
        <v>3.2657803183892539E-2</v>
      </c>
      <c r="F56" s="193">
        <f>(Model!$C$52*F5*F20+F2*G5*G20)/F32</f>
        <v>3.6127296400822427E-2</v>
      </c>
      <c r="H56" s="193">
        <f>(Model!$C$52*H5*H20+H2*I5*I20)/H32</f>
        <v>3.9627871142883755E-2</v>
      </c>
      <c r="J56" s="193">
        <f>(Model!$C$52*J5*J20+J2*K5*K20)/J32</f>
        <v>4.3155982793903216E-2</v>
      </c>
      <c r="L56" s="193">
        <f>(Model!$C$52*L5*L20+L2*M5*M20)/L32</f>
        <v>4.6706302067845762E-2</v>
      </c>
      <c r="N56" s="193">
        <f>(Model!$C$52*N5*N20+N2*O5*O20)/N32</f>
        <v>5.0271082472402154E-2</v>
      </c>
      <c r="P56" s="193">
        <f>(Model!$C$52*P5*P20+P2*Q5*Q20)/P32</f>
        <v>5.3840320745829062E-2</v>
      </c>
      <c r="R56" s="193">
        <f>(Model!$C$52*R5*R20+R2*S5*S20)/R32</f>
        <v>5.7402334581370784E-2</v>
      </c>
      <c r="T56" s="193">
        <f>(Model!$C$52*T5*T20+T2*U5*U20)/T32</f>
        <v>6.0946125908501458E-2</v>
      </c>
      <c r="V56" s="193">
        <f>(Model!$C$52*V5*V20+V2*W5*W20)/V32</f>
        <v>6.4467206191654053E-2</v>
      </c>
      <c r="X56" s="193">
        <f>(Model!$C$52*X5*X20+X2*Y5*Y20)/X32</f>
        <v>6.7980424162891406E-2</v>
      </c>
      <c r="Z56" s="193">
        <f>(Model!$C$52*Z5*Z20+Z2*AA5*AA20)/Z32</f>
        <v>7.1546086381738733E-2</v>
      </c>
      <c r="AB56" s="193">
        <f>(Model!$C$52*AB5*AB20+AB2*AC5*AC20)/AB32</f>
        <v>7.5319486684391979E-2</v>
      </c>
      <c r="AD56" s="193">
        <f>(Model!$C$52*AD5*AD20+AD2*AE5*AE20)/AD32</f>
        <v>7.9639326464772328E-2</v>
      </c>
      <c r="AF56" s="193">
        <f>(Model!$C$52*AF5*AF20+AF2*AG5*AG20)/AF32</f>
        <v>8.5183176562840787E-2</v>
      </c>
      <c r="AH56" s="193">
        <f>(Model!$C$52*AH5*AH20+AH2*AI5*AI20)/AH32</f>
        <v>9.3279879361518034E-2</v>
      </c>
      <c r="AJ56" s="193">
        <f>(Model!$C$52*AJ5*AJ20+AJ2*AK5*AK20)/AJ32</f>
        <v>0.10667027648800147</v>
      </c>
      <c r="AL56" s="193">
        <f>(Model!$C$52*AL5*AL20+AL2*AM5*AM20)/AL32</f>
        <v>0.13098004405750011</v>
      </c>
      <c r="AN56" s="193">
        <f>(Model!$C$52*AN5*AN20+AN2*AO5*AO20)/AN32</f>
        <v>0.17719069443942839</v>
      </c>
      <c r="AP56" s="193">
        <f>(Model!$C$52*AP5*AP20+AP2*AQ5*AQ20)/AP32</f>
        <v>0.19182524949166882</v>
      </c>
      <c r="AR56" s="193">
        <f>(Model!$C$52*AR5*AR20+AR2*AS5*AS20)/AR32</f>
        <v>0.21043723419873533</v>
      </c>
      <c r="AT56" s="193">
        <f>(Model!$C$52*AT5*AT20+AT2*AU5*AU20)/AT32</f>
        <v>0.23630612221136321</v>
      </c>
      <c r="AV56" s="193">
        <f>(Model!$C$52*AV5*AV20+AV2*AW5*AW20)/AV32</f>
        <v>0.2798259444742473</v>
      </c>
      <c r="XFD56" s="193"/>
    </row>
    <row r="57" spans="1:48 16321:16384" x14ac:dyDescent="0.2">
      <c r="A57" t="s">
        <v>171</v>
      </c>
      <c r="B57" s="193">
        <f t="array" ref="B57">SUM(Model!tauL*B13:C13*B26:C26)/B32</f>
        <v>0.15852881819439493</v>
      </c>
      <c r="D57" s="193">
        <f t="array" ref="D57">SUM(Model!tauL*D13:E13*D26:E26)/D32</f>
        <v>0.15785109736561748</v>
      </c>
      <c r="F57" s="193">
        <f t="array" ref="F57">SUM(Model!tauL*F13:G13*F26:G26)/F32</f>
        <v>0.15715193183267623</v>
      </c>
      <c r="H57" s="193">
        <f t="array" ref="H57">SUM(Model!tauL*H13:I13*H26:I26)/H32</f>
        <v>0.15643020039128344</v>
      </c>
      <c r="J57" s="193">
        <f t="array" ref="J57">SUM(Model!tauL*J13:K13*J26:K26)/J32</f>
        <v>0.1556850386883851</v>
      </c>
      <c r="L57" s="193">
        <f t="array" ref="L57">SUM(Model!tauL*L13:M13*L26:M26)/L32</f>
        <v>0.15491588231383285</v>
      </c>
      <c r="N57" s="193">
        <f t="array" ref="N57">SUM(Model!tauL*N13:O13*N26:O26)/N32</f>
        <v>0.15412272655641465</v>
      </c>
      <c r="P57" s="193">
        <f t="array" ref="P57">SUM(Model!tauL*P13:Q13*P26:Q26)/P32</f>
        <v>0.15330626855685989</v>
      </c>
      <c r="R57" s="193">
        <f t="array" ref="R57">SUM(Model!tauL*R13:S13*R26:S26)/R32</f>
        <v>0.15246817113677266</v>
      </c>
      <c r="T57" s="193">
        <f t="array" ref="T57">SUM(Model!tauL*T13:U13*T26:U26)/T32</f>
        <v>0.15161125477022616</v>
      </c>
      <c r="V57" s="193">
        <f t="array" ref="V57">SUM(Model!tauL*V13:W13*V26:W26)/V32</f>
        <v>0.15073953006188698</v>
      </c>
      <c r="X57" s="193">
        <f t="array" ref="X57">SUM(Model!tauL*X13:Y13*X26:Y26)/X32</f>
        <v>0.14985773551120096</v>
      </c>
      <c r="Y57" s="193"/>
      <c r="Z57" s="193">
        <f t="array" ref="Z57">SUM(Model!tauL*Z13:AA13*Z26:AA26)/Z32</f>
        <v>0.14896976750901597</v>
      </c>
      <c r="AB57" s="193">
        <f t="array" ref="AB57">SUM(Model!tauL*AB13:AC13*AB26:AC26)/AB32</f>
        <v>0.14807471380905141</v>
      </c>
      <c r="AD57" s="193">
        <f t="array" ref="AD57">SUM(Model!tauL*AD13:AE13*AD26:AE26)/AD32</f>
        <v>0.14715822209032034</v>
      </c>
      <c r="AF57" s="193">
        <f t="array" ref="AF57">SUM(Model!tauL*AF13:AG13*AF26:AG26)/AF32</f>
        <v>0.14617503012475774</v>
      </c>
      <c r="AH57" s="193">
        <f t="array" ref="AH57">SUM(Model!tauL*AH13:AI13*AH26:AI26)/AH32</f>
        <v>0.14501409472071861</v>
      </c>
      <c r="AJ57" s="193">
        <f t="array" ref="AJ57">SUM(Model!tauL*AJ13:AK13*AJ26:AK26)/AJ32</f>
        <v>0.14343381372957181</v>
      </c>
      <c r="AL57" s="193">
        <f t="array" ref="AL57">SUM(Model!tauL*AL13:AM13*AL26:AM26)/AL32</f>
        <v>0.14106627676167913</v>
      </c>
      <c r="AN57" s="193">
        <f t="array" ref="AN57">SUM(Model!tauL*AN13:AO13*AN26:AO26)/AN32</f>
        <v>0.13812780772845634</v>
      </c>
      <c r="AP57" s="193">
        <f t="array" ref="AP57">SUM(Model!tauL*AP13:AQ13*AP26:AQ26)/AP32</f>
        <v>0.13764392004292883</v>
      </c>
      <c r="AR57" s="193">
        <f t="array" ref="AR57">SUM(Model!tauL*AR13:AS13*AR26:AS26)/AR32</f>
        <v>0.13730716416895744</v>
      </c>
      <c r="AT57" s="193">
        <f t="array" ref="AT57">SUM(Model!tauL*AT13:AU13*AT26:AU26)/AT32</f>
        <v>0.13725859935753956</v>
      </c>
      <c r="AV57" s="193">
        <f t="array" ref="AV57">SUM(Model!tauL*AV13:AW13*AV26:AW26)/AV32</f>
        <v>0.13779865689649218</v>
      </c>
      <c r="XFD57" s="193"/>
    </row>
    <row r="58" spans="1:48 16321:16384" x14ac:dyDescent="0.2">
      <c r="A58" t="s">
        <v>172</v>
      </c>
      <c r="B58" s="193">
        <f t="array" ref="B58">SUM(Model!tauY/(1+Model!tauY)*B3:C3*B18:C18)/B32</f>
        <v>1.075269412108535E-2</v>
      </c>
      <c r="D58" s="193">
        <f t="array" ref="D58">SUM(Model!tauY/(1+Model!tauY)*D3:E3*D18:E18)/D32</f>
        <v>1.0687110519987997E-2</v>
      </c>
      <c r="F58" s="193">
        <f t="array" ref="F58">SUM(Model!tauY/(1+Model!tauY)*F3:G3*F18:G18)/F32</f>
        <v>1.0621349579760258E-2</v>
      </c>
      <c r="H58" s="193">
        <f t="array" ref="H58">SUM(Model!tauY/(1+Model!tauY)*H3:I3*H18:I18)/H32</f>
        <v>1.0555387739531328E-2</v>
      </c>
      <c r="J58" s="193">
        <f t="array" ref="J58">SUM(Model!tauY/(1+Model!tauY)*J3:K3*J18:K18)/J32</f>
        <v>1.0489204764696041E-2</v>
      </c>
      <c r="L58" s="193">
        <f t="array" ref="L58">SUM(Model!tauY/(1+Model!tauY)*L3:M3*L18:M18)/L32</f>
        <v>1.0422765980013977E-2</v>
      </c>
      <c r="N58" s="193">
        <f t="array" ref="N58">SUM(Model!tauY/(1+Model!tauY)*N3:O3*N18:O18)/N32</f>
        <v>1.0356025634814357E-2</v>
      </c>
      <c r="P58" s="193">
        <f t="array" ref="P58">SUM(Model!tauY/(1+Model!tauY)*P3:Q3*P18:Q18)/P32</f>
        <v>1.0288894233083648E-2</v>
      </c>
      <c r="R58" s="193">
        <f t="array" ref="R58">SUM(Model!tauY/(1+Model!tauY)*R3:S3*R18:S18)/R32</f>
        <v>1.0221195319851752E-2</v>
      </c>
      <c r="T58" s="193">
        <f t="array" ref="T58">SUM(Model!tauY/(1+Model!tauY)*T3:U3*T18:U18)/T32</f>
        <v>1.0152576046286756E-2</v>
      </c>
      <c r="V58" s="193">
        <f t="array" ref="V58">SUM(Model!tauY/(1+Model!tauY)*V3:W3*V18:W18)/V32</f>
        <v>1.0082330789174298E-2</v>
      </c>
      <c r="X58" s="193">
        <f t="array" ref="X58">SUM(Model!tauY/(1+Model!tauY)*X3:Y3*X18:Y18)/X32</f>
        <v>1.0009093578133926E-2</v>
      </c>
      <c r="Y58" s="193"/>
      <c r="Z58" s="193">
        <f t="array" ref="Z58">SUM(Model!tauY/(1+Model!tauY)*Z3:AA3*Z18:AA18)/Z32</f>
        <v>9.9303221836764769E-3</v>
      </c>
      <c r="AB58" s="193">
        <f t="array" ref="AB58">SUM(Model!tauY/(1+Model!tauY)*AB3:AC3*AB18:AC18)/AB32</f>
        <v>9.8415304815658335E-3</v>
      </c>
      <c r="AD58" s="193">
        <f t="array" ref="AD58">SUM(Model!tauY/(1+Model!tauY)*AD3:AE3*AD18:AE18)/AD32</f>
        <v>9.7353968334736828E-3</v>
      </c>
      <c r="AF58" s="193">
        <f t="array" ref="AF58">SUM(Model!tauY/(1+Model!tauY)*AF3:AG3*AF18:AG18)/AF32</f>
        <v>9.6011929751270049E-3</v>
      </c>
      <c r="AH58" s="193">
        <f t="array" ref="AH58">SUM(Model!tauY/(1+Model!tauY)*AH3:AI3*AH18:AI18)/AH32</f>
        <v>9.4251170145115571E-3</v>
      </c>
      <c r="AJ58" s="193">
        <f t="array" ref="AJ58">SUM(Model!tauY/(1+Model!tauY)*AJ3:AK3*AJ18:AK18)/AJ32</f>
        <v>9.1908076024401226E-3</v>
      </c>
      <c r="AL58" s="193">
        <f t="array" ref="AL58">SUM(Model!tauY/(1+Model!tauY)*AL3:AM3*AL18:AM18)/AL32</f>
        <v>8.8711512873042297E-3</v>
      </c>
      <c r="AN58" s="193">
        <f t="array" ref="AN58">SUM(Model!tauY/(1+Model!tauY)*AN3:AO3*AN18:AO18)/AN32</f>
        <v>8.3525454143868264E-3</v>
      </c>
      <c r="AP58" s="193">
        <f t="array" ref="AP58">SUM(Model!tauY/(1+Model!tauY)*AP3:AQ3*AP18:AQ18)/AP32</f>
        <v>8.1861697665554789E-3</v>
      </c>
      <c r="AR58" s="193">
        <f t="array" ref="AR58">SUM(Model!tauY/(1+Model!tauY)*AR3:AS3*AR18:AS18)/AR32</f>
        <v>7.9700094983001755E-3</v>
      </c>
      <c r="AT58" s="193">
        <f t="array" ref="AT58">SUM(Model!tauY/(1+Model!tauY)*AT3:AU3*AT18:AU18)/AT32</f>
        <v>7.6623877796110785E-3</v>
      </c>
      <c r="AV58" s="193">
        <f t="array" ref="AV58">SUM(Model!tauY/(1+Model!tauY)*AV3:AW3*AV18:AW18)/AV32</f>
        <v>7.1365355562468587E-3</v>
      </c>
      <c r="XFD58" s="193"/>
    </row>
    <row r="59" spans="1:48 16321:16384" x14ac:dyDescent="0.2">
      <c r="A59" t="s">
        <v>173</v>
      </c>
      <c r="B59" s="193">
        <f>(B2*C5*C20)/B32</f>
        <v>5.5174232040962052E-4</v>
      </c>
      <c r="D59" s="193">
        <f>(D2*E5*E20)/D32</f>
        <v>4.0261442173605954E-3</v>
      </c>
      <c r="F59" s="193">
        <f>(F2*G5*G20)/F32</f>
        <v>7.5271579971171775E-3</v>
      </c>
      <c r="H59" s="193">
        <f>(H2*I5*I20)/H32</f>
        <v>1.1051426298673832E-2</v>
      </c>
      <c r="J59" s="193">
        <f>(J2*K5*K20)/J32</f>
        <v>1.4593394956116635E-2</v>
      </c>
      <c r="L59" s="193">
        <f>(L2*M5*M20)/L32</f>
        <v>1.814514115798551E-2</v>
      </c>
      <c r="N59" s="193">
        <f>(N2*O5*O20)/N32</f>
        <v>2.169551852077738E-2</v>
      </c>
      <c r="P59" s="193">
        <f>(P2*Q5*Q20)/P32</f>
        <v>2.5230090690583538E-2</v>
      </c>
      <c r="R59" s="193">
        <f>(R2*S5*S20)/R32</f>
        <v>2.8731392717756838E-2</v>
      </c>
      <c r="T59" s="193">
        <f>(T2*U5*U20)/T32</f>
        <v>3.2180952823204947E-2</v>
      </c>
      <c r="V59" s="193">
        <f>(V2*W5*W20)/V32</f>
        <v>3.5564807055466122E-2</v>
      </c>
      <c r="X59" s="193">
        <f>(X2*Y5*Y20)/X32</f>
        <v>3.8886253607454582E-2</v>
      </c>
      <c r="Z59" s="193">
        <f>(Z2*AA5*AA20)/Z32</f>
        <v>4.2192547884026148E-2</v>
      </c>
      <c r="AB59" s="193">
        <f>(AB2*AC5*AC20)/AB32</f>
        <v>4.5626397593059788E-2</v>
      </c>
      <c r="AD59" s="193">
        <f>(AD2*AE5*AE20)/AD32</f>
        <v>4.9518545142247863E-2</v>
      </c>
      <c r="AF59" s="193">
        <f>(AF2*AG5*AG20)/AF32</f>
        <v>5.4549593929754107E-2</v>
      </c>
      <c r="AH59" s="193">
        <f>(AH2*AI5*AI20)/AH32</f>
        <v>6.2069688999001706E-2</v>
      </c>
      <c r="AJ59" s="193">
        <f>(AJ2*AK5*AK20)/AJ32</f>
        <v>7.4867927516608576E-2</v>
      </c>
      <c r="AL59" s="193">
        <f>(AL2*AM5*AM20)/AL32</f>
        <v>9.8636798774339007E-2</v>
      </c>
      <c r="AN59" s="193">
        <f>(AN2*AO5*AO20)/AN32</f>
        <v>0.14414824724463951</v>
      </c>
      <c r="AP59" s="193">
        <f>(AP2*AQ5*AQ20)/AP32</f>
        <v>0.15848842151329426</v>
      </c>
      <c r="AR59" s="193">
        <f>(AR2*AS5*AS20)/AR32</f>
        <v>0.17662647732898118</v>
      </c>
      <c r="AT59" s="193">
        <f>(AT2*AU5*AU20)/AT32</f>
        <v>0.20160526195871076</v>
      </c>
      <c r="AV59" s="193">
        <f>(AV2*AW5*AW20)/AV32</f>
        <v>0.2428421371297565</v>
      </c>
      <c r="XFD59" s="193"/>
    </row>
    <row r="60" spans="1:48 16321:16384" x14ac:dyDescent="0.2">
      <c r="A60" t="s">
        <v>174</v>
      </c>
      <c r="B60" s="193">
        <f>Model!$C$52*B5*B20/B32</f>
        <v>2.8669464423930927E-2</v>
      </c>
      <c r="D60" s="193">
        <f>Model!$C$52*D5*D20/D32</f>
        <v>2.8631658966531946E-2</v>
      </c>
      <c r="F60" s="193">
        <f>Model!$C$52*F5*F20/F32</f>
        <v>2.860013840370525E-2</v>
      </c>
      <c r="H60" s="193">
        <f>Model!$C$52*H5*H20/H32</f>
        <v>2.857644484420992E-2</v>
      </c>
      <c r="J60" s="193">
        <f>Model!$C$52*J5*J20/J32</f>
        <v>2.8562587837786577E-2</v>
      </c>
      <c r="L60" s="193">
        <f>Model!$C$52*L5*L20/L32</f>
        <v>2.8561160909860252E-2</v>
      </c>
      <c r="N60" s="193">
        <f>Model!$C$52*N5*N20/N32</f>
        <v>2.8575563951624777E-2</v>
      </c>
      <c r="P60" s="193">
        <f>Model!$C$52*P5*P20/P32</f>
        <v>2.8610230055245527E-2</v>
      </c>
      <c r="R60" s="193">
        <f>Model!$C$52*R5*R20/R32</f>
        <v>2.8670941863613939E-2</v>
      </c>
      <c r="T60" s="193">
        <f>Model!$C$52*T5*T20/T32</f>
        <v>2.8765173085296511E-2</v>
      </c>
      <c r="V60" s="193">
        <f>Model!$C$52*V5*V20/V32</f>
        <v>2.8902399136187931E-2</v>
      </c>
      <c r="X60" s="193">
        <f>Model!$C$52*X5*X20/X32</f>
        <v>2.9094170555436831E-2</v>
      </c>
      <c r="Z60" s="193">
        <f>Model!$C$52*Z5*Z20/Z32</f>
        <v>2.9353538497712588E-2</v>
      </c>
      <c r="AB60" s="193">
        <f>Model!$C$52*AB5*AB20/AB32</f>
        <v>2.9693089091332198E-2</v>
      </c>
      <c r="AD60" s="193">
        <f>Model!$C$52*AD5*AD20/AD32</f>
        <v>3.0120781322524472E-2</v>
      </c>
      <c r="AF60" s="193">
        <f>Model!$C$52*AF5*AF20/AF32</f>
        <v>3.063358263308669E-2</v>
      </c>
      <c r="AH60" s="193">
        <f>Model!$C$52*AH5*AH20/AH32</f>
        <v>3.1210190362516325E-2</v>
      </c>
      <c r="AJ60" s="193">
        <f>Model!$C$52*AJ5*AJ20/AJ32</f>
        <v>3.1802348971392898E-2</v>
      </c>
      <c r="AL60" s="193">
        <f>Model!$C$52*AL5*AL20/AL32</f>
        <v>3.2343245283161091E-2</v>
      </c>
      <c r="AN60" s="193">
        <f>Model!$C$52*AN5*AN20/AN32</f>
        <v>3.3042447194788903E-2</v>
      </c>
      <c r="AP60" s="193">
        <f>Model!$C$52*AP5*AP20/AP32</f>
        <v>3.3336827978374575E-2</v>
      </c>
      <c r="AR60" s="193">
        <f>Model!$C$52*AR5*AR20/AR32</f>
        <v>3.3810756869754169E-2</v>
      </c>
      <c r="AT60" s="193">
        <f>Model!$C$52*AT5*AT20/AT32</f>
        <v>3.4700860252652475E-2</v>
      </c>
      <c r="AV60" s="193">
        <f>Model!$C$52*AV5*AV20/AV32</f>
        <v>3.6983807344490818E-2</v>
      </c>
      <c r="XFD60" s="193"/>
    </row>
    <row r="62" spans="1:48 16321:16384" x14ac:dyDescent="0.2">
      <c r="A62" t="s">
        <v>175</v>
      </c>
      <c r="B62">
        <f>B13/B15</f>
        <v>1</v>
      </c>
      <c r="D62">
        <f>D13/D15</f>
        <v>0.99574855169022292</v>
      </c>
      <c r="F62">
        <f>F13/F15</f>
        <v>0.99119318072205587</v>
      </c>
      <c r="H62">
        <f>H13/H15</f>
        <v>0.98630913250984231</v>
      </c>
      <c r="J62">
        <f>J13/J15</f>
        <v>0.98107163885726056</v>
      </c>
      <c r="L62">
        <f>L13/L15</f>
        <v>0.97545702584228167</v>
      </c>
      <c r="N62">
        <f>N13/N15</f>
        <v>0.96944500147960833</v>
      </c>
      <c r="P62">
        <f>P13/P15</f>
        <v>0.96302194942217978</v>
      </c>
      <c r="R62">
        <f>R13/R15</f>
        <v>0.9561864786961155</v>
      </c>
      <c r="T62">
        <f>T13/T15</f>
        <v>0.94895818375630214</v>
      </c>
      <c r="V62">
        <f>V13/V15</f>
        <v>0.94139199831855935</v>
      </c>
      <c r="X62">
        <f>X13/X15</f>
        <v>0.93360156897626212</v>
      </c>
      <c r="Z62">
        <f>Z13/Z15</f>
        <v>0.92579759262996275</v>
      </c>
      <c r="AB62">
        <f>AB13/AB15</f>
        <v>0.91834961906497092</v>
      </c>
      <c r="AD62">
        <f>AD13/AD15</f>
        <v>0.91188396812566597</v>
      </c>
      <c r="AF62">
        <f>AF13/AF15</f>
        <v>0.90745494463286758</v>
      </c>
      <c r="AH62">
        <f>AH13/AH15</f>
        <v>0.90696983451862179</v>
      </c>
      <c r="AJ62">
        <f>AJ13/AJ15</f>
        <v>0.91468325653790072</v>
      </c>
      <c r="AL62">
        <f>AL13/AL15</f>
        <v>0.94310125583707538</v>
      </c>
      <c r="AN62">
        <f>AN13/AN15</f>
        <v>1.0442855208953656</v>
      </c>
      <c r="AP62">
        <f>AP13/AP15</f>
        <v>1.0925835586346633</v>
      </c>
      <c r="AR62">
        <f>AR13/AR15</f>
        <v>1.16796090171676</v>
      </c>
      <c r="AT62">
        <f>AT13/AT15</f>
        <v>1.3026700106339335</v>
      </c>
      <c r="AV62">
        <f>AV13/AV15</f>
        <v>1.6261183319999042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0.99927811630433538</v>
      </c>
      <c r="E65" s="191"/>
      <c r="F65" s="191">
        <f t="array" ref="F65">SQRT((F9:G9*$B$22:$C$22+F10:G10*$B$23:$C$23+F11:G11*$B$24:$C$24+F4:G4*($B$25:$C$25-$B$19:$C$19))/($B$9:$C$9*$B$22:$C$22+$B$10:$C$10*$B$23:$C$23+$B$11:$C$11*$B$24:$C$24+$B$4:$C$4*($B$25:$C$25-$B$19:$C$19))*(F9:G9*F22:G22+F10:G10*F23:G23+F11:G11*F24:G24+F4:G4*(F25:G25-F19:G19))/($B$9:$C$9*F22:G22+$B$10:$C$10*F23:G23+$B$11:$C$11*F24:G24+$B$4:$C$4*(F25:G25-F19:G19)))</f>
        <v>0.99893980876200683</v>
      </c>
      <c r="G65" s="191"/>
      <c r="H65" s="191">
        <f t="array" ref="H65">SQRT((H9:I9*$B$22:$C$22+H10:I10*$B$23:$C$23+H11:I11*$B$24:$C$24+H4:I4*($B$25:$C$25-$B$19:$C$19))/($B$9:$C$9*$B$22:$C$22+$B$10:$C$10*$B$23:$C$23+$B$11:$C$11*$B$24:$C$24+$B$4:$C$4*($B$25:$C$25-$B$19:$C$19))*(H9:I9*H22:I22+H10:I10*H23:I23+H11:I11*H24:I24+H4:I4*(H25:I25-H19:I19))/($B$9:$C$9*H22:I22+$B$10:$C$10*H23:I23+$B$11:$C$11*H24:I24+$B$4:$C$4*(H25:I25-H19:I19)))</f>
        <v>0.99908231746832643</v>
      </c>
      <c r="I65" s="191"/>
      <c r="J65" s="191">
        <f t="array" ref="J65">SQRT((J9:K9*$B$22:$C$22+J10:K10*$B$23:$C$23+J11:K11*$B$24:$C$24+J4:K4*($B$25:$C$25-$B$19:$C$19))/($B$9:$C$9*$B$22:$C$22+$B$10:$C$10*$B$23:$C$23+$B$11:$C$11*$B$24:$C$24+$B$4:$C$4*($B$25:$C$25-$B$19:$C$19))*(J9:K9*J22:K22+J10:K10*J23:K23+J11:K11*J24:K24+J4:K4*(J25:K25-J19:K19))/($B$9:$C$9*J22:K22+$B$10:$C$10*J23:K23+$B$11:$C$11*J24:K24+$B$4:$C$4*(J25:K25-J19:K19)))</f>
        <v>0.99983625691209543</v>
      </c>
      <c r="K65" s="191"/>
      <c r="L65" s="191">
        <f t="array" ref="L65">SQRT((L9:M9*$B$22:$C$22+L10:M10*$B$23:$C$23+L11:M11*$B$24:$C$24+L4:M4*($B$25:$C$25-$B$19:$C$19))/($B$9:$C$9*$B$22:$C$22+$B$10:$C$10*$B$23:$C$23+$B$11:$C$11*$B$24:$C$24+$B$4:$C$4*($B$25:$C$25-$B$19:$C$19))*(L9:M9*L22:M22+L10:M10*L23:M23+L11:M11*L24:M24+L4:M4*(L25:M25-L19:M19))/($B$9:$C$9*L22:M22+$B$10:$C$10*L23:M23+$B$11:$C$11*L24:M24+$B$4:$C$4*(L25:M25-L19:M19)))</f>
        <v>1.0013773822897747</v>
      </c>
      <c r="M65" s="191"/>
      <c r="N65" s="191">
        <f t="array" ref="N65">SQRT((N9:O9*$B$22:$C$22+N10:O10*$B$23:$C$23+N11:O11*$B$24:$C$24+N4:O4*($B$25:$C$25-$B$19:$C$19))/($B$9:$C$9*$B$22:$C$22+$B$10:$C$10*$B$23:$C$23+$B$11:$C$11*$B$24:$C$24+$B$4:$C$4*($B$25:$C$25-$B$19:$C$19))*(N9:O9*N22:O22+N10:O10*N23:O23+N11:O11*N24:O24+N4:O4*(N25:O25-N19:O19))/($B$9:$C$9*N22:O22+$B$10:$C$10*N23:O23+$B$11:$C$11*N24:O24+$B$4:$C$4*(N25:O25-N19:O19)))</f>
        <v>1.0039475750981459</v>
      </c>
      <c r="O65" s="191"/>
      <c r="P65" s="191">
        <f t="array" ref="P65">SQRT((P9:Q9*$B$22:$C$22+P10:Q10*$B$23:$C$23+P11:Q11*$B$24:$C$24+P4:Q4*($B$25:$C$25-$B$19:$C$19))/($B$9:$C$9*$B$22:$C$22+$B$10:$C$10*$B$23:$C$23+$B$11:$C$11*$B$24:$C$24+$B$4:$C$4*($B$25:$C$25-$B$19:$C$19))*(P9:Q9*P22:Q22+P10:Q10*P23:Q23+P11:Q11*P24:Q24+P4:Q4*(P25:Q25-P19:Q19))/($B$9:$C$9*P22:Q22+$B$10:$C$10*P23:Q23+$B$11:$C$11*P24:Q24+$B$4:$C$4*(P25:Q25-P19:Q19)))</f>
        <v>1.007883026507107</v>
      </c>
      <c r="Q65" s="191"/>
      <c r="R65" s="191">
        <f t="array" ref="R65">SQRT((R9:S9*$B$22:$C$22+R10:S10*$B$23:$C$23+R11:S11*$B$24:$C$24+R4:S4*($B$25:$C$25-$B$19:$C$19))/($B$9:$C$9*$B$22:$C$22+$B$10:$C$10*$B$23:$C$23+$B$11:$C$11*$B$24:$C$24+$B$4:$C$4*($B$25:$C$25-$B$19:$C$19))*(R9:S9*R22:S22+R10:S10*R23:S23+R11:S11*R24:S24+R4:S4*(R25:S25-R19:S19))/($B$9:$C$9*R22:S22+$B$10:$C$10*R23:S23+$B$11:$C$11*R24:S24+$B$4:$C$4*(R25:S25-R19:S19)))</f>
        <v>1.0136592519001133</v>
      </c>
      <c r="S65" s="191"/>
      <c r="T65" s="191">
        <f t="array" ref="T65">SQRT((T9:U9*$B$22:$C$22+T10:U10*$B$23:$C$23+T11:U11*$B$24:$C$24+T4:U4*($B$25:$C$25-$B$19:$C$19))/($B$9:$C$9*$B$22:$C$22+$B$10:$C$10*$B$23:$C$23+$B$11:$C$11*$B$24:$C$24+$B$4:$C$4*($B$25:$C$25-$B$19:$C$19))*(T9:U9*T22:U22+T10:U10*T23:U23+T11:U11*T24:U24+T4:U4*(T25:U25-T19:U19))/($B$9:$C$9*T22:U22+$B$10:$C$10*T23:U23+$B$11:$C$11*T24:U24+$B$4:$C$4*(T25:U25-T19:U19)))</f>
        <v>1.0219596561501139</v>
      </c>
      <c r="U65" s="191"/>
      <c r="V65" s="191">
        <f t="array" ref="V65">SQRT((V9:W9*$B$22:$C$22+V10:W10*$B$23:$C$23+V11:W11*$B$24:$C$24+V4:W4*($B$25:$C$25-$B$19:$C$19))/($B$9:$C$9*$B$22:$C$22+$B$10:$C$10*$B$23:$C$23+$B$11:$C$11*$B$24:$C$24+$B$4:$C$4*($B$25:$C$25-$B$19:$C$19))*(V9:W9*V22:W22+V10:W10*V23:W23+V11:W11*V24:W24+V4:W4*(V25:W25-V19:W19))/($B$9:$C$9*V22:W22+$B$10:$C$10*V23:W23+$B$11:$C$11*V24:W24+$B$4:$C$4*(V25:W25-V19:W19)))</f>
        <v>1.0337838400053811</v>
      </c>
      <c r="W65" s="191"/>
      <c r="X65" s="191">
        <f t="array" ref="X65">SQRT((X9:Y9*$B$22:$C$22+X10:Y10*$B$23:$C$23+X11:Y11*$B$24:$C$24+X4:Y4*($B$25:$C$25-$B$19:$C$19))/($B$9:$C$9*$B$22:$C$22+$B$10:$C$10*$B$23:$C$23+$B$11:$C$11*$B$24:$C$24+$B$4:$C$4*($B$25:$C$25-$B$19:$C$19))*(X9:Y9*X22:Y22+X10:Y10*X23:Y23+X11:Y11*X24:Y24+X4:Y4*(X25:Y25-X19:Y19))/($B$9:$C$9*X22:Y22+$B$10:$C$10*X23:Y23+$B$11:$C$11*X24:Y24+$B$4:$C$4*(X25:Y25-X19:Y19)))</f>
        <v>1.0506199070443798</v>
      </c>
      <c r="Y65" s="191"/>
      <c r="Z65" s="191">
        <f t="array" ref="Z65">SQRT((Z9:AA9*$B$22:$C$22+Z10:AA10*$B$23:$C$23+Z11:AA11*$B$24:$C$24+Z4:AA4*($B$25:$C$25-$B$19:$C$19))/($B$9:$C$9*$B$22:$C$22+$B$10:$C$10*$B$23:$C$23+$B$11:$C$11*$B$24:$C$24+$B$4:$C$4*($B$25:$C$25-$B$19:$C$19))*(Z9:AA9*Z22:AA22+Z10:AA10*Z23:AA23+Z11:AA11*Z24:AA24+Z4:AA4*(Z25:AA25-Z19:AA19))/($B$9:$C$9*Z22:AA22+$B$10:$C$10*Z23:AA23+$B$11:$C$11*Z24:AA24+$B$4:$C$4*(Z25:AA25-Z19:AA19)))</f>
        <v>1.0747256985232925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1.1096046246348921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1.1608950903814137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1.2383886655366108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1.3618531901875881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1.5817528078532388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2.0758243309572224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4.5532409372480931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9.6675223389236731</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0.99920643700638578</v>
      </c>
      <c r="E66" s="191"/>
      <c r="F66" s="191">
        <f t="array" ref="F66">SQRT((F9:G9*$B$22:$C$22)/($B$9:$C$9*$B$22:$C$22)*(F9:G9*F22:G22)/($B$9:$C$9*F22:G22))</f>
        <v>0.9988344483650351</v>
      </c>
      <c r="G66" s="191"/>
      <c r="H66" s="191">
        <f t="array" ref="H66">SQRT((H9:I9*$B$22:$C$22)/($B$9:$C$9*$B$22:$C$22)*(H9:I9*H22:I22)/($B$9:$C$9*H22:I22))</f>
        <v>0.99899125658128596</v>
      </c>
      <c r="I66" s="191"/>
      <c r="J66" s="191">
        <f t="array" ref="J66">SQRT((J9:K9*$B$22:$C$22)/($B$9:$C$9*$B$22:$C$22)*(J9:K9*J22:K22)/($B$9:$C$9*J22:K22))</f>
        <v>0.99982008159971225</v>
      </c>
      <c r="K66" s="191"/>
      <c r="L66" s="191">
        <f t="array" ref="L66">SQRT((L9:M9*$B$22:$C$22)/($B$9:$C$9*$B$22:$C$22)*(L9:M9*L22:M22)/($B$9:$C$9*L22:M22))</f>
        <v>1.0015123164753328</v>
      </c>
      <c r="M66" s="191"/>
      <c r="N66" s="191">
        <f t="array" ref="N66">SQRT((N9:O9*$B$22:$C$22)/($B$9:$C$9*$B$22:$C$22)*(N9:O9*N22:O22)/($B$9:$C$9*N22:O22))</f>
        <v>1.0043291455398404</v>
      </c>
      <c r="O66" s="191"/>
      <c r="P66" s="191">
        <f t="array" ref="P66">SQRT((P9:Q9*$B$22:$C$22)/($B$9:$C$9*$B$22:$C$22)*(P9:Q9*P22:Q22)/($B$9:$C$9*P22:Q22))</f>
        <v>1.0086297485784061</v>
      </c>
      <c r="Q66" s="191"/>
      <c r="R66" s="191">
        <f t="array" ref="R66">SQRT((R9:S9*$B$22:$C$22)/($B$9:$C$9*$B$22:$C$22)*(R9:S9*R22:S22)/($B$9:$C$9*R22:S22))</f>
        <v>1.0149154364926765</v>
      </c>
      <c r="S66" s="191"/>
      <c r="T66" s="191">
        <f t="array" ref="T66">SQRT((T9:U9*$B$22:$C$22)/($B$9:$C$9*$B$22:$C$22)*(T9:U9*T22:U22)/($B$9:$C$9*T22:U22))</f>
        <v>1.0238946428250737</v>
      </c>
      <c r="U66" s="191"/>
      <c r="V66" s="191">
        <f t="array" ref="V66">SQRT((V9:W9*$B$22:$C$22)/($B$9:$C$9*$B$22:$C$22)*(V9:W9*V22:W22)/($B$9:$C$9*V22:W22))</f>
        <v>1.0365816102741927</v>
      </c>
      <c r="W66" s="191"/>
      <c r="X66" s="191">
        <f t="array" ref="X66">SQRT((X9:Y9*$B$22:$C$22)/($B$9:$C$9*$B$22:$C$22)*(X9:Y9*X22:Y22)/($B$9:$C$9*X22:Y22))</f>
        <v>1.0544453852372471</v>
      </c>
      <c r="Y66" s="191"/>
      <c r="Z66" s="191">
        <f t="array" ref="Z66">SQRT((Z9:AA9*$B$22:$C$22)/($B$9:$C$9*$B$22:$C$22)*(Z9:AA9*Z22:AA22)/($B$9:$C$9*Z22:AA22))</f>
        <v>1.0796376868833593</v>
      </c>
      <c r="AA66" s="191"/>
      <c r="AB66" s="191">
        <f t="array" ref="AB66">SQRT((AB9:AC9*$B$22:$C$22)/($B$9:$C$9*$B$22:$C$22)*(AB9:AC9*AB22:AC22)/($B$9:$C$9*AB22:AC22))</f>
        <v>1.1153491062811456</v>
      </c>
      <c r="AC66" s="191"/>
      <c r="AD66" s="191">
        <f t="array" ref="AD66">SQRT((AD9:AE9*$B$22:$C$22)/($B$9:$C$9*$B$22:$C$22)*(AD9:AE9*AD22:AE22)/($B$9:$C$9*AD22:AE22))</f>
        <v>1.1664268006693455</v>
      </c>
      <c r="AE66" s="191"/>
      <c r="AF66" s="191">
        <f t="array" ref="AF66">SQRT((AF9:AG9*$B$22:$C$22)/($B$9:$C$9*$B$22:$C$22)*(AF9:AG9*AF22:AG22)/($B$9:$C$9*AF22:AG22))</f>
        <v>1.24071546293875</v>
      </c>
      <c r="AG66" s="191"/>
      <c r="AH66" s="191">
        <f t="array" ref="AH66">SQRT((AH9:AI9*$B$22:$C$22)/($B$9:$C$9*$B$22:$C$22)*(AH9:AI9*AH22:AI22)/($B$9:$C$9*AH22:AI22))</f>
        <v>1.3527722662542911</v>
      </c>
      <c r="AI66" s="191"/>
      <c r="AJ66" s="191">
        <f t="array" ref="AJ66">SQRT((AJ9:AK9*$B$22:$C$22)/($B$9:$C$9*$B$22:$C$22)*(AJ9:AK9*AJ22:AK22)/($B$9:$C$9*AJ22:AK22))</f>
        <v>1.535478241399058</v>
      </c>
      <c r="AK66" s="191"/>
      <c r="AL66" s="191">
        <f t="array" ref="AL66">SQRT((AL9:AM9*$B$22:$C$22)/($B$9:$C$9*$B$22:$C$22)*(AL9:AM9*AL22:AM22)/($B$9:$C$9*AL22:AM22))</f>
        <v>1.8768571299048564</v>
      </c>
      <c r="AM66" s="191"/>
      <c r="AN66" s="191">
        <f t="array" ref="AN66">SQRT((AN9:AO9*$B$22:$C$22)/($B$9:$C$9*$B$22:$C$22)*(AN9:AO9*AN22:AO22)/($B$9:$C$9*AN22:AO22))</f>
        <v>2.6755454662470632</v>
      </c>
      <c r="AO66" s="191"/>
      <c r="AP66" s="191">
        <f t="array" ref="AP66">SQRT((AP9:AQ9*$B$22:$C$22)/($B$9:$C$9*$B$22:$C$22)*(AP9:AQ9*AP22:AQ22)/($B$9:$C$9*AP22:AQ22))</f>
        <v>2.9838267487694417</v>
      </c>
      <c r="AQ66" s="191"/>
      <c r="AR66" s="191">
        <f t="array" ref="AR66">SQRT((AR9:AS9*$B$22:$C$22)/($B$9:$C$9*$B$22:$C$22)*(AR9:AS9*AR22:AS22)/($B$9:$C$9*AR22:AS22))</f>
        <v>3.4148191371606997</v>
      </c>
      <c r="AS66" s="191"/>
      <c r="AT66" s="191">
        <f t="array" ref="AT66">SQRT((AT9:AU9*$B$22:$C$22)/($B$9:$C$9*$B$22:$C$22)*(AT9:AU9*AT22:AU22)/($B$9:$C$9*AT22:AU22))</f>
        <v>4.0799096777156807</v>
      </c>
      <c r="AU66" s="191"/>
      <c r="AV66" s="191">
        <f t="array" ref="AV66">SQRT((AV9:AW9*$B$22:$C$22)/($B$9:$C$9*$B$22:$C$22)*(AV9:AW9*AV22:AW22)/($B$9:$C$9*AV22:AW22))</f>
        <v>5.3350856121758294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0.99920643700638578</v>
      </c>
      <c r="E68" s="191"/>
      <c r="F68" s="191">
        <f>F66/F67</f>
        <v>0.9988344483650351</v>
      </c>
      <c r="G68" s="191"/>
      <c r="H68" s="191">
        <f>H66/H67</f>
        <v>0.99899125658128596</v>
      </c>
      <c r="I68" s="191"/>
      <c r="J68" s="191">
        <f>J66/J67</f>
        <v>0.99982008159971225</v>
      </c>
      <c r="K68" s="191"/>
      <c r="L68" s="191">
        <f>L66/L67</f>
        <v>1.0015123164753328</v>
      </c>
      <c r="M68" s="191"/>
      <c r="N68" s="191">
        <f>N66/N67</f>
        <v>1.0043291455398404</v>
      </c>
      <c r="O68" s="191"/>
      <c r="P68" s="191">
        <f>P66/P67</f>
        <v>1.0086297485784061</v>
      </c>
      <c r="Q68" s="191"/>
      <c r="R68" s="191">
        <f>R66/R67</f>
        <v>1.0149154364926765</v>
      </c>
      <c r="S68" s="191"/>
      <c r="T68" s="191">
        <f>T66/T67</f>
        <v>1.0238946428250737</v>
      </c>
      <c r="U68" s="191"/>
      <c r="V68" s="191">
        <f>V66/V67</f>
        <v>1.0365816102741927</v>
      </c>
      <c r="W68" s="191"/>
      <c r="X68" s="191">
        <f>X66/X67</f>
        <v>1.0544453852372471</v>
      </c>
      <c r="Y68" s="191"/>
      <c r="Z68" s="191">
        <f>Z66/Z67</f>
        <v>1.0796376868833593</v>
      </c>
      <c r="AA68" s="191"/>
      <c r="AB68" s="191">
        <f>AB66/AB67</f>
        <v>1.1153491062811456</v>
      </c>
      <c r="AC68" s="191"/>
      <c r="AD68" s="191">
        <f>AD66/AD67</f>
        <v>1.1664268006693455</v>
      </c>
      <c r="AE68" s="191"/>
      <c r="AF68" s="191">
        <f>AF66/AF67</f>
        <v>1.24071546293875</v>
      </c>
      <c r="AG68" s="191"/>
      <c r="AH68" s="191">
        <f>AH66/AH67</f>
        <v>1.3527722662542911</v>
      </c>
      <c r="AI68" s="191"/>
      <c r="AJ68" s="191">
        <f>AJ66/AJ67</f>
        <v>1.535478241399058</v>
      </c>
      <c r="AK68" s="191"/>
      <c r="AL68" s="191">
        <f>AL66/AL67</f>
        <v>1.8768571299048564</v>
      </c>
      <c r="AM68" s="191"/>
      <c r="AN68" s="191">
        <f>AN66/AN67</f>
        <v>2.6755454662470632</v>
      </c>
      <c r="AO68" s="191"/>
      <c r="AP68" s="191">
        <f>AP66/AP67</f>
        <v>2.9838267487694417</v>
      </c>
      <c r="AQ68" s="191"/>
      <c r="AR68" s="191">
        <f>AR66/AR67</f>
        <v>3.4148191371606997</v>
      </c>
      <c r="AS68" s="191"/>
      <c r="AT68" s="191">
        <f>AT66/AT67</f>
        <v>4.0799096777156807</v>
      </c>
      <c r="AU68" s="191"/>
      <c r="AV68" s="191">
        <f>AV66/AV67</f>
        <v>5.3350856121758294</v>
      </c>
      <c r="XFD68" s="191"/>
    </row>
    <row r="69" spans="1:48 16384:16384" x14ac:dyDescent="0.2">
      <c r="A69" t="s">
        <v>177</v>
      </c>
      <c r="B69" s="191">
        <f>B32/B65/($B$32)</f>
        <v>1</v>
      </c>
      <c r="C69" s="191"/>
      <c r="D69" s="191">
        <f>D32/D65/($B$32)</f>
        <v>0.99094041059633875</v>
      </c>
      <c r="E69" s="191"/>
      <c r="F69" s="191">
        <f>F32/F65/($B$32)</f>
        <v>0.98043073242229228</v>
      </c>
      <c r="G69" s="191"/>
      <c r="H69" s="191">
        <f>H32/H65/($B$32)</f>
        <v>0.96820803284310197</v>
      </c>
      <c r="I69" s="191"/>
      <c r="J69" s="191">
        <f>J32/J65/($B$32)</f>
        <v>0.95395400836344357</v>
      </c>
      <c r="K69" s="191"/>
      <c r="L69" s="191">
        <f>L32/L65/($B$32)</f>
        <v>0.93728968122597012</v>
      </c>
      <c r="M69" s="191"/>
      <c r="N69" s="191">
        <f>N32/N65/($B$32)</f>
        <v>0.9177651168034725</v>
      </c>
      <c r="O69" s="191"/>
      <c r="P69" s="191">
        <f>P32/P65/($B$32)</f>
        <v>0.89485934587485194</v>
      </c>
      <c r="Q69" s="191"/>
      <c r="R69" s="191">
        <f>R32/R65/($B$32)</f>
        <v>0.86798780563968925</v>
      </c>
      <c r="S69" s="191"/>
      <c r="T69" s="191">
        <f>T32/T65/($B$32)</f>
        <v>0.83653106239378183</v>
      </c>
      <c r="U69" s="191"/>
      <c r="V69" s="191">
        <f>V32/V65/($B$32)</f>
        <v>0.79989743922015888</v>
      </c>
      <c r="W69" s="191"/>
      <c r="X69" s="191">
        <f>X32/X65/($B$32)</f>
        <v>0.7576353227662328</v>
      </c>
      <c r="Y69" s="191"/>
      <c r="Z69" s="191">
        <f>Z32/Z65/($B$32)</f>
        <v>0.70960280360798111</v>
      </c>
      <c r="AA69" s="191"/>
      <c r="AB69" s="191">
        <f>AB32/AB65/($B$32)</f>
        <v>0.65616636501393266</v>
      </c>
      <c r="AC69" s="191"/>
      <c r="AD69" s="191">
        <f>AD32/AD65/($B$32)</f>
        <v>0.59831054068298273</v>
      </c>
      <c r="AE69" s="191"/>
      <c r="AF69" s="191">
        <f>AF32/AF65/($B$32)</f>
        <v>0.537404712295801</v>
      </c>
      <c r="AG69" s="191"/>
      <c r="AH69" s="191">
        <f>AH32/AH65/($B$32)</f>
        <v>0.47428131298357512</v>
      </c>
      <c r="AI69" s="191"/>
      <c r="AJ69" s="191">
        <f>AJ32/AJ65/($B$32)</f>
        <v>0.40711680280815471</v>
      </c>
      <c r="AK69" s="191"/>
      <c r="AL69" s="191">
        <f>AL32/AL65/($B$32)</f>
        <v>0.32534822326026802</v>
      </c>
      <c r="AM69" s="191"/>
      <c r="AN69" s="191">
        <f>AN32/AN65/($B$32)</f>
        <v>0.16819051538509661</v>
      </c>
      <c r="AO69" s="191"/>
      <c r="AP69" s="191">
        <f>AP32/AP65/($B$32)</f>
        <v>8.2168093128790115E-2</v>
      </c>
      <c r="AQ69" s="191"/>
      <c r="AR69" s="191" t="e">
        <f>AR32/AR65/($B$32)</f>
        <v>#NUM!</v>
      </c>
      <c r="AS69" s="191"/>
      <c r="AT69" s="191" t="e">
        <f>AT32/AT65/($B$32)</f>
        <v>#NUM!</v>
      </c>
      <c r="AU69" s="191"/>
      <c r="AV69" s="191" t="e">
        <f>AV32/AV65/($B$32)</f>
        <v>#NUM!</v>
      </c>
    </row>
    <row r="70" spans="1:48 16384:16384" x14ac:dyDescent="0.2">
      <c r="A70" t="s">
        <v>178</v>
      </c>
      <c r="B70" s="138">
        <f>B18/$B$18</f>
        <v>1</v>
      </c>
      <c r="C70" s="138"/>
      <c r="D70" s="138">
        <f>D18/$B$18</f>
        <v>0.99001911216860172</v>
      </c>
      <c r="E70" s="138"/>
      <c r="F70" s="138">
        <f>F18/$B$18</f>
        <v>0.97861977886722973</v>
      </c>
      <c r="G70" s="138"/>
      <c r="H70" s="138">
        <f>H18/$B$18</f>
        <v>0.96554448763042422</v>
      </c>
      <c r="I70" s="138"/>
      <c r="J70" s="138">
        <f>J18/$B$18</f>
        <v>0.95048156089219304</v>
      </c>
      <c r="K70" s="138"/>
      <c r="L70" s="138">
        <f>L18/$B$18</f>
        <v>0.93305961595350018</v>
      </c>
      <c r="M70" s="138"/>
      <c r="N70" s="138">
        <f>N18/$B$18</f>
        <v>0.91283773951152847</v>
      </c>
      <c r="O70" s="138"/>
      <c r="P70" s="138">
        <f>P18/$B$18</f>
        <v>0.8893051526763005</v>
      </c>
      <c r="Q70" s="138"/>
      <c r="R70" s="138">
        <f>R18/$B$18</f>
        <v>0.86188869492294218</v>
      </c>
      <c r="S70" s="138"/>
      <c r="T70" s="138">
        <f>T18/$B$18</f>
        <v>0.82998123630787912</v>
      </c>
      <c r="U70" s="138"/>
      <c r="V70" s="138">
        <f>V18/$B$18</f>
        <v>0.79300371850272511</v>
      </c>
      <c r="W70" s="138"/>
      <c r="X70" s="138">
        <f>X18/$B$18</f>
        <v>0.75051630344918696</v>
      </c>
      <c r="Y70" s="138"/>
      <c r="Z70" s="138">
        <f>Z18/$B$18</f>
        <v>0.70238623242531573</v>
      </c>
      <c r="AA70" s="138"/>
      <c r="AB70" s="138">
        <f>AB18/$B$18</f>
        <v>0.64898437483388671</v>
      </c>
      <c r="AC70" s="138"/>
      <c r="AD70" s="138">
        <f>AD18/$B$18</f>
        <v>0.59129587443008058</v>
      </c>
      <c r="AE70" s="138"/>
      <c r="AF70" s="138">
        <f>AF18/$B$18</f>
        <v>0.53070631482822439</v>
      </c>
      <c r="AG70" s="138"/>
      <c r="AH70" s="138">
        <f>AH18/$B$18</f>
        <v>0.46818741837660921</v>
      </c>
      <c r="AI70" s="138"/>
      <c r="AJ70" s="138">
        <f>AJ18/$B$18</f>
        <v>0.40276820021266152</v>
      </c>
      <c r="AK70" s="138"/>
      <c r="AL70" s="138">
        <f>AL18/$B$18</f>
        <v>0.32920653346145928</v>
      </c>
      <c r="AM70" s="138"/>
      <c r="AN70" s="138">
        <f>AN18/$B$18</f>
        <v>0.23187674368784206</v>
      </c>
      <c r="AO70" s="138"/>
      <c r="AP70" s="138">
        <f>AP18/$B$18</f>
        <v>0.20577553241335991</v>
      </c>
      <c r="AQ70" s="138"/>
      <c r="AR70" s="138">
        <f>AR18/$B$18</f>
        <v>0.17531506396709196</v>
      </c>
      <c r="AS70" s="138"/>
      <c r="AT70" s="138">
        <f>AT18/$B$18</f>
        <v>0.13817495431277696</v>
      </c>
      <c r="AU70" s="138"/>
      <c r="AV70" s="138">
        <f>AV18/$B$18</f>
        <v>8.9123929619864248E-2</v>
      </c>
    </row>
    <row r="71" spans="1:48 16384:16384" x14ac:dyDescent="0.2">
      <c r="A71" t="s">
        <v>179</v>
      </c>
      <c r="B71" s="138">
        <f>C18/$C$18</f>
        <v>1</v>
      </c>
      <c r="D71" s="138">
        <f>E18/$C$18</f>
        <v>0.93337117820671089</v>
      </c>
      <c r="E71" s="138"/>
      <c r="F71" s="138">
        <f>G18/$C$18</f>
        <v>0.86707357274550811</v>
      </c>
      <c r="G71" s="138"/>
      <c r="H71" s="138">
        <f>I18/$C$18</f>
        <v>0.80119023018445434</v>
      </c>
      <c r="I71" s="138"/>
      <c r="J71" s="138">
        <f>K18/$C$18</f>
        <v>0.73582409745022515</v>
      </c>
      <c r="K71" s="138"/>
      <c r="L71" s="138">
        <f>M18/$C$18</f>
        <v>0.67109591356972609</v>
      </c>
      <c r="M71" s="138"/>
      <c r="N71" s="138">
        <f>O18/$C$18</f>
        <v>0.60715166199710191</v>
      </c>
      <c r="O71" s="138"/>
      <c r="P71" s="138">
        <f>Q18/$C$18</f>
        <v>0.54415921334100925</v>
      </c>
      <c r="Q71" s="138"/>
      <c r="R71" s="138">
        <f>S18/$C$18</f>
        <v>0.48230582886307705</v>
      </c>
      <c r="S71" s="138"/>
      <c r="T71" s="138">
        <f>U18/$C$18</f>
        <v>0.42178937403366351</v>
      </c>
      <c r="U71" s="138"/>
      <c r="V71" s="138">
        <f>W18/$C$18</f>
        <v>0.36279751128247933</v>
      </c>
      <c r="W71" s="138"/>
      <c r="X71" s="138">
        <f>Y18/$C$18</f>
        <v>0.30548266562378623</v>
      </c>
      <c r="Y71" s="138"/>
      <c r="Z71" s="138">
        <f>AA18/$C$18</f>
        <v>0.24994080096976604</v>
      </c>
      <c r="AA71" s="138"/>
      <c r="AB71" s="138">
        <f>AC18/$C$18</f>
        <v>0.19623559234858964</v>
      </c>
      <c r="AC71" s="138"/>
      <c r="AD71" s="138">
        <f>AE18/$C$18</f>
        <v>0.14456648506259517</v>
      </c>
      <c r="AE71" s="138"/>
      <c r="AF71" s="138">
        <f>AG18/$C$18</f>
        <v>9.5746014597651044E-2</v>
      </c>
      <c r="AG71" s="138"/>
      <c r="AH71" s="138">
        <f>AI18/$C$18</f>
        <v>5.2167732654621067E-2</v>
      </c>
      <c r="AI71" s="138"/>
      <c r="AJ71" s="138">
        <f>AK18/$C$18</f>
        <v>1.906411577344443E-2</v>
      </c>
      <c r="AK71" s="138"/>
      <c r="AL71" s="138">
        <f>AM18/$C$18</f>
        <v>2.8493292887997821E-3</v>
      </c>
      <c r="AM71" s="138"/>
      <c r="AN71" s="138">
        <f>AO18/$C$18</f>
        <v>5.1286884694525121E-5</v>
      </c>
      <c r="AO71" s="138"/>
      <c r="AP71" s="138">
        <f>AQ18/$C$18</f>
        <v>1.3229026562815249E-5</v>
      </c>
      <c r="AQ71" s="138"/>
      <c r="AR71" s="138">
        <f>AS18/$C$18</f>
        <v>2.3062719971101082E-6</v>
      </c>
      <c r="AS71" s="138"/>
      <c r="AT71" s="138">
        <f>AU18/$C$18</f>
        <v>2.0212265730688021E-7</v>
      </c>
      <c r="AU71" s="138"/>
      <c r="AV71" s="138">
        <f>AW18/$C$18</f>
        <v>3.5910060147348031E-9</v>
      </c>
      <c r="XFD71" s="138"/>
    </row>
    <row r="72" spans="1:48 16384:16384" x14ac:dyDescent="0.2">
      <c r="A72" t="s">
        <v>180</v>
      </c>
      <c r="B72" s="138">
        <f>C19/$C$19</f>
        <v>1</v>
      </c>
      <c r="D72" s="138">
        <f>E19/$C$19</f>
        <v>1.0117428783643907</v>
      </c>
      <c r="E72" s="138"/>
      <c r="F72" s="138">
        <f>G19/$C$19</f>
        <v>1.0247840950914648</v>
      </c>
      <c r="G72" s="138"/>
      <c r="H72" s="138">
        <f>I19/$C$19</f>
        <v>1.0390174008675659</v>
      </c>
      <c r="I72" s="138"/>
      <c r="J72" s="138">
        <f>K19/$C$19</f>
        <v>1.0542585043054127</v>
      </c>
      <c r="K72" s="138"/>
      <c r="L72" s="138">
        <f>M19/$C$19</f>
        <v>1.0702246729673122</v>
      </c>
      <c r="M72" s="138"/>
      <c r="N72" s="138">
        <f>O19/$C$19</f>
        <v>1.0865099669420746</v>
      </c>
      <c r="O72" s="138"/>
      <c r="P72" s="138">
        <f>Q19/$C$19</f>
        <v>1.1025712420092419</v>
      </c>
      <c r="Q72" s="138"/>
      <c r="R72" s="138">
        <f>S19/$C$19</f>
        <v>1.1177325710411337</v>
      </c>
      <c r="S72" s="138"/>
      <c r="T72" s="138">
        <f>U19/$C$19</f>
        <v>1.1312337963897234</v>
      </c>
      <c r="U72" s="138"/>
      <c r="V72" s="138">
        <f>W19/$C$19</f>
        <v>1.1423521684838633</v>
      </c>
      <c r="W72" s="138"/>
      <c r="X72" s="138">
        <f>Y19/$C$19</f>
        <v>1.1506250418926294</v>
      </c>
      <c r="Y72" s="138"/>
      <c r="Z72" s="138">
        <f>AA19/$C$19</f>
        <v>1.1561549130522379</v>
      </c>
      <c r="AA72" s="138"/>
      <c r="AB72" s="138">
        <f>AC19/$C$19</f>
        <v>1.1598063261531142</v>
      </c>
      <c r="AC72" s="138"/>
      <c r="AD72" s="138">
        <f>AE19/$C$19</f>
        <v>1.1626872513145083</v>
      </c>
      <c r="AE72" s="138"/>
      <c r="AF72" s="138">
        <f>AG19/$C$19</f>
        <v>1.1634217742576038</v>
      </c>
      <c r="AG72" s="138"/>
      <c r="AH72" s="138">
        <f>AI19/$C$19</f>
        <v>1.1500323090246518</v>
      </c>
      <c r="AI72" s="138"/>
      <c r="AJ72" s="138">
        <f>AK19/$C$19</f>
        <v>1.0807499357042716</v>
      </c>
      <c r="AK72" s="138"/>
      <c r="AL72" s="138">
        <f>AM19/$C$19</f>
        <v>0.86549984292329529</v>
      </c>
      <c r="AM72" s="138"/>
      <c r="AN72" s="138">
        <f>AO19/$C$19</f>
        <v>0.46599292663229713</v>
      </c>
      <c r="AO72" s="138"/>
      <c r="AP72" s="138">
        <f>AQ19/$C$19</f>
        <v>0.3741790992845993</v>
      </c>
      <c r="AQ72" s="138"/>
      <c r="AR72" s="138">
        <f>AS19/$C$19</f>
        <v>0.28115141335039368</v>
      </c>
      <c r="AS72" s="138"/>
      <c r="AT72" s="138">
        <f>AU19/$C$19</f>
        <v>0.18756992422689966</v>
      </c>
      <c r="AU72" s="138"/>
      <c r="AV72" s="138">
        <f>AW19/$C$19</f>
        <v>9.3802357078190887E-2</v>
      </c>
      <c r="XFD72" s="138"/>
    </row>
    <row r="73" spans="1:48 16384:16384" x14ac:dyDescent="0.2">
      <c r="A73" t="s">
        <v>184</v>
      </c>
      <c r="B73" s="193">
        <f t="array" ref="B73">SUM(B9:C9*B22:C22)/B32</f>
        <v>0.47641153352875065</v>
      </c>
      <c r="D73" s="193">
        <f t="array" ref="D73">SUM(D9:E9*D22:E22)/D32</f>
        <v>0.47480802674165168</v>
      </c>
      <c r="E73" s="138"/>
      <c r="F73" s="193">
        <f t="array" ref="F73">SUM(F9:G9*F22:G22)/F32</f>
        <v>0.47319748469853562</v>
      </c>
      <c r="G73" s="138"/>
      <c r="H73" s="193">
        <f t="array" ref="H73">SUM(H9:I9*H22:I22)/H32</f>
        <v>0.47158159742785316</v>
      </c>
      <c r="I73" s="138"/>
      <c r="J73" s="193">
        <f t="array" ref="J73">SUM(J9:K9*J22:K22)/J32</f>
        <v>0.46996302855676458</v>
      </c>
      <c r="K73" s="138"/>
      <c r="L73" s="193">
        <f t="array" ref="L73">SUM(L9:M9*L22:M22)/L32</f>
        <v>0.46834519388233792</v>
      </c>
      <c r="M73" s="138"/>
      <c r="N73" s="193">
        <f t="array" ref="N73">SUM(N9:O9*N22:O22)/N32</f>
        <v>0.46673276293982746</v>
      </c>
      <c r="O73" s="138"/>
      <c r="P73" s="193">
        <f t="array" ref="P73">SUM(P9:Q9*P22:Q22)/P32</f>
        <v>0.4651312706325898</v>
      </c>
      <c r="Q73" s="138"/>
      <c r="R73" s="193">
        <f t="array" ref="R73">SUM(R9:S9*R22:S22)/R32</f>
        <v>0.46354679721473852</v>
      </c>
      <c r="S73" s="138"/>
      <c r="T73" s="193">
        <f t="array" ref="T73">SUM(T9:U9*T22:U22)/T32</f>
        <v>0.46198438022774913</v>
      </c>
      <c r="U73" s="138"/>
      <c r="V73" s="193">
        <f t="array" ref="V73">SUM(V9:W9*V22:W22)/V32</f>
        <v>0.46044485340642238</v>
      </c>
      <c r="W73" s="138"/>
      <c r="X73" s="193">
        <f t="array" ref="X73">SUM(X9:Y9*X22:Y22)/X32</f>
        <v>0.45891748957473766</v>
      </c>
      <c r="Y73" s="138"/>
      <c r="Z73" s="193">
        <f t="array" ref="Z73">SUM(Z9:AA9*Z22:AA22)/Z32</f>
        <v>0.45736595711363087</v>
      </c>
      <c r="AA73" s="138"/>
      <c r="AB73" s="193">
        <f t="array" ref="AB73">SUM(AB9:AC9*AB22:AC22)/AB32</f>
        <v>0.4557016644312899</v>
      </c>
      <c r="AC73" s="138"/>
      <c r="AD73" s="193">
        <f t="array" ref="AD73">SUM(AD9:AE9*AD22:AE22)/AD32</f>
        <v>0.45373703537245008</v>
      </c>
      <c r="AE73" s="138"/>
      <c r="AF73" s="193">
        <f t="array" ref="AF73">SUM(AF9:AG9*AF22:AG22)/AF32</f>
        <v>0.45110400249004362</v>
      </c>
      <c r="AG73" s="138"/>
      <c r="AH73" s="193">
        <f t="array" ref="AH73">SUM(AH9:AI9*AH22:AI22)/AH32</f>
        <v>0.4470891949973797</v>
      </c>
      <c r="AI73" s="138"/>
      <c r="AJ73" s="193">
        <f t="array" ref="AJ73">SUM(AJ9:AK9*AJ22:AK22)/AJ32</f>
        <v>0.44022128034399588</v>
      </c>
      <c r="AK73" s="138"/>
      <c r="AL73" s="193">
        <f t="array" ref="AL73">SUM(AL9:AM9*AL22:AM22)/AL32</f>
        <v>0.42740314518560302</v>
      </c>
      <c r="AM73" s="138"/>
      <c r="AN73" s="193">
        <f t="array" ref="AN73">SUM(AN9:AO9*AN22:AO22)/AN32</f>
        <v>0.40208963864314529</v>
      </c>
      <c r="AO73" s="138"/>
      <c r="AP73" s="193">
        <f t="array" ref="AP73">SUM(AP9:AQ9*AP22:AQ22)/AP32</f>
        <v>0.39381842135021788</v>
      </c>
      <c r="AQ73" s="138"/>
      <c r="AR73" s="193">
        <f t="array" ref="AR73">SUM(AR9:AS9*AR22:AS22)/AR32</f>
        <v>0.38314230241731018</v>
      </c>
      <c r="AS73" s="138"/>
      <c r="AT73" s="193">
        <f t="array" ref="AT73">SUM(AT9:AU9*AT22:AU22)/AT32</f>
        <v>0.3680674502149604</v>
      </c>
      <c r="AU73" s="138"/>
      <c r="AV73" s="193">
        <f t="array" ref="AV73">SUM(AV9:AW9*AV22:AW22)/AV32</f>
        <v>0.34235543380808892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0.22604620456442481</v>
      </c>
      <c r="AE74" s="138"/>
      <c r="AF74" s="193">
        <f t="array" ref="AF74">SUM(AF10:AG10*AF23:AG23)/AF32</f>
        <v>0.22604620456442487</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0.22238328113923306</v>
      </c>
      <c r="E75" s="138"/>
      <c r="F75" s="193">
        <f t="array" ref="F75">SUM(F11:G11*F24:G24)/F32</f>
        <v>0.22475952315093728</v>
      </c>
      <c r="G75" s="138"/>
      <c r="H75" s="193">
        <f t="array" ref="H75">SUM(H11:I11*H24:I24)/H32</f>
        <v>0.22760015825692426</v>
      </c>
      <c r="I75" s="138"/>
      <c r="J75" s="193">
        <f t="array" ref="J75">SUM(J11:K11*J24:K24)/J32</f>
        <v>0.23101828917296016</v>
      </c>
      <c r="K75" s="138"/>
      <c r="L75" s="193">
        <f t="array" ref="L75">SUM(L11:M11*L24:M24)/L32</f>
        <v>0.23516111318773691</v>
      </c>
      <c r="M75" s="138"/>
      <c r="N75" s="193">
        <f t="array" ref="N75">SUM(N11:O11*N24:O24)/N32</f>
        <v>0.24022284766428381</v>
      </c>
      <c r="O75" s="138"/>
      <c r="P75" s="193">
        <f t="array" ref="P75">SUM(P11:Q11*P24:Q24)/P32</f>
        <v>0.24646070704273462</v>
      </c>
      <c r="Q75" s="138"/>
      <c r="R75" s="193">
        <f t="array" ref="R75">SUM(R11:S11*R24:S24)/R32</f>
        <v>0.25421728260772414</v>
      </c>
      <c r="S75" s="138"/>
      <c r="T75" s="193">
        <f t="array" ref="T75">SUM(T11:U11*T24:U24)/T32</f>
        <v>0.26394915364250005</v>
      </c>
      <c r="U75" s="138"/>
      <c r="V75" s="193">
        <f t="array" ref="V75">SUM(V11:W11*V24:W24)/V32</f>
        <v>0.27626144618157927</v>
      </c>
      <c r="W75" s="138"/>
      <c r="X75" s="193">
        <f t="array" ref="X75">SUM(X11:Y11*X24:Y24)/X32</f>
        <v>0.29194367941507626</v>
      </c>
      <c r="Y75" s="138"/>
      <c r="Z75" s="193">
        <f t="array" ref="Z75">SUM(Z11:AA11*Z24:AA24)/Z32</f>
        <v>0.31199375866912815</v>
      </c>
      <c r="AA75" s="138"/>
      <c r="AB75" s="193">
        <f t="array" ref="AB75">SUM(AB11:AC11*AB24:AC24)/AB32</f>
        <v>0.33760543322808167</v>
      </c>
      <c r="AC75" s="138"/>
      <c r="AD75" s="193">
        <f t="array" ref="AD75">SUM(AD11:AE11*AD24:AE24)/AD32</f>
        <v>0.37009966140154305</v>
      </c>
      <c r="AE75" s="138"/>
      <c r="AF75" s="193">
        <f t="array" ref="AF75">SUM(AF11:AG11*AF24:AG24)/AF32</f>
        <v>0.41086068197542502</v>
      </c>
      <c r="AG75" s="138"/>
      <c r="AH75" s="193">
        <f t="array" ref="AH75">SUM(AH11:AI11*AH24:AI24)/AH32</f>
        <v>0.4615717406130731</v>
      </c>
      <c r="AI75" s="138"/>
      <c r="AJ75" s="193">
        <f t="array" ref="AJ75">SUM(AJ11:AK11*AJ24:AK24)/AJ32</f>
        <v>0.52549289910774033</v>
      </c>
      <c r="AK75" s="138"/>
      <c r="AL75" s="193">
        <f t="array" ref="AL75">SUM(AL11:AM11*AL24:AM24)/AL32</f>
        <v>0.61245333470938401</v>
      </c>
      <c r="AM75" s="138"/>
      <c r="AN75" s="193">
        <f t="array" ref="AN75">SUM(AN11:AO11*AN24:AO24)/AN32</f>
        <v>0.76996507929058911</v>
      </c>
      <c r="AO75" s="138"/>
      <c r="AP75" s="193">
        <f t="array" ref="AP75">SUM(AP11:AQ11*AP24:AQ24)/AP32</f>
        <v>0.82782023268221494</v>
      </c>
      <c r="AQ75" s="138"/>
      <c r="AR75" s="193">
        <f t="array" ref="AR75">SUM(AR11:AS11*AR24:AS24)/AR32</f>
        <v>0.90962085836019546</v>
      </c>
      <c r="AS75" s="138"/>
      <c r="AT75" s="193">
        <f t="array" ref="AT75">SUM(AT11:AU11*AT24:AU24)/AT32</f>
        <v>1.0406602410807022</v>
      </c>
      <c r="AU75" s="138"/>
      <c r="AV75" s="193">
        <f t="array" ref="AV75">SUM(AV11:AW11*AV24:AW24)/AV32</f>
        <v>1.3142136236499662</v>
      </c>
      <c r="XFD75" s="193"/>
    </row>
    <row r="76" spans="1:48 16384:16384" x14ac:dyDescent="0.2">
      <c r="A76" t="s">
        <v>187</v>
      </c>
      <c r="B76" s="193">
        <f t="array" ref="B76">SUM(B12:C12*B25:C25)/B32</f>
        <v>0.22301874374724867</v>
      </c>
      <c r="D76" s="193">
        <f t="array" ref="D76">SUM(D12:E12*D25:E25)/D32</f>
        <v>0.22274062706705386</v>
      </c>
      <c r="E76" s="138"/>
      <c r="F76" s="193">
        <f t="array" ref="F76">SUM(F12:G12*F25:G25)/F32</f>
        <v>0.22222582628075913</v>
      </c>
      <c r="G76" s="138"/>
      <c r="H76" s="193">
        <f t="array" ref="H76">SUM(H12:I12*H25:I25)/H32</f>
        <v>0.2214107197168832</v>
      </c>
      <c r="I76" s="138"/>
      <c r="J76" s="193">
        <f t="array" ref="J76">SUM(J12:K12*J25:K25)/J32</f>
        <v>0.22021162678100692</v>
      </c>
      <c r="K76" s="138"/>
      <c r="L76" s="193">
        <f t="array" ref="L76">SUM(L12:M12*L25:M25)/L32</f>
        <v>0.21851909730605482</v>
      </c>
      <c r="M76" s="138"/>
      <c r="N76" s="193">
        <f t="array" ref="N76">SUM(N12:O12*N25:O25)/N32</f>
        <v>0.21618834796896882</v>
      </c>
      <c r="O76" s="138"/>
      <c r="P76" s="193">
        <f t="array" ref="P76">SUM(P12:Q12*P25:Q25)/P32</f>
        <v>0.21302862214554052</v>
      </c>
      <c r="Q76" s="138"/>
      <c r="R76" s="193">
        <f t="array" ref="R76">SUM(R12:S12*R25:S25)/R32</f>
        <v>0.20878896691033297</v>
      </c>
      <c r="S76" s="138"/>
      <c r="T76" s="193">
        <f t="array" ref="T76">SUM(T12:U12*T25:U25)/T32</f>
        <v>0.20314270539965085</v>
      </c>
      <c r="U76" s="138"/>
      <c r="V76" s="193">
        <f t="array" ref="V76">SUM(V12:W12*V25:W25)/V32</f>
        <v>0.19567316126819542</v>
      </c>
      <c r="W76" s="138"/>
      <c r="X76" s="193">
        <f t="array" ref="X76">SUM(X12:Y12*X25:Y25)/X32</f>
        <v>0.18586976372122208</v>
      </c>
      <c r="Y76" s="138"/>
      <c r="Z76" s="193">
        <f t="array" ref="Z76">SUM(Z12:AA12*Z25:AA25)/Z32</f>
        <v>0.1731517468071109</v>
      </c>
      <c r="AA76" s="138"/>
      <c r="AB76" s="193">
        <f t="array" ref="AB76">SUM(AB12:AC12*AB25:AC25)/AB32</f>
        <v>0.15694886671491889</v>
      </c>
      <c r="AC76" s="138"/>
      <c r="AD76" s="193">
        <f t="array" ref="AD76">SUM(AD12:AE12*AD25:AE25)/AD32</f>
        <v>0.13686438316700822</v>
      </c>
      <c r="AE76" s="138"/>
      <c r="AF76" s="193">
        <f t="array" ref="AF76">SUM(AF12:AG12*AF25:AG25)/AF32</f>
        <v>0.11289322319724072</v>
      </c>
      <c r="AG76" s="138"/>
      <c r="AH76" s="193">
        <f t="array" ref="AH76">SUM(AH12:AI12*AH25:AI25)/AH32</f>
        <v>8.5586325675014022E-2</v>
      </c>
      <c r="AI76" s="138"/>
      <c r="AJ76" s="193">
        <f t="array" ref="AJ76">SUM(AJ12:AK12*AJ25:AK25)/AJ32</f>
        <v>5.6234478667251321E-2</v>
      </c>
      <c r="AK76" s="138"/>
      <c r="AL76" s="193">
        <f t="array" ref="AL76">SUM(AL12:AM12*AL25:AM25)/AL32</f>
        <v>2.8030655006767706E-2</v>
      </c>
      <c r="AM76" s="138"/>
      <c r="AN76" s="193">
        <f t="array" ref="AN76">SUM(AN12:AO12*AN25:AO25)/AN32</f>
        <v>7.5387833615614824E-3</v>
      </c>
      <c r="AO76" s="138"/>
      <c r="AP76" s="193">
        <f t="array" ref="AP76">SUM(AP12:AQ12*AP25:AQ25)/AP32</f>
        <v>4.9140217496092767E-3</v>
      </c>
      <c r="AQ76" s="138"/>
      <c r="AR76" s="193">
        <f t="array" ref="AR76">SUM(AR12:AS12*AR25:AS25)/AR32</f>
        <v>2.8374277916809868E-3</v>
      </c>
      <c r="AS76" s="138"/>
      <c r="AT76" s="193">
        <f t="array" ref="AT76">SUM(AT12:AU12*AT25:AU25)/AT32</f>
        <v>1.3195780425556893E-3</v>
      </c>
      <c r="AU76" s="138"/>
      <c r="AV76" s="193">
        <f t="array" ref="AV76">SUM(AV12:AW12*AV25:AW25)/AV32</f>
        <v>3.6768919357996758E-4</v>
      </c>
      <c r="XFD76" s="193"/>
    </row>
    <row r="77" spans="1:48 16384:16384" x14ac:dyDescent="0.2">
      <c r="A77" t="s">
        <v>188</v>
      </c>
      <c r="B77" s="193">
        <f t="array" ref="B77">SUM(B4:C4*B19:C19)/B32</f>
        <v>0.14586087017236485</v>
      </c>
      <c r="D77" s="193">
        <f t="array" ref="D77">SUM(D4:E4*D19:E19)/D32</f>
        <v>0.14597813951236335</v>
      </c>
      <c r="E77" s="138"/>
      <c r="F77" s="193">
        <f t="array" ref="F77">SUM(F4:G4*F19:G19)/F32</f>
        <v>0.14622903869465684</v>
      </c>
      <c r="G77" s="138"/>
      <c r="H77" s="193">
        <f t="array" ref="H77">SUM(H4:I4*H19:I19)/H32</f>
        <v>0.14663867996608532</v>
      </c>
      <c r="I77" s="138"/>
      <c r="J77" s="193">
        <f t="array" ref="J77">SUM(J4:K4*J19:K19)/J32</f>
        <v>0.1472391490751562</v>
      </c>
      <c r="K77" s="138"/>
      <c r="L77" s="193">
        <f t="array" ref="L77">SUM(L4:M4*L19:M19)/L32</f>
        <v>0.14807160894055441</v>
      </c>
      <c r="M77" s="138"/>
      <c r="N77" s="193">
        <f t="array" ref="N77">SUM(N4:O4*N19:O19)/N32</f>
        <v>0.1491901631375048</v>
      </c>
      <c r="O77" s="138"/>
      <c r="P77" s="193">
        <f t="array" ref="P77">SUM(P4:Q4*P19:Q19)/P32</f>
        <v>0.15066680438528984</v>
      </c>
      <c r="Q77" s="138"/>
      <c r="R77" s="193">
        <f t="array" ref="R77">SUM(R4:S4*R19:S19)/R32</f>
        <v>0.15259925129722035</v>
      </c>
      <c r="S77" s="138"/>
      <c r="T77" s="193">
        <f t="array" ref="T77">SUM(T4:U4*T19:U19)/T32</f>
        <v>0.15512244383432497</v>
      </c>
      <c r="U77" s="138"/>
      <c r="V77" s="193">
        <f t="array" ref="V77">SUM(V4:W4*V19:W19)/V32</f>
        <v>0.15842566542062181</v>
      </c>
      <c r="W77" s="138"/>
      <c r="X77" s="193">
        <f t="array" ref="X77">SUM(X4:Y4*X19:Y19)/X32</f>
        <v>0.1627771372754607</v>
      </c>
      <c r="Y77" s="138"/>
      <c r="Z77" s="193">
        <f t="array" ref="Z77">SUM(Z4:AA4*Z19:AA19)/Z32</f>
        <v>0.16855766715429454</v>
      </c>
      <c r="AA77" s="138"/>
      <c r="AB77" s="193">
        <f t="array" ref="AB77">SUM(AB4:AC4*AB19:AC19)/AB32</f>
        <v>0.17630216893871523</v>
      </c>
      <c r="AC77" s="138"/>
      <c r="AD77" s="193">
        <f t="array" ref="AD77">SUM(AD4:AE4*AD19:AE19)/AD32</f>
        <v>0.18674728450542616</v>
      </c>
      <c r="AE77" s="138"/>
      <c r="AF77" s="193">
        <f t="array" ref="AF77">SUM(AF4:AG4*AF19:AG19)/AF32</f>
        <v>0.20090411222713406</v>
      </c>
      <c r="AG77" s="138"/>
      <c r="AH77" s="193">
        <f t="array" ref="AH77">SUM(AH4:AI4*AH19:AI19)/AH32</f>
        <v>0.22029346584989157</v>
      </c>
      <c r="AI77" s="138"/>
      <c r="AJ77" s="193">
        <f t="array" ref="AJ77">SUM(AJ4:AK4*AJ19:AK19)/AJ32</f>
        <v>0.24799486268341225</v>
      </c>
      <c r="AK77" s="138"/>
      <c r="AL77" s="193">
        <f t="array" ref="AL77">SUM(AL4:AM4*AL19:AM19)/AL32</f>
        <v>0.2939333394661795</v>
      </c>
      <c r="AM77" s="138"/>
      <c r="AN77" s="193">
        <f t="array" ref="AN77">SUM(AN4:AO4*AN19:AO19)/AN32</f>
        <v>0.40563970585972042</v>
      </c>
      <c r="AO77" s="138"/>
      <c r="AP77" s="193">
        <f t="array" ref="AP77">SUM(AP4:AQ4*AP19:AQ19)/AP32</f>
        <v>0.45259888034646678</v>
      </c>
      <c r="AQ77" s="138"/>
      <c r="AR77" s="193">
        <f t="array" ref="AR77">SUM(AR4:AS4*AR19:AS19)/AR32</f>
        <v>0.52164679313361162</v>
      </c>
      <c r="AS77" s="138"/>
      <c r="AT77" s="193">
        <f t="array" ref="AT77">SUM(AT4:AU4*AT19:AU19)/AT32</f>
        <v>0.63609347390264315</v>
      </c>
      <c r="AU77" s="138"/>
      <c r="AV77" s="193">
        <f t="array" ref="AV77">SUM(AV4:AW4*AV19:AW19)/AV32</f>
        <v>0.88298295121605974</v>
      </c>
      <c r="XFD77" s="193"/>
    </row>
    <row r="78" spans="1:48 16384:16384" x14ac:dyDescent="0.2">
      <c r="A78" t="s">
        <v>189</v>
      </c>
      <c r="B78" s="193">
        <f t="array" ref="B78">SUM(B13:C13*B26:C26)/B32</f>
        <v>0.346887593115773</v>
      </c>
      <c r="D78" s="193">
        <f t="array" ref="D78">SUM(D13:E13*D26:E26)/D32</f>
        <v>0.34540462648688702</v>
      </c>
      <c r="E78" s="138"/>
      <c r="F78" s="193">
        <f t="array" ref="F78">SUM(F13:G13*F26:G26)/F32</f>
        <v>0.34387473525528706</v>
      </c>
      <c r="G78" s="138"/>
      <c r="H78" s="193">
        <f t="array" ref="H78">SUM(H13:I13*H26:I26)/H32</f>
        <v>0.34229546603829381</v>
      </c>
      <c r="I78" s="138"/>
      <c r="J78" s="193">
        <f t="array" ref="J78">SUM(J13:K13*J26:K26)/J32</f>
        <v>0.34066492748672594</v>
      </c>
      <c r="K78" s="138"/>
      <c r="L78" s="193">
        <f t="array" ref="L78">SUM(L13:M13*L26:M26)/L32</f>
        <v>0.33898188457669243</v>
      </c>
      <c r="M78" s="138"/>
      <c r="N78" s="193">
        <f t="array" ref="N78">SUM(N13:O13*N26:O26)/N32</f>
        <v>0.33724632699927232</v>
      </c>
      <c r="O78" s="138"/>
      <c r="P78" s="193">
        <f t="array" ref="P78">SUM(P13:Q13*P26:Q26)/P32</f>
        <v>0.33545978021508849</v>
      </c>
      <c r="Q78" s="138"/>
      <c r="R78" s="193">
        <f t="array" ref="R78">SUM(R13:S13*R26:S26)/R32</f>
        <v>0.33362588275617922</v>
      </c>
      <c r="S78" s="138"/>
      <c r="T78" s="193">
        <f t="array" ref="T78">SUM(T13:U13*T26:U26)/T32</f>
        <v>0.331750806291985</v>
      </c>
      <c r="U78" s="138"/>
      <c r="V78" s="193">
        <f t="array" ref="V78">SUM(V13:W13*V26:W26)/V32</f>
        <v>0.32984332669692151</v>
      </c>
      <c r="W78" s="138"/>
      <c r="X78" s="193">
        <f t="array" ref="X78">SUM(X13:Y13*X26:Y26)/X32</f>
        <v>0.32791381260103658</v>
      </c>
      <c r="Y78" s="138"/>
      <c r="Z78" s="193">
        <f t="array" ref="Z78">SUM(Z13:AA13*Z26:AA26)/Z32</f>
        <v>0.3259707899597899</v>
      </c>
      <c r="AA78" s="138"/>
      <c r="AB78" s="193">
        <f t="array" ref="AB78">SUM(AB13:AC13*AB26:AC26)/AB32</f>
        <v>0.32401226262560301</v>
      </c>
      <c r="AC78" s="138"/>
      <c r="AD78" s="193">
        <f t="array" ref="AD78">SUM(AD13:AE13*AD26:AE26)/AD32</f>
        <v>0.32200682531747077</v>
      </c>
      <c r="AE78" s="138"/>
      <c r="AF78" s="193">
        <f t="array" ref="AF78">SUM(AF13:AG13*AF26:AG26)/AF32</f>
        <v>0.31985543670315231</v>
      </c>
      <c r="AG78" s="138"/>
      <c r="AH78" s="193">
        <f t="array" ref="AH78">SUM(AH13:AI13*AH26:AI26)/AH32</f>
        <v>0.31731511568987003</v>
      </c>
      <c r="AI78" s="138"/>
      <c r="AJ78" s="193">
        <f t="array" ref="AJ78">SUM(AJ13:AK13*AJ26:AK26)/AJ32</f>
        <v>0.31385719633041759</v>
      </c>
      <c r="AK78" s="138"/>
      <c r="AL78" s="193">
        <f t="array" ref="AL78">SUM(AL13:AM13*AL26:AM26)/AL32</f>
        <v>0.30867662910132343</v>
      </c>
      <c r="AM78" s="138"/>
      <c r="AN78" s="193">
        <f t="array" ref="AN78">SUM(AN13:AO13*AN26:AO26)/AN32</f>
        <v>0.30224676693500135</v>
      </c>
      <c r="AO78" s="138"/>
      <c r="AP78" s="193">
        <f t="array" ref="AP78">SUM(AP13:AQ13*AP26:AQ26)/AP32</f>
        <v>0.30118793967265989</v>
      </c>
      <c r="AQ78" s="138"/>
      <c r="AR78" s="193">
        <f t="array" ref="AR78">SUM(AR13:AS13*AR26:AS26)/AR32</f>
        <v>0.30045106144496569</v>
      </c>
      <c r="AS78" s="138"/>
      <c r="AT78" s="193">
        <f t="array" ref="AT78">SUM(AT13:AU13*AT26:AU26)/AT32</f>
        <v>0.30034479350747184</v>
      </c>
      <c r="AU78" s="138"/>
      <c r="AV78" s="193">
        <f t="array" ref="AV78">SUM(AV13:AW13*AV26:AW26)/AV32</f>
        <v>0.30152652981235978</v>
      </c>
      <c r="XFD78" s="193"/>
    </row>
    <row r="79" spans="1:48 16384:16384" x14ac:dyDescent="0.2">
      <c r="A79" t="s">
        <v>190</v>
      </c>
      <c r="B79" s="193">
        <f t="array" ref="B79">SUM(B15:C15*B27:C27)/B32</f>
        <v>0.45460968782440642</v>
      </c>
      <c r="D79" s="193">
        <f t="array" ref="D79">SUM(D15:E15*D27:E27)/D32</f>
        <v>0.45339936416465282</v>
      </c>
      <c r="F79" s="193">
        <f t="array" ref="F79">SUM(F15:G15*F27:G27)/F32</f>
        <v>0.45222470666224185</v>
      </c>
      <c r="H79" s="193">
        <f t="array" ref="H79">SUM(H15:I15*H27:I27)/H32</f>
        <v>0.45109107308189833</v>
      </c>
      <c r="J79" s="193">
        <f t="array" ref="J79">SUM(J15:K15*J27:K27)/J32</f>
        <v>0.45000487277049961</v>
      </c>
      <c r="L79" s="193">
        <f t="array" ref="L79">SUM(L15:M15*L27:M27)/L32</f>
        <v>0.44897316382045488</v>
      </c>
      <c r="N79" s="193">
        <f t="array" ref="N79">SUM(N15:O15*N27:O27)/N32</f>
        <v>0.44800383821644402</v>
      </c>
      <c r="P79" s="193">
        <f t="array" ref="P79">SUM(P15:Q15*P27:Q27)/P32</f>
        <v>0.4471047418371018</v>
      </c>
      <c r="R79" s="193">
        <f t="array" ref="R79">SUM(R15:S15*R27:S27)/R32</f>
        <v>0.44628241979660133</v>
      </c>
      <c r="T79" s="193">
        <f t="array" ref="T79">SUM(T15:U15*T27:U27)/T32</f>
        <v>0.44553924145771823</v>
      </c>
      <c r="V79" s="193">
        <f t="array" ref="V79">SUM(V15:W15*V27:W27)/V32</f>
        <v>0.44486761880212922</v>
      </c>
      <c r="X79" s="193">
        <f t="array" ref="X79">SUM(X15:Y15*X27:Y27)/X32</f>
        <v>0.4442389339893057</v>
      </c>
      <c r="Z79" s="193">
        <f t="array" ref="Z79">SUM(Z15:AA15*Z27:AA27)/Z32</f>
        <v>0.44358303468111682</v>
      </c>
      <c r="AB79" s="193">
        <f t="array" ref="AB79">SUM(AB15:AC15*AB27:AC27)/AB32</f>
        <v>0.44275200959504812</v>
      </c>
      <c r="AD79" s="193">
        <f t="array" ref="AD79">SUM(AD15:AE15*AD27:AE27)/AD32</f>
        <v>0.44146023306499782</v>
      </c>
      <c r="AF79" s="193">
        <f t="array" ref="AF79">SUM(AF15:AG15*AF27:AG27)/AF32</f>
        <v>0.43918516724786744</v>
      </c>
      <c r="AH79" s="193">
        <f t="array" ref="AH79">SUM(AH15:AI15*AH27:AI27)/AH32</f>
        <v>0.4349657952666694</v>
      </c>
      <c r="AJ79" s="193">
        <f t="array" ref="AJ79">SUM(AJ15:AK15*AJ27:AK27)/AJ32</f>
        <v>0.42684790861702632</v>
      </c>
      <c r="AL79" s="193">
        <f t="array" ref="AL79">SUM(AL15:AM15*AL27:AM27)/AL32</f>
        <v>0.41040590907511981</v>
      </c>
      <c r="AN79" s="193">
        <f t="array" ref="AN79">SUM(AN15:AO15*AN27:AO27)/AN32</f>
        <v>0.37408218546610256</v>
      </c>
      <c r="AP79" s="193">
        <f t="array" ref="AP79">SUM(AP15:AQ15*AP27:AQ27)/AP32</f>
        <v>0.36115672101796081</v>
      </c>
      <c r="AR79" s="193">
        <f t="array" ref="AR79">SUM(AR15:AS15*AR27:AS27)/AR32</f>
        <v>0.3438345306876282</v>
      </c>
      <c r="AT79" s="193">
        <f t="array" ref="AT79">SUM(AT15:AU15*AT27:AU27)/AT32</f>
        <v>0.31842809717051818</v>
      </c>
      <c r="AV79" s="193">
        <f t="array" ref="AV79">SUM(AV15:AW15*AV27:AW27)/AV32</f>
        <v>0.27371233326729211</v>
      </c>
      <c r="XFD79" s="193"/>
    </row>
    <row r="80" spans="1:48 16384:16384" x14ac:dyDescent="0.2">
      <c r="A80" t="s">
        <v>169</v>
      </c>
      <c r="B80" s="236">
        <f>B55</f>
        <v>0.19850271905982084</v>
      </c>
      <c r="D80" s="236">
        <f>D55</f>
        <v>0.20119601106949805</v>
      </c>
      <c r="F80" s="236">
        <f>F55</f>
        <v>0.2039005778132589</v>
      </c>
      <c r="H80" s="236">
        <f>H55</f>
        <v>0.20661345927369851</v>
      </c>
      <c r="J80" s="236">
        <f>J55</f>
        <v>0.20933022624698433</v>
      </c>
      <c r="L80" s="236">
        <f>L55</f>
        <v>0.2120449503616926</v>
      </c>
      <c r="N80" s="236">
        <f>N55</f>
        <v>0.21474983466363118</v>
      </c>
      <c r="P80" s="236">
        <f>P55</f>
        <v>0.21743548353577261</v>
      </c>
      <c r="R80" s="236">
        <f>R55</f>
        <v>0.22009170103799519</v>
      </c>
      <c r="T80" s="236">
        <f>T55</f>
        <v>0.2227099567250144</v>
      </c>
      <c r="V80" s="236">
        <f>V55</f>
        <v>0.22528906704271534</v>
      </c>
      <c r="X80" s="236">
        <f>X55</f>
        <v>0.22784725325222629</v>
      </c>
      <c r="Z80" s="236">
        <f>Z55</f>
        <v>0.23044617607443119</v>
      </c>
      <c r="AB80" s="236">
        <f>AB55</f>
        <v>0.23323573097500921</v>
      </c>
      <c r="AD80" s="236">
        <f>AD55</f>
        <v>0.2365329453885664</v>
      </c>
      <c r="AF80" s="236">
        <f>AF55</f>
        <v>0.24095939966272559</v>
      </c>
      <c r="AH80" s="236">
        <f>AH55</f>
        <v>0.2477190910967482</v>
      </c>
      <c r="AJ80" s="236">
        <f>AJ55</f>
        <v>0.25929489782001341</v>
      </c>
      <c r="AL80" s="236">
        <f>AL55</f>
        <v>0.28091747210648343</v>
      </c>
      <c r="AN80" s="236">
        <f>AN55</f>
        <v>0.32367104758227155</v>
      </c>
      <c r="AP80" s="236">
        <f>AP55</f>
        <v>0.3376553393011531</v>
      </c>
      <c r="AR80" s="236">
        <f>AR55</f>
        <v>0.35571440786599295</v>
      </c>
      <c r="AT80" s="236">
        <f>AT55</f>
        <v>0.38122710934851384</v>
      </c>
      <c r="AV80" s="236">
        <f>AV55</f>
        <v>0.4247611369269863</v>
      </c>
      <c r="XFD80" s="236"/>
    </row>
    <row r="81" spans="1:48 16384:16384" x14ac:dyDescent="0.2">
      <c r="A81" t="s">
        <v>191</v>
      </c>
      <c r="B81" s="236">
        <f>B51/B$32</f>
        <v>-2.7543485504603994E-2</v>
      </c>
      <c r="D81" s="236">
        <f>D51/D$32</f>
        <v>-2.4850193494926769E-2</v>
      </c>
      <c r="F81" s="236">
        <f>F51/F$32</f>
        <v>-2.2145626751165937E-2</v>
      </c>
      <c r="H81" s="236">
        <f>H51/H$32</f>
        <v>-1.9432745290726337E-2</v>
      </c>
      <c r="J81" s="236">
        <f>J51/J$32</f>
        <v>-1.6715978317440504E-2</v>
      </c>
      <c r="L81" s="236">
        <f>L51/L$32</f>
        <v>-1.4001254202732218E-2</v>
      </c>
      <c r="N81" s="236">
        <f>N51/N$32</f>
        <v>-1.1296369900793675E-2</v>
      </c>
      <c r="P81" s="236">
        <f>P51/P$32</f>
        <v>-8.6107210286522282E-3</v>
      </c>
      <c r="R81" s="236">
        <f>R51/R$32</f>
        <v>-5.9545035264296454E-3</v>
      </c>
      <c r="T81" s="236">
        <f>T51/T$32</f>
        <v>-3.3362478394104388E-3</v>
      </c>
      <c r="V81" s="236">
        <f>V51/V$32</f>
        <v>-7.5713752170951073E-4</v>
      </c>
      <c r="X81" s="236">
        <f>X51/X$32</f>
        <v>1.8010486878014612E-3</v>
      </c>
      <c r="Z81" s="236">
        <f>Z51/Z$32</f>
        <v>4.3999715100063504E-3</v>
      </c>
      <c r="AB81" s="236">
        <f>AB51/AB$32</f>
        <v>7.1895264105843858E-3</v>
      </c>
      <c r="AD81" s="236">
        <f>AD51/AD$32</f>
        <v>1.0486740824141565E-2</v>
      </c>
      <c r="AF81" s="236">
        <f>AF51/AF$32</f>
        <v>1.4913195098300721E-2</v>
      </c>
      <c r="AH81" s="236">
        <f>AH51/AH$32</f>
        <v>2.1672886532323354E-2</v>
      </c>
      <c r="AJ81" s="236">
        <f>AJ51/AJ$32</f>
        <v>3.3248693255588546E-2</v>
      </c>
      <c r="AL81" s="236">
        <f>AL51/AL$32</f>
        <v>5.4871267542058622E-2</v>
      </c>
      <c r="AN81" s="236">
        <f>AN51/AN$32</f>
        <v>9.7624843017846713E-2</v>
      </c>
      <c r="AP81" s="236">
        <f>AP51/AP$32</f>
        <v>0.11160913473672829</v>
      </c>
      <c r="AR81" s="236">
        <f>AR51/AR$32</f>
        <v>0.12966820330156811</v>
      </c>
      <c r="AT81" s="236">
        <f>AT51/AT$32</f>
        <v>0.15518090478408897</v>
      </c>
      <c r="AV81" s="236">
        <f>AV51/AV$32</f>
        <v>0.19871493236256146</v>
      </c>
      <c r="XFD81" s="236"/>
    </row>
    <row r="82" spans="1:48 16384:16384" x14ac:dyDescent="0.2">
      <c r="A82" t="s">
        <v>192</v>
      </c>
      <c r="B82" s="236">
        <f>B52/B$32</f>
        <v>0.13907860278212886</v>
      </c>
      <c r="D82" s="236">
        <f>D52/D$32</f>
        <v>0.13848403286723093</v>
      </c>
      <c r="F82" s="236">
        <f>F52/F$32</f>
        <v>0.13787064934149459</v>
      </c>
      <c r="H82" s="236">
        <f>H52/H$32</f>
        <v>0.13723746856341199</v>
      </c>
      <c r="J82" s="236">
        <f>J52/J$32</f>
        <v>0.13658373222912121</v>
      </c>
      <c r="L82" s="236">
        <f>L52/L$32</f>
        <v>0.13590894517707547</v>
      </c>
      <c r="N82" s="236">
        <f>N52/N$32</f>
        <v>0.13521310327409058</v>
      </c>
      <c r="P82" s="236">
        <f>P52/P$32</f>
        <v>0.13449681812731604</v>
      </c>
      <c r="R82" s="236">
        <f>R52/R$32</f>
        <v>0.1337615485434723</v>
      </c>
      <c r="T82" s="236">
        <f>T52/T$32</f>
        <v>0.13300976894706928</v>
      </c>
      <c r="V82" s="236">
        <f>V52/V$32</f>
        <v>0.13224499787372535</v>
      </c>
      <c r="X82" s="236">
        <f>X52/X$32</f>
        <v>0.13147139244698258</v>
      </c>
      <c r="Z82" s="236">
        <f>Z52/Z$32</f>
        <v>0.13069237100176057</v>
      </c>
      <c r="AB82" s="236">
        <f>AB52/AB$32</f>
        <v>0.129907133217086</v>
      </c>
      <c r="AD82" s="236">
        <f>AD52/AD$32</f>
        <v>0.12910308768672571</v>
      </c>
      <c r="AF82" s="236">
        <f>AF52/AF$32</f>
        <v>0.12824052549522949</v>
      </c>
      <c r="AH82" s="236">
        <f>AH52/AH$32</f>
        <v>0.12722202756057585</v>
      </c>
      <c r="AJ82" s="236">
        <f>AJ52/AJ$32</f>
        <v>0.12583563438137266</v>
      </c>
      <c r="AL82" s="236">
        <f>AL52/AL$32</f>
        <v>0.12375857522405415</v>
      </c>
      <c r="AN82" s="236">
        <f>AN52/AN$32</f>
        <v>0.12118063278990288</v>
      </c>
      <c r="AP82" s="236">
        <f>AP52/AP$32</f>
        <v>0.12075611424511616</v>
      </c>
      <c r="AR82" s="236">
        <f>AR52/AR$32</f>
        <v>0.12046067561784281</v>
      </c>
      <c r="AT82" s="236">
        <f>AT52/AT$32</f>
        <v>0.12041806931954763</v>
      </c>
      <c r="AV82" s="236">
        <f>AV52/AV$32</f>
        <v>0.12089186612693555</v>
      </c>
    </row>
    <row r="83" spans="1:48 16384:16384" x14ac:dyDescent="0.2">
      <c r="A83" t="s">
        <v>193</v>
      </c>
      <c r="B83" s="236">
        <f>B53/B$32</f>
        <v>0.18600714462929935</v>
      </c>
      <c r="D83" s="236">
        <f>D53/D$32</f>
        <v>0.18551193114384673</v>
      </c>
      <c r="F83" s="236">
        <f>F53/F$32</f>
        <v>0.18503131074838952</v>
      </c>
      <c r="H83" s="236">
        <f>H53/H$32</f>
        <v>0.18456747561468459</v>
      </c>
      <c r="J83" s="236">
        <f>J53/J$32</f>
        <v>0.18412304817763281</v>
      </c>
      <c r="L83" s="236">
        <f>L53/L$32</f>
        <v>0.18370091631149352</v>
      </c>
      <c r="N83" s="236">
        <f>N53/N$32</f>
        <v>0.18330430908413547</v>
      </c>
      <c r="P83" s="236">
        <f>P53/P$32</f>
        <v>0.18293643669877493</v>
      </c>
      <c r="R83" s="236">
        <f>R53/R$32</f>
        <v>0.18259997714057408</v>
      </c>
      <c r="T83" s="236">
        <f>T53/T$32</f>
        <v>0.1822958998530276</v>
      </c>
      <c r="V83" s="236">
        <f>V53/V$32</f>
        <v>0.18202110013850253</v>
      </c>
      <c r="X83" s="236">
        <f>X53/X$32</f>
        <v>0.18176386878150103</v>
      </c>
      <c r="Z83" s="236">
        <f>Z53/Z$32</f>
        <v>0.18149550239875983</v>
      </c>
      <c r="AB83" s="236">
        <f>AB53/AB$32</f>
        <v>0.1811554819207214</v>
      </c>
      <c r="AD83" s="236">
        <f>AD53/AD$32</f>
        <v>0.18062694135000967</v>
      </c>
      <c r="AF83" s="236">
        <f>AF53/AF$32</f>
        <v>0.17969608020071623</v>
      </c>
      <c r="AH83" s="236">
        <f>AH53/AH$32</f>
        <v>0.17796969082677344</v>
      </c>
      <c r="AJ83" s="236">
        <f>AJ53/AJ$32</f>
        <v>0.17464819338277779</v>
      </c>
      <c r="AL83" s="236">
        <f>AL53/AL$32</f>
        <v>0.16792081939868539</v>
      </c>
      <c r="AN83" s="236">
        <f>AN53/AN$32</f>
        <v>0.15305868097143113</v>
      </c>
      <c r="AP83" s="236">
        <f>AP53/AP$32</f>
        <v>0.14777012509724352</v>
      </c>
      <c r="AR83" s="236">
        <f>AR53/AR$32</f>
        <v>0.14068261409964475</v>
      </c>
      <c r="AT83" s="236">
        <f>AT53/AT$32</f>
        <v>0.13028737114662367</v>
      </c>
      <c r="AV83" s="236">
        <f>AV53/AV$32</f>
        <v>0.11199156314622399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5.3644036461969129E-2</v>
      </c>
      <c r="E2" s="227"/>
      <c r="F2" s="226">
        <v>0.10607645386373697</v>
      </c>
      <c r="G2" s="227"/>
      <c r="H2" s="226">
        <v>0.16379167927433749</v>
      </c>
      <c r="I2" s="227"/>
      <c r="J2" s="226">
        <v>0.22769314942891675</v>
      </c>
      <c r="K2" s="227"/>
      <c r="L2" s="226">
        <v>0.29893234197813662</v>
      </c>
      <c r="M2" s="227"/>
      <c r="N2" s="226">
        <v>0.37901129615381612</v>
      </c>
      <c r="O2" s="227"/>
      <c r="P2" s="226">
        <v>0.46994251756804911</v>
      </c>
      <c r="Q2" s="227"/>
      <c r="R2" s="226">
        <v>0.57450794079875522</v>
      </c>
      <c r="S2" s="227"/>
      <c r="T2" s="226">
        <v>0.69669662204680116</v>
      </c>
      <c r="U2" s="227"/>
      <c r="V2" s="226">
        <v>0.84247878252757935</v>
      </c>
      <c r="W2" s="227"/>
      <c r="X2" s="226">
        <v>1.0212481912171971</v>
      </c>
      <c r="Y2" s="227"/>
      <c r="Z2" s="226">
        <v>1.2486864002303917</v>
      </c>
      <c r="AA2" s="227"/>
      <c r="AB2" s="226">
        <v>1.5528639967317652</v>
      </c>
      <c r="AC2" s="227"/>
      <c r="AD2" s="226">
        <v>1.9883084073055186</v>
      </c>
      <c r="AE2" s="227"/>
      <c r="AF2" s="226">
        <v>2.6710772483492029</v>
      </c>
      <c r="AG2" s="227"/>
      <c r="AH2" s="226">
        <v>3.8723797168517295</v>
      </c>
      <c r="AI2" s="227"/>
      <c r="AJ2" s="226">
        <v>6.2920342769098818</v>
      </c>
      <c r="AK2" s="227"/>
      <c r="AL2" s="226">
        <v>12.110764265187182</v>
      </c>
      <c r="AM2" s="227"/>
      <c r="AN2" s="226">
        <v>32.179650757654947</v>
      </c>
      <c r="AO2" s="227"/>
      <c r="AP2" s="226">
        <v>42.339410448277228</v>
      </c>
      <c r="AQ2" s="227"/>
      <c r="AR2" s="226">
        <v>58.559769135722718</v>
      </c>
      <c r="AS2" s="227"/>
      <c r="AT2" s="226">
        <v>87.347928838558531</v>
      </c>
      <c r="AU2" s="227"/>
      <c r="AV2" s="226">
        <v>148.19171381775723</v>
      </c>
      <c r="AW2" s="227"/>
    </row>
    <row r="3" spans="1:49" x14ac:dyDescent="0.2">
      <c r="A3" t="s">
        <v>12</v>
      </c>
      <c r="B3" s="84">
        <v>1000</v>
      </c>
      <c r="C3" s="85">
        <v>1000</v>
      </c>
      <c r="D3" s="84">
        <v>998.57859366962657</v>
      </c>
      <c r="E3" s="85">
        <v>1021.6615997983281</v>
      </c>
      <c r="F3" s="84">
        <v>997.11371287297891</v>
      </c>
      <c r="G3" s="85">
        <v>1045.9473865195757</v>
      </c>
      <c r="H3" s="84">
        <v>995.59827931373991</v>
      </c>
      <c r="I3" s="85">
        <v>1073.3251172425748</v>
      </c>
      <c r="J3" s="84">
        <v>994.02423787266332</v>
      </c>
      <c r="K3" s="85">
        <v>1104.3811415141024</v>
      </c>
      <c r="L3" s="84">
        <v>992.38264732034202</v>
      </c>
      <c r="M3" s="85">
        <v>1139.861783953465</v>
      </c>
      <c r="N3" s="84">
        <v>990.66399980805568</v>
      </c>
      <c r="O3" s="85">
        <v>1180.7349699293095</v>
      </c>
      <c r="P3" s="84">
        <v>988.85893381493565</v>
      </c>
      <c r="Q3" s="85">
        <v>1228.283043715142</v>
      </c>
      <c r="R3" s="84">
        <v>986.95970771029374</v>
      </c>
      <c r="S3" s="85">
        <v>1284.2497619775206</v>
      </c>
      <c r="T3" s="84">
        <v>984.96304917460145</v>
      </c>
      <c r="U3" s="85">
        <v>1351.0813922897376</v>
      </c>
      <c r="V3" s="84">
        <v>982.87558600874456</v>
      </c>
      <c r="W3" s="85">
        <v>1432.3417928212814</v>
      </c>
      <c r="X3" s="84">
        <v>980.72415055998749</v>
      </c>
      <c r="Y3" s="85">
        <v>1533.46551410508</v>
      </c>
      <c r="Z3" s="84">
        <v>978.57546960905154</v>
      </c>
      <c r="AA3" s="85">
        <v>1663.2125086919607</v>
      </c>
      <c r="AB3" s="84">
        <v>976.57376880012475</v>
      </c>
      <c r="AC3" s="85">
        <v>1836.6804208458843</v>
      </c>
      <c r="AD3" s="84">
        <v>975.01008525195209</v>
      </c>
      <c r="AE3" s="85">
        <v>2082.0441565334731</v>
      </c>
      <c r="AF3" s="84">
        <v>974.42930115997001</v>
      </c>
      <c r="AG3" s="85">
        <v>2456.8599488226814</v>
      </c>
      <c r="AH3" s="84">
        <v>975.68674374230773</v>
      </c>
      <c r="AI3" s="85">
        <v>3090.5455210662112</v>
      </c>
      <c r="AJ3" s="84">
        <v>979.57983561666663</v>
      </c>
      <c r="AK3" s="85">
        <v>4308.1195813962686</v>
      </c>
      <c r="AL3" s="84">
        <v>985.90379521114346</v>
      </c>
      <c r="AM3" s="85">
        <v>7115.3086193780891</v>
      </c>
      <c r="AN3" s="84">
        <v>993.57656546148428</v>
      </c>
      <c r="AO3" s="85">
        <v>16525.922360148994</v>
      </c>
      <c r="AP3" s="84">
        <v>995.28416418966617</v>
      </c>
      <c r="AQ3" s="85">
        <v>21249.336627987363</v>
      </c>
      <c r="AR3" s="84">
        <v>997.15979518097561</v>
      </c>
      <c r="AS3" s="85">
        <v>28772.08083510162</v>
      </c>
      <c r="AT3" s="84">
        <v>999.4103940133092</v>
      </c>
      <c r="AU3" s="85">
        <v>42099.083963557423</v>
      </c>
      <c r="AV3" s="84">
        <v>1002.6557173949293</v>
      </c>
      <c r="AW3" s="85">
        <v>70236.98372327126</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998.5080824910799</v>
      </c>
      <c r="E5" s="42">
        <v>1018.8219378031409</v>
      </c>
      <c r="F5" s="41">
        <v>996.96959867660928</v>
      </c>
      <c r="G5" s="42">
        <v>1039.4565708170646</v>
      </c>
      <c r="H5" s="41">
        <v>995.37701824836699</v>
      </c>
      <c r="I5" s="42">
        <v>1062.1320043938699</v>
      </c>
      <c r="J5" s="41">
        <v>993.72176009747557</v>
      </c>
      <c r="K5" s="42">
        <v>1087.1102524280554</v>
      </c>
      <c r="L5" s="41">
        <v>991.99428218937192</v>
      </c>
      <c r="M5" s="42">
        <v>1114.6918035990532</v>
      </c>
      <c r="N5" s="41">
        <v>990.18441187831354</v>
      </c>
      <c r="O5" s="42">
        <v>1145.2209382711392</v>
      </c>
      <c r="P5" s="41">
        <v>988.2820918430557</v>
      </c>
      <c r="Q5" s="42">
        <v>1179.0890756709318</v>
      </c>
      <c r="R5" s="41">
        <v>986.27893127086872</v>
      </c>
      <c r="S5" s="42">
        <v>1216.7373612331369</v>
      </c>
      <c r="T5" s="41">
        <v>984.17121782337711</v>
      </c>
      <c r="U5" s="42">
        <v>1258.6524473049008</v>
      </c>
      <c r="V5" s="41">
        <v>981.96567567668671</v>
      </c>
      <c r="W5" s="42">
        <v>1305.3490109735596</v>
      </c>
      <c r="X5" s="41">
        <v>979.69041655265312</v>
      </c>
      <c r="Y5" s="42">
        <v>1357.3221606641262</v>
      </c>
      <c r="Z5" s="41">
        <v>977.41590068253754</v>
      </c>
      <c r="AA5" s="42">
        <v>1414.9292834235953</v>
      </c>
      <c r="AB5" s="41">
        <v>975.29500750707052</v>
      </c>
      <c r="AC5" s="42">
        <v>1478.1131022202355</v>
      </c>
      <c r="AD5" s="41">
        <v>973.63688607496522</v>
      </c>
      <c r="AE5" s="42">
        <v>1545.7715882442355</v>
      </c>
      <c r="AF5" s="41">
        <v>973.02072782949858</v>
      </c>
      <c r="AG5" s="42">
        <v>1614.4712394686694</v>
      </c>
      <c r="AH5" s="41">
        <v>974.35455441157194</v>
      </c>
      <c r="AI5" s="42">
        <v>1676.6651623015048</v>
      </c>
      <c r="AJ5" s="41">
        <v>978.47935709657384</v>
      </c>
      <c r="AK5" s="42">
        <v>1721.5300561310391</v>
      </c>
      <c r="AL5" s="41">
        <v>985.16451767557282</v>
      </c>
      <c r="AM5" s="42">
        <v>1743.5754074588751</v>
      </c>
      <c r="AN5" s="41">
        <v>993.25078593105161</v>
      </c>
      <c r="AO5" s="42">
        <v>1749.5474779649633</v>
      </c>
      <c r="AP5" s="41">
        <v>995.04678412663418</v>
      </c>
      <c r="AQ5" s="42">
        <v>1749.8237336124785</v>
      </c>
      <c r="AR5" s="41">
        <v>997.01801089670948</v>
      </c>
      <c r="AS5" s="42">
        <v>1749.9703290311215</v>
      </c>
      <c r="AT5" s="41">
        <v>999.38125385473381</v>
      </c>
      <c r="AU5" s="42">
        <v>1750.0376658490097</v>
      </c>
      <c r="AV5" s="41">
        <v>1002.7850779810628</v>
      </c>
      <c r="AW5" s="42">
        <v>1750.0624441471657</v>
      </c>
    </row>
    <row r="6" spans="1:49" x14ac:dyDescent="0.2">
      <c r="A6" t="s">
        <v>77</v>
      </c>
      <c r="B6" s="41">
        <v>999.99999999999943</v>
      </c>
      <c r="C6" s="42">
        <v>999.99999999999909</v>
      </c>
      <c r="D6" s="41">
        <v>998.3941489588475</v>
      </c>
      <c r="E6" s="42">
        <v>1023.3432882971252</v>
      </c>
      <c r="F6" s="41">
        <v>996.73855923561212</v>
      </c>
      <c r="G6" s="42">
        <v>1049.4276257896186</v>
      </c>
      <c r="H6" s="41">
        <v>995.02516548885717</v>
      </c>
      <c r="I6" s="42">
        <v>1078.7335293130338</v>
      </c>
      <c r="J6" s="41">
        <v>993.2447814845508</v>
      </c>
      <c r="K6" s="42">
        <v>1111.8628427417098</v>
      </c>
      <c r="L6" s="41">
        <v>991.38719886984541</v>
      </c>
      <c r="M6" s="42">
        <v>1149.5811186126807</v>
      </c>
      <c r="N6" s="41">
        <v>989.4415446822386</v>
      </c>
      <c r="O6" s="42">
        <v>1192.8807899934504</v>
      </c>
      <c r="P6" s="41">
        <v>987.39708497630329</v>
      </c>
      <c r="Q6" s="42">
        <v>1243.0763209532702</v>
      </c>
      <c r="R6" s="41">
        <v>985.24489245919983</v>
      </c>
      <c r="S6" s="42">
        <v>1301.9549648637285</v>
      </c>
      <c r="T6" s="41">
        <v>982.98107968658746</v>
      </c>
      <c r="U6" s="42">
        <v>1372.0240634734141</v>
      </c>
      <c r="V6" s="41">
        <v>980.61297339562725</v>
      </c>
      <c r="W6" s="42">
        <v>1456.9368117896272</v>
      </c>
      <c r="X6" s="41">
        <v>978.17084748497598</v>
      </c>
      <c r="Y6" s="42">
        <v>1562.2646598951083</v>
      </c>
      <c r="Z6" s="41">
        <v>975.73036748353093</v>
      </c>
      <c r="AA6" s="42">
        <v>1696.9890631035944</v>
      </c>
      <c r="AB6" s="41">
        <v>973.45548318175145</v>
      </c>
      <c r="AC6" s="42">
        <v>1876.5898623569931</v>
      </c>
      <c r="AD6" s="41">
        <v>971.67748402293239</v>
      </c>
      <c r="AE6" s="42">
        <v>2129.9539617702812</v>
      </c>
      <c r="AF6" s="41">
        <v>971.01689388935711</v>
      </c>
      <c r="AG6" s="42">
        <v>2516.0873937200904</v>
      </c>
      <c r="AH6" s="41">
        <v>972.44698260357654</v>
      </c>
      <c r="AI6" s="42">
        <v>3167.6651440723267</v>
      </c>
      <c r="AJ6" s="41">
        <v>976.87131537914718</v>
      </c>
      <c r="AK6" s="42">
        <v>4417.9410182449346</v>
      </c>
      <c r="AL6" s="41">
        <v>984.04785345302571</v>
      </c>
      <c r="AM6" s="42">
        <v>7298.4329865187965</v>
      </c>
      <c r="AN6" s="41">
        <v>992.73828732567074</v>
      </c>
      <c r="AO6" s="42">
        <v>16952.306916646921</v>
      </c>
      <c r="AP6" s="41">
        <v>994.66993201007756</v>
      </c>
      <c r="AQ6" s="42">
        <v>21797.652519713723</v>
      </c>
      <c r="AR6" s="41">
        <v>996.7906505509975</v>
      </c>
      <c r="AS6" s="42">
        <v>29514.557973753981</v>
      </c>
      <c r="AT6" s="41">
        <v>999.33395747880263</v>
      </c>
      <c r="AU6" s="42">
        <v>43185.500991584297</v>
      </c>
      <c r="AV6" s="41">
        <v>1002.9987474464559</v>
      </c>
      <c r="AW6" s="42">
        <v>72049.551370566842</v>
      </c>
    </row>
    <row r="7" spans="1:49" x14ac:dyDescent="0.2">
      <c r="A7" t="s">
        <v>13</v>
      </c>
      <c r="B7" s="33">
        <v>1015.9116825427475</v>
      </c>
      <c r="C7" s="34">
        <v>1015.9116825427475</v>
      </c>
      <c r="D7" s="33">
        <v>1014.3960261160454</v>
      </c>
      <c r="E7" s="34">
        <v>1014.3960261160454</v>
      </c>
      <c r="F7" s="33">
        <v>1012.8330624355218</v>
      </c>
      <c r="G7" s="34">
        <v>1012.8330624355218</v>
      </c>
      <c r="H7" s="33">
        <v>1011.2151413730816</v>
      </c>
      <c r="I7" s="34">
        <v>1011.2151413730816</v>
      </c>
      <c r="J7" s="33">
        <v>1009.5335452799668</v>
      </c>
      <c r="K7" s="34">
        <v>1009.5335452799668</v>
      </c>
      <c r="L7" s="33">
        <v>1007.7785802917898</v>
      </c>
      <c r="M7" s="34">
        <v>1007.7785802917898</v>
      </c>
      <c r="N7" s="33">
        <v>1005.9399118988983</v>
      </c>
      <c r="O7" s="34">
        <v>1005.9399118988983</v>
      </c>
      <c r="P7" s="33">
        <v>1004.0073227511448</v>
      </c>
      <c r="Q7" s="34">
        <v>1004.0073227511448</v>
      </c>
      <c r="R7" s="33">
        <v>1001.972288523851</v>
      </c>
      <c r="S7" s="34">
        <v>1001.972288523851</v>
      </c>
      <c r="T7" s="33">
        <v>999.83103780909187</v>
      </c>
      <c r="U7" s="34">
        <v>999.83103780909187</v>
      </c>
      <c r="V7" s="33">
        <v>997.59040177592863</v>
      </c>
      <c r="W7" s="34">
        <v>997.59040177592863</v>
      </c>
      <c r="X7" s="33">
        <v>995.27893945101096</v>
      </c>
      <c r="Y7" s="34">
        <v>995.27893945101096</v>
      </c>
      <c r="Z7" s="33">
        <v>992.96823220643159</v>
      </c>
      <c r="AA7" s="34">
        <v>992.96823220643159</v>
      </c>
      <c r="AB7" s="33">
        <v>990.81359205204956</v>
      </c>
      <c r="AC7" s="34">
        <v>990.81359205204956</v>
      </c>
      <c r="AD7" s="33">
        <v>989.12908711809928</v>
      </c>
      <c r="AE7" s="34">
        <v>989.12908711809928</v>
      </c>
      <c r="AF7" s="33">
        <v>988.50312475823466</v>
      </c>
      <c r="AG7" s="34">
        <v>988.50312475823466</v>
      </c>
      <c r="AH7" s="33">
        <v>989.85817476544901</v>
      </c>
      <c r="AI7" s="34">
        <v>989.85817476544901</v>
      </c>
      <c r="AJ7" s="33">
        <v>994.0486100013261</v>
      </c>
      <c r="AK7" s="34">
        <v>994.0486100013261</v>
      </c>
      <c r="AL7" s="33">
        <v>1000.8401427332054</v>
      </c>
      <c r="AM7" s="34">
        <v>1000.8401427332054</v>
      </c>
      <c r="AN7" s="33">
        <v>1009.0550771221209</v>
      </c>
      <c r="AO7" s="34">
        <v>1009.0550771221209</v>
      </c>
      <c r="AP7" s="33">
        <v>1010.8796526708389</v>
      </c>
      <c r="AQ7" s="34">
        <v>1010.8796526708389</v>
      </c>
      <c r="AR7" s="33">
        <v>1012.8822449754995</v>
      </c>
      <c r="AS7" s="34">
        <v>1012.8822449754995</v>
      </c>
      <c r="AT7" s="33">
        <v>1015.2830911052432</v>
      </c>
      <c r="AU7" s="34">
        <v>1015.2830911052432</v>
      </c>
      <c r="AV7" s="33">
        <v>1018.7410758005018</v>
      </c>
      <c r="AW7" s="34">
        <v>1018.7410758005018</v>
      </c>
    </row>
    <row r="8" spans="1:49" x14ac:dyDescent="0.2">
      <c r="B8" s="35">
        <v>1005.7716594496609</v>
      </c>
      <c r="C8" s="36">
        <v>1005.7716594496609</v>
      </c>
      <c r="D8" s="35">
        <v>1073.4756589829067</v>
      </c>
      <c r="E8" s="36">
        <v>1073.4756589829067</v>
      </c>
      <c r="F8" s="35">
        <v>1149.7184377946992</v>
      </c>
      <c r="G8" s="36">
        <v>1149.7184377946992</v>
      </c>
      <c r="H8" s="35">
        <v>1236.1003890045599</v>
      </c>
      <c r="I8" s="36">
        <v>1236.1003890045599</v>
      </c>
      <c r="J8" s="35">
        <v>1334.6378095798641</v>
      </c>
      <c r="K8" s="36">
        <v>1334.6378095798641</v>
      </c>
      <c r="L8" s="35">
        <v>1447.9092350327512</v>
      </c>
      <c r="M8" s="36">
        <v>1447.9092350327512</v>
      </c>
      <c r="N8" s="35">
        <v>1579.2726104677731</v>
      </c>
      <c r="O8" s="36">
        <v>1579.2726104677731</v>
      </c>
      <c r="P8" s="35">
        <v>1733.1931643287135</v>
      </c>
      <c r="Q8" s="36">
        <v>1733.1931643287135</v>
      </c>
      <c r="R8" s="35">
        <v>1915.7626371280976</v>
      </c>
      <c r="S8" s="36">
        <v>1915.7626371280976</v>
      </c>
      <c r="T8" s="35">
        <v>2135.5513556731644</v>
      </c>
      <c r="U8" s="36">
        <v>2135.5513556731644</v>
      </c>
      <c r="V8" s="35">
        <v>2405.0778565121441</v>
      </c>
      <c r="W8" s="36">
        <v>2405.0778565121441</v>
      </c>
      <c r="X8" s="35">
        <v>2743.4849621413828</v>
      </c>
      <c r="Y8" s="36">
        <v>2743.4849621413828</v>
      </c>
      <c r="Z8" s="35">
        <v>3181.7322369223721</v>
      </c>
      <c r="AA8" s="36">
        <v>3181.7322369223721</v>
      </c>
      <c r="AB8" s="35">
        <v>3773.4217217555383</v>
      </c>
      <c r="AC8" s="36">
        <v>3773.4217217555383</v>
      </c>
      <c r="AD8" s="35">
        <v>4619.2422329242536</v>
      </c>
      <c r="AE8" s="36">
        <v>4619.2422329242536</v>
      </c>
      <c r="AF8" s="35">
        <v>5926.8486353275703</v>
      </c>
      <c r="AG8" s="36">
        <v>5926.8486353275703</v>
      </c>
      <c r="AH8" s="35">
        <v>8169.3493287497649</v>
      </c>
      <c r="AI8" s="36">
        <v>8169.3493287497649</v>
      </c>
      <c r="AJ8" s="35">
        <v>12553.45617803813</v>
      </c>
      <c r="AK8" s="36">
        <v>12553.45617803813</v>
      </c>
      <c r="AL8" s="35">
        <v>22859.606145771002</v>
      </c>
      <c r="AM8" s="36">
        <v>22859.606145771002</v>
      </c>
      <c r="AN8" s="35">
        <v>58049.374302813492</v>
      </c>
      <c r="AO8" s="36">
        <v>58049.374302813492</v>
      </c>
      <c r="AP8" s="35">
        <v>75836.329003168124</v>
      </c>
      <c r="AQ8" s="36">
        <v>75836.329003168124</v>
      </c>
      <c r="AR8" s="35">
        <v>104227.82879145832</v>
      </c>
      <c r="AS8" s="36">
        <v>104227.82879145832</v>
      </c>
      <c r="AT8" s="35">
        <v>154612.20316722538</v>
      </c>
      <c r="AU8" s="36">
        <v>154612.20316722538</v>
      </c>
      <c r="AV8" s="35">
        <v>261094.81533040869</v>
      </c>
      <c r="AW8" s="36">
        <v>261094.81533040869</v>
      </c>
    </row>
    <row r="9" spans="1:49" x14ac:dyDescent="0.2">
      <c r="A9" t="s">
        <v>14</v>
      </c>
      <c r="B9" s="41">
        <v>1015.9116825427475</v>
      </c>
      <c r="C9" s="42">
        <v>1005.7716594496609</v>
      </c>
      <c r="D9" s="41">
        <v>1014.3960261160454</v>
      </c>
      <c r="E9" s="42">
        <v>1073.4756589829067</v>
      </c>
      <c r="F9" s="41">
        <v>1012.8330624355218</v>
      </c>
      <c r="G9" s="42">
        <v>1149.7184377946992</v>
      </c>
      <c r="H9" s="41">
        <v>1011.2151413730816</v>
      </c>
      <c r="I9" s="42">
        <v>1236.1003890045599</v>
      </c>
      <c r="J9" s="41">
        <v>1009.5335452799668</v>
      </c>
      <c r="K9" s="42">
        <v>1334.6378095798641</v>
      </c>
      <c r="L9" s="41">
        <v>1007.7785802917898</v>
      </c>
      <c r="M9" s="42">
        <v>1447.9092350327512</v>
      </c>
      <c r="N9" s="41">
        <v>1005.9399118988983</v>
      </c>
      <c r="O9" s="42">
        <v>1579.2726104677731</v>
      </c>
      <c r="P9" s="41">
        <v>1004.0073227511448</v>
      </c>
      <c r="Q9" s="42">
        <v>1733.1931643287135</v>
      </c>
      <c r="R9" s="41">
        <v>1001.972288523851</v>
      </c>
      <c r="S9" s="42">
        <v>1915.7626371280976</v>
      </c>
      <c r="T9" s="41">
        <v>999.83103780909187</v>
      </c>
      <c r="U9" s="42">
        <v>2135.5513556731644</v>
      </c>
      <c r="V9" s="41">
        <v>997.59040177592863</v>
      </c>
      <c r="W9" s="42">
        <v>2405.0778565121441</v>
      </c>
      <c r="X9" s="41">
        <v>995.27893945101096</v>
      </c>
      <c r="Y9" s="42">
        <v>2743.4849621413828</v>
      </c>
      <c r="Z9" s="41">
        <v>992.96823220643159</v>
      </c>
      <c r="AA9" s="42">
        <v>3181.7322369223721</v>
      </c>
      <c r="AB9" s="41">
        <v>990.81359205204956</v>
      </c>
      <c r="AC9" s="42">
        <v>3773.4217217555383</v>
      </c>
      <c r="AD9" s="41">
        <v>989.12908711809928</v>
      </c>
      <c r="AE9" s="42">
        <v>4619.2422329242536</v>
      </c>
      <c r="AF9" s="41">
        <v>988.50312475823466</v>
      </c>
      <c r="AG9" s="42">
        <v>5926.8486353275703</v>
      </c>
      <c r="AH9" s="41">
        <v>989.85817476544901</v>
      </c>
      <c r="AI9" s="42">
        <v>8169.3493287497649</v>
      </c>
      <c r="AJ9" s="41">
        <v>994.0486100013261</v>
      </c>
      <c r="AK9" s="42">
        <v>12553.45617803813</v>
      </c>
      <c r="AL9" s="41">
        <v>1000.8401427332054</v>
      </c>
      <c r="AM9" s="42">
        <v>22859.606145771002</v>
      </c>
      <c r="AN9" s="41">
        <v>1009.0550771221209</v>
      </c>
      <c r="AO9" s="42">
        <v>58049.374302813492</v>
      </c>
      <c r="AP9" s="41">
        <v>1010.8796526708389</v>
      </c>
      <c r="AQ9" s="42">
        <v>75836.329003168124</v>
      </c>
      <c r="AR9" s="41">
        <v>1012.8822449754995</v>
      </c>
      <c r="AS9" s="42">
        <v>104227.82879145832</v>
      </c>
      <c r="AT9" s="41">
        <v>1015.2830911052432</v>
      </c>
      <c r="AU9" s="42">
        <v>154612.20316722538</v>
      </c>
      <c r="AV9" s="41">
        <v>1018.7410758005018</v>
      </c>
      <c r="AW9" s="42">
        <v>261094.81533040869</v>
      </c>
    </row>
    <row r="10" spans="1:49" x14ac:dyDescent="0.2">
      <c r="A10" t="s">
        <v>15</v>
      </c>
      <c r="B10" s="41">
        <v>1015.9116825427475</v>
      </c>
      <c r="C10" s="42">
        <v>1005.7716594496609</v>
      </c>
      <c r="D10" s="41">
        <v>1014.3960261160454</v>
      </c>
      <c r="E10" s="42">
        <v>1073.4756589829067</v>
      </c>
      <c r="F10" s="41">
        <v>1012.8330624355218</v>
      </c>
      <c r="G10" s="42">
        <v>1149.7184377946992</v>
      </c>
      <c r="H10" s="41">
        <v>1011.2151413730816</v>
      </c>
      <c r="I10" s="42">
        <v>1236.1003890045599</v>
      </c>
      <c r="J10" s="41">
        <v>1009.5335452799668</v>
      </c>
      <c r="K10" s="42">
        <v>1334.6378095798641</v>
      </c>
      <c r="L10" s="41">
        <v>1007.7785802917898</v>
      </c>
      <c r="M10" s="42">
        <v>1447.9092350327512</v>
      </c>
      <c r="N10" s="41">
        <v>1005.9399118988983</v>
      </c>
      <c r="O10" s="42">
        <v>1579.2726104677731</v>
      </c>
      <c r="P10" s="41">
        <v>1004.0073227511448</v>
      </c>
      <c r="Q10" s="42">
        <v>1733.1931643287135</v>
      </c>
      <c r="R10" s="41">
        <v>1001.972288523851</v>
      </c>
      <c r="S10" s="42">
        <v>1915.7626371280976</v>
      </c>
      <c r="T10" s="41">
        <v>999.83103780909187</v>
      </c>
      <c r="U10" s="42">
        <v>2135.5513556731644</v>
      </c>
      <c r="V10" s="41">
        <v>997.59040177592863</v>
      </c>
      <c r="W10" s="42">
        <v>2405.0778565121441</v>
      </c>
      <c r="X10" s="41">
        <v>995.27893945101096</v>
      </c>
      <c r="Y10" s="42">
        <v>2743.4849621413828</v>
      </c>
      <c r="Z10" s="41">
        <v>992.96823220643159</v>
      </c>
      <c r="AA10" s="42">
        <v>3181.7322369223721</v>
      </c>
      <c r="AB10" s="41">
        <v>990.81359205204956</v>
      </c>
      <c r="AC10" s="42">
        <v>3773.4217217555383</v>
      </c>
      <c r="AD10" s="41">
        <v>989.12908711809928</v>
      </c>
      <c r="AE10" s="42">
        <v>4619.2422329242536</v>
      </c>
      <c r="AF10" s="41">
        <v>988.50312475823466</v>
      </c>
      <c r="AG10" s="42">
        <v>5926.8486353275703</v>
      </c>
      <c r="AH10" s="41">
        <v>989.85817476544901</v>
      </c>
      <c r="AI10" s="42">
        <v>8169.3493287497649</v>
      </c>
      <c r="AJ10" s="41">
        <v>994.0486100013261</v>
      </c>
      <c r="AK10" s="42">
        <v>12553.45617803813</v>
      </c>
      <c r="AL10" s="41">
        <v>1000.8401427332054</v>
      </c>
      <c r="AM10" s="42">
        <v>22859.606145771002</v>
      </c>
      <c r="AN10" s="41">
        <v>1009.0550771221209</v>
      </c>
      <c r="AO10" s="42">
        <v>58049.374302813492</v>
      </c>
      <c r="AP10" s="41">
        <v>1010.8796526708389</v>
      </c>
      <c r="AQ10" s="42">
        <v>75836.329003168124</v>
      </c>
      <c r="AR10" s="41">
        <v>1012.8822449754995</v>
      </c>
      <c r="AS10" s="42">
        <v>104227.82879145832</v>
      </c>
      <c r="AT10" s="41">
        <v>1015.2830911052432</v>
      </c>
      <c r="AU10" s="42">
        <v>154612.20316722538</v>
      </c>
      <c r="AV10" s="41">
        <v>1018.7410758005018</v>
      </c>
      <c r="AW10" s="42">
        <v>261094.81533040869</v>
      </c>
    </row>
    <row r="11" spans="1:49" x14ac:dyDescent="0.2">
      <c r="A11" t="s">
        <v>29</v>
      </c>
      <c r="B11" s="41">
        <v>1015.9116825427475</v>
      </c>
      <c r="C11" s="42">
        <v>1005.7716594496609</v>
      </c>
      <c r="D11" s="41">
        <v>1014.3960261160454</v>
      </c>
      <c r="E11" s="42">
        <v>1073.4756589829067</v>
      </c>
      <c r="F11" s="41">
        <v>1012.8330624355218</v>
      </c>
      <c r="G11" s="42">
        <v>1149.7184377946992</v>
      </c>
      <c r="H11" s="41">
        <v>1011.2151413730816</v>
      </c>
      <c r="I11" s="42">
        <v>1236.1003890045599</v>
      </c>
      <c r="J11" s="41">
        <v>1009.5335452799668</v>
      </c>
      <c r="K11" s="42">
        <v>1334.6378095798641</v>
      </c>
      <c r="L11" s="41">
        <v>1007.7785802917898</v>
      </c>
      <c r="M11" s="42">
        <v>1447.9092350327512</v>
      </c>
      <c r="N11" s="41">
        <v>1005.9399118988983</v>
      </c>
      <c r="O11" s="42">
        <v>1579.2726104677731</v>
      </c>
      <c r="P11" s="41">
        <v>1004.0073227511448</v>
      </c>
      <c r="Q11" s="42">
        <v>1733.1931643287135</v>
      </c>
      <c r="R11" s="41">
        <v>1001.972288523851</v>
      </c>
      <c r="S11" s="42">
        <v>1915.7626371280976</v>
      </c>
      <c r="T11" s="41">
        <v>999.83103780909187</v>
      </c>
      <c r="U11" s="42">
        <v>2135.5513556731644</v>
      </c>
      <c r="V11" s="41">
        <v>997.59040177592863</v>
      </c>
      <c r="W11" s="42">
        <v>2405.0778565121441</v>
      </c>
      <c r="X11" s="41">
        <v>995.27893945101096</v>
      </c>
      <c r="Y11" s="42">
        <v>2743.4849621413828</v>
      </c>
      <c r="Z11" s="41">
        <v>992.96823220643159</v>
      </c>
      <c r="AA11" s="42">
        <v>3181.7322369223721</v>
      </c>
      <c r="AB11" s="41">
        <v>990.81359205204956</v>
      </c>
      <c r="AC11" s="42">
        <v>3773.4217217555383</v>
      </c>
      <c r="AD11" s="41">
        <v>989.12908711809928</v>
      </c>
      <c r="AE11" s="42">
        <v>4619.2422329242536</v>
      </c>
      <c r="AF11" s="41">
        <v>988.50312475823466</v>
      </c>
      <c r="AG11" s="42">
        <v>5926.8486353275703</v>
      </c>
      <c r="AH11" s="41">
        <v>989.85817476544901</v>
      </c>
      <c r="AI11" s="42">
        <v>8169.3493287497649</v>
      </c>
      <c r="AJ11" s="41">
        <v>994.0486100013261</v>
      </c>
      <c r="AK11" s="42">
        <v>12553.45617803813</v>
      </c>
      <c r="AL11" s="41">
        <v>1000.8401427332054</v>
      </c>
      <c r="AM11" s="42">
        <v>22859.606145771002</v>
      </c>
      <c r="AN11" s="41">
        <v>1009.0550771221209</v>
      </c>
      <c r="AO11" s="42">
        <v>58049.374302813492</v>
      </c>
      <c r="AP11" s="41">
        <v>1010.8796526708389</v>
      </c>
      <c r="AQ11" s="42">
        <v>75836.329003168124</v>
      </c>
      <c r="AR11" s="41">
        <v>1012.8822449754995</v>
      </c>
      <c r="AS11" s="42">
        <v>104227.82879145832</v>
      </c>
      <c r="AT11" s="41">
        <v>1015.2830911052432</v>
      </c>
      <c r="AU11" s="42">
        <v>154612.20316722538</v>
      </c>
      <c r="AV11" s="41">
        <v>1018.7410758005018</v>
      </c>
      <c r="AW11" s="42">
        <v>261094.81533040869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998.35514983794599</v>
      </c>
      <c r="E13" s="98">
        <v>998.35514983794599</v>
      </c>
      <c r="F13" s="97">
        <v>996.40951951066995</v>
      </c>
      <c r="G13" s="98">
        <v>996.40951951066995</v>
      </c>
      <c r="H13" s="97">
        <v>994.11984970808146</v>
      </c>
      <c r="I13" s="98">
        <v>994.11984970808146</v>
      </c>
      <c r="J13" s="97">
        <v>991.43386158555052</v>
      </c>
      <c r="K13" s="98">
        <v>991.43386158555052</v>
      </c>
      <c r="L13" s="97">
        <v>988.28775475095085</v>
      </c>
      <c r="M13" s="98">
        <v>988.28775475095085</v>
      </c>
      <c r="N13" s="97">
        <v>984.60251550570297</v>
      </c>
      <c r="O13" s="98">
        <v>984.60251550570297</v>
      </c>
      <c r="P13" s="97">
        <v>980.27899493900713</v>
      </c>
      <c r="Q13" s="98">
        <v>980.27899493900713</v>
      </c>
      <c r="R13" s="97">
        <v>975.19026270830341</v>
      </c>
      <c r="S13" s="98">
        <v>975.19026270830341</v>
      </c>
      <c r="T13" s="97">
        <v>969.1701715545986</v>
      </c>
      <c r="U13" s="98">
        <v>969.1701715545986</v>
      </c>
      <c r="V13" s="97">
        <v>961.99496752342702</v>
      </c>
      <c r="W13" s="98">
        <v>961.99496752342702</v>
      </c>
      <c r="X13" s="97">
        <v>953.3523716412052</v>
      </c>
      <c r="Y13" s="98">
        <v>953.3523716412052</v>
      </c>
      <c r="Z13" s="97">
        <v>942.78664209797557</v>
      </c>
      <c r="AA13" s="98">
        <v>942.78664209797557</v>
      </c>
      <c r="AB13" s="97">
        <v>929.59441623226996</v>
      </c>
      <c r="AC13" s="98">
        <v>929.59441623226996</v>
      </c>
      <c r="AD13" s="97">
        <v>912.61336523036482</v>
      </c>
      <c r="AE13" s="98">
        <v>912.61336523036482</v>
      </c>
      <c r="AF13" s="97">
        <v>889.76369933560284</v>
      </c>
      <c r="AG13" s="98">
        <v>889.76369933560284</v>
      </c>
      <c r="AH13" s="97">
        <v>856.99940573327819</v>
      </c>
      <c r="AI13" s="98">
        <v>856.99940573327819</v>
      </c>
      <c r="AJ13" s="97">
        <v>805.77652471060151</v>
      </c>
      <c r="AK13" s="98">
        <v>805.77652471060151</v>
      </c>
      <c r="AL13" s="97">
        <v>715.78795408764927</v>
      </c>
      <c r="AM13" s="98">
        <v>715.78795408764927</v>
      </c>
      <c r="AN13" s="97">
        <v>524.31919509166823</v>
      </c>
      <c r="AO13" s="98">
        <v>524.31919509166823</v>
      </c>
      <c r="AP13" s="97">
        <v>457.86083437165001</v>
      </c>
      <c r="AQ13" s="98">
        <v>457.86083437165001</v>
      </c>
      <c r="AR13" s="97">
        <v>373.38140552038436</v>
      </c>
      <c r="AS13" s="98">
        <v>373.38140552038436</v>
      </c>
      <c r="AT13" s="97">
        <v>263.69548129234335</v>
      </c>
      <c r="AU13" s="98">
        <v>263.69548129234335</v>
      </c>
      <c r="AV13" s="97">
        <v>122.50226649321586</v>
      </c>
      <c r="AW13" s="98">
        <v>122.50226649321586</v>
      </c>
    </row>
    <row r="14" spans="1:49" x14ac:dyDescent="0.2">
      <c r="A14" t="s">
        <v>36</v>
      </c>
      <c r="B14" s="41">
        <v>1457.0034251455234</v>
      </c>
      <c r="C14" s="42">
        <v>1457.0034251455236</v>
      </c>
      <c r="D14" s="41">
        <v>1454.6068728255593</v>
      </c>
      <c r="E14" s="42">
        <v>1454.6068728255595</v>
      </c>
      <c r="F14" s="41">
        <v>1451.7720827746512</v>
      </c>
      <c r="G14" s="42">
        <v>1451.7720827746514</v>
      </c>
      <c r="H14" s="41">
        <v>1448.4360260298274</v>
      </c>
      <c r="I14" s="42">
        <v>1448.4360260298276</v>
      </c>
      <c r="J14" s="41">
        <v>1444.5225321353998</v>
      </c>
      <c r="K14" s="42">
        <v>1444.5225321354001</v>
      </c>
      <c r="L14" s="41">
        <v>1439.9386437015144</v>
      </c>
      <c r="M14" s="42">
        <v>1439.9386437015146</v>
      </c>
      <c r="N14" s="41">
        <v>1434.5692374987075</v>
      </c>
      <c r="O14" s="42">
        <v>1434.5692374987077</v>
      </c>
      <c r="P14" s="41">
        <v>1428.2698532243444</v>
      </c>
      <c r="Q14" s="42">
        <v>1428.2698532243446</v>
      </c>
      <c r="R14" s="41">
        <v>1420.8555529345608</v>
      </c>
      <c r="S14" s="42">
        <v>1420.855552934561</v>
      </c>
      <c r="T14" s="41">
        <v>1412.0842595039246</v>
      </c>
      <c r="U14" s="42">
        <v>1412.0842595039248</v>
      </c>
      <c r="V14" s="41">
        <v>1401.6299626543896</v>
      </c>
      <c r="W14" s="42">
        <v>1401.6299626543898</v>
      </c>
      <c r="X14" s="41">
        <v>1389.0376708518438</v>
      </c>
      <c r="Y14" s="42">
        <v>1389.037670851844</v>
      </c>
      <c r="Z14" s="41">
        <v>1373.6433667181971</v>
      </c>
      <c r="AA14" s="42">
        <v>1373.6433667181973</v>
      </c>
      <c r="AB14" s="41">
        <v>1354.4222484465706</v>
      </c>
      <c r="AC14" s="42">
        <v>1354.4222484465708</v>
      </c>
      <c r="AD14" s="41">
        <v>1329.680798974224</v>
      </c>
      <c r="AE14" s="42">
        <v>1329.6807989742242</v>
      </c>
      <c r="AF14" s="41">
        <v>1296.3887575021249</v>
      </c>
      <c r="AG14" s="42">
        <v>1296.3887575021251</v>
      </c>
      <c r="AH14" s="41">
        <v>1248.6510695010643</v>
      </c>
      <c r="AI14" s="42">
        <v>1248.6510695010645</v>
      </c>
      <c r="AJ14" s="41">
        <v>1174.0191564052027</v>
      </c>
      <c r="AK14" s="42">
        <v>1174.0191564052029</v>
      </c>
      <c r="AL14" s="41">
        <v>1042.9055007836116</v>
      </c>
      <c r="AM14" s="42">
        <v>1042.9055007836116</v>
      </c>
      <c r="AN14" s="41">
        <v>763.93486311810443</v>
      </c>
      <c r="AO14" s="42">
        <v>763.93486311810454</v>
      </c>
      <c r="AP14" s="41">
        <v>667.10480391948124</v>
      </c>
      <c r="AQ14" s="42">
        <v>667.10480391948136</v>
      </c>
      <c r="AR14" s="41">
        <v>544.01798672884956</v>
      </c>
      <c r="AS14" s="42">
        <v>544.01798672884968</v>
      </c>
      <c r="AT14" s="41">
        <v>384.20521943834149</v>
      </c>
      <c r="AU14" s="42">
        <v>384.20521943834154</v>
      </c>
      <c r="AV14" s="41">
        <v>178.48622186870517</v>
      </c>
      <c r="AW14" s="42">
        <v>178.4862218687052</v>
      </c>
    </row>
    <row r="15" spans="1:49" x14ac:dyDescent="0.2">
      <c r="A15" t="s">
        <v>18</v>
      </c>
      <c r="B15" s="154">
        <v>1000</v>
      </c>
      <c r="C15" s="155">
        <v>1000</v>
      </c>
      <c r="D15" s="154">
        <v>992.67884719101733</v>
      </c>
      <c r="E15" s="155">
        <v>992.67884719101733</v>
      </c>
      <c r="F15" s="154">
        <v>985.08559884453268</v>
      </c>
      <c r="G15" s="155">
        <v>985.08559884453268</v>
      </c>
      <c r="H15" s="154">
        <v>977.17938579606744</v>
      </c>
      <c r="I15" s="155">
        <v>977.17938579606744</v>
      </c>
      <c r="J15" s="154">
        <v>968.91163315575704</v>
      </c>
      <c r="K15" s="155">
        <v>968.91163315575704</v>
      </c>
      <c r="L15" s="154">
        <v>960.22416191738284</v>
      </c>
      <c r="M15" s="155">
        <v>960.22416191738284</v>
      </c>
      <c r="N15" s="154">
        <v>951.04684041751443</v>
      </c>
      <c r="O15" s="155">
        <v>951.04684041751443</v>
      </c>
      <c r="P15" s="154">
        <v>941.29405123096524</v>
      </c>
      <c r="Q15" s="155">
        <v>941.29405123096524</v>
      </c>
      <c r="R15" s="154">
        <v>930.85993750099658</v>
      </c>
      <c r="S15" s="155">
        <v>930.85993750099658</v>
      </c>
      <c r="T15" s="154">
        <v>919.6109656101188</v>
      </c>
      <c r="U15" s="155">
        <v>919.6109656101188</v>
      </c>
      <c r="V15" s="154">
        <v>907.3740641643368</v>
      </c>
      <c r="W15" s="155">
        <v>907.3740641643368</v>
      </c>
      <c r="X15" s="154">
        <v>893.91621016237764</v>
      </c>
      <c r="Y15" s="155">
        <v>893.91621016237764</v>
      </c>
      <c r="Z15" s="154">
        <v>878.90646680177167</v>
      </c>
      <c r="AA15" s="155">
        <v>878.90646680177167</v>
      </c>
      <c r="AB15" s="154">
        <v>861.83935639243236</v>
      </c>
      <c r="AC15" s="155">
        <v>861.83935639243236</v>
      </c>
      <c r="AD15" s="154">
        <v>841.865777532165</v>
      </c>
      <c r="AE15" s="155">
        <v>841.865777532165</v>
      </c>
      <c r="AF15" s="154">
        <v>817.38709861947689</v>
      </c>
      <c r="AG15" s="155">
        <v>817.38709861947689</v>
      </c>
      <c r="AH15" s="154">
        <v>785.0280845864296</v>
      </c>
      <c r="AI15" s="155">
        <v>785.0280845864296</v>
      </c>
      <c r="AJ15" s="154">
        <v>737.05358016573064</v>
      </c>
      <c r="AK15" s="155">
        <v>737.05358016573064</v>
      </c>
      <c r="AL15" s="154">
        <v>654.47210505332839</v>
      </c>
      <c r="AM15" s="155">
        <v>654.47210505332839</v>
      </c>
      <c r="AN15" s="154">
        <v>479.38120353139874</v>
      </c>
      <c r="AO15" s="155">
        <v>479.38120353139874</v>
      </c>
      <c r="AP15" s="154">
        <v>418.61847553089018</v>
      </c>
      <c r="AQ15" s="155">
        <v>418.61847553089018</v>
      </c>
      <c r="AR15" s="154">
        <v>341.37951648984347</v>
      </c>
      <c r="AS15" s="155">
        <v>341.37951648984347</v>
      </c>
      <c r="AT15" s="154">
        <v>241.0945681479393</v>
      </c>
      <c r="AU15" s="155">
        <v>241.0945681479393</v>
      </c>
      <c r="AV15" s="154">
        <v>112.00279367020454</v>
      </c>
      <c r="AW15" s="155">
        <v>112.00279367020454</v>
      </c>
    </row>
    <row r="16" spans="1:49" s="29" customFormat="1" x14ac:dyDescent="0.2">
      <c r="A16" t="s">
        <v>61</v>
      </c>
      <c r="B16" s="41">
        <v>1000</v>
      </c>
      <c r="C16" s="42">
        <v>1000</v>
      </c>
      <c r="D16" s="41">
        <v>995.70400251640194</v>
      </c>
      <c r="E16" s="42">
        <v>994.29851618391979</v>
      </c>
      <c r="F16" s="41">
        <v>991.11820071118416</v>
      </c>
      <c r="G16" s="42">
        <v>988.3157589521021</v>
      </c>
      <c r="H16" s="41">
        <v>986.2004524196002</v>
      </c>
      <c r="I16" s="42">
        <v>982.01017654151758</v>
      </c>
      <c r="J16" s="41">
        <v>980.90020937034751</v>
      </c>
      <c r="K16" s="42">
        <v>975.33213649064817</v>
      </c>
      <c r="L16" s="41">
        <v>975.15630017185299</v>
      </c>
      <c r="M16" s="42">
        <v>968.2218562857812</v>
      </c>
      <c r="N16" s="41">
        <v>968.89386955174416</v>
      </c>
      <c r="O16" s="42">
        <v>960.60667301646708</v>
      </c>
      <c r="P16" s="41">
        <v>962.02011488800838</v>
      </c>
      <c r="Q16" s="42">
        <v>952.39711805624358</v>
      </c>
      <c r="R16" s="41">
        <v>954.41800521603602</v>
      </c>
      <c r="S16" s="42">
        <v>943.48134391113479</v>
      </c>
      <c r="T16" s="41">
        <v>945.93673921409572</v>
      </c>
      <c r="U16" s="42">
        <v>933.7165567173131</v>
      </c>
      <c r="V16" s="41">
        <v>936.37644840683481</v>
      </c>
      <c r="W16" s="42">
        <v>922.91531046159901</v>
      </c>
      <c r="X16" s="41">
        <v>925.46225898938542</v>
      </c>
      <c r="Y16" s="42">
        <v>910.82212634610983</v>
      </c>
      <c r="Z16" s="41">
        <v>912.79740549193866</v>
      </c>
      <c r="AA16" s="42">
        <v>897.07073773992647</v>
      </c>
      <c r="AB16" s="41">
        <v>897.77212977393594</v>
      </c>
      <c r="AC16" s="42">
        <v>881.09968918296795</v>
      </c>
      <c r="AD16" s="41">
        <v>879.3723649465353</v>
      </c>
      <c r="AE16" s="42">
        <v>861.97131477757387</v>
      </c>
      <c r="AF16" s="41">
        <v>855.74609806479373</v>
      </c>
      <c r="AG16" s="42">
        <v>837.95094853009505</v>
      </c>
      <c r="AH16" s="41">
        <v>823.16457549037534</v>
      </c>
      <c r="AI16" s="42">
        <v>805.4735952817756</v>
      </c>
      <c r="AJ16" s="41">
        <v>773.46514742377042</v>
      </c>
      <c r="AK16" s="42">
        <v>756.57478309036355</v>
      </c>
      <c r="AL16" s="41">
        <v>686.95822592869422</v>
      </c>
      <c r="AM16" s="42">
        <v>671.88888697544201</v>
      </c>
      <c r="AN16" s="41">
        <v>503.18998968592666</v>
      </c>
      <c r="AO16" s="42">
        <v>492.14581672790263</v>
      </c>
      <c r="AP16" s="41">
        <v>439.40963340807997</v>
      </c>
      <c r="AQ16" s="42">
        <v>429.76524672327304</v>
      </c>
      <c r="AR16" s="41">
        <v>358.33457050606052</v>
      </c>
      <c r="AS16" s="42">
        <v>350.4696359363291</v>
      </c>
      <c r="AT16" s="41">
        <v>253.06885193666037</v>
      </c>
      <c r="AU16" s="42">
        <v>247.51434540125706</v>
      </c>
      <c r="AV16" s="41">
        <v>117.56556302732713</v>
      </c>
      <c r="AW16" s="42">
        <v>114.98516329893033</v>
      </c>
    </row>
    <row r="17" spans="1:49" x14ac:dyDescent="0.2">
      <c r="A17" t="s">
        <v>62</v>
      </c>
      <c r="B17" s="35">
        <v>1000.0000000000002</v>
      </c>
      <c r="C17" s="36">
        <v>999.99999999999977</v>
      </c>
      <c r="D17" s="35">
        <v>998.64416658757807</v>
      </c>
      <c r="E17" s="36">
        <v>1032.9928022061267</v>
      </c>
      <c r="F17" s="35">
        <v>997.24773726079559</v>
      </c>
      <c r="G17" s="36">
        <v>1069.9935732450083</v>
      </c>
      <c r="H17" s="35">
        <v>995.80405471437973</v>
      </c>
      <c r="I17" s="36">
        <v>1111.7269468337188</v>
      </c>
      <c r="J17" s="35">
        <v>994.3055544113023</v>
      </c>
      <c r="K17" s="36">
        <v>1159.1026982377873</v>
      </c>
      <c r="L17" s="35">
        <v>992.74385209083982</v>
      </c>
      <c r="M17" s="36">
        <v>1213.2805271685115</v>
      </c>
      <c r="N17" s="35">
        <v>991.11006132907846</v>
      </c>
      <c r="O17" s="36">
        <v>1275.7663441418717</v>
      </c>
      <c r="P17" s="35">
        <v>989.39546907537942</v>
      </c>
      <c r="Q17" s="36">
        <v>1348.5574119222381</v>
      </c>
      <c r="R17" s="35">
        <v>987.59293855169994</v>
      </c>
      <c r="S17" s="36">
        <v>1434.3723410706029</v>
      </c>
      <c r="T17" s="35">
        <v>985.69960675528546</v>
      </c>
      <c r="U17" s="36">
        <v>1537.0281095750672</v>
      </c>
      <c r="V17" s="35">
        <v>983.72201449642523</v>
      </c>
      <c r="W17" s="36">
        <v>1662.0895369929829</v>
      </c>
      <c r="X17" s="35">
        <v>981.68580450524871</v>
      </c>
      <c r="Y17" s="36">
        <v>1818.0494630053236</v>
      </c>
      <c r="Z17" s="35">
        <v>979.65423297720326</v>
      </c>
      <c r="AA17" s="36">
        <v>2018.6118949807235</v>
      </c>
      <c r="AB17" s="35">
        <v>977.76346776653827</v>
      </c>
      <c r="AC17" s="36">
        <v>2287.4327010546831</v>
      </c>
      <c r="AD17" s="35">
        <v>976.28768676768811</v>
      </c>
      <c r="AE17" s="36">
        <v>2668.7655940855898</v>
      </c>
      <c r="AF17" s="35">
        <v>975.73983190456192</v>
      </c>
      <c r="AG17" s="36">
        <v>3253.3531610722603</v>
      </c>
      <c r="AH17" s="35">
        <v>976.92617277295494</v>
      </c>
      <c r="AI17" s="36">
        <v>4246.3558626066397</v>
      </c>
      <c r="AJ17" s="35">
        <v>980.60360388003892</v>
      </c>
      <c r="AK17" s="36">
        <v>6166.5334041705082</v>
      </c>
      <c r="AL17" s="35">
        <v>986.59145433902734</v>
      </c>
      <c r="AM17" s="36">
        <v>10628.555894281531</v>
      </c>
      <c r="AN17" s="35">
        <v>993.87955472609133</v>
      </c>
      <c r="AO17" s="36">
        <v>25710.571781451617</v>
      </c>
      <c r="AP17" s="35">
        <v>995.50493140494973</v>
      </c>
      <c r="AQ17" s="36">
        <v>33307.704254908953</v>
      </c>
      <c r="AR17" s="35">
        <v>997.2916525173074</v>
      </c>
      <c r="AS17" s="36">
        <v>45423.589609879244</v>
      </c>
      <c r="AT17" s="35">
        <v>999.43749291209917</v>
      </c>
      <c r="AU17" s="36">
        <v>66914.94889712047</v>
      </c>
      <c r="AV17" s="35">
        <v>1002.5354249437804</v>
      </c>
      <c r="AW17" s="36">
        <v>112344.59440000703</v>
      </c>
    </row>
    <row r="18" spans="1:49" x14ac:dyDescent="0.2">
      <c r="A18" t="s">
        <v>19</v>
      </c>
      <c r="B18" s="33">
        <v>27857.010133999996</v>
      </c>
      <c r="C18" s="34">
        <v>1236.7674480000003</v>
      </c>
      <c r="D18" s="33">
        <v>27864.980176951405</v>
      </c>
      <c r="E18" s="34">
        <v>1150.5112628535221</v>
      </c>
      <c r="F18" s="33">
        <v>27869.414389867346</v>
      </c>
      <c r="G18" s="34">
        <v>1064.2917101208641</v>
      </c>
      <c r="H18" s="33">
        <v>27869.787912223292</v>
      </c>
      <c r="I18" s="34">
        <v>978.13428250532809</v>
      </c>
      <c r="J18" s="33">
        <v>27865.454531242209</v>
      </c>
      <c r="K18" s="34">
        <v>892.0787021907845</v>
      </c>
      <c r="L18" s="33">
        <v>27855.606007791263</v>
      </c>
      <c r="M18" s="34">
        <v>806.18592334650293</v>
      </c>
      <c r="N18" s="33">
        <v>27839.209597150337</v>
      </c>
      <c r="O18" s="34">
        <v>720.55278024908944</v>
      </c>
      <c r="P18" s="33">
        <v>27814.918805973102</v>
      </c>
      <c r="Q18" s="34">
        <v>635.32811986487695</v>
      </c>
      <c r="R18" s="33">
        <v>27780.93009403046</v>
      </c>
      <c r="S18" s="34">
        <v>550.74434450328181</v>
      </c>
      <c r="T18" s="33">
        <v>27734.757332188259</v>
      </c>
      <c r="U18" s="34">
        <v>467.16126843369375</v>
      </c>
      <c r="V18" s="33">
        <v>27672.856443668348</v>
      </c>
      <c r="W18" s="34">
        <v>385.13569596313584</v>
      </c>
      <c r="X18" s="33">
        <v>27589.977235453447</v>
      </c>
      <c r="Y18" s="34">
        <v>305.52918171544036</v>
      </c>
      <c r="Z18" s="33">
        <v>27477.993241366938</v>
      </c>
      <c r="AA18" s="34">
        <v>229.67210139399819</v>
      </c>
      <c r="AB18" s="33">
        <v>27323.685813305274</v>
      </c>
      <c r="AC18" s="34">
        <v>159.60179334429907</v>
      </c>
      <c r="AD18" s="33">
        <v>27104.363611158053</v>
      </c>
      <c r="AE18" s="34">
        <v>98.344288085819983</v>
      </c>
      <c r="AF18" s="33">
        <v>26778.987888257412</v>
      </c>
      <c r="AG18" s="34">
        <v>49.97535031119817</v>
      </c>
      <c r="AH18" s="33">
        <v>26270.282911504877</v>
      </c>
      <c r="AI18" s="34">
        <v>18.481538275080869</v>
      </c>
      <c r="AJ18" s="33">
        <v>25425.992165148273</v>
      </c>
      <c r="AK18" s="34">
        <v>4.0671827481136216</v>
      </c>
      <c r="AL18" s="33">
        <v>23889.183490677351</v>
      </c>
      <c r="AM18" s="34">
        <v>0.38287845148722538</v>
      </c>
      <c r="AN18" s="33">
        <v>20368.110996307423</v>
      </c>
      <c r="AO18" s="34">
        <v>6.6668328867630676E-3</v>
      </c>
      <c r="AP18" s="33">
        <v>19017.445704916794</v>
      </c>
      <c r="AQ18" s="34">
        <v>1.9523498430508359E-3</v>
      </c>
      <c r="AR18" s="33">
        <v>17157.688996050474</v>
      </c>
      <c r="AS18" s="34">
        <v>4.3576950171628567E-4</v>
      </c>
      <c r="AT18" s="33">
        <v>14402.937994312037</v>
      </c>
      <c r="AU18" s="34">
        <v>6.3390637976196992E-5</v>
      </c>
      <c r="AV18" s="33">
        <v>9801.1583464370287</v>
      </c>
      <c r="AW18" s="34">
        <v>4.0911575434454654E-6</v>
      </c>
    </row>
    <row r="19" spans="1:49" x14ac:dyDescent="0.2">
      <c r="A19" t="s">
        <v>3</v>
      </c>
      <c r="B19" s="41">
        <v>1886.3937399999918</v>
      </c>
      <c r="C19" s="42">
        <v>262.78711299999759</v>
      </c>
      <c r="D19" s="41">
        <v>1880.1832859822532</v>
      </c>
      <c r="E19" s="42">
        <v>268.98052594329556</v>
      </c>
      <c r="F19" s="41">
        <v>1873.533001273066</v>
      </c>
      <c r="G19" s="42">
        <v>276.10355223814764</v>
      </c>
      <c r="H19" s="41">
        <v>1866.3775097889959</v>
      </c>
      <c r="I19" s="42">
        <v>284.27391627984986</v>
      </c>
      <c r="J19" s="41">
        <v>1858.6396399266303</v>
      </c>
      <c r="K19" s="42">
        <v>293.62191101102974</v>
      </c>
      <c r="L19" s="41">
        <v>1850.2284712828014</v>
      </c>
      <c r="M19" s="42">
        <v>304.28787509710378</v>
      </c>
      <c r="N19" s="41">
        <v>1841.037136185296</v>
      </c>
      <c r="O19" s="42">
        <v>316.41656582595408</v>
      </c>
      <c r="P19" s="41">
        <v>1830.9408777283193</v>
      </c>
      <c r="Q19" s="42">
        <v>330.14441833222884</v>
      </c>
      <c r="R19" s="41">
        <v>1819.7953391850635</v>
      </c>
      <c r="S19" s="42">
        <v>345.57545599567413</v>
      </c>
      <c r="T19" s="41">
        <v>1807.4361856679202</v>
      </c>
      <c r="U19" s="42">
        <v>362.7356411929639</v>
      </c>
      <c r="V19" s="41">
        <v>1793.6812889203327</v>
      </c>
      <c r="W19" s="42">
        <v>381.48792612074192</v>
      </c>
      <c r="X19" s="41">
        <v>1778.3379966118951</v>
      </c>
      <c r="Y19" s="42">
        <v>401.37316821226432</v>
      </c>
      <c r="Z19" s="41">
        <v>1761.2195338336078</v>
      </c>
      <c r="AA19" s="42">
        <v>421.31118026509051</v>
      </c>
      <c r="AB19" s="41">
        <v>1742.173488380397</v>
      </c>
      <c r="AC19" s="42">
        <v>439.03863983298663</v>
      </c>
      <c r="AD19" s="41">
        <v>1721.1051349643087</v>
      </c>
      <c r="AE19" s="42">
        <v>450.09752888314881</v>
      </c>
      <c r="AF19" s="41">
        <v>1697.8467093195352</v>
      </c>
      <c r="AG19" s="42">
        <v>446.33943421851569</v>
      </c>
      <c r="AH19" s="41">
        <v>1671.1118455305393</v>
      </c>
      <c r="AI19" s="42">
        <v>415.35497360375649</v>
      </c>
      <c r="AJ19" s="41">
        <v>1633.9753813292168</v>
      </c>
      <c r="AK19" s="42">
        <v>346.22129018109297</v>
      </c>
      <c r="AL19" s="41">
        <v>1560.6120182763948</v>
      </c>
      <c r="AM19" s="42">
        <v>242.86615545951238</v>
      </c>
      <c r="AN19" s="41">
        <v>1357.0161156191336</v>
      </c>
      <c r="AO19" s="42">
        <v>123.10537013568758</v>
      </c>
      <c r="AP19" s="41">
        <v>1272.5410485070288</v>
      </c>
      <c r="AQ19" s="42">
        <v>98.546514005339318</v>
      </c>
      <c r="AR19" s="41">
        <v>1153.5673082053424</v>
      </c>
      <c r="AS19" s="42">
        <v>73.934656486215403</v>
      </c>
      <c r="AT19" s="41">
        <v>973.87628819870599</v>
      </c>
      <c r="AU19" s="42">
        <v>49.297357878291912</v>
      </c>
      <c r="AV19" s="41">
        <v>668.14872421010887</v>
      </c>
      <c r="AW19" s="42">
        <v>24.650074943939888</v>
      </c>
    </row>
    <row r="20" spans="1:49" x14ac:dyDescent="0.2">
      <c r="A20" t="s">
        <v>127</v>
      </c>
      <c r="B20" s="82">
        <v>26548.356269999993</v>
      </c>
      <c r="C20" s="83">
        <v>1408.5418709999938</v>
      </c>
      <c r="D20" s="82">
        <v>26540.084968436749</v>
      </c>
      <c r="E20" s="83">
        <v>1338.1147774499941</v>
      </c>
      <c r="F20" s="82">
        <v>26527.896069488899</v>
      </c>
      <c r="G20" s="83">
        <v>1267.6876838999945</v>
      </c>
      <c r="H20" s="82">
        <v>26511.210887871697</v>
      </c>
      <c r="I20" s="83">
        <v>1197.2605903499943</v>
      </c>
      <c r="J20" s="82">
        <v>26489.324647400681</v>
      </c>
      <c r="K20" s="83">
        <v>1126.8334967999951</v>
      </c>
      <c r="L20" s="82">
        <v>26461.36920227719</v>
      </c>
      <c r="M20" s="83">
        <v>1056.4064032499953</v>
      </c>
      <c r="N20" s="82">
        <v>26426.25791071045</v>
      </c>
      <c r="O20" s="83">
        <v>985.97930969999561</v>
      </c>
      <c r="P20" s="82">
        <v>26382.610135933817</v>
      </c>
      <c r="Q20" s="83">
        <v>915.55221614999596</v>
      </c>
      <c r="R20" s="82">
        <v>26328.63398844326</v>
      </c>
      <c r="S20" s="83">
        <v>845.12512259999642</v>
      </c>
      <c r="T20" s="82">
        <v>26261.948390903355</v>
      </c>
      <c r="U20" s="83">
        <v>774.69802904999653</v>
      </c>
      <c r="V20" s="82">
        <v>26179.295392010026</v>
      </c>
      <c r="W20" s="83">
        <v>704.27093549999688</v>
      </c>
      <c r="X20" s="82">
        <v>26076.054431896151</v>
      </c>
      <c r="Y20" s="83">
        <v>633.84384194999734</v>
      </c>
      <c r="Z20" s="82">
        <v>25945.376927265108</v>
      </c>
      <c r="AA20" s="83">
        <v>563.41674839999757</v>
      </c>
      <c r="AB20" s="82">
        <v>25776.544012314513</v>
      </c>
      <c r="AC20" s="83">
        <v>492.98965484999775</v>
      </c>
      <c r="AD20" s="82">
        <v>25551.632554451564</v>
      </c>
      <c r="AE20" s="83">
        <v>422.56256129999804</v>
      </c>
      <c r="AF20" s="82">
        <v>25238.27010211657</v>
      </c>
      <c r="AG20" s="83">
        <v>352.13546774999827</v>
      </c>
      <c r="AH20" s="82">
        <v>24772.895416760774</v>
      </c>
      <c r="AI20" s="83">
        <v>281.70837419999856</v>
      </c>
      <c r="AJ20" s="82">
        <v>24018.587511580994</v>
      </c>
      <c r="AK20" s="83">
        <v>211.28128064999879</v>
      </c>
      <c r="AL20" s="82">
        <v>22629.904146092867</v>
      </c>
      <c r="AM20" s="83">
        <v>140.85418709999902</v>
      </c>
      <c r="AN20" s="82">
        <v>19358.533799081077</v>
      </c>
      <c r="AO20" s="83">
        <v>70.427093549999285</v>
      </c>
      <c r="AP20" s="82">
        <v>18087.980867417282</v>
      </c>
      <c r="AQ20" s="83">
        <v>56.341674839999335</v>
      </c>
      <c r="AR20" s="82">
        <v>16332.107230874635</v>
      </c>
      <c r="AS20" s="83">
        <v>42.256256129999379</v>
      </c>
      <c r="AT20" s="82">
        <v>13722.924841575174</v>
      </c>
      <c r="AU20" s="83">
        <v>28.170837419999433</v>
      </c>
      <c r="AV20" s="82">
        <v>9351.1001535848718</v>
      </c>
      <c r="AW20" s="83">
        <v>14.08541870999948</v>
      </c>
    </row>
    <row r="21" spans="1:49" x14ac:dyDescent="0.2">
      <c r="A21" t="s">
        <v>76</v>
      </c>
      <c r="B21" s="82">
        <v>24661.962529999968</v>
      </c>
      <c r="C21" s="83">
        <v>1145.7547579999991</v>
      </c>
      <c r="D21" s="82">
        <v>24659.906200979025</v>
      </c>
      <c r="E21" s="83">
        <v>1069.3578501731215</v>
      </c>
      <c r="F21" s="82">
        <v>24654.381702289778</v>
      </c>
      <c r="G21" s="83">
        <v>992.54368196691394</v>
      </c>
      <c r="H21" s="82">
        <v>24644.876717057745</v>
      </c>
      <c r="I21" s="83">
        <v>915.30936807477156</v>
      </c>
      <c r="J21" s="82">
        <v>24630.76487153909</v>
      </c>
      <c r="K21" s="83">
        <v>837.66660000066076</v>
      </c>
      <c r="L21" s="82">
        <v>24611.270454172867</v>
      </c>
      <c r="M21" s="83">
        <v>759.65038942979481</v>
      </c>
      <c r="N21" s="82">
        <v>24585.415522537991</v>
      </c>
      <c r="O21" s="83">
        <v>681.33176821958193</v>
      </c>
      <c r="P21" s="82">
        <v>24551.946349353409</v>
      </c>
      <c r="Q21" s="83">
        <v>602.83767996823212</v>
      </c>
      <c r="R21" s="82">
        <v>24509.217797388661</v>
      </c>
      <c r="S21" s="83">
        <v>524.38063742752172</v>
      </c>
      <c r="T21" s="82">
        <v>24455.015504923911</v>
      </c>
      <c r="U21" s="83">
        <v>446.30414688049029</v>
      </c>
      <c r="V21" s="82">
        <v>24386.265375105439</v>
      </c>
      <c r="W21" s="83">
        <v>369.15226438448002</v>
      </c>
      <c r="X21" s="82">
        <v>24298.53914878473</v>
      </c>
      <c r="Y21" s="83">
        <v>293.77680787643845</v>
      </c>
      <c r="Z21" s="82">
        <v>24185.169602555252</v>
      </c>
      <c r="AA21" s="83">
        <v>221.50034977750181</v>
      </c>
      <c r="AB21" s="82">
        <v>24035.57389303112</v>
      </c>
      <c r="AC21" s="83">
        <v>154.35222222283863</v>
      </c>
      <c r="AD21" s="82">
        <v>23831.88578541407</v>
      </c>
      <c r="AE21" s="83">
        <v>95.348390973431535</v>
      </c>
      <c r="AF21" s="82">
        <v>23541.828549487673</v>
      </c>
      <c r="AG21" s="83">
        <v>48.556790941113846</v>
      </c>
      <c r="AH21" s="82">
        <v>23103.029812074758</v>
      </c>
      <c r="AI21" s="83">
        <v>17.986636493304175</v>
      </c>
      <c r="AJ21" s="82">
        <v>22385.462999169526</v>
      </c>
      <c r="AK21" s="83">
        <v>3.9624310851942575</v>
      </c>
      <c r="AL21" s="82">
        <v>21069.673097808034</v>
      </c>
      <c r="AM21" s="83">
        <v>0.37319524774014901</v>
      </c>
      <c r="AN21" s="82">
        <v>18001.58513371451</v>
      </c>
      <c r="AO21" s="83">
        <v>6.4990425108316305E-3</v>
      </c>
      <c r="AP21" s="82">
        <v>16815.473763402355</v>
      </c>
      <c r="AQ21" s="83">
        <v>1.9032242877230041E-3</v>
      </c>
      <c r="AR21" s="82">
        <v>15178.551031261888</v>
      </c>
      <c r="AS21" s="83">
        <v>4.2480589187811655E-4</v>
      </c>
      <c r="AT21" s="82">
        <v>12749.048955237971</v>
      </c>
      <c r="AU21" s="83">
        <v>6.1795862844802674E-5</v>
      </c>
      <c r="AV21" s="82">
        <v>8682.9569774474312</v>
      </c>
      <c r="AW21" s="83">
        <v>3.9882348663337253E-6</v>
      </c>
    </row>
    <row r="22" spans="1:49" x14ac:dyDescent="0.2">
      <c r="A22" t="s">
        <v>28</v>
      </c>
      <c r="B22" s="41">
        <v>6533.6044688320644</v>
      </c>
      <c r="C22" s="42">
        <v>379.90788307663382</v>
      </c>
      <c r="D22" s="41">
        <v>6502.3436241355721</v>
      </c>
      <c r="E22" s="42">
        <v>363.02893062495951</v>
      </c>
      <c r="F22" s="41">
        <v>6468.7978854860557</v>
      </c>
      <c r="G22" s="42">
        <v>346.02608064630294</v>
      </c>
      <c r="H22" s="41">
        <v>6432.6509395031781</v>
      </c>
      <c r="I22" s="42">
        <v>328.89686953923496</v>
      </c>
      <c r="J22" s="41">
        <v>6393.5213420527871</v>
      </c>
      <c r="K22" s="42">
        <v>311.63774592992445</v>
      </c>
      <c r="L22" s="41">
        <v>6350.9430944150308</v>
      </c>
      <c r="M22" s="42">
        <v>294.2433755243315</v>
      </c>
      <c r="N22" s="41">
        <v>6304.3364752980669</v>
      </c>
      <c r="O22" s="42">
        <v>276.70528812546058</v>
      </c>
      <c r="P22" s="41">
        <v>6252.9672082998386</v>
      </c>
      <c r="Q22" s="42">
        <v>259.0102563066082</v>
      </c>
      <c r="R22" s="41">
        <v>6195.8809756568389</v>
      </c>
      <c r="S22" s="42">
        <v>241.13740163802862</v>
      </c>
      <c r="T22" s="41">
        <v>6131.8021507901494</v>
      </c>
      <c r="U22" s="42">
        <v>223.05410478664302</v>
      </c>
      <c r="V22" s="41">
        <v>6058.9660234269704</v>
      </c>
      <c r="W22" s="42">
        <v>204.70977705131912</v>
      </c>
      <c r="X22" s="41">
        <v>5974.8297782873842</v>
      </c>
      <c r="Y22" s="42">
        <v>186.02669097133162</v>
      </c>
      <c r="Z22" s="41">
        <v>5875.5534558533964</v>
      </c>
      <c r="AA22" s="42">
        <v>166.88699644249698</v>
      </c>
      <c r="AB22" s="41">
        <v>5755.0221913341784</v>
      </c>
      <c r="AC22" s="42">
        <v>147.11653877278499</v>
      </c>
      <c r="AD22" s="41">
        <v>5602.9387922357764</v>
      </c>
      <c r="AE22" s="42">
        <v>126.47363643210986</v>
      </c>
      <c r="AF22" s="41">
        <v>5401.0731685227101</v>
      </c>
      <c r="AG22" s="42">
        <v>104.6796092349631</v>
      </c>
      <c r="AH22" s="41">
        <v>5116.2810774139061</v>
      </c>
      <c r="AI22" s="42">
        <v>81.599503911469768</v>
      </c>
      <c r="AJ22" s="41">
        <v>4688.0934523848318</v>
      </c>
      <c r="AK22" s="42">
        <v>57.681594079934847</v>
      </c>
      <c r="AL22" s="41">
        <v>3995.6496366426741</v>
      </c>
      <c r="AM22" s="42">
        <v>34.248843146935471</v>
      </c>
      <c r="AN22" s="41">
        <v>2710.4682273516046</v>
      </c>
      <c r="AO22" s="42">
        <v>13.224639894294404</v>
      </c>
      <c r="AP22" s="41">
        <v>2307.4710414570495</v>
      </c>
      <c r="AQ22" s="42">
        <v>9.5751533113584042</v>
      </c>
      <c r="AR22" s="41">
        <v>1821.2882418687723</v>
      </c>
      <c r="AS22" s="42">
        <v>6.2325756788270086</v>
      </c>
      <c r="AT22" s="41">
        <v>1230.2954994668844</v>
      </c>
      <c r="AU22" s="42">
        <v>3.3147964386338824</v>
      </c>
      <c r="AV22" s="41">
        <v>534.59599075662766</v>
      </c>
      <c r="AW22" s="42">
        <v>1.0484932970283853</v>
      </c>
    </row>
    <row r="23" spans="1:49" x14ac:dyDescent="0.2">
      <c r="A23" t="s">
        <v>7</v>
      </c>
      <c r="B23" s="116">
        <v>3278.5018080150408</v>
      </c>
      <c r="C23" s="8">
        <v>0</v>
      </c>
      <c r="D23" s="116">
        <v>3283.7944145896195</v>
      </c>
      <c r="E23" s="8">
        <v>0</v>
      </c>
      <c r="F23" s="116">
        <v>3288.6893079245165</v>
      </c>
      <c r="G23" s="8">
        <v>0</v>
      </c>
      <c r="H23" s="116">
        <v>3293.12245604909</v>
      </c>
      <c r="I23" s="8">
        <v>0</v>
      </c>
      <c r="J23" s="116">
        <v>3297.0152621386219</v>
      </c>
      <c r="K23" s="8">
        <v>0</v>
      </c>
      <c r="L23" s="116">
        <v>3300.2704803551333</v>
      </c>
      <c r="M23" s="8">
        <v>0</v>
      </c>
      <c r="N23" s="116">
        <v>3302.7660339502272</v>
      </c>
      <c r="O23" s="8">
        <v>0</v>
      </c>
      <c r="P23" s="116">
        <v>3304.3473161193174</v>
      </c>
      <c r="Q23" s="8">
        <v>0</v>
      </c>
      <c r="R23" s="116">
        <v>3304.81510139908</v>
      </c>
      <c r="S23" s="8">
        <v>0</v>
      </c>
      <c r="T23" s="116">
        <v>3303.9083870347704</v>
      </c>
      <c r="U23" s="8">
        <v>0</v>
      </c>
      <c r="V23" s="116">
        <v>3301.2776862316978</v>
      </c>
      <c r="W23" s="8">
        <v>0</v>
      </c>
      <c r="X23" s="116">
        <v>3296.4417010245193</v>
      </c>
      <c r="Y23" s="8">
        <v>0</v>
      </c>
      <c r="Z23" s="116">
        <v>3288.7124565012336</v>
      </c>
      <c r="AA23" s="8">
        <v>0</v>
      </c>
      <c r="AB23" s="116">
        <v>3277.0538738099885</v>
      </c>
      <c r="AC23" s="8">
        <v>0</v>
      </c>
      <c r="AD23" s="116">
        <v>3259.7832377374539</v>
      </c>
      <c r="AE23" s="8">
        <v>0</v>
      </c>
      <c r="AF23" s="116">
        <v>3233.847499184933</v>
      </c>
      <c r="AG23" s="8">
        <v>0</v>
      </c>
      <c r="AH23" s="116">
        <v>3192.8105556854612</v>
      </c>
      <c r="AI23" s="8">
        <v>0</v>
      </c>
      <c r="AJ23" s="116">
        <v>3120.76460669684</v>
      </c>
      <c r="AK23" s="8">
        <v>0</v>
      </c>
      <c r="AL23" s="116">
        <v>2972.2558444498231</v>
      </c>
      <c r="AM23" s="8">
        <v>0</v>
      </c>
      <c r="AN23" s="116">
        <v>2573.2362245641957</v>
      </c>
      <c r="AO23" s="8">
        <v>0</v>
      </c>
      <c r="AP23" s="116">
        <v>2407.8480729105859</v>
      </c>
      <c r="AQ23" s="8">
        <v>0</v>
      </c>
      <c r="AR23" s="116">
        <v>2173.9779697893787</v>
      </c>
      <c r="AS23" s="8">
        <v>0</v>
      </c>
      <c r="AT23" s="116">
        <v>1819.9640054208539</v>
      </c>
      <c r="AU23" s="8">
        <v>0</v>
      </c>
      <c r="AV23" s="116">
        <v>1223.3315789659466</v>
      </c>
      <c r="AW23" s="8">
        <v>0</v>
      </c>
    </row>
    <row r="24" spans="1:49" x14ac:dyDescent="0.2">
      <c r="A24" t="s">
        <v>8</v>
      </c>
      <c r="B24" s="97">
        <v>3196.3846373657216</v>
      </c>
      <c r="C24" s="8">
        <v>0</v>
      </c>
      <c r="D24" s="97">
        <v>3235.9039224198591</v>
      </c>
      <c r="E24" s="8">
        <v>0</v>
      </c>
      <c r="F24" s="97">
        <v>3275.9186798983887</v>
      </c>
      <c r="G24" s="8">
        <v>0</v>
      </c>
      <c r="H24" s="97">
        <v>3316.4822103411389</v>
      </c>
      <c r="I24" s="8">
        <v>0</v>
      </c>
      <c r="J24" s="97">
        <v>3357.6564261428762</v>
      </c>
      <c r="K24" s="8">
        <v>0</v>
      </c>
      <c r="L24" s="97">
        <v>3399.515408045505</v>
      </c>
      <c r="M24" s="8">
        <v>0</v>
      </c>
      <c r="N24" s="97">
        <v>3442.1512555826284</v>
      </c>
      <c r="O24" s="8">
        <v>0</v>
      </c>
      <c r="P24" s="97">
        <v>3485.684580597193</v>
      </c>
      <c r="Q24" s="8">
        <v>0</v>
      </c>
      <c r="R24" s="97">
        <v>3530.2831617378056</v>
      </c>
      <c r="S24" s="8">
        <v>0</v>
      </c>
      <c r="T24" s="97">
        <v>3576.1956975802809</v>
      </c>
      <c r="U24" s="8">
        <v>0</v>
      </c>
      <c r="V24" s="97">
        <v>3623.8144081080854</v>
      </c>
      <c r="W24" s="8">
        <v>0</v>
      </c>
      <c r="X24" s="97">
        <v>3673.7933619288315</v>
      </c>
      <c r="Y24" s="8">
        <v>0</v>
      </c>
      <c r="Z24" s="97">
        <v>3727.2763357322488</v>
      </c>
      <c r="AA24" s="8">
        <v>0</v>
      </c>
      <c r="AB24" s="97">
        <v>3786.3398455513702</v>
      </c>
      <c r="AC24" s="8">
        <v>0</v>
      </c>
      <c r="AD24" s="97">
        <v>3854.8324800536247</v>
      </c>
      <c r="AE24" s="8">
        <v>0</v>
      </c>
      <c r="AF24" s="97">
        <v>3939.7472422301698</v>
      </c>
      <c r="AG24" s="8">
        <v>0</v>
      </c>
      <c r="AH24" s="97">
        <v>4052.2326549413515</v>
      </c>
      <c r="AI24" s="8">
        <v>0</v>
      </c>
      <c r="AJ24" s="97">
        <v>4203.3421608341623</v>
      </c>
      <c r="AK24" s="8">
        <v>0</v>
      </c>
      <c r="AL24" s="97">
        <v>4384.1828637346362</v>
      </c>
      <c r="AM24" s="8">
        <v>0</v>
      </c>
      <c r="AN24" s="97">
        <v>4460.8361222018339</v>
      </c>
      <c r="AO24" s="8">
        <v>0</v>
      </c>
      <c r="AP24" s="97">
        <v>4396.4818424756058</v>
      </c>
      <c r="AQ24" s="8">
        <v>0</v>
      </c>
      <c r="AR24" s="97">
        <v>4238.7347059327103</v>
      </c>
      <c r="AS24" s="8">
        <v>0</v>
      </c>
      <c r="AT24" s="97">
        <v>3875.0187730970129</v>
      </c>
      <c r="AU24" s="8">
        <v>0</v>
      </c>
      <c r="AV24" s="97">
        <v>2967.6495214513593</v>
      </c>
      <c r="AW24" s="8">
        <v>0</v>
      </c>
    </row>
    <row r="25" spans="1:49" x14ac:dyDescent="0.2">
      <c r="A25" t="s">
        <v>0</v>
      </c>
      <c r="B25" s="41">
        <v>3195.0476040000012</v>
      </c>
      <c r="C25" s="42">
        <v>91.012690000004397</v>
      </c>
      <c r="D25" s="41">
        <v>3205.066653149865</v>
      </c>
      <c r="E25" s="42">
        <v>81.113032571358204</v>
      </c>
      <c r="F25" s="41">
        <v>3215.0023614944994</v>
      </c>
      <c r="G25" s="42">
        <v>71.590419274512257</v>
      </c>
      <c r="H25" s="41">
        <v>3224.840356958226</v>
      </c>
      <c r="I25" s="42">
        <v>62.48126307176657</v>
      </c>
      <c r="J25" s="41">
        <v>3234.558529953973</v>
      </c>
      <c r="K25" s="42">
        <v>53.824389395352249</v>
      </c>
      <c r="L25" s="41">
        <v>3244.1215573238369</v>
      </c>
      <c r="M25" s="42">
        <v>45.66092747829218</v>
      </c>
      <c r="N25" s="41">
        <v>3253.4712195875773</v>
      </c>
      <c r="O25" s="42">
        <v>38.034249493841408</v>
      </c>
      <c r="P25" s="41">
        <v>3262.5106990036397</v>
      </c>
      <c r="Q25" s="42">
        <v>30.989535700269975</v>
      </c>
      <c r="R25" s="41">
        <v>3271.0769931466207</v>
      </c>
      <c r="S25" s="42">
        <v>24.573383760767808</v>
      </c>
      <c r="T25" s="41">
        <v>3278.8936058733339</v>
      </c>
      <c r="U25" s="42">
        <v>18.832922022954012</v>
      </c>
      <c r="V25" s="41">
        <v>3285.4867946324302</v>
      </c>
      <c r="W25" s="42">
        <v>13.814473877628382</v>
      </c>
      <c r="X25" s="41">
        <v>3290.0343563973993</v>
      </c>
      <c r="Y25" s="42">
        <v>9.5613358702159221</v>
      </c>
      <c r="Z25" s="41">
        <v>3291.0857161068534</v>
      </c>
      <c r="AA25" s="42">
        <v>6.10979534918481</v>
      </c>
      <c r="AB25" s="41">
        <v>3286.0336345656328</v>
      </c>
      <c r="AC25" s="42">
        <v>3.4816449349781529</v>
      </c>
      <c r="AD25" s="41">
        <v>3270.1210557701779</v>
      </c>
      <c r="AE25" s="42">
        <v>1.6694875077862668</v>
      </c>
      <c r="AF25" s="41">
        <v>3234.7172190250985</v>
      </c>
      <c r="AG25" s="42">
        <v>0.60926881630817953</v>
      </c>
      <c r="AH25" s="41">
        <v>3165.0951613571378</v>
      </c>
      <c r="AI25" s="42">
        <v>0.14239073481968095</v>
      </c>
      <c r="AJ25" s="41">
        <v>3039.072540156415</v>
      </c>
      <c r="AK25" s="42">
        <v>1.6126201876491317E-2</v>
      </c>
      <c r="AL25" s="41">
        <v>2818.8700830726493</v>
      </c>
      <c r="AM25" s="42">
        <v>5.5652841810231116E-4</v>
      </c>
      <c r="AN25" s="41">
        <v>2366.4149738584306</v>
      </c>
      <c r="AO25" s="42">
        <v>1.7963959101064395E-6</v>
      </c>
      <c r="AP25" s="41">
        <v>2201.9164084797703</v>
      </c>
      <c r="AQ25" s="42">
        <v>3.1818579952994407E-7</v>
      </c>
      <c r="AR25" s="41">
        <v>1979.1198882075164</v>
      </c>
      <c r="AS25" s="42">
        <v>3.8737197074456431E-8</v>
      </c>
      <c r="AT25" s="41">
        <v>1653.8883893156419</v>
      </c>
      <c r="AU25" s="42">
        <v>2.6320475757432382E-9</v>
      </c>
      <c r="AV25" s="41">
        <v>1118.1924806364175</v>
      </c>
      <c r="AW25" s="42">
        <v>6.1027896749127639E-11</v>
      </c>
    </row>
    <row r="26" spans="1:49" x14ac:dyDescent="0.2">
      <c r="A26" t="s">
        <v>27</v>
      </c>
      <c r="B26" s="33">
        <v>5036.2953101960647</v>
      </c>
      <c r="C26" s="34">
        <v>74.905331803938267</v>
      </c>
      <c r="D26" s="33">
        <v>5041.0297233295323</v>
      </c>
      <c r="E26" s="34">
        <v>70.170918670466776</v>
      </c>
      <c r="F26" s="33">
        <v>5045.7900724018973</v>
      </c>
      <c r="G26" s="34">
        <v>65.410569598106278</v>
      </c>
      <c r="H26" s="33">
        <v>5050.5795707896204</v>
      </c>
      <c r="I26" s="34">
        <v>60.621071210382937</v>
      </c>
      <c r="J26" s="33">
        <v>5055.401440911166</v>
      </c>
      <c r="K26" s="34">
        <v>55.799201088836952</v>
      </c>
      <c r="L26" s="33">
        <v>5060.2586229386316</v>
      </c>
      <c r="M26" s="34">
        <v>50.942019061372129</v>
      </c>
      <c r="N26" s="33">
        <v>5065.1531178810792</v>
      </c>
      <c r="O26" s="34">
        <v>46.047524118925246</v>
      </c>
      <c r="P26" s="33">
        <v>5070.085107064614</v>
      </c>
      <c r="Q26" s="34">
        <v>41.115534935389846</v>
      </c>
      <c r="R26" s="33">
        <v>5075.0512234246207</v>
      </c>
      <c r="S26" s="34">
        <v>36.14941857538097</v>
      </c>
      <c r="T26" s="33">
        <v>5080.0418639213776</v>
      </c>
      <c r="U26" s="34">
        <v>31.15877807862547</v>
      </c>
      <c r="V26" s="33">
        <v>5085.0366736899987</v>
      </c>
      <c r="W26" s="34">
        <v>26.163968310007512</v>
      </c>
      <c r="X26" s="33">
        <v>5089.99705255765</v>
      </c>
      <c r="Y26" s="34">
        <v>21.203589442351412</v>
      </c>
      <c r="Z26" s="33">
        <v>5094.8538308335983</v>
      </c>
      <c r="AA26" s="34">
        <v>16.34681116641206</v>
      </c>
      <c r="AB26" s="33">
        <v>5099.4875135649982</v>
      </c>
      <c r="AC26" s="34">
        <v>11.713128435004108</v>
      </c>
      <c r="AD26" s="33">
        <v>5103.7001357947729</v>
      </c>
      <c r="AE26" s="34">
        <v>7.5005062052365057</v>
      </c>
      <c r="AF26" s="33">
        <v>5107.1918934141486</v>
      </c>
      <c r="AG26" s="34">
        <v>4.0087485858584966</v>
      </c>
      <c r="AH26" s="33">
        <v>5109.611114803859</v>
      </c>
      <c r="AI26" s="34">
        <v>1.5895271961419097</v>
      </c>
      <c r="AJ26" s="33">
        <v>5110.8134249525583</v>
      </c>
      <c r="AK26" s="34">
        <v>0.38721704745067431</v>
      </c>
      <c r="AL26" s="33">
        <v>5111.1579390748702</v>
      </c>
      <c r="AM26" s="34">
        <v>4.2702925133798419E-2</v>
      </c>
      <c r="AN26" s="33">
        <v>5111.1996467483987</v>
      </c>
      <c r="AO26" s="34">
        <v>9.9525160353462392E-4</v>
      </c>
      <c r="AP26" s="33">
        <v>5111.2003207630714</v>
      </c>
      <c r="AQ26" s="34">
        <v>3.2123693317693045E-4</v>
      </c>
      <c r="AR26" s="33">
        <v>5111.2005605652685</v>
      </c>
      <c r="AS26" s="34">
        <v>8.1434734301304704E-5</v>
      </c>
      <c r="AT26" s="33">
        <v>5111.2006277804385</v>
      </c>
      <c r="AU26" s="34">
        <v>1.4219565544701114E-5</v>
      </c>
      <c r="AV26" s="33">
        <v>5111.200640736065</v>
      </c>
      <c r="AW26" s="34">
        <v>1.2639373623352426E-6</v>
      </c>
    </row>
    <row r="27" spans="1:49" x14ac:dyDescent="0.2">
      <c r="A27" t="s">
        <v>2</v>
      </c>
      <c r="B27" s="35">
        <v>6425.1981590000069</v>
      </c>
      <c r="C27" s="36">
        <v>273.22915400000028</v>
      </c>
      <c r="D27" s="35">
        <v>6442.2486806258948</v>
      </c>
      <c r="E27" s="36">
        <v>256.17863279460602</v>
      </c>
      <c r="F27" s="35">
        <v>6459.4224110453461</v>
      </c>
      <c r="G27" s="36">
        <v>239.00490237577975</v>
      </c>
      <c r="H27" s="35">
        <v>6476.7314659156345</v>
      </c>
      <c r="I27" s="36">
        <v>221.69584753897226</v>
      </c>
      <c r="J27" s="35">
        <v>6494.1880495394298</v>
      </c>
      <c r="K27" s="36">
        <v>204.23927418119285</v>
      </c>
      <c r="L27" s="35">
        <v>6511.803511740698</v>
      </c>
      <c r="M27" s="36">
        <v>186.62380141155782</v>
      </c>
      <c r="N27" s="35">
        <v>6529.5857151391047</v>
      </c>
      <c r="O27" s="36">
        <v>168.84159952206309</v>
      </c>
      <c r="P27" s="35">
        <v>6547.5361214658114</v>
      </c>
      <c r="Q27" s="36">
        <v>150.89119538063844</v>
      </c>
      <c r="R27" s="35">
        <v>6565.643137436904</v>
      </c>
      <c r="S27" s="36">
        <v>132.7841839749083</v>
      </c>
      <c r="T27" s="35">
        <v>6583.8723102385156</v>
      </c>
      <c r="U27" s="36">
        <v>114.55500927911574</v>
      </c>
      <c r="V27" s="35">
        <v>6602.1495829263313</v>
      </c>
      <c r="W27" s="36">
        <v>96.277734974245618</v>
      </c>
      <c r="X27" s="35">
        <v>6620.3333995219409</v>
      </c>
      <c r="Y27" s="36">
        <v>78.093913876706949</v>
      </c>
      <c r="Z27" s="35">
        <v>6638.1688645885733</v>
      </c>
      <c r="AA27" s="36">
        <v>60.258455116746902</v>
      </c>
      <c r="AB27" s="35">
        <v>6655.2140269194588</v>
      </c>
      <c r="AC27" s="36">
        <v>43.213288609522579</v>
      </c>
      <c r="AD27" s="35">
        <v>6670.7348579314994</v>
      </c>
      <c r="AE27" s="36">
        <v>27.692453156007083</v>
      </c>
      <c r="AF27" s="35">
        <v>6683.6174824886521</v>
      </c>
      <c r="AG27" s="36">
        <v>14.80983603504429</v>
      </c>
      <c r="AH27" s="35">
        <v>6692.5524663430188</v>
      </c>
      <c r="AI27" s="36">
        <v>5.8748472776063094</v>
      </c>
      <c r="AJ27" s="35">
        <v>6696.9958625053323</v>
      </c>
      <c r="AK27" s="36">
        <v>1.4314495785321473</v>
      </c>
      <c r="AL27" s="35">
        <v>6698.2694433183342</v>
      </c>
      <c r="AM27" s="36">
        <v>0.15787232259362016</v>
      </c>
      <c r="AN27" s="35">
        <v>6698.4236335446594</v>
      </c>
      <c r="AO27" s="36">
        <v>3.6794627589593876E-3</v>
      </c>
      <c r="AP27" s="35">
        <v>6698.4261253883469</v>
      </c>
      <c r="AQ27" s="36">
        <v>1.1876187270258144E-3</v>
      </c>
      <c r="AR27" s="35">
        <v>6698.4270119300018</v>
      </c>
      <c r="AS27" s="36">
        <v>3.0106566867460542E-4</v>
      </c>
      <c r="AT27" s="35">
        <v>6698.4272604276875</v>
      </c>
      <c r="AU27" s="36">
        <v>5.2569991615821896E-5</v>
      </c>
      <c r="AV27" s="35">
        <v>6698.4273087193833</v>
      </c>
      <c r="AW27" s="36">
        <v>4.6727991466621693E-6</v>
      </c>
    </row>
    <row r="28" spans="1:49" x14ac:dyDescent="0.2">
      <c r="A28" t="s">
        <v>35</v>
      </c>
      <c r="B28" s="41">
        <v>13763.097676000007</v>
      </c>
      <c r="C28" s="42">
        <v>382.36647900000003</v>
      </c>
      <c r="D28" s="41">
        <v>13787.02951968679</v>
      </c>
      <c r="E28" s="42">
        <v>358.41772330012219</v>
      </c>
      <c r="F28" s="41">
        <v>13811.088472764464</v>
      </c>
      <c r="G28" s="42">
        <v>334.30765750275538</v>
      </c>
      <c r="H28" s="41">
        <v>13835.290630363766</v>
      </c>
      <c r="I28" s="42">
        <v>310.01955263509149</v>
      </c>
      <c r="J28" s="41">
        <v>13859.652091388018</v>
      </c>
      <c r="K28" s="42">
        <v>285.53658955671148</v>
      </c>
      <c r="L28" s="41">
        <v>13884.187597811004</v>
      </c>
      <c r="M28" s="42">
        <v>260.84317711513614</v>
      </c>
      <c r="N28" s="41">
        <v>13908.906984591598</v>
      </c>
      <c r="O28" s="42">
        <v>235.92864559985782</v>
      </c>
      <c r="P28" s="41">
        <v>13933.811056182765</v>
      </c>
      <c r="Q28" s="42">
        <v>210.79133886192176</v>
      </c>
      <c r="R28" s="41">
        <v>13958.882586129368</v>
      </c>
      <c r="S28" s="42">
        <v>185.44784213558631</v>
      </c>
      <c r="T28" s="41">
        <v>13984.072906815954</v>
      </c>
      <c r="U28" s="42">
        <v>159.94667943640599</v>
      </c>
      <c r="V28" s="41">
        <v>14009.279157641531</v>
      </c>
      <c r="W28" s="42">
        <v>134.39166107759698</v>
      </c>
      <c r="X28" s="41">
        <v>14034.30649588736</v>
      </c>
      <c r="Y28" s="42">
        <v>108.98066389776537</v>
      </c>
      <c r="Z28" s="41">
        <v>14058.806077510097</v>
      </c>
      <c r="AA28" s="42">
        <v>84.069440050095153</v>
      </c>
      <c r="AB28" s="41">
        <v>14082.175530238794</v>
      </c>
      <c r="AC28" s="42">
        <v>60.27403623681311</v>
      </c>
      <c r="AD28" s="41">
        <v>14103.417342370261</v>
      </c>
      <c r="AE28" s="42">
        <v>38.616839239313101</v>
      </c>
      <c r="AF28" s="41">
        <v>14121.021273294335</v>
      </c>
      <c r="AG28" s="42">
        <v>20.648303503235983</v>
      </c>
      <c r="AH28" s="41">
        <v>14133.216337633334</v>
      </c>
      <c r="AI28" s="42">
        <v>8.1898214636490057</v>
      </c>
      <c r="AJ28" s="41">
        <v>14139.276577552189</v>
      </c>
      <c r="AK28" s="42">
        <v>1.9953814240434695</v>
      </c>
      <c r="AL28" s="41">
        <v>14141.01304294755</v>
      </c>
      <c r="AM28" s="42">
        <v>0.22006339095215602</v>
      </c>
      <c r="AN28" s="41">
        <v>14141.223258756054</v>
      </c>
      <c r="AO28" s="42">
        <v>5.1289121993055688E-3</v>
      </c>
      <c r="AP28" s="41">
        <v>14141.226655974211</v>
      </c>
      <c r="AQ28" s="42">
        <v>1.6554568983025888E-3</v>
      </c>
      <c r="AR28" s="41">
        <v>14141.227864632037</v>
      </c>
      <c r="AS28" s="42">
        <v>4.196643518498323E-4</v>
      </c>
      <c r="AT28" s="41">
        <v>14141.228203416766</v>
      </c>
      <c r="AU28" s="42">
        <v>7.3278866715132592E-5</v>
      </c>
      <c r="AV28" s="41">
        <v>14141.22826909252</v>
      </c>
      <c r="AW28" s="42">
        <v>6.5135530684492224E-6</v>
      </c>
    </row>
    <row r="29" spans="1:49" x14ac:dyDescent="0.2">
      <c r="A29" t="s">
        <v>53</v>
      </c>
      <c r="B29" s="35">
        <v>14362.768558000003</v>
      </c>
      <c r="C29" s="36">
        <v>817.26651000000004</v>
      </c>
      <c r="D29" s="35">
        <v>14366.547642918607</v>
      </c>
      <c r="E29" s="36">
        <v>758.80160643874956</v>
      </c>
      <c r="F29" s="35">
        <v>14368.488130331016</v>
      </c>
      <c r="G29" s="36">
        <v>700.5011508238523</v>
      </c>
      <c r="H29" s="35">
        <v>14368.317309253262</v>
      </c>
      <c r="I29" s="36">
        <v>642.39542605563099</v>
      </c>
      <c r="J29" s="35">
        <v>14365.699569046179</v>
      </c>
      <c r="K29" s="36">
        <v>584.5252996245631</v>
      </c>
      <c r="L29" s="35">
        <v>14360.215445949627</v>
      </c>
      <c r="M29" s="36">
        <v>526.94681742090881</v>
      </c>
      <c r="N29" s="35">
        <v>14351.32946147762</v>
      </c>
      <c r="O29" s="36">
        <v>469.74068847699903</v>
      </c>
      <c r="P29" s="35">
        <v>14338.344317525041</v>
      </c>
      <c r="Q29" s="36">
        <v>413.02259519754176</v>
      </c>
      <c r="R29" s="35">
        <v>14320.327438912014</v>
      </c>
      <c r="S29" s="36">
        <v>356.96326790790761</v>
      </c>
      <c r="T29" s="35">
        <v>14295.995565785142</v>
      </c>
      <c r="U29" s="36">
        <v>301.81611994614661</v>
      </c>
      <c r="V29" s="35">
        <v>14263.52295322588</v>
      </c>
      <c r="W29" s="36">
        <v>247.96082432410699</v>
      </c>
      <c r="X29" s="35">
        <v>14220.210587694397</v>
      </c>
      <c r="Y29" s="36">
        <v>195.97032347126574</v>
      </c>
      <c r="Z29" s="35">
        <v>14161.889437889318</v>
      </c>
      <c r="AA29" s="36">
        <v>146.71195732867363</v>
      </c>
      <c r="AB29" s="35">
        <v>14081.79053198663</v>
      </c>
      <c r="AC29" s="36">
        <v>101.49235885286103</v>
      </c>
      <c r="AD29" s="35">
        <v>13968.308834285006</v>
      </c>
      <c r="AE29" s="36">
        <v>62.223754292548151</v>
      </c>
      <c r="AF29" s="35">
        <v>13800.458778556529</v>
      </c>
      <c r="AG29" s="36">
        <v>31.440548413195771</v>
      </c>
      <c r="AH29" s="35">
        <v>13538.652486506102</v>
      </c>
      <c r="AI29" s="36">
        <v>11.552262678506144</v>
      </c>
      <c r="AJ29" s="35">
        <v>13104.57051316519</v>
      </c>
      <c r="AK29" s="36">
        <v>2.5241345945179834</v>
      </c>
      <c r="AL29" s="35">
        <v>12313.995273707849</v>
      </c>
      <c r="AM29" s="36">
        <v>0.23585087447702702</v>
      </c>
      <c r="AN29" s="35">
        <v>10500.45376838142</v>
      </c>
      <c r="AO29" s="36">
        <v>4.0776004742686884E-3</v>
      </c>
      <c r="AP29" s="35">
        <v>9804.4250877490958</v>
      </c>
      <c r="AQ29" s="36">
        <v>1.192541268721925E-3</v>
      </c>
      <c r="AR29" s="35">
        <v>8845.9066723272808</v>
      </c>
      <c r="AS29" s="36">
        <v>2.6584482289914552E-4</v>
      </c>
      <c r="AT29" s="35">
        <v>7425.9262141279069</v>
      </c>
      <c r="AU29" s="36">
        <v>3.862619610463611E-5</v>
      </c>
      <c r="AV29" s="35">
        <v>5053.5818401561282</v>
      </c>
      <c r="AW29" s="36">
        <v>2.4901428012672446E-6</v>
      </c>
    </row>
    <row r="30" spans="1:49" x14ac:dyDescent="0.2">
      <c r="A30" t="s">
        <v>48</v>
      </c>
      <c r="B30" s="119">
        <v>2924829.9599999995</v>
      </c>
      <c r="D30" s="119">
        <v>2984045.6114507853</v>
      </c>
      <c r="F30" s="119">
        <v>3044079.9014980393</v>
      </c>
      <c r="H30" s="119">
        <v>3105034.9586476404</v>
      </c>
      <c r="J30" s="119">
        <v>3167032.0429025134</v>
      </c>
      <c r="L30" s="119">
        <v>3230220.1546533629</v>
      </c>
      <c r="N30" s="119">
        <v>3294790.9159237221</v>
      </c>
      <c r="P30" s="119">
        <v>3361003.967421155</v>
      </c>
      <c r="R30" s="119">
        <v>3429231.0186327975</v>
      </c>
      <c r="T30" s="119">
        <v>3500035.5417750417</v>
      </c>
      <c r="V30" s="119">
        <v>3574318.2831385843</v>
      </c>
      <c r="X30" s="119">
        <v>3653588.3545414465</v>
      </c>
      <c r="Z30" s="119">
        <v>3740483.7261935454</v>
      </c>
      <c r="AB30" s="119">
        <v>3839784.7646379694</v>
      </c>
      <c r="AD30" s="119">
        <v>3960376.5765294661</v>
      </c>
      <c r="AF30" s="119">
        <v>4118690.236687893</v>
      </c>
      <c r="AH30" s="119">
        <v>4342594.0097098388</v>
      </c>
      <c r="AJ30" s="119">
        <v>4668120.9636473712</v>
      </c>
      <c r="AL30" s="119">
        <v>5117463.5883251335</v>
      </c>
      <c r="AN30" s="119">
        <v>5595752.9480651934</v>
      </c>
      <c r="AP30" s="119">
        <v>5623603.488753722</v>
      </c>
      <c r="AR30" s="119">
        <v>5546165.9319098797</v>
      </c>
      <c r="AT30" s="119">
        <v>5211585.7070051599</v>
      </c>
      <c r="AV30" s="119">
        <v>4136913.0993874292</v>
      </c>
    </row>
    <row r="31" spans="1:49" x14ac:dyDescent="0.2">
      <c r="A31" t="s">
        <v>47</v>
      </c>
      <c r="B31" s="80">
        <v>1</v>
      </c>
      <c r="D31" s="80">
        <v>0.99298848352742275</v>
      </c>
      <c r="F31" s="80">
        <v>0.98547935248719576</v>
      </c>
      <c r="H31" s="80">
        <v>0.97740741133034548</v>
      </c>
      <c r="J31" s="80">
        <v>0.96869459040557127</v>
      </c>
      <c r="L31" s="80">
        <v>0.95924619914338727</v>
      </c>
      <c r="N31" s="80">
        <v>0.94894533480880183</v>
      </c>
      <c r="P31" s="80">
        <v>0.93764505984409352</v>
      </c>
      <c r="R31" s="80">
        <v>0.92515598926468623</v>
      </c>
      <c r="T31" s="80">
        <v>0.91122716367384882</v>
      </c>
      <c r="V31" s="80">
        <v>0.89551465692636567</v>
      </c>
      <c r="X31" s="80">
        <v>0.8775281579507459</v>
      </c>
      <c r="Z31" s="80">
        <v>0.85653651353761007</v>
      </c>
      <c r="AB31" s="80">
        <v>0.83139378576688783</v>
      </c>
      <c r="AD31" s="80">
        <v>0.80021121564499664</v>
      </c>
      <c r="AF31" s="80">
        <v>0.75974860336886774</v>
      </c>
      <c r="AH31" s="80">
        <v>0.70440631551071664</v>
      </c>
      <c r="AJ31" s="80">
        <v>0.62481958571426155</v>
      </c>
      <c r="AL31" s="80">
        <v>0.50466257910145773</v>
      </c>
      <c r="AN31" s="80">
        <v>0.30751002201738581</v>
      </c>
      <c r="AP31" s="80">
        <v>0.25229108978813874</v>
      </c>
      <c r="AR31" s="80">
        <v>0.18980815893633937</v>
      </c>
      <c r="AT31" s="80">
        <v>0.12004292566676686</v>
      </c>
      <c r="AV31" s="80">
        <v>4.7235024379815992E-2</v>
      </c>
    </row>
    <row r="32" spans="1:49" x14ac:dyDescent="0.2">
      <c r="A32" t="s">
        <v>64</v>
      </c>
      <c r="B32" s="86">
        <v>14734457.915000005</v>
      </c>
      <c r="D32" s="86">
        <v>14736226.211630095</v>
      </c>
      <c r="F32" s="86">
        <v>14735453.176763318</v>
      </c>
      <c r="H32" s="86">
        <v>14731746.088678341</v>
      </c>
      <c r="J32" s="86">
        <v>14724633.456432709</v>
      </c>
      <c r="L32" s="86">
        <v>14713548.965265999</v>
      </c>
      <c r="N32" s="86">
        <v>14697810.032318687</v>
      </c>
      <c r="P32" s="86">
        <v>14676596.356438044</v>
      </c>
      <c r="R32" s="86">
        <v>14648921.695799872</v>
      </c>
      <c r="T32" s="86">
        <v>14613605.912120758</v>
      </c>
      <c r="V32" s="86">
        <v>14569246.759651592</v>
      </c>
      <c r="X32" s="86">
        <v>14514196.362994874</v>
      </c>
      <c r="Z32" s="86">
        <v>14446546.450358933</v>
      </c>
      <c r="AB32" s="86">
        <v>14364096.607215336</v>
      </c>
      <c r="AD32" s="86">
        <v>14264103.325066743</v>
      </c>
      <c r="AF32" s="86">
        <v>14141659.06521485</v>
      </c>
      <c r="AH32" s="86">
        <v>13981343.482906938</v>
      </c>
      <c r="AJ32" s="86">
        <v>13723706.290074784</v>
      </c>
      <c r="AL32" s="86">
        <v>13159933.250509137</v>
      </c>
      <c r="AN32" s="86">
        <v>11486753.701679725</v>
      </c>
      <c r="AP32" s="86">
        <v>10767907.509521052</v>
      </c>
      <c r="AR32" s="86">
        <v>9741299.088877039</v>
      </c>
      <c r="AT32" s="86">
        <v>8174340.6605056869</v>
      </c>
      <c r="AV32" s="86">
        <v>5513289.334885966</v>
      </c>
    </row>
    <row r="33" spans="1:49 16319:16321" x14ac:dyDescent="0.2">
      <c r="A33" t="s">
        <v>54</v>
      </c>
      <c r="B33" s="117">
        <v>7019665.6909999885</v>
      </c>
      <c r="D33" s="117">
        <v>6985654.2532966156</v>
      </c>
      <c r="F33" s="117">
        <v>6949644.9375101589</v>
      </c>
      <c r="H33" s="117">
        <v>6911343.5775732193</v>
      </c>
      <c r="J33" s="117">
        <v>6870397.7858760012</v>
      </c>
      <c r="L33" s="117">
        <v>6826382.1159724118</v>
      </c>
      <c r="N33" s="117">
        <v>6778776.761250481</v>
      </c>
      <c r="P33" s="117">
        <v>6726939.6717774617</v>
      </c>
      <c r="R33" s="117">
        <v>6670063.065072557</v>
      </c>
      <c r="T33" s="117">
        <v>6607109.6039301148</v>
      </c>
      <c r="V33" s="117">
        <v>6536709.3014548775</v>
      </c>
      <c r="X33" s="117">
        <v>6456983.6743709566</v>
      </c>
      <c r="Z33" s="117">
        <v>6365227.664797375</v>
      </c>
      <c r="AB33" s="117">
        <v>6257286.9527697936</v>
      </c>
      <c r="AD33" s="117">
        <v>6126242.0955014667</v>
      </c>
      <c r="AF33" s="117">
        <v>5959397.9032734241</v>
      </c>
      <c r="AH33" s="117">
        <v>5731007.5013814103</v>
      </c>
      <c r="AJ33" s="117">
        <v>5384296.1434613038</v>
      </c>
      <c r="AL33" s="117">
        <v>4781921.6179365655</v>
      </c>
      <c r="AN33" s="117">
        <v>3502693.7974311458</v>
      </c>
      <c r="AP33" s="117">
        <v>3058720.0017120717</v>
      </c>
      <c r="AR33" s="117">
        <v>2494358.3539541103</v>
      </c>
      <c r="AT33" s="117">
        <v>1761606.1980996644</v>
      </c>
      <c r="AV33" s="117">
        <v>818371.05850483943</v>
      </c>
    </row>
    <row r="34" spans="1:49 16319:16321" x14ac:dyDescent="0.2">
      <c r="A34" t="s">
        <v>75</v>
      </c>
      <c r="B34" s="117">
        <v>1136879.4410000162</v>
      </c>
      <c r="D34" s="117">
        <v>1137015.8737956744</v>
      </c>
      <c r="F34" s="117">
        <v>1136956.227257798</v>
      </c>
      <c r="H34" s="117">
        <v>1136670.1939611468</v>
      </c>
      <c r="J34" s="117">
        <v>1136121.3684116651</v>
      </c>
      <c r="L34" s="117">
        <v>1135266.1384222237</v>
      </c>
      <c r="N34" s="117">
        <v>1134051.7670701682</v>
      </c>
      <c r="P34" s="117">
        <v>1132414.9386433614</v>
      </c>
      <c r="R34" s="117">
        <v>1130279.5817266509</v>
      </c>
      <c r="T34" s="117">
        <v>1127554.7010354036</v>
      </c>
      <c r="V34" s="117">
        <v>1124132.0534689841</v>
      </c>
      <c r="X34" s="117">
        <v>1119884.5274434558</v>
      </c>
      <c r="Z34" s="117">
        <v>1114664.7973573399</v>
      </c>
      <c r="AB34" s="117">
        <v>1108303.1512872274</v>
      </c>
      <c r="AD34" s="117">
        <v>1100587.8794305066</v>
      </c>
      <c r="AF34" s="117">
        <v>1091140.344303356</v>
      </c>
      <c r="AH34" s="117">
        <v>1078770.7329576616</v>
      </c>
      <c r="AJ34" s="117">
        <v>1058891.994847982</v>
      </c>
      <c r="AL34" s="117">
        <v>1015392.4658651602</v>
      </c>
      <c r="AN34" s="117">
        <v>886293.48990000517</v>
      </c>
      <c r="AP34" s="117">
        <v>830828.84628558799</v>
      </c>
      <c r="AR34" s="117">
        <v>751617.92355469579</v>
      </c>
      <c r="AT34" s="117">
        <v>630714.74324127613</v>
      </c>
      <c r="AV34" s="117">
        <v>425393.68148242967</v>
      </c>
    </row>
    <row r="35" spans="1:49 16319:16321" x14ac:dyDescent="0.2">
      <c r="A35" t="s">
        <v>78</v>
      </c>
      <c r="B35" s="233">
        <v>1</v>
      </c>
      <c r="D35" s="233">
        <v>1.0021827728810513</v>
      </c>
      <c r="F35" s="233">
        <v>1.0046225425968531</v>
      </c>
      <c r="H35" s="233">
        <v>1.0073634894868551</v>
      </c>
      <c r="J35" s="233">
        <v>1.0104615720608014</v>
      </c>
      <c r="L35" s="233">
        <v>1.0139890018490401</v>
      </c>
      <c r="N35" s="233">
        <v>1.0180410648849321</v>
      </c>
      <c r="P35" s="233">
        <v>1.0227465592096636</v>
      </c>
      <c r="R35" s="233">
        <v>1.0282846038167603</v>
      </c>
      <c r="T35" s="233">
        <v>1.034912424440138</v>
      </c>
      <c r="V35" s="233">
        <v>1.0430133470946077</v>
      </c>
      <c r="X35" s="233">
        <v>1.0531835335224582</v>
      </c>
      <c r="Z35" s="233">
        <v>1.0663972872158647</v>
      </c>
      <c r="AB35" s="233">
        <v>1.0843407864441084</v>
      </c>
      <c r="AD35" s="233">
        <v>1.1101268762809051</v>
      </c>
      <c r="AF35" s="233">
        <v>1.1499012599973435</v>
      </c>
      <c r="AH35" s="233">
        <v>1.2165431498214123</v>
      </c>
      <c r="AJ35" s="233">
        <v>1.3387361944198957</v>
      </c>
      <c r="AL35" s="233">
        <v>1.5916428756927963</v>
      </c>
      <c r="AN35" s="233">
        <v>2.2728968282209494</v>
      </c>
      <c r="AP35" s="233">
        <v>2.560483680106747</v>
      </c>
      <c r="AR35" s="233">
        <v>2.9741285836715292</v>
      </c>
      <c r="AT35" s="233">
        <v>3.6180990467016785</v>
      </c>
      <c r="AV35" s="233">
        <v>4.7620752363669077</v>
      </c>
    </row>
    <row r="36" spans="1:49 16319:16321" x14ac:dyDescent="0.2">
      <c r="A36" t="s">
        <v>21</v>
      </c>
      <c r="B36" s="37">
        <v>0.4719576767198812</v>
      </c>
      <c r="C36" s="38">
        <v>0.31738834428178975</v>
      </c>
      <c r="D36" s="37">
        <v>0.47196934126805035</v>
      </c>
      <c r="E36" s="38">
        <v>0.31866413225469986</v>
      </c>
      <c r="F36" s="37">
        <v>0.47198155350198301</v>
      </c>
      <c r="G36" s="38">
        <v>0.32006328633043246</v>
      </c>
      <c r="H36" s="37">
        <v>0.47199439288898964</v>
      </c>
      <c r="I36" s="38">
        <v>0.32160376021653053</v>
      </c>
      <c r="J36" s="37">
        <v>0.47200795236857751</v>
      </c>
      <c r="K36" s="38">
        <v>0.32330725827179591</v>
      </c>
      <c r="L36" s="37">
        <v>0.47202233842418112</v>
      </c>
      <c r="M36" s="38">
        <v>0.32520034851224439</v>
      </c>
      <c r="N36" s="37">
        <v>0.47203767027195531</v>
      </c>
      <c r="O36" s="38">
        <v>0.32731607409513436</v>
      </c>
      <c r="P36" s="37">
        <v>0.47205407402618438</v>
      </c>
      <c r="Q36" s="38">
        <v>0.32969627506441485</v>
      </c>
      <c r="R36" s="37">
        <v>0.47207166991979244</v>
      </c>
      <c r="S36" s="38">
        <v>0.33239514764990458</v>
      </c>
      <c r="T36" s="37">
        <v>0.47209054458471267</v>
      </c>
      <c r="U36" s="38">
        <v>0.33548481765470578</v>
      </c>
      <c r="V36" s="37">
        <v>0.47211069485099849</v>
      </c>
      <c r="W36" s="38">
        <v>0.33906447120026778</v>
      </c>
      <c r="X36" s="37">
        <v>0.47213191444217917</v>
      </c>
      <c r="Y36" s="38">
        <v>0.34327594840985703</v>
      </c>
      <c r="Z36" s="37">
        <v>0.47215357070456881</v>
      </c>
      <c r="AA36" s="38">
        <v>0.34833164770408848</v>
      </c>
      <c r="AB36" s="37">
        <v>0.47217416763564118</v>
      </c>
      <c r="AC36" s="38">
        <v>0.35456678805267672</v>
      </c>
      <c r="AD36" s="37">
        <v>0.47219054407227262</v>
      </c>
      <c r="AE36" s="38">
        <v>0.3625410882505119</v>
      </c>
      <c r="AF36" s="37">
        <v>0.47219669130799702</v>
      </c>
      <c r="AG36" s="38">
        <v>0.37323827909289675</v>
      </c>
      <c r="AH36" s="37">
        <v>0.47218342641371858</v>
      </c>
      <c r="AI36" s="38">
        <v>0.38843794309735891</v>
      </c>
      <c r="AJ36" s="37">
        <v>0.47214338971367964</v>
      </c>
      <c r="AK36" s="38">
        <v>0.41138152898231389</v>
      </c>
      <c r="AL36" s="37">
        <v>0.47208160320433079</v>
      </c>
      <c r="AM36" s="38">
        <v>0.44860162806723242</v>
      </c>
      <c r="AN36" s="37">
        <v>0.47201185056810913</v>
      </c>
      <c r="AO36" s="38">
        <v>0.51914020243233139</v>
      </c>
      <c r="AP36" s="37">
        <v>0.47199708052592493</v>
      </c>
      <c r="AQ36" s="38">
        <v>0.54231772876597739</v>
      </c>
      <c r="AR36" s="37">
        <v>0.47198116634675308</v>
      </c>
      <c r="AS36" s="38">
        <v>0.57166015226246669</v>
      </c>
      <c r="AT36" s="37">
        <v>0.47196249317753836</v>
      </c>
      <c r="AU36" s="38">
        <v>0.61078129300882422</v>
      </c>
      <c r="AV36" s="37">
        <v>0.47193636672195777</v>
      </c>
      <c r="AW36" s="38">
        <v>0.66761889868077073</v>
      </c>
    </row>
    <row r="37" spans="1:49 16319:16321" x14ac:dyDescent="0.2">
      <c r="B37" s="39">
        <v>2.1403217525954435E-2</v>
      </c>
      <c r="C37" s="40">
        <v>0.34962461301992531</v>
      </c>
      <c r="D37" s="39">
        <v>2.0702751312811272E-2</v>
      </c>
      <c r="E37" s="40">
        <v>0.34611054490607895</v>
      </c>
      <c r="F37" s="39">
        <v>1.9990060768599698E-2</v>
      </c>
      <c r="G37" s="40">
        <v>0.3425285549752094</v>
      </c>
      <c r="H37" s="39">
        <v>1.9264485840660591E-2</v>
      </c>
      <c r="I37" s="40">
        <v>0.33887633939652123</v>
      </c>
      <c r="J37" s="39">
        <v>1.8525245463574484E-2</v>
      </c>
      <c r="K37" s="40">
        <v>0.33515133667932256</v>
      </c>
      <c r="L37" s="39">
        <v>1.7771389306633616E-2</v>
      </c>
      <c r="M37" s="40">
        <v>0.33135058207636287</v>
      </c>
      <c r="N37" s="39">
        <v>1.7001714803701738E-2</v>
      </c>
      <c r="O37" s="40">
        <v>0.3274704235578027</v>
      </c>
      <c r="P37" s="39">
        <v>1.6214657729643943E-2</v>
      </c>
      <c r="Q37" s="40">
        <v>0.323506150622278</v>
      </c>
      <c r="R37" s="39">
        <v>1.5408111318088134E-2</v>
      </c>
      <c r="S37" s="40">
        <v>0.3194513471138648</v>
      </c>
      <c r="T37" s="39">
        <v>1.457915718791448E-2</v>
      </c>
      <c r="U37" s="40">
        <v>0.31529692896954536</v>
      </c>
      <c r="V37" s="39">
        <v>1.3723647130811849E-2</v>
      </c>
      <c r="W37" s="40">
        <v>0.31102966180588443</v>
      </c>
      <c r="X37" s="39">
        <v>1.2835557939987545E-2</v>
      </c>
      <c r="Y37" s="40">
        <v>0.3066299559855783</v>
      </c>
      <c r="Z37" s="39">
        <v>1.1906000183955391E-2</v>
      </c>
      <c r="AA37" s="40">
        <v>0.30206872159291892</v>
      </c>
      <c r="AB37" s="39">
        <v>1.0921767570528597E-2</v>
      </c>
      <c r="AC37" s="40">
        <v>0.29730349519215082</v>
      </c>
      <c r="AD37" s="39">
        <v>9.8635500638834354E-3</v>
      </c>
      <c r="AE37" s="40">
        <v>0.29227601924350688</v>
      </c>
      <c r="AF37" s="39">
        <v>8.7052163021753316E-3</v>
      </c>
      <c r="AG37" s="40">
        <v>0.28692097606709505</v>
      </c>
      <c r="AH37" s="39">
        <v>7.4194708344545359E-3</v>
      </c>
      <c r="AI37" s="40">
        <v>0.28121427319090608</v>
      </c>
      <c r="AJ37" s="39">
        <v>5.9970141349572886E-3</v>
      </c>
      <c r="AK37" s="40">
        <v>0.2752893796855756</v>
      </c>
      <c r="AL37" s="39">
        <v>4.458174684687068E-3</v>
      </c>
      <c r="AM37" s="40">
        <v>0.26951263850098323</v>
      </c>
      <c r="AN37" s="39">
        <v>2.8083454152638626E-3</v>
      </c>
      <c r="AO37" s="40">
        <v>0.26437162498491623</v>
      </c>
      <c r="AP37" s="39">
        <v>2.4591108535411141E-3</v>
      </c>
      <c r="AQ37" s="40">
        <v>0.26347160378443002</v>
      </c>
      <c r="AR37" s="39">
        <v>2.0995581638430338E-3</v>
      </c>
      <c r="AS37" s="40">
        <v>0.26263161595209289</v>
      </c>
      <c r="AT37" s="39">
        <v>1.7257607018240084E-3</v>
      </c>
      <c r="AU37" s="40">
        <v>0.26186524021619068</v>
      </c>
      <c r="AV37" s="39">
        <v>1.3301411816733543E-3</v>
      </c>
      <c r="AW37" s="40">
        <v>0.26119672242416819</v>
      </c>
    </row>
    <row r="38" spans="1:49 16319:16321" x14ac:dyDescent="0.2">
      <c r="A38" t="s">
        <v>22</v>
      </c>
      <c r="B38" s="37">
        <v>0.18079094942242827</v>
      </c>
      <c r="C38" s="38">
        <v>6.0565413429233668E-2</v>
      </c>
      <c r="D38" s="37">
        <v>0.18090914442850506</v>
      </c>
      <c r="E38" s="38">
        <v>6.0991074956039455E-2</v>
      </c>
      <c r="F38" s="37">
        <v>0.18105116963765217</v>
      </c>
      <c r="G38" s="38">
        <v>6.1459249354369264E-2</v>
      </c>
      <c r="H38" s="37">
        <v>0.18122059581854616</v>
      </c>
      <c r="I38" s="38">
        <v>6.1976225856343728E-2</v>
      </c>
      <c r="J38" s="37">
        <v>0.18142181873413002</v>
      </c>
      <c r="K38" s="38">
        <v>6.2549639344380903E-2</v>
      </c>
      <c r="L38" s="37">
        <v>0.18166033155133182</v>
      </c>
      <c r="M38" s="38">
        <v>6.3188921545429891E-2</v>
      </c>
      <c r="N38" s="37">
        <v>0.18194313671892307</v>
      </c>
      <c r="O38" s="38">
        <v>6.3905830885847087E-2</v>
      </c>
      <c r="P38" s="37">
        <v>0.18227934233537438</v>
      </c>
      <c r="Q38" s="38">
        <v>6.4715433883415066E-2</v>
      </c>
      <c r="R38" s="37">
        <v>0.18268111277221574</v>
      </c>
      <c r="S38" s="38">
        <v>6.5637384997542292E-2</v>
      </c>
      <c r="T38" s="37">
        <v>0.18316518161944073</v>
      </c>
      <c r="U38" s="38">
        <v>6.6698119437630501E-2</v>
      </c>
      <c r="V38" s="37">
        <v>0.18375539525676518</v>
      </c>
      <c r="W38" s="38">
        <v>6.7934415283365107E-2</v>
      </c>
      <c r="X38" s="37">
        <v>0.18448717840973583</v>
      </c>
      <c r="Y38" s="38">
        <v>6.9399555627716519E-2</v>
      </c>
      <c r="Z38" s="37">
        <v>0.18541579023185414</v>
      </c>
      <c r="AA38" s="38">
        <v>7.1174561765207228E-2</v>
      </c>
      <c r="AB38" s="37">
        <v>0.18663248978956573</v>
      </c>
      <c r="AC38" s="38">
        <v>7.3389704398471894E-2</v>
      </c>
      <c r="AD38" s="37">
        <v>0.18829809874944758</v>
      </c>
      <c r="AE38" s="38">
        <v>7.626783772832034E-2</v>
      </c>
      <c r="AF38" s="37">
        <v>0.19071638983240485</v>
      </c>
      <c r="AG38" s="38">
        <v>8.0214516974786279E-2</v>
      </c>
      <c r="AH38" s="37">
        <v>0.19450156406827818</v>
      </c>
      <c r="AI38" s="38">
        <v>8.6006217257635423E-2</v>
      </c>
      <c r="AJ38" s="37">
        <v>0.20100743332871843</v>
      </c>
      <c r="AK38" s="38">
        <v>9.5205224705053493E-2</v>
      </c>
      <c r="AL38" s="37">
        <v>0.2139528101104618</v>
      </c>
      <c r="AM38" s="38">
        <v>0.11153128353900896</v>
      </c>
      <c r="AN38" s="37">
        <v>0.25094127028643054</v>
      </c>
      <c r="AO38" s="38">
        <v>0.14928401842960343</v>
      </c>
      <c r="AP38" s="37">
        <v>0.26876376565342924</v>
      </c>
      <c r="AQ38" s="38">
        <v>0.1645386119297913</v>
      </c>
      <c r="AR38" s="37">
        <v>0.29789562928561153</v>
      </c>
      <c r="AS38" s="38">
        <v>0.18687570832876693</v>
      </c>
      <c r="AT38" s="37">
        <v>0.35487208441770268</v>
      </c>
      <c r="AU38" s="38">
        <v>0.22431649212996596</v>
      </c>
      <c r="AV38" s="37">
        <v>0.52148944645855222</v>
      </c>
      <c r="AW38" s="38">
        <v>0.30894370331942478</v>
      </c>
    </row>
    <row r="39" spans="1:49 16319:16321" x14ac:dyDescent="0.2">
      <c r="A39" t="s">
        <v>23</v>
      </c>
      <c r="B39" s="39">
        <v>0.23064923795098646</v>
      </c>
      <c r="C39" s="40">
        <v>0.22092201281804777</v>
      </c>
      <c r="D39" s="39">
        <v>0.23119516467320578</v>
      </c>
      <c r="E39" s="40">
        <v>0.22266503689779307</v>
      </c>
      <c r="F39" s="39">
        <v>0.23177460138501646</v>
      </c>
      <c r="G39" s="40">
        <v>0.22456709951131504</v>
      </c>
      <c r="H39" s="39">
        <v>0.232392563815494</v>
      </c>
      <c r="I39" s="40">
        <v>0.22665175068921545</v>
      </c>
      <c r="J39" s="39">
        <v>0.23305516306070917</v>
      </c>
      <c r="K39" s="40">
        <v>0.22894759585630506</v>
      </c>
      <c r="L39" s="39">
        <v>0.23376994598212422</v>
      </c>
      <c r="M39" s="40">
        <v>0.23148977922719935</v>
      </c>
      <c r="N39" s="39">
        <v>0.23454637576375312</v>
      </c>
      <c r="O39" s="40">
        <v>0.23432232051577939</v>
      </c>
      <c r="P39" s="39">
        <v>0.23539655704692417</v>
      </c>
      <c r="Q39" s="40">
        <v>0.23750120711283851</v>
      </c>
      <c r="R39" s="39">
        <v>0.23633633270067236</v>
      </c>
      <c r="S39" s="40">
        <v>0.24109949616399023</v>
      </c>
      <c r="T39" s="39">
        <v>0.23738705305336996</v>
      </c>
      <c r="U39" s="40">
        <v>0.24521512595253822</v>
      </c>
      <c r="V39" s="39">
        <v>0.23857853620445199</v>
      </c>
      <c r="W39" s="40">
        <v>0.24998393029624827</v>
      </c>
      <c r="X39" s="39">
        <v>0.23995429003162547</v>
      </c>
      <c r="Y39" s="40">
        <v>0.25560214392038338</v>
      </c>
      <c r="Z39" s="39">
        <v>0.24158128311186478</v>
      </c>
      <c r="AA39" s="40">
        <v>0.26236732607490121</v>
      </c>
      <c r="AB39" s="39">
        <v>0.24356940979312172</v>
      </c>
      <c r="AC39" s="40">
        <v>0.27075691133558399</v>
      </c>
      <c r="AD39" s="39">
        <v>0.24611294895650523</v>
      </c>
      <c r="AE39" s="40">
        <v>0.28158679771865663</v>
      </c>
      <c r="AF39" s="39">
        <v>0.24958439468951771</v>
      </c>
      <c r="AG39" s="40">
        <v>0.29634281586468025</v>
      </c>
      <c r="AH39" s="39">
        <v>0.25475753302268644</v>
      </c>
      <c r="AI39" s="40">
        <v>0.31787653117205705</v>
      </c>
      <c r="AJ39" s="39">
        <v>0.26339172210101552</v>
      </c>
      <c r="AK39" s="40">
        <v>0.35195113354472707</v>
      </c>
      <c r="AL39" s="39">
        <v>0.28038921656457216</v>
      </c>
      <c r="AM39" s="40">
        <v>0.41233013239682809</v>
      </c>
      <c r="AN39" s="39">
        <v>0.32886818197127021</v>
      </c>
      <c r="AO39" s="40">
        <v>0.55190565317227691</v>
      </c>
      <c r="AP39" s="39">
        <v>0.35222533190440647</v>
      </c>
      <c r="AQ39" s="40">
        <v>0.60830221143664709</v>
      </c>
      <c r="AR39" s="39">
        <v>0.39040380167002164</v>
      </c>
      <c r="AS39" s="40">
        <v>0.69088283482174206</v>
      </c>
      <c r="AT39" s="39">
        <v>0.46507367198782706</v>
      </c>
      <c r="AU39" s="40">
        <v>0.82930213820472642</v>
      </c>
      <c r="AV39" s="39">
        <v>0.68343220994429021</v>
      </c>
      <c r="AW39" s="40">
        <v>1.1421704241501442</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0.10800000000000001</v>
      </c>
      <c r="G42" s="135"/>
      <c r="H42" s="177">
        <f>10.8%+(1-10.8%)*(1-SUM(H26:I26)/SUM($B$26:$C$26))</f>
        <v>0.10800000000000001</v>
      </c>
      <c r="I42" s="135"/>
      <c r="J42" s="177">
        <f>10.8%+(1-10.8%)*(1-SUM(J26:K26)/SUM($B$26:$C$26))</f>
        <v>0.10800000000000021</v>
      </c>
      <c r="K42" s="135"/>
      <c r="L42" s="177">
        <f>10.8%+(1-10.8%)*(1-SUM(L26:M26)/SUM($B$26:$C$26))</f>
        <v>0.10800000000000001</v>
      </c>
      <c r="M42" s="135"/>
      <c r="N42" s="177">
        <f>10.8%+(1-10.8%)*(1-SUM(N26:O26)/SUM($B$26:$C$26))</f>
        <v>0.10799999999999982</v>
      </c>
      <c r="O42" s="135"/>
      <c r="P42" s="177">
        <f>10.8%+(1-10.8%)*(1-SUM(P26:Q26)/SUM($B$26:$C$26))</f>
        <v>0.10800000000000001</v>
      </c>
      <c r="Q42" s="135"/>
      <c r="R42" s="177">
        <f>10.8%+(1-10.8%)*(1-SUM(R26:S26)/SUM($B$26:$C$26))</f>
        <v>0.1080000000000003</v>
      </c>
      <c r="S42" s="135"/>
      <c r="T42" s="177">
        <f>10.8%+(1-10.8%)*(1-SUM(T26:U26)/SUM($B$26:$C$26))</f>
        <v>0.10800000000000001</v>
      </c>
      <c r="U42" s="135"/>
      <c r="V42" s="177">
        <f>10.8%+(1-10.8%)*(1-SUM(V26:W26)/SUM($B$26:$C$26))</f>
        <v>0.10799999999999961</v>
      </c>
      <c r="W42" s="135"/>
      <c r="X42" s="177">
        <f>10.8%+(1-10.8%)*(1-SUM(X26:Y26)/SUM($B$26:$C$26))</f>
        <v>0.1080000000000003</v>
      </c>
      <c r="Y42" s="162"/>
      <c r="Z42" s="177">
        <f>10.8%+(1-10.8%)*(1-SUM(Z26:AA26)/SUM($B$26:$C$26))</f>
        <v>0.10799999999999882</v>
      </c>
      <c r="AA42" s="135"/>
      <c r="AB42" s="177">
        <f>10.8%+(1-10.8%)*(1-SUM(AB26:AC26)/SUM($B$26:$C$26))</f>
        <v>0.10800000000000021</v>
      </c>
      <c r="AC42" s="135"/>
      <c r="AD42" s="177">
        <f>10.8%+(1-10.8%)*(1-SUM(AD26:AE26)/SUM($B$26:$C$26))</f>
        <v>0.10799999999999882</v>
      </c>
      <c r="AE42" s="135"/>
      <c r="AF42" s="177">
        <f>10.8%+(1-10.8%)*(1-SUM(AF26:AG26)/SUM($B$26:$C$26))</f>
        <v>0.10799999999999942</v>
      </c>
      <c r="AG42" s="135"/>
      <c r="AH42" s="177">
        <f>10.8%+(1-10.8%)*(1-SUM(AH26:AI26)/SUM($B$26:$C$26))</f>
        <v>0.10800000000000051</v>
      </c>
      <c r="AI42" s="135"/>
      <c r="AJ42" s="177">
        <f>10.8%+(1-10.8%)*(1-SUM(AJ26:AK26)/SUM($B$26:$C$26))</f>
        <v>0.10799999999999903</v>
      </c>
      <c r="AK42" s="135"/>
      <c r="AL42" s="177">
        <f>10.8%+(1-10.8%)*(1-SUM(AL26:AM26)/SUM($B$26:$C$26))</f>
        <v>0.10799999999999982</v>
      </c>
      <c r="AM42" s="135"/>
      <c r="AN42" s="177">
        <f>10.8%+(1-10.8%)*(1-SUM(AN26:AO26)/SUM($B$26:$C$26))</f>
        <v>0.10800000000000021</v>
      </c>
      <c r="AO42" s="135"/>
      <c r="AP42" s="177">
        <f>10.8%+(1-10.8%)*(1-SUM(AP26:AQ26)/SUM($B$26:$C$26))</f>
        <v>0.10799999999999982</v>
      </c>
      <c r="AQ42" s="135"/>
      <c r="AR42" s="177">
        <f>10.8%+(1-10.8%)*(1-SUM(AR26:AS26)/SUM($B$26:$C$26))</f>
        <v>0.10800000000000021</v>
      </c>
      <c r="AS42" s="135"/>
      <c r="AT42" s="177">
        <f>10.8%+(1-10.8%)*(1-SUM(AT26:AU26)/SUM($B$26:$C$26))</f>
        <v>0.10799999999999982</v>
      </c>
      <c r="AU42" s="135"/>
      <c r="AV42" s="177">
        <f>10.8%+(1-10.8%)*(1-SUM(AV26:AW26)/SUM($B$26:$C$26))</f>
        <v>0.10800000000000021</v>
      </c>
    </row>
    <row r="43" spans="1:49 16319:16321" x14ac:dyDescent="0.2">
      <c r="A43" t="s">
        <v>108</v>
      </c>
      <c r="B43" s="162">
        <f>SUM(B15:C15*B27:C27)/SUM(B15:C15*B27:C27,B13:C13*B26:C26)</f>
        <v>0.56058995943839085</v>
      </c>
      <c r="C43" s="135"/>
      <c r="D43" s="162">
        <f t="array" ref="D43">SUM(D15:E15*D27:E27)/SUM(D15:E15*D27:E27,D13:E13*D26:E26)</f>
        <v>0.56580028316147624</v>
      </c>
      <c r="E43" s="135"/>
      <c r="F43" s="162">
        <f t="array" ref="F43">SUM(F15:G15*F27:G27)/SUM(F15:G15*F27:G27,F13:G13*F26:G26)</f>
        <v>0.56439257700612822</v>
      </c>
      <c r="G43" s="135"/>
      <c r="H43" s="162">
        <f t="array" ref="H43">SUM(H15:I15*H27:I27)/SUM(H15:I15*H27:I27,H13:I13*H26:I26)</f>
        <v>0.5629764970101736</v>
      </c>
      <c r="I43" s="135"/>
      <c r="J43" s="162">
        <f t="array" ref="J43">SUM(J15:K15*J27:K27)/SUM(J15:K15*J27:K27,J13:K13*J26:K26)</f>
        <v>0.56155112555578046</v>
      </c>
      <c r="K43" s="135"/>
      <c r="L43" s="162">
        <f t="array" ref="L43">SUM(L15:M15*L27:M27)/SUM(L15:M15*L27:M27,L13:M13*L26:M26)</f>
        <v>0.56011561522307463</v>
      </c>
      <c r="M43" s="135"/>
      <c r="N43" s="162">
        <f t="array" ref="N43">SUM(N15:O15*N27:O27)/SUM(N15:O15*N27:O27,N13:O13*N26:O26)</f>
        <v>0.55866942374024275</v>
      </c>
      <c r="O43" s="135"/>
      <c r="P43" s="162">
        <f t="array" ref="P43">SUM(P15:Q15*P27:Q27)/SUM(P15:Q15*P27:Q27,P13:Q13*P26:Q26)</f>
        <v>0.5572125219026024</v>
      </c>
      <c r="Q43" s="135"/>
      <c r="R43" s="162">
        <f t="array" ref="R43">SUM(R15:S15*R27:S27)/SUM(R15:S15*R27:S27,R13:S13*R26:S26)</f>
        <v>0.55574594570066449</v>
      </c>
      <c r="S43" s="135"/>
      <c r="T43" s="162">
        <f t="array" ref="T43">SUM(T15:U15*T27:U27)/SUM(T15:U15*T27:U27,T13:U13*T26:U26)</f>
        <v>0.55427256799099545</v>
      </c>
      <c r="U43" s="135"/>
      <c r="V43" s="162">
        <f t="array" ref="V43">SUM(V15:W15*V27:W27)/SUM(V15:W15*V27:W27,V13:W13*V26:W26)</f>
        <v>0.55279842983103189</v>
      </c>
      <c r="W43" s="135"/>
      <c r="X43" s="162">
        <f t="array" ref="X43">SUM(X15:Y15*X27:Y27)/SUM(X15:Y15*X27:Y27,X13:Y13*X26:Y26)</f>
        <v>0.55133494841274044</v>
      </c>
      <c r="Y43" s="135"/>
      <c r="Z43" s="162">
        <f t="array" ref="Z43">SUM(Z15:AA15*Z27:AA27)/SUM(Z15:AA15*Z27:AA27,Z13:AA13*Z26:AA26)</f>
        <v>0.54990253748657658</v>
      </c>
      <c r="AA43" s="135"/>
      <c r="AB43" s="162">
        <f t="array" ref="AB43">SUM(AB15:AC15*AB27:AC27)/SUM(AB15:AC15*AB27:AC27,AB13:AC13*AB26:AC26)</f>
        <v>0.54853641371811956</v>
      </c>
      <c r="AC43" s="135"/>
      <c r="AD43" s="162">
        <f t="array" ref="AD43">SUM(AD15:AE15*AD27:AE27)/SUM(AD15:AE15*AD27:AE27,AD13:AE13*AD26:AE26)</f>
        <v>0.54729486346627942</v>
      </c>
      <c r="AE43" s="135"/>
      <c r="AF43" s="162">
        <f t="array" ref="AF43">SUM(AF15:AG15*AF27:AG27)/SUM(AF15:AG15*AF27:AG27,AF13:AG13*AF26:AG26)</f>
        <v>0.54626609603674703</v>
      </c>
      <c r="AG43" s="135"/>
      <c r="AH43" s="162">
        <f t="array" ref="AH43">SUM(AH15:AI15*AH27:AI27)/SUM(AH15:AI15*AH27:AI27,AH13:AI13*AH26:AI26)</f>
        <v>0.54555350531278479</v>
      </c>
      <c r="AI43" s="135"/>
      <c r="AJ43" s="162">
        <f t="array" ref="AJ43">SUM(AJ15:AK15*AJ27:AK27)/SUM(AJ15:AK15*AJ27:AK27,AJ13:AK13*AJ26:AK26)</f>
        <v>0.54519941628895163</v>
      </c>
      <c r="AK43" s="135"/>
      <c r="AL43" s="162">
        <f t="array" ref="AL43">SUM(AL15:AM15*AL27:AM27)/SUM(AL15:AM15*AL27:AM27,AL13:AM13*AL26:AM26)</f>
        <v>0.5450979614809589</v>
      </c>
      <c r="AM43" s="135"/>
      <c r="AN43" s="162">
        <f t="array" ref="AN43">SUM(AN15:AO15*AN27:AO27)/SUM(AN15:AO15*AN27:AO27,AN13:AO13*AN26:AO26)</f>
        <v>0.54508567921869455</v>
      </c>
      <c r="AO43" s="135"/>
      <c r="AP43" s="162">
        <f t="array" ref="AP43">SUM(AP15:AQ15*AP27:AQ27)/SUM(AP15:AQ15*AP27:AQ27,AP13:AQ13*AP26:AQ26)</f>
        <v>0.54508548073381524</v>
      </c>
      <c r="AQ43" s="135"/>
      <c r="AR43" s="162">
        <f t="array" ref="AR43">SUM(AR15:AS15*AR27:AS27)/SUM(AR15:AS15*AR27:AS27,AR13:AS13*AR26:AS26)</f>
        <v>0.54508541011608058</v>
      </c>
      <c r="AS43" s="135"/>
      <c r="AT43" s="162">
        <f t="array" ref="AT43">SUM(AT15:AU15*AT27:AU27)/SUM(AT15:AU15*AT27:AU27,AT13:AU13*AT26:AU26)</f>
        <v>0.54508539032253911</v>
      </c>
      <c r="AU43" s="135"/>
      <c r="AV43" s="162">
        <f t="array" ref="AV43">SUM(AV15:AW15*AV27:AW27)/SUM(AV15:AW15*AV27:AW27,AV13:AW13*AV26:AW26)</f>
        <v>0.54508538652230276</v>
      </c>
    </row>
    <row r="44" spans="1:49 16319:16321" x14ac:dyDescent="0.2">
      <c r="A44" t="s">
        <v>142</v>
      </c>
      <c r="B44" s="193">
        <f>(SUM(B11:C11*B24:C24)+B34)/B32</f>
        <v>0.29754226190682465</v>
      </c>
      <c r="D44" s="193">
        <f>(SUM(D11:E11*D24:E24)+D34)/D32</f>
        <v>0.29990744510312628</v>
      </c>
      <c r="F44" s="193">
        <f>(SUM(F11:G11*F24:G24)+F34)/F32</f>
        <v>0.30232629581654635</v>
      </c>
      <c r="H44" s="193">
        <f>(SUM(H11:I11*H24:I24)+H34)/H32</f>
        <v>0.30480753565278312</v>
      </c>
      <c r="J44" s="193">
        <f>(SUM(J11:K11*J24:K24)+J34)/J32</f>
        <v>0.30736168594747443</v>
      </c>
      <c r="L44" s="193">
        <f>(SUM(L11:M11*L24:M24)+L34)/L32</f>
        <v>0.31000168353603785</v>
      </c>
      <c r="N44" s="193">
        <f>(SUM(N11:O11*N24:O24)+N34)/N32</f>
        <v>0.31274380929853979</v>
      </c>
      <c r="P44" s="193">
        <f>(SUM(P11:Q11*P24:Q24)+P34)/P32</f>
        <v>0.31560912829300442</v>
      </c>
      <c r="R44" s="193">
        <f>(SUM(R11:S11*R24:S24)+R34)/R32</f>
        <v>0.31862587413301324</v>
      </c>
      <c r="T44" s="193">
        <f>(SUM(T11:U11*T24:U24)+T34)/T32</f>
        <v>0.32183337808874679</v>
      </c>
      <c r="V44" s="193">
        <f>(SUM(V11:W11*V24:W24)+V34)/V32</f>
        <v>0.32528891870647825</v>
      </c>
      <c r="X44" s="193">
        <f>(SUM(X11:Y11*X24:Y24)+X34)/X32</f>
        <v>0.32908013430518274</v>
      </c>
      <c r="Z44" s="193">
        <f>(SUM(Z11:AA11*Z24:AA24)+Z34)/Z32</f>
        <v>0.33334830631957768</v>
      </c>
      <c r="AB44" s="193">
        <f>(SUM(AB11:AC11*AB24:AC24)+AB34)/AB32</f>
        <v>0.33833385191426457</v>
      </c>
      <c r="AD44" s="193">
        <f>(SUM(AD11:AE11*AD24:AE24)+AD34)/AD32</f>
        <v>0.34446713539886364</v>
      </c>
      <c r="AF44" s="193">
        <f>(SUM(AF11:AG11*AF24:AG24)+AF34)/AF32</f>
        <v>0.35254652802858899</v>
      </c>
      <c r="AH44" s="193">
        <f>(SUM(AH11:AI11*AH24:AI24)+AH34)/AH32</f>
        <v>0.36404987537324895</v>
      </c>
      <c r="AJ44" s="193">
        <f>(SUM(AJ11:AK11*AJ24:AK24)+AJ34)/AJ32</f>
        <v>0.38161837017546757</v>
      </c>
      <c r="AL44" s="193">
        <f>(SUM(AL11:AM11*AL24:AM24)+AL34)/AL32</f>
        <v>0.41058404827127554</v>
      </c>
      <c r="AN44" s="193">
        <f>(SUM(AN11:AO11*AN24:AO24)+AN34)/AN32</f>
        <v>0.46902048804525981</v>
      </c>
      <c r="AP44" s="193">
        <f>(SUM(AP11:AQ11*AP24:AQ24)+AP34)/AP32</f>
        <v>0.4898948917899475</v>
      </c>
      <c r="AR44" s="193">
        <f>(SUM(AR11:AS11*AR24:AS24)+AR34)/AR32</f>
        <v>0.51789366103294121</v>
      </c>
      <c r="AT44" s="193">
        <f>(SUM(AT11:AU11*AT24:AU24)+AT34)/AT32</f>
        <v>0.55844941761940925</v>
      </c>
      <c r="AV44" s="193">
        <f>(SUM(AV11:AW11*AV24:AW24)+AV34)/AV32</f>
        <v>0.62551771512204923</v>
      </c>
    </row>
    <row r="45" spans="1:49 16319:16321" x14ac:dyDescent="0.2">
      <c r="A45" t="s">
        <v>82</v>
      </c>
      <c r="B45" s="193">
        <f>SUM(B11:C11*B24:C24)/B32</f>
        <v>0.22038438833194082</v>
      </c>
      <c r="D45" s="193">
        <f>SUM(D11:E11*D24:E24)/D32</f>
        <v>0.22274957188194022</v>
      </c>
      <c r="F45" s="193">
        <f>SUM(F11:G11*F24:G24)/F32</f>
        <v>0.22516842265044035</v>
      </c>
      <c r="H45" s="193">
        <f>SUM(H11:I11*H24:I24)/H32</f>
        <v>0.22764966264038425</v>
      </c>
      <c r="J45" s="193">
        <f>SUM(J11:K11*J24:K24)/J32</f>
        <v>0.23020381497070452</v>
      </c>
      <c r="L45" s="193">
        <f>SUM(L11:M11*L24:M24)/L32</f>
        <v>0.23284381080919095</v>
      </c>
      <c r="N45" s="193">
        <f>SUM(N11:O11*N24:O24)/N32</f>
        <v>0.23558593580741916</v>
      </c>
      <c r="P45" s="193">
        <f>SUM(P11:Q11*P24:Q24)/P32</f>
        <v>0.2384512565943244</v>
      </c>
      <c r="R45" s="193">
        <f>SUM(R11:S11*R24:S24)/R32</f>
        <v>0.24146800509677391</v>
      </c>
      <c r="T45" s="193">
        <f>SUM(T11:U11*T24:U24)/T32</f>
        <v>0.2446755083736348</v>
      </c>
      <c r="V45" s="193">
        <f>SUM(V11:W11*V24:W24)/V32</f>
        <v>0.24813104829534746</v>
      </c>
      <c r="X45" s="193">
        <f>SUM(X11:Y11*X24:Y24)/X32</f>
        <v>0.25192226076981478</v>
      </c>
      <c r="Z45" s="193">
        <f>SUM(Z11:AA11*Z24:AA24)/Z32</f>
        <v>0.25619043324676133</v>
      </c>
      <c r="AB45" s="193">
        <f>SUM(AB11:AC11*AB24:AC24)/AB32</f>
        <v>0.26117597825233807</v>
      </c>
      <c r="AD45" s="193">
        <f>SUM(AD11:AE11*AD24:AE24)/AD32</f>
        <v>0.26730926193503296</v>
      </c>
      <c r="AF45" s="193">
        <f>SUM(AF11:AG11*AF24:AG24)/AF32</f>
        <v>0.27538865431154369</v>
      </c>
      <c r="AH45" s="193">
        <f>SUM(AH11:AI11*AH24:AI24)/AH32</f>
        <v>0.28689200179146296</v>
      </c>
      <c r="AJ45" s="193">
        <f>SUM(AJ11:AK11*AJ24:AK24)/AJ32</f>
        <v>0.30446049660498825</v>
      </c>
      <c r="AL45" s="193">
        <f>SUM(AL11:AM11*AL24:AM24)/AL32</f>
        <v>0.33342617470638669</v>
      </c>
      <c r="AN45" s="193">
        <f>SUM(AN11:AO11*AN24:AO24)/AN32</f>
        <v>0.3918626144703784</v>
      </c>
      <c r="AP45" s="193">
        <f>SUM(AP11:AQ11*AP24:AQ24)/AP32</f>
        <v>0.41273701821507103</v>
      </c>
      <c r="AR45" s="193">
        <f>SUM(AR11:AS11*AR24:AS24)/AR32</f>
        <v>0.4407357874580583</v>
      </c>
      <c r="AT45" s="193">
        <f>SUM(AT11:AU11*AT24:AU24)/AT32</f>
        <v>0.48129154404453212</v>
      </c>
      <c r="AV45" s="193">
        <f>SUM(AV11:AW11*AV24:AW24)/AV32</f>
        <v>0.54835984154724826</v>
      </c>
      <c r="XCQ45" s="193"/>
    </row>
    <row r="46" spans="1:49 16319:16321" x14ac:dyDescent="0.2">
      <c r="A46" t="s">
        <v>139</v>
      </c>
      <c r="B46" s="193">
        <f>B34/B32</f>
        <v>7.7157873574883795E-2</v>
      </c>
      <c r="D46" s="193">
        <f>D34/D32</f>
        <v>7.7157873221186099E-2</v>
      </c>
      <c r="F46" s="193">
        <f>F34/F32</f>
        <v>7.7157873166106006E-2</v>
      </c>
      <c r="H46" s="193">
        <f>H34/H32</f>
        <v>7.7157873012398834E-2</v>
      </c>
      <c r="J46" s="193">
        <f>J34/J32</f>
        <v>7.7157870976769946E-2</v>
      </c>
      <c r="L46" s="193">
        <f>L34/L32</f>
        <v>7.7157872726846891E-2</v>
      </c>
      <c r="N46" s="193">
        <f>N34/N32</f>
        <v>7.7157873491120577E-2</v>
      </c>
      <c r="P46" s="193">
        <f>P34/P32</f>
        <v>7.7157871698680033E-2</v>
      </c>
      <c r="R46" s="193">
        <f>R34/R32</f>
        <v>7.7157869036239293E-2</v>
      </c>
      <c r="T46" s="193">
        <f>T34/T32</f>
        <v>7.7157869715111987E-2</v>
      </c>
      <c r="V46" s="193">
        <f>V34/V32</f>
        <v>7.7157870411130744E-2</v>
      </c>
      <c r="X46" s="193">
        <f>X34/X32</f>
        <v>7.7157873535367932E-2</v>
      </c>
      <c r="Z46" s="193">
        <f>Z34/Z32</f>
        <v>7.7157873072816338E-2</v>
      </c>
      <c r="AB46" s="193">
        <f>AB34/AB32</f>
        <v>7.715787366192646E-2</v>
      </c>
      <c r="AD46" s="193">
        <f>AD34/AD32</f>
        <v>7.7157873463830712E-2</v>
      </c>
      <c r="AF46" s="193">
        <f>AF34/AF32</f>
        <v>7.7157873717045286E-2</v>
      </c>
      <c r="AH46" s="193">
        <f>AH34/AH32</f>
        <v>7.7157873581786038E-2</v>
      </c>
      <c r="AJ46" s="193">
        <f>AJ34/AJ32</f>
        <v>7.7157873570479318E-2</v>
      </c>
      <c r="AL46" s="193">
        <f>AL34/AL32</f>
        <v>7.7157873564888804E-2</v>
      </c>
      <c r="AN46" s="193">
        <f>AN34/AN32</f>
        <v>7.7157873574881394E-2</v>
      </c>
      <c r="AP46" s="193">
        <f>AP34/AP32</f>
        <v>7.715787357487644E-2</v>
      </c>
      <c r="AR46" s="193">
        <f>AR34/AR32</f>
        <v>7.7157873574882824E-2</v>
      </c>
      <c r="AT46" s="193">
        <f>AT34/AT32</f>
        <v>7.7157873574877217E-2</v>
      </c>
      <c r="AV46" s="193">
        <f>AV34/AV32</f>
        <v>7.7157873574800931E-2</v>
      </c>
      <c r="XCS46" s="193"/>
    </row>
    <row r="48" spans="1:49 16319:16321" x14ac:dyDescent="0.2">
      <c r="A48" t="s">
        <v>159</v>
      </c>
      <c r="B48" s="191">
        <f>B24/$B$24</f>
        <v>1</v>
      </c>
      <c r="C48" s="191"/>
      <c r="D48" s="191">
        <f>D24/$B$24</f>
        <v>1.0123637451488652</v>
      </c>
      <c r="E48" s="191"/>
      <c r="F48" s="191">
        <f>F24/$B$24</f>
        <v>1.024882500561076</v>
      </c>
      <c r="G48" s="191"/>
      <c r="H48" s="191">
        <f>H24/$B$24</f>
        <v>1.0375729414950494</v>
      </c>
      <c r="I48" s="191"/>
      <c r="J48" s="191">
        <f>J24/$B$24</f>
        <v>1.0504544374578353</v>
      </c>
      <c r="K48" s="191"/>
      <c r="L48" s="191">
        <f>L24/$B$24</f>
        <v>1.0635501648660133</v>
      </c>
      <c r="M48" s="191"/>
      <c r="N48" s="191">
        <f>N24/$B$24</f>
        <v>1.0768889373775283</v>
      </c>
      <c r="O48" s="191"/>
      <c r="P48" s="191">
        <f>P24/$B$24</f>
        <v>1.0905084888250169</v>
      </c>
      <c r="Q48" s="191"/>
      <c r="R48" s="191">
        <f>R24/$B$24</f>
        <v>1.1044613093395619</v>
      </c>
      <c r="S48" s="191"/>
      <c r="T48" s="191">
        <f>T24/$B$24</f>
        <v>1.1188252051316259</v>
      </c>
      <c r="U48" s="191"/>
      <c r="V48" s="191">
        <f>V24/$B$24</f>
        <v>1.1337228835809408</v>
      </c>
      <c r="W48" s="191"/>
      <c r="X48" s="191">
        <f>X24/$B$24</f>
        <v>1.1493589723158484</v>
      </c>
      <c r="Y48" s="191"/>
      <c r="Z48" s="191">
        <f>Z24/$B$24</f>
        <v>1.1660913058335989</v>
      </c>
      <c r="AA48" s="191"/>
      <c r="AB48" s="191">
        <f>AB24/$B$24</f>
        <v>1.1845695293642307</v>
      </c>
      <c r="AC48" s="191"/>
      <c r="AD48" s="191">
        <f>AD24/$B$24</f>
        <v>1.2059976871965441</v>
      </c>
      <c r="AE48" s="191"/>
      <c r="AF48" s="191">
        <f>AF24/$B$24</f>
        <v>1.2325635645267916</v>
      </c>
      <c r="AG48" s="191"/>
      <c r="AH48" s="191">
        <f>AH24/$B$24</f>
        <v>1.2677550153291224</v>
      </c>
      <c r="AI48" s="191"/>
      <c r="AJ48" s="191">
        <f>AJ24/$B$24</f>
        <v>1.3150301474037611</v>
      </c>
      <c r="AK48" s="191"/>
      <c r="AL48" s="191">
        <f>AL24/$B$24</f>
        <v>1.3716067873945954</v>
      </c>
      <c r="AM48" s="191"/>
      <c r="AN48" s="191">
        <f>AN24/$B$24</f>
        <v>1.3955880246872294</v>
      </c>
      <c r="AO48" s="191"/>
      <c r="AP48" s="191">
        <f>AP24/$B$24</f>
        <v>1.37545456547399</v>
      </c>
      <c r="AQ48" s="191"/>
      <c r="AR48" s="191">
        <f>AR24/$B$24</f>
        <v>1.3261028276703377</v>
      </c>
      <c r="AS48" s="191"/>
      <c r="AT48" s="191">
        <f>AT24/$B$24</f>
        <v>1.2123130388621135</v>
      </c>
      <c r="AU48" s="191"/>
      <c r="AV48" s="191">
        <f>AV24/$B$24</f>
        <v>0.9284394270825701</v>
      </c>
    </row>
    <row r="49" spans="1:48 16321:16384" x14ac:dyDescent="0.2">
      <c r="A49" t="s">
        <v>160</v>
      </c>
      <c r="B49" s="191">
        <f>B13/B35/$B$13*$B$35</f>
        <v>1</v>
      </c>
      <c r="C49" s="191"/>
      <c r="D49" s="191">
        <f>D13/D35/$B$13*$B$35</f>
        <v>0.9961807135916918</v>
      </c>
      <c r="E49" s="191"/>
      <c r="F49" s="191">
        <f>F13/F35/$B$13*$B$35</f>
        <v>0.99182476727532587</v>
      </c>
      <c r="G49" s="191"/>
      <c r="H49" s="191">
        <f>H13/H35/$B$13*$B$35</f>
        <v>0.98685316678935842</v>
      </c>
      <c r="I49" s="191"/>
      <c r="J49" s="191">
        <f>J13/J35/$B$13*$B$35</f>
        <v>0.98116928837140782</v>
      </c>
      <c r="K49" s="191"/>
      <c r="L49" s="191">
        <f>L13/L35/$B$13*$B$35</f>
        <v>0.97465332754968526</v>
      </c>
      <c r="M49" s="191"/>
      <c r="N49" s="191">
        <f>N13/N35/$B$13*$B$35</f>
        <v>0.96715402695174324</v>
      </c>
      <c r="O49" s="191"/>
      <c r="P49" s="191">
        <f>P13/P35/$B$13*$B$35</f>
        <v>0.95847694241721659</v>
      </c>
      <c r="Q49" s="191"/>
      <c r="R49" s="191">
        <f>R13/R35/$B$13*$B$35</f>
        <v>0.94836610320588022</v>
      </c>
      <c r="S49" s="191"/>
      <c r="T49" s="191">
        <f>T13/T35/$B$13*$B$35</f>
        <v>0.93647554002349098</v>
      </c>
      <c r="U49" s="191"/>
      <c r="V49" s="191">
        <f>V13/V35/$B$13*$B$35</f>
        <v>0.92232277775077043</v>
      </c>
      <c r="W49" s="191"/>
      <c r="X49" s="191">
        <f>X13/X35/$B$13*$B$35</f>
        <v>0.90521009994586643</v>
      </c>
      <c r="Y49" s="191"/>
      <c r="Z49" s="191">
        <f>Z13/Z35/$B$13*$B$35</f>
        <v>0.884085746841489</v>
      </c>
      <c r="AA49" s="191"/>
      <c r="AB49" s="191">
        <f>AB13/AB35/$B$13*$B$35</f>
        <v>0.8572899109335359</v>
      </c>
      <c r="AC49" s="191"/>
      <c r="AD49" s="191">
        <f>AD13/AD35/$B$13*$B$35</f>
        <v>0.8220802367093023</v>
      </c>
      <c r="AE49" s="191"/>
      <c r="AF49" s="191">
        <f>AF13/AF35/$B$13*$B$35</f>
        <v>0.77377400155006204</v>
      </c>
      <c r="AG49" s="191"/>
      <c r="AH49" s="191">
        <f>AH13/AH35/$B$13*$B$35</f>
        <v>0.70445458992480869</v>
      </c>
      <c r="AI49" s="191"/>
      <c r="AJ49" s="191">
        <f>AJ13/AJ35/$B$13*$B$35</f>
        <v>0.60189343357506109</v>
      </c>
      <c r="AK49" s="191"/>
      <c r="AL49" s="191">
        <f>AL13/AL35/$B$13*$B$35</f>
        <v>0.44971643137980144</v>
      </c>
      <c r="AM49" s="191"/>
      <c r="AN49" s="191">
        <f>AN13/AN35/$B$13*$B$35</f>
        <v>0.2306832358519614</v>
      </c>
      <c r="AO49" s="191"/>
      <c r="AP49" s="191">
        <f>AP13/AP35/$B$13*$B$35</f>
        <v>0.17881810297363884</v>
      </c>
      <c r="AQ49" s="191"/>
      <c r="AR49" s="191">
        <f>AR13/AR35/$B$13*$B$35</f>
        <v>0.12554312801750123</v>
      </c>
      <c r="AS49" s="191"/>
      <c r="AT49" s="191">
        <f>AT13/AT35/$B$13*$B$35</f>
        <v>7.2882327954159443E-2</v>
      </c>
      <c r="AU49" s="191"/>
      <c r="AV49" s="191">
        <f>AV13/AV35/$B$13*$B$35</f>
        <v>2.5724555033841832E-2</v>
      </c>
    </row>
    <row r="51" spans="1:48 16321:16384" x14ac:dyDescent="0.2">
      <c r="A51" t="s">
        <v>166</v>
      </c>
      <c r="B51" s="29">
        <f>B30-B10*B23</f>
        <v>-405838.32800000021</v>
      </c>
      <c r="D51" s="29">
        <f>D30-D10*D23</f>
        <v>-347022.3932909905</v>
      </c>
      <c r="F51" s="29">
        <f>F30-F10*F23</f>
        <v>-286813.36164610554</v>
      </c>
      <c r="H51" s="29">
        <f>H30-H10*H23</f>
        <v>-225020.33130490966</v>
      </c>
      <c r="J51" s="29">
        <f>J30-J10*J23</f>
        <v>-161415.4635264487</v>
      </c>
      <c r="L51" s="29">
        <f>L30-L10*L23</f>
        <v>-95721.74461783655</v>
      </c>
      <c r="N51" s="29">
        <f>N30-N10*N23</f>
        <v>-27593.257290843409</v>
      </c>
      <c r="P51" s="29">
        <f>P30-P10*P23</f>
        <v>43415.065124268644</v>
      </c>
      <c r="R51" s="29">
        <f>R30-R10*R23</f>
        <v>117897.86833577836</v>
      </c>
      <c r="T51" s="29">
        <f>T30-T10*T23</f>
        <v>196685.39033990446</v>
      </c>
      <c r="V51" s="29">
        <f>V30-V10*V23</f>
        <v>280995.34975679684</v>
      </c>
      <c r="X51" s="29">
        <f>X30-X10*X23</f>
        <v>372709.35438367631</v>
      </c>
      <c r="Z51" s="29">
        <f>Z30-Z10*Z23</f>
        <v>474896.73202624451</v>
      </c>
      <c r="AB51" s="29">
        <f>AB30-AB10*AB23</f>
        <v>592835.24458021065</v>
      </c>
      <c r="AD51" s="29">
        <f>AD30-AD10*AD23</f>
        <v>736030.15838333638</v>
      </c>
      <c r="AF51" s="29">
        <f>AF30-AF10*AF23</f>
        <v>922021.87875198387</v>
      </c>
      <c r="AH51" s="29">
        <f>AH30-AH10*AH23</f>
        <v>1182164.3806871693</v>
      </c>
      <c r="AJ51" s="29">
        <f>AJ30-AJ10*AJ23</f>
        <v>1565929.2442190424</v>
      </c>
      <c r="AL51" s="29">
        <f>AL30-AL10*AL23</f>
        <v>2142710.6247263686</v>
      </c>
      <c r="AN51" s="29">
        <f>AN30-AN10*AN23</f>
        <v>2999215.8710341337</v>
      </c>
      <c r="AP51" s="29">
        <f>AP30-AP10*AP23</f>
        <v>3189558.8651257199</v>
      </c>
      <c r="AQ51" s="29"/>
      <c r="AR51" s="29">
        <f>AR30-AR10*AR23</f>
        <v>3344182.2453423352</v>
      </c>
      <c r="AT51" s="29">
        <f>AT30-AT10*AT23</f>
        <v>3363807.0258811954</v>
      </c>
      <c r="AV51" s="29">
        <f>AV30-AV10*AV23</f>
        <v>2890654.970570934</v>
      </c>
      <c r="XFD51" s="29"/>
    </row>
    <row r="52" spans="1:48 16321:16384" x14ac:dyDescent="0.2">
      <c r="A52" t="s">
        <v>167</v>
      </c>
      <c r="B52" s="29">
        <f t="array" ref="B52">Calibration!sL*SUM(B13:C13*B26:C26)</f>
        <v>2049247.8195702801</v>
      </c>
      <c r="D52" s="29">
        <f t="array" ref="D52">Calibration!sL*SUM(D13:E13*D26:E26)</f>
        <v>2045877.1139621695</v>
      </c>
      <c r="F52" s="29">
        <f t="array" ref="F52">Calibration!sL*SUM(F13:G13*F26:G26)</f>
        <v>2041890.0352563111</v>
      </c>
      <c r="H52" s="29">
        <f t="array" ref="H52">Calibration!sL*SUM(H13:I13*H26:I26)</f>
        <v>2037197.9344058204</v>
      </c>
      <c r="J52" s="29">
        <f t="array" ref="J52">Calibration!sL*SUM(J13:K13*J26:K26)</f>
        <v>2031693.6791023326</v>
      </c>
      <c r="L52" s="29">
        <f t="array" ref="L52">Calibration!sL*SUM(L13:M13*L26:M26)</f>
        <v>2025246.5265313941</v>
      </c>
      <c r="N52" s="29">
        <f t="array" ref="N52">Calibration!sL*SUM(N13:O13*N26:O26)</f>
        <v>2017694.5580434755</v>
      </c>
      <c r="P52" s="29">
        <f t="array" ref="P52">Calibration!sL*SUM(P13:Q13*P26:Q26)</f>
        <v>2008834.5929493066</v>
      </c>
      <c r="R52" s="29">
        <f t="array" ref="R52">Calibration!sL*SUM(R13:S13*R26:S26)</f>
        <v>1998406.5195211591</v>
      </c>
      <c r="T52" s="29">
        <f t="array" ref="T52">Calibration!sL*SUM(T13:U13*T26:U26)</f>
        <v>1986069.8608508157</v>
      </c>
      <c r="V52" s="29">
        <f t="array" ref="V52">Calibration!sL*SUM(V13:W13*V26:W26)</f>
        <v>1971366.0896349666</v>
      </c>
      <c r="X52" s="29">
        <f t="array" ref="X52">Calibration!sL*SUM(X13:Y13*X26:Y26)</f>
        <v>1953655.2688678943</v>
      </c>
      <c r="Z52" s="29">
        <f t="array" ref="Z52">Calibration!sL*SUM(Z13:AA13*Z26:AA26)</f>
        <v>1932003.4706392656</v>
      </c>
      <c r="AB52" s="29">
        <f t="array" ref="AB52">Calibration!sL*SUM(AB13:AC13*AB26:AC26)</f>
        <v>1904969.3305486864</v>
      </c>
      <c r="AD52" s="29">
        <f t="array" ref="AD52">Calibration!sL*SUM(AD13:AE13*AD26:AE26)</f>
        <v>1870170.948809023</v>
      </c>
      <c r="AF52" s="29">
        <f t="array" ref="AF52">Calibration!sL*SUM(AF13:AG13*AF26:AG26)</f>
        <v>1823346.3207962723</v>
      </c>
      <c r="AH52" s="29">
        <f t="array" ref="AH52">Calibration!sL*SUM(AH13:AI13*AH26:AI26)</f>
        <v>1756204.1635719454</v>
      </c>
      <c r="AJ52" s="29">
        <f t="array" ref="AJ52">Calibration!sL*SUM(AJ13:AK13*AJ26:AK26)</f>
        <v>1651235.7863241199</v>
      </c>
      <c r="AL52" s="29">
        <f t="array" ref="AL52">Calibration!sL*SUM(AL13:AM13*AL26:AM26)</f>
        <v>1466826.9041887876</v>
      </c>
      <c r="AN52" s="29">
        <f t="array" ref="AN52">Calibration!sL*SUM(AN13:AO13*AN26:AO26)</f>
        <v>1074459.9673004453</v>
      </c>
      <c r="AP52" s="29">
        <f t="array" ref="AP52">Calibration!sL*SUM(AP13:AQ13*AP26:AQ26)</f>
        <v>938270.31650273327</v>
      </c>
      <c r="AQ52" s="29"/>
      <c r="AR52" s="29">
        <f t="array" ref="AR52">Calibration!sL*SUM(AR13:AS13*AR26:AS26)</f>
        <v>765151.03113073413</v>
      </c>
      <c r="AT52" s="29">
        <f t="array" ref="AT52">Calibration!sL*SUM(AT13:AU13*AT26:AU26)</f>
        <v>540377.39006887027</v>
      </c>
      <c r="AV52" s="29">
        <f t="array" ref="AV52">Calibration!sL*SUM(AV13:AW13*AV26:AW26)</f>
        <v>251037.50250363993</v>
      </c>
    </row>
    <row r="53" spans="1:48 16321:16384" x14ac:dyDescent="0.2">
      <c r="A53" t="s">
        <v>168</v>
      </c>
      <c r="B53" s="29">
        <f t="array" ref="B53">Calibration!sK*SUM(B15:C15*B27:C27)</f>
        <v>2740714.4444297305</v>
      </c>
      <c r="D53" s="29">
        <f t="array" ref="D53">Calibration!sK*SUM(D15:E15*D27:E27)</f>
        <v>2720649.2553470633</v>
      </c>
      <c r="F53" s="29">
        <f t="array" ref="F53">Calibration!sK*SUM(F15:G15*F27:G27)</f>
        <v>2699838.3299226565</v>
      </c>
      <c r="H53" s="29">
        <f t="array" ref="H53">Calibration!sK*SUM(H15:I15*H27:I27)</f>
        <v>2678169.6576320129</v>
      </c>
      <c r="J53" s="29">
        <f t="array" ref="J53">Calibration!sK*SUM(J15:K15*J27:K27)</f>
        <v>2655510.1126160417</v>
      </c>
      <c r="L53" s="29">
        <f t="array" ref="L53">Calibration!sK*SUM(L15:M15*L27:M27)</f>
        <v>2631700.2305172198</v>
      </c>
      <c r="N53" s="29">
        <f t="array" ref="N53">Calibration!sK*SUM(N15:O15*N27:O27)</f>
        <v>2606547.8135079439</v>
      </c>
      <c r="P53" s="29">
        <f t="array" ref="P53">Calibration!sK*SUM(P15:Q15*P27:Q27)</f>
        <v>2579818.2041458962</v>
      </c>
      <c r="R53" s="29">
        <f t="array" ref="R53">Calibration!sK*SUM(R15:S15*R27:S27)</f>
        <v>2551221.2796537313</v>
      </c>
      <c r="T53" s="29">
        <f t="array" ref="T53">Calibration!sK*SUM(T15:U15*T27:U27)</f>
        <v>2520391.0591559862</v>
      </c>
      <c r="V53" s="29">
        <f t="array" ref="V53">Calibration!sK*SUM(V15:W15*V27:W27)</f>
        <v>2486853.2059754892</v>
      </c>
      <c r="X53" s="29">
        <f t="array" ref="X53">Calibration!sK*SUM(X15:Y15*X27:Y27)</f>
        <v>2449969.0694477158</v>
      </c>
      <c r="Z53" s="29">
        <f t="array" ref="Z53">Calibration!sK*SUM(Z15:AA15*Z27:AA27)</f>
        <v>2408831.6512776231</v>
      </c>
      <c r="AB53" s="29">
        <f t="array" ref="AB53">Calibration!sK*SUM(AB15:AC15*AB27:AC27)</f>
        <v>2362055.5737345503</v>
      </c>
      <c r="AD53" s="29">
        <f t="array" ref="AD53">Calibration!sK*SUM(AD15:AE15*AD27:AE27)</f>
        <v>2307313.6960946987</v>
      </c>
      <c r="AF53" s="29">
        <f t="array" ref="AF53">Calibration!sK*SUM(AF15:AG15*AF27:AG27)</f>
        <v>2240224.6297242539</v>
      </c>
      <c r="AH53" s="29">
        <f t="array" ref="AH53">Calibration!sK*SUM(AH15:AI15*AH27:AI27)</f>
        <v>2151537.8109083753</v>
      </c>
      <c r="AJ53" s="29">
        <f t="array" ref="AJ53">Calibration!sK*SUM(AJ15:AK15*AJ27:AK27)</f>
        <v>2020053.3932025821</v>
      </c>
      <c r="AL53" s="29">
        <f t="array" ref="AL53">Calibration!sK*SUM(AL15:AM15*AL27:AM27)</f>
        <v>1793721.1525031817</v>
      </c>
      <c r="AN53" s="29">
        <f t="array" ref="AN53">Calibration!sK*SUM(AN15:AO15*AN27:AO27)</f>
        <v>1313846.9889080669</v>
      </c>
      <c r="AP53" s="29">
        <f t="array" ref="AP53">Calibration!sK*SUM(AP15:AQ15*AP27:AQ27)</f>
        <v>1147313.7025938751</v>
      </c>
      <c r="AQ53" s="29"/>
      <c r="AR53" s="29">
        <f t="array" ref="AR53">Calibration!sK*SUM(AR15:AS15*AR27:AS27)</f>
        <v>935623.77187554585</v>
      </c>
      <c r="AT53" s="29">
        <f t="array" ref="AT53">Calibration!sK*SUM(AT15:AU15*AT27:AU27)</f>
        <v>660771.36539637565</v>
      </c>
      <c r="AV53" s="29">
        <f t="array" ref="AV53">Calibration!sK*SUM(AV15:AW15*AV27:AW27)</f>
        <v>306967.6744463846</v>
      </c>
      <c r="XFD53" s="29"/>
    </row>
    <row r="55" spans="1:48 16321:16384" x14ac:dyDescent="0.2">
      <c r="A55" t="s">
        <v>169</v>
      </c>
      <c r="B55" s="193">
        <f>B30/B32</f>
        <v>0.19850271905982084</v>
      </c>
      <c r="D55" s="193">
        <f>D30/D32</f>
        <v>0.20249727227285116</v>
      </c>
      <c r="F55" s="193">
        <f>F30/F32</f>
        <v>0.20658203483679213</v>
      </c>
      <c r="H55" s="193">
        <f>H30/H32</f>
        <v>0.21077168585154515</v>
      </c>
      <c r="J55" s="193">
        <f>J30/J32</f>
        <v>0.21508393076629972</v>
      </c>
      <c r="L55" s="193">
        <f>L30/L32</f>
        <v>0.21954051753787504</v>
      </c>
      <c r="N55" s="193">
        <f>N30/N32</f>
        <v>0.22416883254572481</v>
      </c>
      <c r="P55" s="193">
        <f>P30/P32</f>
        <v>0.22900431992509046</v>
      </c>
      <c r="R55" s="193">
        <f>R30/R32</f>
        <v>0.23409443301318378</v>
      </c>
      <c r="T55" s="193">
        <f>T30/T32</f>
        <v>0.2395052639863551</v>
      </c>
      <c r="V55" s="193">
        <f>V30/V32</f>
        <v>0.24533308702254833</v>
      </c>
      <c r="X55" s="193">
        <f>X30/X32</f>
        <v>0.25172515674767687</v>
      </c>
      <c r="Z55" s="193">
        <f>Z30/Z32</f>
        <v>0.25891888688044268</v>
      </c>
      <c r="AB55" s="193">
        <f>AB30/AB32</f>
        <v>0.26731822192766225</v>
      </c>
      <c r="AD55" s="193">
        <f>AD30/AD32</f>
        <v>0.27764637469849057</v>
      </c>
      <c r="AF55" s="193">
        <f>AF30/AF32</f>
        <v>0.29124519391214154</v>
      </c>
      <c r="AH55" s="193">
        <f>AH30/AH32</f>
        <v>0.31059919349087806</v>
      </c>
      <c r="AJ55" s="193">
        <f>AJ30/AJ32</f>
        <v>0.34015016534006087</v>
      </c>
      <c r="AL55" s="193">
        <f>AL30/AL32</f>
        <v>0.38886698670201436</v>
      </c>
      <c r="AN55" s="193">
        <f>AN30/AN32</f>
        <v>0.48714833567354354</v>
      </c>
      <c r="AP55" s="193">
        <f>AP30/AP32</f>
        <v>0.52225592426209977</v>
      </c>
      <c r="AR55" s="193">
        <f>AR30/AR32</f>
        <v>0.56934561615531221</v>
      </c>
      <c r="AT55" s="193">
        <f>AT30/AT32</f>
        <v>0.63755425953617606</v>
      </c>
      <c r="AV55" s="193">
        <f>AV30/AV32</f>
        <v>0.75035298314758136</v>
      </c>
      <c r="XCS55" s="193"/>
      <c r="XFD55" s="193"/>
    </row>
    <row r="56" spans="1:48 16321:16384" x14ac:dyDescent="0.2">
      <c r="A56" t="s">
        <v>170</v>
      </c>
      <c r="B56" s="193">
        <f>(Model!$C$52*B5*B20+B2*C5*C20)/B32</f>
        <v>2.9221206744340551E-2</v>
      </c>
      <c r="D56" s="193">
        <f>(Model!$C$52*D5*D20+D2*E5*E20)/D32</f>
        <v>3.3577139671152098E-2</v>
      </c>
      <c r="F56" s="193">
        <f>(Model!$C$52*F5*F20+F2*G5*G20)/F32</f>
        <v>3.8044430798635363E-2</v>
      </c>
      <c r="H56" s="193">
        <f>(Model!$C$52*H5*H20+H2*I5*I20)/H32</f>
        <v>4.2640791478980242E-2</v>
      </c>
      <c r="J56" s="193">
        <f>(Model!$C$52*J5*J20+J2*K5*K20)/J32</f>
        <v>4.738765523761642E-2</v>
      </c>
      <c r="L56" s="193">
        <f>(Model!$C$52*L5*L20+L2*M5*M20)/L32</f>
        <v>5.2311455906725569E-2</v>
      </c>
      <c r="N56" s="193">
        <f>(Model!$C$52*N5*N20+N2*O5*O20)/N32</f>
        <v>5.7445624438346811E-2</v>
      </c>
      <c r="P56" s="193">
        <f>(Model!$C$52*P5*P20+P2*Q5*Q20)/P32</f>
        <v>6.2833632560149566E-2</v>
      </c>
      <c r="R56" s="193">
        <f>(Model!$C$52*R5*R20+R2*S5*S20)/R32</f>
        <v>6.8533950962597456E-2</v>
      </c>
      <c r="T56" s="193">
        <f>(Model!$C$52*T5*T20+T2*U5*U20)/T32</f>
        <v>7.4628346133250631E-2</v>
      </c>
      <c r="V56" s="193">
        <f>(Model!$C$52*V5*V20+V2*W5*W20)/V32</f>
        <v>8.1236278192009875E-2</v>
      </c>
      <c r="X56" s="193">
        <f>(Model!$C$52*X5*X20+X2*Y5*Y20)/X32</f>
        <v>8.8540756589418707E-2</v>
      </c>
      <c r="Z56" s="193">
        <f>(Model!$C$52*Z5*Z20+Z2*AA5*AA20)/Z32</f>
        <v>9.6836810334988838E-2</v>
      </c>
      <c r="AB56" s="193">
        <f>(Model!$C$52*AB5*AB20+AB2*AC5*AC20)/AB32</f>
        <v>0.10662549295874768</v>
      </c>
      <c r="AD56" s="193">
        <f>(Model!$C$52*AD5*AD20+AD2*AE5*AE20)/AD32</f>
        <v>0.11880064365716225</v>
      </c>
      <c r="AF56" s="193">
        <f>(Model!$C$52*AF5*AF20+AF2*AG5*AG20)/AF32</f>
        <v>0.13501173646713907</v>
      </c>
      <c r="AH56" s="193">
        <f>(Model!$C$52*AH5*AH20+AH2*AI5*AI20)/AH32</f>
        <v>0.15829044390745725</v>
      </c>
      <c r="AJ56" s="193">
        <f>(Model!$C$52*AJ5*AJ20+AJ2*AK5*AK20)/AJ32</f>
        <v>0.19400988552567799</v>
      </c>
      <c r="AL56" s="193">
        <f>(Model!$C$52*AL5*AL20+AL2*AM5*AM20)/AL32</f>
        <v>0.25296627068979022</v>
      </c>
      <c r="AN56" s="193">
        <f>(Model!$C$52*AN5*AN20+AN2*AO5*AO20)/AN32</f>
        <v>0.37181793801417107</v>
      </c>
      <c r="AP56" s="193">
        <f>(Model!$C$52*AP5*AP20+AP2*AQ5*AQ20)/AP32</f>
        <v>0.41424412396643179</v>
      </c>
      <c r="AR56" s="193">
        <f>(Model!$C$52*AR5*AR20+AR2*AS5*AS20)/AR32</f>
        <v>0.47113090000419072</v>
      </c>
      <c r="AT56" s="193">
        <f>(Model!$C$52*AT5*AT20+AT2*AU5*AU20)/AT32</f>
        <v>0.55349723205200074</v>
      </c>
      <c r="AV56" s="193">
        <f>(Model!$C$52*AV5*AV20+AV2*AW5*AW20)/AV32</f>
        <v>0.68964012903250582</v>
      </c>
      <c r="XFD56" s="193"/>
    </row>
    <row r="57" spans="1:48 16321:16384" x14ac:dyDescent="0.2">
      <c r="A57" t="s">
        <v>171</v>
      </c>
      <c r="B57" s="193">
        <f t="array" ref="B57">SUM(Model!tauL*B13:C13*B26:C26)/B32</f>
        <v>0.15852881819439493</v>
      </c>
      <c r="D57" s="193">
        <f t="array" ref="D57">SUM(Model!tauL*D13:E13*D26:E26)/D32</f>
        <v>0.1582490704171903</v>
      </c>
      <c r="F57" s="193">
        <f t="array" ref="F57">SUM(Model!tauL*F13:G13*F26:G26)/F32</f>
        <v>0.1579489546590829</v>
      </c>
      <c r="H57" s="193">
        <f t="array" ref="H57">SUM(Model!tauL*H13:I13*H26:I26)/H32</f>
        <v>0.15762565537776133</v>
      </c>
      <c r="J57" s="193">
        <f t="array" ref="J57">SUM(Model!tauL*J13:K13*J26:K26)/J32</f>
        <v>0.15727570473311908</v>
      </c>
      <c r="L57" s="193">
        <f t="array" ref="L57">SUM(Model!tauL*L13:M13*L26:M26)/L32</f>
        <v>0.15689473144878738</v>
      </c>
      <c r="N57" s="193">
        <f t="array" ref="N57">SUM(Model!tauL*N13:O13*N26:O26)/N32</f>
        <v>0.15647706653386792</v>
      </c>
      <c r="P57" s="193">
        <f t="array" ref="P57">SUM(Model!tauL*P13:Q13*P26:Q26)/P32</f>
        <v>0.15601513504006101</v>
      </c>
      <c r="R57" s="193">
        <f t="array" ref="R57">SUM(Model!tauL*R13:S13*R26:S26)/R32</f>
        <v>0.15549845680277458</v>
      </c>
      <c r="T57" s="193">
        <f t="array" ref="T57">SUM(Model!tauL*T13:U13*T26:U26)/T32</f>
        <v>0.15491198984637941</v>
      </c>
      <c r="V57" s="193">
        <f t="array" ref="V57">SUM(Model!tauL*V13:W13*V26:W26)/V32</f>
        <v>0.15423327687620153</v>
      </c>
      <c r="X57" s="193">
        <f t="array" ref="X57">SUM(Model!tauL*X13:Y13*X26:Y26)/X32</f>
        <v>0.15342737037187801</v>
      </c>
      <c r="Y57" s="193"/>
      <c r="Z57" s="193">
        <f t="array" ref="Z57">SUM(Model!tauL*Z13:AA13*Z26:AA26)/Z32</f>
        <v>0.15243748220767206</v>
      </c>
      <c r="AB57" s="193">
        <f t="array" ref="AB57">SUM(Model!tauL*AB13:AC13*AB26:AC26)/AB32</f>
        <v>0.15116720167855741</v>
      </c>
      <c r="AD57" s="193">
        <f t="array" ref="AD57">SUM(Model!tauL*AD13:AE13*AD26:AE26)/AD32</f>
        <v>0.14944615069934197</v>
      </c>
      <c r="AF57" s="193">
        <f t="array" ref="AF57">SUM(Model!tauL*AF13:AG13*AF26:AG26)/AF32</f>
        <v>0.14696594287626763</v>
      </c>
      <c r="AH57" s="193">
        <f t="array" ref="AH57">SUM(Model!tauL*AH13:AI13*AH26:AI26)/AH32</f>
        <v>0.14317724457149739</v>
      </c>
      <c r="AJ57" s="193">
        <f t="array" ref="AJ57">SUM(Model!tauL*AJ13:AK13*AJ26:AK26)/AJ32</f>
        <v>0.13714676893737007</v>
      </c>
      <c r="AL57" s="193">
        <f t="array" ref="AL57">SUM(Model!tauL*AL13:AM13*AL26:AM26)/AL32</f>
        <v>0.12704953610742539</v>
      </c>
      <c r="AN57" s="193">
        <f t="array" ref="AN57">SUM(Model!tauL*AN13:AO13*AN26:AO26)/AN32</f>
        <v>0.10662052900732842</v>
      </c>
      <c r="AP57" s="193">
        <f t="array" ref="AP57">SUM(Model!tauL*AP13:AQ13*AP26:AQ26)/AP32</f>
        <v>9.9321795858838532E-2</v>
      </c>
      <c r="AR57" s="193">
        <f t="array" ref="AR57">SUM(Model!tauL*AR13:AS13*AR26:AS26)/AR32</f>
        <v>8.9531980844038961E-2</v>
      </c>
      <c r="AT57" s="193">
        <f t="array" ref="AT57">SUM(Model!tauL*AT13:AU13*AT26:AU26)/AT32</f>
        <v>7.5351575932605427E-2</v>
      </c>
      <c r="AV57" s="193">
        <f t="array" ref="AV57">SUM(Model!tauL*AV13:AW13*AV26:AW26)/AV32</f>
        <v>5.1900999798121246E-2</v>
      </c>
      <c r="XFD57" s="193"/>
    </row>
    <row r="58" spans="1:48 16321:16384" x14ac:dyDescent="0.2">
      <c r="A58" t="s">
        <v>172</v>
      </c>
      <c r="B58" s="193">
        <f t="array" ref="B58">SUM(Model!tauY/(1+Model!tauY)*B3:C3*B18:C18)/B32</f>
        <v>1.075269412108535E-2</v>
      </c>
      <c r="D58" s="193">
        <f t="array" ref="D58">SUM(Model!tauY/(1+Model!tauY)*D3:E3*D18:E18)/D32</f>
        <v>1.0671062184508773E-2</v>
      </c>
      <c r="F58" s="193">
        <f t="array" ref="F58">SUM(Model!tauY/(1+Model!tauY)*F3:G3*F18:G18)/F32</f>
        <v>1.0588649379073849E-2</v>
      </c>
      <c r="H58" s="193">
        <f t="array" ref="H58">SUM(Model!tauY/(1+Model!tauY)*H3:I3*H18:I18)/H32</f>
        <v>1.0505238994803582E-2</v>
      </c>
      <c r="J58" s="193">
        <f t="array" ref="J58">SUM(Model!tauY/(1+Model!tauY)*J3:K3*J18:K18)/J32</f>
        <v>1.0420570795564235E-2</v>
      </c>
      <c r="L58" s="193">
        <f t="array" ref="L58">SUM(Model!tauY/(1+Model!tauY)*L3:M3*L18:M18)/L32</f>
        <v>1.033433018236205E-2</v>
      </c>
      <c r="N58" s="193">
        <f t="array" ref="N58">SUM(Model!tauY/(1+Model!tauY)*N3:O3*N18:O18)/N32</f>
        <v>1.0246141573510096E-2</v>
      </c>
      <c r="P58" s="193">
        <f t="array" ref="P58">SUM(Model!tauY/(1+Model!tauY)*P3:Q3*P18:Q18)/P32</f>
        <v>1.0155552324879873E-2</v>
      </c>
      <c r="R58" s="193">
        <f t="array" ref="R58">SUM(Model!tauY/(1+Model!tauY)*R3:S3*R18:S18)/R32</f>
        <v>1.0062025247811789E-2</v>
      </c>
      <c r="T58" s="193">
        <f t="array" ref="T58">SUM(Model!tauY/(1+Model!tauY)*T3:U3*T18:U18)/T32</f>
        <v>9.964928006725049E-3</v>
      </c>
      <c r="V58" s="193">
        <f t="array" ref="V58">SUM(Model!tauY/(1+Model!tauY)*V3:W3*V18:W18)/V32</f>
        <v>9.8635319543369428E-3</v>
      </c>
      <c r="X58" s="193">
        <f t="array" ref="X58">SUM(Model!tauY/(1+Model!tauY)*X3:Y3*X18:Y18)/X32</f>
        <v>9.7570297863801853E-3</v>
      </c>
      <c r="Y58" s="193"/>
      <c r="Z58" s="193">
        <f t="array" ref="Z58">SUM(Model!tauY/(1+Model!tauY)*Z3:AA3*Z18:AA18)/Z32</f>
        <v>9.6445943377817932E-3</v>
      </c>
      <c r="AB58" s="193">
        <f t="array" ref="AB58">SUM(Model!tauY/(1+Model!tauY)*AB3:AC3*AB18:AC18)/AB32</f>
        <v>9.5255272903571556E-3</v>
      </c>
      <c r="AD58" s="193">
        <f t="array" ref="AD58">SUM(Model!tauY/(1+Model!tauY)*AD3:AE3*AD18:AE18)/AD32</f>
        <v>9.3995803419863102E-3</v>
      </c>
      <c r="AF58" s="193">
        <f t="array" ref="AF58">SUM(Model!tauY/(1+Model!tauY)*AF3:AG3*AF18:AG18)/AF32</f>
        <v>9.2675145687348692E-3</v>
      </c>
      <c r="AH58" s="193">
        <f t="array" ref="AH58">SUM(Model!tauY/(1+Model!tauY)*AH3:AI3*AH18:AI18)/AH32</f>
        <v>9.1315050119234239E-3</v>
      </c>
      <c r="AJ58" s="193">
        <f t="array" ref="AJ58">SUM(Model!tauY/(1+Model!tauY)*AJ3:AK3*AJ18:AK18)/AJ32</f>
        <v>8.9935108770128058E-3</v>
      </c>
      <c r="AL58" s="193">
        <f t="array" ref="AL58">SUM(Model!tauY/(1+Model!tauY)*AL3:AM3*AL18:AM18)/AL32</f>
        <v>8.8511799047987227E-3</v>
      </c>
      <c r="AN58" s="193">
        <f t="array" ref="AN58">SUM(Model!tauY/(1+Model!tauY)*AN3:AO3*AN18:AO18)/AN32</f>
        <v>8.7098686520440498E-3</v>
      </c>
      <c r="AP58" s="193">
        <f t="array" ref="AP58">SUM(Model!tauY/(1+Model!tauY)*AP3:AQ3*AP18:AQ18)/AP32</f>
        <v>8.6900044368294523E-3</v>
      </c>
      <c r="AR58" s="193">
        <f t="array" ref="AR58">SUM(Model!tauY/(1+Model!tauY)*AR3:AS3*AR18:AS18)/AR32</f>
        <v>8.6827353070826341E-3</v>
      </c>
      <c r="AT58" s="193">
        <f t="array" ref="AT58">SUM(Model!tauY/(1+Model!tauY)*AT3:AU3*AT18:AU18)/AT32</f>
        <v>8.7054515515697997E-3</v>
      </c>
      <c r="AV58" s="193">
        <f t="array" ref="AV58">SUM(Model!tauY/(1+Model!tauY)*AV3:AW3*AV18:AW18)/AV32</f>
        <v>8.8118543169542884E-3</v>
      </c>
      <c r="XFD58" s="193"/>
    </row>
    <row r="59" spans="1:48 16321:16384" x14ac:dyDescent="0.2">
      <c r="A59" t="s">
        <v>173</v>
      </c>
      <c r="B59" s="193">
        <f>(B2*C5*C20)/B32</f>
        <v>5.5174232040962052E-4</v>
      </c>
      <c r="D59" s="193">
        <f>(D2*E5*E20)/D32</f>
        <v>4.9628005775018856E-3</v>
      </c>
      <c r="F59" s="193">
        <f>(F2*G5*G20)/F32</f>
        <v>9.485803327161018E-3</v>
      </c>
      <c r="H59" s="193">
        <f>(H2*I5*I20)/H32</f>
        <v>1.4138547434054767E-2</v>
      </c>
      <c r="J59" s="193">
        <f>(J2*K5*K20)/J32</f>
        <v>1.8942566115822814E-2</v>
      </c>
      <c r="L59" s="193">
        <f>(L2*M5*M20)/L32</f>
        <v>2.3924413414606188E-2</v>
      </c>
      <c r="N59" s="193">
        <f>(N2*O5*O20)/N32</f>
        <v>2.9117669039504593E-2</v>
      </c>
      <c r="P59" s="193">
        <f>(P2*Q5*Q20)/P32</f>
        <v>3.4565999774591363E-2</v>
      </c>
      <c r="R59" s="193">
        <f>(R2*S5*S20)/R32</f>
        <v>4.0328143890659765E-2</v>
      </c>
      <c r="T59" s="193">
        <f>(T2*U5*U20)/T32</f>
        <v>4.6486258085387311E-2</v>
      </c>
      <c r="V59" s="193">
        <f>(V2*W5*W20)/V32</f>
        <v>5.3160405312697986E-2</v>
      </c>
      <c r="X59" s="193">
        <f>(X2*Y5*Y20)/X32</f>
        <v>6.053457826274182E-2</v>
      </c>
      <c r="Z59" s="193">
        <f>(Z2*AA5*AA20)/Z32</f>
        <v>6.8905490910532496E-2</v>
      </c>
      <c r="AB59" s="193">
        <f>(AB2*AC5*AC20)/AB32</f>
        <v>7.8777206465635297E-2</v>
      </c>
      <c r="AD59" s="193">
        <f>(AD2*AE5*AE20)/AD32</f>
        <v>9.1049090019843057E-2</v>
      </c>
      <c r="AF59" s="193">
        <f>(AF2*AG5*AG20)/AF32</f>
        <v>0.10738068457190761</v>
      </c>
      <c r="AH59" s="193">
        <f>(AH2*AI5*AI20)/AH32</f>
        <v>0.13082029655879146</v>
      </c>
      <c r="AJ59" s="193">
        <f>(AJ2*AK5*AK20)/AJ32</f>
        <v>0.1667613088308256</v>
      </c>
      <c r="AL59" s="193">
        <f>(AL2*AM5*AM20)/AL32</f>
        <v>0.2260103670593068</v>
      </c>
      <c r="AN59" s="193">
        <f>(AN2*AO5*AO20)/AN32</f>
        <v>0.34518309294492439</v>
      </c>
      <c r="AP59" s="193">
        <f>(AP2*AQ5*AQ20)/AP32</f>
        <v>0.38764799811276091</v>
      </c>
      <c r="AR59" s="193">
        <f>(AR2*AS5*AS20)/AR32</f>
        <v>0.44453317728296354</v>
      </c>
      <c r="AT59" s="193">
        <f>(AT2*AU5*AU20)/AT32</f>
        <v>0.52680153554328668</v>
      </c>
      <c r="AV59" s="193">
        <f>(AV2*AW5*AW20)/AV32</f>
        <v>0.66257713186385792</v>
      </c>
      <c r="XFD59" s="193"/>
    </row>
    <row r="60" spans="1:48 16321:16384" x14ac:dyDescent="0.2">
      <c r="A60" t="s">
        <v>174</v>
      </c>
      <c r="B60" s="193">
        <f>Model!$C$52*B5*B20/B32</f>
        <v>2.8669464423930927E-2</v>
      </c>
      <c r="D60" s="193">
        <f>Model!$C$52*D5*D20/D32</f>
        <v>2.8614339093650212E-2</v>
      </c>
      <c r="F60" s="193">
        <f>Model!$C$52*F5*F20/F32</f>
        <v>2.8558627471474345E-2</v>
      </c>
      <c r="H60" s="193">
        <f>Model!$C$52*H5*H20/H32</f>
        <v>2.8502244044925469E-2</v>
      </c>
      <c r="J60" s="193">
        <f>Model!$C$52*J5*J20/J32</f>
        <v>2.844508912179361E-2</v>
      </c>
      <c r="L60" s="193">
        <f>Model!$C$52*L5*L20/L32</f>
        <v>2.8387042492119385E-2</v>
      </c>
      <c r="N60" s="193">
        <f>Model!$C$52*N5*N20/N32</f>
        <v>2.8327955398842215E-2</v>
      </c>
      <c r="P60" s="193">
        <f>Model!$C$52*P5*P20/P32</f>
        <v>2.8267632785558206E-2</v>
      </c>
      <c r="R60" s="193">
        <f>Model!$C$52*R5*R20/R32</f>
        <v>2.8205807071937695E-2</v>
      </c>
      <c r="T60" s="193">
        <f>Model!$C$52*T5*T20/T32</f>
        <v>2.814208804786333E-2</v>
      </c>
      <c r="V60" s="193">
        <f>Model!$C$52*V5*V20/V32</f>
        <v>2.8075872879311885E-2</v>
      </c>
      <c r="X60" s="193">
        <f>Model!$C$52*X5*X20/X32</f>
        <v>2.800617832667689E-2</v>
      </c>
      <c r="Z60" s="193">
        <f>Model!$C$52*Z5*Z20/Z32</f>
        <v>2.7931319424456345E-2</v>
      </c>
      <c r="AB60" s="193">
        <f>Model!$C$52*AB5*AB20/AB32</f>
        <v>2.7848286493112384E-2</v>
      </c>
      <c r="AD60" s="193">
        <f>Model!$C$52*AD5*AD20/AD32</f>
        <v>2.7751553637319196E-2</v>
      </c>
      <c r="AF60" s="193">
        <f>Model!$C$52*AF5*AF20/AF32</f>
        <v>2.7631051895231448E-2</v>
      </c>
      <c r="AH60" s="193">
        <f>Model!$C$52*AH5*AH20/AH32</f>
        <v>2.7470147348665798E-2</v>
      </c>
      <c r="AJ60" s="193">
        <f>Model!$C$52*AJ5*AJ20/AJ32</f>
        <v>2.7248576694852398E-2</v>
      </c>
      <c r="AL60" s="193">
        <f>Model!$C$52*AL5*AL20/AL32</f>
        <v>2.6955903630483436E-2</v>
      </c>
      <c r="AN60" s="193">
        <f>Model!$C$52*AN5*AN20/AN32</f>
        <v>2.6634845069246689E-2</v>
      </c>
      <c r="AP60" s="193">
        <f>Model!$C$52*AP5*AP20/AP32</f>
        <v>2.6596125853670865E-2</v>
      </c>
      <c r="AR60" s="193">
        <f>Model!$C$52*AR5*AR20/AR32</f>
        <v>2.6597722721227152E-2</v>
      </c>
      <c r="AT60" s="193">
        <f>Model!$C$52*AT5*AT20/AT32</f>
        <v>2.6695696508714173E-2</v>
      </c>
      <c r="AV60" s="193">
        <f>Model!$C$52*AV5*AV20/AV32</f>
        <v>2.7062997168647913E-2</v>
      </c>
      <c r="XFD60" s="193"/>
    </row>
    <row r="62" spans="1:48 16321:16384" x14ac:dyDescent="0.2">
      <c r="A62" t="s">
        <v>175</v>
      </c>
      <c r="B62">
        <f>B13/B15</f>
        <v>1</v>
      </c>
      <c r="D62">
        <f>D13/D15</f>
        <v>1.0057181662155801</v>
      </c>
      <c r="F62">
        <f>F13/F15</f>
        <v>1.011495367183745</v>
      </c>
      <c r="H62">
        <f>H13/H15</f>
        <v>1.0173360839967098</v>
      </c>
      <c r="J62">
        <f>J13/J15</f>
        <v>1.0232448735871178</v>
      </c>
      <c r="L62">
        <f>L13/L15</f>
        <v>1.0292260848524477</v>
      </c>
      <c r="N62">
        <f>N13/N15</f>
        <v>1.0352828837257453</v>
      </c>
      <c r="P62">
        <f>P13/P15</f>
        <v>1.0414163285713534</v>
      </c>
      <c r="R62">
        <f>R13/R15</f>
        <v>1.047622981096723</v>
      </c>
      <c r="T62">
        <f>T13/T15</f>
        <v>1.0538914908562445</v>
      </c>
      <c r="V62">
        <f>V13/V15</f>
        <v>1.0601966768902464</v>
      </c>
      <c r="X62">
        <f>X13/X15</f>
        <v>1.066489633819294</v>
      </c>
      <c r="Z62">
        <f>Z13/Z15</f>
        <v>1.0726814259640798</v>
      </c>
      <c r="AB62">
        <f>AB13/AB15</f>
        <v>1.0786168087327237</v>
      </c>
      <c r="AD62">
        <f>AD13/AD15</f>
        <v>1.0840366595083464</v>
      </c>
      <c r="AF62">
        <f>AF13/AF15</f>
        <v>1.0885462968994326</v>
      </c>
      <c r="AH62">
        <f>AH13/AH15</f>
        <v>1.0916799316609986</v>
      </c>
      <c r="AJ62">
        <f>AJ13/AJ15</f>
        <v>1.0932400932499617</v>
      </c>
      <c r="AL62">
        <f>AL13/AL15</f>
        <v>1.0936874903619074</v>
      </c>
      <c r="AN62">
        <f>AN13/AN15</f>
        <v>1.0937416636890023</v>
      </c>
      <c r="AP62">
        <f>AP13/AP15</f>
        <v>1.0937425391724358</v>
      </c>
      <c r="AR62">
        <f>AR13/AR15</f>
        <v>1.0937428506537035</v>
      </c>
      <c r="AT62">
        <f>AT13/AT15</f>
        <v>1.0937429379600778</v>
      </c>
      <c r="AV62">
        <f>AV13/AV15</f>
        <v>1.093742954786711</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0.9986432006014857</v>
      </c>
      <c r="E65" s="191"/>
      <c r="F65" s="191">
        <f t="array" ref="F65">SQRT((F9:G9*$B$22:$C$22+F10:G10*$B$23:$C$23+F11:G11*$B$24:$C$24+F4:G4*($B$25:$C$25-$B$19:$C$19))/($B$9:$C$9*$B$22:$C$22+$B$10:$C$10*$B$23:$C$23+$B$11:$C$11*$B$24:$C$24+$B$4:$C$4*($B$25:$C$25-$B$19:$C$19))*(F9:G9*F22:G22+F10:G10*F23:G23+F11:G11*F24:G24+F4:G4*(F25:G25-F19:G19))/($B$9:$C$9*F22:G22+$B$10:$C$10*F23:G23+$B$11:$C$11*F24:G24+$B$4:$C$4*(F25:G25-F19:G19)))</f>
        <v>0.99724550957203351</v>
      </c>
      <c r="G65" s="191"/>
      <c r="H65" s="191">
        <f t="array" ref="H65">SQRT((H9:I9*$B$22:$C$22+H10:I10*$B$23:$C$23+H11:I11*$B$24:$C$24+H4:I4*($B$25:$C$25-$B$19:$C$19))/($B$9:$C$9*$B$22:$C$22+$B$10:$C$10*$B$23:$C$23+$B$11:$C$11*$B$24:$C$24+$B$4:$C$4*($B$25:$C$25-$B$19:$C$19))*(H9:I9*H22:I22+H10:I10*H23:I23+H11:I11*H24:I24+H4:I4*(H25:I25-H19:I19))/($B$9:$C$9*H22:I22+$B$10:$C$10*H23:I23+$B$11:$C$11*H24:I24+$B$4:$C$4*(H25:I25-H19:I19)))</f>
        <v>0.99580024050274618</v>
      </c>
      <c r="I65" s="191"/>
      <c r="J65" s="191">
        <f t="array" ref="J65">SQRT((J9:K9*$B$22:$C$22+J10:K10*$B$23:$C$23+J11:K11*$B$24:$C$24+J4:K4*($B$25:$C$25-$B$19:$C$19))/($B$9:$C$9*$B$22:$C$22+$B$10:$C$10*$B$23:$C$23+$B$11:$C$11*$B$24:$C$24+$B$4:$C$4*($B$25:$C$25-$B$19:$C$19))*(J9:K9*J22:K22+J10:K10*J23:K23+J11:K11*J24:K24+J4:K4*(J25:K25-J19:K19))/($B$9:$C$9*J22:K22+$B$10:$C$10*J23:K23+$B$11:$C$11*J24:K24+$B$4:$C$4*(J25:K25-J19:K19)))</f>
        <v>0.99429979343951547</v>
      </c>
      <c r="K65" s="191"/>
      <c r="L65" s="191">
        <f t="array" ref="L65">SQRT((L9:M9*$B$22:$C$22+L10:M10*$B$23:$C$23+L11:M11*$B$24:$C$24+L4:M4*($B$25:$C$25-$B$19:$C$19))/($B$9:$C$9*$B$22:$C$22+$B$10:$C$10*$B$23:$C$23+$B$11:$C$11*$B$24:$C$24+$B$4:$C$4*($B$25:$C$25-$B$19:$C$19))*(L9:M9*L22:M22+L10:M10*L23:M23+L11:M11*L24:M24+L4:M4*(L25:M25-L19:M19))/($B$9:$C$9*L22:M22+$B$10:$C$10*L23:M23+$B$11:$C$11*L24:M24+$B$4:$C$4*(L25:M25-L19:M19)))</f>
        <v>0.99273574559220645</v>
      </c>
      <c r="M65" s="191"/>
      <c r="N65" s="191">
        <f t="array" ref="N65">SQRT((N9:O9*$B$22:$C$22+N10:O10*$B$23:$C$23+N11:O11*$B$24:$C$24+N4:O4*($B$25:$C$25-$B$19:$C$19))/($B$9:$C$9*$B$22:$C$22+$B$10:$C$10*$B$23:$C$23+$B$11:$C$11*$B$24:$C$24+$B$4:$C$4*($B$25:$C$25-$B$19:$C$19))*(N9:O9*N22:O22+N10:O10*N23:O23+N11:O11*N24:O24+N4:O4*(N25:O25-N19:O19))/($B$9:$C$9*N22:O22+$B$10:$C$10*N23:O23+$B$11:$C$11*N24:O24+$B$4:$C$4*(N25:O25-N19:O19)))</f>
        <v>0.99109916003289267</v>
      </c>
      <c r="O65" s="191"/>
      <c r="P65" s="191">
        <f t="array" ref="P65">SQRT((P9:Q9*$B$22:$C$22+P10:Q10*$B$23:$C$23+P11:Q11*$B$24:$C$24+P4:Q4*($B$25:$C$25-$B$19:$C$19))/($B$9:$C$9*$B$22:$C$22+$B$10:$C$10*$B$23:$C$23+$B$11:$C$11*$B$24:$C$24+$B$4:$C$4*($B$25:$C$25-$B$19:$C$19))*(P9:Q9*P22:Q22+P10:Q10*P23:Q23+P11:Q11*P24:Q24+P4:Q4*(P25:Q25-P19:Q19))/($B$9:$C$9*P22:Q22+$B$10:$C$10*P23:Q23+$B$11:$C$11*P24:Q24+$B$4:$C$4*(P25:Q25-P19:Q19)))</f>
        <v>0.98938126838807317</v>
      </c>
      <c r="Q65" s="191"/>
      <c r="R65" s="191">
        <f t="array" ref="R65">SQRT((R9:S9*$B$22:$C$22+R10:S10*$B$23:$C$23+R11:S11*$B$24:$C$24+R4:S4*($B$25:$C$25-$B$19:$C$19))/($B$9:$C$9*$B$22:$C$22+$B$10:$C$10*$B$23:$C$23+$B$11:$C$11*$B$24:$C$24+$B$4:$C$4*($B$25:$C$25-$B$19:$C$19))*(R9:S9*R22:S22+R10:S10*R23:S23+R11:S11*R24:S24+R4:S4*(R25:S25-R19:S19))/($B$9:$C$9*R22:S22+$B$10:$C$10*R23:S23+$B$11:$C$11*R24:S24+$B$4:$C$4*(R25:S25-R19:S19)))</f>
        <v>0.98757487438889136</v>
      </c>
      <c r="S65" s="191"/>
      <c r="T65" s="191">
        <f t="array" ref="T65">SQRT((T9:U9*$B$22:$C$22+T10:U10*$B$23:$C$23+T11:U11*$B$24:$C$24+T4:U4*($B$25:$C$25-$B$19:$C$19))/($B$9:$C$9*$B$22:$C$22+$B$10:$C$10*$B$23:$C$23+$B$11:$C$11*$B$24:$C$24+$B$4:$C$4*($B$25:$C$25-$B$19:$C$19))*(T9:U9*T22:U22+T10:U10*T23:U23+T11:U11*T24:U24+T4:U4*(T25:U25-T19:U19))/($B$9:$C$9*T22:U22+$B$10:$C$10*T23:U23+$B$11:$C$11*T24:U24+$B$4:$C$4*(T25:U25-T19:U19)))</f>
        <v>0.98567705858392007</v>
      </c>
      <c r="U65" s="191"/>
      <c r="V65" s="191">
        <f t="array" ref="V65">SQRT((V9:W9*$B$22:$C$22+V10:W10*$B$23:$C$23+V11:W11*$B$24:$C$24+V4:W4*($B$25:$C$25-$B$19:$C$19))/($B$9:$C$9*$B$22:$C$22+$B$10:$C$10*$B$23:$C$23+$B$11:$C$11*$B$24:$C$24+$B$4:$C$4*($B$25:$C$25-$B$19:$C$19))*(V9:W9*V22:W22+V10:W10*V23:W23+V11:W11*V24:W24+V4:W4*(V25:W25-V19:W19))/($B$9:$C$9*V22:W22+$B$10:$C$10*V23:W23+$B$11:$C$11*V24:W24+$B$4:$C$4*(V25:W25-V19:W19)))</f>
        <v>0.98369431995049061</v>
      </c>
      <c r="W65" s="191"/>
      <c r="X65" s="191">
        <f t="array" ref="X65">SQRT((X9:Y9*$B$22:$C$22+X10:Y10*$B$23:$C$23+X11:Y11*$B$24:$C$24+X4:Y4*($B$25:$C$25-$B$19:$C$19))/($B$9:$C$9*$B$22:$C$22+$B$10:$C$10*$B$23:$C$23+$B$11:$C$11*$B$24:$C$24+$B$4:$C$4*($B$25:$C$25-$B$19:$C$19))*(X9:Y9*X22:Y22+X10:Y10*X23:Y23+X11:Y11*X24:Y24+X4:Y4*(X25:Y25-X19:Y19))/($B$9:$C$9*X22:Y22+$B$10:$C$10*X23:Y23+$B$11:$C$11*X24:Y24+$B$4:$C$4*(X25:Y25-X19:Y19)))</f>
        <v>0.98165231195246949</v>
      </c>
      <c r="Y65" s="191"/>
      <c r="Z65" s="191">
        <f t="array" ref="Z65">SQRT((Z9:AA9*$B$22:$C$22+Z10:AA10*$B$23:$C$23+Z11:AA11*$B$24:$C$24+Z4:AA4*($B$25:$C$25-$B$19:$C$19))/($B$9:$C$9*$B$22:$C$22+$B$10:$C$10*$B$23:$C$23+$B$11:$C$11*$B$24:$C$24+$B$4:$C$4*($B$25:$C$25-$B$19:$C$19))*(Z9:AA9*Z22:AA22+Z10:AA10*Z23:AA23+Z11:AA11*Z24:AA24+Z4:AA4*(Z25:AA25-Z19:AA19))/($B$9:$C$9*Z22:AA22+$B$10:$C$10*Z23:AA23+$B$11:$C$11*Z24:AA24+$B$4:$C$4*(Z25:AA25-Z19:AA19)))</f>
        <v>0.97961441856143061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0.97771720083776581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0.97623573804232744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0.97568474418927387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0.97687317479386704</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0.98055989798614518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0.98656255814639637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0.99386709412447782</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0.99549589484127177</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0.99728628268699759</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0.99943639591481581</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1.0025402537475945</v>
      </c>
    </row>
    <row r="66" spans="1:48 16384:16384" x14ac:dyDescent="0.2">
      <c r="A66" t="s">
        <v>182</v>
      </c>
      <c r="B66" s="191">
        <f t="array" ref="B66">SQRT((B9:C9*$B$22:$C$22)/($B$9:$C$9*$B$22:$C$22)*(B9:C9*B22:C22)/($B$9:$C$9*B22:C22))</f>
        <v>1</v>
      </c>
      <c r="C66" s="191"/>
      <c r="D66" s="191">
        <f t="array" ref="D66">SQRT((D9:E9*$B$22:$C$22)/($B$9:$C$9*$B$22:$C$22)*(D9:E9*D22:E22)/($B$9:$C$9*D22:E22))</f>
        <v>0.99850808249107981</v>
      </c>
      <c r="E66" s="191"/>
      <c r="F66" s="191">
        <f t="array" ref="F66">SQRT((F9:G9*$B$22:$C$22)/($B$9:$C$9*$B$22:$C$22)*(F9:G9*F22:G22)/($B$9:$C$9*F22:G22))</f>
        <v>0.99696959867660928</v>
      </c>
      <c r="G66" s="191"/>
      <c r="H66" s="191">
        <f t="array" ref="H66">SQRT((H9:I9*$B$22:$C$22)/($B$9:$C$9*$B$22:$C$22)*(H9:I9*H22:I22)/($B$9:$C$9*H22:I22))</f>
        <v>0.995377018248367</v>
      </c>
      <c r="I66" s="191"/>
      <c r="J66" s="191">
        <f t="array" ref="J66">SQRT((J9:K9*$B$22:$C$22)/($B$9:$C$9*$B$22:$C$22)*(J9:K9*J22:K22)/($B$9:$C$9*J22:K22))</f>
        <v>0.99372176009747559</v>
      </c>
      <c r="K66" s="191"/>
      <c r="L66" s="191">
        <f t="array" ref="L66">SQRT((L9:M9*$B$22:$C$22)/($B$9:$C$9*$B$22:$C$22)*(L9:M9*L22:M22)/($B$9:$C$9*L22:M22))</f>
        <v>0.99199428218937191</v>
      </c>
      <c r="M66" s="191"/>
      <c r="N66" s="191">
        <f t="array" ref="N66">SQRT((N9:O9*$B$22:$C$22)/($B$9:$C$9*$B$22:$C$22)*(N9:O9*N22:O22)/($B$9:$C$9*N22:O22))</f>
        <v>0.99018441187831352</v>
      </c>
      <c r="O66" s="191"/>
      <c r="P66" s="191">
        <f t="array" ref="P66">SQRT((P9:Q9*$B$22:$C$22)/($B$9:$C$9*$B$22:$C$22)*(P9:Q9*P22:Q22)/($B$9:$C$9*P22:Q22))</f>
        <v>0.9882820918430556</v>
      </c>
      <c r="Q66" s="191"/>
      <c r="R66" s="191">
        <f t="array" ref="R66">SQRT((R9:S9*$B$22:$C$22)/($B$9:$C$9*$B$22:$C$22)*(R9:S9*R22:S22)/($B$9:$C$9*R22:S22))</f>
        <v>0.98627893127086863</v>
      </c>
      <c r="S66" s="191"/>
      <c r="T66" s="191">
        <f t="array" ref="T66">SQRT((T9:U9*$B$22:$C$22)/($B$9:$C$9*$B$22:$C$22)*(T9:U9*T22:U22)/($B$9:$C$9*T22:U22))</f>
        <v>0.98417121782337702</v>
      </c>
      <c r="U66" s="191"/>
      <c r="V66" s="191">
        <f t="array" ref="V66">SQRT((V9:W9*$B$22:$C$22)/($B$9:$C$9*$B$22:$C$22)*(V9:W9*V22:W22)/($B$9:$C$9*V22:W22))</f>
        <v>0.9819656756766868</v>
      </c>
      <c r="W66" s="191"/>
      <c r="X66" s="191">
        <f t="array" ref="X66">SQRT((X9:Y9*$B$22:$C$22)/($B$9:$C$9*$B$22:$C$22)*(X9:Y9*X22:Y22)/($B$9:$C$9*X22:Y22))</f>
        <v>0.9796904165526531</v>
      </c>
      <c r="Y66" s="191"/>
      <c r="Z66" s="191">
        <f t="array" ref="Z66">SQRT((Z9:AA9*$B$22:$C$22)/($B$9:$C$9*$B$22:$C$22)*(Z9:AA9*Z22:AA22)/($B$9:$C$9*Z22:AA22))</f>
        <v>0.97741590068253748</v>
      </c>
      <c r="AA66" s="191"/>
      <c r="AB66" s="191">
        <f t="array" ref="AB66">SQRT((AB9:AC9*$B$22:$C$22)/($B$9:$C$9*$B$22:$C$22)*(AB9:AC9*AB22:AC22)/($B$9:$C$9*AB22:AC22))</f>
        <v>0.97529500750707065</v>
      </c>
      <c r="AC66" s="191"/>
      <c r="AD66" s="191">
        <f t="array" ref="AD66">SQRT((AD9:AE9*$B$22:$C$22)/($B$9:$C$9*$B$22:$C$22)*(AD9:AE9*AD22:AE22)/($B$9:$C$9*AD22:AE22))</f>
        <v>0.97363688607496524</v>
      </c>
      <c r="AE66" s="191"/>
      <c r="AF66" s="191">
        <f t="array" ref="AF66">SQRT((AF9:AG9*$B$22:$C$22)/($B$9:$C$9*$B$22:$C$22)*(AF9:AG9*AF22:AG22)/($B$9:$C$9*AF22:AG22))</f>
        <v>0.97302072782949856</v>
      </c>
      <c r="AG66" s="191"/>
      <c r="AH66" s="191">
        <f t="array" ref="AH66">SQRT((AH9:AI9*$B$22:$C$22)/($B$9:$C$9*$B$22:$C$22)*(AH9:AI9*AH22:AI22)/($B$9:$C$9*AH22:AI22))</f>
        <v>0.97435455441157193</v>
      </c>
      <c r="AI66" s="191"/>
      <c r="AJ66" s="191">
        <f t="array" ref="AJ66">SQRT((AJ9:AK9*$B$22:$C$22)/($B$9:$C$9*$B$22:$C$22)*(AJ9:AK9*AJ22:AK22)/($B$9:$C$9*AJ22:AK22))</f>
        <v>0.97847935709657374</v>
      </c>
      <c r="AK66" s="191"/>
      <c r="AL66" s="191">
        <f t="array" ref="AL66">SQRT((AL9:AM9*$B$22:$C$22)/($B$9:$C$9*$B$22:$C$22)*(AL9:AM9*AL22:AM22)/($B$9:$C$9*AL22:AM22))</f>
        <v>0.98516451767557267</v>
      </c>
      <c r="AM66" s="191"/>
      <c r="AN66" s="191">
        <f t="array" ref="AN66">SQRT((AN9:AO9*$B$22:$C$22)/($B$9:$C$9*$B$22:$C$22)*(AN9:AO9*AN22:AO22)/($B$9:$C$9*AN22:AO22))</f>
        <v>0.99325078593105154</v>
      </c>
      <c r="AO66" s="191"/>
      <c r="AP66" s="191">
        <f t="array" ref="AP66">SQRT((AP9:AQ9*$B$22:$C$22)/($B$9:$C$9*$B$22:$C$22)*(AP9:AQ9*AP22:AQ22)/($B$9:$C$9*AP22:AQ22))</f>
        <v>0.99504678412663428</v>
      </c>
      <c r="AQ66" s="191"/>
      <c r="AR66" s="191">
        <f t="array" ref="AR66">SQRT((AR9:AS9*$B$22:$C$22)/($B$9:$C$9*$B$22:$C$22)*(AR9:AS9*AR22:AS22)/($B$9:$C$9*AR22:AS22))</f>
        <v>0.99701801089670949</v>
      </c>
      <c r="AS66" s="191"/>
      <c r="AT66" s="191">
        <f t="array" ref="AT66">SQRT((AT9:AU9*$B$22:$C$22)/($B$9:$C$9*$B$22:$C$22)*(AT9:AU9*AT22:AU22)/($B$9:$C$9*AT22:AU22))</f>
        <v>0.99938125385473375</v>
      </c>
      <c r="AU66" s="191"/>
      <c r="AV66" s="191">
        <f t="array" ref="AV66">SQRT((AV9:AW9*$B$22:$C$22)/($B$9:$C$9*$B$22:$C$22)*(AV9:AW9*AV22:AW22)/($B$9:$C$9*AV22:AW22))</f>
        <v>1.0027850779810628</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0.99850808249107981</v>
      </c>
      <c r="E68" s="191"/>
      <c r="F68" s="191">
        <f>F66/F67</f>
        <v>0.99696959867660928</v>
      </c>
      <c r="G68" s="191"/>
      <c r="H68" s="191">
        <f>H66/H67</f>
        <v>0.995377018248367</v>
      </c>
      <c r="I68" s="191"/>
      <c r="J68" s="191">
        <f>J66/J67</f>
        <v>0.99372176009747559</v>
      </c>
      <c r="K68" s="191"/>
      <c r="L68" s="191">
        <f>L66/L67</f>
        <v>0.99199428218937191</v>
      </c>
      <c r="M68" s="191"/>
      <c r="N68" s="191">
        <f>N66/N67</f>
        <v>0.99018441187831352</v>
      </c>
      <c r="O68" s="191"/>
      <c r="P68" s="191">
        <f>P66/P67</f>
        <v>0.9882820918430556</v>
      </c>
      <c r="Q68" s="191"/>
      <c r="R68" s="191">
        <f>R66/R67</f>
        <v>0.98627893127086863</v>
      </c>
      <c r="S68" s="191"/>
      <c r="T68" s="191">
        <f>T66/T67</f>
        <v>0.98417121782337702</v>
      </c>
      <c r="U68" s="191"/>
      <c r="V68" s="191">
        <f>V66/V67</f>
        <v>0.9819656756766868</v>
      </c>
      <c r="W68" s="191"/>
      <c r="X68" s="191">
        <f>X66/X67</f>
        <v>0.9796904165526531</v>
      </c>
      <c r="Y68" s="191"/>
      <c r="Z68" s="191">
        <f>Z66/Z67</f>
        <v>0.97741590068253748</v>
      </c>
      <c r="AA68" s="191"/>
      <c r="AB68" s="191">
        <f>AB66/AB67</f>
        <v>0.97529500750707065</v>
      </c>
      <c r="AC68" s="191"/>
      <c r="AD68" s="191">
        <f>AD66/AD67</f>
        <v>0.97363688607496524</v>
      </c>
      <c r="AE68" s="191"/>
      <c r="AF68" s="191">
        <f>AF66/AF67</f>
        <v>0.97302072782949856</v>
      </c>
      <c r="AG68" s="191"/>
      <c r="AH68" s="191">
        <f>AH66/AH67</f>
        <v>0.97435455441157193</v>
      </c>
      <c r="AI68" s="191"/>
      <c r="AJ68" s="191">
        <f>AJ66/AJ67</f>
        <v>0.97847935709657374</v>
      </c>
      <c r="AK68" s="191"/>
      <c r="AL68" s="191">
        <f>AL66/AL67</f>
        <v>0.98516451767557267</v>
      </c>
      <c r="AM68" s="191"/>
      <c r="AN68" s="191">
        <f>AN66/AN67</f>
        <v>0.99325078593105154</v>
      </c>
      <c r="AO68" s="191"/>
      <c r="AP68" s="191">
        <f>AP66/AP67</f>
        <v>0.99504678412663428</v>
      </c>
      <c r="AQ68" s="191"/>
      <c r="AR68" s="191">
        <f>AR66/AR67</f>
        <v>0.99701801089670949</v>
      </c>
      <c r="AS68" s="191"/>
      <c r="AT68" s="191">
        <f>AT66/AT67</f>
        <v>0.99938125385473375</v>
      </c>
      <c r="AU68" s="191"/>
      <c r="AV68" s="191">
        <f>AV66/AV67</f>
        <v>1.0027850779810628</v>
      </c>
      <c r="XFD68" s="191"/>
    </row>
    <row r="69" spans="1:48 16384:16384" x14ac:dyDescent="0.2">
      <c r="A69" t="s">
        <v>177</v>
      </c>
      <c r="B69" s="191">
        <f>B32/B65/($B$32)</f>
        <v>1</v>
      </c>
      <c r="C69" s="191"/>
      <c r="D69" s="191">
        <f>D32/D65/($B$32)</f>
        <v>1.0014788168292366</v>
      </c>
      <c r="E69" s="191"/>
      <c r="F69" s="191">
        <f>F32/F65/($B$32)</f>
        <v>1.0028298317199789</v>
      </c>
      <c r="G69" s="191"/>
      <c r="H69" s="191">
        <f>H32/H65/($B$32)</f>
        <v>1.0040326490916112</v>
      </c>
      <c r="I69" s="191"/>
      <c r="J69" s="191">
        <f>J32/J65/($B$32)</f>
        <v>1.0050622951273362</v>
      </c>
      <c r="K69" s="191"/>
      <c r="L69" s="191">
        <f>L32/L65/($B$32)</f>
        <v>1.0058879749866945</v>
      </c>
      <c r="M69" s="191"/>
      <c r="N69" s="191">
        <f>N32/N65/($B$32)</f>
        <v>1.0064712162228511</v>
      </c>
      <c r="O69" s="191"/>
      <c r="P69" s="191">
        <f>P32/P65/($B$32)</f>
        <v>1.0067635970687763</v>
      </c>
      <c r="Q69" s="191"/>
      <c r="R69" s="191">
        <f>R32/R65/($B$32)</f>
        <v>1.0067032314707733</v>
      </c>
      <c r="S69" s="191"/>
      <c r="T69" s="191">
        <f>T32/T65/($B$32)</f>
        <v>1.0062098866803331</v>
      </c>
      <c r="U69" s="191"/>
      <c r="V69" s="191">
        <f>V32/V65/($B$32)</f>
        <v>1.0051775322452872</v>
      </c>
      <c r="W69" s="191"/>
      <c r="X69" s="191">
        <f>X32/X65/($B$32)</f>
        <v>1.0034624784499411</v>
      </c>
      <c r="Y69" s="191"/>
      <c r="Z69" s="191">
        <f>Z32/Z65/($B$32)</f>
        <v>1.0008631669445407</v>
      </c>
      <c r="AA69" s="191"/>
      <c r="AB69" s="191">
        <f>AB32/AB65/($B$32)</f>
        <v>0.99708205238348413</v>
      </c>
      <c r="AC69" s="191"/>
      <c r="AD69" s="191">
        <f>AD32/AD65/($B$32)</f>
        <v>0.9916435950660617</v>
      </c>
      <c r="AE69" s="191"/>
      <c r="AF69" s="191">
        <f>AF32/AF65/($B$32)</f>
        <v>0.98368644231601188</v>
      </c>
      <c r="AG69" s="191"/>
      <c r="AH69" s="191">
        <f>AH32/AH65/($B$32)</f>
        <v>0.97135182097500905</v>
      </c>
      <c r="AI69" s="191"/>
      <c r="AJ69" s="191">
        <f>AJ32/AJ65/($B$32)</f>
        <v>0.94986770971870804</v>
      </c>
      <c r="AK69" s="191"/>
      <c r="AL69" s="191">
        <f>AL32/AL65/($B$32)</f>
        <v>0.90530494924491145</v>
      </c>
      <c r="AM69" s="191"/>
      <c r="AN69" s="191">
        <f>AN32/AN65/($B$32)</f>
        <v>0.78439503235125652</v>
      </c>
      <c r="AO69" s="191"/>
      <c r="AP69" s="191">
        <f>AP32/AP65/($B$32)</f>
        <v>0.73410415206257429</v>
      </c>
      <c r="AQ69" s="191"/>
      <c r="AR69" s="191">
        <f>AR32/AR65/($B$32)</f>
        <v>0.66292266806789857</v>
      </c>
      <c r="AS69" s="191"/>
      <c r="AT69" s="191">
        <f>AT32/AT65/($B$32)</f>
        <v>0.55509000721426627</v>
      </c>
      <c r="AU69" s="191"/>
      <c r="AV69" s="191">
        <f>AV32/AV65/($B$32)</f>
        <v>0.37322850282079068</v>
      </c>
    </row>
    <row r="70" spans="1:48 16384:16384" x14ac:dyDescent="0.2">
      <c r="A70" t="s">
        <v>178</v>
      </c>
      <c r="B70" s="138">
        <f>B18/$B$18</f>
        <v>1</v>
      </c>
      <c r="C70" s="138"/>
      <c r="D70" s="138">
        <f>D18/$B$18</f>
        <v>1.0002861054690748</v>
      </c>
      <c r="E70" s="138"/>
      <c r="F70" s="138">
        <f>F18/$B$18</f>
        <v>1.0004452831013695</v>
      </c>
      <c r="G70" s="138"/>
      <c r="H70" s="138">
        <f>H18/$B$18</f>
        <v>1.0004586916600824</v>
      </c>
      <c r="I70" s="138"/>
      <c r="J70" s="138">
        <f>J18/$B$18</f>
        <v>1.0003031336529511</v>
      </c>
      <c r="K70" s="138"/>
      <c r="L70" s="138">
        <f>L18/$B$18</f>
        <v>0.99994959522928051</v>
      </c>
      <c r="M70" s="138"/>
      <c r="N70" s="138">
        <f>N18/$B$18</f>
        <v>0.99936100332505051</v>
      </c>
      <c r="O70" s="138"/>
      <c r="P70" s="138">
        <f>P18/$B$18</f>
        <v>0.99848902205138224</v>
      </c>
      <c r="Q70" s="138"/>
      <c r="R70" s="138">
        <f>R18/$B$18</f>
        <v>0.99726890863005146</v>
      </c>
      <c r="S70" s="138"/>
      <c r="T70" s="138">
        <f>T18/$B$18</f>
        <v>0.99561141697462618</v>
      </c>
      <c r="U70" s="138"/>
      <c r="V70" s="138">
        <f>V18/$B$18</f>
        <v>0.99338932320999929</v>
      </c>
      <c r="W70" s="138"/>
      <c r="X70" s="138">
        <f>X18/$B$18</f>
        <v>0.99041415797093635</v>
      </c>
      <c r="Y70" s="138"/>
      <c r="Z70" s="138">
        <f>Z18/$B$18</f>
        <v>0.98639420056890947</v>
      </c>
      <c r="AA70" s="138"/>
      <c r="AB70" s="138">
        <f>AB18/$B$18</f>
        <v>0.98085493317016847</v>
      </c>
      <c r="AC70" s="138"/>
      <c r="AD70" s="138">
        <f>AD18/$B$18</f>
        <v>0.97298179096674398</v>
      </c>
      <c r="AE70" s="138"/>
      <c r="AF70" s="138">
        <f>AF18/$B$18</f>
        <v>0.96130158116190512</v>
      </c>
      <c r="AG70" s="138"/>
      <c r="AH70" s="138">
        <f>AH18/$B$18</f>
        <v>0.94304028986375354</v>
      </c>
      <c r="AI70" s="138"/>
      <c r="AJ70" s="138">
        <f>AJ18/$B$18</f>
        <v>0.91273227251747946</v>
      </c>
      <c r="AK70" s="138"/>
      <c r="AL70" s="138">
        <f>AL18/$B$18</f>
        <v>0.85756451879665863</v>
      </c>
      <c r="AM70" s="138"/>
      <c r="AN70" s="138">
        <f>AN18/$B$18</f>
        <v>0.73116644242620166</v>
      </c>
      <c r="AO70" s="138"/>
      <c r="AP70" s="138">
        <f>AP18/$B$18</f>
        <v>0.68268079070358123</v>
      </c>
      <c r="AQ70" s="138"/>
      <c r="AR70" s="138">
        <f>AR18/$B$18</f>
        <v>0.61591997538562826</v>
      </c>
      <c r="AS70" s="138"/>
      <c r="AT70" s="138">
        <f>AT18/$B$18</f>
        <v>0.51703100673869462</v>
      </c>
      <c r="AU70" s="138"/>
      <c r="AV70" s="138">
        <f>AV18/$B$18</f>
        <v>0.35183812976664475</v>
      </c>
    </row>
    <row r="71" spans="1:48 16384:16384" x14ac:dyDescent="0.2">
      <c r="A71" t="s">
        <v>179</v>
      </c>
      <c r="B71" s="138">
        <f>C18/$C$18</f>
        <v>1</v>
      </c>
      <c r="D71" s="138">
        <f>E18/$C$18</f>
        <v>0.93025674690422633</v>
      </c>
      <c r="E71" s="138"/>
      <c r="F71" s="138">
        <f>G18/$C$18</f>
        <v>0.86054311329260003</v>
      </c>
      <c r="G71" s="138"/>
      <c r="H71" s="138">
        <f>I18/$C$18</f>
        <v>0.79087971153112679</v>
      </c>
      <c r="I71" s="138"/>
      <c r="J71" s="138">
        <f>K18/$C$18</f>
        <v>0.72129865936670767</v>
      </c>
      <c r="K71" s="138"/>
      <c r="L71" s="138">
        <f>M18/$C$18</f>
        <v>0.65184924186855109</v>
      </c>
      <c r="M71" s="138"/>
      <c r="N71" s="138">
        <f>O18/$C$18</f>
        <v>0.5826097553055013</v>
      </c>
      <c r="O71" s="138"/>
      <c r="P71" s="138">
        <f>Q18/$C$18</f>
        <v>0.51370055129788372</v>
      </c>
      <c r="Q71" s="138"/>
      <c r="R71" s="138">
        <f>S18/$C$18</f>
        <v>0.44530954092776354</v>
      </c>
      <c r="S71" s="138"/>
      <c r="T71" s="138">
        <f>U18/$C$18</f>
        <v>0.37772765542070902</v>
      </c>
      <c r="U71" s="138"/>
      <c r="V71" s="138">
        <f>W18/$C$18</f>
        <v>0.311405104157573</v>
      </c>
      <c r="W71" s="138"/>
      <c r="X71" s="138">
        <f>Y18/$C$18</f>
        <v>0.24703850526589885</v>
      </c>
      <c r="Y71" s="138"/>
      <c r="Z71" s="138">
        <f>AA18/$C$18</f>
        <v>0.18570354658461075</v>
      </c>
      <c r="AA71" s="138"/>
      <c r="AB71" s="138">
        <f>AC18/$C$18</f>
        <v>0.12904753727339291</v>
      </c>
      <c r="AC71" s="138"/>
      <c r="AD71" s="138">
        <f>AE18/$C$18</f>
        <v>7.9517202886326258E-2</v>
      </c>
      <c r="AE71" s="138"/>
      <c r="AF71" s="138">
        <f>AG18/$C$18</f>
        <v>4.0408041456794677E-2</v>
      </c>
      <c r="AG71" s="138"/>
      <c r="AH71" s="138">
        <f>AI18/$C$18</f>
        <v>1.4943422310287766E-2</v>
      </c>
      <c r="AI71" s="138"/>
      <c r="AJ71" s="138">
        <f>AK18/$C$18</f>
        <v>3.2885590210922342E-3</v>
      </c>
      <c r="AK71" s="138"/>
      <c r="AL71" s="138">
        <f>AM18/$C$18</f>
        <v>3.0957998781936351E-4</v>
      </c>
      <c r="AM71" s="138"/>
      <c r="AN71" s="138">
        <f>AO18/$C$18</f>
        <v>5.3905306915573561E-6</v>
      </c>
      <c r="AO71" s="138"/>
      <c r="AP71" s="138">
        <f>AQ18/$C$18</f>
        <v>1.5785909034135862E-6</v>
      </c>
      <c r="AQ71" s="138"/>
      <c r="AR71" s="138">
        <f>AS18/$C$18</f>
        <v>3.5234554598035116E-7</v>
      </c>
      <c r="AS71" s="138"/>
      <c r="AT71" s="138">
        <f>AU18/$C$18</f>
        <v>5.1255098991089372E-8</v>
      </c>
      <c r="AU71" s="138"/>
      <c r="AV71" s="138">
        <f>AW18/$C$18</f>
        <v>3.3079440682735891E-9</v>
      </c>
      <c r="XFD71" s="138"/>
    </row>
    <row r="72" spans="1:48 16384:16384" x14ac:dyDescent="0.2">
      <c r="A72" t="s">
        <v>180</v>
      </c>
      <c r="B72" s="138">
        <f>C19/$C$19</f>
        <v>1</v>
      </c>
      <c r="D72" s="138">
        <f>E19/$C$19</f>
        <v>1.023568176051685</v>
      </c>
      <c r="E72" s="138"/>
      <c r="F72" s="138">
        <f>G19/$C$19</f>
        <v>1.0506738670938942</v>
      </c>
      <c r="G72" s="138"/>
      <c r="H72" s="138">
        <f>I19/$C$19</f>
        <v>1.0817650570248947</v>
      </c>
      <c r="I72" s="138"/>
      <c r="J72" s="138">
        <f>K19/$C$19</f>
        <v>1.1173375576108728</v>
      </c>
      <c r="K72" s="138"/>
      <c r="L72" s="138">
        <f>M19/$C$19</f>
        <v>1.1579254082261887</v>
      </c>
      <c r="M72" s="138"/>
      <c r="N72" s="138">
        <f>O19/$C$19</f>
        <v>1.2040794627016469</v>
      </c>
      <c r="O72" s="138"/>
      <c r="P72" s="138">
        <f>Q19/$C$19</f>
        <v>1.2563189060653512</v>
      </c>
      <c r="Q72" s="138"/>
      <c r="R72" s="138">
        <f>S19/$C$19</f>
        <v>1.3150395848965291</v>
      </c>
      <c r="S72" s="138"/>
      <c r="T72" s="138">
        <f>U19/$C$19</f>
        <v>1.3803402954275281</v>
      </c>
      <c r="U72" s="138"/>
      <c r="V72" s="138">
        <f>W19/$C$19</f>
        <v>1.4516995212042434</v>
      </c>
      <c r="W72" s="138"/>
      <c r="X72" s="138">
        <f>Y19/$C$19</f>
        <v>1.5273700587146677</v>
      </c>
      <c r="Y72" s="138"/>
      <c r="Z72" s="138">
        <f>AA19/$C$19</f>
        <v>1.6032414050117227</v>
      </c>
      <c r="AA72" s="138"/>
      <c r="AB72" s="138">
        <f>AC19/$C$19</f>
        <v>1.670700799673501</v>
      </c>
      <c r="AC72" s="138"/>
      <c r="AD72" s="138">
        <f>AE19/$C$19</f>
        <v>1.7127838718756081</v>
      </c>
      <c r="AE72" s="138"/>
      <c r="AF72" s="138">
        <f>AG19/$C$19</f>
        <v>1.6984829625892643</v>
      </c>
      <c r="AG72" s="138"/>
      <c r="AH72" s="138">
        <f>AI19/$C$19</f>
        <v>1.5805758846468254</v>
      </c>
      <c r="AI72" s="138"/>
      <c r="AJ72" s="138">
        <f>AK19/$C$19</f>
        <v>1.3174972175332516</v>
      </c>
      <c r="AK72" s="138"/>
      <c r="AL72" s="138">
        <f>AM19/$C$19</f>
        <v>0.92419355229004174</v>
      </c>
      <c r="AM72" s="138"/>
      <c r="AN72" s="138">
        <f>AO19/$C$19</f>
        <v>0.46846045352189208</v>
      </c>
      <c r="AO72" s="138"/>
      <c r="AP72" s="138">
        <f>AQ19/$C$19</f>
        <v>0.37500512441544354</v>
      </c>
      <c r="AQ72" s="138"/>
      <c r="AR72" s="138">
        <f>AS19/$C$19</f>
        <v>0.28134810585713949</v>
      </c>
      <c r="AS72" s="138"/>
      <c r="AT72" s="138">
        <f>AU19/$C$19</f>
        <v>0.18759427475536963</v>
      </c>
      <c r="AU72" s="138"/>
      <c r="AV72" s="138">
        <f>AW19/$C$19</f>
        <v>9.3802449680780636E-2</v>
      </c>
      <c r="XFD72" s="138"/>
    </row>
    <row r="73" spans="1:48 16384:16384" x14ac:dyDescent="0.2">
      <c r="A73" t="s">
        <v>184</v>
      </c>
      <c r="B73" s="193">
        <f t="array" ref="B73">SUM(B9:C9*B22:C22)/B32</f>
        <v>0.47641153352875065</v>
      </c>
      <c r="D73" s="193">
        <f t="array" ref="D73">SUM(D9:E9*D22:E22)/D32</f>
        <v>0.47404635033244896</v>
      </c>
      <c r="E73" s="138"/>
      <c r="F73" s="193">
        <f t="array" ref="F73">SUM(F9:G9*F22:G22)/F32</f>
        <v>0.47162749961902889</v>
      </c>
      <c r="G73" s="138"/>
      <c r="H73" s="193">
        <f t="array" ref="H73">SUM(H9:I9*H22:I22)/H32</f>
        <v>0.46914625978279223</v>
      </c>
      <c r="I73" s="138"/>
      <c r="J73" s="193">
        <f t="array" ref="J73">SUM(J9:K9*J22:K22)/J32</f>
        <v>0.46659210948810076</v>
      </c>
      <c r="K73" s="138"/>
      <c r="L73" s="193">
        <f t="array" ref="L73">SUM(L9:M9*L22:M22)/L32</f>
        <v>0.46395211189953761</v>
      </c>
      <c r="M73" s="138"/>
      <c r="N73" s="193">
        <f t="array" ref="N73">SUM(N9:O9*N22:O22)/N32</f>
        <v>0.46120998613703545</v>
      </c>
      <c r="O73" s="138"/>
      <c r="P73" s="193">
        <f t="array" ref="P73">SUM(P9:Q9*P22:Q22)/P32</f>
        <v>0.45834466714257077</v>
      </c>
      <c r="Q73" s="138"/>
      <c r="R73" s="193">
        <f t="array" ref="R73">SUM(R9:S9*R22:S22)/R32</f>
        <v>0.45532792130256222</v>
      </c>
      <c r="S73" s="138"/>
      <c r="T73" s="193">
        <f t="array" ref="T73">SUM(T9:U9*T22:U22)/T32</f>
        <v>0.45212041734682845</v>
      </c>
      <c r="U73" s="138"/>
      <c r="V73" s="193">
        <f t="array" ref="V73">SUM(V9:W9*V22:W22)/V32</f>
        <v>0.448664876729097</v>
      </c>
      <c r="W73" s="138"/>
      <c r="X73" s="193">
        <f t="array" ref="X73">SUM(X9:Y9*X22:Y22)/X32</f>
        <v>0.44487366113039256</v>
      </c>
      <c r="Y73" s="138"/>
      <c r="Z73" s="193">
        <f t="array" ref="Z73">SUM(Z9:AA9*Z22:AA22)/Z32</f>
        <v>0.44060548911599773</v>
      </c>
      <c r="AA73" s="138"/>
      <c r="AB73" s="193">
        <f t="array" ref="AB73">SUM(AB9:AC9*AB22:AC22)/AB32</f>
        <v>0.4356199435213105</v>
      </c>
      <c r="AC73" s="138"/>
      <c r="AD73" s="193">
        <f t="array" ref="AD73">SUM(AD9:AE9*AD22:AE22)/AD32</f>
        <v>0.42948666003671165</v>
      </c>
      <c r="AE73" s="138"/>
      <c r="AF73" s="193">
        <f t="array" ref="AF73">SUM(AF9:AG9*AF22:AG22)/AF32</f>
        <v>0.42140726740698609</v>
      </c>
      <c r="AG73" s="138"/>
      <c r="AH73" s="193">
        <f t="array" ref="AH73">SUM(AH9:AI9*AH22:AI22)/AH32</f>
        <v>0.40990392006232634</v>
      </c>
      <c r="AI73" s="138"/>
      <c r="AJ73" s="193">
        <f t="array" ref="AJ73">SUM(AJ9:AK9*AJ22:AK22)/AJ32</f>
        <v>0.39233542526010773</v>
      </c>
      <c r="AK73" s="138"/>
      <c r="AL73" s="193">
        <f t="array" ref="AL73">SUM(AL9:AM9*AL22:AM22)/AL32</f>
        <v>0.36336974716429982</v>
      </c>
      <c r="AM73" s="138"/>
      <c r="AN73" s="193">
        <f t="array" ref="AN73">SUM(AN9:AO9*AN22:AO22)/AN32</f>
        <v>0.30493330739031543</v>
      </c>
      <c r="AO73" s="138"/>
      <c r="AP73" s="193">
        <f t="array" ref="AP73">SUM(AP9:AQ9*AP22:AQ22)/AP32</f>
        <v>0.28405890364562775</v>
      </c>
      <c r="AQ73" s="138"/>
      <c r="AR73" s="193">
        <f t="array" ref="AR73">SUM(AR9:AS9*AR22:AS22)/AR32</f>
        <v>0.25606013440263403</v>
      </c>
      <c r="AS73" s="138"/>
      <c r="AT73" s="193">
        <f t="array" ref="AT73">SUM(AT9:AU9*AT22:AU22)/AT32</f>
        <v>0.21550437781616588</v>
      </c>
      <c r="AU73" s="138"/>
      <c r="AV73" s="193">
        <f t="array" ref="AV73">SUM(AV9:AW9*AV22:AW22)/AV32</f>
        <v>0.14843608031352598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0.22604620456442484</v>
      </c>
      <c r="AE74" s="138"/>
      <c r="AF74" s="193">
        <f t="array" ref="AF74">SUM(AF10:AG10*AF23:AG23)/AF32</f>
        <v>0.22604620456442487</v>
      </c>
      <c r="AG74" s="138"/>
      <c r="AH74" s="193">
        <f t="array" ref="AH74">SUM(AH10:AI10*AH23:AI23)/AH32</f>
        <v>0.22604620456442484</v>
      </c>
      <c r="AI74" s="138"/>
      <c r="AJ74" s="193">
        <f t="array" ref="AJ74">SUM(AJ10:AK10*AJ23:AK23)/AJ32</f>
        <v>0.22604620456442487</v>
      </c>
      <c r="AK74" s="138"/>
      <c r="AL74" s="193">
        <f t="array" ref="AL74">SUM(AL10:AM10*AL23:AM23)/AL32</f>
        <v>0.22604620456442487</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0.22604620456442487</v>
      </c>
      <c r="XFD74" s="193"/>
    </row>
    <row r="75" spans="1:48 16384:16384" x14ac:dyDescent="0.2">
      <c r="A75" t="s">
        <v>186</v>
      </c>
      <c r="B75" s="193">
        <f t="array" ref="B75">SUM(B11:C11*B24:C24)/B32</f>
        <v>0.22038438833194082</v>
      </c>
      <c r="D75" s="193">
        <f t="array" ref="D75">SUM(D11:E11*D24:E24)/D32</f>
        <v>0.22274957188194022</v>
      </c>
      <c r="E75" s="138"/>
      <c r="F75" s="193">
        <f t="array" ref="F75">SUM(F11:G11*F24:G24)/F32</f>
        <v>0.22516842265044035</v>
      </c>
      <c r="G75" s="138"/>
      <c r="H75" s="193">
        <f t="array" ref="H75">SUM(H11:I11*H24:I24)/H32</f>
        <v>0.22764966264038425</v>
      </c>
      <c r="I75" s="138"/>
      <c r="J75" s="193">
        <f t="array" ref="J75">SUM(J11:K11*J24:K24)/J32</f>
        <v>0.23020381497070452</v>
      </c>
      <c r="K75" s="138"/>
      <c r="L75" s="193">
        <f t="array" ref="L75">SUM(L11:M11*L24:M24)/L32</f>
        <v>0.23284381080919095</v>
      </c>
      <c r="M75" s="138"/>
      <c r="N75" s="193">
        <f t="array" ref="N75">SUM(N11:O11*N24:O24)/N32</f>
        <v>0.23558593580741916</v>
      </c>
      <c r="O75" s="138"/>
      <c r="P75" s="193">
        <f t="array" ref="P75">SUM(P11:Q11*P24:Q24)/P32</f>
        <v>0.2384512565943244</v>
      </c>
      <c r="Q75" s="138"/>
      <c r="R75" s="193">
        <f t="array" ref="R75">SUM(R11:S11*R24:S24)/R32</f>
        <v>0.24146800509677391</v>
      </c>
      <c r="S75" s="138"/>
      <c r="T75" s="193">
        <f t="array" ref="T75">SUM(T11:U11*T24:U24)/T32</f>
        <v>0.2446755083736348</v>
      </c>
      <c r="U75" s="138"/>
      <c r="V75" s="193">
        <f t="array" ref="V75">SUM(V11:W11*V24:W24)/V32</f>
        <v>0.24813104829534746</v>
      </c>
      <c r="W75" s="138"/>
      <c r="X75" s="193">
        <f t="array" ref="X75">SUM(X11:Y11*X24:Y24)/X32</f>
        <v>0.25192226076981478</v>
      </c>
      <c r="Y75" s="138"/>
      <c r="Z75" s="193">
        <f t="array" ref="Z75">SUM(Z11:AA11*Z24:AA24)/Z32</f>
        <v>0.25619043324676133</v>
      </c>
      <c r="AA75" s="138"/>
      <c r="AB75" s="193">
        <f t="array" ref="AB75">SUM(AB11:AC11*AB24:AC24)/AB32</f>
        <v>0.26117597825233807</v>
      </c>
      <c r="AC75" s="138"/>
      <c r="AD75" s="193">
        <f t="array" ref="AD75">SUM(AD11:AE11*AD24:AE24)/AD32</f>
        <v>0.26730926193503296</v>
      </c>
      <c r="AE75" s="138"/>
      <c r="AF75" s="193">
        <f t="array" ref="AF75">SUM(AF11:AG11*AF24:AG24)/AF32</f>
        <v>0.27538865431154369</v>
      </c>
      <c r="AG75" s="138"/>
      <c r="AH75" s="193">
        <f t="array" ref="AH75">SUM(AH11:AI11*AH24:AI24)/AH32</f>
        <v>0.28689200179146296</v>
      </c>
      <c r="AI75" s="138"/>
      <c r="AJ75" s="193">
        <f t="array" ref="AJ75">SUM(AJ11:AK11*AJ24:AK24)/AJ32</f>
        <v>0.30446049660498825</v>
      </c>
      <c r="AK75" s="138"/>
      <c r="AL75" s="193">
        <f t="array" ref="AL75">SUM(AL11:AM11*AL24:AM24)/AL32</f>
        <v>0.33342617470638669</v>
      </c>
      <c r="AM75" s="138"/>
      <c r="AN75" s="193">
        <f t="array" ref="AN75">SUM(AN11:AO11*AN24:AO24)/AN32</f>
        <v>0.3918626144703784</v>
      </c>
      <c r="AO75" s="138"/>
      <c r="AP75" s="193">
        <f t="array" ref="AP75">SUM(AP11:AQ11*AP24:AQ24)/AP32</f>
        <v>0.41273701821507103</v>
      </c>
      <c r="AQ75" s="138"/>
      <c r="AR75" s="193">
        <f t="array" ref="AR75">SUM(AR11:AS11*AR24:AS24)/AR32</f>
        <v>0.4407357874580583</v>
      </c>
      <c r="AS75" s="138"/>
      <c r="AT75" s="193">
        <f t="array" ref="AT75">SUM(AT11:AU11*AT24:AU24)/AT32</f>
        <v>0.48129154404453212</v>
      </c>
      <c r="AU75" s="138"/>
      <c r="AV75" s="193">
        <f t="array" ref="AV75">SUM(AV11:AW11*AV24:AW24)/AV32</f>
        <v>0.54835984154724826</v>
      </c>
      <c r="XFD75" s="193"/>
    </row>
    <row r="76" spans="1:48 16384:16384" x14ac:dyDescent="0.2">
      <c r="A76" t="s">
        <v>187</v>
      </c>
      <c r="B76" s="193">
        <f t="array" ref="B76">SUM(B12:C12*B25:C25)/B32</f>
        <v>0.22301874374724867</v>
      </c>
      <c r="D76" s="193">
        <f t="array" ref="D76">SUM(D12:E12*D25:E25)/D32</f>
        <v>0.22300008418218439</v>
      </c>
      <c r="E76" s="138"/>
      <c r="F76" s="193">
        <f t="array" ref="F76">SUM(F12:G12*F25:G25)/F32</f>
        <v>0.22303981705508161</v>
      </c>
      <c r="G76" s="138"/>
      <c r="H76" s="193">
        <f t="array" ref="H76">SUM(H12:I12*H25:I25)/H32</f>
        <v>0.22314541672398011</v>
      </c>
      <c r="I76" s="138"/>
      <c r="J76" s="193">
        <f t="array" ref="J76">SUM(J12:K12*J25:K25)/J32</f>
        <v>0.22332528202342034</v>
      </c>
      <c r="K76" s="138"/>
      <c r="L76" s="193">
        <f t="array" ref="L76">SUM(L12:M12*L25:M25)/L32</f>
        <v>0.22358864557886457</v>
      </c>
      <c r="M76" s="138"/>
      <c r="N76" s="193">
        <f t="array" ref="N76">SUM(N12:O12*N25:O25)/N32</f>
        <v>0.22394529945915756</v>
      </c>
      <c r="O76" s="138"/>
      <c r="P76" s="193">
        <f t="array" ref="P76">SUM(P12:Q12*P25:Q25)/P32</f>
        <v>0.2244049066089619</v>
      </c>
      <c r="Q76" s="138"/>
      <c r="R76" s="193">
        <f t="array" ref="R76">SUM(R12:S12*R25:S25)/R32</f>
        <v>0.2249756292882851</v>
      </c>
      <c r="S76" s="138"/>
      <c r="T76" s="193">
        <f t="array" ref="T76">SUM(T12:U12*T25:U25)/T32</f>
        <v>0.22566138348927972</v>
      </c>
      <c r="U76" s="138"/>
      <c r="V76" s="193">
        <f t="array" ref="V76">SUM(V12:W12*V25:W25)/V32</f>
        <v>0.22645654390638914</v>
      </c>
      <c r="W76" s="138"/>
      <c r="X76" s="193">
        <f t="array" ref="X76">SUM(X12:Y12*X25:Y25)/X32</f>
        <v>0.2273357483766861</v>
      </c>
      <c r="Y76" s="138"/>
      <c r="Z76" s="193">
        <f t="array" ref="Z76">SUM(Z12:AA12*Z25:AA25)/Z32</f>
        <v>0.22823416813048197</v>
      </c>
      <c r="AA76" s="138"/>
      <c r="AB76" s="193">
        <f t="array" ref="AB76">SUM(AB12:AC12*AB25:AC25)/AB32</f>
        <v>0.22900954856069614</v>
      </c>
      <c r="AC76" s="138"/>
      <c r="AD76" s="193">
        <f t="array" ref="AD76">SUM(AD12:AE12*AD25:AE25)/AD32</f>
        <v>0.22937232496965629</v>
      </c>
      <c r="AE76" s="138"/>
      <c r="AF76" s="193">
        <f t="array" ref="AF76">SUM(AF12:AG12*AF25:AG25)/AF32</f>
        <v>0.2287798392622509</v>
      </c>
      <c r="AG76" s="138"/>
      <c r="AH76" s="193">
        <f t="array" ref="AH76">SUM(AH12:AI12*AH25:AI25)/AH32</f>
        <v>0.22639008589994641</v>
      </c>
      <c r="AI76" s="138"/>
      <c r="AJ76" s="193">
        <f t="array" ref="AJ76">SUM(AJ12:AK12*AJ25:AK25)/AJ32</f>
        <v>0.22144809879501806</v>
      </c>
      <c r="AK76" s="138"/>
      <c r="AL76" s="193">
        <f t="array" ref="AL76">SUM(AL12:AM12*AL25:AM25)/AL32</f>
        <v>0.21420098308568625</v>
      </c>
      <c r="AM76" s="138"/>
      <c r="AN76" s="193">
        <f t="array" ref="AN76">SUM(AN12:AO12*AN25:AO25)/AN32</f>
        <v>0.20601251120312453</v>
      </c>
      <c r="AO76" s="138"/>
      <c r="AP76" s="193">
        <f t="array" ref="AP76">SUM(AP12:AQ12*AP25:AQ25)/AP32</f>
        <v>0.20448879291087962</v>
      </c>
      <c r="AQ76" s="138"/>
      <c r="AR76" s="193">
        <f t="array" ref="AR76">SUM(AR12:AS12*AR25:AS25)/AR32</f>
        <v>0.20316796252627978</v>
      </c>
      <c r="AS76" s="138"/>
      <c r="AT76" s="193">
        <f t="array" ref="AT76">SUM(AT12:AU12*AT25:AU25)/AT32</f>
        <v>0.20232682463419135</v>
      </c>
      <c r="AU76" s="138"/>
      <c r="AV76" s="193">
        <f t="array" ref="AV76">SUM(AV12:AW12*AV25:AW25)/AV32</f>
        <v>0.2028176670433362</v>
      </c>
      <c r="XFD76" s="193"/>
    </row>
    <row r="77" spans="1:48 16384:16384" x14ac:dyDescent="0.2">
      <c r="A77" t="s">
        <v>188</v>
      </c>
      <c r="B77" s="193">
        <f t="array" ref="B77">SUM(B4:C4*B19:C19)/B32</f>
        <v>0.14586087017236485</v>
      </c>
      <c r="D77" s="193">
        <f t="array" ref="D77">SUM(D4:E4*D19:E19)/D32</f>
        <v>0.14584221096099831</v>
      </c>
      <c r="E77" s="138"/>
      <c r="F77" s="193">
        <f t="array" ref="F77">SUM(F4:G4*F19:G19)/F32</f>
        <v>0.1458819438889756</v>
      </c>
      <c r="G77" s="138"/>
      <c r="H77" s="193">
        <f t="array" ref="H77">SUM(H4:I4*H19:I19)/H32</f>
        <v>0.14598754371158126</v>
      </c>
      <c r="I77" s="138"/>
      <c r="J77" s="193">
        <f t="array" ref="J77">SUM(J4:K4*J19:K19)/J32</f>
        <v>0.14616741104665038</v>
      </c>
      <c r="K77" s="138"/>
      <c r="L77" s="193">
        <f t="array" ref="L77">SUM(L4:M4*L19:M19)/L32</f>
        <v>0.14643077285201767</v>
      </c>
      <c r="M77" s="138"/>
      <c r="N77" s="193">
        <f t="array" ref="N77">SUM(N4:O4*N19:O19)/N32</f>
        <v>0.14678742596803696</v>
      </c>
      <c r="O77" s="138"/>
      <c r="P77" s="193">
        <f t="array" ref="P77">SUM(P4:Q4*P19:Q19)/P32</f>
        <v>0.14724703491028185</v>
      </c>
      <c r="Q77" s="138"/>
      <c r="R77" s="193">
        <f t="array" ref="R77">SUM(R4:S4*R19:S19)/R32</f>
        <v>0.14781776025204579</v>
      </c>
      <c r="S77" s="138"/>
      <c r="T77" s="193">
        <f t="array" ref="T77">SUM(T4:U4*T19:U19)/T32</f>
        <v>0.14850351377416776</v>
      </c>
      <c r="U77" s="138"/>
      <c r="V77" s="193">
        <f t="array" ref="V77">SUM(V4:W4*V19:W19)/V32</f>
        <v>0.14929867349525841</v>
      </c>
      <c r="W77" s="138"/>
      <c r="X77" s="193">
        <f t="array" ref="X77">SUM(X4:Y4*X19:Y19)/X32</f>
        <v>0.15017787484131814</v>
      </c>
      <c r="Y77" s="138"/>
      <c r="Z77" s="193">
        <f t="array" ref="Z77">SUM(Z4:AA4*Z19:AA19)/Z32</f>
        <v>0.15107629505766565</v>
      </c>
      <c r="AA77" s="138"/>
      <c r="AB77" s="193">
        <f t="array" ref="AB77">SUM(AB4:AC4*AB19:AC19)/AB32</f>
        <v>0.15185167489876969</v>
      </c>
      <c r="AC77" s="138"/>
      <c r="AD77" s="193">
        <f t="array" ref="AD77">SUM(AD4:AE4*AD19:AE19)/AD32</f>
        <v>0.1522144515058256</v>
      </c>
      <c r="AE77" s="138"/>
      <c r="AF77" s="193">
        <f t="array" ref="AF77">SUM(AF4:AG4*AF19:AG19)/AF32</f>
        <v>0.15162196554520563</v>
      </c>
      <c r="AG77" s="138"/>
      <c r="AH77" s="193">
        <f t="array" ref="AH77">SUM(AH4:AI4*AH19:AI19)/AH32</f>
        <v>0.14923221231816036</v>
      </c>
      <c r="AI77" s="138"/>
      <c r="AJ77" s="193">
        <f t="array" ref="AJ77">SUM(AJ4:AK4*AJ19:AK19)/AJ32</f>
        <v>0.14429022522453874</v>
      </c>
      <c r="AK77" s="138"/>
      <c r="AL77" s="193">
        <f t="array" ref="AL77">SUM(AL4:AM4*AL19:AM19)/AL32</f>
        <v>0.13704310952079743</v>
      </c>
      <c r="AM77" s="138"/>
      <c r="AN77" s="193">
        <f t="array" ref="AN77">SUM(AN4:AO4*AN19:AO19)/AN32</f>
        <v>0.12885463762824312</v>
      </c>
      <c r="AO77" s="138"/>
      <c r="AP77" s="193">
        <f t="array" ref="AP77">SUM(AP4:AQ4*AP19:AQ19)/AP32</f>
        <v>0.12733091933600318</v>
      </c>
      <c r="AQ77" s="138"/>
      <c r="AR77" s="193">
        <f t="array" ref="AR77">SUM(AR4:AS4*AR19:AS19)/AR32</f>
        <v>0.12601008895139695</v>
      </c>
      <c r="AS77" s="138"/>
      <c r="AT77" s="193">
        <f t="array" ref="AT77">SUM(AT4:AU4*AT19:AU19)/AT32</f>
        <v>0.12516895105931414</v>
      </c>
      <c r="AU77" s="138"/>
      <c r="AV77" s="193">
        <f t="array" ref="AV77">SUM(AV4:AW4*AV19:AW19)/AV32</f>
        <v>0.12565979346853529</v>
      </c>
      <c r="XFD77" s="193"/>
    </row>
    <row r="78" spans="1:48 16384:16384" x14ac:dyDescent="0.2">
      <c r="A78" t="s">
        <v>189</v>
      </c>
      <c r="B78" s="193">
        <f t="array" ref="B78">SUM(B13:C13*B26:C26)/B32</f>
        <v>0.346887593115773</v>
      </c>
      <c r="D78" s="193">
        <f t="array" ref="D78">SUM(D13:E13*D26:E26)/D32</f>
        <v>0.34627545814738497</v>
      </c>
      <c r="E78" s="138"/>
      <c r="F78" s="193">
        <f t="array" ref="F78">SUM(F13:G13*F26:G26)/F32</f>
        <v>0.34561875462702996</v>
      </c>
      <c r="G78" s="138"/>
      <c r="H78" s="193">
        <f t="array" ref="H78">SUM(H13:I13*H26:I26)/H32</f>
        <v>0.34491132167678756</v>
      </c>
      <c r="I78" s="138"/>
      <c r="J78" s="193">
        <f t="array" ref="J78">SUM(J13:K13*J26:K26)/J32</f>
        <v>0.34414557108196264</v>
      </c>
      <c r="K78" s="138"/>
      <c r="L78" s="193">
        <f t="array" ref="L78">SUM(L13:M13*L26:M26)/L32</f>
        <v>0.34331193775807589</v>
      </c>
      <c r="M78" s="138"/>
      <c r="N78" s="193">
        <f t="array" ref="N78">SUM(N13:O13*N26:O26)/N32</f>
        <v>0.3423980170040104</v>
      </c>
      <c r="O78" s="138"/>
      <c r="P78" s="193">
        <f t="array" ref="P78">SUM(P13:Q13*P26:Q26)/P32</f>
        <v>0.34138723356478395</v>
      </c>
      <c r="Q78" s="138"/>
      <c r="R78" s="193">
        <f t="array" ref="R78">SUM(R13:S13*R26:S26)/R32</f>
        <v>0.34025665508581099</v>
      </c>
      <c r="S78" s="138"/>
      <c r="T78" s="193">
        <f t="array" ref="T78">SUM(T13:U13*T26:U26)/T32</f>
        <v>0.33897336720627613</v>
      </c>
      <c r="U78" s="138"/>
      <c r="V78" s="193">
        <f t="array" ref="V78">SUM(V13:W13*V26:W26)/V32</f>
        <v>0.33748822960591401</v>
      </c>
      <c r="W78" s="138"/>
      <c r="X78" s="193">
        <f t="array" ref="X78">SUM(X13:Y13*X26:Y26)/X32</f>
        <v>0.33572477125969502</v>
      </c>
      <c r="Y78" s="138"/>
      <c r="Z78" s="193">
        <f t="array" ref="Z78">SUM(Z13:AA13*Z26:AA26)/Z32</f>
        <v>0.33355873024175142</v>
      </c>
      <c r="AA78" s="138"/>
      <c r="AB78" s="193">
        <f t="array" ref="AB78">SUM(AB13:AC13*AB26:AC26)/AB32</f>
        <v>0.33077914378961454</v>
      </c>
      <c r="AC78" s="138"/>
      <c r="AD78" s="193">
        <f t="array" ref="AD78">SUM(AD13:AE13*AD26:AE26)/AD32</f>
        <v>0.32701319613032198</v>
      </c>
      <c r="AE78" s="138"/>
      <c r="AF78" s="193">
        <f t="array" ref="AF78">SUM(AF13:AG13*AF26:AG26)/AF32</f>
        <v>0.32158608620814905</v>
      </c>
      <c r="AG78" s="138"/>
      <c r="AH78" s="193">
        <f t="array" ref="AH78">SUM(AH13:AI13*AH26:AI26)/AH32</f>
        <v>0.31329578006096015</v>
      </c>
      <c r="AI78" s="138"/>
      <c r="AJ78" s="193">
        <f t="array" ref="AJ78">SUM(AJ13:AK13*AJ26:AK26)/AJ32</f>
        <v>0.30010008982689468</v>
      </c>
      <c r="AK78" s="138"/>
      <c r="AL78" s="193">
        <f t="array" ref="AL78">SUM(AL13:AM13*AL26:AM26)/AL32</f>
        <v>0.27800565404289718</v>
      </c>
      <c r="AM78" s="138"/>
      <c r="AN78" s="193">
        <f t="array" ref="AN78">SUM(AN13:AO13*AN26:AO26)/AN32</f>
        <v>0.23330356653974163</v>
      </c>
      <c r="AO78" s="138"/>
      <c r="AP78" s="193">
        <f t="array" ref="AP78">SUM(AP13:AQ13*AP26:AQ26)/AP32</f>
        <v>0.21733271654848438</v>
      </c>
      <c r="AQ78" s="138"/>
      <c r="AR78" s="193">
        <f t="array" ref="AR78">SUM(AR13:AS13*AR26:AS26)/AR32</f>
        <v>0.19591096240805927</v>
      </c>
      <c r="AS78" s="138"/>
      <c r="AT78" s="193">
        <f t="array" ref="AT78">SUM(AT13:AU13*AT26:AU26)/AT32</f>
        <v>0.16488186255630638</v>
      </c>
      <c r="AU78" s="138"/>
      <c r="AV78" s="193">
        <f t="array" ref="AV78">SUM(AV13:AW13*AV26:AW26)/AV32</f>
        <v>0.11356807617272109</v>
      </c>
      <c r="XFD78" s="193"/>
    </row>
    <row r="79" spans="1:48 16384:16384" x14ac:dyDescent="0.2">
      <c r="A79" t="s">
        <v>190</v>
      </c>
      <c r="B79" s="193">
        <f t="array" ref="B79">SUM(B15:C15*B27:C27)/B32</f>
        <v>0.45460968782440642</v>
      </c>
      <c r="D79" s="193">
        <f t="array" ref="D79">SUM(D15:E15*D27:E27)/D32</f>
        <v>0.4512272686362041</v>
      </c>
      <c r="F79" s="193">
        <f t="array" ref="F79">SUM(F15:G15*F27:G27)/F32</f>
        <v>0.44779920930856687</v>
      </c>
      <c r="H79" s="193">
        <f t="array" ref="H79">SUM(H15:I15*H27:I27)/H32</f>
        <v>0.44431699056988089</v>
      </c>
      <c r="J79" s="193">
        <f t="array" ref="J79">SUM(J15:K15*J27:K27)/J32</f>
        <v>0.44077050725944877</v>
      </c>
      <c r="L79" s="193">
        <f t="array" ref="L79">SUM(L15:M15*L27:M27)/L32</f>
        <v>0.43714754123019639</v>
      </c>
      <c r="N79" s="193">
        <f t="array" ref="N79">SUM(N15:O15*N27:O27)/N32</f>
        <v>0.43343315224287765</v>
      </c>
      <c r="P79" s="193">
        <f t="array" ref="P79">SUM(P15:Q15*P27:Q27)/P32</f>
        <v>0.42960844822748845</v>
      </c>
      <c r="R79" s="193">
        <f t="array" ref="R79">SUM(R15:S15*R27:S27)/R32</f>
        <v>0.42564891582102921</v>
      </c>
      <c r="T79" s="193">
        <f t="array" ref="T79">SUM(T15:U15*T27:U27)/T32</f>
        <v>0.42152137209760465</v>
      </c>
      <c r="V79" s="193">
        <f t="array" ref="V79">SUM(V15:W15*V27:W27)/V32</f>
        <v>0.41717868598295421</v>
      </c>
      <c r="X79" s="193">
        <f t="array" ref="X79">SUM(X15:Y15*X27:Y27)/X32</f>
        <v>0.41255007223878715</v>
      </c>
      <c r="Z79" s="193">
        <f t="array" ref="Z79">SUM(Z15:AA15*Z27:AA27)/Z32</f>
        <v>0.40752238667701729</v>
      </c>
      <c r="AB79" s="193">
        <f t="array" ref="AB79">SUM(AB15:AC15*AB27:AC27)/AB32</f>
        <v>0.40190263573952323</v>
      </c>
      <c r="AD79" s="193">
        <f t="array" ref="AD79">SUM(AD15:AE15*AD27:AE27)/AD32</f>
        <v>0.39534042820493848</v>
      </c>
      <c r="AF79" s="193">
        <f t="array" ref="AF79">SUM(AF15:AG15*AF27:AG27)/AF32</f>
        <v>0.38716872228020605</v>
      </c>
      <c r="AH79" s="193">
        <f t="array" ref="AH79">SUM(AH15:AI15*AH27:AI27)/AH32</f>
        <v>0.37610502668658485</v>
      </c>
      <c r="AJ79" s="193">
        <f t="array" ref="AJ79">SUM(AJ15:AK15*AJ27:AK27)/AJ32</f>
        <v>0.35974974452942921</v>
      </c>
      <c r="AL79" s="193">
        <f t="array" ref="AL79">SUM(AL15:AM15*AL27:AM27)/AL32</f>
        <v>0.3331273603264383</v>
      </c>
      <c r="AN79" s="193">
        <f t="array" ref="AN79">SUM(AN15:AO15*AN27:AO27)/AN32</f>
        <v>0.2795480977891539</v>
      </c>
      <c r="AP79" s="193">
        <f t="array" ref="AP79">SUM(AP15:AQ15*AP27:AQ27)/AP32</f>
        <v>0.26041135919361386</v>
      </c>
      <c r="AR79" s="193">
        <f t="array" ref="AR79">SUM(AR15:AS15*AR27:AS27)/AR32</f>
        <v>0.23474342143583965</v>
      </c>
      <c r="AT79" s="193">
        <f t="array" ref="AT79">SUM(AT15:AU15*AT27:AU27)/AT32</f>
        <v>0.19756387791619531</v>
      </c>
      <c r="AV79" s="193">
        <f t="array" ref="AV79">SUM(AV15:AW15*AV27:AW27)/AV32</f>
        <v>0.13607894066968007</v>
      </c>
      <c r="XFD79" s="193"/>
    </row>
    <row r="80" spans="1:48 16384:16384" x14ac:dyDescent="0.2">
      <c r="A80" t="s">
        <v>169</v>
      </c>
      <c r="B80" s="236">
        <f>B55</f>
        <v>0.19850271905982084</v>
      </c>
      <c r="D80" s="236">
        <f>D55</f>
        <v>0.20249727227285116</v>
      </c>
      <c r="F80" s="236">
        <f>F55</f>
        <v>0.20658203483679213</v>
      </c>
      <c r="H80" s="236">
        <f>H55</f>
        <v>0.21077168585154515</v>
      </c>
      <c r="J80" s="236">
        <f>J55</f>
        <v>0.21508393076629972</v>
      </c>
      <c r="L80" s="236">
        <f>L55</f>
        <v>0.21954051753787504</v>
      </c>
      <c r="N80" s="236">
        <f>N55</f>
        <v>0.22416883254572481</v>
      </c>
      <c r="P80" s="236">
        <f>P55</f>
        <v>0.22900431992509046</v>
      </c>
      <c r="R80" s="236">
        <f>R55</f>
        <v>0.23409443301318378</v>
      </c>
      <c r="T80" s="236">
        <f>T55</f>
        <v>0.2395052639863551</v>
      </c>
      <c r="V80" s="236">
        <f>V55</f>
        <v>0.24533308702254833</v>
      </c>
      <c r="X80" s="236">
        <f>X55</f>
        <v>0.25172515674767687</v>
      </c>
      <c r="Z80" s="236">
        <f>Z55</f>
        <v>0.25891888688044268</v>
      </c>
      <c r="AB80" s="236">
        <f>AB55</f>
        <v>0.26731822192766225</v>
      </c>
      <c r="AD80" s="236">
        <f>AD55</f>
        <v>0.27764637469849057</v>
      </c>
      <c r="AF80" s="236">
        <f>AF55</f>
        <v>0.29124519391214154</v>
      </c>
      <c r="AH80" s="236">
        <f>AH55</f>
        <v>0.31059919349087806</v>
      </c>
      <c r="AJ80" s="236">
        <f>AJ55</f>
        <v>0.34015016534006087</v>
      </c>
      <c r="AL80" s="236">
        <f>AL55</f>
        <v>0.38886698670201436</v>
      </c>
      <c r="AN80" s="236">
        <f>AN55</f>
        <v>0.48714833567354354</v>
      </c>
      <c r="AP80" s="236">
        <f>AP55</f>
        <v>0.52225592426209977</v>
      </c>
      <c r="AR80" s="236">
        <f>AR55</f>
        <v>0.56934561615531221</v>
      </c>
      <c r="AT80" s="236">
        <f>AT55</f>
        <v>0.63755425953617606</v>
      </c>
      <c r="AV80" s="236">
        <f>AV55</f>
        <v>0.75035298314758136</v>
      </c>
      <c r="XFD80" s="236"/>
    </row>
    <row r="81" spans="1:48 16384:16384" x14ac:dyDescent="0.2">
      <c r="A81" t="s">
        <v>191</v>
      </c>
      <c r="B81" s="236">
        <f>B51/B$32</f>
        <v>-2.7543485504603994E-2</v>
      </c>
      <c r="D81" s="236">
        <f>D51/D$32</f>
        <v>-2.3548932291573687E-2</v>
      </c>
      <c r="F81" s="236">
        <f>F51/F$32</f>
        <v>-1.946416972763269E-2</v>
      </c>
      <c r="H81" s="236">
        <f>H51/H$32</f>
        <v>-1.5274518712879701E-2</v>
      </c>
      <c r="J81" s="236">
        <f>J51/J$32</f>
        <v>-1.0962273798125113E-2</v>
      </c>
      <c r="L81" s="236">
        <f>L51/L$32</f>
        <v>-6.505687026549821E-3</v>
      </c>
      <c r="N81" s="236">
        <f>N51/N$32</f>
        <v>-1.8773720187000111E-3</v>
      </c>
      <c r="P81" s="236">
        <f>P51/P$32</f>
        <v>2.9581153606656331E-3</v>
      </c>
      <c r="R81" s="236">
        <f>R51/R$32</f>
        <v>8.0482284487589251E-3</v>
      </c>
      <c r="T81" s="236">
        <f>T51/T$32</f>
        <v>1.3459059421930248E-2</v>
      </c>
      <c r="V81" s="236">
        <f>V51/V$32</f>
        <v>1.9286882458123492E-2</v>
      </c>
      <c r="X81" s="236">
        <f>X51/X$32</f>
        <v>2.5678952183252061E-2</v>
      </c>
      <c r="Z81" s="236">
        <f>Z51/Z$32</f>
        <v>3.2872682316017851E-2</v>
      </c>
      <c r="AB81" s="236">
        <f>AB51/AB$32</f>
        <v>4.1272017363237393E-2</v>
      </c>
      <c r="AD81" s="236">
        <f>AD51/AD$32</f>
        <v>5.1600170134065711E-2</v>
      </c>
      <c r="AF81" s="236">
        <f>AF51/AF$32</f>
        <v>6.5198989347716674E-2</v>
      </c>
      <c r="AH81" s="236">
        <f>AH51/AH$32</f>
        <v>8.4552988926453229E-2</v>
      </c>
      <c r="AJ81" s="236">
        <f>AJ51/AJ$32</f>
        <v>0.114103960775636</v>
      </c>
      <c r="AL81" s="236">
        <f>AL51/AL$32</f>
        <v>0.16282078213758952</v>
      </c>
      <c r="AN81" s="236">
        <f>AN51/AN$32</f>
        <v>0.26110213110911867</v>
      </c>
      <c r="AP81" s="236">
        <f>AP51/AP$32</f>
        <v>0.29620971969767496</v>
      </c>
      <c r="AR81" s="236">
        <f>AR51/AR$32</f>
        <v>0.34329941159088739</v>
      </c>
      <c r="AT81" s="236">
        <f>AT51/AT$32</f>
        <v>0.41150805497175125</v>
      </c>
      <c r="AV81" s="236">
        <f>AV51/AV$32</f>
        <v>0.52430677858315644</v>
      </c>
      <c r="XFD81" s="236"/>
    </row>
    <row r="82" spans="1:48 16384:16384" x14ac:dyDescent="0.2">
      <c r="A82" t="s">
        <v>192</v>
      </c>
      <c r="B82" s="236">
        <f>B52/B$32</f>
        <v>0.13907860278212886</v>
      </c>
      <c r="D82" s="236">
        <f>D52/D$32</f>
        <v>0.13883317781505869</v>
      </c>
      <c r="F82" s="236">
        <f>F52/F$32</f>
        <v>0.13856988385509686</v>
      </c>
      <c r="H82" s="236">
        <f>H52/H$32</f>
        <v>0.13828625080440737</v>
      </c>
      <c r="J82" s="236">
        <f>J52/J$32</f>
        <v>0.1379792362990708</v>
      </c>
      <c r="L82" s="236">
        <f>L52/L$32</f>
        <v>0.13764500538329372</v>
      </c>
      <c r="N82" s="236">
        <f>N52/N$32</f>
        <v>0.1372785846059251</v>
      </c>
      <c r="P82" s="236">
        <f>P52/P$32</f>
        <v>0.13687332840410985</v>
      </c>
      <c r="R82" s="236">
        <f>R52/R$32</f>
        <v>0.13642004244545458</v>
      </c>
      <c r="T82" s="236">
        <f>T52/T$32</f>
        <v>0.13590553028418109</v>
      </c>
      <c r="V82" s="236">
        <f>V52/V$32</f>
        <v>0.1353100899556807</v>
      </c>
      <c r="X82" s="236">
        <f>X52/X$32</f>
        <v>0.13460306172024086</v>
      </c>
      <c r="Z82" s="236">
        <f>Z52/Z$32</f>
        <v>0.13373462490000604</v>
      </c>
      <c r="AB82" s="236">
        <f>AB52/AB$32</f>
        <v>0.13262019761074201</v>
      </c>
      <c r="AD82" s="236">
        <f>AD52/AD$32</f>
        <v>0.13111030579275984</v>
      </c>
      <c r="AF82" s="236">
        <f>AF52/AF$32</f>
        <v>0.12893439959115369</v>
      </c>
      <c r="AH82" s="236">
        <f>AH52/AH$32</f>
        <v>0.12561054420263792</v>
      </c>
      <c r="AJ82" s="236">
        <f>AJ52/AJ$32</f>
        <v>0.12031995959563208</v>
      </c>
      <c r="AL82" s="236">
        <f>AL52/AL$32</f>
        <v>0.11146157630640249</v>
      </c>
      <c r="AN82" s="236">
        <f>AN52/AN$32</f>
        <v>9.3539044642641331E-2</v>
      </c>
      <c r="AP82" s="236">
        <f>AP52/AP$32</f>
        <v>8.7135807553427508E-2</v>
      </c>
      <c r="AR82" s="236">
        <f>AR52/AR$32</f>
        <v>7.8547124377323627E-2</v>
      </c>
      <c r="AT82" s="236">
        <f>AT52/AT$32</f>
        <v>6.6106541495108306E-2</v>
      </c>
      <c r="AV82" s="236">
        <f>AV52/AV$32</f>
        <v>4.5533163100142694E-2</v>
      </c>
    </row>
    <row r="83" spans="1:48 16384:16384" x14ac:dyDescent="0.2">
      <c r="A83" t="s">
        <v>193</v>
      </c>
      <c r="B83" s="236">
        <f>B53/B$32</f>
        <v>0.18600714462929935</v>
      </c>
      <c r="D83" s="236">
        <f>D53/D$32</f>
        <v>0.18462320110150576</v>
      </c>
      <c r="F83" s="236">
        <f>F53/F$32</f>
        <v>0.18322058355016152</v>
      </c>
      <c r="H83" s="236">
        <f>H53/H$32</f>
        <v>0.1817958062479941</v>
      </c>
      <c r="J83" s="236">
        <f>J53/J$32</f>
        <v>0.18034473458868591</v>
      </c>
      <c r="L83" s="236">
        <f>L53/L$32</f>
        <v>0.17886236942085323</v>
      </c>
      <c r="N83" s="236">
        <f>N53/N$32</f>
        <v>0.17734259782759906</v>
      </c>
      <c r="P83" s="236">
        <f>P53/P$32</f>
        <v>0.17577768996925719</v>
      </c>
      <c r="R83" s="236">
        <f>R53/R$32</f>
        <v>0.17415761600973098</v>
      </c>
      <c r="T83" s="236">
        <f>T53/T$32</f>
        <v>0.17246879889278618</v>
      </c>
      <c r="V83" s="236">
        <f>V53/V$32</f>
        <v>0.17069195456711173</v>
      </c>
      <c r="X83" s="236">
        <f>X53/X$32</f>
        <v>0.16879812069334485</v>
      </c>
      <c r="Z83" s="236">
        <f>Z53/Z$32</f>
        <v>0.16674100343323053</v>
      </c>
      <c r="AB83" s="236">
        <f>AB53/AB$32</f>
        <v>0.16444163794805228</v>
      </c>
      <c r="AD83" s="236">
        <f>AD53/AD$32</f>
        <v>0.16175665890192945</v>
      </c>
      <c r="AF83" s="236">
        <f>AF53/AF$32</f>
        <v>0.15841314087642508</v>
      </c>
      <c r="AH83" s="236">
        <f>AH53/AH$32</f>
        <v>0.15388634243474272</v>
      </c>
      <c r="AJ83" s="236">
        <f>AJ53/AJ$32</f>
        <v>0.14719444955358152</v>
      </c>
      <c r="AL83" s="236">
        <f>AL53/AL$32</f>
        <v>0.13630169077292131</v>
      </c>
      <c r="AN83" s="236">
        <f>AN53/AN$32</f>
        <v>0.11437931229568725</v>
      </c>
      <c r="AP83" s="236">
        <f>AP53/AP$32</f>
        <v>0.10654936454268511</v>
      </c>
      <c r="AR83" s="236">
        <f>AR53/AR$32</f>
        <v>9.6047125064035274E-2</v>
      </c>
      <c r="AT83" s="236">
        <f>AT53/AT$32</f>
        <v>8.0834821160425993E-2</v>
      </c>
      <c r="AV83" s="236">
        <f>AV53/AV$32</f>
        <v>5.5677773430828616E-2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5.5513694648321114E-2</v>
      </c>
      <c r="E2" s="227"/>
      <c r="F2" s="226">
        <v>0.11000591048962401</v>
      </c>
      <c r="G2" s="227"/>
      <c r="H2" s="226">
        <v>0.170004118491073</v>
      </c>
      <c r="I2" s="227"/>
      <c r="J2" s="226">
        <v>0.2364554684156881</v>
      </c>
      <c r="K2" s="227"/>
      <c r="L2" s="226">
        <v>0.31057125044199085</v>
      </c>
      <c r="M2" s="227"/>
      <c r="N2" s="226">
        <v>0.39393835293542717</v>
      </c>
      <c r="O2" s="227"/>
      <c r="P2" s="226">
        <v>0.4886944747824693</v>
      </c>
      <c r="Q2" s="227"/>
      <c r="R2" s="226">
        <v>0.59781369091895231</v>
      </c>
      <c r="S2" s="227"/>
      <c r="T2" s="226">
        <v>0.7255936531461743</v>
      </c>
      <c r="U2" s="227"/>
      <c r="V2" s="226">
        <v>0.87852350846535354</v>
      </c>
      <c r="W2" s="227"/>
      <c r="X2" s="226">
        <v>1.0669181207160645</v>
      </c>
      <c r="Y2" s="227"/>
      <c r="Z2" s="226">
        <v>1.3081976900576149</v>
      </c>
      <c r="AA2" s="227"/>
      <c r="AB2" s="226">
        <v>1.6339550226113069</v>
      </c>
      <c r="AC2" s="227"/>
      <c r="AD2" s="226">
        <v>2.1064231134538547</v>
      </c>
      <c r="AE2" s="227"/>
      <c r="AF2" s="226">
        <v>2.8597501250173862</v>
      </c>
      <c r="AG2" s="227"/>
      <c r="AH2" s="226">
        <v>4.2094621402365497</v>
      </c>
      <c r="AI2" s="227"/>
      <c r="AJ2" s="226">
        <v>6.968874649945537</v>
      </c>
      <c r="AK2" s="227"/>
      <c r="AL2" s="226">
        <v>13.681045548711618</v>
      </c>
      <c r="AM2" s="227"/>
      <c r="AN2" s="226">
        <v>37.017844219136684</v>
      </c>
      <c r="AO2" s="227"/>
      <c r="AP2" s="226">
        <v>48.765237472119068</v>
      </c>
      <c r="AQ2" s="227"/>
      <c r="AR2" s="226">
        <v>67.293490942470612</v>
      </c>
      <c r="AS2" s="227"/>
      <c r="AT2" s="226">
        <v>99.314639800888344</v>
      </c>
      <c r="AU2" s="227"/>
      <c r="AV2" s="226"/>
      <c r="AW2" s="227"/>
    </row>
    <row r="3" spans="1:49" x14ac:dyDescent="0.2">
      <c r="A3" t="s">
        <v>12</v>
      </c>
      <c r="B3" s="84">
        <v>1000</v>
      </c>
      <c r="C3" s="85">
        <v>1000</v>
      </c>
      <c r="D3" s="84">
        <v>998.48940577007443</v>
      </c>
      <c r="E3" s="85">
        <v>1022.5028939700196</v>
      </c>
      <c r="F3" s="84">
        <v>996.9301534900585</v>
      </c>
      <c r="G3" s="85">
        <v>1047.7517051209477</v>
      </c>
      <c r="H3" s="84">
        <v>995.31424532837491</v>
      </c>
      <c r="I3" s="85">
        <v>1076.238344589859</v>
      </c>
      <c r="J3" s="84">
        <v>993.63260241216472</v>
      </c>
      <c r="K3" s="85">
        <v>1108.5802149691276</v>
      </c>
      <c r="L3" s="84">
        <v>991.87518107142841</v>
      </c>
      <c r="M3" s="85">
        <v>1145.5645178014183</v>
      </c>
      <c r="N3" s="84">
        <v>990.03134683427322</v>
      </c>
      <c r="O3" s="85">
        <v>1188.2145721685872</v>
      </c>
      <c r="P3" s="84">
        <v>988.09069707572883</v>
      </c>
      <c r="Q3" s="85">
        <v>1237.8904011702245</v>
      </c>
      <c r="R3" s="84">
        <v>986.04472903627334</v>
      </c>
      <c r="S3" s="85">
        <v>1296.4491265163404</v>
      </c>
      <c r="T3" s="84">
        <v>983.89003904995354</v>
      </c>
      <c r="U3" s="85">
        <v>1366.5105332831131</v>
      </c>
      <c r="V3" s="84">
        <v>981.63436952133895</v>
      </c>
      <c r="W3" s="85">
        <v>1451.9181753425967</v>
      </c>
      <c r="X3" s="84">
        <v>979.30802298782226</v>
      </c>
      <c r="Y3" s="85">
        <v>1558.5852792784551</v>
      </c>
      <c r="Z3" s="84">
        <v>976.98556823010279</v>
      </c>
      <c r="AA3" s="85">
        <v>1696.1472207296813</v>
      </c>
      <c r="AB3" s="84">
        <v>974.82697083795176</v>
      </c>
      <c r="AC3" s="85">
        <v>1881.4248751631685</v>
      </c>
      <c r="AD3" s="84">
        <v>973.15172210926085</v>
      </c>
      <c r="AE3" s="85">
        <v>2146.2577114187116</v>
      </c>
      <c r="AF3" s="84">
        <v>972.5436199096265</v>
      </c>
      <c r="AG3" s="85">
        <v>2556.5632335947739</v>
      </c>
      <c r="AH3" s="84">
        <v>973.85576125181149</v>
      </c>
      <c r="AI3" s="85">
        <v>3261.7742685480798</v>
      </c>
      <c r="AJ3" s="84">
        <v>977.68130877862893</v>
      </c>
      <c r="AK3" s="85">
        <v>4638.0392891706788</v>
      </c>
      <c r="AL3" s="84">
        <v>983.31190871995454</v>
      </c>
      <c r="AM3" s="85">
        <v>7857.036445404362</v>
      </c>
      <c r="AN3" s="84">
        <v>988.57082275803316</v>
      </c>
      <c r="AO3" s="85">
        <v>18770.204974344164</v>
      </c>
      <c r="AP3" s="84">
        <v>989.24897936012962</v>
      </c>
      <c r="AQ3" s="85">
        <v>24223.483684777824</v>
      </c>
      <c r="AR3" s="84">
        <v>989.65012527537476</v>
      </c>
      <c r="AS3" s="85">
        <v>32807.403376294344</v>
      </c>
      <c r="AT3" s="84">
        <v>989.61993544188863</v>
      </c>
      <c r="AU3" s="85">
        <v>47621.52332257016</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998.41444052467568</v>
      </c>
      <c r="E5" s="42">
        <v>1019.5449847064986</v>
      </c>
      <c r="F5" s="41">
        <v>996.77674918799198</v>
      </c>
      <c r="G5" s="42">
        <v>1040.97004133109</v>
      </c>
      <c r="H5" s="41">
        <v>995.07841080926426</v>
      </c>
      <c r="I5" s="42">
        <v>1064.5085624423796</v>
      </c>
      <c r="J5" s="41">
        <v>993.30974458114565</v>
      </c>
      <c r="K5" s="42">
        <v>1090.4273899350039</v>
      </c>
      <c r="L5" s="41">
        <v>991.46001961985723</v>
      </c>
      <c r="M5" s="42">
        <v>1119.030811782068</v>
      </c>
      <c r="N5" s="41">
        <v>989.51784145402985</v>
      </c>
      <c r="O5" s="42">
        <v>1150.6651162669975</v>
      </c>
      <c r="P5" s="41">
        <v>987.47201269003347</v>
      </c>
      <c r="Q5" s="42">
        <v>1185.7205549575278</v>
      </c>
      <c r="R5" s="41">
        <v>985.31328940832577</v>
      </c>
      <c r="S5" s="42">
        <v>1224.6321741306397</v>
      </c>
      <c r="T5" s="41">
        <v>983.0377648904315</v>
      </c>
      <c r="U5" s="42">
        <v>1267.872119041923</v>
      </c>
      <c r="V5" s="41">
        <v>980.65328661938486</v>
      </c>
      <c r="W5" s="42">
        <v>1315.9268499056627</v>
      </c>
      <c r="X5" s="41">
        <v>978.1915997830215</v>
      </c>
      <c r="Y5" s="42">
        <v>1369.2390387160685</v>
      </c>
      <c r="Z5" s="41">
        <v>975.73148329550122</v>
      </c>
      <c r="AA5" s="42">
        <v>1428.0684764218042</v>
      </c>
      <c r="AB5" s="41">
        <v>973.44263606284062</v>
      </c>
      <c r="AC5" s="42">
        <v>1492.1723199335718</v>
      </c>
      <c r="AD5" s="41">
        <v>971.66476421109417</v>
      </c>
      <c r="AE5" s="42">
        <v>1560.090928310869</v>
      </c>
      <c r="AF5" s="41">
        <v>971.01907626916272</v>
      </c>
      <c r="AG5" s="42">
        <v>1627.7542175699039</v>
      </c>
      <c r="AH5" s="41">
        <v>972.41209608939278</v>
      </c>
      <c r="AI5" s="42">
        <v>1686.8794048336445</v>
      </c>
      <c r="AJ5" s="41">
        <v>976.46873163049816</v>
      </c>
      <c r="AK5" s="42">
        <v>1727.0538595272888</v>
      </c>
      <c r="AL5" s="41">
        <v>982.42684678198657</v>
      </c>
      <c r="AM5" s="42">
        <v>1745.2374058031269</v>
      </c>
      <c r="AN5" s="41">
        <v>987.97832031060682</v>
      </c>
      <c r="AO5" s="42">
        <v>1749.7130836369311</v>
      </c>
      <c r="AP5" s="41">
        <v>988.69327818218233</v>
      </c>
      <c r="AQ5" s="42">
        <v>1749.9035012770012</v>
      </c>
      <c r="AR5" s="41">
        <v>989.11609413148153</v>
      </c>
      <c r="AS5" s="42">
        <v>1750.0025210898489</v>
      </c>
      <c r="AT5" s="41">
        <v>989.08427598590333</v>
      </c>
      <c r="AU5" s="42">
        <v>1750.047426905885</v>
      </c>
      <c r="AV5" s="41"/>
      <c r="AW5" s="42"/>
    </row>
    <row r="6" spans="1:49" x14ac:dyDescent="0.2">
      <c r="A6" t="s">
        <v>77</v>
      </c>
      <c r="B6" s="41">
        <v>999.99999999999943</v>
      </c>
      <c r="C6" s="42">
        <v>999.99999999999909</v>
      </c>
      <c r="D6" s="41">
        <v>998.29336804214597</v>
      </c>
      <c r="E6" s="42">
        <v>1024.2483730099311</v>
      </c>
      <c r="F6" s="41">
        <v>996.53105795597105</v>
      </c>
      <c r="G6" s="42">
        <v>1051.3621444758533</v>
      </c>
      <c r="H6" s="41">
        <v>994.70395211287689</v>
      </c>
      <c r="I6" s="42">
        <v>1081.8461820813773</v>
      </c>
      <c r="J6" s="41">
        <v>992.80169053708926</v>
      </c>
      <c r="K6" s="42">
        <v>1116.3336964198604</v>
      </c>
      <c r="L6" s="41">
        <v>990.81279773190613</v>
      </c>
      <c r="M6" s="42">
        <v>1155.6316260911685</v>
      </c>
      <c r="N6" s="41">
        <v>988.72510104344815</v>
      </c>
      <c r="O6" s="42">
        <v>1200.7886326513287</v>
      </c>
      <c r="P6" s="41">
        <v>986.52665788045272</v>
      </c>
      <c r="Q6" s="42">
        <v>1253.1982357370114</v>
      </c>
      <c r="R6" s="41">
        <v>984.20764371528071</v>
      </c>
      <c r="S6" s="42">
        <v>1314.7633411030999</v>
      </c>
      <c r="T6" s="41">
        <v>981.76398354429273</v>
      </c>
      <c r="U6" s="42">
        <v>1388.1686716021929</v>
      </c>
      <c r="V6" s="41">
        <v>979.20423054836738</v>
      </c>
      <c r="W6" s="42">
        <v>1477.35377021513</v>
      </c>
      <c r="X6" s="41">
        <v>976.56257160206633</v>
      </c>
      <c r="Y6" s="42">
        <v>1588.3806070756084</v>
      </c>
      <c r="Z6" s="41">
        <v>973.92358984630403</v>
      </c>
      <c r="AA6" s="42">
        <v>1731.1281192945903</v>
      </c>
      <c r="AB6" s="41">
        <v>971.46921970956271</v>
      </c>
      <c r="AC6" s="42">
        <v>1922.8429713854694</v>
      </c>
      <c r="AD6" s="41">
        <v>969.56336897585561</v>
      </c>
      <c r="AE6" s="42">
        <v>2196.1690267432377</v>
      </c>
      <c r="AF6" s="41">
        <v>968.87132966239631</v>
      </c>
      <c r="AG6" s="42">
        <v>2618.6837302219956</v>
      </c>
      <c r="AH6" s="41">
        <v>970.36443400884696</v>
      </c>
      <c r="AI6" s="42">
        <v>3343.5825622699244</v>
      </c>
      <c r="AJ6" s="41">
        <v>974.71433653818201</v>
      </c>
      <c r="AK6" s="42">
        <v>4756.5609564721426</v>
      </c>
      <c r="AL6" s="41">
        <v>981.10807010893996</v>
      </c>
      <c r="AM6" s="42">
        <v>8059.3916566180342</v>
      </c>
      <c r="AN6" s="41">
        <v>987.07067093538762</v>
      </c>
      <c r="AO6" s="42">
        <v>19254.527390543124</v>
      </c>
      <c r="AP6" s="41">
        <v>987.83894443086444</v>
      </c>
      <c r="AQ6" s="42">
        <v>24848.564832689255</v>
      </c>
      <c r="AR6" s="41">
        <v>988.2933299923709</v>
      </c>
      <c r="AS6" s="42">
        <v>33654.025200167271</v>
      </c>
      <c r="AT6" s="41">
        <v>988.2591351186901</v>
      </c>
      <c r="AU6" s="42">
        <v>48850.458443243064</v>
      </c>
      <c r="AV6" s="41"/>
      <c r="AW6" s="42"/>
    </row>
    <row r="7" spans="1:49" x14ac:dyDescent="0.2">
      <c r="A7" t="s">
        <v>13</v>
      </c>
      <c r="B7" s="33">
        <v>1015.9116825427475</v>
      </c>
      <c r="C7" s="34">
        <v>1015.9116825427475</v>
      </c>
      <c r="D7" s="33">
        <v>1014.3008941483992</v>
      </c>
      <c r="E7" s="34">
        <v>1014.3008941483992</v>
      </c>
      <c r="F7" s="33">
        <v>1012.6371443870631</v>
      </c>
      <c r="G7" s="34">
        <v>1012.6371443870631</v>
      </c>
      <c r="H7" s="33">
        <v>1010.9117825872029</v>
      </c>
      <c r="I7" s="34">
        <v>1010.9117825872029</v>
      </c>
      <c r="J7" s="33">
        <v>1009.1149739035384</v>
      </c>
      <c r="K7" s="34">
        <v>1009.1149739035384</v>
      </c>
      <c r="L7" s="33">
        <v>1007.2358167058745</v>
      </c>
      <c r="M7" s="34">
        <v>1007.2358167058745</v>
      </c>
      <c r="N7" s="33">
        <v>1005.2627352176311</v>
      </c>
      <c r="O7" s="34">
        <v>1005.2627352176311</v>
      </c>
      <c r="P7" s="33">
        <v>1003.1843538758052</v>
      </c>
      <c r="Q7" s="34">
        <v>1003.1843538758052</v>
      </c>
      <c r="R7" s="33">
        <v>1000.9912816745413</v>
      </c>
      <c r="S7" s="34">
        <v>1000.9912816745413</v>
      </c>
      <c r="T7" s="33">
        <v>998.6795497329</v>
      </c>
      <c r="U7" s="34">
        <v>998.6795497329</v>
      </c>
      <c r="V7" s="33">
        <v>996.2571304005744</v>
      </c>
      <c r="W7" s="34">
        <v>996.2571304005744</v>
      </c>
      <c r="X7" s="33">
        <v>993.75627398475115</v>
      </c>
      <c r="Y7" s="34">
        <v>993.75627398475115</v>
      </c>
      <c r="Z7" s="33">
        <v>991.25701290466327</v>
      </c>
      <c r="AA7" s="34">
        <v>991.25701290466327</v>
      </c>
      <c r="AB7" s="33">
        <v>988.93174626144776</v>
      </c>
      <c r="AC7" s="34">
        <v>988.93174626144776</v>
      </c>
      <c r="AD7" s="33">
        <v>987.12558547719459</v>
      </c>
      <c r="AE7" s="34">
        <v>987.12558547719459</v>
      </c>
      <c r="AF7" s="33">
        <v>986.46962355370954</v>
      </c>
      <c r="AG7" s="34">
        <v>986.46962355370954</v>
      </c>
      <c r="AH7" s="33">
        <v>987.88480866309476</v>
      </c>
      <c r="AI7" s="34">
        <v>987.88480866309476</v>
      </c>
      <c r="AJ7" s="33">
        <v>992.00599210112193</v>
      </c>
      <c r="AK7" s="34">
        <v>992.00599210112193</v>
      </c>
      <c r="AL7" s="33">
        <v>998.05891088945395</v>
      </c>
      <c r="AM7" s="34">
        <v>998.05891088945395</v>
      </c>
      <c r="AN7" s="33">
        <v>1003.6987177025061</v>
      </c>
      <c r="AO7" s="34">
        <v>1003.6987177025061</v>
      </c>
      <c r="AP7" s="33">
        <v>1004.4250517567655</v>
      </c>
      <c r="AQ7" s="34">
        <v>1004.4250517567655</v>
      </c>
      <c r="AR7" s="33">
        <v>1004.854595419224</v>
      </c>
      <c r="AS7" s="34">
        <v>1004.854595419224</v>
      </c>
      <c r="AT7" s="33">
        <v>1004.8222709934142</v>
      </c>
      <c r="AU7" s="34">
        <v>1004.8222709934142</v>
      </c>
      <c r="AV7" s="33"/>
      <c r="AW7" s="34"/>
    </row>
    <row r="8" spans="1:49" x14ac:dyDescent="0.2">
      <c r="B8" s="35">
        <v>1005.7716594496609</v>
      </c>
      <c r="C8" s="36">
        <v>1005.7716594496609</v>
      </c>
      <c r="D8" s="35">
        <v>1076.1436936677221</v>
      </c>
      <c r="E8" s="36">
        <v>1076.1436936677221</v>
      </c>
      <c r="F8" s="35">
        <v>1155.4828985201382</v>
      </c>
      <c r="G8" s="36">
        <v>1155.4828985201382</v>
      </c>
      <c r="H8" s="35">
        <v>1245.4794022265955</v>
      </c>
      <c r="I8" s="36">
        <v>1245.4794022265955</v>
      </c>
      <c r="J8" s="35">
        <v>1348.2649091953815</v>
      </c>
      <c r="K8" s="36">
        <v>1348.2649091953815</v>
      </c>
      <c r="L8" s="35">
        <v>1466.5696102803408</v>
      </c>
      <c r="M8" s="36">
        <v>1466.5696102803408</v>
      </c>
      <c r="N8" s="35">
        <v>1603.9562369494704</v>
      </c>
      <c r="O8" s="36">
        <v>1603.9562369494704</v>
      </c>
      <c r="P8" s="35">
        <v>1765.175638801275</v>
      </c>
      <c r="Q8" s="36">
        <v>1765.175638801275</v>
      </c>
      <c r="R8" s="35">
        <v>1956.7340541657784</v>
      </c>
      <c r="S8" s="36">
        <v>1956.7340541657784</v>
      </c>
      <c r="T8" s="35">
        <v>2187.8320816197333</v>
      </c>
      <c r="U8" s="36">
        <v>2187.8320816197333</v>
      </c>
      <c r="V8" s="35">
        <v>2471.9995229685464</v>
      </c>
      <c r="W8" s="36">
        <v>2471.9995229685464</v>
      </c>
      <c r="X8" s="35">
        <v>2830.1049807140871</v>
      </c>
      <c r="Y8" s="36">
        <v>2830.1049807140871</v>
      </c>
      <c r="Z8" s="35">
        <v>3296.2643585209062</v>
      </c>
      <c r="AA8" s="36">
        <v>3296.2643585209062</v>
      </c>
      <c r="AB8" s="35">
        <v>3930.3147766905972</v>
      </c>
      <c r="AC8" s="36">
        <v>3930.3147766905972</v>
      </c>
      <c r="AD8" s="35">
        <v>4846.3025187945641</v>
      </c>
      <c r="AE8" s="36">
        <v>4846.3025187945641</v>
      </c>
      <c r="AF8" s="35">
        <v>6282.7245447630139</v>
      </c>
      <c r="AG8" s="36">
        <v>6282.7245447630139</v>
      </c>
      <c r="AH8" s="35">
        <v>8787.7343946256351</v>
      </c>
      <c r="AI8" s="36">
        <v>8787.7343946256351</v>
      </c>
      <c r="AJ8" s="35">
        <v>13762.675720277612</v>
      </c>
      <c r="AK8" s="36">
        <v>13762.675720277612</v>
      </c>
      <c r="AL8" s="35">
        <v>25621.909847911007</v>
      </c>
      <c r="AM8" s="36">
        <v>25621.909847911007</v>
      </c>
      <c r="AN8" s="35">
        <v>66520.319441894128</v>
      </c>
      <c r="AO8" s="36">
        <v>66520.319441894128</v>
      </c>
      <c r="AP8" s="35">
        <v>87084.363294342576</v>
      </c>
      <c r="AQ8" s="36">
        <v>87084.363294342576</v>
      </c>
      <c r="AR8" s="35">
        <v>119513.78132335033</v>
      </c>
      <c r="AS8" s="36">
        <v>119513.78132335033</v>
      </c>
      <c r="AT8" s="35">
        <v>175555.37726453532</v>
      </c>
      <c r="AU8" s="36">
        <v>175555.37726453532</v>
      </c>
      <c r="AV8" s="35"/>
      <c r="AW8" s="36"/>
    </row>
    <row r="9" spans="1:49" x14ac:dyDescent="0.2">
      <c r="A9" t="s">
        <v>14</v>
      </c>
      <c r="B9" s="41">
        <v>1015.9116825427475</v>
      </c>
      <c r="C9" s="42">
        <v>1005.7716594496609</v>
      </c>
      <c r="D9" s="41">
        <v>1014.3008941483992</v>
      </c>
      <c r="E9" s="42">
        <v>1076.1436936677221</v>
      </c>
      <c r="F9" s="41">
        <v>1012.6371443870631</v>
      </c>
      <c r="G9" s="42">
        <v>1155.4828985201382</v>
      </c>
      <c r="H9" s="41">
        <v>1010.9117825872029</v>
      </c>
      <c r="I9" s="42">
        <v>1245.4794022265955</v>
      </c>
      <c r="J9" s="41">
        <v>1009.1149739035384</v>
      </c>
      <c r="K9" s="42">
        <v>1348.2649091953815</v>
      </c>
      <c r="L9" s="41">
        <v>1007.2358167058745</v>
      </c>
      <c r="M9" s="42">
        <v>1466.5696102803408</v>
      </c>
      <c r="N9" s="41">
        <v>1005.2627352176311</v>
      </c>
      <c r="O9" s="42">
        <v>1603.9562369494704</v>
      </c>
      <c r="P9" s="41">
        <v>1003.1843538758052</v>
      </c>
      <c r="Q9" s="42">
        <v>1765.175638801275</v>
      </c>
      <c r="R9" s="41">
        <v>1000.9912816745413</v>
      </c>
      <c r="S9" s="42">
        <v>1956.7340541657784</v>
      </c>
      <c r="T9" s="41">
        <v>998.6795497329</v>
      </c>
      <c r="U9" s="42">
        <v>2187.8320816197333</v>
      </c>
      <c r="V9" s="41">
        <v>996.2571304005744</v>
      </c>
      <c r="W9" s="42">
        <v>2471.9995229685464</v>
      </c>
      <c r="X9" s="41">
        <v>993.75627398475115</v>
      </c>
      <c r="Y9" s="42">
        <v>2830.1049807140871</v>
      </c>
      <c r="Z9" s="41">
        <v>991.25701290466327</v>
      </c>
      <c r="AA9" s="42">
        <v>3296.2643585209062</v>
      </c>
      <c r="AB9" s="41">
        <v>988.93174626144776</v>
      </c>
      <c r="AC9" s="42">
        <v>3930.3147766905972</v>
      </c>
      <c r="AD9" s="41">
        <v>987.12558547719459</v>
      </c>
      <c r="AE9" s="42">
        <v>4846.3025187945641</v>
      </c>
      <c r="AF9" s="41">
        <v>986.46962355370954</v>
      </c>
      <c r="AG9" s="42">
        <v>6282.7245447630139</v>
      </c>
      <c r="AH9" s="41">
        <v>987.88480866309476</v>
      </c>
      <c r="AI9" s="42">
        <v>8787.7343946256351</v>
      </c>
      <c r="AJ9" s="41">
        <v>992.00599210112193</v>
      </c>
      <c r="AK9" s="42">
        <v>13762.675720277612</v>
      </c>
      <c r="AL9" s="41">
        <v>998.05891088945395</v>
      </c>
      <c r="AM9" s="42">
        <v>25621.909847911007</v>
      </c>
      <c r="AN9" s="41">
        <v>1003.6987177025061</v>
      </c>
      <c r="AO9" s="42">
        <v>66520.319441894128</v>
      </c>
      <c r="AP9" s="41">
        <v>1004.4250517567655</v>
      </c>
      <c r="AQ9" s="42">
        <v>87084.363294342576</v>
      </c>
      <c r="AR9" s="41">
        <v>1004.854595419224</v>
      </c>
      <c r="AS9" s="42">
        <v>119513.78132335033</v>
      </c>
      <c r="AT9" s="41">
        <v>1004.8222709934142</v>
      </c>
      <c r="AU9" s="42">
        <v>175555.37726453532</v>
      </c>
      <c r="AV9" s="41"/>
      <c r="AW9" s="42"/>
    </row>
    <row r="10" spans="1:49" x14ac:dyDescent="0.2">
      <c r="A10" t="s">
        <v>15</v>
      </c>
      <c r="B10" s="41">
        <v>1015.9116825427475</v>
      </c>
      <c r="C10" s="42">
        <v>1005.7716594496609</v>
      </c>
      <c r="D10" s="41">
        <v>1014.3008941483992</v>
      </c>
      <c r="E10" s="42">
        <v>1076.1436936677221</v>
      </c>
      <c r="F10" s="41">
        <v>1012.6371443870631</v>
      </c>
      <c r="G10" s="42">
        <v>1155.4828985201382</v>
      </c>
      <c r="H10" s="41">
        <v>1010.9117825872029</v>
      </c>
      <c r="I10" s="42">
        <v>1245.4794022265955</v>
      </c>
      <c r="J10" s="41">
        <v>1009.1149739035384</v>
      </c>
      <c r="K10" s="42">
        <v>1348.2649091953815</v>
      </c>
      <c r="L10" s="41">
        <v>1007.2358167058745</v>
      </c>
      <c r="M10" s="42">
        <v>1466.5696102803408</v>
      </c>
      <c r="N10" s="41">
        <v>1005.2627352176311</v>
      </c>
      <c r="O10" s="42">
        <v>1603.9562369494704</v>
      </c>
      <c r="P10" s="41">
        <v>1003.1843538758052</v>
      </c>
      <c r="Q10" s="42">
        <v>1765.175638801275</v>
      </c>
      <c r="R10" s="41">
        <v>1000.9912816745413</v>
      </c>
      <c r="S10" s="42">
        <v>1956.7340541657784</v>
      </c>
      <c r="T10" s="41">
        <v>998.6795497329</v>
      </c>
      <c r="U10" s="42">
        <v>2187.8320816197333</v>
      </c>
      <c r="V10" s="41">
        <v>996.2571304005744</v>
      </c>
      <c r="W10" s="42">
        <v>2471.9995229685464</v>
      </c>
      <c r="X10" s="41">
        <v>993.75627398475115</v>
      </c>
      <c r="Y10" s="42">
        <v>2830.1049807140871</v>
      </c>
      <c r="Z10" s="41">
        <v>991.25701290466327</v>
      </c>
      <c r="AA10" s="42">
        <v>3296.2643585209062</v>
      </c>
      <c r="AB10" s="41">
        <v>988.93174626144776</v>
      </c>
      <c r="AC10" s="42">
        <v>3930.3147766905972</v>
      </c>
      <c r="AD10" s="41">
        <v>987.12558547719459</v>
      </c>
      <c r="AE10" s="42">
        <v>4846.3025187945641</v>
      </c>
      <c r="AF10" s="41">
        <v>986.46962355370954</v>
      </c>
      <c r="AG10" s="42">
        <v>6282.7245447630139</v>
      </c>
      <c r="AH10" s="41">
        <v>987.88480866309476</v>
      </c>
      <c r="AI10" s="42">
        <v>8787.7343946256351</v>
      </c>
      <c r="AJ10" s="41">
        <v>992.00599210112193</v>
      </c>
      <c r="AK10" s="42">
        <v>13762.675720277612</v>
      </c>
      <c r="AL10" s="41">
        <v>998.05891088945395</v>
      </c>
      <c r="AM10" s="42">
        <v>25621.909847911007</v>
      </c>
      <c r="AN10" s="41">
        <v>1003.6987177025061</v>
      </c>
      <c r="AO10" s="42">
        <v>66520.319441894128</v>
      </c>
      <c r="AP10" s="41">
        <v>1004.4250517567655</v>
      </c>
      <c r="AQ10" s="42">
        <v>87084.363294342576</v>
      </c>
      <c r="AR10" s="41">
        <v>1004.854595419224</v>
      </c>
      <c r="AS10" s="42">
        <v>119513.78132335033</v>
      </c>
      <c r="AT10" s="41">
        <v>1004.8222709934142</v>
      </c>
      <c r="AU10" s="42">
        <v>175555.37726453532</v>
      </c>
      <c r="AV10" s="41"/>
      <c r="AW10" s="42"/>
    </row>
    <row r="11" spans="1:49" x14ac:dyDescent="0.2">
      <c r="A11" t="s">
        <v>29</v>
      </c>
      <c r="B11" s="41">
        <v>1015.9116825427475</v>
      </c>
      <c r="C11" s="42">
        <v>1005.7716594496609</v>
      </c>
      <c r="D11" s="41">
        <v>1014.3008941483992</v>
      </c>
      <c r="E11" s="42">
        <v>1076.1436936677221</v>
      </c>
      <c r="F11" s="41">
        <v>1012.6371443870631</v>
      </c>
      <c r="G11" s="42">
        <v>1155.4828985201382</v>
      </c>
      <c r="H11" s="41">
        <v>1010.9117825872029</v>
      </c>
      <c r="I11" s="42">
        <v>1245.4794022265955</v>
      </c>
      <c r="J11" s="41">
        <v>1009.1149739035384</v>
      </c>
      <c r="K11" s="42">
        <v>1348.2649091953815</v>
      </c>
      <c r="L11" s="41">
        <v>1007.2358167058745</v>
      </c>
      <c r="M11" s="42">
        <v>1466.5696102803408</v>
      </c>
      <c r="N11" s="41">
        <v>1005.2627352176311</v>
      </c>
      <c r="O11" s="42">
        <v>1603.9562369494704</v>
      </c>
      <c r="P11" s="41">
        <v>1003.1843538758052</v>
      </c>
      <c r="Q11" s="42">
        <v>1765.175638801275</v>
      </c>
      <c r="R11" s="41">
        <v>1000.9912816745413</v>
      </c>
      <c r="S11" s="42">
        <v>1956.7340541657784</v>
      </c>
      <c r="T11" s="41">
        <v>998.6795497329</v>
      </c>
      <c r="U11" s="42">
        <v>2187.8320816197333</v>
      </c>
      <c r="V11" s="41">
        <v>996.2571304005744</v>
      </c>
      <c r="W11" s="42">
        <v>2471.9995229685464</v>
      </c>
      <c r="X11" s="41">
        <v>993.75627398475115</v>
      </c>
      <c r="Y11" s="42">
        <v>2830.1049807140871</v>
      </c>
      <c r="Z11" s="41">
        <v>991.25701290466327</v>
      </c>
      <c r="AA11" s="42">
        <v>3296.2643585209062</v>
      </c>
      <c r="AB11" s="41">
        <v>988.93174626144776</v>
      </c>
      <c r="AC11" s="42">
        <v>3930.3147766905972</v>
      </c>
      <c r="AD11" s="41">
        <v>987.12558547719459</v>
      </c>
      <c r="AE11" s="42">
        <v>4846.3025187945641</v>
      </c>
      <c r="AF11" s="41">
        <v>986.46962355370954</v>
      </c>
      <c r="AG11" s="42">
        <v>6282.7245447630139</v>
      </c>
      <c r="AH11" s="41">
        <v>987.88480866309476</v>
      </c>
      <c r="AI11" s="42">
        <v>8787.7343946256351</v>
      </c>
      <c r="AJ11" s="41">
        <v>992.00599210112193</v>
      </c>
      <c r="AK11" s="42">
        <v>13762.675720277612</v>
      </c>
      <c r="AL11" s="41">
        <v>998.05891088945395</v>
      </c>
      <c r="AM11" s="42">
        <v>25621.909847911007</v>
      </c>
      <c r="AN11" s="41">
        <v>1003.6987177025061</v>
      </c>
      <c r="AO11" s="42">
        <v>66520.319441894128</v>
      </c>
      <c r="AP11" s="41">
        <v>1004.4250517567655</v>
      </c>
      <c r="AQ11" s="42">
        <v>87084.363294342576</v>
      </c>
      <c r="AR11" s="41">
        <v>1004.854595419224</v>
      </c>
      <c r="AS11" s="42">
        <v>119513.78132335033</v>
      </c>
      <c r="AT11" s="41">
        <v>1004.8222709934142</v>
      </c>
      <c r="AU11" s="42">
        <v>175555.37726453532</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998.1753935729206</v>
      </c>
      <c r="E13" s="98">
        <v>998.1753935729206</v>
      </c>
      <c r="F13" s="97">
        <v>996.03629934635683</v>
      </c>
      <c r="G13" s="98">
        <v>996.03629934635683</v>
      </c>
      <c r="H13" s="97">
        <v>993.53737947013792</v>
      </c>
      <c r="I13" s="98">
        <v>993.53737947013792</v>
      </c>
      <c r="J13" s="97">
        <v>990.62384217664976</v>
      </c>
      <c r="K13" s="98">
        <v>990.62384217664976</v>
      </c>
      <c r="L13" s="97">
        <v>987.2288063586667</v>
      </c>
      <c r="M13" s="98">
        <v>987.2288063586667</v>
      </c>
      <c r="N13" s="97">
        <v>983.26939067233138</v>
      </c>
      <c r="O13" s="98">
        <v>983.26939067233138</v>
      </c>
      <c r="P13" s="97">
        <v>978.64147693687164</v>
      </c>
      <c r="Q13" s="98">
        <v>978.64147693687164</v>
      </c>
      <c r="R13" s="97">
        <v>973.21149108511577</v>
      </c>
      <c r="S13" s="98">
        <v>973.21149108511577</v>
      </c>
      <c r="T13" s="97">
        <v>966.80403427884607</v>
      </c>
      <c r="U13" s="98">
        <v>966.80403427884607</v>
      </c>
      <c r="V13" s="97">
        <v>959.18173736203664</v>
      </c>
      <c r="W13" s="98">
        <v>959.18173736203664</v>
      </c>
      <c r="X13" s="97">
        <v>950.01104911053051</v>
      </c>
      <c r="Y13" s="98">
        <v>950.01104911053051</v>
      </c>
      <c r="Z13" s="97">
        <v>938.80072933057249</v>
      </c>
      <c r="AA13" s="98">
        <v>938.80072933057249</v>
      </c>
      <c r="AB13" s="97">
        <v>924.78394762327571</v>
      </c>
      <c r="AC13" s="98">
        <v>924.78394762327571</v>
      </c>
      <c r="AD13" s="97">
        <v>906.67742077631203</v>
      </c>
      <c r="AE13" s="98">
        <v>906.67742077631203</v>
      </c>
      <c r="AF13" s="97">
        <v>882.16018267501488</v>
      </c>
      <c r="AG13" s="98">
        <v>882.16018267501488</v>
      </c>
      <c r="AH13" s="97">
        <v>846.70703865517464</v>
      </c>
      <c r="AI13" s="98">
        <v>846.70703865517464</v>
      </c>
      <c r="AJ13" s="97">
        <v>790.87780716674877</v>
      </c>
      <c r="AK13" s="98">
        <v>790.87780716674877</v>
      </c>
      <c r="AL13" s="97">
        <v>692.69297021565467</v>
      </c>
      <c r="AM13" s="98">
        <v>692.69297021565467</v>
      </c>
      <c r="AN13" s="97">
        <v>486.84053357674549</v>
      </c>
      <c r="AO13" s="98">
        <v>486.84053357674549</v>
      </c>
      <c r="AP13" s="97">
        <v>417.23201144861639</v>
      </c>
      <c r="AQ13" s="98">
        <v>417.23201144861639</v>
      </c>
      <c r="AR13" s="97">
        <v>330.81646079816159</v>
      </c>
      <c r="AS13" s="98">
        <v>330.81646079816159</v>
      </c>
      <c r="AT13" s="97">
        <v>223.13686270488492</v>
      </c>
      <c r="AU13" s="98">
        <v>223.13686270488492</v>
      </c>
      <c r="AV13" s="97"/>
      <c r="AW13" s="98"/>
    </row>
    <row r="14" spans="1:49" x14ac:dyDescent="0.2">
      <c r="A14" t="s">
        <v>36</v>
      </c>
      <c r="B14" s="41">
        <v>1457.0034251455234</v>
      </c>
      <c r="C14" s="42">
        <v>1457.0034251455236</v>
      </c>
      <c r="D14" s="41">
        <v>1454.3449673317261</v>
      </c>
      <c r="E14" s="42">
        <v>1454.3449673317264</v>
      </c>
      <c r="F14" s="41">
        <v>1451.2282997169136</v>
      </c>
      <c r="G14" s="42">
        <v>1451.2282997169139</v>
      </c>
      <c r="H14" s="41">
        <v>1447.5873648980985</v>
      </c>
      <c r="I14" s="42">
        <v>1447.5873648980987</v>
      </c>
      <c r="J14" s="41">
        <v>1443.342331082197</v>
      </c>
      <c r="K14" s="42">
        <v>1443.3423310821972</v>
      </c>
      <c r="L14" s="41">
        <v>1438.3957522669039</v>
      </c>
      <c r="M14" s="42">
        <v>1438.3957522669041</v>
      </c>
      <c r="N14" s="41">
        <v>1432.6268700503385</v>
      </c>
      <c r="O14" s="42">
        <v>1432.6268700503388</v>
      </c>
      <c r="P14" s="41">
        <v>1425.8839838864956</v>
      </c>
      <c r="Q14" s="42">
        <v>1425.8839838864958</v>
      </c>
      <c r="R14" s="41">
        <v>1417.9724759019955</v>
      </c>
      <c r="S14" s="42">
        <v>1417.9724759019957</v>
      </c>
      <c r="T14" s="41">
        <v>1408.6367893887887</v>
      </c>
      <c r="U14" s="42">
        <v>1408.6367893887889</v>
      </c>
      <c r="V14" s="41">
        <v>1397.5310766735211</v>
      </c>
      <c r="W14" s="42">
        <v>1397.5310766735213</v>
      </c>
      <c r="X14" s="41">
        <v>1384.1693524801349</v>
      </c>
      <c r="Y14" s="42">
        <v>1384.1693524801351</v>
      </c>
      <c r="Z14" s="41">
        <v>1367.8358781637594</v>
      </c>
      <c r="AA14" s="42">
        <v>1367.8358781637596</v>
      </c>
      <c r="AB14" s="41">
        <v>1347.4133792067109</v>
      </c>
      <c r="AC14" s="42">
        <v>1347.4133792067112</v>
      </c>
      <c r="AD14" s="41">
        <v>1321.0321075731954</v>
      </c>
      <c r="AE14" s="42">
        <v>1321.0321075731956</v>
      </c>
      <c r="AF14" s="41">
        <v>1285.3104076844972</v>
      </c>
      <c r="AG14" s="42">
        <v>1285.3104076844975</v>
      </c>
      <c r="AH14" s="41">
        <v>1233.6550554154123</v>
      </c>
      <c r="AI14" s="42">
        <v>1233.6550554154126</v>
      </c>
      <c r="AJ14" s="41">
        <v>1152.3116739135337</v>
      </c>
      <c r="AK14" s="42">
        <v>1152.3116739135337</v>
      </c>
      <c r="AL14" s="41">
        <v>1009.2560301784348</v>
      </c>
      <c r="AM14" s="42">
        <v>1009.2560301784349</v>
      </c>
      <c r="AN14" s="41">
        <v>709.32832492099226</v>
      </c>
      <c r="AO14" s="42">
        <v>709.32832492099237</v>
      </c>
      <c r="AP14" s="41">
        <v>607.90846976099022</v>
      </c>
      <c r="AQ14" s="42">
        <v>607.90846976099033</v>
      </c>
      <c r="AR14" s="41">
        <v>482.00071647744119</v>
      </c>
      <c r="AS14" s="42">
        <v>482.00071647744124</v>
      </c>
      <c r="AT14" s="41">
        <v>325.11117323724369</v>
      </c>
      <c r="AU14" s="42">
        <v>325.11117323724375</v>
      </c>
      <c r="AV14" s="41"/>
      <c r="AW14" s="42"/>
    </row>
    <row r="15" spans="1:49" x14ac:dyDescent="0.2">
      <c r="A15" t="s">
        <v>18</v>
      </c>
      <c r="B15" s="154">
        <v>1000</v>
      </c>
      <c r="C15" s="155">
        <v>1000</v>
      </c>
      <c r="D15" s="154">
        <v>992.45538317252908</v>
      </c>
      <c r="E15" s="155">
        <v>992.45538317252908</v>
      </c>
      <c r="F15" s="154">
        <v>984.62480706531971</v>
      </c>
      <c r="G15" s="155">
        <v>984.62480706531971</v>
      </c>
      <c r="H15" s="154">
        <v>976.46529867727088</v>
      </c>
      <c r="I15" s="155">
        <v>976.46529867727088</v>
      </c>
      <c r="J15" s="154">
        <v>967.92587279312829</v>
      </c>
      <c r="K15" s="155">
        <v>967.92587279312829</v>
      </c>
      <c r="L15" s="154">
        <v>958.94557931857355</v>
      </c>
      <c r="M15" s="155">
        <v>958.94557931857355</v>
      </c>
      <c r="N15" s="154">
        <v>949.4510788159364</v>
      </c>
      <c r="O15" s="155">
        <v>949.4510788159364</v>
      </c>
      <c r="P15" s="154">
        <v>939.35296175161307</v>
      </c>
      <c r="Q15" s="155">
        <v>939.35296175161307</v>
      </c>
      <c r="R15" s="154">
        <v>928.54074381299051</v>
      </c>
      <c r="S15" s="155">
        <v>928.54074381299051</v>
      </c>
      <c r="T15" s="154">
        <v>916.87488200809844</v>
      </c>
      <c r="U15" s="155">
        <v>916.87488200809844</v>
      </c>
      <c r="V15" s="154">
        <v>904.17384904818289</v>
      </c>
      <c r="W15" s="155">
        <v>904.17384904818289</v>
      </c>
      <c r="X15" s="154">
        <v>890.19141849365872</v>
      </c>
      <c r="Y15" s="155">
        <v>890.19141849365872</v>
      </c>
      <c r="Z15" s="154">
        <v>874.57370150796942</v>
      </c>
      <c r="AA15" s="155">
        <v>874.57370150796942</v>
      </c>
      <c r="AB15" s="154">
        <v>856.77112933102956</v>
      </c>
      <c r="AC15" s="155">
        <v>856.77112933102956</v>
      </c>
      <c r="AD15" s="154">
        <v>835.842309311024</v>
      </c>
      <c r="AE15" s="155">
        <v>835.842309311024</v>
      </c>
      <c r="AF15" s="154">
        <v>809.98349819456917</v>
      </c>
      <c r="AG15" s="155">
        <v>809.98349819456917</v>
      </c>
      <c r="AH15" s="154">
        <v>775.36495477097799</v>
      </c>
      <c r="AI15" s="155">
        <v>775.36495477097799</v>
      </c>
      <c r="AJ15" s="154">
        <v>723.34963265308693</v>
      </c>
      <c r="AK15" s="155">
        <v>723.34963265308693</v>
      </c>
      <c r="AL15" s="154">
        <v>633.34578630338001</v>
      </c>
      <c r="AM15" s="155">
        <v>633.34578630338001</v>
      </c>
      <c r="AN15" s="154">
        <v>445.11454412858291</v>
      </c>
      <c r="AO15" s="155">
        <v>445.11454412858291</v>
      </c>
      <c r="AP15" s="154">
        <v>381.47181540308725</v>
      </c>
      <c r="AQ15" s="155">
        <v>381.47181540308725</v>
      </c>
      <c r="AR15" s="154">
        <v>302.46273040389553</v>
      </c>
      <c r="AS15" s="155">
        <v>302.46273040389553</v>
      </c>
      <c r="AT15" s="154">
        <v>204.01216196927027</v>
      </c>
      <c r="AU15" s="155">
        <v>204.01216196927027</v>
      </c>
      <c r="AV15" s="154"/>
      <c r="AW15" s="155"/>
    </row>
    <row r="16" spans="1:49" s="29" customFormat="1" x14ac:dyDescent="0.2">
      <c r="A16" t="s">
        <v>61</v>
      </c>
      <c r="B16" s="41">
        <v>1000</v>
      </c>
      <c r="C16" s="42">
        <v>1000</v>
      </c>
      <c r="D16" s="41">
        <v>995.50382269049908</v>
      </c>
      <c r="E16" s="42">
        <v>994.08751973550534</v>
      </c>
      <c r="F16" s="41">
        <v>990.70402131383389</v>
      </c>
      <c r="G16" s="42">
        <v>987.87993077303997</v>
      </c>
      <c r="H16" s="41">
        <v>985.55636101899142</v>
      </c>
      <c r="I16" s="42">
        <v>981.33358375111379</v>
      </c>
      <c r="J16" s="41">
        <v>980.0078259569774</v>
      </c>
      <c r="K16" s="42">
        <v>974.39640552552817</v>
      </c>
      <c r="L16" s="41">
        <v>973.99430619015084</v>
      </c>
      <c r="M16" s="42">
        <v>967.00575311473528</v>
      </c>
      <c r="N16" s="41">
        <v>967.43738533436215</v>
      </c>
      <c r="O16" s="42">
        <v>959.08556683239817</v>
      </c>
      <c r="P16" s="41">
        <v>960.23984165788784</v>
      </c>
      <c r="Q16" s="42">
        <v>950.54225017465637</v>
      </c>
      <c r="R16" s="41">
        <v>952.27894660102879</v>
      </c>
      <c r="S16" s="42">
        <v>941.25875463627415</v>
      </c>
      <c r="T16" s="41">
        <v>943.39617334695049</v>
      </c>
      <c r="U16" s="42">
        <v>931.08535670766241</v>
      </c>
      <c r="V16" s="41">
        <v>933.38047254220078</v>
      </c>
      <c r="W16" s="42">
        <v>919.82469242548552</v>
      </c>
      <c r="X16" s="41">
        <v>921.93951267547038</v>
      </c>
      <c r="Y16" s="42">
        <v>907.20579612977338</v>
      </c>
      <c r="Z16" s="41">
        <v>908.64696990017364</v>
      </c>
      <c r="AA16" s="42">
        <v>892.83590227607954</v>
      </c>
      <c r="AB16" s="41">
        <v>892.83880023821393</v>
      </c>
      <c r="AC16" s="42">
        <v>876.10398986359348</v>
      </c>
      <c r="AD16" s="41">
        <v>873.39356694804997</v>
      </c>
      <c r="AE16" s="42">
        <v>855.97200454357733</v>
      </c>
      <c r="AF16" s="41">
        <v>848.23515332875832</v>
      </c>
      <c r="AG16" s="42">
        <v>830.48997239930202</v>
      </c>
      <c r="AH16" s="41">
        <v>813.16721612083472</v>
      </c>
      <c r="AI16" s="42">
        <v>795.63137907065652</v>
      </c>
      <c r="AJ16" s="41">
        <v>759.1279091633138</v>
      </c>
      <c r="AK16" s="42">
        <v>742.53134402973126</v>
      </c>
      <c r="AL16" s="41">
        <v>664.78884292258044</v>
      </c>
      <c r="AM16" s="42">
        <v>650.20335443650163</v>
      </c>
      <c r="AN16" s="41">
        <v>467.22156527011191</v>
      </c>
      <c r="AO16" s="42">
        <v>456.96678951152683</v>
      </c>
      <c r="AP16" s="41">
        <v>400.41807389036802</v>
      </c>
      <c r="AQ16" s="42">
        <v>391.6294800259671</v>
      </c>
      <c r="AR16" s="41">
        <v>317.48493827192431</v>
      </c>
      <c r="AS16" s="42">
        <v>310.51659232723267</v>
      </c>
      <c r="AT16" s="41">
        <v>214.14469920022233</v>
      </c>
      <c r="AU16" s="42">
        <v>209.44452294928564</v>
      </c>
      <c r="AV16" s="41"/>
      <c r="AW16" s="42"/>
    </row>
    <row r="17" spans="1:49" x14ac:dyDescent="0.2">
      <c r="A17" t="s">
        <v>62</v>
      </c>
      <c r="B17" s="35">
        <v>1000.0000000000002</v>
      </c>
      <c r="C17" s="36">
        <v>999.99999999999977</v>
      </c>
      <c r="D17" s="35">
        <v>998.55912092821927</v>
      </c>
      <c r="E17" s="36">
        <v>1034.2930377870334</v>
      </c>
      <c r="F17" s="35">
        <v>997.07281802165232</v>
      </c>
      <c r="G17" s="36">
        <v>1072.7845031760885</v>
      </c>
      <c r="H17" s="35">
        <v>995.53357531804227</v>
      </c>
      <c r="I17" s="36">
        <v>1116.2375362534144</v>
      </c>
      <c r="J17" s="35">
        <v>993.93287528323276</v>
      </c>
      <c r="K17" s="36">
        <v>1165.6114288394824</v>
      </c>
      <c r="L17" s="35">
        <v>992.26131173117415</v>
      </c>
      <c r="M17" s="36">
        <v>1222.1310207972904</v>
      </c>
      <c r="N17" s="35">
        <v>990.50896034002358</v>
      </c>
      <c r="O17" s="36">
        <v>1287.390391091855</v>
      </c>
      <c r="P17" s="35">
        <v>988.66615964272364</v>
      </c>
      <c r="Q17" s="36">
        <v>1363.5101717968741</v>
      </c>
      <c r="R17" s="35">
        <v>986.72509658246463</v>
      </c>
      <c r="S17" s="36">
        <v>1453.388693900398</v>
      </c>
      <c r="T17" s="35">
        <v>984.68283698623748</v>
      </c>
      <c r="U17" s="36">
        <v>1561.1172374873477</v>
      </c>
      <c r="V17" s="35">
        <v>982.54702794304433</v>
      </c>
      <c r="W17" s="36">
        <v>1692.7020581657985</v>
      </c>
      <c r="X17" s="35">
        <v>980.34663088917171</v>
      </c>
      <c r="Y17" s="36">
        <v>1857.3905930396761</v>
      </c>
      <c r="Z17" s="35">
        <v>978.15229894056711</v>
      </c>
      <c r="AA17" s="36">
        <v>2070.2668184764543</v>
      </c>
      <c r="AB17" s="35">
        <v>976.11493791411783</v>
      </c>
      <c r="AC17" s="36">
        <v>2357.7068142163303</v>
      </c>
      <c r="AD17" s="35">
        <v>974.53521989757076</v>
      </c>
      <c r="AE17" s="36">
        <v>2769.7662510421146</v>
      </c>
      <c r="AF17" s="35">
        <v>973.96210872469032</v>
      </c>
      <c r="AG17" s="36">
        <v>3410.4922413165782</v>
      </c>
      <c r="AH17" s="35">
        <v>975.19895721774355</v>
      </c>
      <c r="AI17" s="36">
        <v>4517.1243318058987</v>
      </c>
      <c r="AJ17" s="35">
        <v>978.80940648780461</v>
      </c>
      <c r="AK17" s="36">
        <v>6690.9637367040186</v>
      </c>
      <c r="AL17" s="35">
        <v>984.13521425433453</v>
      </c>
      <c r="AM17" s="36">
        <v>11815.258142375518</v>
      </c>
      <c r="AN17" s="35">
        <v>989.1219265837409</v>
      </c>
      <c r="AO17" s="36">
        <v>29324.450542703536</v>
      </c>
      <c r="AP17" s="35">
        <v>989.76584669124009</v>
      </c>
      <c r="AQ17" s="36">
        <v>38102.536928277019</v>
      </c>
      <c r="AR17" s="35">
        <v>990.14683320335098</v>
      </c>
      <c r="AS17" s="36">
        <v>51936.668458714877</v>
      </c>
      <c r="AT17" s="35">
        <v>990.11815816059868</v>
      </c>
      <c r="AU17" s="36">
        <v>75838.330251642736</v>
      </c>
      <c r="AV17" s="35"/>
      <c r="AW17" s="36"/>
    </row>
    <row r="18" spans="1:49" x14ac:dyDescent="0.2">
      <c r="A18" t="s">
        <v>19</v>
      </c>
      <c r="B18" s="33">
        <v>27857.010133999996</v>
      </c>
      <c r="C18" s="34">
        <v>1236.7674480000003</v>
      </c>
      <c r="D18" s="33">
        <v>27863.788409423523</v>
      </c>
      <c r="E18" s="34">
        <v>1149.5678846684548</v>
      </c>
      <c r="F18" s="33">
        <v>27866.909842060981</v>
      </c>
      <c r="G18" s="34">
        <v>1062.395505322434</v>
      </c>
      <c r="H18" s="33">
        <v>27865.830897763644</v>
      </c>
      <c r="I18" s="34">
        <v>975.27578387105791</v>
      </c>
      <c r="J18" s="33">
        <v>27859.880932313543</v>
      </c>
      <c r="K18" s="34">
        <v>888.24995219836489</v>
      </c>
      <c r="L18" s="33">
        <v>27848.218721854784</v>
      </c>
      <c r="M18" s="34">
        <v>801.38295854864543</v>
      </c>
      <c r="N18" s="33">
        <v>27829.765317735208</v>
      </c>
      <c r="O18" s="34">
        <v>714.77972723133109</v>
      </c>
      <c r="P18" s="33">
        <v>27803.107508924146</v>
      </c>
      <c r="Q18" s="34">
        <v>628.60327205673434</v>
      </c>
      <c r="R18" s="33">
        <v>27766.341738861924</v>
      </c>
      <c r="S18" s="34">
        <v>543.10969882680615</v>
      </c>
      <c r="T18" s="33">
        <v>27716.827150585021</v>
      </c>
      <c r="U18" s="34">
        <v>458.69629734708542</v>
      </c>
      <c r="V18" s="33">
        <v>27650.771325745427</v>
      </c>
      <c r="W18" s="34">
        <v>375.97800641278963</v>
      </c>
      <c r="X18" s="33">
        <v>27562.510269192033</v>
      </c>
      <c r="Y18" s="34">
        <v>295.90435222122318</v>
      </c>
      <c r="Z18" s="33">
        <v>27443.19895776458</v>
      </c>
      <c r="AA18" s="34">
        <v>219.93583378589125</v>
      </c>
      <c r="AB18" s="33">
        <v>27278.315529616204</v>
      </c>
      <c r="AC18" s="34">
        <v>150.29441761307075</v>
      </c>
      <c r="AD18" s="33">
        <v>27042.718302634694</v>
      </c>
      <c r="AE18" s="34">
        <v>90.235650377516293</v>
      </c>
      <c r="AF18" s="33">
        <v>26690.730120637367</v>
      </c>
      <c r="AG18" s="34">
        <v>43.994487485540937</v>
      </c>
      <c r="AH18" s="33">
        <v>26136.755254902149</v>
      </c>
      <c r="AI18" s="34">
        <v>15.25069707940982</v>
      </c>
      <c r="AJ18" s="33">
        <v>25214.065594239357</v>
      </c>
      <c r="AK18" s="34">
        <v>3.065584647737134</v>
      </c>
      <c r="AL18" s="33">
        <v>23531.115710780345</v>
      </c>
      <c r="AM18" s="34">
        <v>0.25846990080426241</v>
      </c>
      <c r="AN18" s="33">
        <v>19675.536595577418</v>
      </c>
      <c r="AO18" s="34">
        <v>4.0074336069243696E-3</v>
      </c>
      <c r="AP18" s="33">
        <v>18208.552164568482</v>
      </c>
      <c r="AQ18" s="34">
        <v>1.1562978546885265E-3</v>
      </c>
      <c r="AR18" s="33">
        <v>16210.390195060585</v>
      </c>
      <c r="AS18" s="34">
        <v>2.5780157411955804E-4</v>
      </c>
      <c r="AT18" s="33">
        <v>13313.495620523618</v>
      </c>
      <c r="AU18" s="34">
        <v>3.8717928420111199E-5</v>
      </c>
      <c r="AV18" s="33"/>
      <c r="AW18" s="34"/>
    </row>
    <row r="19" spans="1:49" x14ac:dyDescent="0.2">
      <c r="A19" t="s">
        <v>3</v>
      </c>
      <c r="B19" s="41">
        <v>1886.3937399999918</v>
      </c>
      <c r="C19" s="42">
        <v>262.78711299999759</v>
      </c>
      <c r="D19" s="41">
        <v>1879.6796052742877</v>
      </c>
      <c r="E19" s="42">
        <v>269.74491090329013</v>
      </c>
      <c r="F19" s="41">
        <v>1872.4944832920692</v>
      </c>
      <c r="G19" s="42">
        <v>277.71512003457718</v>
      </c>
      <c r="H19" s="41">
        <v>1864.7678615789828</v>
      </c>
      <c r="I19" s="42">
        <v>286.82676381628073</v>
      </c>
      <c r="J19" s="41">
        <v>1856.4167003173682</v>
      </c>
      <c r="K19" s="42">
        <v>297.22210325085473</v>
      </c>
      <c r="L19" s="41">
        <v>1847.3434657105981</v>
      </c>
      <c r="M19" s="42">
        <v>309.05345765956207</v>
      </c>
      <c r="N19" s="41">
        <v>1837.4339500181536</v>
      </c>
      <c r="O19" s="42">
        <v>322.47635815303067</v>
      </c>
      <c r="P19" s="41">
        <v>1826.5554609072351</v>
      </c>
      <c r="Q19" s="42">
        <v>337.63459241898369</v>
      </c>
      <c r="R19" s="41">
        <v>1814.5553138164478</v>
      </c>
      <c r="S19" s="42">
        <v>354.63220847145436</v>
      </c>
      <c r="T19" s="41">
        <v>1801.2608646403382</v>
      </c>
      <c r="U19" s="42">
        <v>373.48121431338103</v>
      </c>
      <c r="V19" s="41">
        <v>1786.4822600859306</v>
      </c>
      <c r="W19" s="42">
        <v>394.00455931272478</v>
      </c>
      <c r="X19" s="41">
        <v>1770.0204695866319</v>
      </c>
      <c r="Y19" s="42">
        <v>415.65563091943278</v>
      </c>
      <c r="Z19" s="41">
        <v>1751.6842390978318</v>
      </c>
      <c r="AA19" s="42">
        <v>437.17991868516316</v>
      </c>
      <c r="AB19" s="41">
        <v>1731.31662542308</v>
      </c>
      <c r="AC19" s="42">
        <v>455.98236878666279</v>
      </c>
      <c r="AD19" s="41">
        <v>1708.8025123462414</v>
      </c>
      <c r="AE19" s="42">
        <v>467.0086261957228</v>
      </c>
      <c r="AF19" s="41">
        <v>1683.854410552949</v>
      </c>
      <c r="AG19" s="42">
        <v>461.21066423209226</v>
      </c>
      <c r="AH19" s="41">
        <v>1654.6255301190711</v>
      </c>
      <c r="AI19" s="42">
        <v>425.56921062823898</v>
      </c>
      <c r="AJ19" s="41">
        <v>1612.3358605634451</v>
      </c>
      <c r="AK19" s="42">
        <v>350.68633682115541</v>
      </c>
      <c r="AL19" s="41">
        <v>1526.9512018679327</v>
      </c>
      <c r="AM19" s="42">
        <v>243.79349660970797</v>
      </c>
      <c r="AN19" s="41">
        <v>1294.2013376273569</v>
      </c>
      <c r="AO19" s="42">
        <v>123.15198751900715</v>
      </c>
      <c r="AP19" s="41">
        <v>1199.7937968433848</v>
      </c>
      <c r="AQ19" s="42">
        <v>98.564484651700383</v>
      </c>
      <c r="AR19" s="41">
        <v>1069.2306571259514</v>
      </c>
      <c r="AS19" s="42">
        <v>73.940096976254864</v>
      </c>
      <c r="AT19" s="41">
        <v>878.08472713478398</v>
      </c>
      <c r="AU19" s="42">
        <v>49.29845773535888</v>
      </c>
      <c r="AV19" s="41"/>
      <c r="AW19" s="42"/>
    </row>
    <row r="20" spans="1:49" x14ac:dyDescent="0.2">
      <c r="A20" t="s">
        <v>127</v>
      </c>
      <c r="B20" s="82">
        <v>26548.356269999993</v>
      </c>
      <c r="C20" s="83">
        <v>1408.5418709999938</v>
      </c>
      <c r="D20" s="82">
        <v>26537.952492382821</v>
      </c>
      <c r="E20" s="83">
        <v>1338.1147774499941</v>
      </c>
      <c r="F20" s="82">
        <v>26523.451563952567</v>
      </c>
      <c r="G20" s="83">
        <v>1267.6876838999945</v>
      </c>
      <c r="H20" s="82">
        <v>26504.246283657369</v>
      </c>
      <c r="I20" s="83">
        <v>1197.2605903499943</v>
      </c>
      <c r="J20" s="82">
        <v>26479.596635004349</v>
      </c>
      <c r="K20" s="83">
        <v>1126.8334967999951</v>
      </c>
      <c r="L20" s="82">
        <v>26448.590172776469</v>
      </c>
      <c r="M20" s="83">
        <v>1056.4064032499953</v>
      </c>
      <c r="N20" s="82">
        <v>26410.08316425762</v>
      </c>
      <c r="O20" s="83">
        <v>985.97930969999561</v>
      </c>
      <c r="P20" s="82">
        <v>26362.61959786954</v>
      </c>
      <c r="Q20" s="83">
        <v>915.55221614999596</v>
      </c>
      <c r="R20" s="82">
        <v>26304.304378622823</v>
      </c>
      <c r="S20" s="83">
        <v>845.12512259999642</v>
      </c>
      <c r="T20" s="82">
        <v>26232.609805691372</v>
      </c>
      <c r="U20" s="83">
        <v>774.69802904999653</v>
      </c>
      <c r="V20" s="82">
        <v>26144.059433661765</v>
      </c>
      <c r="W20" s="83">
        <v>704.27093549999688</v>
      </c>
      <c r="X20" s="82">
        <v>26033.689536566046</v>
      </c>
      <c r="Y20" s="83">
        <v>633.84384194999734</v>
      </c>
      <c r="Z20" s="82">
        <v>25894.079456683688</v>
      </c>
      <c r="AA20" s="83">
        <v>563.41674839999757</v>
      </c>
      <c r="AB20" s="82">
        <v>25713.492128218426</v>
      </c>
      <c r="AC20" s="83">
        <v>492.98965484999775</v>
      </c>
      <c r="AD20" s="82">
        <v>25472.070982669895</v>
      </c>
      <c r="AE20" s="83">
        <v>422.56256129999804</v>
      </c>
      <c r="AF20" s="82">
        <v>25133.57722055064</v>
      </c>
      <c r="AG20" s="83">
        <v>352.13546774999827</v>
      </c>
      <c r="AH20" s="82">
        <v>24626.591503906297</v>
      </c>
      <c r="AI20" s="83">
        <v>281.70837419999856</v>
      </c>
      <c r="AJ20" s="82">
        <v>23798.200662781681</v>
      </c>
      <c r="AK20" s="83">
        <v>211.28128064999879</v>
      </c>
      <c r="AL20" s="82">
        <v>22265.374528146756</v>
      </c>
      <c r="AM20" s="83">
        <v>140.85418709999902</v>
      </c>
      <c r="AN20" s="82">
        <v>18660.028614559906</v>
      </c>
      <c r="AO20" s="83">
        <v>70.42709354999927</v>
      </c>
      <c r="AP20" s="82">
        <v>17273.833918673394</v>
      </c>
      <c r="AQ20" s="83">
        <v>56.341674839999328</v>
      </c>
      <c r="AR20" s="82">
        <v>15380.91443338018</v>
      </c>
      <c r="AS20" s="83">
        <v>42.256256129999379</v>
      </c>
      <c r="AT20" s="82">
        <v>12632.087303131557</v>
      </c>
      <c r="AU20" s="83">
        <v>28.170837419999433</v>
      </c>
      <c r="AV20" s="82"/>
      <c r="AW20" s="83"/>
    </row>
    <row r="21" spans="1:49" x14ac:dyDescent="0.2">
      <c r="A21" t="s">
        <v>76</v>
      </c>
      <c r="B21" s="82">
        <v>24661.962529999968</v>
      </c>
      <c r="C21" s="83">
        <v>1145.7547579999991</v>
      </c>
      <c r="D21" s="82">
        <v>24658.277990245217</v>
      </c>
      <c r="E21" s="83">
        <v>1068.611231651769</v>
      </c>
      <c r="F21" s="82">
        <v>24650.978158347647</v>
      </c>
      <c r="G21" s="83">
        <v>991.00943272618849</v>
      </c>
      <c r="H21" s="82">
        <v>24639.527527663689</v>
      </c>
      <c r="I21" s="83">
        <v>912.94625528269</v>
      </c>
      <c r="J21" s="82">
        <v>24623.270591714259</v>
      </c>
      <c r="K21" s="83">
        <v>834.43511601145178</v>
      </c>
      <c r="L21" s="82">
        <v>24601.394250873276</v>
      </c>
      <c r="M21" s="83">
        <v>755.51577704122928</v>
      </c>
      <c r="N21" s="82">
        <v>24572.871174859982</v>
      </c>
      <c r="O21" s="83">
        <v>676.26858636859538</v>
      </c>
      <c r="P21" s="82">
        <v>24536.380623969002</v>
      </c>
      <c r="Q21" s="83">
        <v>596.83659279578671</v>
      </c>
      <c r="R21" s="82">
        <v>24490.183055690668</v>
      </c>
      <c r="S21" s="83">
        <v>517.45839469741713</v>
      </c>
      <c r="T21" s="82">
        <v>24431.926255422943</v>
      </c>
      <c r="U21" s="83">
        <v>438.51798721476609</v>
      </c>
      <c r="V21" s="82">
        <v>24358.325674137075</v>
      </c>
      <c r="W21" s="83">
        <v>360.6208508845545</v>
      </c>
      <c r="X21" s="82">
        <v>24264.616150001915</v>
      </c>
      <c r="Y21" s="83">
        <v>284.71016295726196</v>
      </c>
      <c r="Z21" s="82">
        <v>24143.561736151772</v>
      </c>
      <c r="AA21" s="83">
        <v>212.24182304418613</v>
      </c>
      <c r="AB21" s="82">
        <v>23983.562692014701</v>
      </c>
      <c r="AC21" s="83">
        <v>145.43213494714254</v>
      </c>
      <c r="AD21" s="82">
        <v>23764.832779637771</v>
      </c>
      <c r="AE21" s="83">
        <v>87.528494618668205</v>
      </c>
      <c r="AF21" s="82">
        <v>23451.337478845002</v>
      </c>
      <c r="AG21" s="83">
        <v>42.761678740099313</v>
      </c>
      <c r="AH21" s="82">
        <v>22973.399634647176</v>
      </c>
      <c r="AI21" s="83">
        <v>14.846004883966339</v>
      </c>
      <c r="AJ21" s="82">
        <v>22186.872753424417</v>
      </c>
      <c r="AK21" s="83">
        <v>2.9869928595040602</v>
      </c>
      <c r="AL21" s="82">
        <v>20738.949263744133</v>
      </c>
      <c r="AM21" s="83">
        <v>0.251942060210681</v>
      </c>
      <c r="AN21" s="82">
        <v>17366.033552277884</v>
      </c>
      <c r="AO21" s="83">
        <v>3.9065876986812175E-3</v>
      </c>
      <c r="AP21" s="82">
        <v>16074.209036304792</v>
      </c>
      <c r="AQ21" s="83">
        <v>1.1272047739511375E-3</v>
      </c>
      <c r="AR21" s="82">
        <v>14311.823142121952</v>
      </c>
      <c r="AS21" s="83">
        <v>2.5131566458394165E-4</v>
      </c>
      <c r="AT21" s="82">
        <v>11754.117705047798</v>
      </c>
      <c r="AU21" s="83">
        <v>3.7743864422639142E-5</v>
      </c>
      <c r="AV21" s="82"/>
      <c r="AW21" s="83"/>
    </row>
    <row r="22" spans="1:49" x14ac:dyDescent="0.2">
      <c r="A22" t="s">
        <v>28</v>
      </c>
      <c r="B22" s="41">
        <v>6533.6044688320644</v>
      </c>
      <c r="C22" s="42">
        <v>379.90788307663382</v>
      </c>
      <c r="D22" s="41">
        <v>6534.8886704042716</v>
      </c>
      <c r="E22" s="42">
        <v>364.27305527884738</v>
      </c>
      <c r="F22" s="41">
        <v>6534.6247185841985</v>
      </c>
      <c r="G22" s="42">
        <v>348.44137356589943</v>
      </c>
      <c r="H22" s="41">
        <v>6532.5892083825847</v>
      </c>
      <c r="I22" s="42">
        <v>332.40925362734259</v>
      </c>
      <c r="J22" s="41">
        <v>6528.5112490201245</v>
      </c>
      <c r="K22" s="42">
        <v>316.17172308834461</v>
      </c>
      <c r="L22" s="41">
        <v>6522.0589330357261</v>
      </c>
      <c r="M22" s="42">
        <v>299.72160853745908</v>
      </c>
      <c r="N22" s="41">
        <v>6512.8194875932859</v>
      </c>
      <c r="O22" s="42">
        <v>283.0480172516514</v>
      </c>
      <c r="P22" s="41">
        <v>6500.2728176106521</v>
      </c>
      <c r="Q22" s="42">
        <v>266.13449627271825</v>
      </c>
      <c r="R22" s="41">
        <v>6483.7502699450388</v>
      </c>
      <c r="S22" s="42">
        <v>248.95584240203371</v>
      </c>
      <c r="T22" s="41">
        <v>6462.374237893092</v>
      </c>
      <c r="U22" s="42">
        <v>231.47361387836182</v>
      </c>
      <c r="V22" s="41">
        <v>6434.9615962867356</v>
      </c>
      <c r="W22" s="42">
        <v>213.62938474402767</v>
      </c>
      <c r="X22" s="41">
        <v>6399.8639907745146</v>
      </c>
      <c r="Y22" s="42">
        <v>195.33491786714259</v>
      </c>
      <c r="Z22" s="41">
        <v>6354.6890654600666</v>
      </c>
      <c r="AA22" s="42">
        <v>176.45844768809667</v>
      </c>
      <c r="AB22" s="41">
        <v>6295.7793804043531</v>
      </c>
      <c r="AC22" s="42">
        <v>156.80801061040819</v>
      </c>
      <c r="AD22" s="41">
        <v>6217.1680596445722</v>
      </c>
      <c r="AE22" s="42">
        <v>136.12168693671262</v>
      </c>
      <c r="AF22" s="41">
        <v>6108.3125176314688</v>
      </c>
      <c r="AG22" s="42">
        <v>114.10639574415318</v>
      </c>
      <c r="AH22" s="41">
        <v>5948.8017521437005</v>
      </c>
      <c r="AI22" s="42">
        <v>90.636553829847472</v>
      </c>
      <c r="AJ22" s="41">
        <v>5694.9982558457414</v>
      </c>
      <c r="AK22" s="42">
        <v>66.164726906700878</v>
      </c>
      <c r="AL22" s="41">
        <v>5239.8506515697609</v>
      </c>
      <c r="AM22" s="42">
        <v>41.823379798127057</v>
      </c>
      <c r="AN22" s="41">
        <v>4231.1405103332127</v>
      </c>
      <c r="AO22" s="42">
        <v>18.936570448911684</v>
      </c>
      <c r="AP22" s="41">
        <v>3864.4505905060632</v>
      </c>
      <c r="AQ22" s="42">
        <v>14.681211973695863</v>
      </c>
      <c r="AR22" s="41">
        <v>3380.624929769825</v>
      </c>
      <c r="AS22" s="42">
        <v>10.590658082353752</v>
      </c>
      <c r="AT22" s="41">
        <v>2709.4595405589698</v>
      </c>
      <c r="AU22" s="42">
        <v>6.7132443422529411</v>
      </c>
      <c r="AV22" s="41"/>
      <c r="AW22" s="42"/>
    </row>
    <row r="23" spans="1:49" x14ac:dyDescent="0.2">
      <c r="A23" t="s">
        <v>7</v>
      </c>
      <c r="B23" s="116">
        <v>3278.5018080150408</v>
      </c>
      <c r="C23" s="8">
        <v>0</v>
      </c>
      <c r="D23" s="116">
        <v>3284.030102402543</v>
      </c>
      <c r="E23" s="8">
        <v>0</v>
      </c>
      <c r="F23" s="116">
        <v>3289.1765386420743</v>
      </c>
      <c r="G23" s="8">
        <v>0</v>
      </c>
      <c r="H23" s="116">
        <v>3293.8790557151706</v>
      </c>
      <c r="I23" s="8">
        <v>0</v>
      </c>
      <c r="J23" s="116">
        <v>3298.0614365865817</v>
      </c>
      <c r="K23" s="8">
        <v>0</v>
      </c>
      <c r="L23" s="116">
        <v>3301.6294016537508</v>
      </c>
      <c r="M23" s="8">
        <v>0</v>
      </c>
      <c r="N23" s="116">
        <v>3304.4646785346972</v>
      </c>
      <c r="O23" s="8">
        <v>0</v>
      </c>
      <c r="P23" s="116">
        <v>3306.4177973098758</v>
      </c>
      <c r="Q23" s="8">
        <v>0</v>
      </c>
      <c r="R23" s="116">
        <v>3307.2967359568088</v>
      </c>
      <c r="S23" s="8">
        <v>0</v>
      </c>
      <c r="T23" s="116">
        <v>3306.8512034642213</v>
      </c>
      <c r="U23" s="8">
        <v>0</v>
      </c>
      <c r="V23" s="116">
        <v>3304.7483766832411</v>
      </c>
      <c r="W23" s="8">
        <v>0</v>
      </c>
      <c r="X23" s="116">
        <v>3300.5342461261425</v>
      </c>
      <c r="Y23" s="8">
        <v>0</v>
      </c>
      <c r="Z23" s="116">
        <v>3293.5676725218627</v>
      </c>
      <c r="AA23" s="8">
        <v>0</v>
      </c>
      <c r="AB23" s="116">
        <v>3282.8962083950437</v>
      </c>
      <c r="AC23" s="8">
        <v>0</v>
      </c>
      <c r="AD23" s="116">
        <v>3266.9902308121718</v>
      </c>
      <c r="AE23" s="8">
        <v>0</v>
      </c>
      <c r="AF23" s="116">
        <v>3243.0698329878719</v>
      </c>
      <c r="AG23" s="8">
        <v>0</v>
      </c>
      <c r="AH23" s="116">
        <v>3205.1188843450527</v>
      </c>
      <c r="AI23" s="8">
        <v>0</v>
      </c>
      <c r="AJ23" s="116">
        <v>3137.6863823881035</v>
      </c>
      <c r="AK23" s="8">
        <v>0</v>
      </c>
      <c r="AL23" s="116">
        <v>2995.6231297185782</v>
      </c>
      <c r="AM23" s="8">
        <v>0</v>
      </c>
      <c r="AN23" s="116">
        <v>2603.0579522873791</v>
      </c>
      <c r="AO23" s="8">
        <v>0</v>
      </c>
      <c r="AP23" s="116">
        <v>2437.5399686961873</v>
      </c>
      <c r="AQ23" s="8">
        <v>0</v>
      </c>
      <c r="AR23" s="116">
        <v>2201.6858891820239</v>
      </c>
      <c r="AS23" s="8">
        <v>0</v>
      </c>
      <c r="AT23" s="116">
        <v>1842.0847321285366</v>
      </c>
      <c r="AU23" s="8">
        <v>0</v>
      </c>
      <c r="AV23" s="116"/>
      <c r="AW23" s="8"/>
    </row>
    <row r="24" spans="1:49" x14ac:dyDescent="0.2">
      <c r="A24" t="s">
        <v>8</v>
      </c>
      <c r="B24" s="97">
        <v>3196.3846373657216</v>
      </c>
      <c r="C24" s="8">
        <v>0</v>
      </c>
      <c r="D24" s="97">
        <v>3201.7744635374966</v>
      </c>
      <c r="E24" s="8">
        <v>0</v>
      </c>
      <c r="F24" s="97">
        <v>3206.7919961155703</v>
      </c>
      <c r="G24" s="8">
        <v>0</v>
      </c>
      <c r="H24" s="97">
        <v>3211.3767284003875</v>
      </c>
      <c r="I24" s="8">
        <v>0</v>
      </c>
      <c r="J24" s="97">
        <v>3215.4543531492768</v>
      </c>
      <c r="K24" s="8">
        <v>0</v>
      </c>
      <c r="L24" s="97">
        <v>3218.9329499926039</v>
      </c>
      <c r="M24" s="8">
        <v>0</v>
      </c>
      <c r="N24" s="97">
        <v>3221.6972117320297</v>
      </c>
      <c r="O24" s="8">
        <v>0</v>
      </c>
      <c r="P24" s="97">
        <v>3223.6014100985258</v>
      </c>
      <c r="Q24" s="8">
        <v>0</v>
      </c>
      <c r="R24" s="97">
        <v>3224.4583337135291</v>
      </c>
      <c r="S24" s="8">
        <v>0</v>
      </c>
      <c r="T24" s="97">
        <v>3224.0239605926317</v>
      </c>
      <c r="U24" s="8">
        <v>0</v>
      </c>
      <c r="V24" s="97">
        <v>3221.9738037318484</v>
      </c>
      <c r="W24" s="8">
        <v>0</v>
      </c>
      <c r="X24" s="97">
        <v>3217.8652254467515</v>
      </c>
      <c r="Y24" s="8">
        <v>0</v>
      </c>
      <c r="Z24" s="97">
        <v>3211.0731446839941</v>
      </c>
      <c r="AA24" s="8">
        <v>0</v>
      </c>
      <c r="AB24" s="97">
        <v>3200.6689704551814</v>
      </c>
      <c r="AC24" s="8">
        <v>0</v>
      </c>
      <c r="AD24" s="97">
        <v>3185.1613925665611</v>
      </c>
      <c r="AE24" s="8">
        <v>0</v>
      </c>
      <c r="AF24" s="97">
        <v>3161.8401328697187</v>
      </c>
      <c r="AG24" s="8">
        <v>0</v>
      </c>
      <c r="AH24" s="97">
        <v>3124.8397477816688</v>
      </c>
      <c r="AI24" s="8">
        <v>0</v>
      </c>
      <c r="AJ24" s="97">
        <v>3059.0962387202453</v>
      </c>
      <c r="AK24" s="8">
        <v>0</v>
      </c>
      <c r="AL24" s="97">
        <v>2920.5912675605114</v>
      </c>
      <c r="AM24" s="8">
        <v>0</v>
      </c>
      <c r="AN24" s="97">
        <v>2537.8587342923001</v>
      </c>
      <c r="AO24" s="8">
        <v>0</v>
      </c>
      <c r="AP24" s="97">
        <v>2376.4865066896346</v>
      </c>
      <c r="AQ24" s="8">
        <v>0</v>
      </c>
      <c r="AR24" s="97">
        <v>2146.5399028549268</v>
      </c>
      <c r="AS24" s="8">
        <v>0</v>
      </c>
      <c r="AT24" s="97">
        <v>1795.9457347581838</v>
      </c>
      <c r="AU24" s="8">
        <v>0</v>
      </c>
      <c r="AV24" s="97"/>
      <c r="AW24" s="8"/>
    </row>
    <row r="25" spans="1:49" x14ac:dyDescent="0.2">
      <c r="A25" t="s">
        <v>0</v>
      </c>
      <c r="B25" s="41">
        <v>3195.0476040000012</v>
      </c>
      <c r="C25" s="42">
        <v>91.012690000004397</v>
      </c>
      <c r="D25" s="41">
        <v>3205.5021468125369</v>
      </c>
      <c r="E25" s="42">
        <v>80.913210848857673</v>
      </c>
      <c r="F25" s="41">
        <v>3215.8973628006256</v>
      </c>
      <c r="G25" s="42">
        <v>71.216951073298219</v>
      </c>
      <c r="H25" s="41">
        <v>3226.2230411076398</v>
      </c>
      <c r="I25" s="42">
        <v>61.961856720775124</v>
      </c>
      <c r="J25" s="41">
        <v>3236.4613227114032</v>
      </c>
      <c r="K25" s="42">
        <v>53.188145816029078</v>
      </c>
      <c r="L25" s="41">
        <v>3246.5807223348907</v>
      </c>
      <c r="M25" s="42">
        <v>44.938120095716265</v>
      </c>
      <c r="N25" s="41">
        <v>3256.5255041415207</v>
      </c>
      <c r="O25" s="42">
        <v>37.256013533952093</v>
      </c>
      <c r="P25" s="41">
        <v>3266.1983062595004</v>
      </c>
      <c r="Q25" s="42">
        <v>30.187430714731374</v>
      </c>
      <c r="R25" s="41">
        <v>3275.4295574797952</v>
      </c>
      <c r="S25" s="42">
        <v>23.778831218249014</v>
      </c>
      <c r="T25" s="41">
        <v>3283.924902051815</v>
      </c>
      <c r="U25" s="42">
        <v>18.076451150088563</v>
      </c>
      <c r="V25" s="41">
        <v>3291.1719285896675</v>
      </c>
      <c r="W25" s="42">
        <v>13.124780886780929</v>
      </c>
      <c r="X25" s="41">
        <v>3296.2714939345778</v>
      </c>
      <c r="Y25" s="42">
        <v>8.964046846674167</v>
      </c>
      <c r="Z25" s="41">
        <v>3297.6250100857728</v>
      </c>
      <c r="AA25" s="42">
        <v>5.6257808263834264</v>
      </c>
      <c r="AB25" s="41">
        <v>3292.3447630708024</v>
      </c>
      <c r="AC25" s="42">
        <v>3.1245177136521138</v>
      </c>
      <c r="AD25" s="41">
        <v>3275.1565536339663</v>
      </c>
      <c r="AE25" s="42">
        <v>1.4415453861789802</v>
      </c>
      <c r="AF25" s="41">
        <v>3236.5707637224737</v>
      </c>
      <c r="AG25" s="42">
        <v>0.49533508387951536</v>
      </c>
      <c r="AH25" s="41">
        <v>3160.8597516624354</v>
      </c>
      <c r="AI25" s="42">
        <v>0.10548623574619219</v>
      </c>
      <c r="AJ25" s="41">
        <v>3025.4576940947759</v>
      </c>
      <c r="AK25" s="42">
        <v>1.0487171511082785E-2</v>
      </c>
      <c r="AL25" s="41">
        <v>2791.2758156381792</v>
      </c>
      <c r="AM25" s="42">
        <v>3.0811039130957546E-4</v>
      </c>
      <c r="AN25" s="41">
        <v>2309.15901056236</v>
      </c>
      <c r="AO25" s="42">
        <v>8.3703228648676019E-7</v>
      </c>
      <c r="AP25" s="41">
        <v>2134.0619574407879</v>
      </c>
      <c r="AQ25" s="42">
        <v>1.4501416372761307E-7</v>
      </c>
      <c r="AR25" s="41">
        <v>1898.3353359148373</v>
      </c>
      <c r="AS25" s="42">
        <v>1.7626080637884632E-8</v>
      </c>
      <c r="AT25" s="41">
        <v>1559.1864792146332</v>
      </c>
      <c r="AU25" s="42">
        <v>1.256375475008785E-9</v>
      </c>
      <c r="AV25" s="41"/>
      <c r="AW25" s="42"/>
    </row>
    <row r="26" spans="1:49" x14ac:dyDescent="0.2">
      <c r="A26" t="s">
        <v>27</v>
      </c>
      <c r="B26" s="33">
        <v>5036.2953101960647</v>
      </c>
      <c r="C26" s="34">
        <v>74.905331803938267</v>
      </c>
      <c r="D26" s="33">
        <v>5041.0671619224786</v>
      </c>
      <c r="E26" s="34">
        <v>70.133480077522009</v>
      </c>
      <c r="F26" s="33">
        <v>5045.8675997820519</v>
      </c>
      <c r="G26" s="34">
        <v>65.333042217947437</v>
      </c>
      <c r="H26" s="33">
        <v>5050.7001965697964</v>
      </c>
      <c r="I26" s="34">
        <v>60.500445430206661</v>
      </c>
      <c r="J26" s="33">
        <v>5055.568504095264</v>
      </c>
      <c r="K26" s="34">
        <v>55.632137904744937</v>
      </c>
      <c r="L26" s="33">
        <v>5060.4757068695508</v>
      </c>
      <c r="M26" s="34">
        <v>50.724935130451854</v>
      </c>
      <c r="N26" s="33">
        <v>5065.4238703833144</v>
      </c>
      <c r="O26" s="34">
        <v>45.776771616692479</v>
      </c>
      <c r="P26" s="33">
        <v>5070.4129238846517</v>
      </c>
      <c r="Q26" s="34">
        <v>40.787718115354608</v>
      </c>
      <c r="R26" s="33">
        <v>5075.4386982969672</v>
      </c>
      <c r="S26" s="34">
        <v>35.761943703038753</v>
      </c>
      <c r="T26" s="33">
        <v>5080.4899109007547</v>
      </c>
      <c r="U26" s="34">
        <v>30.71073109924987</v>
      </c>
      <c r="V26" s="33">
        <v>5085.5431078335705</v>
      </c>
      <c r="W26" s="34">
        <v>25.657534166431567</v>
      </c>
      <c r="X26" s="33">
        <v>5090.5543652309252</v>
      </c>
      <c r="Y26" s="34">
        <v>20.646276769085048</v>
      </c>
      <c r="Z26" s="33">
        <v>5095.4457436532621</v>
      </c>
      <c r="AA26" s="34">
        <v>15.754898346741891</v>
      </c>
      <c r="AB26" s="33">
        <v>5100.0838908295909</v>
      </c>
      <c r="AC26" s="34">
        <v>11.116751170418517</v>
      </c>
      <c r="AD26" s="33">
        <v>5104.2509353744917</v>
      </c>
      <c r="AE26" s="34">
        <v>6.9497066255106246</v>
      </c>
      <c r="AF26" s="33">
        <v>5107.6266093395043</v>
      </c>
      <c r="AG26" s="34">
        <v>3.5740326604997921</v>
      </c>
      <c r="AH26" s="33">
        <v>5109.8663456547929</v>
      </c>
      <c r="AI26" s="34">
        <v>1.3342963452104377</v>
      </c>
      <c r="AJ26" s="33">
        <v>5110.9017802966282</v>
      </c>
      <c r="AK26" s="34">
        <v>0.29886170337647366</v>
      </c>
      <c r="AL26" s="33">
        <v>5111.1708326718363</v>
      </c>
      <c r="AM26" s="34">
        <v>2.9809328164503379E-2</v>
      </c>
      <c r="AN26" s="33">
        <v>5111.2000126476833</v>
      </c>
      <c r="AO26" s="34">
        <v>6.2935231716090129E-4</v>
      </c>
      <c r="AP26" s="33">
        <v>5111.2004407373461</v>
      </c>
      <c r="AQ26" s="34">
        <v>2.0126265361898704E-4</v>
      </c>
      <c r="AR26" s="33">
        <v>5111.2005906761378</v>
      </c>
      <c r="AS26" s="34">
        <v>5.1323866282551968E-5</v>
      </c>
      <c r="AT26" s="33">
        <v>5111.2006326599058</v>
      </c>
      <c r="AU26" s="34">
        <v>9.3400966704364385E-6</v>
      </c>
      <c r="AV26" s="33"/>
      <c r="AW26" s="34"/>
    </row>
    <row r="27" spans="1:49" x14ac:dyDescent="0.2">
      <c r="A27" t="s">
        <v>2</v>
      </c>
      <c r="B27" s="35">
        <v>6425.1981590000069</v>
      </c>
      <c r="C27" s="36">
        <v>273.22915400000028</v>
      </c>
      <c r="D27" s="35">
        <v>6442.3836303637318</v>
      </c>
      <c r="E27" s="36">
        <v>256.04368308440155</v>
      </c>
      <c r="F27" s="35">
        <v>6459.7023517148873</v>
      </c>
      <c r="G27" s="36">
        <v>238.72496172713463</v>
      </c>
      <c r="H27" s="35">
        <v>6477.1677942325923</v>
      </c>
      <c r="I27" s="36">
        <v>221.25951922844328</v>
      </c>
      <c r="J27" s="35">
        <v>6494.7934173971244</v>
      </c>
      <c r="K27" s="36">
        <v>203.63390656935556</v>
      </c>
      <c r="L27" s="35">
        <v>6512.5915337800034</v>
      </c>
      <c r="M27" s="36">
        <v>185.83577929020495</v>
      </c>
      <c r="N27" s="35">
        <v>6530.5703095722529</v>
      </c>
      <c r="O27" s="36">
        <v>167.85700535486117</v>
      </c>
      <c r="P27" s="35">
        <v>6548.7303792017101</v>
      </c>
      <c r="Q27" s="36">
        <v>149.69693961801681</v>
      </c>
      <c r="R27" s="35">
        <v>6567.0572804677031</v>
      </c>
      <c r="S27" s="36">
        <v>131.37004068414652</v>
      </c>
      <c r="T27" s="35">
        <v>6585.5104866182173</v>
      </c>
      <c r="U27" s="36">
        <v>112.91683354457462</v>
      </c>
      <c r="V27" s="35">
        <v>6604.0045918774231</v>
      </c>
      <c r="W27" s="36">
        <v>94.422727007995618</v>
      </c>
      <c r="X27" s="35">
        <v>6622.3784310963001</v>
      </c>
      <c r="Y27" s="36">
        <v>76.04888451058774</v>
      </c>
      <c r="Z27" s="35">
        <v>6640.3446591864358</v>
      </c>
      <c r="AA27" s="36">
        <v>58.082653627890203</v>
      </c>
      <c r="AB27" s="35">
        <v>6657.409878020816</v>
      </c>
      <c r="AC27" s="36">
        <v>41.01743356262179</v>
      </c>
      <c r="AD27" s="35">
        <v>6672.76593157759</v>
      </c>
      <c r="AE27" s="36">
        <v>25.661386603817824</v>
      </c>
      <c r="AF27" s="35">
        <v>6685.2224722024957</v>
      </c>
      <c r="AG27" s="36">
        <v>13.204853461607698</v>
      </c>
      <c r="AH27" s="35">
        <v>6693.495568338144</v>
      </c>
      <c r="AI27" s="36">
        <v>4.9317455268651935</v>
      </c>
      <c r="AJ27" s="35">
        <v>6697.3224749567107</v>
      </c>
      <c r="AK27" s="36">
        <v>1.1048384192537868</v>
      </c>
      <c r="AL27" s="35">
        <v>6698.3171077355119</v>
      </c>
      <c r="AM27" s="36">
        <v>0.11020503154470714</v>
      </c>
      <c r="AN27" s="35">
        <v>6698.4249863093437</v>
      </c>
      <c r="AO27" s="36">
        <v>2.326726994421718E-3</v>
      </c>
      <c r="AP27" s="35">
        <v>6698.4265689716922</v>
      </c>
      <c r="AQ27" s="36">
        <v>7.440716245356643E-4</v>
      </c>
      <c r="AR27" s="35">
        <v>6698.4271232513593</v>
      </c>
      <c r="AS27" s="36">
        <v>1.8974525043423461E-4</v>
      </c>
      <c r="AT27" s="35">
        <v>6698.4272784723798</v>
      </c>
      <c r="AU27" s="36">
        <v>3.4530514729636867E-5</v>
      </c>
      <c r="AV27" s="35"/>
      <c r="AW27" s="36"/>
    </row>
    <row r="28" spans="1:49" x14ac:dyDescent="0.2">
      <c r="A28" t="s">
        <v>35</v>
      </c>
      <c r="B28" s="41">
        <v>13763.097676000007</v>
      </c>
      <c r="C28" s="42">
        <v>382.36647900000003</v>
      </c>
      <c r="D28" s="41">
        <v>13787.21875177137</v>
      </c>
      <c r="E28" s="42">
        <v>358.22822269711799</v>
      </c>
      <c r="F28" s="41">
        <v>13811.48026575853</v>
      </c>
      <c r="G28" s="42">
        <v>333.91474903393487</v>
      </c>
      <c r="H28" s="41">
        <v>13835.900120115417</v>
      </c>
      <c r="I28" s="42">
        <v>309.40745118409035</v>
      </c>
      <c r="J28" s="41">
        <v>13860.496065210238</v>
      </c>
      <c r="K28" s="42">
        <v>284.68777672939689</v>
      </c>
      <c r="L28" s="41">
        <v>13885.28406934464</v>
      </c>
      <c r="M28" s="42">
        <v>259.73881691389539</v>
      </c>
      <c r="N28" s="41">
        <v>13910.274271361202</v>
      </c>
      <c r="O28" s="42">
        <v>234.54950803238728</v>
      </c>
      <c r="P28" s="41">
        <v>13935.466200022556</v>
      </c>
      <c r="Q28" s="42">
        <v>209.11939217939766</v>
      </c>
      <c r="R28" s="41">
        <v>13960.838551277808</v>
      </c>
      <c r="S28" s="42">
        <v>183.46908998689736</v>
      </c>
      <c r="T28" s="41">
        <v>13986.334182660181</v>
      </c>
      <c r="U28" s="42">
        <v>157.65565750103795</v>
      </c>
      <c r="V28" s="41">
        <v>14011.834584850067</v>
      </c>
      <c r="W28" s="42">
        <v>131.79876869245177</v>
      </c>
      <c r="X28" s="41">
        <v>14037.118065666431</v>
      </c>
      <c r="Y28" s="42">
        <v>106.12366933051949</v>
      </c>
      <c r="Z28" s="41">
        <v>14061.791580840905</v>
      </c>
      <c r="AA28" s="42">
        <v>81.031325474114468</v>
      </c>
      <c r="AB28" s="41">
        <v>14085.182953358826</v>
      </c>
      <c r="AC28" s="42">
        <v>57.20943257419583</v>
      </c>
      <c r="AD28" s="41">
        <v>14106.194415313968</v>
      </c>
      <c r="AE28" s="42">
        <v>35.783481313596681</v>
      </c>
      <c r="AF28" s="41">
        <v>14123.212739737988</v>
      </c>
      <c r="AG28" s="42">
        <v>18.410161812667017</v>
      </c>
      <c r="AH28" s="41">
        <v>14134.502855695926</v>
      </c>
      <c r="AI28" s="42">
        <v>6.87499792358458</v>
      </c>
      <c r="AJ28" s="41">
        <v>14139.721920527134</v>
      </c>
      <c r="AK28" s="42">
        <v>1.5400916117405845</v>
      </c>
      <c r="AL28" s="41">
        <v>14141.078027612333</v>
      </c>
      <c r="AM28" s="42">
        <v>0.15361830400040702</v>
      </c>
      <c r="AN28" s="41">
        <v>14141.225103015986</v>
      </c>
      <c r="AO28" s="42">
        <v>3.2432935704918169E-3</v>
      </c>
      <c r="AP28" s="41">
        <v>14141.227260711974</v>
      </c>
      <c r="AQ28" s="42">
        <v>1.0371834754593415E-3</v>
      </c>
      <c r="AR28" s="41">
        <v>14141.228016399942</v>
      </c>
      <c r="AS28" s="42">
        <v>2.6449152437424178E-4</v>
      </c>
      <c r="AT28" s="41">
        <v>14141.228228015569</v>
      </c>
      <c r="AU28" s="42">
        <v>4.8133102783608191E-5</v>
      </c>
      <c r="AV28" s="41"/>
      <c r="AW28" s="42"/>
    </row>
    <row r="29" spans="1:49" x14ac:dyDescent="0.2">
      <c r="A29" t="s">
        <v>53</v>
      </c>
      <c r="B29" s="35">
        <v>14362.768558000003</v>
      </c>
      <c r="C29" s="36">
        <v>817.26651000000004</v>
      </c>
      <c r="D29" s="35">
        <v>14365.912307760942</v>
      </c>
      <c r="E29" s="36">
        <v>758.12172875886245</v>
      </c>
      <c r="F29" s="35">
        <v>14367.153174552261</v>
      </c>
      <c r="G29" s="36">
        <v>699.1452493030547</v>
      </c>
      <c r="H29" s="35">
        <v>14366.208505961593</v>
      </c>
      <c r="I29" s="36">
        <v>640.36806973961438</v>
      </c>
      <c r="J29" s="35">
        <v>14362.729731209443</v>
      </c>
      <c r="K29" s="36">
        <v>581.83277368377321</v>
      </c>
      <c r="L29" s="35">
        <v>14356.279968297897</v>
      </c>
      <c r="M29" s="36">
        <v>523.59871423525135</v>
      </c>
      <c r="N29" s="35">
        <v>14346.29946732164</v>
      </c>
      <c r="O29" s="36">
        <v>465.7524951789718</v>
      </c>
      <c r="P29" s="35">
        <v>14332.056072740448</v>
      </c>
      <c r="Q29" s="36">
        <v>408.41949085327371</v>
      </c>
      <c r="R29" s="35">
        <v>14312.565240010321</v>
      </c>
      <c r="S29" s="36">
        <v>351.7860474703582</v>
      </c>
      <c r="T29" s="35">
        <v>14286.46370290587</v>
      </c>
      <c r="U29" s="36">
        <v>296.1296854276053</v>
      </c>
      <c r="V29" s="35">
        <v>14251.797865601366</v>
      </c>
      <c r="W29" s="36">
        <v>241.86686708922076</v>
      </c>
      <c r="X29" s="35">
        <v>14205.656431561903</v>
      </c>
      <c r="Y29" s="36">
        <v>189.62552326631402</v>
      </c>
      <c r="Z29" s="35">
        <v>14143.502718552398</v>
      </c>
      <c r="AA29" s="36">
        <v>140.35347340719284</v>
      </c>
      <c r="AB29" s="35">
        <v>14057.90197820434</v>
      </c>
      <c r="AC29" s="36">
        <v>95.470235970300095</v>
      </c>
      <c r="AD29" s="35">
        <v>13935.997511979303</v>
      </c>
      <c r="AE29" s="36">
        <v>57.02569557468609</v>
      </c>
      <c r="AF29" s="35">
        <v>13754.429260036724</v>
      </c>
      <c r="AG29" s="36">
        <v>27.642086922036302</v>
      </c>
      <c r="AH29" s="35">
        <v>13469.324769072411</v>
      </c>
      <c r="AI29" s="36">
        <v>9.5196049643893517</v>
      </c>
      <c r="AJ29" s="35">
        <v>12994.849401410127</v>
      </c>
      <c r="AK29" s="36">
        <v>1.8999272643301155</v>
      </c>
      <c r="AL29" s="35">
        <v>12128.831536109788</v>
      </c>
      <c r="AM29" s="36">
        <v>0.15902974210299839</v>
      </c>
      <c r="AN29" s="35">
        <v>10142.512021765046</v>
      </c>
      <c r="AO29" s="36">
        <v>2.4492540831306787E-3</v>
      </c>
      <c r="AP29" s="35">
        <v>9386.4133697818961</v>
      </c>
      <c r="AQ29" s="36">
        <v>7.0586207844954918E-4</v>
      </c>
      <c r="AR29" s="35">
        <v>8356.4314955304162</v>
      </c>
      <c r="AS29" s="36">
        <v>1.57198476016753E-4</v>
      </c>
      <c r="AT29" s="35">
        <v>6863.0830357390441</v>
      </c>
      <c r="AU29" s="36">
        <v>2.3584290221552438E-5</v>
      </c>
      <c r="AV29" s="35"/>
      <c r="AW29" s="36"/>
    </row>
    <row r="30" spans="1:49" x14ac:dyDescent="0.2">
      <c r="A30" t="s">
        <v>48</v>
      </c>
      <c r="B30" s="119">
        <v>2924829.9599999995</v>
      </c>
      <c r="D30" s="119">
        <v>2986136.8115072721</v>
      </c>
      <c r="F30" s="119">
        <v>3048406.4074216285</v>
      </c>
      <c r="H30" s="119">
        <v>3111759.5245136824</v>
      </c>
      <c r="J30" s="119">
        <v>3176340.4853539015</v>
      </c>
      <c r="L30" s="119">
        <v>3242327.9991746163</v>
      </c>
      <c r="N30" s="119">
        <v>3309953.7752596429</v>
      </c>
      <c r="P30" s="119">
        <v>3379534.4518244164</v>
      </c>
      <c r="R30" s="119">
        <v>3451526.7857676889</v>
      </c>
      <c r="T30" s="119">
        <v>3526628.0304972595</v>
      </c>
      <c r="V30" s="119">
        <v>3605958.4357932499</v>
      </c>
      <c r="X30" s="119">
        <v>3691403.5542874006</v>
      </c>
      <c r="Z30" s="119">
        <v>3786273.9891836625</v>
      </c>
      <c r="AB30" s="119">
        <v>3896599.2076663612</v>
      </c>
      <c r="AD30" s="119">
        <v>4033644.3077012347</v>
      </c>
      <c r="AF30" s="119">
        <v>4218300.7370007737</v>
      </c>
      <c r="AH30" s="119">
        <v>4485845.9656056408</v>
      </c>
      <c r="AJ30" s="119">
        <v>4882127.4606643096</v>
      </c>
      <c r="AL30" s="119">
        <v>5443622.9560495606</v>
      </c>
      <c r="AN30" s="119">
        <v>6088287.1249796413</v>
      </c>
      <c r="AP30" s="119">
        <v>6143269.6973562613</v>
      </c>
      <c r="AR30" s="119">
        <v>6070371.4197498402</v>
      </c>
      <c r="AT30" s="119">
        <v>5681390.8480826141</v>
      </c>
      <c r="AV30" s="119"/>
    </row>
    <row r="31" spans="1:49" x14ac:dyDescent="0.2">
      <c r="A31" t="s">
        <v>47</v>
      </c>
      <c r="B31" s="80">
        <v>1</v>
      </c>
      <c r="D31" s="80">
        <v>0.99787099266904999</v>
      </c>
      <c r="F31" s="80">
        <v>0.9953269046619232</v>
      </c>
      <c r="H31" s="80">
        <v>0.99231223035581873</v>
      </c>
      <c r="J31" s="80">
        <v>0.9887602777663711</v>
      </c>
      <c r="L31" s="80">
        <v>0.98458998919386964</v>
      </c>
      <c r="N31" s="80">
        <v>0.97970127615111313</v>
      </c>
      <c r="P31" s="80">
        <v>0.97396863442197623</v>
      </c>
      <c r="R31" s="80">
        <v>0.9672312165325081</v>
      </c>
      <c r="T31" s="80">
        <v>0.95927791836505771</v>
      </c>
      <c r="V31" s="80">
        <v>0.94982333497450033</v>
      </c>
      <c r="X31" s="80">
        <v>0.93846763621892071</v>
      </c>
      <c r="Z31" s="80">
        <v>0.92462641629775877</v>
      </c>
      <c r="AB31" s="80">
        <v>0.90740153650178201</v>
      </c>
      <c r="AD31" s="80">
        <v>0.88533302160900951</v>
      </c>
      <c r="AF31" s="80">
        <v>0.85591059180810447</v>
      </c>
      <c r="AH31" s="80">
        <v>0.81462607565808021</v>
      </c>
      <c r="AJ31" s="80">
        <v>0.75309297008674747</v>
      </c>
      <c r="AL31" s="80">
        <v>0.65398293791960038</v>
      </c>
      <c r="AN31" s="80">
        <v>0.47084242288442657</v>
      </c>
      <c r="AP31" s="80">
        <v>0.4135754802359049</v>
      </c>
      <c r="AR31" s="80">
        <v>0.34413732150647841</v>
      </c>
      <c r="AT31" s="80">
        <v>0.25788014549159116</v>
      </c>
      <c r="AV31" s="80"/>
    </row>
    <row r="32" spans="1:49" x14ac:dyDescent="0.2">
      <c r="A32" t="s">
        <v>64</v>
      </c>
      <c r="B32" s="86">
        <v>14734457.915000005</v>
      </c>
      <c r="D32" s="86">
        <v>14735901.784751268</v>
      </c>
      <c r="F32" s="86">
        <v>14734785.500572953</v>
      </c>
      <c r="H32" s="86">
        <v>14730710.273397455</v>
      </c>
      <c r="J32" s="86">
        <v>14723198.679342546</v>
      </c>
      <c r="L32" s="86">
        <v>14711679.823348001</v>
      </c>
      <c r="N32" s="86">
        <v>14695469.926490566</v>
      </c>
      <c r="P32" s="86">
        <v>14673754.899045059</v>
      </c>
      <c r="R32" s="86">
        <v>14645568.612765159</v>
      </c>
      <c r="T32" s="86">
        <v>14609777.135046363</v>
      </c>
      <c r="V32" s="86">
        <v>14565071.511793731</v>
      </c>
      <c r="X32" s="86">
        <v>14509983.128934074</v>
      </c>
      <c r="Z32" s="86">
        <v>14442941.252450455</v>
      </c>
      <c r="AB32" s="86">
        <v>14362374.658840612</v>
      </c>
      <c r="AD32" s="86">
        <v>14266683.444444258</v>
      </c>
      <c r="AF32" s="86">
        <v>14152813.950008811</v>
      </c>
      <c r="AH32" s="86">
        <v>14007261.311486734</v>
      </c>
      <c r="AJ32" s="86">
        <v>13769767.551111329</v>
      </c>
      <c r="AL32" s="86">
        <v>13226536.424459469</v>
      </c>
      <c r="AN32" s="86">
        <v>11558194.192424579</v>
      </c>
      <c r="AP32" s="86">
        <v>10831087.449287657</v>
      </c>
      <c r="AR32" s="86">
        <v>9787265.3410717808</v>
      </c>
      <c r="AT32" s="86">
        <v>8188448.7619085498</v>
      </c>
      <c r="AV32" s="86"/>
    </row>
    <row r="33" spans="1:49 16319:16321" x14ac:dyDescent="0.2">
      <c r="A33" t="s">
        <v>54</v>
      </c>
      <c r="B33" s="117">
        <v>7019665.6909999885</v>
      </c>
      <c r="D33" s="117">
        <v>7020353.5727626998</v>
      </c>
      <c r="F33" s="117">
        <v>7019821.7629604796</v>
      </c>
      <c r="H33" s="117">
        <v>7017880.2800583327</v>
      </c>
      <c r="J33" s="117">
        <v>7014301.69820375</v>
      </c>
      <c r="L33" s="117">
        <v>7008813.9586454611</v>
      </c>
      <c r="N33" s="117">
        <v>7001091.3647036823</v>
      </c>
      <c r="P33" s="117">
        <v>6990746.1160164513</v>
      </c>
      <c r="R33" s="117">
        <v>6977317.867581524</v>
      </c>
      <c r="T33" s="117">
        <v>6960266.3925961014</v>
      </c>
      <c r="V33" s="117">
        <v>6938968.111333821</v>
      </c>
      <c r="X33" s="117">
        <v>6912723.3174444372</v>
      </c>
      <c r="Z33" s="117">
        <v>6880783.7928400692</v>
      </c>
      <c r="AB33" s="117">
        <v>6842400.9379456304</v>
      </c>
      <c r="AD33" s="117">
        <v>6796812.5351507142</v>
      </c>
      <c r="AF33" s="117">
        <v>6742563.8030725587</v>
      </c>
      <c r="AH33" s="117">
        <v>6673220.8421920501</v>
      </c>
      <c r="AJ33" s="117">
        <v>6560076.0753420647</v>
      </c>
      <c r="AL33" s="117">
        <v>6301274.501251664</v>
      </c>
      <c r="AN33" s="117">
        <v>5506457.0200361107</v>
      </c>
      <c r="AP33" s="117">
        <v>5160054.9814990964</v>
      </c>
      <c r="AR33" s="117">
        <v>4662766.0901927995</v>
      </c>
      <c r="AT33" s="117">
        <v>3901071.4318824578</v>
      </c>
      <c r="AV33" s="117"/>
    </row>
    <row r="34" spans="1:49 16319:16321" x14ac:dyDescent="0.2">
      <c r="A34" t="s">
        <v>75</v>
      </c>
      <c r="B34" s="117">
        <v>1136879.4410000162</v>
      </c>
      <c r="D34" s="117">
        <v>1136990.8414838165</v>
      </c>
      <c r="F34" s="117">
        <v>1136904.7105472777</v>
      </c>
      <c r="H34" s="117">
        <v>1136590.2724331513</v>
      </c>
      <c r="J34" s="117">
        <v>1136010.6649592093</v>
      </c>
      <c r="L34" s="117">
        <v>1135121.9190604468</v>
      </c>
      <c r="N34" s="117">
        <v>1133871.2095042886</v>
      </c>
      <c r="P34" s="117">
        <v>1132195.683648013</v>
      </c>
      <c r="R34" s="117">
        <v>1130020.8664101418</v>
      </c>
      <c r="T34" s="117">
        <v>1127259.2742481842</v>
      </c>
      <c r="V34" s="117">
        <v>1123809.8900777933</v>
      </c>
      <c r="X34" s="117">
        <v>1119559.4402751874</v>
      </c>
      <c r="Z34" s="117">
        <v>1114386.6331291613</v>
      </c>
      <c r="AB34" s="117">
        <v>1108170.2865747116</v>
      </c>
      <c r="AD34" s="117">
        <v>1100786.9604781813</v>
      </c>
      <c r="AF34" s="117">
        <v>1092001.0240213121</v>
      </c>
      <c r="AH34" s="117">
        <v>1080770.4971508717</v>
      </c>
      <c r="AJ34" s="117">
        <v>1062445.9838816863</v>
      </c>
      <c r="AL34" s="117">
        <v>1020531.42527093</v>
      </c>
      <c r="AN34" s="117">
        <v>891805.68625302811</v>
      </c>
      <c r="AP34" s="117">
        <v>835703.67609071685</v>
      </c>
      <c r="AR34" s="117">
        <v>755164.58183025697</v>
      </c>
      <c r="AT34" s="117">
        <v>631803.29434574663</v>
      </c>
      <c r="AV34" s="117"/>
    </row>
    <row r="35" spans="1:49 16319:16321" x14ac:dyDescent="0.2">
      <c r="A35" t="s">
        <v>78</v>
      </c>
      <c r="B35" s="233">
        <v>1</v>
      </c>
      <c r="D35" s="233">
        <v>1.0022330129904011</v>
      </c>
      <c r="F35" s="233">
        <v>1.0047284069413405</v>
      </c>
      <c r="H35" s="233">
        <v>1.0075319214385063</v>
      </c>
      <c r="J35" s="233">
        <v>1.0107016824697987</v>
      </c>
      <c r="L35" s="233">
        <v>1.0143130020657756</v>
      </c>
      <c r="N35" s="233">
        <v>1.0184657351506539</v>
      </c>
      <c r="P35" s="233">
        <v>1.0232956133009656</v>
      </c>
      <c r="R35" s="233">
        <v>1.0289926105469207</v>
      </c>
      <c r="T35" s="233">
        <v>1.0358315239041809</v>
      </c>
      <c r="V35" s="233">
        <v>1.0442251725467031</v>
      </c>
      <c r="X35" s="233">
        <v>1.0548213532912445</v>
      </c>
      <c r="Z35" s="233">
        <v>1.0686892483131938</v>
      </c>
      <c r="AB35" s="233">
        <v>1.0876991224111738</v>
      </c>
      <c r="AD35" s="233">
        <v>1.1153405869102615</v>
      </c>
      <c r="AF35" s="233">
        <v>1.158557106388002</v>
      </c>
      <c r="AH35" s="233">
        <v>1.2318936165950962</v>
      </c>
      <c r="AJ35" s="233">
        <v>1.3674614509695495</v>
      </c>
      <c r="AL35" s="233">
        <v>1.6491165884985111</v>
      </c>
      <c r="AN35" s="233">
        <v>2.4047789975713361</v>
      </c>
      <c r="AP35" s="233">
        <v>2.7194721767842918</v>
      </c>
      <c r="AR35" s="233">
        <v>3.1654770580626184</v>
      </c>
      <c r="AT35" s="233">
        <v>3.8411903256245834</v>
      </c>
      <c r="AV35" s="233"/>
    </row>
    <row r="36" spans="1:49 16319:16321" x14ac:dyDescent="0.2">
      <c r="A36" t="s">
        <v>21</v>
      </c>
      <c r="B36" s="37">
        <v>0.4719576767198812</v>
      </c>
      <c r="C36" s="38">
        <v>0.31738834428178975</v>
      </c>
      <c r="D36" s="37">
        <v>0.47197007924292567</v>
      </c>
      <c r="E36" s="38">
        <v>0.31871526862368299</v>
      </c>
      <c r="F36" s="37">
        <v>0.47198309752408452</v>
      </c>
      <c r="G36" s="38">
        <v>0.32017067894879159</v>
      </c>
      <c r="H36" s="37">
        <v>0.47199682277286981</v>
      </c>
      <c r="I36" s="38">
        <v>0.32177324170356214</v>
      </c>
      <c r="J36" s="37">
        <v>0.47201136168862068</v>
      </c>
      <c r="K36" s="38">
        <v>0.32354552513382062</v>
      </c>
      <c r="L36" s="37">
        <v>0.47202683657431049</v>
      </c>
      <c r="M36" s="38">
        <v>0.32551517074337727</v>
      </c>
      <c r="N36" s="37">
        <v>0.47204338431627374</v>
      </c>
      <c r="O36" s="38">
        <v>0.32771660097385463</v>
      </c>
      <c r="P36" s="37">
        <v>0.4720611498044115</v>
      </c>
      <c r="Q36" s="38">
        <v>0.33019349787095154</v>
      </c>
      <c r="R36" s="37">
        <v>0.47208027120847662</v>
      </c>
      <c r="S36" s="38">
        <v>0.33300263537087244</v>
      </c>
      <c r="T36" s="37">
        <v>0.47210084877399666</v>
      </c>
      <c r="U36" s="38">
        <v>0.33621993378229864</v>
      </c>
      <c r="V36" s="37">
        <v>0.47212288067755676</v>
      </c>
      <c r="W36" s="38">
        <v>0.33995046255820432</v>
      </c>
      <c r="X36" s="37">
        <v>0.47214613493992114</v>
      </c>
      <c r="Y36" s="38">
        <v>0.34434567774174951</v>
      </c>
      <c r="Z36" s="37">
        <v>0.47216989676968824</v>
      </c>
      <c r="AA36" s="38">
        <v>0.34963450686331582</v>
      </c>
      <c r="AB36" s="37">
        <v>0.47219247840961076</v>
      </c>
      <c r="AC36" s="38">
        <v>0.35618191469306887</v>
      </c>
      <c r="AD36" s="37">
        <v>0.47221033734879542</v>
      </c>
      <c r="AE36" s="38">
        <v>0.36460273477785415</v>
      </c>
      <c r="AF36" s="37">
        <v>0.4722168928769801</v>
      </c>
      <c r="AG36" s="38">
        <v>0.37598109705404403</v>
      </c>
      <c r="AH36" s="37">
        <v>0.4722027961966202</v>
      </c>
      <c r="AI36" s="38">
        <v>0.39225780613976186</v>
      </c>
      <c r="AJ36" s="37">
        <v>0.47216272067023579</v>
      </c>
      <c r="AK36" s="38">
        <v>0.41687829908860924</v>
      </c>
      <c r="AL36" s="37">
        <v>0.47210644742351482</v>
      </c>
      <c r="AM36" s="38">
        <v>0.45667655815719649</v>
      </c>
      <c r="AN36" s="37">
        <v>0.47205672095641826</v>
      </c>
      <c r="AO36" s="38">
        <v>0.53133356761553996</v>
      </c>
      <c r="AP36" s="37">
        <v>0.47205050312383451</v>
      </c>
      <c r="AQ36" s="38">
        <v>0.55551603855736631</v>
      </c>
      <c r="AR36" s="37">
        <v>0.47204684578755041</v>
      </c>
      <c r="AS36" s="38">
        <v>0.58575739077718392</v>
      </c>
      <c r="AT36" s="37">
        <v>0.47204712050157477</v>
      </c>
      <c r="AU36" s="38">
        <v>0.62523131434223866</v>
      </c>
      <c r="AV36" s="37"/>
      <c r="AW36" s="38"/>
    </row>
    <row r="37" spans="1:49 16319:16321" x14ac:dyDescent="0.2">
      <c r="B37" s="39">
        <v>2.1403217525954435E-2</v>
      </c>
      <c r="C37" s="40">
        <v>0.34962461301992531</v>
      </c>
      <c r="D37" s="39">
        <v>2.067616116423749E-2</v>
      </c>
      <c r="E37" s="40">
        <v>0.3459782887705995</v>
      </c>
      <c r="F37" s="39">
        <v>1.9938325832305124E-2</v>
      </c>
      <c r="G37" s="40">
        <v>0.34227061800933339</v>
      </c>
      <c r="H37" s="39">
        <v>1.9189115251323517E-2</v>
      </c>
      <c r="I37" s="40">
        <v>0.33849981583680316</v>
      </c>
      <c r="J37" s="39">
        <v>1.8427810878889016E-2</v>
      </c>
      <c r="K37" s="40">
        <v>0.33466386296796075</v>
      </c>
      <c r="L37" s="39">
        <v>1.765351897009074E-2</v>
      </c>
      <c r="M37" s="40">
        <v>0.33076034063035686</v>
      </c>
      <c r="N37" s="39">
        <v>1.6865079676447729E-2</v>
      </c>
      <c r="O37" s="40">
        <v>0.32678611207571556</v>
      </c>
      <c r="P37" s="39">
        <v>1.6060946441847444E-2</v>
      </c>
      <c r="Q37" s="40">
        <v>0.32273690283799444</v>
      </c>
      <c r="R37" s="39">
        <v>1.5238987136605224E-2</v>
      </c>
      <c r="S37" s="40">
        <v>0.31860657645695323</v>
      </c>
      <c r="T37" s="39">
        <v>1.4396188408264629E-2</v>
      </c>
      <c r="U37" s="40">
        <v>0.31438606247857781</v>
      </c>
      <c r="V37" s="39">
        <v>1.3528199138728658E-2</v>
      </c>
      <c r="W37" s="40">
        <v>0.3100617285317554</v>
      </c>
      <c r="X37" s="39">
        <v>1.262862879988106E-2</v>
      </c>
      <c r="Y37" s="40">
        <v>0.30561298569717521</v>
      </c>
      <c r="Z37" s="39">
        <v>1.1687982939116031E-2</v>
      </c>
      <c r="AA37" s="40">
        <v>0.30100896674274191</v>
      </c>
      <c r="AB37" s="39">
        <v>1.0692145912818897E-2</v>
      </c>
      <c r="AC37" s="40">
        <v>0.29620470498265999</v>
      </c>
      <c r="AD37" s="39">
        <v>9.6206923601430024E-3</v>
      </c>
      <c r="AE37" s="40">
        <v>0.29113993355631329</v>
      </c>
      <c r="AF37" s="39">
        <v>8.4470340198498743E-3</v>
      </c>
      <c r="AG37" s="40">
        <v>0.28575314414602598</v>
      </c>
      <c r="AH37" s="39">
        <v>7.1470596827640431E-3</v>
      </c>
      <c r="AI37" s="40">
        <v>0.28004427772742879</v>
      </c>
      <c r="AJ37" s="39">
        <v>5.7220428181563978E-3</v>
      </c>
      <c r="AK37" s="40">
        <v>0.2742024322113083</v>
      </c>
      <c r="AL37" s="39">
        <v>4.2055537053029288E-3</v>
      </c>
      <c r="AM37" s="40">
        <v>0.26864421810317701</v>
      </c>
      <c r="AN37" s="39">
        <v>2.6169281541288184E-3</v>
      </c>
      <c r="AO37" s="40">
        <v>0.26386852205642269</v>
      </c>
      <c r="AP37" s="39">
        <v>2.2879446049461783E-3</v>
      </c>
      <c r="AQ37" s="40">
        <v>0.26305995960112005</v>
      </c>
      <c r="AR37" s="39">
        <v>1.9534095133210316E-3</v>
      </c>
      <c r="AS37" s="40">
        <v>0.26231793336244957</v>
      </c>
      <c r="AT37" s="39">
        <v>1.6117166789678063E-3</v>
      </c>
      <c r="AU37" s="40">
        <v>0.26165590777340308</v>
      </c>
      <c r="AV37" s="39"/>
      <c r="AW37" s="40"/>
    </row>
    <row r="38" spans="1:49 16319:16321" x14ac:dyDescent="0.2">
      <c r="A38" t="s">
        <v>22</v>
      </c>
      <c r="B38" s="37">
        <v>0.18079094942242827</v>
      </c>
      <c r="C38" s="38">
        <v>6.0565413429233668E-2</v>
      </c>
      <c r="D38" s="37">
        <v>0.18091822575775773</v>
      </c>
      <c r="E38" s="38">
        <v>6.1008558966266793E-2</v>
      </c>
      <c r="F38" s="37">
        <v>0.18107022373058604</v>
      </c>
      <c r="G38" s="38">
        <v>6.1495970088953869E-2</v>
      </c>
      <c r="H38" s="37">
        <v>0.18125065838159296</v>
      </c>
      <c r="I38" s="38">
        <v>6.2034192205684333E-2</v>
      </c>
      <c r="J38" s="37">
        <v>0.18146411021561532</v>
      </c>
      <c r="K38" s="38">
        <v>6.2631174667737113E-2</v>
      </c>
      <c r="L38" s="37">
        <v>0.18171631576917269</v>
      </c>
      <c r="M38" s="38">
        <v>6.329674793973393E-2</v>
      </c>
      <c r="N38" s="37">
        <v>0.18201460962932545</v>
      </c>
      <c r="O38" s="38">
        <v>6.4043186834644647E-2</v>
      </c>
      <c r="P38" s="37">
        <v>0.18236856877444968</v>
      </c>
      <c r="Q38" s="38">
        <v>6.4886264403143809E-2</v>
      </c>
      <c r="R38" s="37">
        <v>0.18279104773796526</v>
      </c>
      <c r="S38" s="38">
        <v>6.5846630579953949E-2</v>
      </c>
      <c r="T38" s="37">
        <v>0.18329983743444173</v>
      </c>
      <c r="U38" s="38">
        <v>6.6952210595263933E-2</v>
      </c>
      <c r="V38" s="37">
        <v>0.18392047903193426</v>
      </c>
      <c r="W38" s="38">
        <v>6.8242114508852231E-2</v>
      </c>
      <c r="X38" s="37">
        <v>0.18469124602634207</v>
      </c>
      <c r="Y38" s="38">
        <v>6.9773481241835661E-2</v>
      </c>
      <c r="Z38" s="37">
        <v>0.18567244115728693</v>
      </c>
      <c r="AA38" s="38">
        <v>7.1634067425680945E-2</v>
      </c>
      <c r="AB38" s="37">
        <v>0.18696476640181114</v>
      </c>
      <c r="AC38" s="38">
        <v>7.3966494211636771E-2</v>
      </c>
      <c r="AD38" s="37">
        <v>0.18874770199699931</v>
      </c>
      <c r="AE38" s="38">
        <v>7.7017305205152695E-2</v>
      </c>
      <c r="AF38" s="37">
        <v>0.1913633155126869</v>
      </c>
      <c r="AG38" s="38">
        <v>8.1238192891198477E-2</v>
      </c>
      <c r="AH38" s="37">
        <v>0.19550500036520019</v>
      </c>
      <c r="AI38" s="38">
        <v>8.7490843091486609E-2</v>
      </c>
      <c r="AJ38" s="37">
        <v>0.20270042374539998</v>
      </c>
      <c r="AK38" s="38">
        <v>9.7489300645173471E-2</v>
      </c>
      <c r="AL38" s="37">
        <v>0.21720903060836372</v>
      </c>
      <c r="AM38" s="38">
        <v>0.11532997873929542</v>
      </c>
      <c r="AN38" s="37">
        <v>0.25977436436455598</v>
      </c>
      <c r="AO38" s="38">
        <v>0.15704622431509663</v>
      </c>
      <c r="AP38" s="37">
        <v>0.28070328681503243</v>
      </c>
      <c r="AQ38" s="38">
        <v>0.1740577938486286</v>
      </c>
      <c r="AR38" s="37">
        <v>0.31530398276492783</v>
      </c>
      <c r="AS38" s="38">
        <v>0.19908282739480099</v>
      </c>
      <c r="AT38" s="37">
        <v>0.38391124152102157</v>
      </c>
      <c r="AU38" s="38">
        <v>0.2412344113324236</v>
      </c>
      <c r="AV38" s="37"/>
      <c r="AW38" s="38"/>
    </row>
    <row r="39" spans="1:49 16319:16321" x14ac:dyDescent="0.2">
      <c r="A39" t="s">
        <v>23</v>
      </c>
      <c r="B39" s="39">
        <v>0.23064923795098646</v>
      </c>
      <c r="C39" s="40">
        <v>0.22092201281804777</v>
      </c>
      <c r="D39" s="39">
        <v>0.23120989636085953</v>
      </c>
      <c r="E39" s="40">
        <v>0.22273037242880767</v>
      </c>
      <c r="F39" s="39">
        <v>0.23180547783467981</v>
      </c>
      <c r="G39" s="40">
        <v>0.22470441613425526</v>
      </c>
      <c r="H39" s="39">
        <v>0.23244122229825251</v>
      </c>
      <c r="I39" s="40">
        <v>0.22686866923960886</v>
      </c>
      <c r="J39" s="39">
        <v>0.23312351668610606</v>
      </c>
      <c r="K39" s="40">
        <v>0.22925293276444761</v>
      </c>
      <c r="L39" s="39">
        <v>0.23386025507868616</v>
      </c>
      <c r="M39" s="40">
        <v>0.2318938496355914</v>
      </c>
      <c r="N39" s="39">
        <v>0.23466135035678815</v>
      </c>
      <c r="O39" s="40">
        <v>0.234837389701927</v>
      </c>
      <c r="P39" s="39">
        <v>0.23553951216063604</v>
      </c>
      <c r="Q39" s="40">
        <v>0.23814215781636272</v>
      </c>
      <c r="R39" s="39">
        <v>0.23651143323920176</v>
      </c>
      <c r="S39" s="40">
        <v>0.24188491011654625</v>
      </c>
      <c r="T39" s="39">
        <v>0.23759972419784048</v>
      </c>
      <c r="U39" s="40">
        <v>0.24616905389827667</v>
      </c>
      <c r="V39" s="39">
        <v>0.23883617979685376</v>
      </c>
      <c r="W39" s="40">
        <v>0.25113896397527058</v>
      </c>
      <c r="X39" s="39">
        <v>0.24026760866184443</v>
      </c>
      <c r="Y39" s="40">
        <v>0.25700495426891284</v>
      </c>
      <c r="Z39" s="39">
        <v>0.24196685923554348</v>
      </c>
      <c r="AA39" s="40">
        <v>0.2640890873855235</v>
      </c>
      <c r="AB39" s="39">
        <v>0.24405502131511136</v>
      </c>
      <c r="AC39" s="40">
        <v>0.2729138860514444</v>
      </c>
      <c r="AD39" s="39">
        <v>0.24674908257752631</v>
      </c>
      <c r="AE39" s="40">
        <v>0.28438190999299079</v>
      </c>
      <c r="AF39" s="39">
        <v>0.2504698238671807</v>
      </c>
      <c r="AG39" s="40">
        <v>0.30014790980228045</v>
      </c>
      <c r="AH39" s="39">
        <v>0.25609512363179537</v>
      </c>
      <c r="AI39" s="40">
        <v>0.32337836763695293</v>
      </c>
      <c r="AJ39" s="39">
        <v>0.26561850765101697</v>
      </c>
      <c r="AK39" s="40">
        <v>0.36040055852619335</v>
      </c>
      <c r="AL39" s="39">
        <v>0.28465786280872357</v>
      </c>
      <c r="AM39" s="40">
        <v>0.426374719848578</v>
      </c>
      <c r="AN39" s="39">
        <v>0.34044433572474903</v>
      </c>
      <c r="AO39" s="40">
        <v>0.58060275543964346</v>
      </c>
      <c r="AP39" s="39">
        <v>0.36787255287688247</v>
      </c>
      <c r="AQ39" s="40">
        <v>0.6434947721459674</v>
      </c>
      <c r="AR39" s="39">
        <v>0.41321813001715502</v>
      </c>
      <c r="AS39" s="40">
        <v>0.73601276905407242</v>
      </c>
      <c r="AT39" s="39">
        <v>0.50313061793826108</v>
      </c>
      <c r="AU39" s="40">
        <v>0.89184819897804068</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0.10800000000000051</v>
      </c>
      <c r="E42" s="135"/>
      <c r="F42" s="177">
        <f>10.8%+(1-10.8%)*(1-SUM(F26:G26)/SUM($B$26:$C$26))</f>
        <v>0.10800000000000061</v>
      </c>
      <c r="G42" s="135"/>
      <c r="H42" s="177">
        <f>10.8%+(1-10.8%)*(1-SUM(H26:I26)/SUM($B$26:$C$26))</f>
        <v>0.10800000000000001</v>
      </c>
      <c r="I42" s="135"/>
      <c r="J42" s="177">
        <f>10.8%+(1-10.8%)*(1-SUM(J26:K26)/SUM($B$26:$C$26))</f>
        <v>0.10799999999999903</v>
      </c>
      <c r="K42" s="135"/>
      <c r="L42" s="177">
        <f>10.8%+(1-10.8%)*(1-SUM(L26:M26)/SUM($B$26:$C$26))</f>
        <v>0.10800000000000021</v>
      </c>
      <c r="M42" s="135"/>
      <c r="N42" s="177">
        <f>10.8%+(1-10.8%)*(1-SUM(N26:O26)/SUM($B$26:$C$26))</f>
        <v>0.10799999999999942</v>
      </c>
      <c r="O42" s="135"/>
      <c r="P42" s="177">
        <f>10.8%+(1-10.8%)*(1-SUM(P26:Q26)/SUM($B$26:$C$26))</f>
        <v>0.10799999999999961</v>
      </c>
      <c r="Q42" s="135"/>
      <c r="R42" s="177">
        <f>10.8%+(1-10.8%)*(1-SUM(R26:S26)/SUM($B$26:$C$26))</f>
        <v>0.10799999999999961</v>
      </c>
      <c r="S42" s="135"/>
      <c r="T42" s="177">
        <f>10.8%+(1-10.8%)*(1-SUM(T26:U26)/SUM($B$26:$C$26))</f>
        <v>0.10799999999999982</v>
      </c>
      <c r="U42" s="135"/>
      <c r="V42" s="177">
        <f>10.8%+(1-10.8%)*(1-SUM(V26:W26)/SUM($B$26:$C$26))</f>
        <v>0.10800000000000021</v>
      </c>
      <c r="W42" s="135"/>
      <c r="X42" s="177">
        <f>10.8%+(1-10.8%)*(1-SUM(X26:Y26)/SUM($B$26:$C$26))</f>
        <v>0.10799999999999882</v>
      </c>
      <c r="Y42" s="162"/>
      <c r="Z42" s="177">
        <f>10.8%+(1-10.8%)*(1-SUM(Z26:AA26)/SUM($B$26:$C$26))</f>
        <v>0.10799999999999982</v>
      </c>
      <c r="AA42" s="135"/>
      <c r="AB42" s="177">
        <f>10.8%+(1-10.8%)*(1-SUM(AB26:AC26)/SUM($B$26:$C$26))</f>
        <v>0.10799999999999882</v>
      </c>
      <c r="AC42" s="135"/>
      <c r="AD42" s="177">
        <f>10.8%+(1-10.8%)*(1-SUM(AD26:AE26)/SUM($B$26:$C$26))</f>
        <v>0.10800000000000021</v>
      </c>
      <c r="AE42" s="135"/>
      <c r="AF42" s="177">
        <f>10.8%+(1-10.8%)*(1-SUM(AF26:AG26)/SUM($B$26:$C$26))</f>
        <v>0.10799999999999982</v>
      </c>
      <c r="AG42" s="135"/>
      <c r="AH42" s="177">
        <f>10.8%+(1-10.8%)*(1-SUM(AH26:AI26)/SUM($B$26:$C$26))</f>
        <v>0.10800000000000001</v>
      </c>
      <c r="AI42" s="135"/>
      <c r="AJ42" s="177">
        <f>10.8%+(1-10.8%)*(1-SUM(AJ26:AK26)/SUM($B$26:$C$26))</f>
        <v>0.10799999999999982</v>
      </c>
      <c r="AK42" s="135"/>
      <c r="AL42" s="177">
        <f>10.8%+(1-10.8%)*(1-SUM(AL26:AM26)/SUM($B$26:$C$26))</f>
        <v>0.10800000000000051</v>
      </c>
      <c r="AM42" s="135"/>
      <c r="AN42" s="177">
        <f>10.8%+(1-10.8%)*(1-SUM(AN26:AO26)/SUM($B$26:$C$26))</f>
        <v>0.10800000000000051</v>
      </c>
      <c r="AO42" s="135"/>
      <c r="AP42" s="177">
        <f>10.8%+(1-10.8%)*(1-SUM(AP26:AQ26)/SUM($B$26:$C$26))</f>
        <v>0.10800000000000061</v>
      </c>
      <c r="AQ42" s="135"/>
      <c r="AR42" s="177">
        <f>10.8%+(1-10.8%)*(1-SUM(AR26:AS26)/SUM($B$26:$C$26))</f>
        <v>0.10799999999999982</v>
      </c>
      <c r="AS42" s="135"/>
      <c r="AT42" s="177">
        <f>10.8%+(1-10.8%)*(1-SUM(AT26:AU26)/SUM($B$26:$C$26))</f>
        <v>0.10800000000000021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0.56578921106192848</v>
      </c>
      <c r="E43" s="135"/>
      <c r="F43" s="162">
        <f t="array" ref="F43">SUM(F15:G15*F27:G27)/SUM(F15:G15*F27:G27,F13:G13*F26:G26)</f>
        <v>0.56436965286517915</v>
      </c>
      <c r="G43" s="135"/>
      <c r="H43" s="162">
        <f t="array" ref="H43">SUM(H15:I15*H27:I27)/SUM(H15:I15*H27:I27,H13:I13*H26:I26)</f>
        <v>0.56294083566009612</v>
      </c>
      <c r="I43" s="135"/>
      <c r="J43" s="162">
        <f t="array" ref="J43">SUM(J15:K15*J27:K27)/SUM(J15:K15*J27:K27,J13:K13*J26:K26)</f>
        <v>0.56150174597020075</v>
      </c>
      <c r="K43" s="135"/>
      <c r="L43" s="162">
        <f t="array" ref="L43">SUM(L15:M15*L27:M27)/SUM(L15:M15*L27:M27,L13:M13*L26:M26)</f>
        <v>0.56005146494431002</v>
      </c>
      <c r="M43" s="135"/>
      <c r="N43" s="162">
        <f t="array" ref="N43">SUM(N15:O15*N27:O27)/SUM(N15:O15*N27:O27,N13:O13*N26:O26)</f>
        <v>0.55858943408489825</v>
      </c>
      <c r="O43" s="135"/>
      <c r="P43" s="162">
        <f t="array" ref="P43">SUM(P15:Q15*P27:Q27)/SUM(P15:Q15*P27:Q27,P13:Q13*P26:Q26)</f>
        <v>0.55711569901516889</v>
      </c>
      <c r="Q43" s="135"/>
      <c r="R43" s="162">
        <f t="array" ref="R43">SUM(R15:S15*R27:S27)/SUM(R15:S15*R27:S27,R13:S13*R26:S26)</f>
        <v>0.55563153603930804</v>
      </c>
      <c r="S43" s="135"/>
      <c r="T43" s="162">
        <f t="array" ref="T43">SUM(T15:U15*T27:U27)/SUM(T15:U15*T27:U27,T13:U13*T26:U26)</f>
        <v>0.55414031431176236</v>
      </c>
      <c r="U43" s="135"/>
      <c r="V43" s="162">
        <f t="array" ref="V43">SUM(V15:W15*V27:W27)/SUM(V15:W15*V27:W27,V13:W13*V26:W26)</f>
        <v>0.55264899115032762</v>
      </c>
      <c r="W43" s="135"/>
      <c r="X43" s="162">
        <f t="array" ref="X43">SUM(X15:Y15*X27:Y27)/SUM(X15:Y15*X27:Y27,X13:Y13*X26:Y26)</f>
        <v>0.55117055430516615</v>
      </c>
      <c r="Y43" s="135"/>
      <c r="Z43" s="162">
        <f t="array" ref="Z43">SUM(Z15:AA15*Z27:AA27)/SUM(Z15:AA15*Z27:AA27,Z13:AA13*Z26:AA26)</f>
        <v>0.54972799905239789</v>
      </c>
      <c r="AA43" s="135"/>
      <c r="AB43" s="162">
        <f t="array" ref="AB43">SUM(AB15:AC15*AB27:AC27)/SUM(AB15:AC15*AB27:AC27,AB13:AC13*AB26:AC26)</f>
        <v>0.54836062227570515</v>
      </c>
      <c r="AC43" s="135"/>
      <c r="AD43" s="162">
        <f t="array" ref="AD43">SUM(AD15:AE15*AD27:AE27)/SUM(AD15:AE15*AD27:AE27,AD13:AE13*AD26:AE26)</f>
        <v>0.54713256378986108</v>
      </c>
      <c r="AE43" s="135"/>
      <c r="AF43" s="162">
        <f t="array" ref="AF43">SUM(AF15:AG15*AF27:AG27)/SUM(AF15:AG15*AF27:AG27,AF13:AG13*AF26:AG26)</f>
        <v>0.54613803811408246</v>
      </c>
      <c r="AG43" s="135"/>
      <c r="AH43" s="162">
        <f t="array" ref="AH43">SUM(AH15:AI15*AH27:AI27)/SUM(AH15:AI15*AH27:AI27,AH13:AI13*AH26:AI26)</f>
        <v>0.5454783348789386</v>
      </c>
      <c r="AI43" s="135"/>
      <c r="AJ43" s="162">
        <f t="array" ref="AJ43">SUM(AJ15:AK15*AJ27:AK27)/SUM(AJ15:AK15*AJ27:AK27,AJ13:AK13*AJ26:AK26)</f>
        <v>0.54517339656073205</v>
      </c>
      <c r="AK43" s="135"/>
      <c r="AL43" s="162">
        <f t="array" ref="AL43">SUM(AL15:AM15*AL27:AM27)/SUM(AL15:AM15*AL27:AM27,AL13:AM13*AL26:AM26)</f>
        <v>0.54509416443203851</v>
      </c>
      <c r="AM43" s="135"/>
      <c r="AN43" s="162">
        <f t="array" ref="AN43">SUM(AN15:AO15*AN27:AO27)/SUM(AN15:AO15*AN27:AO27,AN13:AO13*AN26:AO26)</f>
        <v>0.54508557146921277</v>
      </c>
      <c r="AO43" s="135"/>
      <c r="AP43" s="162">
        <f t="array" ref="AP43">SUM(AP15:AQ15*AP27:AQ27)/SUM(AP15:AQ15*AP27:AQ27,AP13:AQ13*AP26:AQ26)</f>
        <v>0.54508544540494708</v>
      </c>
      <c r="AQ43" s="135"/>
      <c r="AR43" s="162">
        <f t="array" ref="AR43">SUM(AR15:AS15*AR27:AS27)/SUM(AR15:AS15*AR27:AS27,AR13:AS13*AR26:AS26)</f>
        <v>0.54508540124902483</v>
      </c>
      <c r="AS43" s="135"/>
      <c r="AT43" s="162">
        <f t="array" ref="AT43">SUM(AT15:AU15*AT27:AU27)/SUM(AT15:AU15*AT27:AU27,AT13:AU13*AT26:AU26)</f>
        <v>0.54508538888581748</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0.29754226152949476</v>
      </c>
      <c r="F44" s="193">
        <f>(SUM(F11:G11*F24:G24)+F34)/F32</f>
        <v>0.29754226147143853</v>
      </c>
      <c r="H44" s="193">
        <f>(SUM(H11:I11*H24:I24)+H34)/H32</f>
        <v>0.29754226131341593</v>
      </c>
      <c r="J44" s="193">
        <f>(SUM(J11:K11*J24:K24)+J34)/J32</f>
        <v>0.29754225939855894</v>
      </c>
      <c r="L44" s="193">
        <f>(SUM(L11:M11*L24:M24)+L34)/L32</f>
        <v>0.29754226100820108</v>
      </c>
      <c r="N44" s="193">
        <f>(SUM(N11:O11*N24:O24)+N34)/N32</f>
        <v>0.29754226183206167</v>
      </c>
      <c r="P44" s="193">
        <f>(SUM(P11:Q11*P24:Q24)+P34)/P32</f>
        <v>0.29754225904883908</v>
      </c>
      <c r="R44" s="193">
        <f>(SUM(R11:S11*R24:S24)+R34)/R32</f>
        <v>0.29754225744311685</v>
      </c>
      <c r="T44" s="193">
        <f>(SUM(T11:U11*T24:U24)+T34)/T32</f>
        <v>0.29754225758263897</v>
      </c>
      <c r="V44" s="193">
        <f>(SUM(V11:W11*V24:W24)+V34)/V32</f>
        <v>0.29754225803150874</v>
      </c>
      <c r="X44" s="193">
        <f>(SUM(X11:Y11*X24:Y24)+X34)/X32</f>
        <v>0.29754226166473913</v>
      </c>
      <c r="Z44" s="193">
        <f>(SUM(Z11:AA11*Z24:AA24)+Z34)/Z32</f>
        <v>0.29754226176180604</v>
      </c>
      <c r="AB44" s="193">
        <f>(SUM(AB11:AC11*AB24:AC24)+AB34)/AB32</f>
        <v>0.29754226179452359</v>
      </c>
      <c r="AD44" s="193">
        <f>(SUM(AD11:AE11*AD24:AE24)+AD34)/AD32</f>
        <v>0.29754226211613832</v>
      </c>
      <c r="AF44" s="193">
        <f>(SUM(AF11:AG11*AF24:AG24)+AF34)/AF32</f>
        <v>0.29754226152515012</v>
      </c>
      <c r="AH44" s="193">
        <f>(SUM(AH11:AI11*AH24:AI24)+AH34)/AH32</f>
        <v>0.29754226188906824</v>
      </c>
      <c r="AJ44" s="193">
        <f>(SUM(AJ11:AK11*AJ24:AK24)+AJ34)/AJ32</f>
        <v>0.29754226190808186</v>
      </c>
      <c r="AL44" s="193">
        <f>(SUM(AL11:AM11*AL24:AM24)+AL34)/AL32</f>
        <v>0.29754226190674515</v>
      </c>
      <c r="AN44" s="193">
        <f>(SUM(AN11:AO11*AN24:AO24)+AN34)/AN32</f>
        <v>0.29754226190682304</v>
      </c>
      <c r="AP44" s="193">
        <f>(SUM(AP11:AQ11*AP24:AQ24)+AP34)/AP32</f>
        <v>0.2975422619068282</v>
      </c>
      <c r="AR44" s="193">
        <f>(SUM(AR11:AS11*AR24:AS24)+AR34)/AR32</f>
        <v>0.29754226190682437</v>
      </c>
      <c r="AT44" s="193">
        <f>(SUM(AT11:AU11*AT24:AU24)+AT34)/AT32</f>
        <v>0.29754226190682376</v>
      </c>
      <c r="AV44" s="193" t="e">
        <f>(SUM(AV11:AW11*AV24:AW24)+AV34)/AV32</f>
        <v>#DIV/0!</v>
      </c>
    </row>
    <row r="45" spans="1:49 16319:16321" x14ac:dyDescent="0.2">
      <c r="A45" t="s">
        <v>82</v>
      </c>
      <c r="B45" s="193">
        <f>SUM(B11:C11*B24:C24)/B32</f>
        <v>0.22038438833194082</v>
      </c>
      <c r="D45" s="193">
        <f>SUM(D11:E11*D24:E24)/D32</f>
        <v>0.22038438832350091</v>
      </c>
      <c r="F45" s="193">
        <f>SUM(F11:G11*F24:G24)/F32</f>
        <v>0.22038438832132923</v>
      </c>
      <c r="H45" s="193">
        <f>SUM(H11:I11*H24:I24)/H32</f>
        <v>0.22038438831622947</v>
      </c>
      <c r="J45" s="193">
        <f>SUM(J11:K11*J24:K24)/J32</f>
        <v>0.22038438836112642</v>
      </c>
      <c r="L45" s="193">
        <f>SUM(L11:M11*L24:M24)/L32</f>
        <v>0.22038438830497897</v>
      </c>
      <c r="N45" s="193">
        <f>SUM(N11:O11*N24:O24)/N32</f>
        <v>0.22038438833933774</v>
      </c>
      <c r="P45" s="193">
        <f>SUM(P11:Q11*P24:Q24)/P32</f>
        <v>0.22038438831721785</v>
      </c>
      <c r="R45" s="193">
        <f>SUM(R11:S11*R24:S24)/R32</f>
        <v>0.22038438830956822</v>
      </c>
      <c r="T45" s="193">
        <f>SUM(T11:U11*T24:U24)/T32</f>
        <v>0.22038438831274565</v>
      </c>
      <c r="V45" s="193">
        <f>SUM(V11:W11*V24:W24)/V32</f>
        <v>0.22038438831780266</v>
      </c>
      <c r="X45" s="193">
        <f>SUM(X11:Y11*X24:Y24)/X32</f>
        <v>0.22038438833525911</v>
      </c>
      <c r="Z45" s="193">
        <f>SUM(Z11:AA11*Z24:AA24)/Z32</f>
        <v>0.22038438833072158</v>
      </c>
      <c r="AB45" s="193">
        <f>SUM(AB11:AC11*AB24:AC24)/AB32</f>
        <v>0.22038438833015264</v>
      </c>
      <c r="AD45" s="193">
        <f>SUM(AD11:AE11*AD24:AE24)/AD32</f>
        <v>0.22038438833525964</v>
      </c>
      <c r="AF45" s="193">
        <f>SUM(AF11:AG11*AF24:AG24)/AF32</f>
        <v>0.22038438833621921</v>
      </c>
      <c r="AH45" s="193">
        <f>SUM(AH11:AI11*AH24:AI24)/AH32</f>
        <v>0.22038438833211677</v>
      </c>
      <c r="AJ45" s="193">
        <f>SUM(AJ11:AK11*AJ24:AK24)/AJ32</f>
        <v>0.22038438833192706</v>
      </c>
      <c r="AL45" s="193">
        <f>SUM(AL11:AM11*AL24:AM24)/AL32</f>
        <v>0.22038438833194521</v>
      </c>
      <c r="AN45" s="193">
        <f>SUM(AN11:AO11*AN24:AO24)/AN32</f>
        <v>0.22038438833194127</v>
      </c>
      <c r="AP45" s="193">
        <f>SUM(AP11:AQ11*AP24:AQ24)/AP32</f>
        <v>0.22038438833193799</v>
      </c>
      <c r="AR45" s="193">
        <f>SUM(AR11:AS11*AR24:AS24)/AR32</f>
        <v>0.22038438833194071</v>
      </c>
      <c r="AT45" s="193">
        <f>SUM(AT11:AU11*AT24:AU24)/AT32</f>
        <v>0.22038438833194085</v>
      </c>
      <c r="AV45" s="193" t="e">
        <f>SUM(AV11:AW11*AV24:AW24)/AV32</f>
        <v>#DIV/0!</v>
      </c>
      <c r="XCQ45" s="193"/>
    </row>
    <row r="46" spans="1:49 16319:16321" x14ac:dyDescent="0.2">
      <c r="A46" t="s">
        <v>139</v>
      </c>
      <c r="B46" s="193">
        <f>B34/B32</f>
        <v>7.7157873574883795E-2</v>
      </c>
      <c r="D46" s="193">
        <f>D34/D32</f>
        <v>7.7157873205993835E-2</v>
      </c>
      <c r="F46" s="193">
        <f>F34/F32</f>
        <v>7.7157873150109302E-2</v>
      </c>
      <c r="H46" s="193">
        <f>H34/H32</f>
        <v>7.7157872997186502E-2</v>
      </c>
      <c r="J46" s="193">
        <f>J34/J32</f>
        <v>7.7157871037432546E-2</v>
      </c>
      <c r="L46" s="193">
        <f>L34/L32</f>
        <v>7.715787270322215E-2</v>
      </c>
      <c r="N46" s="193">
        <f>N34/N32</f>
        <v>7.7157873492723961E-2</v>
      </c>
      <c r="P46" s="193">
        <f>P34/P32</f>
        <v>7.7157870731621267E-2</v>
      </c>
      <c r="R46" s="193">
        <f>R34/R32</f>
        <v>7.7157869133548648E-2</v>
      </c>
      <c r="T46" s="193">
        <f>T34/T32</f>
        <v>7.7157869269893348E-2</v>
      </c>
      <c r="V46" s="193">
        <f>V34/V32</f>
        <v>7.7157869713706112E-2</v>
      </c>
      <c r="X46" s="193">
        <f>X34/X32</f>
        <v>7.7157873329480015E-2</v>
      </c>
      <c r="Z46" s="193">
        <f>Z34/Z32</f>
        <v>7.7157873431084503E-2</v>
      </c>
      <c r="AB46" s="193">
        <f>AB34/AB32</f>
        <v>7.7157873464370932E-2</v>
      </c>
      <c r="AD46" s="193">
        <f>AD34/AD32</f>
        <v>7.7157873780878655E-2</v>
      </c>
      <c r="AF46" s="193">
        <f>AF34/AF32</f>
        <v>7.7157873188930901E-2</v>
      </c>
      <c r="AH46" s="193">
        <f>AH34/AH32</f>
        <v>7.7157873556951473E-2</v>
      </c>
      <c r="AJ46" s="193">
        <f>AJ34/AJ32</f>
        <v>7.7157873576154778E-2</v>
      </c>
      <c r="AL46" s="193">
        <f>AL34/AL32</f>
        <v>7.7157873574799932E-2</v>
      </c>
      <c r="AN46" s="193">
        <f>AN34/AN32</f>
        <v>7.7157873574881755E-2</v>
      </c>
      <c r="AP46" s="193">
        <f>AP34/AP32</f>
        <v>7.7157873574890193E-2</v>
      </c>
      <c r="AR46" s="193">
        <f>AR34/AR32</f>
        <v>7.7157873574883656E-2</v>
      </c>
      <c r="AT46" s="193">
        <f>AT34/AT32</f>
        <v>7.7157873574882935E-2</v>
      </c>
      <c r="AV46" s="193" t="e">
        <f>AV34/AV32</f>
        <v>#DIV/0!</v>
      </c>
      <c r="XCS46" s="193"/>
    </row>
    <row r="48" spans="1:49 16319:16321" x14ac:dyDescent="0.2">
      <c r="A48" t="s">
        <v>159</v>
      </c>
      <c r="B48" s="191">
        <f>B24/$B$24</f>
        <v>1</v>
      </c>
      <c r="C48" s="191"/>
      <c r="D48" s="191">
        <f>D24/$B$24</f>
        <v>1.0016862257779517</v>
      </c>
      <c r="E48" s="191"/>
      <c r="F48" s="191">
        <f>F24/$B$24</f>
        <v>1.0032559782161967</v>
      </c>
      <c r="G48" s="191"/>
      <c r="H48" s="191">
        <f>H24/$B$24</f>
        <v>1.0046903275842989</v>
      </c>
      <c r="I48" s="191"/>
      <c r="J48" s="191">
        <f>J24/$B$24</f>
        <v>1.0059660266041297</v>
      </c>
      <c r="K48" s="191"/>
      <c r="L48" s="191">
        <f>L24/$B$24</f>
        <v>1.0070543176698112</v>
      </c>
      <c r="M48" s="191"/>
      <c r="N48" s="191">
        <f>N24/$B$24</f>
        <v>1.0079191265251386</v>
      </c>
      <c r="O48" s="191"/>
      <c r="P48" s="191">
        <f>P24/$B$24</f>
        <v>1.0085148615766202</v>
      </c>
      <c r="Q48" s="191"/>
      <c r="R48" s="191">
        <f>R24/$B$24</f>
        <v>1.0087829530963284</v>
      </c>
      <c r="S48" s="191"/>
      <c r="T48" s="191">
        <f>T24/$B$24</f>
        <v>1.0086470579616129</v>
      </c>
      <c r="U48" s="191"/>
      <c r="V48" s="191">
        <f>V24/$B$24</f>
        <v>1.0080056592898707</v>
      </c>
      <c r="W48" s="191"/>
      <c r="X48" s="191">
        <f>X24/$B$24</f>
        <v>1.0067202763490732</v>
      </c>
      <c r="Y48" s="191"/>
      <c r="Z48" s="191">
        <f>Z24/$B$24</f>
        <v>1.0045953503675884</v>
      </c>
      <c r="AA48" s="191"/>
      <c r="AB48" s="191">
        <f>AB24/$B$24</f>
        <v>1.001340368439823</v>
      </c>
      <c r="AC48" s="191"/>
      <c r="AD48" s="191">
        <f>AD24/$B$24</f>
        <v>0.99648876900859773</v>
      </c>
      <c r="AE48" s="191"/>
      <c r="AF48" s="191">
        <f>AF24/$B$24</f>
        <v>0.98919263217193021</v>
      </c>
      <c r="AG48" s="191"/>
      <c r="AH48" s="191">
        <f>AH24/$B$24</f>
        <v>0.97761693359813673</v>
      </c>
      <c r="AI48" s="191"/>
      <c r="AJ48" s="191">
        <f>AJ24/$B$24</f>
        <v>0.95704884917773181</v>
      </c>
      <c r="AK48" s="191"/>
      <c r="AL48" s="191">
        <f>AL24/$B$24</f>
        <v>0.91371708943248353</v>
      </c>
      <c r="AM48" s="191"/>
      <c r="AN48" s="191">
        <f>AN24/$B$24</f>
        <v>0.79397789134159369</v>
      </c>
      <c r="AO48" s="191"/>
      <c r="AP48" s="191">
        <f>AP24/$B$24</f>
        <v>0.74349203124946805</v>
      </c>
      <c r="AQ48" s="191"/>
      <c r="AR48" s="191">
        <f>AR24/$B$24</f>
        <v>0.67155244014186699</v>
      </c>
      <c r="AS48" s="191"/>
      <c r="AT48" s="191">
        <f>AT24/$B$24</f>
        <v>0.56186784086107366</v>
      </c>
      <c r="AU48" s="191"/>
      <c r="AV48" s="191">
        <f>AV24/$B$24</f>
        <v>0</v>
      </c>
    </row>
    <row r="49" spans="1:48 16321:16384" x14ac:dyDescent="0.2">
      <c r="A49" t="s">
        <v>160</v>
      </c>
      <c r="B49" s="191">
        <f>B13/B35/$B$13*$B$35</f>
        <v>1</v>
      </c>
      <c r="C49" s="191"/>
      <c r="D49" s="191">
        <f>D13/D35/$B$13*$B$35</f>
        <v>0.9959514211117696</v>
      </c>
      <c r="E49" s="191"/>
      <c r="F49" s="191">
        <f>F13/F35/$B$13*$B$35</f>
        <v>0.99134879880479865</v>
      </c>
      <c r="G49" s="191"/>
      <c r="H49" s="191">
        <f>H13/H35/$B$13*$B$35</f>
        <v>0.9861100758491228</v>
      </c>
      <c r="I49" s="191"/>
      <c r="J49" s="191">
        <f>J13/J35/$B$13*$B$35</f>
        <v>0.98013475129072125</v>
      </c>
      <c r="K49" s="191"/>
      <c r="L49" s="191">
        <f>L13/L35/$B$13*$B$35</f>
        <v>0.97329799021411678</v>
      </c>
      <c r="M49" s="191"/>
      <c r="N49" s="191">
        <f>N13/N35/$B$13*$B$35</f>
        <v>0.96544179812478792</v>
      </c>
      <c r="O49" s="191"/>
      <c r="P49" s="191">
        <f>P13/P35/$B$13*$B$35</f>
        <v>0.95636242764683821</v>
      </c>
      <c r="Q49" s="191"/>
      <c r="R49" s="191">
        <f>R13/R35/$B$13*$B$35</f>
        <v>0.94579055389702293</v>
      </c>
      <c r="S49" s="191"/>
      <c r="T49" s="191">
        <f>T13/T35/$B$13*$B$35</f>
        <v>0.93336031194999614</v>
      </c>
      <c r="U49" s="191"/>
      <c r="V49" s="191">
        <f>V13/V35/$B$13*$B$35</f>
        <v>0.91855833643881735</v>
      </c>
      <c r="W49" s="191"/>
      <c r="X49" s="191">
        <f>X13/X35/$B$13*$B$35</f>
        <v>0.90063691462664663</v>
      </c>
      <c r="Y49" s="191"/>
      <c r="Z49" s="191">
        <f>Z13/Z35/$B$13*$B$35</f>
        <v>0.87845997404050258</v>
      </c>
      <c r="AA49" s="191"/>
      <c r="AB49" s="191">
        <f>AB13/AB35/$B$13*$B$35</f>
        <v>0.850220367534403</v>
      </c>
      <c r="AC49" s="191"/>
      <c r="AD49" s="191">
        <f>AD13/AD35/$B$13*$B$35</f>
        <v>0.812915293693389</v>
      </c>
      <c r="AE49" s="191"/>
      <c r="AF49" s="191">
        <f>AF13/AF35/$B$13*$B$35</f>
        <v>0.76143003897779249</v>
      </c>
      <c r="AG49" s="191"/>
      <c r="AH49" s="191">
        <f>AH13/AH35/$B$13*$B$35</f>
        <v>0.68732155703139231</v>
      </c>
      <c r="AI49" s="191"/>
      <c r="AJ49" s="191">
        <f>AJ13/AJ35/$B$13*$B$35</f>
        <v>0.57835473651268576</v>
      </c>
      <c r="AK49" s="191"/>
      <c r="AL49" s="191">
        <f>AL13/AL35/$B$13*$B$35</f>
        <v>0.42003881050419745</v>
      </c>
      <c r="AM49" s="191"/>
      <c r="AN49" s="191">
        <f>AN13/AN35/$B$13*$B$35</f>
        <v>0.20244709974114938</v>
      </c>
      <c r="AO49" s="191"/>
      <c r="AP49" s="191">
        <f>AP13/AP35/$B$13*$B$35</f>
        <v>0.15342389416978072</v>
      </c>
      <c r="AQ49" s="191"/>
      <c r="AR49" s="191">
        <f>AR13/AR35/$B$13*$B$35</f>
        <v>0.10450761598652454</v>
      </c>
      <c r="AS49" s="191"/>
      <c r="AT49" s="191">
        <f>AT13/AT35/$B$13*$B$35</f>
        <v>5.8090551050370698E-2</v>
      </c>
      <c r="AU49" s="191"/>
      <c r="AV49" s="191" t="e">
        <f>AV13/AV35/$B$13*$B$35</f>
        <v>#DIV/0!</v>
      </c>
    </row>
    <row r="51" spans="1:48 16321:16384" x14ac:dyDescent="0.2">
      <c r="A51" t="s">
        <v>166</v>
      </c>
      <c r="B51" s="29">
        <f>B30-B10*B23</f>
        <v>-405838.32800000021</v>
      </c>
      <c r="D51" s="29">
        <f>D30-D10*D23</f>
        <v>-344857.85776988603</v>
      </c>
      <c r="F51" s="29">
        <f>F30-F10*F23</f>
        <v>-282335.9300538064</v>
      </c>
      <c r="H51" s="29">
        <f>H30-H10*H23</f>
        <v>-218061.62332599331</v>
      </c>
      <c r="J51" s="29">
        <f>J30-J10*J23</f>
        <v>-151782.69515943341</v>
      </c>
      <c r="L51" s="29">
        <f>L30-L10*L23</f>
        <v>-83191.38766022725</v>
      </c>
      <c r="N51" s="29">
        <f>N30-N10*N23</f>
        <v>-11901.425914196763</v>
      </c>
      <c r="P51" s="29">
        <f>P30-P10*P23</f>
        <v>62587.850186645519</v>
      </c>
      <c r="R51" s="29">
        <f>R30-R10*R23</f>
        <v>140951.58716425579</v>
      </c>
      <c r="T51" s="29">
        <f>T30-T10*T23</f>
        <v>224143.35958791245</v>
      </c>
      <c r="V51" s="29">
        <f>V30-V10*V23</f>
        <v>313579.30134284776</v>
      </c>
      <c r="X51" s="29">
        <f>X30-X10*X23</f>
        <v>411476.93969801581</v>
      </c>
      <c r="Z51" s="29">
        <f>Z30-Z10*Z23</f>
        <v>521501.93632027647</v>
      </c>
      <c r="AB51" s="29">
        <f>AB30-AB10*AB23</f>
        <v>650038.92750316486</v>
      </c>
      <c r="AD51" s="29">
        <f>AD30-AD10*AD23</f>
        <v>808714.66336249467</v>
      </c>
      <c r="AF51" s="29">
        <f>AF30-AF10*AF23</f>
        <v>1019110.8596948362</v>
      </c>
      <c r="AH51" s="29">
        <f>AH30-AH10*AH23</f>
        <v>1319557.7098019565</v>
      </c>
      <c r="AJ51" s="29">
        <f>AJ30-AJ10*AJ23</f>
        <v>1769523.7680012188</v>
      </c>
      <c r="AL51" s="29">
        <f>AL30-AL10*AL23</f>
        <v>2453814.5977673791</v>
      </c>
      <c r="AN51" s="29">
        <f>AN30-AN10*AN23</f>
        <v>3475601.1961634876</v>
      </c>
      <c r="AP51" s="29">
        <f>AP30-AP10*AP23</f>
        <v>3694943.4881394091</v>
      </c>
      <c r="AQ51" s="29"/>
      <c r="AR51" s="29">
        <f>AR30-AR10*AR23</f>
        <v>3857997.2363356231</v>
      </c>
      <c r="AT51" s="29">
        <f>AT30-AT10*AT23</f>
        <v>3830423.0841829227</v>
      </c>
      <c r="AV51" s="29">
        <f>AV30-AV10*AV23</f>
        <v>0</v>
      </c>
      <c r="XFD51" s="29"/>
    </row>
    <row r="52" spans="1:48 16321:16384" x14ac:dyDescent="0.2">
      <c r="A52" t="s">
        <v>167</v>
      </c>
      <c r="B52" s="29">
        <f t="array" ref="B52">Calibration!sL*SUM(B13:C13*B26:C26)</f>
        <v>2049247.8195702801</v>
      </c>
      <c r="D52" s="29">
        <f t="array" ref="D52">Calibration!sL*SUM(D13:E13*D26:E26)</f>
        <v>2045508.748828013</v>
      </c>
      <c r="F52" s="29">
        <f t="array" ref="F52">Calibration!sL*SUM(F13:G13*F26:G26)</f>
        <v>2041125.2146483713</v>
      </c>
      <c r="H52" s="29">
        <f t="array" ref="H52">Calibration!sL*SUM(H13:I13*H26:I26)</f>
        <v>2036004.3085407505</v>
      </c>
      <c r="J52" s="29">
        <f t="array" ref="J52">Calibration!sL*SUM(J13:K13*J26:K26)</f>
        <v>2030033.7485948354</v>
      </c>
      <c r="L52" s="29">
        <f t="array" ref="L52">Calibration!sL*SUM(L13:M13*L26:M26)</f>
        <v>2023076.478847468</v>
      </c>
      <c r="N52" s="29">
        <f t="array" ref="N52">Calibration!sL*SUM(N13:O13*N26:O26)</f>
        <v>2014962.6548854746</v>
      </c>
      <c r="P52" s="29">
        <f t="array" ref="P52">Calibration!sL*SUM(P13:Q13*P26:Q26)</f>
        <v>2005478.912753924</v>
      </c>
      <c r="R52" s="29">
        <f t="array" ref="R52">Calibration!sL*SUM(R13:S13*R26:S26)</f>
        <v>1994351.5260869155</v>
      </c>
      <c r="T52" s="29">
        <f t="array" ref="T52">Calibration!sL*SUM(T13:U13*T26:U26)</f>
        <v>1981221.0591976764</v>
      </c>
      <c r="V52" s="29">
        <f t="array" ref="V52">Calibration!sL*SUM(V13:W13*V26:W26)</f>
        <v>1965601.0838607862</v>
      </c>
      <c r="X52" s="29">
        <f t="array" ref="X52">Calibration!sL*SUM(X13:Y13*X26:Y26)</f>
        <v>1946808.070957432</v>
      </c>
      <c r="Z52" s="29">
        <f t="array" ref="Z52">Calibration!sL*SUM(Z13:AA13*Z26:AA26)</f>
        <v>1923835.3475916649</v>
      </c>
      <c r="AB52" s="29">
        <f t="array" ref="AB52">Calibration!sL*SUM(AB13:AC13*AB26:AC26)</f>
        <v>1895111.4882405966</v>
      </c>
      <c r="AD52" s="29">
        <f t="array" ref="AD52">Calibration!sL*SUM(AD13:AE13*AD26:AE26)</f>
        <v>1858006.7275794626</v>
      </c>
      <c r="AF52" s="29">
        <f t="array" ref="AF52">Calibration!sL*SUM(AF13:AG13*AF26:AG26)</f>
        <v>1807764.8308584946</v>
      </c>
      <c r="AH52" s="29">
        <f t="array" ref="AH52">Calibration!sL*SUM(AH13:AI13*AH26:AI26)</f>
        <v>1735112.5527789257</v>
      </c>
      <c r="AJ52" s="29">
        <f t="array" ref="AJ52">Calibration!sL*SUM(AJ13:AK13*AJ26:AK26)</f>
        <v>1620704.6218829849</v>
      </c>
      <c r="AL52" s="29">
        <f t="array" ref="AL52">Calibration!sL*SUM(AL13:AM13*AL26:AM26)</f>
        <v>1419499.5588460907</v>
      </c>
      <c r="AN52" s="29">
        <f t="array" ref="AN52">Calibration!sL*SUM(AN13:AO13*AN26:AO26)</f>
        <v>997656.90191057697</v>
      </c>
      <c r="AP52" s="29">
        <f t="array" ref="AP52">Calibration!sL*SUM(AP13:AQ13*AP26:AQ26)</f>
        <v>855011.78971599881</v>
      </c>
      <c r="AQ52" s="29"/>
      <c r="AR52" s="29">
        <f t="array" ref="AR52">Calibration!sL*SUM(AR13:AS13*AR26:AS26)</f>
        <v>677924.91096858983</v>
      </c>
      <c r="AT52" s="29">
        <f t="array" ref="AT52">Calibration!sL*SUM(AT13:AU13*AT26:AU26)</f>
        <v>457262.72936373838</v>
      </c>
      <c r="AV52" s="29">
        <f t="array" ref="AV52">Calibration!sL*SUM(AV13:AW13*AV26:AW26)</f>
        <v>0</v>
      </c>
    </row>
    <row r="53" spans="1:48 16321:16384" x14ac:dyDescent="0.2">
      <c r="A53" t="s">
        <v>168</v>
      </c>
      <c r="B53" s="29">
        <f t="array" ref="B53">Calibration!sK*SUM(B15:C15*B27:C27)</f>
        <v>2740714.4444297305</v>
      </c>
      <c r="D53" s="29">
        <f t="array" ref="D53">Calibration!sK*SUM(D15:E15*D27:E27)</f>
        <v>2720036.8042949648</v>
      </c>
      <c r="F53" s="29">
        <f t="array" ref="F53">Calibration!sK*SUM(F15:G15*F27:G27)</f>
        <v>2698575.4312458322</v>
      </c>
      <c r="H53" s="29">
        <f t="array" ref="H53">Calibration!sK*SUM(H15:I15*H27:I27)</f>
        <v>2676212.5487533817</v>
      </c>
      <c r="J53" s="29">
        <f t="array" ref="J53">Calibration!sK*SUM(J15:K15*J27:K27)</f>
        <v>2652808.4250444826</v>
      </c>
      <c r="L53" s="29">
        <f t="array" ref="L53">Calibration!sK*SUM(L15:M15*L27:M27)</f>
        <v>2628196.000687995</v>
      </c>
      <c r="N53" s="29">
        <f t="array" ref="N53">Calibration!sK*SUM(N15:O15*N27:O27)</f>
        <v>2602174.2867388614</v>
      </c>
      <c r="P53" s="29">
        <f t="array" ref="P53">Calibration!sK*SUM(P15:Q15*P27:Q27)</f>
        <v>2574498.232927267</v>
      </c>
      <c r="R53" s="29">
        <f t="array" ref="R53">Calibration!sK*SUM(R15:S15*R27:S27)</f>
        <v>2544865.0319068357</v>
      </c>
      <c r="T53" s="29">
        <f t="array" ref="T53">Calibration!sK*SUM(T15:U15*T27:U27)</f>
        <v>2512892.235541495</v>
      </c>
      <c r="V53" s="29">
        <f t="array" ref="V53">Calibration!sK*SUM(V15:W15*V27:W27)</f>
        <v>2478082.3305392889</v>
      </c>
      <c r="X53" s="29">
        <f t="array" ref="X53">Calibration!sK*SUM(X15:Y15*X27:Y27)</f>
        <v>2439760.4799224632</v>
      </c>
      <c r="Z53" s="29">
        <f t="array" ref="Z53">Calibration!sK*SUM(Z15:AA15*Z27:AA27)</f>
        <v>2396956.7763748239</v>
      </c>
      <c r="AB53" s="29">
        <f t="array" ref="AB53">Calibration!sK*SUM(AB15:AC15*AB27:AC27)</f>
        <v>2348165.0092313406</v>
      </c>
      <c r="AD53" s="29">
        <f t="array" ref="AD53">Calibration!sK*SUM(AD15:AE15*AD27:AE27)</f>
        <v>2290805.0921662212</v>
      </c>
      <c r="AF53" s="29">
        <f t="array" ref="AF53">Calibration!sK*SUM(AF15:AG15*AF27:AG27)</f>
        <v>2219933.4774486013</v>
      </c>
      <c r="AH53" s="29">
        <f t="array" ref="AH53">Calibration!sK*SUM(AH15:AI15*AH27:AI27)</f>
        <v>2125053.9315198436</v>
      </c>
      <c r="AJ53" s="29">
        <f t="array" ref="AJ53">Calibration!sK*SUM(AJ15:AK15*AJ27:AK27)</f>
        <v>1982494.7866965248</v>
      </c>
      <c r="AL53" s="29">
        <f t="array" ref="AL53">Calibration!sK*SUM(AL15:AM15*AL27:AM27)</f>
        <v>1735819.9447800126</v>
      </c>
      <c r="AN53" s="29">
        <f t="array" ref="AN53">Calibration!sK*SUM(AN15:AO15*AN27:AO27)</f>
        <v>1219931.8605255787</v>
      </c>
      <c r="AP53" s="29">
        <f t="array" ref="AP53">Calibration!sK*SUM(AP15:AQ15*AP27:AQ27)</f>
        <v>1045505.3146248332</v>
      </c>
      <c r="AQ53" s="29"/>
      <c r="AR53" s="29">
        <f t="array" ref="AR53">Calibration!sK*SUM(AR15:AS15*AR27:AS27)</f>
        <v>828963.97411919164</v>
      </c>
      <c r="AT53" s="29">
        <f t="array" ref="AT53">Calibration!sK*SUM(AT15:AU15*AT27:AU27)</f>
        <v>559139.07914875797</v>
      </c>
      <c r="AV53" s="29">
        <f t="array" ref="AV53">Calibration!sK*SUM(AV15:AW15*AV27:AW27)</f>
        <v>0</v>
      </c>
      <c r="XFD53" s="29"/>
    </row>
    <row r="55" spans="1:48 16321:16384" x14ac:dyDescent="0.2">
      <c r="A55" t="s">
        <v>169</v>
      </c>
      <c r="B55" s="193">
        <f>B30/B32</f>
        <v>0.19850271905982084</v>
      </c>
      <c r="D55" s="193">
        <f>D30/D32</f>
        <v>0.20264364238619795</v>
      </c>
      <c r="F55" s="193">
        <f>F30/F32</f>
        <v>0.20688502097998596</v>
      </c>
      <c r="H55" s="193">
        <f>H30/H32</f>
        <v>0.21124300639686627</v>
      </c>
      <c r="J55" s="193">
        <f>J30/J32</f>
        <v>0.21573712034535547</v>
      </c>
      <c r="L55" s="193">
        <f>L30/L32</f>
        <v>0.22039141947807464</v>
      </c>
      <c r="N55" s="193">
        <f>N30/N32</f>
        <v>0.22523633417758251</v>
      </c>
      <c r="P55" s="193">
        <f>P30/P32</f>
        <v>0.23031149661933839</v>
      </c>
      <c r="R55" s="193">
        <f>R30/R32</f>
        <v>0.23567038447106239</v>
      </c>
      <c r="T55" s="193">
        <f>T30/T32</f>
        <v>0.24138821543262837</v>
      </c>
      <c r="V55" s="193">
        <f>V30/V32</f>
        <v>0.24757574536269239</v>
      </c>
      <c r="X55" s="193">
        <f>X30/X32</f>
        <v>0.2544044001627021</v>
      </c>
      <c r="Z55" s="193">
        <f>Z30/Z32</f>
        <v>0.26215394240015105</v>
      </c>
      <c r="AB55" s="193">
        <f>AB30/AB32</f>
        <v>0.27130605489864795</v>
      </c>
      <c r="AD55" s="193">
        <f>AD30/AD32</f>
        <v>0.28273174514655819</v>
      </c>
      <c r="AF55" s="193">
        <f>AF30/AF32</f>
        <v>0.29805385359412201</v>
      </c>
      <c r="AH55" s="193">
        <f>AH30/AH32</f>
        <v>0.3202514657113591</v>
      </c>
      <c r="AJ55" s="193">
        <f>AJ30/AJ32</f>
        <v>0.35455409414447836</v>
      </c>
      <c r="AL55" s="193">
        <f>AL30/AL32</f>
        <v>0.41156828827710473</v>
      </c>
      <c r="AN55" s="193">
        <f>AN30/AN32</f>
        <v>0.52675072105727383</v>
      </c>
      <c r="AP55" s="193">
        <f>AP30/AP32</f>
        <v>0.56718863420868182</v>
      </c>
      <c r="AR55" s="193">
        <f>AR30/AR32</f>
        <v>0.62023161814933359</v>
      </c>
      <c r="AT55" s="193">
        <f>AT30/AT32</f>
        <v>0.69382993205155075</v>
      </c>
      <c r="AV55" s="193" t="e">
        <f>AV30/AV32</f>
        <v>#DIV/0!</v>
      </c>
      <c r="XCS55" s="193"/>
      <c r="XFD55" s="193"/>
    </row>
    <row r="56" spans="1:48 16321:16384" x14ac:dyDescent="0.2">
      <c r="A56" t="s">
        <v>170</v>
      </c>
      <c r="B56" s="193">
        <f>(Model!$C$52*B5*B20+B2*C5*C20)/B32</f>
        <v>2.9221206744340551E-2</v>
      </c>
      <c r="D56" s="193">
        <f>(Model!$C$52*D5*D20+D2*E5*E20)/D32</f>
        <v>3.3749513782662374E-2</v>
      </c>
      <c r="F56" s="193">
        <f>(Model!$C$52*F5*F20+F2*G5*G20)/F32</f>
        <v>3.8401574460141488E-2</v>
      </c>
      <c r="H56" s="193">
        <f>(Model!$C$52*H5*H20+H2*I5*I20)/H32</f>
        <v>4.3196887846509963E-2</v>
      </c>
      <c r="J56" s="193">
        <f>(Model!$C$52*J5*J20+J2*K5*K20)/J32</f>
        <v>4.8159103606334949E-2</v>
      </c>
      <c r="L56" s="193">
        <f>(Model!$C$52*L5*L20+L2*M5*M20)/L32</f>
        <v>5.3317487418634783E-2</v>
      </c>
      <c r="N56" s="193">
        <f>(Model!$C$52*N5*N20+N2*O5*O20)/N32</f>
        <v>5.8709222929816784E-2</v>
      </c>
      <c r="P56" s="193">
        <f>(Model!$C$52*P5*P20+P2*Q5*Q20)/P32</f>
        <v>6.4382965801510372E-2</v>
      </c>
      <c r="R56" s="193">
        <f>(Model!$C$52*R5*R20+R2*S5*S20)/R32</f>
        <v>7.0404666353335504E-2</v>
      </c>
      <c r="T56" s="193">
        <f>(Model!$C$52*T5*T20+T2*U5*U20)/T32</f>
        <v>7.6867429110678953E-2</v>
      </c>
      <c r="V56" s="193">
        <f>(Model!$C$52*V5*V20+V2*W5*W20)/V32</f>
        <v>8.3908699053305544E-2</v>
      </c>
      <c r="X56" s="193">
        <f>(Model!$C$52*X5*X20+X2*Y5*Y20)/X32</f>
        <v>9.1741442104167834E-2</v>
      </c>
      <c r="Z56" s="193">
        <f>(Model!$C$52*Z5*Z20+Z2*AA5*AA20)/Z32</f>
        <v>0.10071301413944951</v>
      </c>
      <c r="AB56" s="193">
        <f>(Model!$C$52*AB5*AB20+AB2*AC5*AC20)/AB32</f>
        <v>0.11142016271047098</v>
      </c>
      <c r="AD56" s="193">
        <f>(Model!$C$52*AD5*AD20+AD2*AE5*AE20)/AD32</f>
        <v>0.12493787573895726</v>
      </c>
      <c r="AF56" s="193">
        <f>(Model!$C$52*AF5*AF20+AF2*AG5*AG20)/AF32</f>
        <v>0.14325827245140696</v>
      </c>
      <c r="AH56" s="193">
        <f>(Model!$C$52*AH5*AH20+AH2*AI5*AI20)/AH32</f>
        <v>0.17001256945647725</v>
      </c>
      <c r="AJ56" s="193">
        <f>(Model!$C$52*AJ5*AJ20+AJ2*AK5*AK20)/AJ32</f>
        <v>0.21152575247017774</v>
      </c>
      <c r="AL56" s="193">
        <f>(Model!$C$52*AL5*AL20+AL2*AM5*AM20)/AL32</f>
        <v>0.28058615879390975</v>
      </c>
      <c r="AN56" s="193">
        <f>(Model!$C$52*AN5*AN20+AN2*AO5*AO20)/AN32</f>
        <v>0.42004386996977949</v>
      </c>
      <c r="AP56" s="193">
        <f>(Model!$C$52*AP5*AP20+AP2*AQ5*AQ20)/AP32</f>
        <v>0.46898655874258521</v>
      </c>
      <c r="AR56" s="193">
        <f>(Model!$C$52*AR5*AR20+AR2*AS5*AS20)/AR32</f>
        <v>0.53317538246591301</v>
      </c>
      <c r="AT56" s="193">
        <f>(Model!$C$52*AT5*AT20+AT2*AU5*AU20)/AT32</f>
        <v>0.62222352055223928</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0.15822406068623435</v>
      </c>
      <c r="F57" s="193">
        <f t="array" ref="F57">SUM(Model!tauL*F13:G13*F26:G26)/F32</f>
        <v>0.15789694695160555</v>
      </c>
      <c r="H57" s="193">
        <f t="array" ref="H57">SUM(Model!tauL*H13:I13*H26:I26)/H32</f>
        <v>0.15754437728712686</v>
      </c>
      <c r="J57" s="193">
        <f t="array" ref="J57">SUM(Model!tauL*J13:K13*J26:K26)/J32</f>
        <v>0.15716252164591685</v>
      </c>
      <c r="L57" s="193">
        <f t="array" ref="L57">SUM(Model!tauL*L13:M13*L26:M26)/L32</f>
        <v>0.1567465314134722</v>
      </c>
      <c r="N57" s="193">
        <f t="array" ref="N57">SUM(Model!tauL*N13:O13*N26:O26)/N32</f>
        <v>0.15629008453442936</v>
      </c>
      <c r="P57" s="193">
        <f t="array" ref="P57">SUM(Model!tauL*P13:Q13*P26:Q26)/P32</f>
        <v>0.15578467845332319</v>
      </c>
      <c r="R57" s="193">
        <f t="array" ref="R57">SUM(Model!tauL*R13:S13*R26:S26)/R32</f>
        <v>0.15521846172303633</v>
      </c>
      <c r="T57" s="193">
        <f t="array" ref="T57">SUM(Model!tauL*T13:U13*T26:U26)/T32</f>
        <v>0.15457428547334257</v>
      </c>
      <c r="V57" s="193">
        <f t="array" ref="V57">SUM(Model!tauL*V13:W13*V26:W26)/V32</f>
        <v>0.15382632503348509</v>
      </c>
      <c r="X57" s="193">
        <f t="array" ref="X57">SUM(Model!tauL*X13:Y13*X26:Y26)/X32</f>
        <v>0.15293403025999064</v>
      </c>
      <c r="Y57" s="193"/>
      <c r="Z57" s="193">
        <f t="array" ref="Z57">SUM(Model!tauL*Z13:AA13*Z26:AA26)/Z32</f>
        <v>0.15183089717163376</v>
      </c>
      <c r="AB57" s="193">
        <f t="array" ref="AB57">SUM(Model!tauL*AB13:AC13*AB26:AC26)/AB32</f>
        <v>0.15040297119026197</v>
      </c>
      <c r="AD57" s="193">
        <f t="array" ref="AD57">SUM(Model!tauL*AD13:AE13*AD26:AE26)/AD32</f>
        <v>0.14844725120726468</v>
      </c>
      <c r="AF57" s="193">
        <f t="array" ref="AF57">SUM(Model!tauL*AF13:AG13*AF26:AG26)/AF32</f>
        <v>0.14559519373104099</v>
      </c>
      <c r="AH57" s="193">
        <f t="array" ref="AH57">SUM(Model!tauL*AH13:AI13*AH26:AI26)/AH32</f>
        <v>0.14119597740806586</v>
      </c>
      <c r="AJ57" s="193">
        <f t="array" ref="AJ57">SUM(Model!tauL*AJ13:AK13*AJ26:AK26)/AJ32</f>
        <v>0.13416065339517039</v>
      </c>
      <c r="AL57" s="193">
        <f t="array" ref="AL57">SUM(Model!tauL*AL13:AM13*AL26:AM26)/AL32</f>
        <v>0.12233114274142791</v>
      </c>
      <c r="AN57" s="193">
        <f t="array" ref="AN57">SUM(Model!tauL*AN13:AO13*AN26:AO26)/AN32</f>
        <v>9.8387319249334138E-2</v>
      </c>
      <c r="AP57" s="193">
        <f t="array" ref="AP57">SUM(Model!tauL*AP13:AQ13*AP26:AQ26)/AP32</f>
        <v>8.9980405079693876E-2</v>
      </c>
      <c r="AR57" s="193">
        <f t="array" ref="AR57">SUM(Model!tauL*AR13:AS13*AR26:AS26)/AR32</f>
        <v>7.8952908474391736E-2</v>
      </c>
      <c r="AT57" s="193">
        <f t="array" ref="AT57">SUM(Model!tauL*AT13:AU13*AT26:AU26)/AT32</f>
        <v>6.3652002548406597E-2</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1.0670067917301245E-2</v>
      </c>
      <c r="F58" s="193">
        <f t="array" ref="F58">SUM(Model!tauY/(1+Model!tauY)*F3:G3*F18:G18)/F32</f>
        <v>1.0586499568238939E-2</v>
      </c>
      <c r="H58" s="193">
        <f t="array" ref="H58">SUM(Model!tauY/(1+Model!tauY)*H3:I3*H18:I18)/H32</f>
        <v>1.0501741263229468E-2</v>
      </c>
      <c r="J58" s="193">
        <f t="array" ref="J58">SUM(Model!tauY/(1+Model!tauY)*J3:K3*J18:K18)/J32</f>
        <v>1.0415495093103683E-2</v>
      </c>
      <c r="L58" s="193">
        <f t="array" ref="L58">SUM(Model!tauY/(1+Model!tauY)*L3:M3*L18:M18)/L32</f>
        <v>1.0327400645967617E-2</v>
      </c>
      <c r="N58" s="193">
        <f t="array" ref="N58">SUM(Model!tauY/(1+Model!tauY)*N3:O3*N18:O18)/N32</f>
        <v>1.0237026713336379E-2</v>
      </c>
      <c r="P58" s="193">
        <f t="array" ref="P58">SUM(Model!tauY/(1+Model!tauY)*P3:Q3*P18:Q18)/P32</f>
        <v>1.0143852364504836E-2</v>
      </c>
      <c r="R58" s="193">
        <f t="array" ref="R58">SUM(Model!tauY/(1+Model!tauY)*R3:S3*R18:S18)/R32</f>
        <v>1.0047256394690543E-2</v>
      </c>
      <c r="T58" s="193">
        <f t="array" ref="T58">SUM(Model!tauY/(1+Model!tauY)*T3:U3*T18:U18)/T32</f>
        <v>9.9465008486068502E-3</v>
      </c>
      <c r="V58" s="193">
        <f t="array" ref="V58">SUM(Model!tauY/(1+Model!tauY)*V3:W3*V18:W18)/V32</f>
        <v>9.8407212759017391E-3</v>
      </c>
      <c r="X58" s="193">
        <f t="array" ref="X58">SUM(Model!tauY/(1+Model!tauY)*X3:Y3*X18:Y18)/X32</f>
        <v>9.7289277985436497E-3</v>
      </c>
      <c r="Y58" s="193"/>
      <c r="Z58" s="193">
        <f t="array" ref="Z58">SUM(Model!tauY/(1+Model!tauY)*Z3:AA3*Z18:AA18)/Z32</f>
        <v>9.6100310890677894E-3</v>
      </c>
      <c r="AB58" s="193">
        <f t="array" ref="AB58">SUM(Model!tauY/(1+Model!tauY)*AB3:AC3*AB18:AC18)/AB32</f>
        <v>9.4829209979150012E-3</v>
      </c>
      <c r="AD58" s="193">
        <f t="array" ref="AD58">SUM(Model!tauY/(1+Model!tauY)*AD3:AE3*AD18:AE18)/AD32</f>
        <v>9.3466182003362226E-3</v>
      </c>
      <c r="AF58" s="193">
        <f t="array" ref="AF58">SUM(Model!tauY/(1+Model!tauY)*AF3:AG3*AF18:AG18)/AF32</f>
        <v>9.2003874116740464E-3</v>
      </c>
      <c r="AH58" s="193">
        <f t="array" ref="AH58">SUM(Model!tauY/(1+Model!tauY)*AH3:AI3*AH18:AI18)/AH32</f>
        <v>9.0429188468159546E-3</v>
      </c>
      <c r="AJ58" s="193">
        <f t="array" ref="AJ58">SUM(Model!tauY/(1+Model!tauY)*AJ3:AK3*AJ18:AK18)/AJ32</f>
        <v>8.8676882791302418E-3</v>
      </c>
      <c r="AL58" s="193">
        <f t="array" ref="AL58">SUM(Model!tauY/(1+Model!tauY)*AL3:AM3*AL18:AM18)/AL32</f>
        <v>8.6509867417670153E-3</v>
      </c>
      <c r="AN58" s="193">
        <f t="array" ref="AN58">SUM(Model!tauY/(1+Model!tauY)*AN3:AO3*AN18:AO18)/AN32</f>
        <v>8.3195318381600967E-3</v>
      </c>
      <c r="AP58" s="193">
        <f t="array" ref="AP58">SUM(Model!tauY/(1+Model!tauY)*AP3:AQ3*AP18:AQ18)/AP32</f>
        <v>8.2216703864028441E-3</v>
      </c>
      <c r="AR58" s="193">
        <f t="array" ref="AR58">SUM(Model!tauY/(1+Model!tauY)*AR3:AS3*AR18:AS18)/AR32</f>
        <v>8.1033272090288971E-3</v>
      </c>
      <c r="AT58" s="193">
        <f t="array" ref="AT58">SUM(Model!tauY/(1+Model!tauY)*AT3:AU3*AT18:AU18)/AT32</f>
        <v>7.9544089509048198E-3</v>
      </c>
      <c r="AV58" s="193" t="e">
        <f t="array" ref="AV58">SUM(Model!tauY/(1+Model!tauY)*AV3:AW3*AV18:AW18)/AV32</f>
        <v>#DIV/0!</v>
      </c>
      <c r="XFD58" s="193"/>
    </row>
    <row r="59" spans="1:48 16321:16384" x14ac:dyDescent="0.2">
      <c r="A59" t="s">
        <v>173</v>
      </c>
      <c r="B59" s="193">
        <f>(B2*C5*C20)/B32</f>
        <v>5.5174232040962052E-4</v>
      </c>
      <c r="D59" s="193">
        <f>(D2*E5*E20)/D32</f>
        <v>5.1395272547199123E-3</v>
      </c>
      <c r="F59" s="193">
        <f>(F2*G5*G20)/F32</f>
        <v>9.8519614487167454E-3</v>
      </c>
      <c r="H59" s="193">
        <f>(H2*I5*I20)/H32</f>
        <v>1.4708676666288998E-2</v>
      </c>
      <c r="J59" s="193">
        <f>(J2*K5*K20)/J32</f>
        <v>1.9733480459110476E-2</v>
      </c>
      <c r="L59" s="193">
        <f>(L2*M5*M20)/L32</f>
        <v>2.4955832136090716E-2</v>
      </c>
      <c r="N59" s="193">
        <f>(N2*O5*O20)/N32</f>
        <v>3.0413159191185861E-2</v>
      </c>
      <c r="P59" s="193">
        <f>(P2*Q5*Q20)/P32</f>
        <v>3.6154439666090485E-2</v>
      </c>
      <c r="R59" s="193">
        <f>(R2*S5*S20)/R32</f>
        <v>4.2246068246275317E-2</v>
      </c>
      <c r="T59" s="193">
        <f>(T2*U5*U20)/T32</f>
        <v>4.8781796137349252E-2</v>
      </c>
      <c r="V59" s="193">
        <f>(V2*W5*W20)/V32</f>
        <v>5.5900060793021768E-2</v>
      </c>
      <c r="X59" s="193">
        <f>(X2*Y5*Y20)/X32</f>
        <v>6.3815434726694167E-2</v>
      </c>
      <c r="Z59" s="193">
        <f>(Z2*AA5*AA20)/Z32</f>
        <v>7.2878012232304612E-2</v>
      </c>
      <c r="AB59" s="193">
        <f>(AB2*AC5*AC20)/AB32</f>
        <v>8.3689434148823419E-2</v>
      </c>
      <c r="AD59" s="193">
        <f>(AD2*AE5*AE20)/AD32</f>
        <v>9.7333763103105209E-2</v>
      </c>
      <c r="AF59" s="193">
        <f>(AF2*AG5*AG20)/AF32</f>
        <v>0.11582008774498782</v>
      </c>
      <c r="AH59" s="193">
        <f>(AH2*AI5*AI20)/AH32</f>
        <v>0.14280952358358831</v>
      </c>
      <c r="AJ59" s="193">
        <f>(AJ2*AK5*AK20)/AJ32</f>
        <v>0.18467280516679582</v>
      </c>
      <c r="AL59" s="193">
        <f>(AL2*AM5*AM20)/AL32</f>
        <v>0.25427135113518545</v>
      </c>
      <c r="AN59" s="193">
        <f>(AN2*AO5*AO20)/AN32</f>
        <v>0.39466420769023802</v>
      </c>
      <c r="AP59" s="193">
        <f>(AP2*AQ5*AQ20)/AP32</f>
        <v>0.44389692252222596</v>
      </c>
      <c r="AR59" s="193">
        <f>(AR2*AS5*AS20)/AR32</f>
        <v>0.50844196274339204</v>
      </c>
      <c r="AT59" s="193">
        <f>(AT2*AU5*AU20)/AT32</f>
        <v>0.5979449627091552</v>
      </c>
      <c r="AV59" s="193" t="e">
        <f>(AV2*AW5*AW20)/AV32</f>
        <v>#DIV/0!</v>
      </c>
      <c r="XFD59" s="193"/>
    </row>
    <row r="60" spans="1:48 16321:16384" x14ac:dyDescent="0.2">
      <c r="A60" t="s">
        <v>174</v>
      </c>
      <c r="B60" s="193">
        <f>Model!$C$52*B5*B20/B32</f>
        <v>2.8669464423930927E-2</v>
      </c>
      <c r="D60" s="193">
        <f>Model!$C$52*D5*D20/D32</f>
        <v>2.8609986527942464E-2</v>
      </c>
      <c r="F60" s="193">
        <f>Model!$C$52*F5*F20/F32</f>
        <v>2.8549613011424741E-2</v>
      </c>
      <c r="H60" s="193">
        <f>Model!$C$52*H5*H20/H32</f>
        <v>2.8488211180220966E-2</v>
      </c>
      <c r="J60" s="193">
        <f>Model!$C$52*J5*J20/J32</f>
        <v>2.842562314722448E-2</v>
      </c>
      <c r="L60" s="193">
        <f>Model!$C$52*L5*L20/L32</f>
        <v>2.8361655282544074E-2</v>
      </c>
      <c r="N60" s="193">
        <f>Model!$C$52*N5*N20/N32</f>
        <v>2.829606373863092E-2</v>
      </c>
      <c r="P60" s="193">
        <f>Model!$C$52*P5*P20/P32</f>
        <v>2.822852613541988E-2</v>
      </c>
      <c r="R60" s="193">
        <f>Model!$C$52*R5*R20/R32</f>
        <v>2.8158598107060187E-2</v>
      </c>
      <c r="T60" s="193">
        <f>Model!$C$52*T5*T20/T32</f>
        <v>2.8085632973329708E-2</v>
      </c>
      <c r="V60" s="193">
        <f>Model!$C$52*V5*V20/V32</f>
        <v>2.800863826028378E-2</v>
      </c>
      <c r="X60" s="193">
        <f>Model!$C$52*X5*X20/X32</f>
        <v>2.7926007377473666E-2</v>
      </c>
      <c r="Z60" s="193">
        <f>Model!$C$52*Z5*Z20/Z32</f>
        <v>2.7835001907144892E-2</v>
      </c>
      <c r="AB60" s="193">
        <f>Model!$C$52*AB5*AB20/AB32</f>
        <v>2.7730728561647548E-2</v>
      </c>
      <c r="AD60" s="193">
        <f>Model!$C$52*AD5*AD20/AD32</f>
        <v>2.7604112635852059E-2</v>
      </c>
      <c r="AF60" s="193">
        <f>Model!$C$52*AF5*AF20/AF32</f>
        <v>2.7438184706419129E-2</v>
      </c>
      <c r="AH60" s="193">
        <f>Model!$C$52*AH5*AH20/AH32</f>
        <v>2.7203045872888947E-2</v>
      </c>
      <c r="AJ60" s="193">
        <f>Model!$C$52*AJ5*AJ20/AJ32</f>
        <v>2.6852947303381915E-2</v>
      </c>
      <c r="AL60" s="193">
        <f>Model!$C$52*AL5*AL20/AL32</f>
        <v>2.631480765872431E-2</v>
      </c>
      <c r="AN60" s="193">
        <f>Model!$C$52*AN5*AN20/AN32</f>
        <v>2.5379662279541484E-2</v>
      </c>
      <c r="AP60" s="193">
        <f>Model!$C$52*AP5*AP20/AP32</f>
        <v>2.5089636220359205E-2</v>
      </c>
      <c r="AR60" s="193">
        <f>Model!$C$52*AR5*AR20/AR32</f>
        <v>2.4733419722521001E-2</v>
      </c>
      <c r="AT60" s="193">
        <f>Model!$C$52*AT5*AT20/AT32</f>
        <v>2.4278557843084077E-2</v>
      </c>
      <c r="AV60" s="193" t="e">
        <f>Model!$C$52*AV5*AV20/AV32</f>
        <v>#DIV/0!</v>
      </c>
      <c r="XFD60" s="193"/>
    </row>
    <row r="62" spans="1:48 16321:16384" x14ac:dyDescent="0.2">
      <c r="A62" t="s">
        <v>175</v>
      </c>
      <c r="B62">
        <f>B13/B15</f>
        <v>1</v>
      </c>
      <c r="D62">
        <f>D13/D15</f>
        <v>1.0057634937523405</v>
      </c>
      <c r="F62">
        <f>F13/F15</f>
        <v>1.0115896859383922</v>
      </c>
      <c r="H62">
        <f>H13/H15</f>
        <v>1.0174835509423561</v>
      </c>
      <c r="J62">
        <f>J13/J15</f>
        <v>1.0234501112342647</v>
      </c>
      <c r="L62">
        <f>L13/L15</f>
        <v>1.0294940898108016</v>
      </c>
      <c r="N62">
        <f>N13/N15</f>
        <v>1.0356188039709955</v>
      </c>
      <c r="P62">
        <f>P13/P15</f>
        <v>1.0418250825674698</v>
      </c>
      <c r="R62">
        <f>R13/R15</f>
        <v>1.0481085483537187</v>
      </c>
      <c r="T62">
        <f>T13/T15</f>
        <v>1.0544557968055521</v>
      </c>
      <c r="V62">
        <f>V13/V15</f>
        <v>1.0608377342164454</v>
      </c>
      <c r="X62">
        <f>X13/X15</f>
        <v>1.0671986152350197</v>
      </c>
      <c r="Z62">
        <f>Z13/Z15</f>
        <v>1.0734380964255621</v>
      </c>
      <c r="AB62">
        <f>AB13/AB15</f>
        <v>1.0793827148976773</v>
      </c>
      <c r="AD62">
        <f>AD13/AD15</f>
        <v>1.0847469799939615</v>
      </c>
      <c r="AF62">
        <f>AF13/AF15</f>
        <v>1.0891088332556473</v>
      </c>
      <c r="AH62">
        <f>AH13/AH15</f>
        <v>1.0920109729556571</v>
      </c>
      <c r="AJ62">
        <f>AJ13/AJ15</f>
        <v>1.0933548196685792</v>
      </c>
      <c r="AL62">
        <f>AL13/AL15</f>
        <v>1.0937042373940207</v>
      </c>
      <c r="AN62">
        <f>AN13/AN15</f>
        <v>1.093742138958526</v>
      </c>
      <c r="AP62">
        <f>AP13/AP15</f>
        <v>1.0937426950081297</v>
      </c>
      <c r="AR62">
        <f>AR13/AR15</f>
        <v>1.0937428897649761</v>
      </c>
      <c r="AT62">
        <f>AT13/AT15</f>
        <v>1.0937429442980726</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0.99855809277964858</v>
      </c>
      <c r="E65" s="191"/>
      <c r="F65" s="191">
        <f t="array" ref="F65">SQRT((F9:G9*$B$22:$C$22+F10:G10*$B$23:$C$23+F11:G11*$B$24:$C$24+F4:G4*($B$25:$C$25-$B$19:$C$19))/($B$9:$C$9*$B$22:$C$22+$B$10:$C$10*$B$23:$C$23+$B$11:$C$11*$B$24:$C$24+$B$4:$C$4*($B$25:$C$25-$B$19:$C$19))*(F9:G9*F22:G22+F10:G10*F23:G23+F11:G11*F24:G24+F4:G4*(F25:G25-F19:G19))/($B$9:$C$9*F22:G22+$B$10:$C$10*F23:G23+$B$11:$C$11*F24:G24+$B$4:$C$4*(F25:G25-F19:G19)))</f>
        <v>0.99707044167246117</v>
      </c>
      <c r="G65" s="191"/>
      <c r="H65" s="191">
        <f t="array" ref="H65">SQRT((H9:I9*$B$22:$C$22+H10:I10*$B$23:$C$23+H11:I11*$B$24:$C$24+H4:I4*($B$25:$C$25-$B$19:$C$19))/($B$9:$C$9*$B$22:$C$22+$B$10:$C$10*$B$23:$C$23+$B$11:$C$11*$B$24:$C$24+$B$4:$C$4*($B$25:$C$25-$B$19:$C$19))*(H9:I9*H22:I22+H10:I10*H23:I23+H11:I11*H24:I24+H4:I4*(H25:I25-H19:I19))/($B$9:$C$9*H22:I22+$B$10:$C$10*H23:I23+$B$11:$C$11*H24:I24+$B$4:$C$4*(H25:I25-H19:I19)))</f>
        <v>0.99552949724799533</v>
      </c>
      <c r="I65" s="191"/>
      <c r="J65" s="191">
        <f t="array" ref="J65">SQRT((J9:K9*$B$22:$C$22+J10:K10*$B$23:$C$23+J11:K11*$B$24:$C$24+J4:K4*($B$25:$C$25-$B$19:$C$19))/($B$9:$C$9*$B$22:$C$22+$B$10:$C$10*$B$23:$C$23+$B$11:$C$11*$B$24:$C$24+$B$4:$C$4*($B$25:$C$25-$B$19:$C$19))*(J9:K9*J22:K22+J10:K10*J23:K23+J11:K11*J24:K24+J4:K4*(J25:K25-J19:K19))/($B$9:$C$9*J22:K22+$B$10:$C$10*J23:K23+$B$11:$C$11*J24:K24+$B$4:$C$4*(J25:K25-J19:K19)))</f>
        <v>0.99392670124473825</v>
      </c>
      <c r="K65" s="191"/>
      <c r="L65" s="191">
        <f t="array" ref="L65">SQRT((L9:M9*$B$22:$C$22+L10:M10*$B$23:$C$23+L11:M11*$B$24:$C$24+L4:M4*($B$25:$C$25-$B$19:$C$19))/($B$9:$C$9*$B$22:$C$22+$B$10:$C$10*$B$23:$C$23+$B$11:$C$11*$B$24:$C$24+$B$4:$C$4*($B$25:$C$25-$B$19:$C$19))*(L9:M9*L22:M22+L10:M10*L23:M23+L11:M11*L24:M24+L4:M4*(L25:M25-L19:M19))/($B$9:$C$9*L22:M22+$B$10:$C$10*L23:M23+$B$11:$C$11*L24:M24+$B$4:$C$4*(L25:M25-L19:M19)))</f>
        <v>0.99225260254374892</v>
      </c>
      <c r="M65" s="191"/>
      <c r="N65" s="191">
        <f t="array" ref="N65">SQRT((N9:O9*$B$22:$C$22+N10:O10*$B$23:$C$23+N11:O11*$B$24:$C$24+N4:O4*($B$25:$C$25-$B$19:$C$19))/($B$9:$C$9*$B$22:$C$22+$B$10:$C$10*$B$23:$C$23+$B$11:$C$11*$B$24:$C$24+$B$4:$C$4*($B$25:$C$25-$B$19:$C$19))*(N9:O9*N22:O22+N10:O10*N23:O23+N11:O11*N24:O24+N4:O4*(N25:O25-N19:O19))/($B$9:$C$9*N22:O22+$B$10:$C$10*N23:O23+$B$11:$C$11*N24:O24+$B$4:$C$4*(N25:O25-N19:O19)))</f>
        <v>0.99049721867893681</v>
      </c>
      <c r="O65" s="191"/>
      <c r="P65" s="191">
        <f t="array" ref="P65">SQRT((P9:Q9*$B$22:$C$22+P10:Q10*$B$23:$C$23+P11:Q11*$B$24:$C$24+P4:Q4*($B$25:$C$25-$B$19:$C$19))/($B$9:$C$9*$B$22:$C$22+$B$10:$C$10*$B$23:$C$23+$B$11:$C$11*$B$24:$C$24+$B$4:$C$4*($B$25:$C$25-$B$19:$C$19))*(P9:Q9*P22:Q22+P10:Q10*P23:Q23+P11:Q11*P24:Q24+P4:Q4*(P25:Q25-P19:Q19))/($B$9:$C$9*P22:Q22+$B$10:$C$10*P23:Q23+$B$11:$C$11*P24:Q24+$B$4:$C$4*(P25:Q25-P19:Q19)))</f>
        <v>0.98865082362449597</v>
      </c>
      <c r="Q65" s="191"/>
      <c r="R65" s="191">
        <f t="array" ref="R65">SQRT((R9:S9*$B$22:$C$22+R10:S10*$B$23:$C$23+R11:S11*$B$24:$C$24+R4:S4*($B$25:$C$25-$B$19:$C$19))/($B$9:$C$9*$B$22:$C$22+$B$10:$C$10*$B$23:$C$23+$B$11:$C$11*$B$24:$C$24+$B$4:$C$4*($B$25:$C$25-$B$19:$C$19))*(R9:S9*R22:S22+R10:S10*R23:S23+R11:S11*R24:S24+R4:S4*(R25:S25-R19:S19))/($B$9:$C$9*R22:S22+$B$10:$C$10*R23:S23+$B$11:$C$11*R24:S24+$B$4:$C$4*(R25:S25-R19:S19)))</f>
        <v>0.98670553619383561</v>
      </c>
      <c r="S65" s="191"/>
      <c r="T65" s="191">
        <f t="array" ref="T65">SQRT((T9:U9*$B$22:$C$22+T10:U10*$B$23:$C$23+T11:U11*$B$24:$C$24+T4:U4*($B$25:$C$25-$B$19:$C$19))/($B$9:$C$9*$B$22:$C$22+$B$10:$C$10*$B$23:$C$23+$B$11:$C$11*$B$24:$C$24+$B$4:$C$4*($B$25:$C$25-$B$19:$C$19))*(T9:U9*T22:U22+T10:U10*T23:U23+T11:U11*T24:U24+T4:U4*(T25:U25-T19:U19))/($B$9:$C$9*T22:U22+$B$10:$C$10*T23:U23+$B$11:$C$11*T24:U24+$B$4:$C$4*(T25:U25-T19:U19)))</f>
        <v>0.98465835512937117</v>
      </c>
      <c r="U65" s="191"/>
      <c r="V65" s="191">
        <f t="array" ref="V65">SQRT((V9:W9*$B$22:$C$22+V10:W10*$B$23:$C$23+V11:W11*$B$24:$C$24+V4:W4*($B$25:$C$25-$B$19:$C$19))/($B$9:$C$9*$B$22:$C$22+$B$10:$C$10*$B$23:$C$23+$B$11:$C$11*$B$24:$C$24+$B$4:$C$4*($B$25:$C$25-$B$19:$C$19))*(V9:W9*V22:W22+V10:W10*V23:W23+V11:W11*V24:W24+V4:W4*(V25:W25-V19:W19))/($B$9:$C$9*V22:W22+$B$10:$C$10*V23:W23+$B$11:$C$11*V24:W24+$B$4:$C$4*(V25:W25-V19:W19)))</f>
        <v>0.9825168796427356</v>
      </c>
      <c r="W65" s="191"/>
      <c r="X65" s="191">
        <f t="array" ref="X65">SQRT((X9:Y9*$B$22:$C$22+X10:Y10*$B$23:$C$23+X11:Y11*$B$24:$C$24+X4:Y4*($B$25:$C$25-$B$19:$C$19))/($B$9:$C$9*$B$22:$C$22+$B$10:$C$10*$B$23:$C$23+$B$11:$C$11*$B$24:$C$24+$B$4:$C$4*($B$25:$C$25-$B$19:$C$19))*(X9:Y9*X22:Y22+X10:Y10*X23:Y23+X11:Y11*X24:Y24+X4:Y4*(X25:Y25-X19:Y19))/($B$9:$C$9*X22:Y22+$B$10:$C$10*X23:Y23+$B$11:$C$11*X24:Y24+$B$4:$C$4*(X25:Y25-X19:Y19)))</f>
        <v>0.98031008331398117</v>
      </c>
      <c r="Y65" s="191"/>
      <c r="Z65" s="191">
        <f t="array" ref="Z65">SQRT((Z9:AA9*$B$22:$C$22+Z10:AA10*$B$23:$C$23+Z11:AA11*$B$24:$C$24+Z4:AA4*($B$25:$C$25-$B$19:$C$19))/($B$9:$C$9*$B$22:$C$22+$B$10:$C$10*$B$23:$C$23+$B$11:$C$11*$B$24:$C$24+$B$4:$C$4*($B$25:$C$25-$B$19:$C$19))*(Z9:AA9*Z22:AA22+Z10:AA10*Z23:AA23+Z11:AA11*Z24:AA24+Z4:AA4*(Z25:AA25-Z19:AA19))/($B$9:$C$9*Z22:AA22+$B$10:$C$10*Z23:AA23+$B$11:$C$11*Z24:AA24+$B$4:$C$4*(Z25:AA25-Z19:AA19)))</f>
        <v>0.97810876923222445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0.97606429337253375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0.97447835972470975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0.9739019109429069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0.97514107856654109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0.97876093658828389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0.9841003513984814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0.98909893916790204</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0.98974432910753618</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0.99012617854016471</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0.99009743871470557</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0.99841444052467565</v>
      </c>
      <c r="E66" s="191"/>
      <c r="F66" s="191">
        <f t="array" ref="F66">SQRT((F9:G9*$B$22:$C$22)/($B$9:$C$9*$B$22:$C$22)*(F9:G9*F22:G22)/($B$9:$C$9*F22:G22))</f>
        <v>0.99677674918799197</v>
      </c>
      <c r="G66" s="191"/>
      <c r="H66" s="191">
        <f t="array" ref="H66">SQRT((H9:I9*$B$22:$C$22)/($B$9:$C$9*$B$22:$C$22)*(H9:I9*H22:I22)/($B$9:$C$9*H22:I22))</f>
        <v>0.99507841080926418</v>
      </c>
      <c r="I66" s="191"/>
      <c r="J66" s="191">
        <f t="array" ref="J66">SQRT((J9:K9*$B$22:$C$22)/($B$9:$C$9*$B$22:$C$22)*(J9:K9*J22:K22)/($B$9:$C$9*J22:K22))</f>
        <v>0.99330974458114563</v>
      </c>
      <c r="K66" s="191"/>
      <c r="L66" s="191">
        <f t="array" ref="L66">SQRT((L9:M9*$B$22:$C$22)/($B$9:$C$9*$B$22:$C$22)*(L9:M9*L22:M22)/($B$9:$C$9*L22:M22))</f>
        <v>0.99146001961985719</v>
      </c>
      <c r="M66" s="191"/>
      <c r="N66" s="191">
        <f t="array" ref="N66">SQRT((N9:O9*$B$22:$C$22)/($B$9:$C$9*$B$22:$C$22)*(N9:O9*N22:O22)/($B$9:$C$9*N22:O22))</f>
        <v>0.98951784145402977</v>
      </c>
      <c r="O66" s="191"/>
      <c r="P66" s="191">
        <f t="array" ref="P66">SQRT((P9:Q9*$B$22:$C$22)/($B$9:$C$9*$B$22:$C$22)*(P9:Q9*P22:Q22)/($B$9:$C$9*P22:Q22))</f>
        <v>0.98747201269003348</v>
      </c>
      <c r="Q66" s="191"/>
      <c r="R66" s="191">
        <f t="array" ref="R66">SQRT((R9:S9*$B$22:$C$22)/($B$9:$C$9*$B$22:$C$22)*(R9:S9*R22:S22)/($B$9:$C$9*R22:S22))</f>
        <v>0.98531328940832574</v>
      </c>
      <c r="S66" s="191"/>
      <c r="T66" s="191">
        <f t="array" ref="T66">SQRT((T9:U9*$B$22:$C$22)/($B$9:$C$9*$B$22:$C$22)*(T9:U9*T22:U22)/($B$9:$C$9*T22:U22))</f>
        <v>0.98303776489043149</v>
      </c>
      <c r="U66" s="191"/>
      <c r="V66" s="191">
        <f t="array" ref="V66">SQRT((V9:W9*$B$22:$C$22)/($B$9:$C$9*$B$22:$C$22)*(V9:W9*V22:W22)/($B$9:$C$9*V22:W22))</f>
        <v>0.98065328661938489</v>
      </c>
      <c r="W66" s="191"/>
      <c r="X66" s="191">
        <f t="array" ref="X66">SQRT((X9:Y9*$B$22:$C$22)/($B$9:$C$9*$B$22:$C$22)*(X9:Y9*X22:Y22)/($B$9:$C$9*X22:Y22))</f>
        <v>0.9781915997830215</v>
      </c>
      <c r="Y66" s="191"/>
      <c r="Z66" s="191">
        <f t="array" ref="Z66">SQRT((Z9:AA9*$B$22:$C$22)/($B$9:$C$9*$B$22:$C$22)*(Z9:AA9*Z22:AA22)/($B$9:$C$9*Z22:AA22))</f>
        <v>0.97573148329550108</v>
      </c>
      <c r="AA66" s="191"/>
      <c r="AB66" s="191">
        <f t="array" ref="AB66">SQRT((AB9:AC9*$B$22:$C$22)/($B$9:$C$9*$B$22:$C$22)*(AB9:AC9*AB22:AC22)/($B$9:$C$9*AB22:AC22))</f>
        <v>0.97344263606284054</v>
      </c>
      <c r="AC66" s="191"/>
      <c r="AD66" s="191">
        <f t="array" ref="AD66">SQRT((AD9:AE9*$B$22:$C$22)/($B$9:$C$9*$B$22:$C$22)*(AD9:AE9*AD22:AE22)/($B$9:$C$9*AD22:AE22))</f>
        <v>0.97166476421109416</v>
      </c>
      <c r="AE66" s="191"/>
      <c r="AF66" s="191">
        <f t="array" ref="AF66">SQRT((AF9:AG9*$B$22:$C$22)/($B$9:$C$9*$B$22:$C$22)*(AF9:AG9*AF22:AG22)/($B$9:$C$9*AF22:AG22))</f>
        <v>0.97101907626916262</v>
      </c>
      <c r="AG66" s="191"/>
      <c r="AH66" s="191">
        <f t="array" ref="AH66">SQRT((AH9:AI9*$B$22:$C$22)/($B$9:$C$9*$B$22:$C$22)*(AH9:AI9*AH22:AI22)/($B$9:$C$9*AH22:AI22))</f>
        <v>0.97241209608939272</v>
      </c>
      <c r="AI66" s="191"/>
      <c r="AJ66" s="191">
        <f t="array" ref="AJ66">SQRT((AJ9:AK9*$B$22:$C$22)/($B$9:$C$9*$B$22:$C$22)*(AJ9:AK9*AJ22:AK22)/($B$9:$C$9*AJ22:AK22))</f>
        <v>0.97646873163049819</v>
      </c>
      <c r="AK66" s="191"/>
      <c r="AL66" s="191">
        <f t="array" ref="AL66">SQRT((AL9:AM9*$B$22:$C$22)/($B$9:$C$9*$B$22:$C$22)*(AL9:AM9*AL22:AM22)/($B$9:$C$9*AL22:AM22))</f>
        <v>0.98242684678198655</v>
      </c>
      <c r="AM66" s="191"/>
      <c r="AN66" s="191">
        <f t="array" ref="AN66">SQRT((AN9:AO9*$B$22:$C$22)/($B$9:$C$9*$B$22:$C$22)*(AN9:AO9*AN22:AO22)/($B$9:$C$9*AN22:AO22))</f>
        <v>0.98797832031060673</v>
      </c>
      <c r="AO66" s="191"/>
      <c r="AP66" s="191">
        <f t="array" ref="AP66">SQRT((AP9:AQ9*$B$22:$C$22)/($B$9:$C$9*$B$22:$C$22)*(AP9:AQ9*AP22:AQ22)/($B$9:$C$9*AP22:AQ22))</f>
        <v>0.98869327818218222</v>
      </c>
      <c r="AQ66" s="191"/>
      <c r="AR66" s="191">
        <f t="array" ref="AR66">SQRT((AR9:AS9*$B$22:$C$22)/($B$9:$C$9*$B$22:$C$22)*(AR9:AS9*AR22:AS22)/($B$9:$C$9*AR22:AS22))</f>
        <v>0.98911609413148149</v>
      </c>
      <c r="AS66" s="191"/>
      <c r="AT66" s="191">
        <f t="array" ref="AT66">SQRT((AT9:AU9*$B$22:$C$22)/($B$9:$C$9*$B$22:$C$22)*(AT9:AU9*AT22:AU22)/($B$9:$C$9*AT22:AU22))</f>
        <v>0.98908427598590332</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0.99841444052467565</v>
      </c>
      <c r="E68" s="191"/>
      <c r="F68" s="191">
        <f>F66/F67</f>
        <v>0.99677674918799197</v>
      </c>
      <c r="G68" s="191"/>
      <c r="H68" s="191">
        <f>H66/H67</f>
        <v>0.99507841080926418</v>
      </c>
      <c r="I68" s="191"/>
      <c r="J68" s="191">
        <f>J66/J67</f>
        <v>0.99330974458114563</v>
      </c>
      <c r="K68" s="191"/>
      <c r="L68" s="191">
        <f>L66/L67</f>
        <v>0.99146001961985719</v>
      </c>
      <c r="M68" s="191"/>
      <c r="N68" s="191">
        <f>N66/N67</f>
        <v>0.98951784145402977</v>
      </c>
      <c r="O68" s="191"/>
      <c r="P68" s="191">
        <f>P66/P67</f>
        <v>0.98747201269003348</v>
      </c>
      <c r="Q68" s="191"/>
      <c r="R68" s="191">
        <f>R66/R67</f>
        <v>0.98531328940832574</v>
      </c>
      <c r="S68" s="191"/>
      <c r="T68" s="191">
        <f>T66/T67</f>
        <v>0.98303776489043149</v>
      </c>
      <c r="U68" s="191"/>
      <c r="V68" s="191">
        <f>V66/V67</f>
        <v>0.98065328661938489</v>
      </c>
      <c r="W68" s="191"/>
      <c r="X68" s="191">
        <f>X66/X67</f>
        <v>0.9781915997830215</v>
      </c>
      <c r="Y68" s="191"/>
      <c r="Z68" s="191">
        <f>Z66/Z67</f>
        <v>0.97573148329550108</v>
      </c>
      <c r="AA68" s="191"/>
      <c r="AB68" s="191">
        <f>AB66/AB67</f>
        <v>0.97344263606284054</v>
      </c>
      <c r="AC68" s="191"/>
      <c r="AD68" s="191">
        <f>AD66/AD67</f>
        <v>0.97166476421109416</v>
      </c>
      <c r="AE68" s="191"/>
      <c r="AF68" s="191">
        <f>AF66/AF67</f>
        <v>0.97101907626916262</v>
      </c>
      <c r="AG68" s="191"/>
      <c r="AH68" s="191">
        <f>AH66/AH67</f>
        <v>0.97241209608939272</v>
      </c>
      <c r="AI68" s="191"/>
      <c r="AJ68" s="191">
        <f>AJ66/AJ67</f>
        <v>0.97646873163049819</v>
      </c>
      <c r="AK68" s="191"/>
      <c r="AL68" s="191">
        <f>AL66/AL67</f>
        <v>0.98242684678198655</v>
      </c>
      <c r="AM68" s="191"/>
      <c r="AN68" s="191">
        <f>AN66/AN67</f>
        <v>0.98797832031060673</v>
      </c>
      <c r="AO68" s="191"/>
      <c r="AP68" s="191">
        <f>AP66/AP67</f>
        <v>0.98869327818218222</v>
      </c>
      <c r="AQ68" s="191"/>
      <c r="AR68" s="191">
        <f>AR66/AR67</f>
        <v>0.98911609413148149</v>
      </c>
      <c r="AS68" s="191"/>
      <c r="AT68" s="191">
        <f>AT66/AT67</f>
        <v>0.98908427598590332</v>
      </c>
      <c r="AU68" s="191"/>
      <c r="AV68" s="191" t="e">
        <f>AV66/AV67</f>
        <v>#DIV/0!</v>
      </c>
      <c r="XFD68" s="191"/>
    </row>
    <row r="69" spans="1:48 16384:16384" x14ac:dyDescent="0.2">
      <c r="A69" t="s">
        <v>177</v>
      </c>
      <c r="B69" s="191">
        <f>B32/B65/($B$32)</f>
        <v>1</v>
      </c>
      <c r="C69" s="191"/>
      <c r="D69" s="191">
        <f>D32/D65/($B$32)</f>
        <v>1.0015421235490991</v>
      </c>
      <c r="E69" s="191"/>
      <c r="F69" s="191">
        <f>F32/F65/($B$32)</f>
        <v>1.002960463796819</v>
      </c>
      <c r="G69" s="191"/>
      <c r="H69" s="191">
        <f>H32/H65/($B$32)</f>
        <v>1.0042350903342949</v>
      </c>
      <c r="I69" s="191"/>
      <c r="J69" s="191">
        <f>J32/J65/($B$32)</f>
        <v>1.0053415966788513</v>
      </c>
      <c r="K69" s="191"/>
      <c r="L69" s="191">
        <f>L32/L65/($B$32)</f>
        <v>1.0062499116834531</v>
      </c>
      <c r="M69" s="191"/>
      <c r="N69" s="191">
        <f>N32/N65/($B$32)</f>
        <v>1.0069225229487464</v>
      </c>
      <c r="O69" s="191"/>
      <c r="P69" s="191">
        <f>P32/P65/($B$32)</f>
        <v>1.0073123659619345</v>
      </c>
      <c r="Q69" s="191"/>
      <c r="R69" s="191">
        <f>R32/R65/($B$32)</f>
        <v>1.0073595550598284</v>
      </c>
      <c r="S69" s="191"/>
      <c r="T69" s="191">
        <f>T32/T65/($B$32)</f>
        <v>1.0069869862405014</v>
      </c>
      <c r="U69" s="191"/>
      <c r="V69" s="191">
        <f>V32/V65/($B$32)</f>
        <v>1.0060937203810765</v>
      </c>
      <c r="W69" s="191"/>
      <c r="X69" s="191">
        <f>X32/X65/($B$32)</f>
        <v>1.0045447194749193</v>
      </c>
      <c r="Y69" s="191"/>
      <c r="Z69" s="191">
        <f>Z32/Z65/($B$32)</f>
        <v>1.0021536890020755</v>
      </c>
      <c r="AA69" s="191"/>
      <c r="AB69" s="191">
        <f>AB32/AB65/($B$32)</f>
        <v>0.99865082093119362</v>
      </c>
      <c r="AC69" s="191"/>
      <c r="AD69" s="191">
        <f>AD32/AD65/($B$32)</f>
        <v>0.99361162318339513</v>
      </c>
      <c r="AE69" s="191"/>
      <c r="AF69" s="191">
        <f>AF32/AF65/($B$32)</f>
        <v>0.98626453560938876</v>
      </c>
      <c r="AG69" s="191"/>
      <c r="AH69" s="191">
        <f>AH32/AH65/($B$32)</f>
        <v>0.97488102231252705</v>
      </c>
      <c r="AI69" s="191"/>
      <c r="AJ69" s="191">
        <f>AJ32/AJ65/($B$32)</f>
        <v>0.95480749274955545</v>
      </c>
      <c r="AK69" s="191"/>
      <c r="AL69" s="191">
        <f>AL32/AL65/($B$32)</f>
        <v>0.91216327455457957</v>
      </c>
      <c r="AM69" s="191"/>
      <c r="AN69" s="191">
        <f>AN32/AN65/($B$32)</f>
        <v>0.79307833866583899</v>
      </c>
      <c r="AO69" s="191"/>
      <c r="AP69" s="191">
        <f>AP32/AP65/($B$32)</f>
        <v>0.74270248594524446</v>
      </c>
      <c r="AQ69" s="191"/>
      <c r="AR69" s="191">
        <f>AR32/AR65/($B$32)</f>
        <v>0.67086735104504047</v>
      </c>
      <c r="AS69" s="191"/>
      <c r="AT69" s="191">
        <f>AT32/AT65/($B$32)</f>
        <v>0.56129288375825337</v>
      </c>
      <c r="AU69" s="191"/>
      <c r="AV69" s="191" t="e">
        <f>AV32/AV65/($B$32)</f>
        <v>#DIV/0!</v>
      </c>
    </row>
    <row r="70" spans="1:48 16384:16384" x14ac:dyDescent="0.2">
      <c r="A70" t="s">
        <v>178</v>
      </c>
      <c r="B70" s="138">
        <f>B18/$B$18</f>
        <v>1</v>
      </c>
      <c r="C70" s="138"/>
      <c r="D70" s="138">
        <f>D18/$B$18</f>
        <v>1.0002433238668085</v>
      </c>
      <c r="E70" s="138"/>
      <c r="F70" s="138">
        <f>F18/$B$18</f>
        <v>1.0003553758286825</v>
      </c>
      <c r="G70" s="138"/>
      <c r="H70" s="138">
        <f>H18/$B$18</f>
        <v>1.0003166443103986</v>
      </c>
      <c r="I70" s="138"/>
      <c r="J70" s="138">
        <f>J18/$B$18</f>
        <v>1.0001030547894314</v>
      </c>
      <c r="K70" s="138"/>
      <c r="L70" s="138">
        <f>L18/$B$18</f>
        <v>0.99968440934246272</v>
      </c>
      <c r="M70" s="138"/>
      <c r="N70" s="138">
        <f>N18/$B$18</f>
        <v>0.9990219762948811</v>
      </c>
      <c r="O70" s="138"/>
      <c r="P70" s="138">
        <f>P18/$B$18</f>
        <v>0.99806502475260039</v>
      </c>
      <c r="Q70" s="138"/>
      <c r="R70" s="138">
        <f>R18/$B$18</f>
        <v>0.99674522159047463</v>
      </c>
      <c r="S70" s="138"/>
      <c r="T70" s="138">
        <f>T18/$B$18</f>
        <v>0.99496776636327244</v>
      </c>
      <c r="U70" s="138"/>
      <c r="V70" s="138">
        <f>V18/$B$18</f>
        <v>0.99259652032782764</v>
      </c>
      <c r="W70" s="138"/>
      <c r="X70" s="138">
        <f>X18/$B$18</f>
        <v>0.98942815961255937</v>
      </c>
      <c r="Y70" s="138"/>
      <c r="Z70" s="138">
        <f>Z18/$B$18</f>
        <v>0.98514516905278526</v>
      </c>
      <c r="AA70" s="138"/>
      <c r="AB70" s="138">
        <f>AB18/$B$18</f>
        <v>0.97922624856005325</v>
      </c>
      <c r="AC70" s="138"/>
      <c r="AD70" s="138">
        <f>AD18/$B$18</f>
        <v>0.97076887191237204</v>
      </c>
      <c r="AE70" s="138"/>
      <c r="AF70" s="138">
        <f>AF18/$B$18</f>
        <v>0.95813333851147353</v>
      </c>
      <c r="AG70" s="138"/>
      <c r="AH70" s="138">
        <f>AH18/$B$18</f>
        <v>0.93824696653291428</v>
      </c>
      <c r="AI70" s="138"/>
      <c r="AJ70" s="138">
        <f>AJ18/$B$18</f>
        <v>0.90512461577723746</v>
      </c>
      <c r="AK70" s="138"/>
      <c r="AL70" s="138">
        <f>AL18/$B$18</f>
        <v>0.84471074238007271</v>
      </c>
      <c r="AM70" s="138"/>
      <c r="AN70" s="138">
        <f>AN18/$B$18</f>
        <v>0.70630467881989467</v>
      </c>
      <c r="AO70" s="138"/>
      <c r="AP70" s="138">
        <f>AP18/$B$18</f>
        <v>0.65364344834496824</v>
      </c>
      <c r="AQ70" s="138"/>
      <c r="AR70" s="138">
        <f>AR18/$B$18</f>
        <v>0.5819142153836353</v>
      </c>
      <c r="AS70" s="138"/>
      <c r="AT70" s="138">
        <f>AT18/$B$18</f>
        <v>0.47792263263293466</v>
      </c>
      <c r="AU70" s="138"/>
      <c r="AV70" s="138">
        <f>AV18/$B$18</f>
        <v>0</v>
      </c>
    </row>
    <row r="71" spans="1:48 16384:16384" x14ac:dyDescent="0.2">
      <c r="A71" t="s">
        <v>179</v>
      </c>
      <c r="B71" s="138">
        <f>C18/$C$18</f>
        <v>1</v>
      </c>
      <c r="D71" s="138">
        <f>E18/$C$18</f>
        <v>0.92949396956351205</v>
      </c>
      <c r="E71" s="138"/>
      <c r="F71" s="138">
        <f>G18/$C$18</f>
        <v>0.85900991899524326</v>
      </c>
      <c r="G71" s="138"/>
      <c r="H71" s="138">
        <f>I18/$C$18</f>
        <v>0.78856844546498583</v>
      </c>
      <c r="I71" s="138"/>
      <c r="J71" s="138">
        <f>K18/$C$18</f>
        <v>0.71820288740196914</v>
      </c>
      <c r="K71" s="138"/>
      <c r="L71" s="138">
        <f>M18/$C$18</f>
        <v>0.64796575932247957</v>
      </c>
      <c r="M71" s="138"/>
      <c r="N71" s="138">
        <f>O18/$C$18</f>
        <v>0.57794189876780366</v>
      </c>
      <c r="O71" s="138"/>
      <c r="P71" s="138">
        <f>Q18/$C$18</f>
        <v>0.5082631120937573</v>
      </c>
      <c r="Q71" s="138"/>
      <c r="R71" s="138">
        <f>S18/$C$18</f>
        <v>0.43913647606514788</v>
      </c>
      <c r="S71" s="138"/>
      <c r="T71" s="138">
        <f>U18/$C$18</f>
        <v>0.37088322310621269</v>
      </c>
      <c r="U71" s="138"/>
      <c r="V71" s="138">
        <f>W18/$C$18</f>
        <v>0.3040005677872511</v>
      </c>
      <c r="W71" s="138"/>
      <c r="X71" s="138">
        <f>Y18/$C$18</f>
        <v>0.23925625848233281</v>
      </c>
      <c r="Y71" s="138"/>
      <c r="Z71" s="138">
        <f>AA18/$C$18</f>
        <v>0.17783119546164769</v>
      </c>
      <c r="AA71" s="138"/>
      <c r="AB71" s="138">
        <f>AC18/$C$18</f>
        <v>0.12152197072789606</v>
      </c>
      <c r="AC71" s="138"/>
      <c r="AD71" s="138">
        <f>AE18/$C$18</f>
        <v>7.2960887290038273E-2</v>
      </c>
      <c r="AE71" s="138"/>
      <c r="AF71" s="138">
        <f>AG18/$C$18</f>
        <v>3.5572158336383483E-2</v>
      </c>
      <c r="AG71" s="138"/>
      <c r="AH71" s="138">
        <f>AI18/$C$18</f>
        <v>1.2331095149756737E-2</v>
      </c>
      <c r="AI71" s="138"/>
      <c r="AJ71" s="138">
        <f>AK18/$C$18</f>
        <v>2.4787074180312135E-3</v>
      </c>
      <c r="AK71" s="138"/>
      <c r="AL71" s="138">
        <f>AM18/$C$18</f>
        <v>2.0898827926158544E-4</v>
      </c>
      <c r="AM71" s="138"/>
      <c r="AN71" s="138">
        <f>AO18/$C$18</f>
        <v>3.2402482887181947E-6</v>
      </c>
      <c r="AO71" s="138"/>
      <c r="AP71" s="138">
        <f>AQ18/$C$18</f>
        <v>9.3493555038046744E-7</v>
      </c>
      <c r="AQ71" s="138"/>
      <c r="AR71" s="138">
        <f>AS18/$C$18</f>
        <v>2.0844789740905112E-7</v>
      </c>
      <c r="AS71" s="138"/>
      <c r="AT71" s="138">
        <f>AU18/$C$18</f>
        <v>3.130574667268506E-8</v>
      </c>
      <c r="AU71" s="138"/>
      <c r="AV71" s="138">
        <f>AW18/$C$18</f>
        <v>0</v>
      </c>
      <c r="XFD71" s="138"/>
    </row>
    <row r="72" spans="1:48 16384:16384" x14ac:dyDescent="0.2">
      <c r="A72" t="s">
        <v>180</v>
      </c>
      <c r="B72" s="138">
        <f>C19/$C$19</f>
        <v>1</v>
      </c>
      <c r="D72" s="138">
        <f>E19/$C$19</f>
        <v>1.0264769372586875</v>
      </c>
      <c r="E72" s="138"/>
      <c r="F72" s="138">
        <f>G19/$C$19</f>
        <v>1.0568064653710005</v>
      </c>
      <c r="G72" s="138"/>
      <c r="H72" s="138">
        <f>I19/$C$19</f>
        <v>1.0914795651196312</v>
      </c>
      <c r="I72" s="138"/>
      <c r="J72" s="138">
        <f>K19/$C$19</f>
        <v>1.131037591066566</v>
      </c>
      <c r="K72" s="138"/>
      <c r="L72" s="138">
        <f>M19/$C$19</f>
        <v>1.1760601733143774</v>
      </c>
      <c r="M72" s="138"/>
      <c r="N72" s="138">
        <f>O19/$C$19</f>
        <v>1.2271391639856921</v>
      </c>
      <c r="O72" s="138"/>
      <c r="P72" s="138">
        <f>Q19/$C$19</f>
        <v>1.284821727232061</v>
      </c>
      <c r="Q72" s="138"/>
      <c r="R72" s="138">
        <f>S19/$C$19</f>
        <v>1.3495038033750826</v>
      </c>
      <c r="S72" s="138"/>
      <c r="T72" s="138">
        <f>U19/$C$19</f>
        <v>1.4212310872085439</v>
      </c>
      <c r="U72" s="138"/>
      <c r="V72" s="138">
        <f>W19/$C$19</f>
        <v>1.499329837048472</v>
      </c>
      <c r="W72" s="138"/>
      <c r="X72" s="138">
        <f>Y19/$C$19</f>
        <v>1.5817199944634903</v>
      </c>
      <c r="Y72" s="138"/>
      <c r="Z72" s="138">
        <f>AA19/$C$19</f>
        <v>1.6636276935131411</v>
      </c>
      <c r="AA72" s="138"/>
      <c r="AB72" s="138">
        <f>AC19/$C$19</f>
        <v>1.7351778159177349</v>
      </c>
      <c r="AC72" s="138"/>
      <c r="AD72" s="138">
        <f>AE19/$C$19</f>
        <v>1.7771367129244542</v>
      </c>
      <c r="AE72" s="138"/>
      <c r="AF72" s="138">
        <f>AG19/$C$19</f>
        <v>1.7550733708623547</v>
      </c>
      <c r="AG72" s="138"/>
      <c r="AH72" s="138">
        <f>AI19/$C$19</f>
        <v>1.6194447504290017</v>
      </c>
      <c r="AI72" s="138"/>
      <c r="AJ72" s="138">
        <f>AK19/$C$19</f>
        <v>1.3344883347501086</v>
      </c>
      <c r="AK72" s="138"/>
      <c r="AL72" s="138">
        <f>AM19/$C$19</f>
        <v>0.92772242073267197</v>
      </c>
      <c r="AM72" s="138"/>
      <c r="AN72" s="138">
        <f>AO19/$C$19</f>
        <v>0.46863784952425835</v>
      </c>
      <c r="AO72" s="138"/>
      <c r="AP72" s="138">
        <f>AQ19/$C$19</f>
        <v>0.37507350922380006</v>
      </c>
      <c r="AQ72" s="138"/>
      <c r="AR72" s="138">
        <f>AS19/$C$19</f>
        <v>0.28136880888925303</v>
      </c>
      <c r="AS72" s="138"/>
      <c r="AT72" s="138">
        <f>AU19/$C$19</f>
        <v>0.1875984601092647</v>
      </c>
      <c r="AU72" s="138"/>
      <c r="AV72" s="138">
        <f>AW19/$C$19</f>
        <v>0</v>
      </c>
      <c r="XFD72" s="138"/>
    </row>
    <row r="73" spans="1:48 16384:16384" x14ac:dyDescent="0.2">
      <c r="A73" t="s">
        <v>184</v>
      </c>
      <c r="B73" s="193">
        <f t="array" ref="B73">SUM(B9:C9*B22:C22)/B32</f>
        <v>0.47641153352875065</v>
      </c>
      <c r="D73" s="193">
        <f t="array" ref="D73">SUM(D9:E9*D22:E22)/D32</f>
        <v>0.47641153390608049</v>
      </c>
      <c r="E73" s="138"/>
      <c r="F73" s="193">
        <f t="array" ref="F73">SUM(F9:G9*F22:G22)/F32</f>
        <v>0.47641153396413682</v>
      </c>
      <c r="G73" s="138"/>
      <c r="H73" s="193">
        <f t="array" ref="H73">SUM(H9:I9*H22:I22)/H32</f>
        <v>0.47641153412215931</v>
      </c>
      <c r="I73" s="138"/>
      <c r="J73" s="193">
        <f t="array" ref="J73">SUM(J9:K9*J22:K22)/J32</f>
        <v>0.47641153603701641</v>
      </c>
      <c r="K73" s="138"/>
      <c r="L73" s="193">
        <f t="array" ref="L73">SUM(L9:M9*L22:M22)/L32</f>
        <v>0.47641153442737422</v>
      </c>
      <c r="M73" s="138"/>
      <c r="N73" s="193">
        <f t="array" ref="N73">SUM(N9:O9*N22:O22)/N32</f>
        <v>0.47641153360351363</v>
      </c>
      <c r="O73" s="138"/>
      <c r="P73" s="193">
        <f t="array" ref="P73">SUM(P9:Q9*P22:Q22)/P32</f>
        <v>0.47641153638673617</v>
      </c>
      <c r="Q73" s="138"/>
      <c r="R73" s="193">
        <f t="array" ref="R73">SUM(R9:S9*R22:S22)/R32</f>
        <v>0.47641153799245839</v>
      </c>
      <c r="S73" s="138"/>
      <c r="T73" s="193">
        <f t="array" ref="T73">SUM(T9:U9*T22:U22)/T32</f>
        <v>0.47641153785293638</v>
      </c>
      <c r="U73" s="138"/>
      <c r="V73" s="193">
        <f t="array" ref="V73">SUM(V9:W9*V22:W22)/V32</f>
        <v>0.47641153740406661</v>
      </c>
      <c r="W73" s="138"/>
      <c r="X73" s="193">
        <f t="array" ref="X73">SUM(X9:Y9*X22:Y22)/X32</f>
        <v>0.47641153377083617</v>
      </c>
      <c r="Y73" s="138"/>
      <c r="Z73" s="193">
        <f t="array" ref="Z73">SUM(Z9:AA9*Z22:AA22)/Z32</f>
        <v>0.47641153367376921</v>
      </c>
      <c r="AA73" s="138"/>
      <c r="AB73" s="193">
        <f t="array" ref="AB73">SUM(AB9:AC9*AB22:AC22)/AB32</f>
        <v>0.47641153364105188</v>
      </c>
      <c r="AC73" s="138"/>
      <c r="AD73" s="193">
        <f t="array" ref="AD73">SUM(AD9:AE9*AD22:AE22)/AD32</f>
        <v>0.47641153331943709</v>
      </c>
      <c r="AE73" s="138"/>
      <c r="AF73" s="193">
        <f t="array" ref="AF73">SUM(AF9:AG9*AF22:AG22)/AF32</f>
        <v>0.47641153391042507</v>
      </c>
      <c r="AG73" s="138"/>
      <c r="AH73" s="193">
        <f t="array" ref="AH73">SUM(AH9:AI9*AH22:AI22)/AH32</f>
        <v>0.47641153354650695</v>
      </c>
      <c r="AI73" s="138"/>
      <c r="AJ73" s="193">
        <f t="array" ref="AJ73">SUM(AJ9:AK9*AJ22:AK22)/AJ32</f>
        <v>0.47641153352749332</v>
      </c>
      <c r="AK73" s="138"/>
      <c r="AL73" s="193">
        <f t="array" ref="AL73">SUM(AL9:AM9*AL22:AM22)/AL32</f>
        <v>0.47641153352883014</v>
      </c>
      <c r="AM73" s="138"/>
      <c r="AN73" s="193">
        <f t="array" ref="AN73">SUM(AN9:AO9*AN22:AO22)/AN32</f>
        <v>0.47641153352875215</v>
      </c>
      <c r="AO73" s="138"/>
      <c r="AP73" s="193">
        <f t="array" ref="AP73">SUM(AP9:AQ9*AP22:AQ22)/AP32</f>
        <v>0.4764115335287471</v>
      </c>
      <c r="AQ73" s="138"/>
      <c r="AR73" s="193">
        <f t="array" ref="AR73">SUM(AR9:AS9*AR22:AS22)/AR32</f>
        <v>0.47641153352875071</v>
      </c>
      <c r="AS73" s="138"/>
      <c r="AT73" s="193">
        <f t="array" ref="AT73">SUM(AT9:AU9*AT22:AU22)/AT32</f>
        <v>0.47641153352875154</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0.22604620456442487</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0.22604620456442487</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0.22038438832350091</v>
      </c>
      <c r="E75" s="138"/>
      <c r="F75" s="193">
        <f t="array" ref="F75">SUM(F11:G11*F24:G24)/F32</f>
        <v>0.22038438832132923</v>
      </c>
      <c r="G75" s="138"/>
      <c r="H75" s="193">
        <f t="array" ref="H75">SUM(H11:I11*H24:I24)/H32</f>
        <v>0.22038438831622947</v>
      </c>
      <c r="I75" s="138"/>
      <c r="J75" s="193">
        <f t="array" ref="J75">SUM(J11:K11*J24:K24)/J32</f>
        <v>0.22038438836112642</v>
      </c>
      <c r="K75" s="138"/>
      <c r="L75" s="193">
        <f t="array" ref="L75">SUM(L11:M11*L24:M24)/L32</f>
        <v>0.22038438830497897</v>
      </c>
      <c r="M75" s="138"/>
      <c r="N75" s="193">
        <f t="array" ref="N75">SUM(N11:O11*N24:O24)/N32</f>
        <v>0.22038438833933774</v>
      </c>
      <c r="O75" s="138"/>
      <c r="P75" s="193">
        <f t="array" ref="P75">SUM(P11:Q11*P24:Q24)/P32</f>
        <v>0.22038438831721785</v>
      </c>
      <c r="Q75" s="138"/>
      <c r="R75" s="193">
        <f t="array" ref="R75">SUM(R11:S11*R24:S24)/R32</f>
        <v>0.22038438830956822</v>
      </c>
      <c r="S75" s="138"/>
      <c r="T75" s="193">
        <f t="array" ref="T75">SUM(T11:U11*T24:U24)/T32</f>
        <v>0.22038438831274565</v>
      </c>
      <c r="U75" s="138"/>
      <c r="V75" s="193">
        <f t="array" ref="V75">SUM(V11:W11*V24:W24)/V32</f>
        <v>0.22038438831780266</v>
      </c>
      <c r="W75" s="138"/>
      <c r="X75" s="193">
        <f t="array" ref="X75">SUM(X11:Y11*X24:Y24)/X32</f>
        <v>0.22038438833525911</v>
      </c>
      <c r="Y75" s="138"/>
      <c r="Z75" s="193">
        <f t="array" ref="Z75">SUM(Z11:AA11*Z24:AA24)/Z32</f>
        <v>0.22038438833072158</v>
      </c>
      <c r="AA75" s="138"/>
      <c r="AB75" s="193">
        <f t="array" ref="AB75">SUM(AB11:AC11*AB24:AC24)/AB32</f>
        <v>0.22038438833015264</v>
      </c>
      <c r="AC75" s="138"/>
      <c r="AD75" s="193">
        <f t="array" ref="AD75">SUM(AD11:AE11*AD24:AE24)/AD32</f>
        <v>0.22038438833525964</v>
      </c>
      <c r="AE75" s="138"/>
      <c r="AF75" s="193">
        <f t="array" ref="AF75">SUM(AF11:AG11*AF24:AG24)/AF32</f>
        <v>0.22038438833621921</v>
      </c>
      <c r="AG75" s="138"/>
      <c r="AH75" s="193">
        <f t="array" ref="AH75">SUM(AH11:AI11*AH24:AI24)/AH32</f>
        <v>0.22038438833211677</v>
      </c>
      <c r="AI75" s="138"/>
      <c r="AJ75" s="193">
        <f t="array" ref="AJ75">SUM(AJ11:AK11*AJ24:AK24)/AJ32</f>
        <v>0.22038438833192706</v>
      </c>
      <c r="AK75" s="138"/>
      <c r="AL75" s="193">
        <f t="array" ref="AL75">SUM(AL11:AM11*AL24:AM24)/AL32</f>
        <v>0.22038438833194521</v>
      </c>
      <c r="AM75" s="138"/>
      <c r="AN75" s="193">
        <f t="array" ref="AN75">SUM(AN11:AO11*AN24:AO24)/AN32</f>
        <v>0.22038438833194127</v>
      </c>
      <c r="AO75" s="138"/>
      <c r="AP75" s="193">
        <f t="array" ref="AP75">SUM(AP11:AQ11*AP24:AQ24)/AP32</f>
        <v>0.22038438833193799</v>
      </c>
      <c r="AQ75" s="138"/>
      <c r="AR75" s="193">
        <f t="array" ref="AR75">SUM(AR11:AS11*AR24:AS24)/AR32</f>
        <v>0.22038438833194071</v>
      </c>
      <c r="AS75" s="138"/>
      <c r="AT75" s="193">
        <f t="array" ref="AT75">SUM(AT11:AU11*AT24:AU24)/AT32</f>
        <v>0.22038438833194085</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0.22302098681617039</v>
      </c>
      <c r="E76" s="138"/>
      <c r="F76" s="193">
        <f t="array" ref="F76">SUM(F12:G12*F25:G25)/F32</f>
        <v>0.22308531832690109</v>
      </c>
      <c r="G76" s="138"/>
      <c r="H76" s="193">
        <f t="array" ref="H76">SUM(H12:I12*H25:I25)/H32</f>
        <v>0.22321971152787023</v>
      </c>
      <c r="I76" s="138"/>
      <c r="J76" s="193">
        <f t="array" ref="J76">SUM(J12:K12*J25:K25)/J32</f>
        <v>0.22343306914298389</v>
      </c>
      <c r="K76" s="138"/>
      <c r="L76" s="193">
        <f t="array" ref="L76">SUM(L12:M12*L25:M25)/L32</f>
        <v>0.22373507865545308</v>
      </c>
      <c r="M76" s="138"/>
      <c r="N76" s="193">
        <f t="array" ref="N76">SUM(N12:O12*N25:O25)/N32</f>
        <v>0.22413584146349669</v>
      </c>
      <c r="O76" s="138"/>
      <c r="P76" s="193">
        <f t="array" ref="P76">SUM(P12:Q12*P25:Q25)/P32</f>
        <v>0.22464500461219741</v>
      </c>
      <c r="Q76" s="138"/>
      <c r="R76" s="193">
        <f t="array" ref="R76">SUM(R12:S12*R25:S25)/R32</f>
        <v>0.22527007833771887</v>
      </c>
      <c r="S76" s="138"/>
      <c r="T76" s="193">
        <f t="array" ref="T76">SUM(T12:U12*T25:U25)/T32</f>
        <v>0.22601312276564203</v>
      </c>
      <c r="U76" s="138"/>
      <c r="V76" s="193">
        <f t="array" ref="V76">SUM(V12:W12*V25:W25)/V32</f>
        <v>0.226864434328446</v>
      </c>
      <c r="W76" s="138"/>
      <c r="X76" s="193">
        <f t="array" ref="X76">SUM(X12:Y12*X25:Y25)/X32</f>
        <v>0.22779044685381794</v>
      </c>
      <c r="Y76" s="138"/>
      <c r="Z76" s="193">
        <f t="array" ref="Z76">SUM(Z12:AA12*Z25:AA25)/Z32</f>
        <v>0.22871039445318739</v>
      </c>
      <c r="AA76" s="138"/>
      <c r="AB76" s="193">
        <f t="array" ref="AB76">SUM(AB12:AC12*AB25:AC25)/AB32</f>
        <v>0.2294515606968909</v>
      </c>
      <c r="AC76" s="138"/>
      <c r="AD76" s="193">
        <f t="array" ref="AD76">SUM(AD12:AE12*AD25:AE25)/AD32</f>
        <v>0.22966782096059757</v>
      </c>
      <c r="AE76" s="138"/>
      <c r="AF76" s="193">
        <f t="array" ref="AF76">SUM(AF12:AG12*AF25:AG25)/AF32</f>
        <v>0.22872243712384405</v>
      </c>
      <c r="AG76" s="138"/>
      <c r="AH76" s="193">
        <f t="array" ref="AH76">SUM(AH12:AI12*AH25:AI25)/AH32</f>
        <v>0.22566618610206224</v>
      </c>
      <c r="AI76" s="138"/>
      <c r="AJ76" s="193">
        <f t="array" ref="AJ76">SUM(AJ12:AK12*AJ25:AK25)/AJ32</f>
        <v>0.21971817389336451</v>
      </c>
      <c r="AK76" s="138"/>
      <c r="AL76" s="193">
        <f t="array" ref="AL76">SUM(AL12:AM12*AL25:AM25)/AL32</f>
        <v>0.21103605918982243</v>
      </c>
      <c r="AM76" s="138"/>
      <c r="AN76" s="193">
        <f t="array" ref="AN76">SUM(AN12:AO12*AN25:AO25)/AN32</f>
        <v>0.19978544857057784</v>
      </c>
      <c r="AO76" s="138"/>
      <c r="AP76" s="193">
        <f t="array" ref="AP76">SUM(AP12:AQ12*AP25:AQ25)/AP32</f>
        <v>0.19703118154827159</v>
      </c>
      <c r="AQ76" s="138"/>
      <c r="AR76" s="193">
        <f t="array" ref="AR76">SUM(AR12:AS12*AR25:AS25)/AR32</f>
        <v>0.19395972927863636</v>
      </c>
      <c r="AS76" s="138"/>
      <c r="AT76" s="193">
        <f t="array" ref="AT76">SUM(AT12:AU12*AT25:AU25)/AT32</f>
        <v>0.19041292490819434</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0.14586311361017656</v>
      </c>
      <c r="E77" s="138"/>
      <c r="F77" s="193">
        <f t="array" ref="F77">SUM(F4:G4*F19:G19)/F32</f>
        <v>0.14592744517679179</v>
      </c>
      <c r="G77" s="138"/>
      <c r="H77" s="193">
        <f t="array" ref="H77">SUM(H4:I4*H19:I19)/H32</f>
        <v>0.14606183853068377</v>
      </c>
      <c r="I77" s="138"/>
      <c r="J77" s="193">
        <f t="array" ref="J77">SUM(J4:K4*J19:K19)/J32</f>
        <v>0.14627519810555137</v>
      </c>
      <c r="K77" s="138"/>
      <c r="L77" s="193">
        <f t="array" ref="L77">SUM(L4:M4*L19:M19)/L32</f>
        <v>0.14657720595223092</v>
      </c>
      <c r="M77" s="138"/>
      <c r="N77" s="193">
        <f t="array" ref="N77">SUM(N4:O4*N19:O19)/N32</f>
        <v>0.14697796797077273</v>
      </c>
      <c r="O77" s="138"/>
      <c r="P77" s="193">
        <f t="array" ref="P77">SUM(P4:Q4*P19:Q19)/P32</f>
        <v>0.14748713388057616</v>
      </c>
      <c r="Q77" s="138"/>
      <c r="R77" s="193">
        <f t="array" ref="R77">SUM(R4:S4*R19:S19)/R32</f>
        <v>0.1481122092041702</v>
      </c>
      <c r="S77" s="138"/>
      <c r="T77" s="193">
        <f t="array" ref="T77">SUM(T4:U4*T19:U19)/T32</f>
        <v>0.14885525349574869</v>
      </c>
      <c r="U77" s="138"/>
      <c r="V77" s="193">
        <f t="array" ref="V77">SUM(V4:W4*V19:W19)/V32</f>
        <v>0.14970656461473991</v>
      </c>
      <c r="W77" s="138"/>
      <c r="X77" s="193">
        <f t="array" ref="X77">SUM(X4:Y4*X19:Y19)/X32</f>
        <v>0.1506325735243379</v>
      </c>
      <c r="Y77" s="138"/>
      <c r="Z77" s="193">
        <f t="array" ref="Z77">SUM(Z4:AA4*Z19:AA19)/Z32</f>
        <v>0.15155252102210293</v>
      </c>
      <c r="AA77" s="138"/>
      <c r="AB77" s="193">
        <f t="array" ref="AB77">SUM(AB4:AC4*AB19:AC19)/AB32</f>
        <v>0.15229368723251999</v>
      </c>
      <c r="AC77" s="138"/>
      <c r="AD77" s="193">
        <f t="array" ref="AD77">SUM(AD4:AE4*AD19:AE19)/AD32</f>
        <v>0.15250994717971894</v>
      </c>
      <c r="AE77" s="138"/>
      <c r="AF77" s="193">
        <f t="array" ref="AF77">SUM(AF4:AG4*AF19:AG19)/AF32</f>
        <v>0.15156456393491313</v>
      </c>
      <c r="AG77" s="138"/>
      <c r="AH77" s="193">
        <f t="array" ref="AH77">SUM(AH4:AI4*AH19:AI19)/AH32</f>
        <v>0.14850831254511077</v>
      </c>
      <c r="AI77" s="138"/>
      <c r="AJ77" s="193">
        <f t="array" ref="AJ77">SUM(AJ4:AK4*AJ19:AK19)/AJ32</f>
        <v>0.14256030031720973</v>
      </c>
      <c r="AK77" s="138"/>
      <c r="AL77" s="193">
        <f t="array" ref="AL77">SUM(AL4:AM4*AL19:AM19)/AL32</f>
        <v>0.13387818561502249</v>
      </c>
      <c r="AM77" s="138"/>
      <c r="AN77" s="193">
        <f t="array" ref="AN77">SUM(AN4:AO4*AN19:AO19)/AN32</f>
        <v>0.1226275749956961</v>
      </c>
      <c r="AO77" s="138"/>
      <c r="AP77" s="193">
        <f t="array" ref="AP77">SUM(AP4:AQ4*AP19:AQ19)/AP32</f>
        <v>0.1198733079733814</v>
      </c>
      <c r="AQ77" s="138"/>
      <c r="AR77" s="193">
        <f t="array" ref="AR77">SUM(AR4:AS4*AR19:AS19)/AR32</f>
        <v>0.11680185570375272</v>
      </c>
      <c r="AS77" s="138"/>
      <c r="AT77" s="193">
        <f t="array" ref="AT77">SUM(AT4:AU4*AT19:AU19)/AT32</f>
        <v>0.11325505133331139</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0.34622073266923797</v>
      </c>
      <c r="E78" s="138"/>
      <c r="F78" s="193">
        <f t="array" ref="F78">SUM(F13:G13*F26:G26)/F32</f>
        <v>0.34550495305659146</v>
      </c>
      <c r="G78" s="138"/>
      <c r="H78" s="193">
        <f t="array" ref="H78">SUM(H13:I13*H26:I26)/H32</f>
        <v>0.34473347160792089</v>
      </c>
      <c r="I78" s="138"/>
      <c r="J78" s="193">
        <f t="array" ref="J78">SUM(J13:K13*J26:K26)/J32</f>
        <v>0.34389790753947125</v>
      </c>
      <c r="K78" s="138"/>
      <c r="L78" s="193">
        <f t="array" ref="L78">SUM(L13:M13*L26:M26)/L32</f>
        <v>0.34298765127101516</v>
      </c>
      <c r="M78" s="138"/>
      <c r="N78" s="193">
        <f t="array" ref="N78">SUM(N13:O13*N26:O26)/N32</f>
        <v>0.34198886908705772</v>
      </c>
      <c r="O78" s="138"/>
      <c r="P78" s="193">
        <f t="array" ref="P78">SUM(P13:Q13*P26:Q26)/P32</f>
        <v>0.34088295597285023</v>
      </c>
      <c r="Q78" s="138"/>
      <c r="R78" s="193">
        <f t="array" ref="R78">SUM(R13:S13*R26:S26)/R32</f>
        <v>0.33964397897807919</v>
      </c>
      <c r="S78" s="138"/>
      <c r="T78" s="193">
        <f t="array" ref="T78">SUM(T13:U13*T26:U26)/T32</f>
        <v>0.33823441350384098</v>
      </c>
      <c r="U78" s="138"/>
      <c r="V78" s="193">
        <f t="array" ref="V78">SUM(V13:W13*V26:W26)/V32</f>
        <v>0.33659775084727706</v>
      </c>
      <c r="W78" s="138"/>
      <c r="X78" s="193">
        <f t="array" ref="X78">SUM(X13:Y13*X26:Y26)/X32</f>
        <v>0.33464526050607163</v>
      </c>
      <c r="Y78" s="138"/>
      <c r="Z78" s="193">
        <f t="array" ref="Z78">SUM(Z13:AA13*Z26:AA26)/Z32</f>
        <v>0.33223142063604089</v>
      </c>
      <c r="AA78" s="138"/>
      <c r="AB78" s="193">
        <f t="array" ref="AB78">SUM(AB13:AC13*AB26:AC26)/AB32</f>
        <v>0.329106879543341</v>
      </c>
      <c r="AC78" s="138"/>
      <c r="AD78" s="193">
        <f t="array" ref="AD78">SUM(AD13:AE13*AD26:AE26)/AD32</f>
        <v>0.32482743681843235</v>
      </c>
      <c r="AE78" s="138"/>
      <c r="AF78" s="193">
        <f t="array" ref="AF78">SUM(AF13:AG13*AF26:AG26)/AF32</f>
        <v>0.31858665760476346</v>
      </c>
      <c r="AG78" s="138"/>
      <c r="AH78" s="193">
        <f t="array" ref="AH78">SUM(AH13:AI13*AH26:AI26)/AH32</f>
        <v>0.30896043582847305</v>
      </c>
      <c r="AI78" s="138"/>
      <c r="AJ78" s="193">
        <f t="array" ref="AJ78">SUM(AJ13:AK13*AJ26:AK26)/AJ32</f>
        <v>0.29356596912255017</v>
      </c>
      <c r="AK78" s="138"/>
      <c r="AL78" s="193">
        <f t="array" ref="AL78">SUM(AL13:AM13*AL26:AM26)/AL32</f>
        <v>0.26768101946385647</v>
      </c>
      <c r="AM78" s="138"/>
      <c r="AN78" s="193">
        <f t="array" ref="AN78">SUM(AN13:AO13*AN26:AO26)/AN32</f>
        <v>0.21528792528853521</v>
      </c>
      <c r="AO78" s="138"/>
      <c r="AP78" s="193">
        <f t="array" ref="AP78">SUM(AP13:AQ13*AP26:AQ26)/AP32</f>
        <v>0.19689218970523356</v>
      </c>
      <c r="AQ78" s="138"/>
      <c r="AR78" s="193">
        <f t="array" ref="AR78">SUM(AR13:AS13*AR26:AS26)/AR32</f>
        <v>0.1727621810476602</v>
      </c>
      <c r="AS78" s="138"/>
      <c r="AT78" s="193">
        <f t="array" ref="AT78">SUM(AT13:AU13*AT26:AU26)/AT32</f>
        <v>0.13928123739584214</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0.45113562394265871</v>
      </c>
      <c r="F79" s="193">
        <f t="array" ref="F79">SUM(F15:G15*F27:G27)/F32</f>
        <v>0.44761002465101779</v>
      </c>
      <c r="H79" s="193">
        <f t="array" ref="H79">SUM(H15:I15*H27:I27)/H32</f>
        <v>0.44402351997370249</v>
      </c>
      <c r="J79" s="193">
        <f t="array" ref="J79">SUM(J15:K15*J27:K27)/J32</f>
        <v>0.44036498148927467</v>
      </c>
      <c r="L79" s="193">
        <f t="array" ref="L79">SUM(L15:M15*L27:M27)/L32</f>
        <v>0.43662092550853654</v>
      </c>
      <c r="N79" s="193">
        <f t="array" ref="N79">SUM(N15:O15*N27:O27)/N32</f>
        <v>0.43277479878770225</v>
      </c>
      <c r="P79" s="193">
        <f t="array" ref="P79">SUM(P15:Q15*P27:Q27)/P32</f>
        <v>0.42880555006549209</v>
      </c>
      <c r="R79" s="193">
        <f t="array" ref="R79">SUM(R15:S15*R27:S27)/R32</f>
        <v>0.42468564052463048</v>
      </c>
      <c r="T79" s="193">
        <f t="array" ref="T79">SUM(T15:U15*T27:U27)/T32</f>
        <v>0.42037737482534115</v>
      </c>
      <c r="V79" s="193">
        <f t="array" ref="V79">SUM(V15:W15*V27:W27)/V32</f>
        <v>0.41582650703650736</v>
      </c>
      <c r="X79" s="193">
        <f t="array" ref="X79">SUM(X15:Y15*X27:Y27)/X32</f>
        <v>0.41095034093225774</v>
      </c>
      <c r="Z79" s="193">
        <f t="array" ref="Z79">SUM(Z15:AA15*Z27:AA27)/Z32</f>
        <v>0.40561463671786147</v>
      </c>
      <c r="AB79" s="193">
        <f t="array" ref="AB79">SUM(AB15:AC15*AB27:AC27)/AB32</f>
        <v>0.39958706473059175</v>
      </c>
      <c r="AD79" s="193">
        <f t="array" ref="AD79">SUM(AD15:AE15*AD27:AE27)/AD32</f>
        <v>0.39244082061420499</v>
      </c>
      <c r="AF79" s="193">
        <f t="array" ref="AF79">SUM(AF15:AG15*AF27:AG27)/AF32</f>
        <v>0.38335949421847132</v>
      </c>
      <c r="AH79" s="193">
        <f t="array" ref="AH79">SUM(AH15:AI15*AH27:AI27)/AH32</f>
        <v>0.37078809881218411</v>
      </c>
      <c r="AJ79" s="193">
        <f t="array" ref="AJ79">SUM(AJ15:AK15*AJ27:AK27)/AJ32</f>
        <v>0.35187993686159597</v>
      </c>
      <c r="AL79" s="193">
        <f t="array" ref="AL79">SUM(AL15:AM15*AL27:AM27)/AL32</f>
        <v>0.32075069218840213</v>
      </c>
      <c r="AN79" s="193">
        <f t="array" ref="AN79">SUM(AN15:AO15*AN27:AO27)/AN32</f>
        <v>0.25796135366671591</v>
      </c>
      <c r="AP79" s="193">
        <f t="array" ref="AP79">SUM(AP15:AQ15*AP27:AQ27)/AP32</f>
        <v>0.23591917611378105</v>
      </c>
      <c r="AR79" s="193">
        <f t="array" ref="AR79">SUM(AR15:AS15*AR27:AS27)/AR32</f>
        <v>0.20700620080247245</v>
      </c>
      <c r="AT79" s="193">
        <f t="array" ref="AT79">SUM(AT15:AU15*AT27:AU27)/AT32</f>
        <v>0.16688883055320172</v>
      </c>
      <c r="AV79" s="193" t="e">
        <f t="array" ref="AV79">SUM(AV15:AW15*AV27:AW27)/AV32</f>
        <v>#DIV/0!</v>
      </c>
      <c r="XFD79" s="193"/>
    </row>
    <row r="80" spans="1:48 16384:16384" x14ac:dyDescent="0.2">
      <c r="A80" t="s">
        <v>169</v>
      </c>
      <c r="B80" s="236">
        <f>B55</f>
        <v>0.19850271905982084</v>
      </c>
      <c r="D80" s="236">
        <f>D55</f>
        <v>0.20264364238619795</v>
      </c>
      <c r="F80" s="236">
        <f>F55</f>
        <v>0.20688502097998596</v>
      </c>
      <c r="H80" s="236">
        <f>H55</f>
        <v>0.21124300639686627</v>
      </c>
      <c r="J80" s="236">
        <f>J55</f>
        <v>0.21573712034535547</v>
      </c>
      <c r="L80" s="236">
        <f>L55</f>
        <v>0.22039141947807464</v>
      </c>
      <c r="N80" s="236">
        <f>N55</f>
        <v>0.22523633417758251</v>
      </c>
      <c r="P80" s="236">
        <f>P55</f>
        <v>0.23031149661933839</v>
      </c>
      <c r="R80" s="236">
        <f>R55</f>
        <v>0.23567038447106239</v>
      </c>
      <c r="T80" s="236">
        <f>T55</f>
        <v>0.24138821543262837</v>
      </c>
      <c r="V80" s="236">
        <f>V55</f>
        <v>0.24757574536269239</v>
      </c>
      <c r="X80" s="236">
        <f>X55</f>
        <v>0.2544044001627021</v>
      </c>
      <c r="Z80" s="236">
        <f>Z55</f>
        <v>0.26215394240015105</v>
      </c>
      <c r="AB80" s="236">
        <f>AB55</f>
        <v>0.27130605489864795</v>
      </c>
      <c r="AD80" s="236">
        <f>AD55</f>
        <v>0.28273174514655819</v>
      </c>
      <c r="AF80" s="236">
        <f>AF55</f>
        <v>0.29805385359412201</v>
      </c>
      <c r="AH80" s="236">
        <f>AH55</f>
        <v>0.3202514657113591</v>
      </c>
      <c r="AJ80" s="236">
        <f>AJ55</f>
        <v>0.35455409414447836</v>
      </c>
      <c r="AL80" s="236">
        <f>AL55</f>
        <v>0.41156828827710473</v>
      </c>
      <c r="AN80" s="236">
        <f>AN55</f>
        <v>0.52675072105727383</v>
      </c>
      <c r="AP80" s="236">
        <f>AP55</f>
        <v>0.56718863420868182</v>
      </c>
      <c r="AR80" s="236">
        <f>AR55</f>
        <v>0.62023161814933359</v>
      </c>
      <c r="AT80" s="236">
        <f>AT55</f>
        <v>0.69382993205155075</v>
      </c>
      <c r="AV80" s="236" t="e">
        <f>AV55</f>
        <v>#DIV/0!</v>
      </c>
      <c r="XFD80" s="236"/>
    </row>
    <row r="81" spans="1:48 16384:16384" x14ac:dyDescent="0.2">
      <c r="A81" t="s">
        <v>191</v>
      </c>
      <c r="B81" s="236">
        <f>B51/B$32</f>
        <v>-2.7543485504603994E-2</v>
      </c>
      <c r="D81" s="236">
        <f>D51/D$32</f>
        <v>-2.3402562178226883E-2</v>
      </c>
      <c r="F81" s="236">
        <f>F51/F$32</f>
        <v>-1.9161183584438874E-2</v>
      </c>
      <c r="H81" s="236">
        <f>H51/H$32</f>
        <v>-1.4803198167558563E-2</v>
      </c>
      <c r="J81" s="236">
        <f>J51/J$32</f>
        <v>-1.0309084219069382E-2</v>
      </c>
      <c r="L81" s="236">
        <f>L51/L$32</f>
        <v>-5.6547850863501881E-3</v>
      </c>
      <c r="N81" s="236">
        <f>N51/N$32</f>
        <v>-8.0987038684233147E-4</v>
      </c>
      <c r="P81" s="236">
        <f>P51/P$32</f>
        <v>4.2652920549135394E-3</v>
      </c>
      <c r="R81" s="236">
        <f>R51/R$32</f>
        <v>9.6241799066375342E-3</v>
      </c>
      <c r="T81" s="236">
        <f>T51/T$32</f>
        <v>1.534201086820351E-2</v>
      </c>
      <c r="V81" s="236">
        <f>V51/V$32</f>
        <v>2.1529540798267563E-2</v>
      </c>
      <c r="X81" s="236">
        <f>X51/X$32</f>
        <v>2.8358195598277278E-2</v>
      </c>
      <c r="Z81" s="236">
        <f>Z51/Z$32</f>
        <v>3.6107737835726232E-2</v>
      </c>
      <c r="AB81" s="236">
        <f>AB51/AB$32</f>
        <v>4.5259850334223119E-2</v>
      </c>
      <c r="AD81" s="236">
        <f>AD51/AD$32</f>
        <v>5.6685540582133327E-2</v>
      </c>
      <c r="AF81" s="236">
        <f>AF51/AF$32</f>
        <v>7.2007649029697141E-2</v>
      </c>
      <c r="AH81" s="236">
        <f>AH51/AH$32</f>
        <v>9.4205261146934255E-2</v>
      </c>
      <c r="AJ81" s="236">
        <f>AJ51/AJ$32</f>
        <v>0.12850788958005352</v>
      </c>
      <c r="AL81" s="236">
        <f>AL51/AL$32</f>
        <v>0.18552208371267989</v>
      </c>
      <c r="AN81" s="236">
        <f>AN51/AN$32</f>
        <v>0.30070451649284896</v>
      </c>
      <c r="AP81" s="236">
        <f>AP51/AP$32</f>
        <v>0.34114242964425695</v>
      </c>
      <c r="AR81" s="236">
        <f>AR51/AR$32</f>
        <v>0.39418541358490877</v>
      </c>
      <c r="AT81" s="236">
        <f>AT51/AT$32</f>
        <v>0.46778372748712593</v>
      </c>
      <c r="AV81" s="236" t="e">
        <f>AV51/AV$32</f>
        <v>#DIV/0!</v>
      </c>
      <c r="XFD81" s="236"/>
    </row>
    <row r="82" spans="1:48 16384:16384" x14ac:dyDescent="0.2">
      <c r="A82" t="s">
        <v>192</v>
      </c>
      <c r="B82" s="236">
        <f>B52/B$32</f>
        <v>0.13907860278212886</v>
      </c>
      <c r="D82" s="236">
        <f>D52/D$32</f>
        <v>0.13881123657764252</v>
      </c>
      <c r="F82" s="236">
        <f>F52/F$32</f>
        <v>0.13852425707649449</v>
      </c>
      <c r="H82" s="236">
        <f>H52/H$32</f>
        <v>0.13821494488406441</v>
      </c>
      <c r="J82" s="236">
        <f>J52/J$32</f>
        <v>0.13787993986952604</v>
      </c>
      <c r="L82" s="236">
        <f>L52/L$32</f>
        <v>0.13751498830451489</v>
      </c>
      <c r="N82" s="236">
        <f>N52/N$32</f>
        <v>0.1371145437991903</v>
      </c>
      <c r="P82" s="236">
        <f>P52/P$32</f>
        <v>0.13667114699349631</v>
      </c>
      <c r="R82" s="236">
        <f>R52/R$32</f>
        <v>0.13617440051788959</v>
      </c>
      <c r="T82" s="236">
        <f>T52/T$32</f>
        <v>0.13560925953107561</v>
      </c>
      <c r="V82" s="236">
        <f>V52/V$32</f>
        <v>0.13495306784241917</v>
      </c>
      <c r="X82" s="236">
        <f>X52/X$32</f>
        <v>0.13417025048604916</v>
      </c>
      <c r="Z82" s="236">
        <f>Z52/Z$32</f>
        <v>0.13320246298621885</v>
      </c>
      <c r="AB82" s="236">
        <f>AB52/AB$32</f>
        <v>0.13194973207818947</v>
      </c>
      <c r="AD82" s="236">
        <f>AD52/AD$32</f>
        <v>0.13023396326235925</v>
      </c>
      <c r="AF82" s="236">
        <f>AF52/AF$32</f>
        <v>0.12773183037973654</v>
      </c>
      <c r="AH82" s="236">
        <f>AH52/AH$32</f>
        <v>0.12387236264065674</v>
      </c>
      <c r="AJ82" s="236">
        <f>AJ52/AJ$32</f>
        <v>0.11770021649727712</v>
      </c>
      <c r="AL82" s="236">
        <f>AL52/AL$32</f>
        <v>0.1073220919893321</v>
      </c>
      <c r="AN82" s="236">
        <f>AN52/AN$32</f>
        <v>8.6315983734246038E-2</v>
      </c>
      <c r="AP82" s="236">
        <f>AP52/AP$32</f>
        <v>7.8940530553303911E-2</v>
      </c>
      <c r="AR82" s="236">
        <f>AR52/AR$32</f>
        <v>6.9266019398055045E-2</v>
      </c>
      <c r="AT82" s="236">
        <f>AT52/AT$32</f>
        <v>5.5842411995157964E-2</v>
      </c>
      <c r="AV82" s="236" t="e">
        <f>AV52/AV$32</f>
        <v>#DIV/0!</v>
      </c>
    </row>
    <row r="83" spans="1:48 16384:16384" x14ac:dyDescent="0.2">
      <c r="A83" t="s">
        <v>193</v>
      </c>
      <c r="B83" s="236">
        <f>B53/B$32</f>
        <v>0.18600714462929935</v>
      </c>
      <c r="D83" s="236">
        <f>D53/D$32</f>
        <v>0.18458570395126159</v>
      </c>
      <c r="F83" s="236">
        <f>F53/F$32</f>
        <v>0.1831431771531998</v>
      </c>
      <c r="H83" s="236">
        <f>H53/H$32</f>
        <v>0.18167573043551188</v>
      </c>
      <c r="J83" s="236">
        <f>J53/J$32</f>
        <v>0.18017881051666565</v>
      </c>
      <c r="L83" s="236">
        <f>L53/L$32</f>
        <v>0.17864690043872128</v>
      </c>
      <c r="N83" s="236">
        <f>N53/N$32</f>
        <v>0.17707322731123359</v>
      </c>
      <c r="P83" s="236">
        <f>P53/P$32</f>
        <v>0.175449177844371</v>
      </c>
      <c r="R83" s="236">
        <f>R53/R$32</f>
        <v>0.17376348431352245</v>
      </c>
      <c r="T83" s="236">
        <f>T53/T$32</f>
        <v>0.1720007233726718</v>
      </c>
      <c r="V83" s="236">
        <f>V53/V$32</f>
        <v>0.17013869987062671</v>
      </c>
      <c r="X83" s="236">
        <f>X53/X$32</f>
        <v>0.16814357799337371</v>
      </c>
      <c r="Z83" s="236">
        <f>Z53/Z$32</f>
        <v>0.16596043246856976</v>
      </c>
      <c r="AB83" s="236">
        <f>AB53/AB$32</f>
        <v>0.1634942037795924</v>
      </c>
      <c r="AD83" s="236">
        <f>AD53/AD$32</f>
        <v>0.16057026155285645</v>
      </c>
      <c r="AF83" s="236">
        <f>AF53/AF$32</f>
        <v>0.15685456512676188</v>
      </c>
      <c r="AH83" s="236">
        <f>AH53/AH$32</f>
        <v>0.15171087939775788</v>
      </c>
      <c r="AJ83" s="236">
        <f>AJ53/AJ$32</f>
        <v>0.14397445558451144</v>
      </c>
      <c r="AL83" s="236">
        <f>AL53/AL$32</f>
        <v>0.13123767924382748</v>
      </c>
      <c r="AN83" s="236">
        <f>AN53/AN$32</f>
        <v>0.10554692542933231</v>
      </c>
      <c r="AP83" s="236">
        <f>AP53/AP$32</f>
        <v>9.6528194377527105E-2</v>
      </c>
      <c r="AR83" s="236">
        <f>AR53/AR$32</f>
        <v>8.4698222152053526E-2</v>
      </c>
      <c r="AT83" s="236">
        <f>AT53/AT$32</f>
        <v>6.8283883236809159E-2</v>
      </c>
      <c r="AV83" s="236"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5.7108697624743236E-2</v>
      </c>
      <c r="E2" s="227"/>
      <c r="F2" s="226">
        <v>0.11331983967653925</v>
      </c>
      <c r="G2" s="227"/>
      <c r="H2" s="226">
        <v>0.17517045521565594</v>
      </c>
      <c r="I2" s="227"/>
      <c r="J2" s="226">
        <v>0.24361702320304171</v>
      </c>
      <c r="K2" s="227"/>
      <c r="L2" s="226">
        <v>0.31987478364591959</v>
      </c>
      <c r="M2" s="227"/>
      <c r="N2" s="226">
        <v>0.40553878672262572</v>
      </c>
      <c r="O2" s="227"/>
      <c r="P2" s="226">
        <v>0.50274422899682292</v>
      </c>
      <c r="Q2" s="227"/>
      <c r="R2" s="226">
        <v>0.61445595655934149</v>
      </c>
      <c r="S2" s="227"/>
      <c r="T2" s="226">
        <v>0.74494816387285201</v>
      </c>
      <c r="U2" s="227"/>
      <c r="V2" s="226">
        <v>0.9006617356480765</v>
      </c>
      <c r="W2" s="227"/>
      <c r="X2" s="226">
        <v>1.0918183838904878</v>
      </c>
      <c r="Y2" s="227"/>
      <c r="Z2" s="226">
        <v>1.3356574359828721</v>
      </c>
      <c r="AA2" s="227"/>
      <c r="AB2" s="226">
        <v>1.6634106129600357</v>
      </c>
      <c r="AC2" s="227"/>
      <c r="AD2" s="226">
        <v>2.1365790117755732</v>
      </c>
      <c r="AE2" s="227"/>
      <c r="AF2" s="226">
        <v>2.8879425003748671</v>
      </c>
      <c r="AG2" s="227"/>
      <c r="AH2" s="226">
        <v>4.2313657990880476</v>
      </c>
      <c r="AI2" s="227"/>
      <c r="AJ2" s="226">
        <v>6.9809692916674972</v>
      </c>
      <c r="AK2" s="227"/>
      <c r="AL2" s="226">
        <v>13.684972601982004</v>
      </c>
      <c r="AM2" s="227"/>
      <c r="AN2" s="226"/>
      <c r="AO2" s="227"/>
      <c r="AP2" s="226"/>
      <c r="AQ2" s="227"/>
      <c r="AR2" s="226"/>
      <c r="AS2" s="227"/>
      <c r="AT2" s="226"/>
      <c r="AU2" s="227"/>
      <c r="AV2" s="226"/>
      <c r="AW2" s="227"/>
    </row>
    <row r="3" spans="1:49" x14ac:dyDescent="0.2">
      <c r="A3" t="s">
        <v>12</v>
      </c>
      <c r="B3" s="84">
        <v>1000</v>
      </c>
      <c r="C3" s="85">
        <v>1000</v>
      </c>
      <c r="D3" s="84">
        <v>998.58889567400013</v>
      </c>
      <c r="E3" s="85">
        <v>1021.3556978100972</v>
      </c>
      <c r="F3" s="84">
        <v>997.12433726619713</v>
      </c>
      <c r="G3" s="85">
        <v>1045.4102531011456</v>
      </c>
      <c r="H3" s="84">
        <v>995.59845314345739</v>
      </c>
      <c r="I3" s="85">
        <v>1072.6499641612056</v>
      </c>
      <c r="J3" s="84">
        <v>994.00215042070477</v>
      </c>
      <c r="K3" s="85">
        <v>1103.685100768429</v>
      </c>
      <c r="L3" s="84">
        <v>992.32524213072463</v>
      </c>
      <c r="M3" s="85">
        <v>1139.2908412695124</v>
      </c>
      <c r="N3" s="84">
        <v>990.55660737829146</v>
      </c>
      <c r="O3" s="85">
        <v>1180.478074651</v>
      </c>
      <c r="P3" s="84">
        <v>988.68500969615741</v>
      </c>
      <c r="Q3" s="85">
        <v>1228.5839859301116</v>
      </c>
      <c r="R3" s="84">
        <v>986.70054857531443</v>
      </c>
      <c r="S3" s="85">
        <v>1285.4314597033954</v>
      </c>
      <c r="T3" s="84">
        <v>984.59764682293041</v>
      </c>
      <c r="U3" s="85">
        <v>1353.5842514796559</v>
      </c>
      <c r="V3" s="84">
        <v>982.38076819551634</v>
      </c>
      <c r="W3" s="85">
        <v>1436.7919068462304</v>
      </c>
      <c r="X3" s="84">
        <v>980.07535272113171</v>
      </c>
      <c r="Y3" s="85">
        <v>1540.8034439335238</v>
      </c>
      <c r="Z3" s="84">
        <v>977.74877666257976</v>
      </c>
      <c r="AA3" s="85">
        <v>1674.9565529474678</v>
      </c>
      <c r="AB3" s="84">
        <v>975.55049013119731</v>
      </c>
      <c r="AC3" s="85">
        <v>1855.5085173601478</v>
      </c>
      <c r="AD3" s="84">
        <v>973.78561019630581</v>
      </c>
      <c r="AE3" s="85">
        <v>2113.1940652085887</v>
      </c>
      <c r="AF3" s="84">
        <v>973.0245598743345</v>
      </c>
      <c r="AG3" s="85">
        <v>2511.7453669670172</v>
      </c>
      <c r="AH3" s="84">
        <v>974.13283063453457</v>
      </c>
      <c r="AI3" s="85">
        <v>3196.5210386179974</v>
      </c>
      <c r="AJ3" s="84">
        <v>977.77859968128314</v>
      </c>
      <c r="AK3" s="85">
        <v>4536.4961712910626</v>
      </c>
      <c r="AL3" s="84">
        <v>983.32733517118493</v>
      </c>
      <c r="AM3" s="85">
        <v>7685.6701700903732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998.5188987117732</v>
      </c>
      <c r="E5" s="42">
        <v>1018.5587695442808</v>
      </c>
      <c r="F5" s="41">
        <v>996.98076027057175</v>
      </c>
      <c r="G5" s="42">
        <v>1039.0053552773802</v>
      </c>
      <c r="H5" s="41">
        <v>995.37720091896949</v>
      </c>
      <c r="I5" s="42">
        <v>1061.5800318819581</v>
      </c>
      <c r="J5" s="41">
        <v>993.69852480314364</v>
      </c>
      <c r="K5" s="42">
        <v>1086.5579772317346</v>
      </c>
      <c r="L5" s="41">
        <v>991.93385160400499</v>
      </c>
      <c r="M5" s="42">
        <v>1114.2559626533332</v>
      </c>
      <c r="N5" s="41">
        <v>990.07127480544943</v>
      </c>
      <c r="O5" s="42">
        <v>1145.0330345237894</v>
      </c>
      <c r="P5" s="41">
        <v>988.09871850162506</v>
      </c>
      <c r="Q5" s="42">
        <v>1179.2977005855223</v>
      </c>
      <c r="R5" s="41">
        <v>986.00546138443258</v>
      </c>
      <c r="S5" s="42">
        <v>1217.5069108181251</v>
      </c>
      <c r="T5" s="41">
        <v>983.78529224870454</v>
      </c>
      <c r="U5" s="42">
        <v>1260.1594964782169</v>
      </c>
      <c r="V5" s="41">
        <v>981.44257078922942</v>
      </c>
      <c r="W5" s="42">
        <v>1307.7759627631599</v>
      </c>
      <c r="X5" s="41">
        <v>979.00385189684891</v>
      </c>
      <c r="Y5" s="42">
        <v>1360.8427108246915</v>
      </c>
      <c r="Z5" s="41">
        <v>976.54021243209252</v>
      </c>
      <c r="AA5" s="42">
        <v>1419.6799693934704</v>
      </c>
      <c r="AB5" s="41">
        <v>974.21006056745455</v>
      </c>
      <c r="AC5" s="42">
        <v>1484.1320126797793</v>
      </c>
      <c r="AD5" s="41">
        <v>972.33764200971393</v>
      </c>
      <c r="AE5" s="42">
        <v>1552.8715981850228</v>
      </c>
      <c r="AF5" s="41">
        <v>971.52975705581673</v>
      </c>
      <c r="AG5" s="42">
        <v>1621.992228718075</v>
      </c>
      <c r="AH5" s="41">
        <v>972.70613759814648</v>
      </c>
      <c r="AI5" s="42">
        <v>1683.2160318929323</v>
      </c>
      <c r="AJ5" s="41">
        <v>976.57180857256878</v>
      </c>
      <c r="AK5" s="42">
        <v>1725.5161976762586</v>
      </c>
      <c r="AL5" s="41">
        <v>982.44315014015149</v>
      </c>
      <c r="AM5" s="42">
        <v>1744.9088335330691</v>
      </c>
      <c r="AN5" s="41"/>
      <c r="AO5" s="42"/>
      <c r="AP5" s="41"/>
      <c r="AQ5" s="42"/>
      <c r="AR5" s="41"/>
      <c r="AS5" s="42"/>
      <c r="AT5" s="41"/>
      <c r="AU5" s="42"/>
      <c r="AV5" s="41"/>
      <c r="AW5" s="42"/>
    </row>
    <row r="6" spans="1:49" x14ac:dyDescent="0.2">
      <c r="A6" t="s">
        <v>77</v>
      </c>
      <c r="B6" s="41">
        <v>999.99999999999943</v>
      </c>
      <c r="C6" s="42">
        <v>999.99999999999909</v>
      </c>
      <c r="D6" s="41">
        <v>998.40578990994413</v>
      </c>
      <c r="E6" s="42">
        <v>1023.0141641336463</v>
      </c>
      <c r="F6" s="41">
        <v>996.75056907662417</v>
      </c>
      <c r="G6" s="42">
        <v>1048.8516442255095</v>
      </c>
      <c r="H6" s="41">
        <v>995.02536206509944</v>
      </c>
      <c r="I6" s="42">
        <v>1078.0120063411143</v>
      </c>
      <c r="J6" s="41">
        <v>993.2197932757108</v>
      </c>
      <c r="K6" s="42">
        <v>1111.1215625371922</v>
      </c>
      <c r="L6" s="41">
        <v>991.32222584671354</v>
      </c>
      <c r="M6" s="42">
        <v>1148.975184485399</v>
      </c>
      <c r="N6" s="41">
        <v>989.3199374752046</v>
      </c>
      <c r="O6" s="42">
        <v>1192.6091037279471</v>
      </c>
      <c r="P6" s="41">
        <v>987.20004154385379</v>
      </c>
      <c r="Q6" s="42">
        <v>1243.39347949791</v>
      </c>
      <c r="R6" s="41">
        <v>984.95112796334502</v>
      </c>
      <c r="S6" s="42">
        <v>1303.1960325690668</v>
      </c>
      <c r="T6" s="41">
        <v>982.56665105278739</v>
      </c>
      <c r="U6" s="42">
        <v>1374.643740075679</v>
      </c>
      <c r="V6" s="41">
        <v>980.05142901965132</v>
      </c>
      <c r="W6" s="42">
        <v>1461.5792368192497</v>
      </c>
      <c r="X6" s="41">
        <v>977.43409708278875</v>
      </c>
      <c r="Y6" s="42">
        <v>1569.89538355339</v>
      </c>
      <c r="Z6" s="41">
        <v>974.79100904849702</v>
      </c>
      <c r="AA6" s="42">
        <v>1709.1649913529218</v>
      </c>
      <c r="AB6" s="41">
        <v>972.29204658968001</v>
      </c>
      <c r="AC6" s="42">
        <v>1896.0559408447548</v>
      </c>
      <c r="AD6" s="41">
        <v>970.28462258663694</v>
      </c>
      <c r="AE6" s="42">
        <v>2162.0787470142354</v>
      </c>
      <c r="AF6" s="41">
        <v>969.41866455422826</v>
      </c>
      <c r="AG6" s="42">
        <v>2572.5701310831873</v>
      </c>
      <c r="AH6" s="41">
        <v>970.6796421521077</v>
      </c>
      <c r="AI6" s="42">
        <v>3276.5476476216313</v>
      </c>
      <c r="AJ6" s="41">
        <v>974.82490034239675</v>
      </c>
      <c r="AK6" s="42">
        <v>4652.3443774608313</v>
      </c>
      <c r="AL6" s="41">
        <v>981.12557344640732</v>
      </c>
      <c r="AM6" s="42">
        <v>7883.5846308647397</v>
      </c>
      <c r="AN6" s="41"/>
      <c r="AO6" s="42"/>
      <c r="AP6" s="41"/>
      <c r="AQ6" s="42"/>
      <c r="AR6" s="41"/>
      <c r="AS6" s="42"/>
      <c r="AT6" s="41"/>
      <c r="AU6" s="42"/>
      <c r="AV6" s="41"/>
      <c r="AW6" s="42"/>
    </row>
    <row r="7" spans="1:49" x14ac:dyDescent="0.2">
      <c r="A7" t="s">
        <v>13</v>
      </c>
      <c r="B7" s="33">
        <v>1015.9116825427475</v>
      </c>
      <c r="C7" s="34">
        <v>1015.9116825427475</v>
      </c>
      <c r="D7" s="33">
        <v>1014.4070144410088</v>
      </c>
      <c r="E7" s="34">
        <v>1014.4070144410088</v>
      </c>
      <c r="F7" s="33">
        <v>1012.8444016292241</v>
      </c>
      <c r="G7" s="34">
        <v>1012.8444016292241</v>
      </c>
      <c r="H7" s="33">
        <v>1011.2153269502807</v>
      </c>
      <c r="I7" s="34">
        <v>1011.2153269502807</v>
      </c>
      <c r="J7" s="33">
        <v>1009.5099402730077</v>
      </c>
      <c r="K7" s="34">
        <v>1009.5099402730077</v>
      </c>
      <c r="L7" s="33">
        <v>1007.7171881541327</v>
      </c>
      <c r="M7" s="34">
        <v>1007.7171881541327</v>
      </c>
      <c r="N7" s="33">
        <v>1005.824974624847</v>
      </c>
      <c r="O7" s="34">
        <v>1005.824974624847</v>
      </c>
      <c r="P7" s="33">
        <v>1003.8210316313185</v>
      </c>
      <c r="Q7" s="34">
        <v>1003.8210316313185</v>
      </c>
      <c r="R7" s="33">
        <v>1001.6944672713969</v>
      </c>
      <c r="S7" s="34">
        <v>1001.6944672713969</v>
      </c>
      <c r="T7" s="33">
        <v>999.43897150918997</v>
      </c>
      <c r="U7" s="34">
        <v>999.43897150918997</v>
      </c>
      <c r="V7" s="33">
        <v>997.05897340956562</v>
      </c>
      <c r="W7" s="34">
        <v>997.05897340956562</v>
      </c>
      <c r="X7" s="33">
        <v>994.58145039635849</v>
      </c>
      <c r="Y7" s="34">
        <v>994.58145039635849</v>
      </c>
      <c r="Z7" s="33">
        <v>992.0786102825391</v>
      </c>
      <c r="AA7" s="34">
        <v>992.0786102825391</v>
      </c>
      <c r="AB7" s="33">
        <v>989.71138178115461</v>
      </c>
      <c r="AC7" s="34">
        <v>989.71138178115461</v>
      </c>
      <c r="AD7" s="33">
        <v>987.80916989373611</v>
      </c>
      <c r="AE7" s="34">
        <v>987.80916989373611</v>
      </c>
      <c r="AF7" s="33">
        <v>986.98843013092142</v>
      </c>
      <c r="AG7" s="34">
        <v>986.98843013092142</v>
      </c>
      <c r="AH7" s="33">
        <v>988.18352886699017</v>
      </c>
      <c r="AI7" s="34">
        <v>988.18352886699017</v>
      </c>
      <c r="AJ7" s="33">
        <v>992.11070917077222</v>
      </c>
      <c r="AK7" s="34">
        <v>992.11070917077222</v>
      </c>
      <c r="AL7" s="33">
        <v>998.07547366147833</v>
      </c>
      <c r="AM7" s="34">
        <v>998.07547366147833</v>
      </c>
      <c r="AN7" s="33"/>
      <c r="AO7" s="34"/>
      <c r="AP7" s="33"/>
      <c r="AQ7" s="34"/>
      <c r="AR7" s="33"/>
      <c r="AS7" s="34"/>
      <c r="AT7" s="33"/>
      <c r="AU7" s="34"/>
      <c r="AV7" s="33"/>
      <c r="AW7" s="34"/>
    </row>
    <row r="8" spans="1:49" x14ac:dyDescent="0.2">
      <c r="B8" s="35">
        <v>1005.7716594496609</v>
      </c>
      <c r="C8" s="36">
        <v>1005.7716594496609</v>
      </c>
      <c r="D8" s="35">
        <v>1076.7273343272157</v>
      </c>
      <c r="E8" s="36">
        <v>1076.7273343272157</v>
      </c>
      <c r="F8" s="35">
        <v>1156.7452755604786</v>
      </c>
      <c r="G8" s="36">
        <v>1156.7452755604786</v>
      </c>
      <c r="H8" s="35">
        <v>1247.5374893145713</v>
      </c>
      <c r="I8" s="36">
        <v>1247.5374893145713</v>
      </c>
      <c r="J8" s="35">
        <v>1351.2619971824481</v>
      </c>
      <c r="K8" s="36">
        <v>1351.2619971824481</v>
      </c>
      <c r="L8" s="35">
        <v>1470.6783476332441</v>
      </c>
      <c r="M8" s="36">
        <v>1470.6783476332441</v>
      </c>
      <c r="N8" s="35">
        <v>1609.3883421018934</v>
      </c>
      <c r="O8" s="36">
        <v>1609.3883421018934</v>
      </c>
      <c r="P8" s="35">
        <v>1772.1828138241169</v>
      </c>
      <c r="Q8" s="36">
        <v>1772.1828138241169</v>
      </c>
      <c r="R8" s="35">
        <v>1965.6112843224851</v>
      </c>
      <c r="S8" s="36">
        <v>1965.6112843224851</v>
      </c>
      <c r="T8" s="35">
        <v>2198.9129995666021</v>
      </c>
      <c r="U8" s="36">
        <v>2198.9129995666021</v>
      </c>
      <c r="V8" s="35">
        <v>2485.6397312242621</v>
      </c>
      <c r="W8" s="36">
        <v>2485.6397312242621</v>
      </c>
      <c r="X8" s="35">
        <v>2846.6358000864566</v>
      </c>
      <c r="Y8" s="36">
        <v>2846.6358000864566</v>
      </c>
      <c r="Z8" s="35">
        <v>3315.8860772297958</v>
      </c>
      <c r="AA8" s="36">
        <v>3315.8860772297958</v>
      </c>
      <c r="AB8" s="35">
        <v>3952.8529536050623</v>
      </c>
      <c r="AC8" s="36">
        <v>3952.8529536050623</v>
      </c>
      <c r="AD8" s="35">
        <v>4870.7044628495341</v>
      </c>
      <c r="AE8" s="36">
        <v>4870.7044628495341</v>
      </c>
      <c r="AF8" s="35">
        <v>6306.2125213107556</v>
      </c>
      <c r="AG8" s="36">
        <v>6306.2125213107556</v>
      </c>
      <c r="AH8" s="35">
        <v>8805.5187817213828</v>
      </c>
      <c r="AI8" s="36">
        <v>8805.5187817213828</v>
      </c>
      <c r="AJ8" s="35">
        <v>13771.291785929083</v>
      </c>
      <c r="AK8" s="36">
        <v>13771.291785929083</v>
      </c>
      <c r="AL8" s="35">
        <v>25623.938413389496</v>
      </c>
      <c r="AM8" s="36">
        <v>25623.938413389496</v>
      </c>
      <c r="AN8" s="35"/>
      <c r="AO8" s="36"/>
      <c r="AP8" s="35"/>
      <c r="AQ8" s="36"/>
      <c r="AR8" s="35"/>
      <c r="AS8" s="36"/>
      <c r="AT8" s="35"/>
      <c r="AU8" s="36"/>
      <c r="AV8" s="35"/>
      <c r="AW8" s="36"/>
    </row>
    <row r="9" spans="1:49" x14ac:dyDescent="0.2">
      <c r="A9" t="s">
        <v>14</v>
      </c>
      <c r="B9" s="41">
        <v>1015.9116825427475</v>
      </c>
      <c r="C9" s="42">
        <v>1005.7716594496609</v>
      </c>
      <c r="D9" s="41">
        <v>1014.4070144410088</v>
      </c>
      <c r="E9" s="42">
        <v>1076.7273343272157</v>
      </c>
      <c r="F9" s="41">
        <v>1012.8444016292241</v>
      </c>
      <c r="G9" s="42">
        <v>1156.7452755604786</v>
      </c>
      <c r="H9" s="41">
        <v>1011.2153269502807</v>
      </c>
      <c r="I9" s="42">
        <v>1247.5374893145713</v>
      </c>
      <c r="J9" s="41">
        <v>1009.5099402730077</v>
      </c>
      <c r="K9" s="42">
        <v>1351.2619971824481</v>
      </c>
      <c r="L9" s="41">
        <v>1007.7171881541327</v>
      </c>
      <c r="M9" s="42">
        <v>1470.6783476332441</v>
      </c>
      <c r="N9" s="41">
        <v>1005.824974624847</v>
      </c>
      <c r="O9" s="42">
        <v>1609.3883421018934</v>
      </c>
      <c r="P9" s="41">
        <v>1003.8210316313185</v>
      </c>
      <c r="Q9" s="42">
        <v>1772.1828138241169</v>
      </c>
      <c r="R9" s="41">
        <v>1001.6944672713969</v>
      </c>
      <c r="S9" s="42">
        <v>1965.6112843224851</v>
      </c>
      <c r="T9" s="41">
        <v>999.43897150918997</v>
      </c>
      <c r="U9" s="42">
        <v>2198.9129995666021</v>
      </c>
      <c r="V9" s="41">
        <v>997.05897340956562</v>
      </c>
      <c r="W9" s="42">
        <v>2485.6397312242621</v>
      </c>
      <c r="X9" s="41">
        <v>994.58145039635849</v>
      </c>
      <c r="Y9" s="42">
        <v>2846.6358000864566</v>
      </c>
      <c r="Z9" s="41">
        <v>992.0786102825391</v>
      </c>
      <c r="AA9" s="42">
        <v>3315.8860772297958</v>
      </c>
      <c r="AB9" s="41">
        <v>989.71138178115461</v>
      </c>
      <c r="AC9" s="42">
        <v>3952.8529536050623</v>
      </c>
      <c r="AD9" s="41">
        <v>987.80916989373611</v>
      </c>
      <c r="AE9" s="42">
        <v>4870.7044628495341</v>
      </c>
      <c r="AF9" s="41">
        <v>986.98843013092142</v>
      </c>
      <c r="AG9" s="42">
        <v>6306.2125213107556</v>
      </c>
      <c r="AH9" s="41">
        <v>988.18352886699017</v>
      </c>
      <c r="AI9" s="42">
        <v>8805.5187817213828</v>
      </c>
      <c r="AJ9" s="41">
        <v>992.11070917077222</v>
      </c>
      <c r="AK9" s="42">
        <v>13771.291785929083</v>
      </c>
      <c r="AL9" s="41">
        <v>998.07547366147833</v>
      </c>
      <c r="AM9" s="42">
        <v>25623.938413389496</v>
      </c>
      <c r="AN9" s="41"/>
      <c r="AO9" s="42"/>
      <c r="AP9" s="41"/>
      <c r="AQ9" s="42"/>
      <c r="AR9" s="41"/>
      <c r="AS9" s="42"/>
      <c r="AT9" s="41"/>
      <c r="AU9" s="42"/>
      <c r="AV9" s="41"/>
      <c r="AW9" s="42"/>
    </row>
    <row r="10" spans="1:49" x14ac:dyDescent="0.2">
      <c r="A10" t="s">
        <v>15</v>
      </c>
      <c r="B10" s="41">
        <v>1015.9116825427475</v>
      </c>
      <c r="C10" s="42">
        <v>1005.7716594496609</v>
      </c>
      <c r="D10" s="41">
        <v>1014.4070144410088</v>
      </c>
      <c r="E10" s="42">
        <v>1076.7273343272157</v>
      </c>
      <c r="F10" s="41">
        <v>1012.8444016292241</v>
      </c>
      <c r="G10" s="42">
        <v>1156.7452755604786</v>
      </c>
      <c r="H10" s="41">
        <v>1011.2153269502807</v>
      </c>
      <c r="I10" s="42">
        <v>1247.5374893145713</v>
      </c>
      <c r="J10" s="41">
        <v>1009.5099402730077</v>
      </c>
      <c r="K10" s="42">
        <v>1351.2619971824481</v>
      </c>
      <c r="L10" s="41">
        <v>1007.7171881541327</v>
      </c>
      <c r="M10" s="42">
        <v>1470.6783476332441</v>
      </c>
      <c r="N10" s="41">
        <v>1005.824974624847</v>
      </c>
      <c r="O10" s="42">
        <v>1609.3883421018934</v>
      </c>
      <c r="P10" s="41">
        <v>1003.8210316313185</v>
      </c>
      <c r="Q10" s="42">
        <v>1772.1828138241169</v>
      </c>
      <c r="R10" s="41">
        <v>1001.6944672713969</v>
      </c>
      <c r="S10" s="42">
        <v>1965.6112843224851</v>
      </c>
      <c r="T10" s="41">
        <v>999.43897150918997</v>
      </c>
      <c r="U10" s="42">
        <v>2198.9129995666021</v>
      </c>
      <c r="V10" s="41">
        <v>997.05897340956562</v>
      </c>
      <c r="W10" s="42">
        <v>2485.6397312242621</v>
      </c>
      <c r="X10" s="41">
        <v>994.58145039635849</v>
      </c>
      <c r="Y10" s="42">
        <v>2846.6358000864566</v>
      </c>
      <c r="Z10" s="41">
        <v>992.0786102825391</v>
      </c>
      <c r="AA10" s="42">
        <v>3315.8860772297958</v>
      </c>
      <c r="AB10" s="41">
        <v>989.71138178115461</v>
      </c>
      <c r="AC10" s="42">
        <v>3952.8529536050623</v>
      </c>
      <c r="AD10" s="41">
        <v>987.80916989373611</v>
      </c>
      <c r="AE10" s="42">
        <v>4870.7044628495341</v>
      </c>
      <c r="AF10" s="41">
        <v>986.98843013092142</v>
      </c>
      <c r="AG10" s="42">
        <v>6306.2125213107556</v>
      </c>
      <c r="AH10" s="41">
        <v>988.18352886699017</v>
      </c>
      <c r="AI10" s="42">
        <v>8805.5187817213828</v>
      </c>
      <c r="AJ10" s="41">
        <v>992.11070917077222</v>
      </c>
      <c r="AK10" s="42">
        <v>13771.291785929083</v>
      </c>
      <c r="AL10" s="41">
        <v>998.07547366147833</v>
      </c>
      <c r="AM10" s="42">
        <v>25623.938413389496</v>
      </c>
      <c r="AN10" s="41"/>
      <c r="AO10" s="42"/>
      <c r="AP10" s="41"/>
      <c r="AQ10" s="42"/>
      <c r="AR10" s="41"/>
      <c r="AS10" s="42"/>
      <c r="AT10" s="41"/>
      <c r="AU10" s="42"/>
      <c r="AV10" s="41"/>
      <c r="AW10" s="42"/>
    </row>
    <row r="11" spans="1:49" x14ac:dyDescent="0.2">
      <c r="A11" t="s">
        <v>29</v>
      </c>
      <c r="B11" s="41">
        <v>1015.9116825427475</v>
      </c>
      <c r="C11" s="42">
        <v>1005.7716594496609</v>
      </c>
      <c r="D11" s="41">
        <v>1014.4070144410088</v>
      </c>
      <c r="E11" s="42">
        <v>1076.7273343272157</v>
      </c>
      <c r="F11" s="41">
        <v>1012.8444016292241</v>
      </c>
      <c r="G11" s="42">
        <v>1156.7452755604786</v>
      </c>
      <c r="H11" s="41">
        <v>1011.2153269502807</v>
      </c>
      <c r="I11" s="42">
        <v>1247.5374893145713</v>
      </c>
      <c r="J11" s="41">
        <v>1009.5099402730077</v>
      </c>
      <c r="K11" s="42">
        <v>1351.2619971824481</v>
      </c>
      <c r="L11" s="41">
        <v>1007.7171881541327</v>
      </c>
      <c r="M11" s="42">
        <v>1470.6783476332441</v>
      </c>
      <c r="N11" s="41">
        <v>1005.824974624847</v>
      </c>
      <c r="O11" s="42">
        <v>1609.3883421018934</v>
      </c>
      <c r="P11" s="41">
        <v>1003.8210316313185</v>
      </c>
      <c r="Q11" s="42">
        <v>1772.1828138241169</v>
      </c>
      <c r="R11" s="41">
        <v>1001.6944672713969</v>
      </c>
      <c r="S11" s="42">
        <v>1965.6112843224851</v>
      </c>
      <c r="T11" s="41">
        <v>999.43897150918997</v>
      </c>
      <c r="U11" s="42">
        <v>2198.9129995666021</v>
      </c>
      <c r="V11" s="41">
        <v>997.05897340956562</v>
      </c>
      <c r="W11" s="42">
        <v>2485.6397312242621</v>
      </c>
      <c r="X11" s="41">
        <v>994.58145039635849</v>
      </c>
      <c r="Y11" s="42">
        <v>2846.6358000864566</v>
      </c>
      <c r="Z11" s="41">
        <v>992.0786102825391</v>
      </c>
      <c r="AA11" s="42">
        <v>3315.8860772297958</v>
      </c>
      <c r="AB11" s="41">
        <v>989.71138178115461</v>
      </c>
      <c r="AC11" s="42">
        <v>3952.8529536050623</v>
      </c>
      <c r="AD11" s="41">
        <v>987.80916989373611</v>
      </c>
      <c r="AE11" s="42">
        <v>4870.7044628495341</v>
      </c>
      <c r="AF11" s="41">
        <v>986.98843013092142</v>
      </c>
      <c r="AG11" s="42">
        <v>6306.2125213107556</v>
      </c>
      <c r="AH11" s="41">
        <v>988.18352886699017</v>
      </c>
      <c r="AI11" s="42">
        <v>8805.5187817213828</v>
      </c>
      <c r="AJ11" s="41">
        <v>992.11070917077222</v>
      </c>
      <c r="AK11" s="42">
        <v>13771.291785929083</v>
      </c>
      <c r="AL11" s="41">
        <v>998.07547366147833</v>
      </c>
      <c r="AM11" s="42">
        <v>25623.938413389496</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1006.6481063602</v>
      </c>
      <c r="E13" s="98">
        <v>1006.6481063602</v>
      </c>
      <c r="F13" s="97">
        <v>1013.2801367896079</v>
      </c>
      <c r="G13" s="98">
        <v>1013.2801367896079</v>
      </c>
      <c r="H13" s="97">
        <v>1019.8923075589045</v>
      </c>
      <c r="I13" s="98">
        <v>1019.8923075589045</v>
      </c>
      <c r="J13" s="97">
        <v>1026.4799022642592</v>
      </c>
      <c r="K13" s="98">
        <v>1026.4799022642592</v>
      </c>
      <c r="L13" s="97">
        <v>1033.0376635463206</v>
      </c>
      <c r="M13" s="98">
        <v>1033.0376635463206</v>
      </c>
      <c r="N13" s="97">
        <v>1039.5613451025438</v>
      </c>
      <c r="O13" s="98">
        <v>1039.5613451025438</v>
      </c>
      <c r="P13" s="97">
        <v>1046.0499256348758</v>
      </c>
      <c r="Q13" s="98">
        <v>1046.0499256348758</v>
      </c>
      <c r="R13" s="97">
        <v>1052.5111943193078</v>
      </c>
      <c r="S13" s="98">
        <v>1052.5111943193078</v>
      </c>
      <c r="T13" s="97">
        <v>1058.9719770516049</v>
      </c>
      <c r="U13" s="98">
        <v>1058.9719770516049</v>
      </c>
      <c r="V13" s="97">
        <v>1065.4986092488127</v>
      </c>
      <c r="W13" s="98">
        <v>1065.4986092488127</v>
      </c>
      <c r="X13" s="97">
        <v>1072.2361867528493</v>
      </c>
      <c r="Y13" s="98">
        <v>1072.2361867528493</v>
      </c>
      <c r="Z13" s="97">
        <v>1079.4858777543966</v>
      </c>
      <c r="AA13" s="98">
        <v>1079.4858777543966</v>
      </c>
      <c r="AB13" s="97">
        <v>1087.8568756835496</v>
      </c>
      <c r="AC13" s="98">
        <v>1087.8568756835496</v>
      </c>
      <c r="AD13" s="97">
        <v>1098.5546709032192</v>
      </c>
      <c r="AE13" s="98">
        <v>1098.5546709032192</v>
      </c>
      <c r="AF13" s="97">
        <v>1113.8383758264936</v>
      </c>
      <c r="AG13" s="98">
        <v>1113.8383758264936</v>
      </c>
      <c r="AH13" s="97">
        <v>1137.2416132634655</v>
      </c>
      <c r="AI13" s="98">
        <v>1137.2416132634655</v>
      </c>
      <c r="AJ13" s="97">
        <v>1171.6242674777488</v>
      </c>
      <c r="AK13" s="98">
        <v>1171.6242674777488</v>
      </c>
      <c r="AL13" s="97">
        <v>1211.9229122355932</v>
      </c>
      <c r="AM13" s="98">
        <v>1211.9229122355932</v>
      </c>
      <c r="AN13" s="97"/>
      <c r="AO13" s="98"/>
      <c r="AP13" s="97"/>
      <c r="AQ13" s="98"/>
      <c r="AR13" s="97"/>
      <c r="AS13" s="98"/>
      <c r="AT13" s="97"/>
      <c r="AU13" s="98"/>
      <c r="AV13" s="97"/>
      <c r="AW13" s="98"/>
    </row>
    <row r="14" spans="1:49" x14ac:dyDescent="0.2">
      <c r="A14" t="s">
        <v>36</v>
      </c>
      <c r="B14" s="41">
        <v>1457.0034251455234</v>
      </c>
      <c r="C14" s="42">
        <v>1457.0034251455236</v>
      </c>
      <c r="D14" s="41">
        <v>1466.6897388830664</v>
      </c>
      <c r="E14" s="42">
        <v>1466.6897388830666</v>
      </c>
      <c r="F14" s="41">
        <v>1476.352629934383</v>
      </c>
      <c r="G14" s="42">
        <v>1476.3526299343832</v>
      </c>
      <c r="H14" s="41">
        <v>1485.9865853928952</v>
      </c>
      <c r="I14" s="42">
        <v>1485.9865853928954</v>
      </c>
      <c r="J14" s="41">
        <v>1495.5847334420675</v>
      </c>
      <c r="K14" s="42">
        <v>1495.5847334420678</v>
      </c>
      <c r="L14" s="41">
        <v>1505.1394140913178</v>
      </c>
      <c r="M14" s="42">
        <v>1505.139414091318</v>
      </c>
      <c r="N14" s="41">
        <v>1514.6444404632937</v>
      </c>
      <c r="O14" s="42">
        <v>1514.6444404632939</v>
      </c>
      <c r="P14" s="41">
        <v>1524.0983245232339</v>
      </c>
      <c r="Q14" s="42">
        <v>1524.0983245232342</v>
      </c>
      <c r="R14" s="41">
        <v>1533.5124151272369</v>
      </c>
      <c r="S14" s="42">
        <v>1533.5124151272371</v>
      </c>
      <c r="T14" s="41">
        <v>1542.9257976973147</v>
      </c>
      <c r="U14" s="42">
        <v>1542.9257976973149</v>
      </c>
      <c r="V14" s="41">
        <v>1552.4351231633116</v>
      </c>
      <c r="W14" s="42">
        <v>1552.4351231633118</v>
      </c>
      <c r="X14" s="41">
        <v>1562.2517966638763</v>
      </c>
      <c r="Y14" s="42">
        <v>1562.2517966638766</v>
      </c>
      <c r="Z14" s="41">
        <v>1572.8146212843774</v>
      </c>
      <c r="AA14" s="42">
        <v>1572.8146212843776</v>
      </c>
      <c r="AB14" s="41">
        <v>1585.0111939390395</v>
      </c>
      <c r="AC14" s="42">
        <v>1585.0111939390397</v>
      </c>
      <c r="AD14" s="41">
        <v>1600.5979182156034</v>
      </c>
      <c r="AE14" s="42">
        <v>1600.5979182156036</v>
      </c>
      <c r="AF14" s="41">
        <v>1622.8663286377277</v>
      </c>
      <c r="AG14" s="42">
        <v>1622.866328637728</v>
      </c>
      <c r="AH14" s="41">
        <v>1656.9649257428898</v>
      </c>
      <c r="AI14" s="42">
        <v>1656.96492574289</v>
      </c>
      <c r="AJ14" s="41">
        <v>1707.0605706986948</v>
      </c>
      <c r="AK14" s="42">
        <v>1707.0605706986951</v>
      </c>
      <c r="AL14" s="41">
        <v>1765.7758341395968</v>
      </c>
      <c r="AM14" s="42">
        <v>1765.775834139597</v>
      </c>
      <c r="AN14" s="41"/>
      <c r="AO14" s="42"/>
      <c r="AP14" s="41"/>
      <c r="AQ14" s="42"/>
      <c r="AR14" s="41"/>
      <c r="AS14" s="42"/>
      <c r="AT14" s="41"/>
      <c r="AU14" s="42"/>
      <c r="AV14" s="41"/>
      <c r="AW14" s="42"/>
    </row>
    <row r="15" spans="1:49" x14ac:dyDescent="0.2">
      <c r="A15" t="s">
        <v>18</v>
      </c>
      <c r="B15" s="154">
        <v>1000</v>
      </c>
      <c r="C15" s="155">
        <v>1000</v>
      </c>
      <c r="D15" s="154">
        <v>982.95464715096682</v>
      </c>
      <c r="E15" s="155">
        <v>982.95464715096682</v>
      </c>
      <c r="F15" s="154">
        <v>965.3004277847582</v>
      </c>
      <c r="G15" s="155">
        <v>965.3004277847582</v>
      </c>
      <c r="H15" s="154">
        <v>946.94874069035654</v>
      </c>
      <c r="I15" s="155">
        <v>946.94874069035654</v>
      </c>
      <c r="J15" s="154">
        <v>927.79338421947864</v>
      </c>
      <c r="K15" s="155">
        <v>927.79338421947864</v>
      </c>
      <c r="L15" s="154">
        <v>907.70541167174315</v>
      </c>
      <c r="M15" s="155">
        <v>907.70541167174315</v>
      </c>
      <c r="N15" s="154">
        <v>886.52409480227163</v>
      </c>
      <c r="O15" s="155">
        <v>886.52409480227163</v>
      </c>
      <c r="P15" s="154">
        <v>864.04542007897851</v>
      </c>
      <c r="Q15" s="155">
        <v>864.04542007897851</v>
      </c>
      <c r="R15" s="154">
        <v>840.00142136098248</v>
      </c>
      <c r="S15" s="155">
        <v>840.00142136098248</v>
      </c>
      <c r="T15" s="154">
        <v>814.02716636662103</v>
      </c>
      <c r="U15" s="155">
        <v>814.02716636662103</v>
      </c>
      <c r="V15" s="154">
        <v>785.60260583758975</v>
      </c>
      <c r="W15" s="155">
        <v>785.60260583758975</v>
      </c>
      <c r="X15" s="154">
        <v>753.94836523081324</v>
      </c>
      <c r="Y15" s="155">
        <v>753.94836523081324</v>
      </c>
      <c r="Z15" s="154">
        <v>717.82867290024126</v>
      </c>
      <c r="AA15" s="155">
        <v>717.82867290024126</v>
      </c>
      <c r="AB15" s="154">
        <v>675.16416205785163</v>
      </c>
      <c r="AC15" s="155">
        <v>675.16416205785163</v>
      </c>
      <c r="AD15" s="154">
        <v>622.248714611217</v>
      </c>
      <c r="AE15" s="155">
        <v>622.248714611217</v>
      </c>
      <c r="AF15" s="154">
        <v>552.19330284753448</v>
      </c>
      <c r="AG15" s="155">
        <v>552.19330284753448</v>
      </c>
      <c r="AH15" s="154">
        <v>452.21647954073194</v>
      </c>
      <c r="AI15" s="155">
        <v>452.21647954073194</v>
      </c>
      <c r="AJ15" s="154">
        <v>299.99118102543559</v>
      </c>
      <c r="AK15" s="155">
        <v>299.99118102543559</v>
      </c>
      <c r="AL15" s="154">
        <v>56.07608526485555</v>
      </c>
      <c r="AM15" s="155">
        <v>56.07608526485555</v>
      </c>
      <c r="AN15" s="154"/>
      <c r="AO15" s="155"/>
      <c r="AP15" s="154"/>
      <c r="AQ15" s="155"/>
      <c r="AR15" s="154"/>
      <c r="AS15" s="155"/>
      <c r="AT15" s="154"/>
      <c r="AU15" s="155"/>
      <c r="AV15" s="154"/>
      <c r="AW15" s="155"/>
    </row>
    <row r="16" spans="1:49" s="29" customFormat="1" x14ac:dyDescent="0.2">
      <c r="A16" t="s">
        <v>61</v>
      </c>
      <c r="B16" s="41">
        <v>1000</v>
      </c>
      <c r="C16" s="42">
        <v>1000</v>
      </c>
      <c r="D16" s="41">
        <v>995.57829384808497</v>
      </c>
      <c r="E16" s="42">
        <v>989.71291548236138</v>
      </c>
      <c r="F16" s="41">
        <v>990.84574315766804</v>
      </c>
      <c r="G16" s="42">
        <v>978.97687177333728</v>
      </c>
      <c r="H16" s="41">
        <v>985.75787385103717</v>
      </c>
      <c r="I16" s="42">
        <v>967.72689097774332</v>
      </c>
      <c r="J16" s="41">
        <v>980.26128081410877</v>
      </c>
      <c r="K16" s="42">
        <v>955.88493403671328</v>
      </c>
      <c r="L16" s="41">
        <v>974.29137562980191</v>
      </c>
      <c r="M16" s="42">
        <v>943.35671467803149</v>
      </c>
      <c r="N16" s="41">
        <v>967.7689137455933</v>
      </c>
      <c r="O16" s="42">
        <v>930.02491700104736</v>
      </c>
      <c r="P16" s="41">
        <v>960.59571088170367</v>
      </c>
      <c r="Q16" s="42">
        <v>915.74221885235079</v>
      </c>
      <c r="R16" s="41">
        <v>952.64779952032336</v>
      </c>
      <c r="S16" s="42">
        <v>900.31773162425657</v>
      </c>
      <c r="T16" s="41">
        <v>943.76521503185438</v>
      </c>
      <c r="U16" s="42">
        <v>883.49617423882364</v>
      </c>
      <c r="V16" s="41">
        <v>933.73532419366268</v>
      </c>
      <c r="W16" s="42">
        <v>864.9220118145206</v>
      </c>
      <c r="X16" s="41">
        <v>922.26432226235147</v>
      </c>
      <c r="Y16" s="42">
        <v>844.07569883830479</v>
      </c>
      <c r="Z16" s="41">
        <v>908.92497559478431</v>
      </c>
      <c r="AA16" s="42">
        <v>820.15416107159592</v>
      </c>
      <c r="AB16" s="41">
        <v>893.05398900842476</v>
      </c>
      <c r="AC16" s="42">
        <v>791.83576875767972</v>
      </c>
      <c r="AD16" s="41">
        <v>873.53436549561843</v>
      </c>
      <c r="AE16" s="42">
        <v>756.80005243669746</v>
      </c>
      <c r="AF16" s="41">
        <v>848.30191627013312</v>
      </c>
      <c r="AG16" s="42">
        <v>710.74024229023496</v>
      </c>
      <c r="AH16" s="41">
        <v>813.18125473781743</v>
      </c>
      <c r="AI16" s="42">
        <v>645.48104921758409</v>
      </c>
      <c r="AJ16" s="41">
        <v>759.12446961873184</v>
      </c>
      <c r="AK16" s="42">
        <v>545.80331489927505</v>
      </c>
      <c r="AL16" s="41">
        <v>664.78717839483113</v>
      </c>
      <c r="AM16" s="42">
        <v>381.95249126587015</v>
      </c>
      <c r="AN16" s="41"/>
      <c r="AO16" s="42"/>
      <c r="AP16" s="41"/>
      <c r="AQ16" s="42"/>
      <c r="AR16" s="41"/>
      <c r="AS16" s="42"/>
      <c r="AT16" s="41"/>
      <c r="AU16" s="42"/>
      <c r="AV16" s="41"/>
      <c r="AW16" s="42"/>
    </row>
    <row r="17" spans="1:49" x14ac:dyDescent="0.2">
      <c r="A17" t="s">
        <v>62</v>
      </c>
      <c r="B17" s="35">
        <v>1000.0000000000002</v>
      </c>
      <c r="C17" s="36">
        <v>999.99999999999977</v>
      </c>
      <c r="D17" s="35">
        <v>998.65399569369447</v>
      </c>
      <c r="E17" s="36">
        <v>1032.5313514299751</v>
      </c>
      <c r="F17" s="35">
        <v>997.25786871571893</v>
      </c>
      <c r="G17" s="36">
        <v>1069.1855424028458</v>
      </c>
      <c r="H17" s="35">
        <v>995.80422992693923</v>
      </c>
      <c r="I17" s="36">
        <v>1110.715925702739</v>
      </c>
      <c r="J17" s="35">
        <v>994.28455427731546</v>
      </c>
      <c r="K17" s="36">
        <v>1158.0691190096391</v>
      </c>
      <c r="L17" s="35">
        <v>992.68926118511547</v>
      </c>
      <c r="M17" s="36">
        <v>1212.4522208903632</v>
      </c>
      <c r="N17" s="35">
        <v>991.00801362070285</v>
      </c>
      <c r="O17" s="36">
        <v>1275.4365595363024</v>
      </c>
      <c r="P17" s="35">
        <v>989.23033631599026</v>
      </c>
      <c r="Q17" s="36">
        <v>1349.1070482070252</v>
      </c>
      <c r="R17" s="35">
        <v>987.34709409403149</v>
      </c>
      <c r="S17" s="36">
        <v>1436.3075503106693</v>
      </c>
      <c r="T17" s="35">
        <v>985.3533004679573</v>
      </c>
      <c r="U17" s="36">
        <v>1541.0411127937423</v>
      </c>
      <c r="V17" s="35">
        <v>983.25351892946105</v>
      </c>
      <c r="W17" s="36">
        <v>1669.1663805677688</v>
      </c>
      <c r="X17" s="35">
        <v>981.07215248392549</v>
      </c>
      <c r="Y17" s="36">
        <v>1829.6731368197322</v>
      </c>
      <c r="Z17" s="35">
        <v>978.87314408732504</v>
      </c>
      <c r="AA17" s="36">
        <v>2037.1777051670283</v>
      </c>
      <c r="AB17" s="35">
        <v>976.79758882526573</v>
      </c>
      <c r="AC17" s="36">
        <v>2317.1670260702736</v>
      </c>
      <c r="AD17" s="35">
        <v>975.13280913990911</v>
      </c>
      <c r="AE17" s="36">
        <v>2717.94511876568</v>
      </c>
      <c r="AF17" s="35">
        <v>974.41536012231347</v>
      </c>
      <c r="AG17" s="36">
        <v>3340.0656715994432</v>
      </c>
      <c r="AH17" s="35">
        <v>975.46022680869396</v>
      </c>
      <c r="AI17" s="36">
        <v>4414.176040931131</v>
      </c>
      <c r="AJ17" s="35">
        <v>978.90131139633502</v>
      </c>
      <c r="AK17" s="36">
        <v>6529.8270163258339</v>
      </c>
      <c r="AL17" s="35">
        <v>984.14982473622388</v>
      </c>
      <c r="AM17" s="36">
        <v>11541.42476726249</v>
      </c>
      <c r="AN17" s="35"/>
      <c r="AO17" s="36"/>
      <c r="AP17" s="35"/>
      <c r="AQ17" s="36"/>
      <c r="AR17" s="35"/>
      <c r="AS17" s="36"/>
      <c r="AT17" s="35"/>
      <c r="AU17" s="36"/>
      <c r="AV17" s="35"/>
      <c r="AW17" s="36"/>
    </row>
    <row r="18" spans="1:49" x14ac:dyDescent="0.2">
      <c r="A18" t="s">
        <v>19</v>
      </c>
      <c r="B18" s="33">
        <v>27857.010133999996</v>
      </c>
      <c r="C18" s="34">
        <v>1236.7674480000003</v>
      </c>
      <c r="D18" s="33">
        <v>27862.088927265431</v>
      </c>
      <c r="E18" s="34">
        <v>1150.8549850685301</v>
      </c>
      <c r="F18" s="33">
        <v>27863.579307521828</v>
      </c>
      <c r="G18" s="34">
        <v>1064.8572402836953</v>
      </c>
      <c r="H18" s="33">
        <v>27860.937275990196</v>
      </c>
      <c r="I18" s="34">
        <v>978.79830669488149</v>
      </c>
      <c r="J18" s="33">
        <v>27853.495497718483</v>
      </c>
      <c r="K18" s="34">
        <v>892.71324255036313</v>
      </c>
      <c r="L18" s="33">
        <v>27840.413697981981</v>
      </c>
      <c r="M18" s="34">
        <v>806.66741582304724</v>
      </c>
      <c r="N18" s="33">
        <v>27820.624776704732</v>
      </c>
      <c r="O18" s="34">
        <v>720.75110763740565</v>
      </c>
      <c r="P18" s="33">
        <v>27792.729516297</v>
      </c>
      <c r="Q18" s="34">
        <v>635.11657964848177</v>
      </c>
      <c r="R18" s="33">
        <v>27754.84869696802</v>
      </c>
      <c r="S18" s="34">
        <v>550.00237497124579</v>
      </c>
      <c r="T18" s="33">
        <v>27704.380070244031</v>
      </c>
      <c r="U18" s="34">
        <v>465.78187095481258</v>
      </c>
      <c r="V18" s="33">
        <v>27637.588773940599</v>
      </c>
      <c r="W18" s="34">
        <v>383.04088427917048</v>
      </c>
      <c r="X18" s="33">
        <v>27548.898232061474</v>
      </c>
      <c r="Y18" s="34">
        <v>302.69306267079946</v>
      </c>
      <c r="Z18" s="33">
        <v>27429.594698861001</v>
      </c>
      <c r="AA18" s="34">
        <v>226.15864443496298</v>
      </c>
      <c r="AB18" s="33">
        <v>27265.354016558089</v>
      </c>
      <c r="AC18" s="34">
        <v>155.61993684008706</v>
      </c>
      <c r="AD18" s="33">
        <v>27031.308137026557</v>
      </c>
      <c r="AE18" s="34">
        <v>94.319411667650712</v>
      </c>
      <c r="AF18" s="33">
        <v>26682.043063476514</v>
      </c>
      <c r="AG18" s="34">
        <v>46.576948040531754</v>
      </c>
      <c r="AH18" s="33">
        <v>26131.750822393835</v>
      </c>
      <c r="AI18" s="34">
        <v>16.395833718563857</v>
      </c>
      <c r="AJ18" s="33">
        <v>25212.320681348541</v>
      </c>
      <c r="AK18" s="34">
        <v>3.3378369679061839</v>
      </c>
      <c r="AL18" s="33">
        <v>23530.844718177996</v>
      </c>
      <c r="AM18" s="34">
        <v>0.28209800663590695</v>
      </c>
      <c r="AN18" s="33"/>
      <c r="AO18" s="34"/>
      <c r="AP18" s="33"/>
      <c r="AQ18" s="34"/>
      <c r="AR18" s="33"/>
      <c r="AS18" s="34"/>
      <c r="AT18" s="33"/>
      <c r="AU18" s="34"/>
      <c r="AV18" s="33"/>
      <c r="AW18" s="34"/>
    </row>
    <row r="19" spans="1:49" x14ac:dyDescent="0.2">
      <c r="A19" t="s">
        <v>3</v>
      </c>
      <c r="B19" s="41">
        <v>1886.3937399999918</v>
      </c>
      <c r="C19" s="42">
        <v>262.78711299999759</v>
      </c>
      <c r="D19" s="41">
        <v>1880.0370893139923</v>
      </c>
      <c r="E19" s="42">
        <v>268.70283679519366</v>
      </c>
      <c r="F19" s="41">
        <v>1873.1910971006541</v>
      </c>
      <c r="G19" s="42">
        <v>275.62460382660333</v>
      </c>
      <c r="H19" s="41">
        <v>1865.7856247368916</v>
      </c>
      <c r="I19" s="42">
        <v>283.68366180611429</v>
      </c>
      <c r="J19" s="41">
        <v>1857.7375720192049</v>
      </c>
      <c r="K19" s="42">
        <v>293.02682856315926</v>
      </c>
      <c r="L19" s="41">
        <v>1848.9485424417603</v>
      </c>
      <c r="M19" s="42">
        <v>303.81225354398475</v>
      </c>
      <c r="N19" s="41">
        <v>1839.3025387345642</v>
      </c>
      <c r="O19" s="42">
        <v>316.20910453711855</v>
      </c>
      <c r="P19" s="41">
        <v>1828.6635404085782</v>
      </c>
      <c r="Q19" s="42">
        <v>330.37833360722584</v>
      </c>
      <c r="R19" s="41">
        <v>1816.8735259426232</v>
      </c>
      <c r="S19" s="42">
        <v>346.4505622507865</v>
      </c>
      <c r="T19" s="41">
        <v>1803.7517823528983</v>
      </c>
      <c r="U19" s="42">
        <v>364.47605804724446</v>
      </c>
      <c r="V19" s="41">
        <v>1789.0964598132466</v>
      </c>
      <c r="W19" s="42">
        <v>384.33295616760444</v>
      </c>
      <c r="X19" s="41">
        <v>1772.6911806062012</v>
      </c>
      <c r="Y19" s="42">
        <v>405.55374296782855</v>
      </c>
      <c r="Z19" s="41">
        <v>1754.3196653001455</v>
      </c>
      <c r="AA19" s="42">
        <v>426.99799280205974</v>
      </c>
      <c r="AB19" s="41">
        <v>1733.7896868429602</v>
      </c>
      <c r="AC19" s="42">
        <v>446.23378928527978</v>
      </c>
      <c r="AD19" s="41">
        <v>1710.9400665887913</v>
      </c>
      <c r="AE19" s="42">
        <v>458.4244099877771</v>
      </c>
      <c r="AF19" s="41">
        <v>1685.445946097755</v>
      </c>
      <c r="AG19" s="42">
        <v>454.71485477647201</v>
      </c>
      <c r="AH19" s="41">
        <v>1655.5171245155418</v>
      </c>
      <c r="AI19" s="42">
        <v>421.88449813154597</v>
      </c>
      <c r="AJ19" s="41">
        <v>1612.634947747785</v>
      </c>
      <c r="AK19" s="42">
        <v>349.43911817891745</v>
      </c>
      <c r="AL19" s="41">
        <v>1526.994672010607</v>
      </c>
      <c r="AM19" s="42">
        <v>243.60995437659341</v>
      </c>
      <c r="AN19" s="41"/>
      <c r="AO19" s="42"/>
      <c r="AP19" s="41"/>
      <c r="AQ19" s="42"/>
      <c r="AR19" s="41"/>
      <c r="AS19" s="42"/>
      <c r="AT19" s="41"/>
      <c r="AU19" s="42"/>
      <c r="AV19" s="41"/>
      <c r="AW19" s="42"/>
    </row>
    <row r="20" spans="1:49" x14ac:dyDescent="0.2">
      <c r="A20" t="s">
        <v>127</v>
      </c>
      <c r="B20" s="82">
        <v>26548.356269999993</v>
      </c>
      <c r="C20" s="83">
        <v>1408.5418709999938</v>
      </c>
      <c r="D20" s="82">
        <v>26537.446368713572</v>
      </c>
      <c r="E20" s="83">
        <v>1338.1147774499941</v>
      </c>
      <c r="F20" s="82">
        <v>26522.461077785585</v>
      </c>
      <c r="G20" s="83">
        <v>1267.6876838999945</v>
      </c>
      <c r="H20" s="82">
        <v>26502.793645769223</v>
      </c>
      <c r="I20" s="83">
        <v>1197.2605903499946</v>
      </c>
      <c r="J20" s="82">
        <v>26477.706558110629</v>
      </c>
      <c r="K20" s="83">
        <v>1126.8334967999949</v>
      </c>
      <c r="L20" s="82">
        <v>26446.286100320467</v>
      </c>
      <c r="M20" s="83">
        <v>1056.4064032499953</v>
      </c>
      <c r="N20" s="82">
        <v>26407.393687166114</v>
      </c>
      <c r="O20" s="83">
        <v>985.97930969999561</v>
      </c>
      <c r="P20" s="82">
        <v>26359.576260906138</v>
      </c>
      <c r="Q20" s="83">
        <v>915.55221614999596</v>
      </c>
      <c r="R20" s="82">
        <v>26300.944593711261</v>
      </c>
      <c r="S20" s="83">
        <v>845.12512259999642</v>
      </c>
      <c r="T20" s="82">
        <v>26228.980654486884</v>
      </c>
      <c r="U20" s="83">
        <v>774.69802904999653</v>
      </c>
      <c r="V20" s="82">
        <v>26140.221490287651</v>
      </c>
      <c r="W20" s="83">
        <v>704.27093549999688</v>
      </c>
      <c r="X20" s="82">
        <v>26029.724616896197</v>
      </c>
      <c r="Y20" s="83">
        <v>633.84384194999734</v>
      </c>
      <c r="Z20" s="82">
        <v>25890.101860978237</v>
      </c>
      <c r="AA20" s="83">
        <v>563.41674839999757</v>
      </c>
      <c r="AB20" s="82">
        <v>25709.669009142719</v>
      </c>
      <c r="AC20" s="83">
        <v>492.98965484999775</v>
      </c>
      <c r="AD20" s="82">
        <v>25468.647904141675</v>
      </c>
      <c r="AE20" s="83">
        <v>422.56256129999804</v>
      </c>
      <c r="AF20" s="82">
        <v>25130.892071733371</v>
      </c>
      <c r="AG20" s="83">
        <v>352.13546774999821</v>
      </c>
      <c r="AH20" s="82">
        <v>24624.966908414623</v>
      </c>
      <c r="AI20" s="83">
        <v>281.70837419999856</v>
      </c>
      <c r="AJ20" s="82">
        <v>23797.590755967896</v>
      </c>
      <c r="AK20" s="83">
        <v>211.28128064999879</v>
      </c>
      <c r="AL20" s="82">
        <v>22265.269402164813</v>
      </c>
      <c r="AM20" s="83">
        <v>140.85418709999905</v>
      </c>
      <c r="AN20" s="82"/>
      <c r="AO20" s="83"/>
      <c r="AP20" s="82"/>
      <c r="AQ20" s="83"/>
      <c r="AR20" s="82"/>
      <c r="AS20" s="83"/>
      <c r="AT20" s="82"/>
      <c r="AU20" s="83"/>
      <c r="AV20" s="82"/>
      <c r="AW20" s="83"/>
    </row>
    <row r="21" spans="1:49" x14ac:dyDescent="0.2">
      <c r="A21" t="s">
        <v>76</v>
      </c>
      <c r="B21" s="82">
        <v>24661.962529999968</v>
      </c>
      <c r="C21" s="83">
        <v>1145.7547579999991</v>
      </c>
      <c r="D21" s="82">
        <v>24657.413732201108</v>
      </c>
      <c r="E21" s="83">
        <v>1069.6292486487782</v>
      </c>
      <c r="F21" s="82">
        <v>24649.288473955126</v>
      </c>
      <c r="G21" s="83">
        <v>993.00019737166929</v>
      </c>
      <c r="H21" s="82">
        <v>24637.051342822291</v>
      </c>
      <c r="I21" s="83">
        <v>915.85672468627115</v>
      </c>
      <c r="J21" s="82">
        <v>24620.049407097213</v>
      </c>
      <c r="K21" s="83">
        <v>838.20199056779552</v>
      </c>
      <c r="L21" s="82">
        <v>24597.469171797522</v>
      </c>
      <c r="M21" s="83">
        <v>760.06423315453833</v>
      </c>
      <c r="N21" s="82">
        <v>24568.290269509376</v>
      </c>
      <c r="O21" s="83">
        <v>681.50570422270698</v>
      </c>
      <c r="P21" s="82">
        <v>24531.198302341094</v>
      </c>
      <c r="Q21" s="83">
        <v>602.64952946253857</v>
      </c>
      <c r="R21" s="82">
        <v>24484.465065052678</v>
      </c>
      <c r="S21" s="83">
        <v>523.70880974501029</v>
      </c>
      <c r="T21" s="82">
        <v>24425.756350164935</v>
      </c>
      <c r="U21" s="83">
        <v>445.03685334518485</v>
      </c>
      <c r="V21" s="82">
        <v>24351.813602858747</v>
      </c>
      <c r="W21" s="83">
        <v>367.2026213535608</v>
      </c>
      <c r="X21" s="82">
        <v>24257.911151332115</v>
      </c>
      <c r="Y21" s="83">
        <v>291.10734956531604</v>
      </c>
      <c r="Z21" s="82">
        <v>24136.8720956045</v>
      </c>
      <c r="AA21" s="83">
        <v>218.16118539175696</v>
      </c>
      <c r="AB21" s="82">
        <v>23977.187304526749</v>
      </c>
      <c r="AC21" s="83">
        <v>150.53776781658789</v>
      </c>
      <c r="AD21" s="82">
        <v>23759.198533247491</v>
      </c>
      <c r="AE21" s="83">
        <v>91.468026611617546</v>
      </c>
      <c r="AF21" s="82">
        <v>23447.004224332039</v>
      </c>
      <c r="AG21" s="83">
        <v>45.264513403622956</v>
      </c>
      <c r="AH21" s="82">
        <v>22970.852954135775</v>
      </c>
      <c r="AI21" s="83">
        <v>15.959350839405204</v>
      </c>
      <c r="AJ21" s="82">
        <v>22185.954922652629</v>
      </c>
      <c r="AK21" s="83">
        <v>3.2521585288498494</v>
      </c>
      <c r="AL21" s="82">
        <v>20738.799689724681</v>
      </c>
      <c r="AM21" s="83">
        <v>0.27497151054761848</v>
      </c>
      <c r="AN21" s="82"/>
      <c r="AO21" s="83"/>
      <c r="AP21" s="82"/>
      <c r="AQ21" s="83"/>
      <c r="AR21" s="82"/>
      <c r="AS21" s="83"/>
      <c r="AT21" s="82"/>
      <c r="AU21" s="83"/>
      <c r="AV21" s="82"/>
      <c r="AW21" s="83"/>
    </row>
    <row r="22" spans="1:49" x14ac:dyDescent="0.2">
      <c r="A22" t="s">
        <v>28</v>
      </c>
      <c r="B22" s="41">
        <v>6533.6044688320644</v>
      </c>
      <c r="C22" s="42">
        <v>379.90788307663382</v>
      </c>
      <c r="D22" s="41">
        <v>6534.8515557612627</v>
      </c>
      <c r="E22" s="42">
        <v>364.17376702293541</v>
      </c>
      <c r="F22" s="41">
        <v>6534.5524927912138</v>
      </c>
      <c r="G22" s="42">
        <v>348.24898810673881</v>
      </c>
      <c r="H22" s="41">
        <v>6532.4841559130864</v>
      </c>
      <c r="I22" s="42">
        <v>332.13011206832618</v>
      </c>
      <c r="J22" s="41">
        <v>6528.3770190791174</v>
      </c>
      <c r="K22" s="42">
        <v>315.81265112883949</v>
      </c>
      <c r="L22" s="41">
        <v>6521.8964374910493</v>
      </c>
      <c r="M22" s="42">
        <v>299.29030733136523</v>
      </c>
      <c r="N22" s="41">
        <v>6512.6333780524737</v>
      </c>
      <c r="O22" s="42">
        <v>282.55314672447065</v>
      </c>
      <c r="P22" s="41">
        <v>6500.0670603557273</v>
      </c>
      <c r="Q22" s="42">
        <v>265.58646631206</v>
      </c>
      <c r="R22" s="41">
        <v>6483.5296388119723</v>
      </c>
      <c r="S22" s="42">
        <v>248.36730423614429</v>
      </c>
      <c r="T22" s="41">
        <v>6462.1446819178582</v>
      </c>
      <c r="U22" s="42">
        <v>230.86019769758366</v>
      </c>
      <c r="V22" s="41">
        <v>6434.7300590425994</v>
      </c>
      <c r="W22" s="42">
        <v>213.01035763505467</v>
      </c>
      <c r="X22" s="41">
        <v>6399.6386840836967</v>
      </c>
      <c r="Y22" s="42">
        <v>194.73390461895497</v>
      </c>
      <c r="Z22" s="41">
        <v>6354.479141816304</v>
      </c>
      <c r="AA22" s="42">
        <v>175.9038228552277</v>
      </c>
      <c r="AB22" s="41">
        <v>6295.5953034594922</v>
      </c>
      <c r="AC22" s="42">
        <v>156.33257773720504</v>
      </c>
      <c r="AD22" s="41">
        <v>6217.0201587200172</v>
      </c>
      <c r="AE22" s="42">
        <v>135.75937085285736</v>
      </c>
      <c r="AF22" s="41">
        <v>6108.2091668985886</v>
      </c>
      <c r="AG22" s="42">
        <v>113.88155122214222</v>
      </c>
      <c r="AH22" s="41">
        <v>5948.7449535207516</v>
      </c>
      <c r="AI22" s="42">
        <v>90.540676988462479</v>
      </c>
      <c r="AJ22" s="41">
        <v>5694.9774375042625</v>
      </c>
      <c r="AK22" s="42">
        <v>66.143489106157887</v>
      </c>
      <c r="AL22" s="41">
        <v>5239.8466542034857</v>
      </c>
      <c r="AM22" s="42">
        <v>41.821751491412414</v>
      </c>
      <c r="AN22" s="41"/>
      <c r="AO22" s="42"/>
      <c r="AP22" s="41"/>
      <c r="AQ22" s="42"/>
      <c r="AR22" s="41"/>
      <c r="AS22" s="42"/>
      <c r="AT22" s="41"/>
      <c r="AU22" s="42"/>
      <c r="AV22" s="41"/>
      <c r="AW22" s="42"/>
    </row>
    <row r="23" spans="1:49" x14ac:dyDescent="0.2">
      <c r="A23" t="s">
        <v>7</v>
      </c>
      <c r="B23" s="116">
        <v>3278.5018080150408</v>
      </c>
      <c r="C23" s="8">
        <v>0</v>
      </c>
      <c r="D23" s="116">
        <v>3284.0426466703098</v>
      </c>
      <c r="E23" s="8">
        <v>0</v>
      </c>
      <c r="F23" s="116">
        <v>3289.2053577554693</v>
      </c>
      <c r="G23" s="8">
        <v>0</v>
      </c>
      <c r="H23" s="116">
        <v>3293.9283347907235</v>
      </c>
      <c r="I23" s="8">
        <v>0</v>
      </c>
      <c r="J23" s="116">
        <v>3298.1362735271096</v>
      </c>
      <c r="K23" s="8">
        <v>0</v>
      </c>
      <c r="L23" s="116">
        <v>3301.7345640355611</v>
      </c>
      <c r="M23" s="8">
        <v>0</v>
      </c>
      <c r="N23" s="116">
        <v>3304.6061834757006</v>
      </c>
      <c r="O23" s="8">
        <v>0</v>
      </c>
      <c r="P23" s="116">
        <v>3306.6016459686621</v>
      </c>
      <c r="Q23" s="8">
        <v>0</v>
      </c>
      <c r="R23" s="116">
        <v>3307.5288264261799</v>
      </c>
      <c r="S23" s="8">
        <v>0</v>
      </c>
      <c r="T23" s="116">
        <v>3307.136794850695</v>
      </c>
      <c r="U23" s="8">
        <v>0</v>
      </c>
      <c r="V23" s="116">
        <v>3305.0907155353666</v>
      </c>
      <c r="W23" s="8">
        <v>0</v>
      </c>
      <c r="X23" s="116">
        <v>3300.932617367152</v>
      </c>
      <c r="Y23" s="8">
        <v>0</v>
      </c>
      <c r="Z23" s="116">
        <v>3294.0138730921453</v>
      </c>
      <c r="AA23" s="8">
        <v>0</v>
      </c>
      <c r="AB23" s="116">
        <v>3283.3692782312887</v>
      </c>
      <c r="AC23" s="8">
        <v>0</v>
      </c>
      <c r="AD23" s="116">
        <v>3267.4484438930135</v>
      </c>
      <c r="AE23" s="8">
        <v>0</v>
      </c>
      <c r="AF23" s="116">
        <v>3243.4463307896181</v>
      </c>
      <c r="AG23" s="8">
        <v>0</v>
      </c>
      <c r="AH23" s="116">
        <v>3205.344888768263</v>
      </c>
      <c r="AI23" s="8">
        <v>0</v>
      </c>
      <c r="AJ23" s="116">
        <v>3137.7632988428518</v>
      </c>
      <c r="AK23" s="8">
        <v>0</v>
      </c>
      <c r="AL23" s="116">
        <v>2995.6332769791279</v>
      </c>
      <c r="AM23" s="8">
        <v>0</v>
      </c>
      <c r="AN23" s="116"/>
      <c r="AO23" s="8"/>
      <c r="AP23" s="116"/>
      <c r="AQ23" s="8"/>
      <c r="AR23" s="116"/>
      <c r="AS23" s="8"/>
      <c r="AT23" s="116"/>
      <c r="AU23" s="8"/>
      <c r="AV23" s="116"/>
      <c r="AW23" s="8"/>
    </row>
    <row r="24" spans="1:49" x14ac:dyDescent="0.2">
      <c r="A24" t="s">
        <v>8</v>
      </c>
      <c r="B24" s="97">
        <v>3196.3846373657216</v>
      </c>
      <c r="C24" s="8">
        <v>0</v>
      </c>
      <c r="D24" s="97">
        <v>3201.7866956583243</v>
      </c>
      <c r="E24" s="8">
        <v>0</v>
      </c>
      <c r="F24" s="97">
        <v>3206.8200958768625</v>
      </c>
      <c r="G24" s="8">
        <v>0</v>
      </c>
      <c r="H24" s="97">
        <v>3211.4247765491991</v>
      </c>
      <c r="I24" s="8">
        <v>0</v>
      </c>
      <c r="J24" s="97">
        <v>3215.5273115815926</v>
      </c>
      <c r="K24" s="8">
        <v>0</v>
      </c>
      <c r="L24" s="97">
        <v>3219.035478409724</v>
      </c>
      <c r="M24" s="8">
        <v>0</v>
      </c>
      <c r="N24" s="97">
        <v>3221.8351715990475</v>
      </c>
      <c r="O24" s="8">
        <v>0</v>
      </c>
      <c r="P24" s="97">
        <v>3223.7806530966709</v>
      </c>
      <c r="Q24" s="8">
        <v>0</v>
      </c>
      <c r="R24" s="97">
        <v>3224.6846109447274</v>
      </c>
      <c r="S24" s="8">
        <v>0</v>
      </c>
      <c r="T24" s="97">
        <v>3224.3023987377005</v>
      </c>
      <c r="U24" s="8">
        <v>0</v>
      </c>
      <c r="V24" s="97">
        <v>3222.3075679934855</v>
      </c>
      <c r="W24" s="8">
        <v>0</v>
      </c>
      <c r="X24" s="97">
        <v>3218.2536182998342</v>
      </c>
      <c r="Y24" s="8">
        <v>0</v>
      </c>
      <c r="Z24" s="97">
        <v>3211.5081696934212</v>
      </c>
      <c r="AA24" s="8">
        <v>0</v>
      </c>
      <c r="AB24" s="97">
        <v>3201.1301911076785</v>
      </c>
      <c r="AC24" s="8">
        <v>0</v>
      </c>
      <c r="AD24" s="97">
        <v>3185.608128482037</v>
      </c>
      <c r="AE24" s="8">
        <v>0</v>
      </c>
      <c r="AF24" s="97">
        <v>3162.2072004175366</v>
      </c>
      <c r="AG24" s="8">
        <v>0</v>
      </c>
      <c r="AH24" s="97">
        <v>3125.0600914376059</v>
      </c>
      <c r="AI24" s="8">
        <v>0</v>
      </c>
      <c r="AJ24" s="97">
        <v>3059.1712286369948</v>
      </c>
      <c r="AK24" s="8">
        <v>0</v>
      </c>
      <c r="AL24" s="97">
        <v>2920.6011606608877</v>
      </c>
      <c r="AM24" s="8">
        <v>0</v>
      </c>
      <c r="AN24" s="97"/>
      <c r="AO24" s="8"/>
      <c r="AP24" s="97"/>
      <c r="AQ24" s="8"/>
      <c r="AR24" s="97"/>
      <c r="AS24" s="8"/>
      <c r="AT24" s="97"/>
      <c r="AU24" s="8"/>
      <c r="AV24" s="97"/>
      <c r="AW24" s="8"/>
    </row>
    <row r="25" spans="1:49" x14ac:dyDescent="0.2">
      <c r="A25" t="s">
        <v>0</v>
      </c>
      <c r="B25" s="41">
        <v>3195.0476040000012</v>
      </c>
      <c r="C25" s="42">
        <v>91.012690000004397</v>
      </c>
      <c r="D25" s="41">
        <v>3204.6679744742496</v>
      </c>
      <c r="E25" s="42">
        <v>81.185875028419844</v>
      </c>
      <c r="F25" s="41">
        <v>3214.2607319697886</v>
      </c>
      <c r="G25" s="42">
        <v>71.702084644245701</v>
      </c>
      <c r="H25" s="41">
        <v>3223.8151154574566</v>
      </c>
      <c r="I25" s="42">
        <v>62.602412358383617</v>
      </c>
      <c r="J25" s="41">
        <v>3233.3140409636067</v>
      </c>
      <c r="K25" s="42">
        <v>53.930633555665842</v>
      </c>
      <c r="L25" s="41">
        <v>3242.7273750722825</v>
      </c>
      <c r="M25" s="42">
        <v>45.734002069206731</v>
      </c>
      <c r="N25" s="41">
        <v>3252.0043020612125</v>
      </c>
      <c r="O25" s="42">
        <v>38.06127853117124</v>
      </c>
      <c r="P25" s="41">
        <v>3261.0550699996838</v>
      </c>
      <c r="Q25" s="42">
        <v>30.964042469419429</v>
      </c>
      <c r="R25" s="41">
        <v>3269.72295219129</v>
      </c>
      <c r="S25" s="42">
        <v>24.495179158428343</v>
      </c>
      <c r="T25" s="41">
        <v>3277.7338080692093</v>
      </c>
      <c r="U25" s="42">
        <v>18.707937056522663</v>
      </c>
      <c r="V25" s="41">
        <v>3284.6059706547107</v>
      </c>
      <c r="W25" s="42">
        <v>13.654358145978524</v>
      </c>
      <c r="X25" s="41">
        <v>3289.4866687835602</v>
      </c>
      <c r="Y25" s="42">
        <v>9.382571687501633</v>
      </c>
      <c r="Z25" s="41">
        <v>3290.8467557305221</v>
      </c>
      <c r="AA25" s="42">
        <v>5.9322576433151424</v>
      </c>
      <c r="AB25" s="41">
        <v>3285.9009589530119</v>
      </c>
      <c r="AC25" s="42">
        <v>3.326237342749967</v>
      </c>
      <c r="AD25" s="41">
        <v>3269.5139072485126</v>
      </c>
      <c r="AE25" s="42">
        <v>1.5543049251837855</v>
      </c>
      <c r="AF25" s="41">
        <v>3232.3196853885229</v>
      </c>
      <c r="AG25" s="42">
        <v>0.54329250396955597</v>
      </c>
      <c r="AH25" s="41">
        <v>3158.4570726066936</v>
      </c>
      <c r="AI25" s="42">
        <v>0.11808433155929549</v>
      </c>
      <c r="AJ25" s="41">
        <v>3024.6463140580454</v>
      </c>
      <c r="AK25" s="42">
        <v>1.1935426088086251E-2</v>
      </c>
      <c r="AL25" s="41">
        <v>2791.1560928818958</v>
      </c>
      <c r="AM25" s="42">
        <v>3.5143938998435855E-4</v>
      </c>
      <c r="AN25" s="41"/>
      <c r="AO25" s="42"/>
      <c r="AP25" s="41"/>
      <c r="AQ25" s="42"/>
      <c r="AR25" s="41"/>
      <c r="AS25" s="42"/>
      <c r="AT25" s="41"/>
      <c r="AU25" s="42"/>
      <c r="AV25" s="41"/>
      <c r="AW25" s="42"/>
    </row>
    <row r="26" spans="1:49" x14ac:dyDescent="0.2">
      <c r="A26" t="s">
        <v>27</v>
      </c>
      <c r="B26" s="33">
        <v>5036.2953101960647</v>
      </c>
      <c r="C26" s="34">
        <v>74.905331803938267</v>
      </c>
      <c r="D26" s="33">
        <v>5040.9454638238403</v>
      </c>
      <c r="E26" s="34">
        <v>70.255178176158893</v>
      </c>
      <c r="F26" s="33">
        <v>5045.6316371502471</v>
      </c>
      <c r="G26" s="34">
        <v>65.569004849764909</v>
      </c>
      <c r="H26" s="33">
        <v>5050.3578442893395</v>
      </c>
      <c r="I26" s="34">
        <v>60.842797710684209</v>
      </c>
      <c r="J26" s="33">
        <v>5055.1283996095335</v>
      </c>
      <c r="K26" s="34">
        <v>56.072242390470201</v>
      </c>
      <c r="L26" s="33">
        <v>5059.9471710644584</v>
      </c>
      <c r="M26" s="34">
        <v>51.253470935544826</v>
      </c>
      <c r="N26" s="33">
        <v>5064.817757910876</v>
      </c>
      <c r="O26" s="34">
        <v>46.382884089131529</v>
      </c>
      <c r="P26" s="33">
        <v>5069.7417527250855</v>
      </c>
      <c r="Q26" s="34">
        <v>41.458889274924331</v>
      </c>
      <c r="R26" s="33">
        <v>5074.7173037781531</v>
      </c>
      <c r="S26" s="34">
        <v>36.483338221850637</v>
      </c>
      <c r="T26" s="33">
        <v>5079.7361480822328</v>
      </c>
      <c r="U26" s="34">
        <v>31.464493917771524</v>
      </c>
      <c r="V26" s="33">
        <v>5084.7786031947953</v>
      </c>
      <c r="W26" s="34">
        <v>26.422038805206881</v>
      </c>
      <c r="X26" s="33">
        <v>5089.8053768941927</v>
      </c>
      <c r="Y26" s="34">
        <v>21.395265105808466</v>
      </c>
      <c r="Z26" s="33">
        <v>5094.7439137002484</v>
      </c>
      <c r="AA26" s="34">
        <v>16.456728299749702</v>
      </c>
      <c r="AB26" s="33">
        <v>5099.4664891017037</v>
      </c>
      <c r="AC26" s="34">
        <v>11.734152898296458</v>
      </c>
      <c r="AD26" s="33">
        <v>5103.7588449860177</v>
      </c>
      <c r="AE26" s="34">
        <v>7.4417970139881628</v>
      </c>
      <c r="AF26" s="33">
        <v>5107.2952843368594</v>
      </c>
      <c r="AG26" s="34">
        <v>3.9053576631438878</v>
      </c>
      <c r="AH26" s="33">
        <v>5109.70124748535</v>
      </c>
      <c r="AI26" s="34">
        <v>1.4993945146501464</v>
      </c>
      <c r="AJ26" s="33">
        <v>5110.8521923979106</v>
      </c>
      <c r="AK26" s="34">
        <v>0.34844960209211107</v>
      </c>
      <c r="AL26" s="33">
        <v>5111.1637926724188</v>
      </c>
      <c r="AM26" s="34">
        <v>3.6849327585331354E-2</v>
      </c>
      <c r="AN26" s="33"/>
      <c r="AO26" s="34"/>
      <c r="AP26" s="33"/>
      <c r="AQ26" s="34"/>
      <c r="AR26" s="33"/>
      <c r="AS26" s="34"/>
      <c r="AT26" s="33"/>
      <c r="AU26" s="34"/>
      <c r="AV26" s="33"/>
      <c r="AW26" s="34"/>
    </row>
    <row r="27" spans="1:49" x14ac:dyDescent="0.2">
      <c r="A27" t="s">
        <v>2</v>
      </c>
      <c r="B27" s="35">
        <v>6425.1981590000069</v>
      </c>
      <c r="C27" s="36">
        <v>273.22915400000028</v>
      </c>
      <c r="D27" s="35">
        <v>6441.8805861324508</v>
      </c>
      <c r="E27" s="36">
        <v>256.5467819184741</v>
      </c>
      <c r="F27" s="35">
        <v>6458.729527072247</v>
      </c>
      <c r="G27" s="36">
        <v>239.69785368613287</v>
      </c>
      <c r="H27" s="35">
        <v>6475.7603459954007</v>
      </c>
      <c r="I27" s="36">
        <v>222.66706208902264</v>
      </c>
      <c r="J27" s="35">
        <v>6492.989958192361</v>
      </c>
      <c r="K27" s="36">
        <v>205.43750717666552</v>
      </c>
      <c r="L27" s="35">
        <v>6510.4326874483313</v>
      </c>
      <c r="M27" s="36">
        <v>187.99462559060942</v>
      </c>
      <c r="N27" s="35">
        <v>6528.1036092245222</v>
      </c>
      <c r="O27" s="36">
        <v>170.32370284518356</v>
      </c>
      <c r="P27" s="35">
        <v>6546.009612163527</v>
      </c>
      <c r="Q27" s="36">
        <v>152.41769776671629</v>
      </c>
      <c r="R27" s="35">
        <v>6564.1452744164326</v>
      </c>
      <c r="S27" s="36">
        <v>134.2820480681292</v>
      </c>
      <c r="T27" s="35">
        <v>6582.4818411137085</v>
      </c>
      <c r="U27" s="36">
        <v>115.9454787736652</v>
      </c>
      <c r="V27" s="35">
        <v>6600.9482754658438</v>
      </c>
      <c r="W27" s="36">
        <v>97.47904281205733</v>
      </c>
      <c r="X27" s="35">
        <v>6619.4008408884483</v>
      </c>
      <c r="Y27" s="36">
        <v>79.02646461765508</v>
      </c>
      <c r="Z27" s="35">
        <v>6637.5718888642605</v>
      </c>
      <c r="AA27" s="36">
        <v>60.855454518496806</v>
      </c>
      <c r="AB27" s="35">
        <v>6654.987664685892</v>
      </c>
      <c r="AC27" s="36">
        <v>43.439643619228178</v>
      </c>
      <c r="AD27" s="35">
        <v>6670.8502882475605</v>
      </c>
      <c r="AE27" s="36">
        <v>27.577008092371379</v>
      </c>
      <c r="AF27" s="35">
        <v>6683.9433061337795</v>
      </c>
      <c r="AG27" s="36">
        <v>14.484008701248392</v>
      </c>
      <c r="AH27" s="35">
        <v>6692.8633055015607</v>
      </c>
      <c r="AI27" s="36">
        <v>5.5640036328288689</v>
      </c>
      <c r="AJ27" s="35">
        <v>6697.1339240184734</v>
      </c>
      <c r="AK27" s="36">
        <v>1.2933851853824361</v>
      </c>
      <c r="AL27" s="35">
        <v>6698.2905243816012</v>
      </c>
      <c r="AM27" s="36">
        <v>0.13678839341585225</v>
      </c>
      <c r="AN27" s="35"/>
      <c r="AO27" s="36"/>
      <c r="AP27" s="35"/>
      <c r="AQ27" s="36"/>
      <c r="AR27" s="35"/>
      <c r="AS27" s="36"/>
      <c r="AT27" s="35"/>
      <c r="AU27" s="36"/>
      <c r="AV27" s="35"/>
      <c r="AW27" s="36"/>
    </row>
    <row r="28" spans="1:49" x14ac:dyDescent="0.2">
      <c r="A28" t="s">
        <v>35</v>
      </c>
      <c r="B28" s="41">
        <v>13763.097676000007</v>
      </c>
      <c r="C28" s="42">
        <v>382.36647900000003</v>
      </c>
      <c r="D28" s="41">
        <v>13786.539440933089</v>
      </c>
      <c r="E28" s="42">
        <v>358.90852636986358</v>
      </c>
      <c r="F28" s="41">
        <v>13810.167700078371</v>
      </c>
      <c r="G28" s="42">
        <v>335.23102332988145</v>
      </c>
      <c r="H28" s="41">
        <v>13834.002678596577</v>
      </c>
      <c r="I28" s="42">
        <v>311.31291899042077</v>
      </c>
      <c r="J28" s="41">
        <v>13858.066451121944</v>
      </c>
      <c r="K28" s="42">
        <v>287.13113975065863</v>
      </c>
      <c r="L28" s="41">
        <v>13882.377739565754</v>
      </c>
      <c r="M28" s="42">
        <v>262.66559877333924</v>
      </c>
      <c r="N28" s="41">
        <v>13906.955487554909</v>
      </c>
      <c r="O28" s="42">
        <v>237.89646488414311</v>
      </c>
      <c r="P28" s="41">
        <v>13931.80751320219</v>
      </c>
      <c r="Q28" s="42">
        <v>212.81450948124922</v>
      </c>
      <c r="R28" s="41">
        <v>13956.924431973453</v>
      </c>
      <c r="S28" s="42">
        <v>187.42801125044292</v>
      </c>
      <c r="T28" s="41">
        <v>13982.264633682213</v>
      </c>
      <c r="U28" s="42">
        <v>161.77789106094414</v>
      </c>
      <c r="V28" s="41">
        <v>14007.728661606807</v>
      </c>
      <c r="W28" s="42">
        <v>135.96403925283107</v>
      </c>
      <c r="X28" s="41">
        <v>14033.11797503691</v>
      </c>
      <c r="Y28" s="42">
        <v>110.18758481493271</v>
      </c>
      <c r="Z28" s="41">
        <v>14058.065828313986</v>
      </c>
      <c r="AA28" s="42">
        <v>84.822071822824256</v>
      </c>
      <c r="AB28" s="41">
        <v>14081.926504298941</v>
      </c>
      <c r="AC28" s="42">
        <v>60.527263307240446</v>
      </c>
      <c r="AD28" s="41">
        <v>14103.61662216546</v>
      </c>
      <c r="AE28" s="42">
        <v>38.413157064115012</v>
      </c>
      <c r="AF28" s="41">
        <v>14121.489116292312</v>
      </c>
      <c r="AG28" s="42">
        <v>20.170303110486863</v>
      </c>
      <c r="AH28" s="41">
        <v>14133.649492514525</v>
      </c>
      <c r="AI28" s="42">
        <v>7.7470559872068643</v>
      </c>
      <c r="AJ28" s="41">
        <v>14139.466982627602</v>
      </c>
      <c r="AK28" s="42">
        <v>1.8007008327491025</v>
      </c>
      <c r="AL28" s="41">
        <v>14141.042013706019</v>
      </c>
      <c r="AM28" s="42">
        <v>0.19043782307050333</v>
      </c>
      <c r="AN28" s="41"/>
      <c r="AO28" s="42"/>
      <c r="AP28" s="41"/>
      <c r="AQ28" s="42"/>
      <c r="AR28" s="41"/>
      <c r="AS28" s="42"/>
      <c r="AT28" s="41"/>
      <c r="AU28" s="42"/>
      <c r="AV28" s="41"/>
      <c r="AW28" s="42"/>
    </row>
    <row r="29" spans="1:49" x14ac:dyDescent="0.2">
      <c r="A29" t="s">
        <v>53</v>
      </c>
      <c r="B29" s="35">
        <v>14362.768558000003</v>
      </c>
      <c r="C29" s="36">
        <v>817.26651000000004</v>
      </c>
      <c r="D29" s="35">
        <v>14365.059378685562</v>
      </c>
      <c r="E29" s="36">
        <v>759.04786696961571</v>
      </c>
      <c r="F29" s="35">
        <v>14365.482277370269</v>
      </c>
      <c r="G29" s="36">
        <v>700.90302152032007</v>
      </c>
      <c r="H29" s="35">
        <v>14363.754366782427</v>
      </c>
      <c r="I29" s="36">
        <v>642.86308344975407</v>
      </c>
      <c r="J29" s="35">
        <v>14359.528757144244</v>
      </c>
      <c r="K29" s="36">
        <v>584.96781208070172</v>
      </c>
      <c r="L29" s="35">
        <v>14352.369108739118</v>
      </c>
      <c r="M29" s="36">
        <v>527.27832118165941</v>
      </c>
      <c r="N29" s="35">
        <v>14341.721526938263</v>
      </c>
      <c r="O29" s="36">
        <v>469.87334605850998</v>
      </c>
      <c r="P29" s="35">
        <v>14326.860894899501</v>
      </c>
      <c r="Q29" s="36">
        <v>412.87333158112506</v>
      </c>
      <c r="R29" s="35">
        <v>14306.814805897924</v>
      </c>
      <c r="S29" s="36">
        <v>356.45562949337943</v>
      </c>
      <c r="T29" s="35">
        <v>14280.239230763189</v>
      </c>
      <c r="U29" s="36">
        <v>300.88509357824091</v>
      </c>
      <c r="V29" s="35">
        <v>14245.209171201815</v>
      </c>
      <c r="W29" s="36">
        <v>246.5626444523902</v>
      </c>
      <c r="X29" s="35">
        <v>14198.856709055428</v>
      </c>
      <c r="Y29" s="36">
        <v>194.0968673388133</v>
      </c>
      <c r="Z29" s="35">
        <v>14136.710185261602</v>
      </c>
      <c r="AA29" s="36">
        <v>144.41403796277353</v>
      </c>
      <c r="AB29" s="35">
        <v>14051.432823502817</v>
      </c>
      <c r="AC29" s="36">
        <v>98.913227494381104</v>
      </c>
      <c r="AD29" s="35">
        <v>13930.303464850775</v>
      </c>
      <c r="AE29" s="36">
        <v>59.641562197417215</v>
      </c>
      <c r="AF29" s="35">
        <v>13750.092800437271</v>
      </c>
      <c r="AG29" s="36">
        <v>29.280958598012102</v>
      </c>
      <c r="AH29" s="35">
        <v>13466.823970694692</v>
      </c>
      <c r="AI29" s="36">
        <v>10.239506999172972</v>
      </c>
      <c r="AJ29" s="35">
        <v>12993.97564897849</v>
      </c>
      <c r="AK29" s="36">
        <v>2.0694697348791604</v>
      </c>
      <c r="AL29" s="35">
        <v>12128.695431548344</v>
      </c>
      <c r="AM29" s="36">
        <v>0.17360993708348874</v>
      </c>
      <c r="AN29" s="35"/>
      <c r="AO29" s="36"/>
      <c r="AP29" s="35"/>
      <c r="AQ29" s="36"/>
      <c r="AR29" s="35"/>
      <c r="AS29" s="36"/>
      <c r="AT29" s="35"/>
      <c r="AU29" s="36"/>
      <c r="AV29" s="35"/>
      <c r="AW29" s="36"/>
    </row>
    <row r="30" spans="1:49" x14ac:dyDescent="0.2">
      <c r="A30" t="s">
        <v>48</v>
      </c>
      <c r="B30" s="119">
        <v>2924829.9599999995</v>
      </c>
      <c r="D30" s="119">
        <v>3008069.6401506178</v>
      </c>
      <c r="F30" s="119">
        <v>3092858.256215801</v>
      </c>
      <c r="H30" s="119">
        <v>3179413.3378191404</v>
      </c>
      <c r="J30" s="119">
        <v>3267994.8959595715</v>
      </c>
      <c r="L30" s="119">
        <v>3358918.0118317339</v>
      </c>
      <c r="N30" s="119">
        <v>3452594.7747249692</v>
      </c>
      <c r="P30" s="119">
        <v>3549567.4949244838</v>
      </c>
      <c r="R30" s="119">
        <v>3650601.1527817324</v>
      </c>
      <c r="T30" s="119">
        <v>3756829.49432649</v>
      </c>
      <c r="V30" s="119">
        <v>3870025.2114978367</v>
      </c>
      <c r="X30" s="119">
        <v>3993101.7684614398</v>
      </c>
      <c r="Z30" s="119">
        <v>4131078.6100225919</v>
      </c>
      <c r="AB30" s="119">
        <v>4292975.8071367024</v>
      </c>
      <c r="AD30" s="119">
        <v>4495544.2671687705</v>
      </c>
      <c r="AF30" s="119">
        <v>4770023.0266656158</v>
      </c>
      <c r="AH30" s="119">
        <v>5170675.5834677955</v>
      </c>
      <c r="AJ30" s="119">
        <v>5773682.841810422</v>
      </c>
      <c r="AL30" s="119">
        <v>6656797.9735024031</v>
      </c>
      <c r="AN30" s="119"/>
      <c r="AP30" s="119"/>
      <c r="AR30" s="119"/>
      <c r="AT30" s="119"/>
      <c r="AV30" s="119"/>
    </row>
    <row r="31" spans="1:49" x14ac:dyDescent="0.2">
      <c r="A31" t="s">
        <v>47</v>
      </c>
      <c r="B31" s="80">
        <v>1</v>
      </c>
      <c r="D31" s="80">
        <v>0.9978504512840537</v>
      </c>
      <c r="F31" s="80">
        <v>0.9952850023562364</v>
      </c>
      <c r="H31" s="80">
        <v>0.99224802439128323</v>
      </c>
      <c r="J31" s="80">
        <v>0.9886728823846942</v>
      </c>
      <c r="L31" s="80">
        <v>0.98447804432890829</v>
      </c>
      <c r="N31" s="80">
        <v>0.97956387761577723</v>
      </c>
      <c r="P31" s="80">
        <v>0.97380489408770154</v>
      </c>
      <c r="R31" s="80">
        <v>0.96704067874248267</v>
      </c>
      <c r="T31" s="80">
        <v>0.95906099460612582</v>
      </c>
      <c r="V31" s="80">
        <v>0.9495818484711569</v>
      </c>
      <c r="X31" s="80">
        <v>0.93820579731687981</v>
      </c>
      <c r="Z31" s="80">
        <v>0.92435221639086307</v>
      </c>
      <c r="AB31" s="80">
        <v>0.9071290408913516</v>
      </c>
      <c r="AD31" s="80">
        <v>0.88508484343141103</v>
      </c>
      <c r="AF31" s="80">
        <v>0.85571807298031477</v>
      </c>
      <c r="AH31" s="80">
        <v>0.81451629667474279</v>
      </c>
      <c r="AJ31" s="80">
        <v>0.75305703722060924</v>
      </c>
      <c r="AL31" s="80">
        <v>0.65397819376631727</v>
      </c>
      <c r="AN31" s="80"/>
      <c r="AP31" s="80"/>
      <c r="AR31" s="80"/>
      <c r="AT31" s="80"/>
      <c r="AV31" s="80"/>
    </row>
    <row r="32" spans="1:49" x14ac:dyDescent="0.2">
      <c r="A32" t="s">
        <v>64</v>
      </c>
      <c r="B32" s="86">
        <v>14734457.915000005</v>
      </c>
      <c r="D32" s="86">
        <v>14737499.808612432</v>
      </c>
      <c r="F32" s="86">
        <v>14737930.41042628</v>
      </c>
      <c r="H32" s="86">
        <v>14735353.882338123</v>
      </c>
      <c r="J32" s="86">
        <v>14729295.539008532</v>
      </c>
      <c r="L32" s="86">
        <v>14719179.546998084</v>
      </c>
      <c r="N32" s="86">
        <v>14704318.690262439</v>
      </c>
      <c r="P32" s="86">
        <v>14683884.128229506</v>
      </c>
      <c r="R32" s="86">
        <v>14656885.445858009</v>
      </c>
      <c r="T32" s="86">
        <v>14622149.499279683</v>
      </c>
      <c r="V32" s="86">
        <v>14578304.299367143</v>
      </c>
      <c r="X32" s="86">
        <v>14523784.447378224</v>
      </c>
      <c r="Z32" s="86">
        <v>14456870.495860407</v>
      </c>
      <c r="AB32" s="86">
        <v>14375768.6687012</v>
      </c>
      <c r="AD32" s="86">
        <v>14278565.487316744</v>
      </c>
      <c r="AF32" s="86">
        <v>14161901.140558917</v>
      </c>
      <c r="AH32" s="86">
        <v>14012484.879019678</v>
      </c>
      <c r="AJ32" s="86">
        <v>13771558.684754528</v>
      </c>
      <c r="AL32" s="86">
        <v>13226800.722437678</v>
      </c>
      <c r="AN32" s="86"/>
      <c r="AP32" s="86"/>
      <c r="AR32" s="86"/>
      <c r="AT32" s="86"/>
      <c r="AV32" s="86"/>
    </row>
    <row r="33" spans="1:49 16319:16321" x14ac:dyDescent="0.2">
      <c r="A33" t="s">
        <v>54</v>
      </c>
      <c r="B33" s="117">
        <v>7019665.6909999885</v>
      </c>
      <c r="D33" s="117">
        <v>7021115.1058934676</v>
      </c>
      <c r="F33" s="117">
        <v>7021320.2811870547</v>
      </c>
      <c r="H33" s="117">
        <v>7020092.8676546635</v>
      </c>
      <c r="J33" s="117">
        <v>7017207.1283100722</v>
      </c>
      <c r="L33" s="117">
        <v>7012386.914069673</v>
      </c>
      <c r="N33" s="117">
        <v>7005307.0425831275</v>
      </c>
      <c r="P33" s="117">
        <v>6995571.7933815438</v>
      </c>
      <c r="R33" s="117">
        <v>6982709.34345139</v>
      </c>
      <c r="T33" s="117">
        <v>6966160.724439295</v>
      </c>
      <c r="V33" s="117">
        <v>6945272.3549366668</v>
      </c>
      <c r="X33" s="117">
        <v>6919298.4288075436</v>
      </c>
      <c r="Z33" s="117">
        <v>6887419.8732196456</v>
      </c>
      <c r="AB33" s="117">
        <v>6848782.0185750453</v>
      </c>
      <c r="AD33" s="117">
        <v>6802473.2956844997</v>
      </c>
      <c r="AF33" s="117">
        <v>6746893.0408119084</v>
      </c>
      <c r="AH33" s="117">
        <v>6675709.4122315086</v>
      </c>
      <c r="AJ33" s="117">
        <v>6560929.3924542218</v>
      </c>
      <c r="AL33" s="117">
        <v>6301400.4158636853</v>
      </c>
      <c r="AN33" s="117"/>
      <c r="AP33" s="117"/>
      <c r="AR33" s="117"/>
      <c r="AT33" s="117"/>
      <c r="AV33" s="117"/>
    </row>
    <row r="34" spans="1:49 16319:16321" x14ac:dyDescent="0.2">
      <c r="A34" t="s">
        <v>75</v>
      </c>
      <c r="B34" s="117">
        <v>1136879.4410000162</v>
      </c>
      <c r="D34" s="117">
        <v>1137113.9233934833</v>
      </c>
      <c r="F34" s="117">
        <v>1137147.1156867768</v>
      </c>
      <c r="H34" s="117">
        <v>1136948.2412728344</v>
      </c>
      <c r="J34" s="117">
        <v>1136480.273936908</v>
      </c>
      <c r="L34" s="117">
        <v>1135700.5811557439</v>
      </c>
      <c r="N34" s="117">
        <v>1134553.9373207006</v>
      </c>
      <c r="P34" s="117">
        <v>1132977.238453299</v>
      </c>
      <c r="R34" s="117">
        <v>1130894.0431563086</v>
      </c>
      <c r="T34" s="117">
        <v>1128213.9047255891</v>
      </c>
      <c r="V34" s="117">
        <v>1124830.9128198382</v>
      </c>
      <c r="X34" s="117">
        <v>1120624.3168970323</v>
      </c>
      <c r="Z34" s="117">
        <v>1115461.3552716319</v>
      </c>
      <c r="AB34" s="117">
        <v>1109203.7201675216</v>
      </c>
      <c r="AD34" s="117">
        <v>1101703.735597128</v>
      </c>
      <c r="AF34" s="117">
        <v>1092702.1770182652</v>
      </c>
      <c r="AH34" s="117">
        <v>1081173.5342911649</v>
      </c>
      <c r="AJ34" s="117">
        <v>1062584.1835574312</v>
      </c>
      <c r="AL34" s="117">
        <v>1020551.8179340851</v>
      </c>
      <c r="AN34" s="117"/>
      <c r="AP34" s="117"/>
      <c r="AR34" s="117"/>
      <c r="AT34" s="117"/>
      <c r="AV34" s="117"/>
    </row>
    <row r="35" spans="1:49 16319:16321" x14ac:dyDescent="0.2">
      <c r="A35" t="s">
        <v>78</v>
      </c>
      <c r="B35" s="233">
        <v>1</v>
      </c>
      <c r="D35" s="233">
        <v>1.0023623882478243</v>
      </c>
      <c r="F35" s="233">
        <v>1.0049854044910251</v>
      </c>
      <c r="H35" s="233">
        <v>1.0079155619326385</v>
      </c>
      <c r="J35" s="233">
        <v>1.0112117131219105</v>
      </c>
      <c r="L35" s="233">
        <v>1.0149497730469905</v>
      </c>
      <c r="N35" s="233">
        <v>1.0192301315423544</v>
      </c>
      <c r="P35" s="233">
        <v>1.0241885503747037</v>
      </c>
      <c r="R35" s="233">
        <v>1.0300143988322439</v>
      </c>
      <c r="T35" s="233">
        <v>1.0369806733846507</v>
      </c>
      <c r="V35" s="233">
        <v>1.0454964000693221</v>
      </c>
      <c r="X35" s="233">
        <v>1.0562020546048354</v>
      </c>
      <c r="Z35" s="233">
        <v>1.0701532349774634</v>
      </c>
      <c r="AB35" s="233">
        <v>1.0891951840711993</v>
      </c>
      <c r="AD35" s="233">
        <v>1.1167734904426725</v>
      </c>
      <c r="AF35" s="233">
        <v>1.1597669310041034</v>
      </c>
      <c r="AH35" s="233">
        <v>1.2326864740363366</v>
      </c>
      <c r="AJ35" s="233">
        <v>1.3677864231861085</v>
      </c>
      <c r="AL35" s="233">
        <v>1.6491785236383227</v>
      </c>
      <c r="AN35" s="233"/>
      <c r="AP35" s="233"/>
      <c r="AR35" s="233"/>
      <c r="AT35" s="233"/>
      <c r="AV35" s="233"/>
    </row>
    <row r="36" spans="1:49 16319:16321" x14ac:dyDescent="0.2">
      <c r="A36" t="s">
        <v>21</v>
      </c>
      <c r="B36" s="37">
        <v>0.4719576767198812</v>
      </c>
      <c r="C36" s="38">
        <v>0.31738834428178975</v>
      </c>
      <c r="D36" s="37">
        <v>0.47196925653426036</v>
      </c>
      <c r="E36" s="38">
        <v>0.3186468250738429</v>
      </c>
      <c r="F36" s="37">
        <v>0.47198146480969783</v>
      </c>
      <c r="G36" s="38">
        <v>0.32003388499384378</v>
      </c>
      <c r="H36" s="37">
        <v>0.47199439224108686</v>
      </c>
      <c r="I36" s="38">
        <v>0.32156833272696256</v>
      </c>
      <c r="J36" s="37">
        <v>0.47200814600906438</v>
      </c>
      <c r="K36" s="38">
        <v>0.3232728862752493</v>
      </c>
      <c r="L36" s="37">
        <v>0.47202284605693007</v>
      </c>
      <c r="M36" s="38">
        <v>0.32517530374727516</v>
      </c>
      <c r="N36" s="37">
        <v>0.47203863762127157</v>
      </c>
      <c r="O36" s="38">
        <v>0.32731015423938553</v>
      </c>
      <c r="P36" s="37">
        <v>0.47205567103458806</v>
      </c>
      <c r="Q36" s="38">
        <v>0.32972111650580643</v>
      </c>
      <c r="R36" s="37">
        <v>0.47207409793665622</v>
      </c>
      <c r="S36" s="38">
        <v>0.33246478533374846</v>
      </c>
      <c r="T36" s="37">
        <v>0.47209404088538409</v>
      </c>
      <c r="U36" s="38">
        <v>0.33561652853200807</v>
      </c>
      <c r="V36" s="37">
        <v>0.47211553443710885</v>
      </c>
      <c r="W36" s="38">
        <v>0.33928022227054089</v>
      </c>
      <c r="X36" s="37">
        <v>0.47213840438369131</v>
      </c>
      <c r="Y36" s="38">
        <v>0.34360499609735295</v>
      </c>
      <c r="Z36" s="37">
        <v>0.47216202782169248</v>
      </c>
      <c r="AA36" s="38">
        <v>0.34881553862246983</v>
      </c>
      <c r="AB36" s="37">
        <v>0.47218485579682434</v>
      </c>
      <c r="AC36" s="38">
        <v>0.35526938394270863</v>
      </c>
      <c r="AD36" s="37">
        <v>0.47220354503624506</v>
      </c>
      <c r="AE36" s="38">
        <v>0.36356944027840549</v>
      </c>
      <c r="AF36" s="37">
        <v>0.47221170490831349</v>
      </c>
      <c r="AG36" s="38">
        <v>0.37478472906967414</v>
      </c>
      <c r="AH36" s="37">
        <v>0.47219984261404552</v>
      </c>
      <c r="AI36" s="38">
        <v>0.39085237726543354</v>
      </c>
      <c r="AJ36" s="37">
        <v>0.47216172105905951</v>
      </c>
      <c r="AK36" s="38">
        <v>0.4152587931187362</v>
      </c>
      <c r="AL36" s="37">
        <v>0.4721062976012052</v>
      </c>
      <c r="AM36" s="38">
        <v>0.45491627951207364</v>
      </c>
      <c r="AN36" s="37"/>
      <c r="AO36" s="38"/>
      <c r="AP36" s="37"/>
      <c r="AQ36" s="38"/>
      <c r="AR36" s="37"/>
      <c r="AS36" s="38"/>
      <c r="AT36" s="37"/>
      <c r="AU36" s="38"/>
      <c r="AV36" s="37"/>
      <c r="AW36" s="38"/>
    </row>
    <row r="37" spans="1:49 16319:16321" x14ac:dyDescent="0.2">
      <c r="B37" s="39">
        <v>2.1403217525954435E-2</v>
      </c>
      <c r="C37" s="40">
        <v>0.34962461301992531</v>
      </c>
      <c r="D37" s="39">
        <v>2.0671572096793767E-2</v>
      </c>
      <c r="E37" s="40">
        <v>0.34581922133145093</v>
      </c>
      <c r="F37" s="39">
        <v>1.9929356554423204E-2</v>
      </c>
      <c r="G37" s="40">
        <v>0.34195705662859432</v>
      </c>
      <c r="H37" s="39">
        <v>1.9175978321464272E-2</v>
      </c>
      <c r="I37" s="40">
        <v>0.33803667130515158</v>
      </c>
      <c r="J37" s="39">
        <v>1.8410735972745795E-2</v>
      </c>
      <c r="K37" s="40">
        <v>0.33405648909878805</v>
      </c>
      <c r="L37" s="39">
        <v>1.7632781473991371E-2</v>
      </c>
      <c r="M37" s="40">
        <v>0.33001473049931923</v>
      </c>
      <c r="N37" s="39">
        <v>1.684099188233221E-2</v>
      </c>
      <c r="O37" s="40">
        <v>0.32590887309275318</v>
      </c>
      <c r="P37" s="39">
        <v>1.6033908407373079E-2</v>
      </c>
      <c r="Q37" s="40">
        <v>0.32173554556904055</v>
      </c>
      <c r="R37" s="39">
        <v>1.5209512751803635E-2</v>
      </c>
      <c r="S37" s="40">
        <v>0.31748963765151295</v>
      </c>
      <c r="T37" s="39">
        <v>1.4364949815510385E-2</v>
      </c>
      <c r="U37" s="40">
        <v>0.31316327524168608</v>
      </c>
      <c r="V37" s="39">
        <v>1.3496073844242829E-2</v>
      </c>
      <c r="W37" s="40">
        <v>0.30874412343086588</v>
      </c>
      <c r="X37" s="39">
        <v>1.2596757381231527E-2</v>
      </c>
      <c r="Y37" s="40">
        <v>0.30421291679714096</v>
      </c>
      <c r="Z37" s="39">
        <v>1.1657823413053351E-2</v>
      </c>
      <c r="AA37" s="40">
        <v>0.29953993958624087</v>
      </c>
      <c r="AB37" s="39">
        <v>1.0665507678428178E-2</v>
      </c>
      <c r="AC37" s="40">
        <v>0.29468090765041721</v>
      </c>
      <c r="AD37" s="39">
        <v>9.5996325888322177E-3</v>
      </c>
      <c r="AE37" s="40">
        <v>0.28957518589690984</v>
      </c>
      <c r="AF37" s="39">
        <v>8.4333361226228889E-3</v>
      </c>
      <c r="AG37" s="40">
        <v>0.28415941751251911</v>
      </c>
      <c r="AH37" s="39">
        <v>7.1408364521284191E-3</v>
      </c>
      <c r="AI37" s="40">
        <v>0.2784328083322008</v>
      </c>
      <c r="AJ37" s="39">
        <v>5.7205323172296778E-3</v>
      </c>
      <c r="AK37" s="40">
        <v>0.27260065721577215</v>
      </c>
      <c r="AL37" s="39">
        <v>4.2054196880514259E-3</v>
      </c>
      <c r="AM37" s="40">
        <v>0.26713398237158675</v>
      </c>
      <c r="AN37" s="39"/>
      <c r="AO37" s="40"/>
      <c r="AP37" s="39"/>
      <c r="AQ37" s="40"/>
      <c r="AR37" s="39"/>
      <c r="AS37" s="40"/>
      <c r="AT37" s="39"/>
      <c r="AU37" s="40"/>
      <c r="AV37" s="39"/>
      <c r="AW37" s="40"/>
    </row>
    <row r="38" spans="1:49 16319:16321" x14ac:dyDescent="0.2">
      <c r="A38" t="s">
        <v>22</v>
      </c>
      <c r="B38" s="37">
        <v>0.18079094942242827</v>
      </c>
      <c r="C38" s="38">
        <v>6.0565413429233668E-2</v>
      </c>
      <c r="D38" s="37">
        <v>0.18092489321182395</v>
      </c>
      <c r="E38" s="38">
        <v>6.1046073647563336E-2</v>
      </c>
      <c r="F38" s="37">
        <v>0.18108339856352085</v>
      </c>
      <c r="G38" s="38">
        <v>6.1575394681353021E-2</v>
      </c>
      <c r="H38" s="37">
        <v>0.18127020617650225</v>
      </c>
      <c r="I38" s="38">
        <v>6.2160710020160048E-2</v>
      </c>
      <c r="J38" s="37">
        <v>0.18148991030671915</v>
      </c>
      <c r="K38" s="38">
        <v>6.2811034627736961E-2</v>
      </c>
      <c r="L38" s="37">
        <v>0.18174827522161532</v>
      </c>
      <c r="M38" s="38">
        <v>6.3537301656408945E-2</v>
      </c>
      <c r="N38" s="37">
        <v>0.18205262457483848</v>
      </c>
      <c r="O38" s="38">
        <v>6.4353538409636077E-2</v>
      </c>
      <c r="P38" s="37">
        <v>0.18241251726471516</v>
      </c>
      <c r="Q38" s="38">
        <v>6.5277605093966531E-2</v>
      </c>
      <c r="R38" s="37">
        <v>0.18284074826653704</v>
      </c>
      <c r="S38" s="38">
        <v>6.6333055786819084E-2</v>
      </c>
      <c r="T38" s="37">
        <v>0.18335498340705114</v>
      </c>
      <c r="U38" s="38">
        <v>6.7551993497024759E-2</v>
      </c>
      <c r="V38" s="37">
        <v>0.18398054348320061</v>
      </c>
      <c r="W38" s="38">
        <v>6.8979683082471654E-2</v>
      </c>
      <c r="X38" s="37">
        <v>0.1847553152223948</v>
      </c>
      <c r="Y38" s="38">
        <v>7.0683037520015313E-2</v>
      </c>
      <c r="Z38" s="37">
        <v>0.18573894254120368</v>
      </c>
      <c r="AA38" s="38">
        <v>7.2766302348801909E-2</v>
      </c>
      <c r="AB38" s="37">
        <v>0.18703100227507877</v>
      </c>
      <c r="AC38" s="38">
        <v>7.5402632442617648E-2</v>
      </c>
      <c r="AD38" s="37">
        <v>0.18880916968998124</v>
      </c>
      <c r="AE38" s="38">
        <v>7.8899951583779021E-2</v>
      </c>
      <c r="AF38" s="37">
        <v>0.1914132014623699</v>
      </c>
      <c r="AG38" s="38">
        <v>8.3847435854865468E-2</v>
      </c>
      <c r="AH38" s="37">
        <v>0.19553612317114805</v>
      </c>
      <c r="AI38" s="38">
        <v>9.1449726826180647E-2</v>
      </c>
      <c r="AJ38" s="37">
        <v>0.20271248557372168</v>
      </c>
      <c r="AK38" s="38">
        <v>0.10439383512211879</v>
      </c>
      <c r="AL38" s="37">
        <v>0.21721123291098657</v>
      </c>
      <c r="AM38" s="38">
        <v>0.13062597649933544</v>
      </c>
      <c r="AN38" s="37"/>
      <c r="AO38" s="38"/>
      <c r="AP38" s="37"/>
      <c r="AQ38" s="38"/>
      <c r="AR38" s="37"/>
      <c r="AS38" s="38"/>
      <c r="AT38" s="37"/>
      <c r="AU38" s="38"/>
      <c r="AV38" s="37"/>
      <c r="AW38" s="38"/>
    </row>
    <row r="39" spans="1:49 16319:16321" x14ac:dyDescent="0.2">
      <c r="A39" t="s">
        <v>23</v>
      </c>
      <c r="B39" s="39">
        <v>0.23064923795098646</v>
      </c>
      <c r="C39" s="40">
        <v>0.22092201281804777</v>
      </c>
      <c r="D39" s="39">
        <v>0.23120594449860221</v>
      </c>
      <c r="E39" s="40">
        <v>0.22291842608058693</v>
      </c>
      <c r="F39" s="39">
        <v>0.23179827170763737</v>
      </c>
      <c r="G39" s="40">
        <v>0.22509858093491805</v>
      </c>
      <c r="H39" s="39">
        <v>0.23243153243003192</v>
      </c>
      <c r="I39" s="40">
        <v>0.22749024039580212</v>
      </c>
      <c r="J39" s="39">
        <v>0.23311221238728225</v>
      </c>
      <c r="K39" s="40">
        <v>0.23012709724094363</v>
      </c>
      <c r="L39" s="39">
        <v>0.23384827388251928</v>
      </c>
      <c r="M39" s="40">
        <v>0.2330509723127932</v>
      </c>
      <c r="N39" s="39">
        <v>0.23464978452571461</v>
      </c>
      <c r="O39" s="40">
        <v>0.23631417425565684</v>
      </c>
      <c r="P39" s="39">
        <v>0.23552956928268243</v>
      </c>
      <c r="Q39" s="40">
        <v>0.23998381187131812</v>
      </c>
      <c r="R39" s="39">
        <v>0.23650445174768722</v>
      </c>
      <c r="S39" s="40">
        <v>0.24414812404246342</v>
      </c>
      <c r="T39" s="39">
        <v>0.23759715338960577</v>
      </c>
      <c r="U39" s="40">
        <v>0.24892655984224329</v>
      </c>
      <c r="V39" s="39">
        <v>0.23883951416521035</v>
      </c>
      <c r="W39" s="40">
        <v>0.25448730621928073</v>
      </c>
      <c r="X39" s="39">
        <v>0.24027824216885646</v>
      </c>
      <c r="Y39" s="40">
        <v>0.26107788503762991</v>
      </c>
      <c r="Z39" s="39">
        <v>0.2419857807501575</v>
      </c>
      <c r="AA39" s="40">
        <v>0.26908303536457201</v>
      </c>
      <c r="AB39" s="39">
        <v>0.24408220266072311</v>
      </c>
      <c r="AC39" s="40">
        <v>0.27913932174298572</v>
      </c>
      <c r="AD39" s="39">
        <v>0.24678237007368722</v>
      </c>
      <c r="AE39" s="40">
        <v>0.292378923964701</v>
      </c>
      <c r="AF39" s="39">
        <v>0.25050342997470976</v>
      </c>
      <c r="AG39" s="40">
        <v>0.31096946688400995</v>
      </c>
      <c r="AH39" s="39">
        <v>0.25611997263367642</v>
      </c>
      <c r="AI39" s="40">
        <v>0.33935472439740205</v>
      </c>
      <c r="AJ39" s="39">
        <v>0.2656294122489426</v>
      </c>
      <c r="AK39" s="40">
        <v>0.38749201887885287</v>
      </c>
      <c r="AL39" s="39">
        <v>0.28466001134277397</v>
      </c>
      <c r="AM39" s="40">
        <v>0.48489670326667628</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0.1080000000000008</v>
      </c>
      <c r="E42" s="135"/>
      <c r="F42" s="177">
        <f>10.8%+(1-10.8%)*(1-SUM(F26:G26)/SUM($B$26:$C$26))</f>
        <v>0.10799999999999862</v>
      </c>
      <c r="G42" s="135"/>
      <c r="H42" s="177">
        <f>10.8%+(1-10.8%)*(1-SUM(H26:I26)/SUM($B$26:$C$26))</f>
        <v>0.10799999999999645</v>
      </c>
      <c r="I42" s="135"/>
      <c r="J42" s="177">
        <f>10.8%+(1-10.8%)*(1-SUM(J26:K26)/SUM($B$26:$C$26))</f>
        <v>0.10800000000000001</v>
      </c>
      <c r="K42" s="135"/>
      <c r="L42" s="177">
        <f>10.8%+(1-10.8%)*(1-SUM(L26:M26)/SUM($B$26:$C$26))</f>
        <v>0.10800000000000001</v>
      </c>
      <c r="M42" s="135"/>
      <c r="N42" s="177">
        <f>10.8%+(1-10.8%)*(1-SUM(N26:O26)/SUM($B$26:$C$26))</f>
        <v>0.10799999999999922</v>
      </c>
      <c r="O42" s="135"/>
      <c r="P42" s="177">
        <f>10.8%+(1-10.8%)*(1-SUM(P26:Q26)/SUM($B$26:$C$26))</f>
        <v>0.10799999999999882</v>
      </c>
      <c r="Q42" s="135"/>
      <c r="R42" s="177">
        <f>10.8%+(1-10.8%)*(1-SUM(R26:S26)/SUM($B$26:$C$26))</f>
        <v>0.10800000000000001</v>
      </c>
      <c r="S42" s="135"/>
      <c r="T42" s="177">
        <f>10.8%+(1-10.8%)*(1-SUM(T26:U26)/SUM($B$26:$C$26))</f>
        <v>0.10799999999999982</v>
      </c>
      <c r="U42" s="135"/>
      <c r="V42" s="177">
        <f>10.8%+(1-10.8%)*(1-SUM(V26:W26)/SUM($B$26:$C$26))</f>
        <v>0.10800000000000021</v>
      </c>
      <c r="W42" s="135"/>
      <c r="X42" s="177">
        <f>10.8%+(1-10.8%)*(1-SUM(X26:Y26)/SUM($B$26:$C$26))</f>
        <v>0.1080000000000003</v>
      </c>
      <c r="Y42" s="162"/>
      <c r="Z42" s="177">
        <f>10.8%+(1-10.8%)*(1-SUM(Z26:AA26)/SUM($B$26:$C$26))</f>
        <v>0.108000000000001</v>
      </c>
      <c r="AA42" s="135"/>
      <c r="AB42" s="177">
        <f>10.8%+(1-10.8%)*(1-SUM(AB26:AC26)/SUM($B$26:$C$26))</f>
        <v>0.10800000000000061</v>
      </c>
      <c r="AC42" s="135"/>
      <c r="AD42" s="177">
        <f>10.8%+(1-10.8%)*(1-SUM(AD26:AE26)/SUM($B$26:$C$26))</f>
        <v>0.10799999999999961</v>
      </c>
      <c r="AE42" s="135"/>
      <c r="AF42" s="177">
        <f>10.8%+(1-10.8%)*(1-SUM(AF26:AG26)/SUM($B$26:$C$26))</f>
        <v>0.10800000000000001</v>
      </c>
      <c r="AG42" s="135"/>
      <c r="AH42" s="177">
        <f>10.8%+(1-10.8%)*(1-SUM(AH26:AI26)/SUM($B$26:$C$26))</f>
        <v>0.10800000000000061</v>
      </c>
      <c r="AI42" s="135"/>
      <c r="AJ42" s="177">
        <f>10.8%+(1-10.8%)*(1-SUM(AJ26:AK26)/SUM($B$26:$C$26))</f>
        <v>0.10800000000000021</v>
      </c>
      <c r="AK42" s="135"/>
      <c r="AL42" s="177">
        <f>10.8%+(1-10.8%)*(1-SUM(AL26:AM26)/SUM($B$26:$C$26))</f>
        <v>0.10799999999999982</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0.56134440333386504</v>
      </c>
      <c r="E43" s="135"/>
      <c r="F43" s="162">
        <f t="array" ref="F43">SUM(F15:G15*F27:G27)/SUM(F15:G15*F27:G27,F13:G13*F26:G26)</f>
        <v>0.55525584688463381</v>
      </c>
      <c r="G43" s="135"/>
      <c r="H43" s="162">
        <f t="array" ref="H43">SUM(H15:I15*H27:I27)/SUM(H15:I15*H27:I27,H13:I13*H26:I26)</f>
        <v>0.54890095585004006</v>
      </c>
      <c r="I43" s="135"/>
      <c r="J43" s="162">
        <f t="array" ref="J43">SUM(J15:K15*J27:K27)/SUM(J15:K15*J27:K27,J13:K13*J26:K26)</f>
        <v>0.54223830767114345</v>
      </c>
      <c r="K43" s="135"/>
      <c r="L43" s="162">
        <f t="array" ref="L43">SUM(L15:M15*L27:M27)/SUM(L15:M15*L27:M27,L13:M13*L26:M26)</f>
        <v>0.53521644080334962</v>
      </c>
      <c r="M43" s="135"/>
      <c r="N43" s="162">
        <f t="array" ref="N43">SUM(N15:O15*N27:O27)/SUM(N15:O15*N27:O27,N13:O13*N26:O26)</f>
        <v>0.52776954912528673</v>
      </c>
      <c r="O43" s="135"/>
      <c r="P43" s="162">
        <f t="array" ref="P43">SUM(P15:Q15*P27:Q27)/SUM(P15:Q15*P27:Q27,P13:Q13*P26:Q26)</f>
        <v>0.51981147148954543</v>
      </c>
      <c r="Q43" s="135"/>
      <c r="R43" s="162">
        <f t="array" ref="R43">SUM(R15:S15*R27:S27)/SUM(R15:S15*R27:S27,R13:S13*R26:S26)</f>
        <v>0.51122506794681633</v>
      </c>
      <c r="S43" s="135"/>
      <c r="T43" s="162">
        <f t="array" ref="T43">SUM(T15:U15*T27:U27)/SUM(T15:U15*T27:U27,T13:U13*T26:U26)</f>
        <v>0.50184456422524992</v>
      </c>
      <c r="U43" s="135"/>
      <c r="V43" s="162">
        <f t="array" ref="V43">SUM(V15:W15*V27:W27)/SUM(V15:W15*V27:W27,V13:W13*V26:W26)</f>
        <v>0.4914236817546746</v>
      </c>
      <c r="W43" s="135"/>
      <c r="X43" s="162">
        <f t="array" ref="X43">SUM(X15:Y15*X27:Y27)/SUM(X15:Y15*X27:Y27,X13:Y13*X26:Y26)</f>
        <v>0.47957653906536352</v>
      </c>
      <c r="Y43" s="135"/>
      <c r="Z43" s="162">
        <f t="array" ref="Z43">SUM(Z15:AA15*Z27:AA27)/SUM(Z15:AA15*Z27:AA27,Z13:AA13*Z26:AA26)</f>
        <v>0.46566143824016992</v>
      </c>
      <c r="AA43" s="135"/>
      <c r="AB43" s="162">
        <f t="array" ref="AB43">SUM(AB15:AC15*AB27:AC27)/SUM(AB15:AC15*AB27:AC27,AB13:AC13*AB26:AC26)</f>
        <v>0.44854021504812946</v>
      </c>
      <c r="AC43" s="135"/>
      <c r="AD43" s="162">
        <f t="array" ref="AD43">SUM(AD15:AE15*AD27:AE27)/SUM(AD15:AE15*AD27:AE27,AD13:AE13*AD26:AE26)</f>
        <v>0.42605323308461784</v>
      </c>
      <c r="AE43" s="135"/>
      <c r="AF43" s="162">
        <f t="array" ref="AF43">SUM(AF15:AG15*AF27:AG27)/SUM(AF15:AG15*AF27:AG27,AF13:AG13*AF26:AG26)</f>
        <v>0.39383248524331038</v>
      </c>
      <c r="AG43" s="135"/>
      <c r="AH43" s="162">
        <f t="array" ref="AH43">SUM(AH15:AI15*AH27:AI27)/SUM(AH15:AI15*AH27:AI27,AH13:AI13*AH26:AI26)</f>
        <v>0.34259268892420902</v>
      </c>
      <c r="AI43" s="135"/>
      <c r="AJ43" s="162">
        <f t="array" ref="AJ43">SUM(AJ15:AK15*AJ27:AK27)/SUM(AJ15:AK15*AJ27:AK27,AJ13:AK13*AJ26:AK26)</f>
        <v>0.25125035232011583</v>
      </c>
      <c r="AK43" s="135"/>
      <c r="AL43" s="162">
        <f t="array" ref="AL43">SUM(AL15:AM15*AL27:AM27)/SUM(AL15:AM15*AL27:AM27,AL13:AM13*AL26:AM26)</f>
        <v>5.7172210656114428E-2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0.29754224686405928</v>
      </c>
      <c r="F44" s="193">
        <f>(SUM(F11:G11*F24:G24)+F34)/F32</f>
        <v>0.29754224471880331</v>
      </c>
      <c r="H44" s="193">
        <f>(SUM(H11:I11*H24:I24)+H34)/H32</f>
        <v>0.29754223968264648</v>
      </c>
      <c r="J44" s="193">
        <f>(SUM(J11:K11*J24:K24)+J34)/J32</f>
        <v>0.29754220401044856</v>
      </c>
      <c r="L44" s="193">
        <f>(SUM(L11:M11*L24:M24)+L34)/L32</f>
        <v>0.29754226096932024</v>
      </c>
      <c r="N44" s="193">
        <f>(SUM(N11:O11*N24:O24)+N34)/N32</f>
        <v>0.29754226014817592</v>
      </c>
      <c r="P44" s="193">
        <f>(SUM(P11:Q11*P24:Q24)+P34)/P32</f>
        <v>0.29754225933984413</v>
      </c>
      <c r="R44" s="193">
        <f>(SUM(R11:S11*R24:S24)+R34)/R32</f>
        <v>0.29754225703300946</v>
      </c>
      <c r="T44" s="193">
        <f>(SUM(T11:U11*T24:U24)+T34)/T32</f>
        <v>0.29754225794018418</v>
      </c>
      <c r="V44" s="193">
        <f>(SUM(V11:W11*V24:W24)+V34)/V32</f>
        <v>0.29754225865360756</v>
      </c>
      <c r="X44" s="193">
        <f>(SUM(X11:Y11*X24:Y24)+X34)/X32</f>
        <v>0.29754226138416001</v>
      </c>
      <c r="Z44" s="193">
        <f>(SUM(Z11:AA11*Z24:AA24)+Z34)/Z32</f>
        <v>0.29754225981368554</v>
      </c>
      <c r="AB44" s="193">
        <f>(SUM(AB11:AC11*AB24:AC24)+AB34)/AB32</f>
        <v>0.29754226041371895</v>
      </c>
      <c r="AD44" s="193">
        <f>(SUM(AD11:AE11*AD24:AE24)+AD34)/AD32</f>
        <v>0.2975422608366024</v>
      </c>
      <c r="AF44" s="193">
        <f>(SUM(AF11:AG11*AF24:AG24)+AF34)/AF32</f>
        <v>0.29754226185346494</v>
      </c>
      <c r="AH44" s="193">
        <f>(SUM(AH11:AI11*AH24:AI24)+AH34)/AH32</f>
        <v>0.29754226173060211</v>
      </c>
      <c r="AJ44" s="193">
        <f>(SUM(AJ11:AK11*AJ24:AK24)+AJ34)/AJ32</f>
        <v>0.29754226188002053</v>
      </c>
      <c r="AL44" s="193">
        <f>(SUM(AL11:AM11*AL24:AM24)+AL34)/AL32</f>
        <v>0.29754226190622246</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0.22038438846470129</v>
      </c>
      <c r="F45" s="193">
        <f>SUM(F11:G11*F24:G24)/F32</f>
        <v>0.22038438849210351</v>
      </c>
      <c r="H45" s="193">
        <f>SUM(H11:I11*H24:I24)/H32</f>
        <v>0.22038438854779269</v>
      </c>
      <c r="J45" s="193">
        <f>SUM(J11:K11*J24:K24)/J32</f>
        <v>0.22038438808319699</v>
      </c>
      <c r="L45" s="193">
        <f>SUM(L11:M11*L24:M24)/L32</f>
        <v>0.22038438830872309</v>
      </c>
      <c r="N45" s="193">
        <f>SUM(N11:O11*N24:O24)/N32</f>
        <v>0.2203843882862154</v>
      </c>
      <c r="P45" s="193">
        <f>SUM(P11:Q11*P24:Q24)/P32</f>
        <v>0.22038438826435872</v>
      </c>
      <c r="R45" s="193">
        <f>SUM(R11:S11*R24:S24)/R32</f>
        <v>0.22038438830750229</v>
      </c>
      <c r="T45" s="193">
        <f>SUM(T11:U11*T24:U24)/T32</f>
        <v>0.22038438831361754</v>
      </c>
      <c r="V45" s="193">
        <f>SUM(V11:W11*V24:W24)/V32</f>
        <v>0.22038438831962992</v>
      </c>
      <c r="X45" s="193">
        <f>SUM(X11:Y11*X24:Y24)/X32</f>
        <v>0.22038438831345894</v>
      </c>
      <c r="Z45" s="193">
        <f>SUM(Z11:AA11*Z24:AA24)/Z32</f>
        <v>0.22038438836487964</v>
      </c>
      <c r="AB45" s="193">
        <f>SUM(AB11:AC11*AB24:AC24)/AB32</f>
        <v>0.22038438832146201</v>
      </c>
      <c r="AD45" s="193">
        <f>SUM(AD11:AE11*AD24:AE24)/AD32</f>
        <v>0.22038438831952487</v>
      </c>
      <c r="AF45" s="193">
        <f>SUM(AF11:AG11*AF24:AG24)/AF32</f>
        <v>0.2203843883325981</v>
      </c>
      <c r="AH45" s="193">
        <f>SUM(AH11:AI11*AH24:AI24)/AH32</f>
        <v>0.22038438833228988</v>
      </c>
      <c r="AJ45" s="193">
        <f>SUM(AJ11:AK11*AJ24:AK24)/AJ32</f>
        <v>0.22038438833200016</v>
      </c>
      <c r="AL45" s="193">
        <f>SUM(AL11:AM11*AL24:AM24)/AL32</f>
        <v>0.22038438833193916</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7.7157858399357973E-2</v>
      </c>
      <c r="F46" s="193">
        <f>F34/F32</f>
        <v>7.7157856226699739E-2</v>
      </c>
      <c r="H46" s="193">
        <f>H34/H32</f>
        <v>7.7157851134853767E-2</v>
      </c>
      <c r="J46" s="193">
        <f>J34/J32</f>
        <v>7.7157815927251572E-2</v>
      </c>
      <c r="L46" s="193">
        <f>L34/L32</f>
        <v>7.7157872660597135E-2</v>
      </c>
      <c r="N46" s="193">
        <f>N34/N32</f>
        <v>7.7157871861960534E-2</v>
      </c>
      <c r="P46" s="193">
        <f>P34/P32</f>
        <v>7.7157871075485426E-2</v>
      </c>
      <c r="R46" s="193">
        <f>R34/R32</f>
        <v>7.7157868725507145E-2</v>
      </c>
      <c r="T46" s="193">
        <f>T34/T32</f>
        <v>7.7157869626566677E-2</v>
      </c>
      <c r="V46" s="193">
        <f>V34/V32</f>
        <v>7.7157870333977599E-2</v>
      </c>
      <c r="X46" s="193">
        <f>X34/X32</f>
        <v>7.7157873070701141E-2</v>
      </c>
      <c r="Z46" s="193">
        <f>Z34/Z32</f>
        <v>7.7157871448805884E-2</v>
      </c>
      <c r="AB46" s="193">
        <f>AB34/AB32</f>
        <v>7.7157872092256913E-2</v>
      </c>
      <c r="AD46" s="193">
        <f>AD34/AD32</f>
        <v>7.7157872517077508E-2</v>
      </c>
      <c r="AF46" s="193">
        <f>AF34/AF32</f>
        <v>7.7157873520866879E-2</v>
      </c>
      <c r="AH46" s="193">
        <f>AH34/AH32</f>
        <v>7.7157873398312246E-2</v>
      </c>
      <c r="AJ46" s="193">
        <f>AJ34/AJ32</f>
        <v>7.7157873548020339E-2</v>
      </c>
      <c r="AL46" s="193">
        <f>AL34/AL32</f>
        <v>7.7157873574283289E-2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1.0016900526393016</v>
      </c>
      <c r="E48" s="191"/>
      <c r="F48" s="191">
        <f>F24/$B$24</f>
        <v>1.0032647693238013</v>
      </c>
      <c r="G48" s="191"/>
      <c r="H48" s="191">
        <f>H24/$B$24</f>
        <v>1.0047053596140021</v>
      </c>
      <c r="I48" s="191"/>
      <c r="J48" s="191">
        <f>J24/$B$24</f>
        <v>1.0059888519022691</v>
      </c>
      <c r="K48" s="191"/>
      <c r="L48" s="191">
        <f>L24/$B$24</f>
        <v>1.0070863940400707</v>
      </c>
      <c r="M48" s="191"/>
      <c r="N48" s="191">
        <f>N24/$B$24</f>
        <v>1.0079622877471657</v>
      </c>
      <c r="O48" s="191"/>
      <c r="P48" s="191">
        <f>P24/$B$24</f>
        <v>1.0085709383691468</v>
      </c>
      <c r="Q48" s="191"/>
      <c r="R48" s="191">
        <f>R24/$B$24</f>
        <v>1.0088537447115029</v>
      </c>
      <c r="S48" s="191"/>
      <c r="T48" s="191">
        <f>T24/$B$24</f>
        <v>1.0087341682992781</v>
      </c>
      <c r="U48" s="191"/>
      <c r="V48" s="191">
        <f>V24/$B$24</f>
        <v>1.0081100785946489</v>
      </c>
      <c r="W48" s="191"/>
      <c r="X48" s="191">
        <f>X24/$B$24</f>
        <v>1.0068417863978147</v>
      </c>
      <c r="Y48" s="191"/>
      <c r="Z48" s="191">
        <f>Z24/$B$24</f>
        <v>1.0047314494478874</v>
      </c>
      <c r="AA48" s="191"/>
      <c r="AB48" s="191">
        <f>AB24/$B$24</f>
        <v>1.0014846629177483</v>
      </c>
      <c r="AC48" s="191"/>
      <c r="AD48" s="191">
        <f>AD24/$B$24</f>
        <v>0.99662853188639844</v>
      </c>
      <c r="AE48" s="191"/>
      <c r="AF48" s="191">
        <f>AF24/$B$24</f>
        <v>0.98930747052508916</v>
      </c>
      <c r="AG48" s="191"/>
      <c r="AH48" s="191">
        <f>AH24/$B$24</f>
        <v>0.9776858688737482</v>
      </c>
      <c r="AI48" s="191"/>
      <c r="AJ48" s="191">
        <f>AJ24/$B$24</f>
        <v>0.95707231003280935</v>
      </c>
      <c r="AK48" s="191"/>
      <c r="AL48" s="191">
        <f>AL24/$B$24</f>
        <v>0.91372018452318715</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1.0042756174439738</v>
      </c>
      <c r="E49" s="191"/>
      <c r="F49" s="191">
        <f>F13/F35/$B$13*$B$35</f>
        <v>1.0082535848396561</v>
      </c>
      <c r="G49" s="191"/>
      <c r="H49" s="191">
        <f>H13/H35/$B$13*$B$35</f>
        <v>1.0118826874776108</v>
      </c>
      <c r="I49" s="191"/>
      <c r="J49" s="191">
        <f>J13/J35/$B$13*$B$35</f>
        <v>1.0150989045560115</v>
      </c>
      <c r="K49" s="191"/>
      <c r="L49" s="191">
        <f>L13/L35/$B$13*$B$35</f>
        <v>1.0178214636622147</v>
      </c>
      <c r="M49" s="191"/>
      <c r="N49" s="191">
        <f>N13/N35/$B$13*$B$35</f>
        <v>1.0199476182375251</v>
      </c>
      <c r="O49" s="191"/>
      <c r="P49" s="191">
        <f>P13/P35/$B$13*$B$35</f>
        <v>1.0213450689838057</v>
      </c>
      <c r="Q49" s="191"/>
      <c r="R49" s="191">
        <f>R13/R35/$B$13*$B$35</f>
        <v>1.0218412436880195</v>
      </c>
      <c r="S49" s="191"/>
      <c r="T49" s="191">
        <f>T13/T35/$B$13*$B$35</f>
        <v>1.0212070525819692</v>
      </c>
      <c r="U49" s="191"/>
      <c r="V49" s="191">
        <f>V13/V35/$B$13*$B$35</f>
        <v>1.0191317819728163</v>
      </c>
      <c r="W49" s="191"/>
      <c r="X49" s="191">
        <f>X13/X35/$B$13*$B$35</f>
        <v>1.015180932547999</v>
      </c>
      <c r="Y49" s="191"/>
      <c r="Z49" s="191">
        <f>Z13/Z35/$B$13*$B$35</f>
        <v>1.0087208471384284</v>
      </c>
      <c r="AA49" s="191"/>
      <c r="AB49" s="191">
        <f>AB13/AB35/$B$13*$B$35</f>
        <v>0.99877128690319084</v>
      </c>
      <c r="AC49" s="191"/>
      <c r="AD49" s="191">
        <f>AD13/AD35/$B$13*$B$35</f>
        <v>0.98368619984681804</v>
      </c>
      <c r="AE49" s="191"/>
      <c r="AF49" s="191">
        <f>AF13/AF35/$B$13*$B$35</f>
        <v>0.96039846114783967</v>
      </c>
      <c r="AG49" s="191"/>
      <c r="AH49" s="191">
        <f>AH13/AH35/$B$13*$B$35</f>
        <v>0.92257166539651869</v>
      </c>
      <c r="AI49" s="191"/>
      <c r="AJ49" s="191">
        <f>AJ13/AJ35/$B$13*$B$35</f>
        <v>0.85658422076494845</v>
      </c>
      <c r="AK49" s="191"/>
      <c r="AL49" s="191">
        <f>AL13/AL35/$B$13*$B$35</f>
        <v>0.73486459765551559</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-323286.25635515992</v>
      </c>
      <c r="F51" s="29">
        <f>F30-F10*F23</f>
        <v>-238594.97619567532</v>
      </c>
      <c r="H51" s="29">
        <f>H30-H10*H23</f>
        <v>-151457.4801970548</v>
      </c>
      <c r="J51" s="29">
        <f>J30-J10*J23</f>
        <v>-61506.456541021354</v>
      </c>
      <c r="L51" s="29">
        <f>L30-L10*L23</f>
        <v>31703.340930507053</v>
      </c>
      <c r="N51" s="29">
        <f>N30-N10*N23</f>
        <v>128739.34408541024</v>
      </c>
      <c r="P51" s="29">
        <f>P30-P10*P23</f>
        <v>230331.21947440552</v>
      </c>
      <c r="R51" s="29">
        <f>R30-R10*R23</f>
        <v>337467.82700997172</v>
      </c>
      <c r="T51" s="29">
        <f>T30-T10*T23</f>
        <v>451548.09744071262</v>
      </c>
      <c r="V51" s="29">
        <f>V30-V10*V23</f>
        <v>574654.85564065725</v>
      </c>
      <c r="X51" s="29">
        <f>X30-X10*X23</f>
        <v>710055.41821976984</v>
      </c>
      <c r="Z51" s="29">
        <f>Z30-Z10*Z23</f>
        <v>863157.90455393214</v>
      </c>
      <c r="AB51" s="29">
        <f>AB30-AB10*AB23</f>
        <v>1043387.8618806214</v>
      </c>
      <c r="AD51" s="29">
        <f>AD30-AD10*AD23</f>
        <v>1267928.7321362332</v>
      </c>
      <c r="AF51" s="29">
        <f>AF30-AF10*AF23</f>
        <v>1568779.0244256733</v>
      </c>
      <c r="AH51" s="29">
        <f>AH30-AH10*AH23</f>
        <v>2003206.5600490035</v>
      </c>
      <c r="AJ51" s="29">
        <f>AJ30-AJ10*AJ23</f>
        <v>2660674.2701854184</v>
      </c>
      <c r="AL51" s="29">
        <f>AL30-AL10*AL23</f>
        <v>3666929.8716653734</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2062871.4370331899</v>
      </c>
      <c r="F52" s="29">
        <f t="array" ref="F52">Calibration!sL*SUM(F13:G13*F26:G26)</f>
        <v>2076462.1109299832</v>
      </c>
      <c r="H52" s="29">
        <f t="array" ref="H52">Calibration!sL*SUM(H13:I13*H26:I26)</f>
        <v>2090012.087461595</v>
      </c>
      <c r="J52" s="29">
        <f t="array" ref="J52">Calibration!sL*SUM(J13:K13*J26:K26)</f>
        <v>2103511.7015477479</v>
      </c>
      <c r="L52" s="29">
        <f t="array" ref="L52">Calibration!sL*SUM(L13:M13*L26:M26)</f>
        <v>2116950.1795562743</v>
      </c>
      <c r="N52" s="29">
        <f t="array" ref="N52">Calibration!sL*SUM(N13:O13*N26:O26)</f>
        <v>2130318.8197609372</v>
      </c>
      <c r="P52" s="29">
        <f t="array" ref="P52">Calibration!sL*SUM(P13:Q13*P26:Q26)</f>
        <v>2143615.529268926</v>
      </c>
      <c r="R52" s="29">
        <f t="array" ref="R52">Calibration!sL*SUM(R13:S13*R26:S26)</f>
        <v>2156856.2700321535</v>
      </c>
      <c r="T52" s="29">
        <f t="array" ref="T52">Calibration!sL*SUM(T13:U13*T26:U26)</f>
        <v>2170096.0149590308</v>
      </c>
      <c r="V52" s="29">
        <f t="array" ref="V52">Calibration!sL*SUM(V13:W13*V26:W26)</f>
        <v>2183470.7017582953</v>
      </c>
      <c r="X52" s="29">
        <f t="array" ref="X52">Calibration!sL*SUM(X13:Y13*X26:Y26)</f>
        <v>2197277.6677676276</v>
      </c>
      <c r="Z52" s="29">
        <f t="array" ref="Z52">Calibration!sL*SUM(Z13:AA13*Z26:AA26)</f>
        <v>2212134.0812451048</v>
      </c>
      <c r="AB52" s="29">
        <f t="array" ref="AB52">Calibration!sL*SUM(AB13:AC13*AB26:AC26)</f>
        <v>2229288.3304990502</v>
      </c>
      <c r="AD52" s="29">
        <f t="array" ref="AD52">Calibration!sL*SUM(AD13:AE13*AD26:AE26)</f>
        <v>2251210.7640271699</v>
      </c>
      <c r="AF52" s="29">
        <f t="array" ref="AF52">Calibration!sL*SUM(AF13:AG13*AF26:AG26)</f>
        <v>2282530.8630161448</v>
      </c>
      <c r="AH52" s="29">
        <f t="array" ref="AH52">Calibration!sL*SUM(AH13:AI13*AH26:AI26)</f>
        <v>2330489.8963047434</v>
      </c>
      <c r="AJ52" s="29">
        <f t="array" ref="AJ52">Calibration!sL*SUM(AJ13:AK13*AJ26:AK26)</f>
        <v>2400948.4754844038</v>
      </c>
      <c r="AL52" s="29">
        <f t="array" ref="AL52">Calibration!sL*SUM(AL13:AM13*AL26:AM26)</f>
        <v>2483530.3853860539</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2693998.0218065637</v>
      </c>
      <c r="F53" s="29">
        <f t="array" ref="F53">Calibration!sK*SUM(F15:G15*F27:G27)</f>
        <v>2645612.8524057521</v>
      </c>
      <c r="H53" s="29">
        <f t="array" ref="H53">Calibration!sK*SUM(H15:I15*H27:I27)</f>
        <v>2595316.1285852087</v>
      </c>
      <c r="J53" s="29">
        <f t="array" ref="J53">Calibration!sK*SUM(J15:K15*J27:K27)</f>
        <v>2542816.78741808</v>
      </c>
      <c r="L53" s="29">
        <f t="array" ref="L53">Calibration!sK*SUM(L15:M15*L27:M27)</f>
        <v>2487761.3330702418</v>
      </c>
      <c r="N53" s="29">
        <f t="array" ref="N53">Calibration!sK*SUM(N15:O15*N27:O27)</f>
        <v>2429709.3916221312</v>
      </c>
      <c r="P53" s="29">
        <f t="array" ref="P53">Calibration!sK*SUM(P15:Q15*P27:Q27)</f>
        <v>2368101.7623685547</v>
      </c>
      <c r="R53" s="29">
        <f t="array" ref="R53">Calibration!sK*SUM(R15:S15*R27:S27)</f>
        <v>2302204.0321253263</v>
      </c>
      <c r="T53" s="29">
        <f t="array" ref="T53">Calibration!sK*SUM(T15:U15*T27:U27)</f>
        <v>2231016.0153131471</v>
      </c>
      <c r="V53" s="29">
        <f t="array" ref="V53">Calibration!sK*SUM(V15:W15*V27:W27)</f>
        <v>2153112.4110972211</v>
      </c>
      <c r="X53" s="29">
        <f t="array" ref="X53">Calibration!sK*SUM(X15:Y15*X27:Y27)</f>
        <v>2066357.1726305233</v>
      </c>
      <c r="Z53" s="29">
        <f t="array" ref="Z53">Calibration!sK*SUM(Z15:AA15*Z27:AA27)</f>
        <v>1967363.4213670897</v>
      </c>
      <c r="AB53" s="29">
        <f t="array" ref="AB53">Calibration!sK*SUM(AB15:AC15*AB27:AC27)</f>
        <v>1850432.1700162929</v>
      </c>
      <c r="AD53" s="29">
        <f t="array" ref="AD53">Calibration!sK*SUM(AD15:AE15*AD27:AE27)</f>
        <v>1705406.0359211743</v>
      </c>
      <c r="AF53" s="29">
        <f t="array" ref="AF53">Calibration!sK*SUM(AF15:AG15*AF27:AG27)</f>
        <v>1513404.1616461929</v>
      </c>
      <c r="AH53" s="29">
        <f t="array" ref="AH53">Calibration!sK*SUM(AH15:AI15*AH27:AI27)</f>
        <v>1239396.2367711987</v>
      </c>
      <c r="AJ53" s="29">
        <f t="array" ref="AJ53">Calibration!sK*SUM(AJ15:AK15*AJ27:AK27)</f>
        <v>822190.16257199168</v>
      </c>
      <c r="AL53" s="29">
        <f t="array" ref="AL53">Calibration!sK*SUM(AL15:AM15*AL27:AM27)</f>
        <v>153688.53686730063</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0.20410990189752098</v>
      </c>
      <c r="F55" s="193">
        <f>F30/F32</f>
        <v>0.20985702673882711</v>
      </c>
      <c r="H55" s="193">
        <f>H30/H32</f>
        <v>0.21576769470260249</v>
      </c>
      <c r="J55" s="193">
        <f>J30/J32</f>
        <v>0.22187041378216171</v>
      </c>
      <c r="L55" s="193">
        <f>L30/L32</f>
        <v>0.22820008418993512</v>
      </c>
      <c r="N55" s="193">
        <f>N30/N32</f>
        <v>0.23480141089511086</v>
      </c>
      <c r="P55" s="193">
        <f>P30/P32</f>
        <v>0.24173219183203057</v>
      </c>
      <c r="R55" s="193">
        <f>R30/R32</f>
        <v>0.24907072967629565</v>
      </c>
      <c r="T55" s="193">
        <f>T30/T32</f>
        <v>0.25692730706327133</v>
      </c>
      <c r="V55" s="193">
        <f>V30/V32</f>
        <v>0.26546470234304537</v>
      </c>
      <c r="X55" s="193">
        <f>X30/X32</f>
        <v>0.27493535055749596</v>
      </c>
      <c r="Z55" s="193">
        <f>Z30/Z32</f>
        <v>0.28575192751470579</v>
      </c>
      <c r="AB55" s="193">
        <f>AB30/AB32</f>
        <v>0.29862582697809631</v>
      </c>
      <c r="AD55" s="193">
        <f>AD30/AD32</f>
        <v>0.31484565246852275</v>
      </c>
      <c r="AF55" s="193">
        <f>AF30/AF32</f>
        <v>0.33682081094356242</v>
      </c>
      <c r="AH55" s="193">
        <f>AH30/AH32</f>
        <v>0.3690049001379932</v>
      </c>
      <c r="AJ55" s="193">
        <f>AJ30/AJ32</f>
        <v>0.41924686769131214</v>
      </c>
      <c r="AL55" s="193">
        <f>AL30/AL32</f>
        <v>0.50328103622291254</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3.3890839129424359E-2</v>
      </c>
      <c r="F56" s="193">
        <f>(Model!$C$52*F5*F20+F2*G5*G20)/F32</f>
        <v>3.8675732715484572E-2</v>
      </c>
      <c r="H56" s="193">
        <f>(Model!$C$52*H5*H20+H2*I5*I20)/H32</f>
        <v>4.3595432206026567E-2</v>
      </c>
      <c r="J56" s="193">
        <f>(Model!$C$52*J5*J20+J2*K5*K20)/J32</f>
        <v>4.8673568508339524E-2</v>
      </c>
      <c r="L56" s="193">
        <f>(Model!$C$52*L5*L20+L2*M5*M20)/L32</f>
        <v>5.3938979495542341E-2</v>
      </c>
      <c r="N56" s="193">
        <f>(Model!$C$52*N5*N20+N2*O5*O20)/N32</f>
        <v>5.9428722757508649E-2</v>
      </c>
      <c r="P56" s="193">
        <f>(Model!$C$52*P5*P20+P2*Q5*Q20)/P32</f>
        <v>6.519057103206366E-2</v>
      </c>
      <c r="R56" s="193">
        <f>(Model!$C$52*R5*R20+R2*S5*S20)/R32</f>
        <v>7.1289188879770135E-2</v>
      </c>
      <c r="T56" s="193">
        <f>(Model!$C$52*T5*T20+T2*U5*U20)/T32</f>
        <v>7.7815545461166272E-2</v>
      </c>
      <c r="V56" s="193">
        <f>(Model!$C$52*V5*V20+V2*W5*W20)/V32</f>
        <v>8.4903663421024969E-2</v>
      </c>
      <c r="X56" s="193">
        <f>(Model!$C$52*X5*X20+X2*Y5*Y20)/X32</f>
        <v>9.2761043380703914E-2</v>
      </c>
      <c r="Z56" s="193">
        <f>(Model!$C$52*Z5*Z20+Z2*AA5*AA20)/Z32</f>
        <v>0.10172637176897535</v>
      </c>
      <c r="AB56" s="193">
        <f>(Model!$C$52*AB5*AB20+AB2*AC5*AC20)/AB32</f>
        <v>0.11238270171345996</v>
      </c>
      <c r="AD56" s="193">
        <f>(Model!$C$52*AD5*AD20+AD2*AE5*AE20)/AD32</f>
        <v>0.12578510432792303</v>
      </c>
      <c r="AF56" s="193">
        <f>(Model!$C$52*AF5*AF20+AF2*AG5*AG20)/AF32</f>
        <v>0.14390513873608321</v>
      </c>
      <c r="AH56" s="193">
        <f>(Model!$C$52*AH5*AH20+AH2*AI5*AI20)/AH32</f>
        <v>0.17038680838207257</v>
      </c>
      <c r="AJ56" s="193">
        <f>(Model!$C$52*AJ5*AJ20+AJ2*AK5*AK20)/AJ32</f>
        <v>0.21165616446663071</v>
      </c>
      <c r="AL56" s="193">
        <f>(Model!$C$52*AL5*AL20+AL2*AM5*AM20)/AL32</f>
        <v>0.28060596607428312</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0.15954979596495</v>
      </c>
      <c r="F57" s="193">
        <f t="array" ref="F57">SUM(Model!tauL*F13:G13*F26:G26)/F32</f>
        <v>0.16059625458535887</v>
      </c>
      <c r="H57" s="193">
        <f t="array" ref="H57">SUM(Model!tauL*H13:I13*H26:I26)/H32</f>
        <v>0.1616724912832308</v>
      </c>
      <c r="J57" s="193">
        <f t="array" ref="J57">SUM(Model!tauL*J13:K13*J26:K26)/J32</f>
        <v>0.16278367882098407</v>
      </c>
      <c r="L57" s="193">
        <f t="array" ref="L57">SUM(Model!tauL*L13:M13*L26:M26)/L32</f>
        <v>0.16393622774762864</v>
      </c>
      <c r="N57" s="193">
        <f t="array" ref="N57">SUM(Model!tauL*N13:O13*N26:O26)/N32</f>
        <v>0.16513822048887306</v>
      </c>
      <c r="P57" s="193">
        <f t="array" ref="P57">SUM(Model!tauL*P13:Q13*P26:Q26)/P32</f>
        <v>0.16640020187900131</v>
      </c>
      <c r="R57" s="193">
        <f t="array" ref="R57">SUM(Model!tauL*R13:S13*R26:S26)/R32</f>
        <v>0.16773643743603356</v>
      </c>
      <c r="T57" s="193">
        <f t="array" ref="T57">SUM(Model!tauL*T13:U13*T26:U26)/T32</f>
        <v>0.16916699414847056</v>
      </c>
      <c r="V57" s="193">
        <f t="array" ref="V57">SUM(Model!tauL*V13:W13*V26:W26)/V32</f>
        <v>0.17072151681187453</v>
      </c>
      <c r="X57" s="193">
        <f t="array" ref="X57">SUM(Model!tauL*X13:Y13*X26:Y26)/X32</f>
        <v>0.17244597019748381</v>
      </c>
      <c r="Y57" s="193"/>
      <c r="Z57" s="193">
        <f t="array" ref="Z57">SUM(Model!tauL*Z13:AA13*Z26:AA26)/Z32</f>
        <v>0.17441549271465773</v>
      </c>
      <c r="AB57" s="193">
        <f t="array" ref="AB57">SUM(Model!tauL*AB13:AC13*AB26:AC26)/AB32</f>
        <v>0.17675962442084206</v>
      </c>
      <c r="AD57" s="193">
        <f t="array" ref="AD57">SUM(Model!tauL*AD13:AE13*AD26:AE26)/AD32</f>
        <v>0.17971299499618307</v>
      </c>
      <c r="AF57" s="193">
        <f t="array" ref="AF57">SUM(Model!tauL*AF13:AG13*AF26:AG26)/AF32</f>
        <v>0.18371431726447193</v>
      </c>
      <c r="AH57" s="193">
        <f t="array" ref="AH57">SUM(Model!tauL*AH13:AI13*AH26:AI26)/AH32</f>
        <v>0.18957452238785538</v>
      </c>
      <c r="AJ57" s="193">
        <f t="array" ref="AJ57">SUM(Model!tauL*AJ13:AK13*AJ26:AK26)/AJ32</f>
        <v>0.19872277636972421</v>
      </c>
      <c r="AL57" s="193">
        <f t="array" ref="AL57">SUM(Model!tauL*AL13:AM13*AL26:AM26)/AL32</f>
        <v>0.21402404628408128</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1.0669266803146673E-2</v>
      </c>
      <c r="F58" s="193">
        <f t="array" ref="F58">SUM(Model!tauY/(1+Model!tauY)*F3:G3*F18:G18)/F32</f>
        <v>1.058503943798369E-2</v>
      </c>
      <c r="H58" s="193">
        <f t="array" ref="H58">SUM(Model!tauY/(1+Model!tauY)*H3:I3*H18:I18)/H32</f>
        <v>1.0499771213345103E-2</v>
      </c>
      <c r="J58" s="193">
        <f t="array" ref="J58">SUM(Model!tauY/(1+Model!tauY)*J3:K3*J18:K18)/J32</f>
        <v>1.0413166452838119E-2</v>
      </c>
      <c r="L58" s="193">
        <f t="array" ref="L58">SUM(Model!tauY/(1+Model!tauY)*L3:M3*L18:M18)/L32</f>
        <v>1.0324876946764117E-2</v>
      </c>
      <c r="N58" s="193">
        <f t="array" ref="N58">SUM(Model!tauY/(1+Model!tauY)*N3:O3*N18:O18)/N32</f>
        <v>1.0234467648729127E-2</v>
      </c>
      <c r="P58" s="193">
        <f t="array" ref="P58">SUM(Model!tauY/(1+Model!tauY)*P3:Q3*P18:Q18)/P32</f>
        <v>1.0141418920965577E-2</v>
      </c>
      <c r="R58" s="193">
        <f t="array" ref="R58">SUM(Model!tauY/(1+Model!tauY)*R3:S3*R18:S18)/R32</f>
        <v>1.0045103360491922E-2</v>
      </c>
      <c r="T58" s="193">
        <f t="array" ref="T58">SUM(Model!tauY/(1+Model!tauY)*T3:U3*T18:U18)/T32</f>
        <v>9.9447674536344774E-3</v>
      </c>
      <c r="V58" s="193">
        <f t="array" ref="V58">SUM(Model!tauY/(1+Model!tauY)*V3:W3*V18:W18)/V32</f>
        <v>9.8395221101458593E-3</v>
      </c>
      <c r="X58" s="193">
        <f t="array" ref="X58">SUM(Model!tauY/(1+Model!tauY)*X3:Y3*X18:Y18)/X32</f>
        <v>9.7283369793082549E-3</v>
      </c>
      <c r="Y58" s="193"/>
      <c r="Z58" s="193">
        <f t="array" ref="Z58">SUM(Model!tauY/(1+Model!tauY)*Z3:AA3*Z18:AA18)/Z32</f>
        <v>9.6100630310727107E-3</v>
      </c>
      <c r="AB58" s="193">
        <f t="array" ref="AB58">SUM(Model!tauY/(1+Model!tauY)*AB3:AC3*AB18:AC18)/AB32</f>
        <v>9.4835008437943145E-3</v>
      </c>
      <c r="AD58" s="193">
        <f t="array" ref="AD58">SUM(Model!tauY/(1+Model!tauY)*AD3:AE3*AD18:AE18)/AD32</f>
        <v>9.3475531444165913E-3</v>
      </c>
      <c r="AF58" s="193">
        <f t="array" ref="AF58">SUM(Model!tauY/(1+Model!tauY)*AF3:AG3*AF18:AG18)/AF32</f>
        <v>9.2013549430072904E-3</v>
      </c>
      <c r="AH58" s="193">
        <f t="array" ref="AH58">SUM(Model!tauY/(1+Model!tauY)*AH3:AI3*AH18:AI18)/AH32</f>
        <v>9.0435693680652445E-3</v>
      </c>
      <c r="AJ58" s="193">
        <f t="array" ref="AJ58">SUM(Model!tauY/(1+Model!tauY)*AJ3:AK3*AJ18:AK18)/AJ32</f>
        <v>8.867926854957256E-3</v>
      </c>
      <c r="AL58" s="193">
        <f t="array" ref="AL58">SUM(Model!tauY/(1+Model!tauY)*AL3:AM3*AL18:AM18)/AL32</f>
        <v>8.6510238645482063E-3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5.2815075236585128E-3</v>
      </c>
      <c r="F59" s="193">
        <f>(F2*G5*G20)/F32</f>
        <v>1.0127435989293283E-2</v>
      </c>
      <c r="H59" s="193">
        <f>(H2*I5*I20)/H32</f>
        <v>1.510920857710865E-2</v>
      </c>
      <c r="J59" s="193">
        <f>(J2*K5*K20)/J32</f>
        <v>2.0250619293239874E-2</v>
      </c>
      <c r="L59" s="193">
        <f>(L2*M5*M20)/L32</f>
        <v>2.5580698200750179E-2</v>
      </c>
      <c r="N59" s="193">
        <f>(N2*O5*O20)/N32</f>
        <v>3.1136752083902E-2</v>
      </c>
      <c r="P59" s="193">
        <f>(P2*Q5*Q20)/P32</f>
        <v>3.696687297500393E-2</v>
      </c>
      <c r="R59" s="193">
        <f>(R2*S5*S20)/R32</f>
        <v>4.3136163048482813E-2</v>
      </c>
      <c r="T59" s="193">
        <f>(T2*U5*U20)/T32</f>
        <v>4.973622302536148E-2</v>
      </c>
      <c r="V59" s="193">
        <f>(V2*W5*W20)/V32</f>
        <v>5.6902037512117434E-2</v>
      </c>
      <c r="X59" s="193">
        <f>(X2*Y5*Y20)/X32</f>
        <v>6.4842658843675932E-2</v>
      </c>
      <c r="Z59" s="193">
        <f>(Z2*AA5*AA20)/Z32</f>
        <v>7.3899415497930276E-2</v>
      </c>
      <c r="AB59" s="193">
        <f>(AB2*AC5*AC20)/AB32</f>
        <v>8.4660091062641843E-2</v>
      </c>
      <c r="AD59" s="193">
        <f>(AD2*AE5*AE20)/AD32</f>
        <v>9.8188571849412765E-2</v>
      </c>
      <c r="AF59" s="193">
        <f>(AF2*AG5*AG20)/AF32</f>
        <v>0.11647307006346315</v>
      </c>
      <c r="AH59" s="193">
        <f>(AH2*AI5*AI20)/AH32</f>
        <v>0.14318747499370874</v>
      </c>
      <c r="AJ59" s="193">
        <f>(AJ2*AK5*AK20)/AJ32</f>
        <v>0.18480456359133712</v>
      </c>
      <c r="AL59" s="193">
        <f>(AL2*AM5*AM20)/AL32</f>
        <v>0.25429137179800415</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2.8609331605765852E-2</v>
      </c>
      <c r="F60" s="193">
        <f>Model!$C$52*F5*F20/F32</f>
        <v>2.8548296726191292E-2</v>
      </c>
      <c r="H60" s="193">
        <f>Model!$C$52*H5*H20/H32</f>
        <v>2.8486223628917923E-2</v>
      </c>
      <c r="J60" s="193">
        <f>Model!$C$52*J5*J20/J32</f>
        <v>2.8422949215099649E-2</v>
      </c>
      <c r="L60" s="193">
        <f>Model!$C$52*L5*L20/L32</f>
        <v>2.8358281294792169E-2</v>
      </c>
      <c r="N60" s="193">
        <f>Model!$C$52*N5*N20/N32</f>
        <v>2.8291970673606649E-2</v>
      </c>
      <c r="P60" s="193">
        <f>Model!$C$52*P5*P20/P32</f>
        <v>2.8223698057059727E-2</v>
      </c>
      <c r="R60" s="193">
        <f>Model!$C$52*R5*R20/R32</f>
        <v>2.8153025831287329E-2</v>
      </c>
      <c r="T60" s="193">
        <f>Model!$C$52*T5*T20/T32</f>
        <v>2.8079322435804788E-2</v>
      </c>
      <c r="V60" s="193">
        <f>Model!$C$52*V5*V20/V32</f>
        <v>2.8001625908907531E-2</v>
      </c>
      <c r="X60" s="193">
        <f>Model!$C$52*X5*X20/X32</f>
        <v>2.7918384537027979E-2</v>
      </c>
      <c r="Z60" s="193">
        <f>Model!$C$52*Z5*Z20/Z32</f>
        <v>2.7826956271045082E-2</v>
      </c>
      <c r="AB60" s="193">
        <f>Model!$C$52*AB5*AB20/AB32</f>
        <v>2.772261065081813E-2</v>
      </c>
      <c r="AD60" s="193">
        <f>Model!$C$52*AD5*AD20/AD32</f>
        <v>2.7596532478510277E-2</v>
      </c>
      <c r="AF60" s="193">
        <f>Model!$C$52*AF5*AF20/AF32</f>
        <v>2.743206867262005E-2</v>
      </c>
      <c r="AH60" s="193">
        <f>Model!$C$52*AH5*AH20/AH32</f>
        <v>2.7199333388363847E-2</v>
      </c>
      <c r="AJ60" s="193">
        <f>Model!$C$52*AJ5*AJ20/AJ32</f>
        <v>2.685160087529358E-2</v>
      </c>
      <c r="AL60" s="193">
        <f>Model!$C$52*AL5*AL20/AL32</f>
        <v>2.6314594276278993E-2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1.0241043259502431</v>
      </c>
      <c r="F62">
        <f>F13/F15</f>
        <v>1.0497044315156443</v>
      </c>
      <c r="H62">
        <f>H13/H15</f>
        <v>1.0770301112765297</v>
      </c>
      <c r="J62">
        <f>J13/J15</f>
        <v>1.1063669128529108</v>
      </c>
      <c r="L62">
        <f>L13/L15</f>
        <v>1.1380759112626089</v>
      </c>
      <c r="N62">
        <f>N13/N15</f>
        <v>1.1726261600756664</v>
      </c>
      <c r="P62">
        <f>P13/P15</f>
        <v>1.2106422895445255</v>
      </c>
      <c r="R62">
        <f>R13/R15</f>
        <v>1.2529873968713219</v>
      </c>
      <c r="T62">
        <f>T13/T15</f>
        <v>1.3009049584650665</v>
      </c>
      <c r="V62">
        <f>V13/V15</f>
        <v>1.3562819182769956</v>
      </c>
      <c r="X62">
        <f>X13/X15</f>
        <v>1.4221612993677566</v>
      </c>
      <c r="Z62">
        <f>Z13/Z15</f>
        <v>1.5038210627515793</v>
      </c>
      <c r="AB62">
        <f>AB13/AB15</f>
        <v>1.6112479554125627</v>
      </c>
      <c r="AD62">
        <f>AD13/AD15</f>
        <v>1.7654591244750095</v>
      </c>
      <c r="AF62">
        <f>AF13/AF15</f>
        <v>2.0171167779157844</v>
      </c>
      <c r="AH62">
        <f>AH13/AH15</f>
        <v>2.5148168293611071</v>
      </c>
      <c r="AJ62">
        <f>AJ13/AJ15</f>
        <v>3.9055290341298714</v>
      </c>
      <c r="AL62">
        <f>AL13/AL15</f>
        <v>21.612116939181902</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0.99865303195889321</v>
      </c>
      <c r="E65" s="191"/>
      <c r="F65" s="191">
        <f t="array" ref="F65">SQRT((F9:G9*$B$22:$C$22+F10:G10*$B$23:$C$23+F11:G11*$B$24:$C$24+F4:G4*($B$25:$C$25-$B$19:$C$19))/($B$9:$C$9*$B$22:$C$22+$B$10:$C$10*$B$23:$C$23+$B$11:$C$11*$B$24:$C$24+$B$4:$C$4*($B$25:$C$25-$B$19:$C$19))*(F9:G9*F22:G22+F10:G10*F23:G23+F11:G11*F24:G24+F4:G4*(F25:G25-F19:G19))/($B$9:$C$9*F22:G22+$B$10:$C$10*F23:G23+$B$11:$C$11*F24:G24+$B$4:$C$4*(F25:G25-F19:G19)))</f>
        <v>0.9972556447128309</v>
      </c>
      <c r="G65" s="191"/>
      <c r="H65" s="191">
        <f t="array" ref="H65">SQRT((H9:I9*$B$22:$C$22+H10:I10*$B$23:$C$23+H11:I11*$B$24:$C$24+H4:I4*($B$25:$C$25-$B$19:$C$19))/($B$9:$C$9*$B$22:$C$22+$B$10:$C$10*$B$23:$C$23+$B$11:$C$11*$B$24:$C$24+$B$4:$C$4*($B$25:$C$25-$B$19:$C$19))*(H9:I9*H22:I22+H10:I10*H23:I23+H11:I11*H24:I24+H4:I4*(H25:I25-H19:I19))/($B$9:$C$9*H22:I22+$B$10:$C$10*H23:I23+$B$11:$C$11*H24:I24+$B$4:$C$4*(H25:I25-H19:I19)))</f>
        <v>0.99580041030509137</v>
      </c>
      <c r="I65" s="191"/>
      <c r="J65" s="191">
        <f t="array" ref="J65">SQRT((J9:K9*$B$22:$C$22+J10:K10*$B$23:$C$23+J11:K11*$B$24:$C$24+J4:K4*($B$25:$C$25-$B$19:$C$19))/($B$9:$C$9*$B$22:$C$22+$B$10:$C$10*$B$23:$C$23+$B$11:$C$11*$B$24:$C$24+$B$4:$C$4*($B$25:$C$25-$B$19:$C$19))*(J9:K9*J22:K22+J10:K10*J23:K23+J11:K11*J24:K24+J4:K4*(J25:K25-J19:K19))/($B$9:$C$9*J22:K22+$B$10:$C$10*J23:K23+$B$11:$C$11*J24:K24+$B$4:$C$4*(J25:K25-J19:K19)))</f>
        <v>0.99427875719305447</v>
      </c>
      <c r="K65" s="191"/>
      <c r="L65" s="191">
        <f t="array" ref="L65">SQRT((L9:M9*$B$22:$C$22+L10:M10*$B$23:$C$23+L11:M11*$B$24:$C$24+L4:M4*($B$25:$C$25-$B$19:$C$19))/($B$9:$C$9*$B$22:$C$22+$B$10:$C$10*$B$23:$C$23+$B$11:$C$11*$B$24:$C$24+$B$4:$C$4*($B$25:$C$25-$B$19:$C$19))*(L9:M9*L22:M22+L10:M10*L23:M23+L11:M11*L24:M24+L4:M4*(L25:M25-L19:M19))/($B$9:$C$9*L22:M22+$B$10:$C$10*L23:M23+$B$11:$C$11*L24:M24+$B$4:$C$4*(L25:M25-L19:M19)))</f>
        <v>0.99268109801052329</v>
      </c>
      <c r="M65" s="191"/>
      <c r="N65" s="191">
        <f t="array" ref="N65">SQRT((N9:O9*$B$22:$C$22+N10:O10*$B$23:$C$23+N11:O11*$B$24:$C$24+N4:O4*($B$25:$C$25-$B$19:$C$19))/($B$9:$C$9*$B$22:$C$22+$B$10:$C$10*$B$23:$C$23+$B$11:$C$11*$B$24:$C$24+$B$4:$C$4*($B$25:$C$25-$B$19:$C$19))*(N9:O9*N22:O22+N10:O10*N23:O23+N11:O11*N24:O24+N4:O4*(N25:O25-N19:O19))/($B$9:$C$9*N22:O22+$B$10:$C$10*N23:O23+$B$11:$C$11*N24:O24+$B$4:$C$4*(N25:O25-N19:O19)))</f>
        <v>0.9909969856812616</v>
      </c>
      <c r="O65" s="191"/>
      <c r="P65" s="191">
        <f t="array" ref="P65">SQRT((P9:Q9*$B$22:$C$22+P10:Q10*$B$23:$C$23+P11:Q11*$B$24:$C$24+P4:Q4*($B$25:$C$25-$B$19:$C$19))/($B$9:$C$9*$B$22:$C$22+$B$10:$C$10*$B$23:$C$23+$B$11:$C$11*$B$24:$C$24+$B$4:$C$4*($B$25:$C$25-$B$19:$C$19))*(P9:Q9*P22:Q22+P10:Q10*P23:Q23+P11:Q11*P24:Q24+P4:Q4*(P25:Q25-P19:Q19))/($B$9:$C$9*P22:Q22+$B$10:$C$10*P23:Q23+$B$11:$C$11*P24:Q24+$B$4:$C$4*(P25:Q25-P19:Q19)))</f>
        <v>0.98921590104625223</v>
      </c>
      <c r="Q65" s="191"/>
      <c r="R65" s="191">
        <f t="array" ref="R65">SQRT((R9:S9*$B$22:$C$22+R10:S10*$B$23:$C$23+R11:S11*$B$24:$C$24+R4:S4*($B$25:$C$25-$B$19:$C$19))/($B$9:$C$9*$B$22:$C$22+$B$10:$C$10*$B$23:$C$23+$B$11:$C$11*$B$24:$C$24+$B$4:$C$4*($B$25:$C$25-$B$19:$C$19))*(R9:S9*R22:S22+R10:S10*R23:S23+R11:S11*R24:S24+R4:S4*(R25:S25-R19:S19))/($B$9:$C$9*R22:S22+$B$10:$C$10*R23:S23+$B$11:$C$11*R24:S24+$B$4:$C$4*(R25:S25-R19:S19)))</f>
        <v>0.98732863615207322</v>
      </c>
      <c r="S65" s="191"/>
      <c r="T65" s="191">
        <f t="array" ref="T65">SQRT((T9:U9*$B$22:$C$22+T10:U10*$B$23:$C$23+T11:U11*$B$24:$C$24+T4:U4*($B$25:$C$25-$B$19:$C$19))/($B$9:$C$9*$B$22:$C$22+$B$10:$C$10*$B$23:$C$23+$B$11:$C$11*$B$24:$C$24+$B$4:$C$4*($B$25:$C$25-$B$19:$C$19))*(T9:U9*T22:U22+T10:U10*T23:U23+T11:U11*T24:U24+T4:U4*(T25:U25-T19:U19))/($B$9:$C$9*T22:U22+$B$10:$C$10*T23:U23+$B$11:$C$11*T24:U24+$B$4:$C$4*(T25:U25-T19:U19)))</f>
        <v>0.98533013220604548</v>
      </c>
      <c r="U65" s="191"/>
      <c r="V65" s="191">
        <f t="array" ref="V65">SQRT((V9:W9*$B$22:$C$22+V10:W10*$B$23:$C$23+V11:W11*$B$24:$C$24+V4:W4*($B$25:$C$25-$B$19:$C$19))/($B$9:$C$9*$B$22:$C$22+$B$10:$C$10*$B$23:$C$23+$B$11:$C$11*$B$24:$C$24+$B$4:$C$4*($B$25:$C$25-$B$19:$C$19))*(V9:W9*V22:W22+V10:W10*V23:W23+V11:W11*V24:W24+V4:W4*(V25:W25-V19:W19))/($B$9:$C$9*V22:W22+$B$10:$C$10*V23:W23+$B$11:$C$11*V24:W24+$B$4:$C$4*(V25:W25-V19:W19)))</f>
        <v>0.98322489362114807</v>
      </c>
      <c r="W65" s="191"/>
      <c r="X65" s="191">
        <f t="array" ref="X65">SQRT((X9:Y9*$B$22:$C$22+X10:Y10*$B$23:$C$23+X11:Y11*$B$24:$C$24+X4:Y4*($B$25:$C$25-$B$19:$C$19))/($B$9:$C$9*$B$22:$C$22+$B$10:$C$10*$B$23:$C$23+$B$11:$C$11*$B$24:$C$24+$B$4:$C$4*($B$25:$C$25-$B$19:$C$19))*(X9:Y9*X22:Y22+X10:Y10*X23:Y23+X11:Y11*X24:Y24+X4:Y4*(X25:Y25-X19:Y19))/($B$9:$C$9*X22:Y22+$B$10:$C$10*X23:Y23+$B$11:$C$11*X24:Y24+$B$4:$C$4*(X25:Y25-X19:Y19)))</f>
        <v>0.98103731789596005</v>
      </c>
      <c r="Y65" s="191"/>
      <c r="Z65" s="191">
        <f t="array" ref="Z65">SQRT((Z9:AA9*$B$22:$C$22+Z10:AA10*$B$23:$C$23+Z11:AA11*$B$24:$C$24+Z4:AA4*($B$25:$C$25-$B$19:$C$19))/($B$9:$C$9*$B$22:$C$22+$B$10:$C$10*$B$23:$C$23+$B$11:$C$11*$B$24:$C$24+$B$4:$C$4*($B$25:$C$25-$B$19:$C$19))*(Z9:AA9*Z22:AA22+Z10:AA10*Z23:AA23+Z11:AA11*Z24:AA24+Z4:AA4*(Z25:AA25-Z19:AA19))/($B$9:$C$9*Z22:AA22+$B$10:$C$10*Z23:AA23+$B$11:$C$11*Z24:AA24+$B$4:$C$4*(Z25:AA25-Z19:AA19)))</f>
        <v>0.97883145880086142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0.97674882861388368</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0.97507769741421446</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0.97435652631144898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0.97540312319946376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0.978853097715492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0.98411499874491593</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0.99851889871177324</v>
      </c>
      <c r="E66" s="191"/>
      <c r="F66" s="191">
        <f t="array" ref="F66">SQRT((F9:G9*$B$22:$C$22)/($B$9:$C$9*$B$22:$C$22)*(F9:G9*F22:G22)/($B$9:$C$9*F22:G22))</f>
        <v>0.99698076027057181</v>
      </c>
      <c r="G66" s="191"/>
      <c r="H66" s="191">
        <f t="array" ref="H66">SQRT((H9:I9*$B$22:$C$22)/($B$9:$C$9*$B$22:$C$22)*(H9:I9*H22:I22)/($B$9:$C$9*H22:I22))</f>
        <v>0.99537720091896942</v>
      </c>
      <c r="I66" s="191"/>
      <c r="J66" s="191">
        <f t="array" ref="J66">SQRT((J9:K9*$B$22:$C$22)/($B$9:$C$9*$B$22:$C$22)*(J9:K9*J22:K22)/($B$9:$C$9*J22:K22))</f>
        <v>0.99369852480314358</v>
      </c>
      <c r="K66" s="191"/>
      <c r="L66" s="191">
        <f t="array" ref="L66">SQRT((L9:M9*$B$22:$C$22)/($B$9:$C$9*$B$22:$C$22)*(L9:M9*L22:M22)/($B$9:$C$9*L22:M22))</f>
        <v>0.99193385160400505</v>
      </c>
      <c r="M66" s="191"/>
      <c r="N66" s="191">
        <f t="array" ref="N66">SQRT((N9:O9*$B$22:$C$22)/($B$9:$C$9*$B$22:$C$22)*(N9:O9*N22:O22)/($B$9:$C$9*N22:O22))</f>
        <v>0.99007127480544943</v>
      </c>
      <c r="O66" s="191"/>
      <c r="P66" s="191">
        <f t="array" ref="P66">SQRT((P9:Q9*$B$22:$C$22)/($B$9:$C$9*$B$22:$C$22)*(P9:Q9*P22:Q22)/($B$9:$C$9*P22:Q22))</f>
        <v>0.98809871850162512</v>
      </c>
      <c r="Q66" s="191"/>
      <c r="R66" s="191">
        <f t="array" ref="R66">SQRT((R9:S9*$B$22:$C$22)/($B$9:$C$9*$B$22:$C$22)*(R9:S9*R22:S22)/($B$9:$C$9*R22:S22))</f>
        <v>0.98600546138443246</v>
      </c>
      <c r="S66" s="191"/>
      <c r="T66" s="191">
        <f t="array" ref="T66">SQRT((T9:U9*$B$22:$C$22)/($B$9:$C$9*$B$22:$C$22)*(T9:U9*T22:U22)/($B$9:$C$9*T22:U22))</f>
        <v>0.98378529224870448</v>
      </c>
      <c r="U66" s="191"/>
      <c r="V66" s="191">
        <f t="array" ref="V66">SQRT((V9:W9*$B$22:$C$22)/($B$9:$C$9*$B$22:$C$22)*(V9:W9*V22:W22)/($B$9:$C$9*V22:W22))</f>
        <v>0.98144257078922936</v>
      </c>
      <c r="W66" s="191"/>
      <c r="X66" s="191">
        <f t="array" ref="X66">SQRT((X9:Y9*$B$22:$C$22)/($B$9:$C$9*$B$22:$C$22)*(X9:Y9*X22:Y22)/($B$9:$C$9*X22:Y22))</f>
        <v>0.97900385189684891</v>
      </c>
      <c r="Y66" s="191"/>
      <c r="Z66" s="191">
        <f t="array" ref="Z66">SQRT((Z9:AA9*$B$22:$C$22)/($B$9:$C$9*$B$22:$C$22)*(Z9:AA9*Z22:AA22)/($B$9:$C$9*Z22:AA22))</f>
        <v>0.97654021243209255</v>
      </c>
      <c r="AA66" s="191"/>
      <c r="AB66" s="191">
        <f t="array" ref="AB66">SQRT((AB9:AC9*$B$22:$C$22)/($B$9:$C$9*$B$22:$C$22)*(AB9:AC9*AB22:AC22)/($B$9:$C$9*AB22:AC22))</f>
        <v>0.97421006056745452</v>
      </c>
      <c r="AC66" s="191"/>
      <c r="AD66" s="191">
        <f t="array" ref="AD66">SQRT((AD9:AE9*$B$22:$C$22)/($B$9:$C$9*$B$22:$C$22)*(AD9:AE9*AD22:AE22)/($B$9:$C$9*AD22:AE22))</f>
        <v>0.97233764200971384</v>
      </c>
      <c r="AE66" s="191"/>
      <c r="AF66" s="191">
        <f t="array" ref="AF66">SQRT((AF9:AG9*$B$22:$C$22)/($B$9:$C$9*$B$22:$C$22)*(AF9:AG9*AF22:AG22)/($B$9:$C$9*AF22:AG22))</f>
        <v>0.97152975705581668</v>
      </c>
      <c r="AG66" s="191"/>
      <c r="AH66" s="191">
        <f t="array" ref="AH66">SQRT((AH9:AI9*$B$22:$C$22)/($B$9:$C$9*$B$22:$C$22)*(AH9:AI9*AH22:AI22)/($B$9:$C$9*AH22:AI22))</f>
        <v>0.97270613759814639</v>
      </c>
      <c r="AI66" s="191"/>
      <c r="AJ66" s="191">
        <f t="array" ref="AJ66">SQRT((AJ9:AK9*$B$22:$C$22)/($B$9:$C$9*$B$22:$C$22)*(AJ9:AK9*AJ22:AK22)/($B$9:$C$9*AJ22:AK22))</f>
        <v>0.97657180857256864</v>
      </c>
      <c r="AK66" s="191"/>
      <c r="AL66" s="191">
        <f t="array" ref="AL66">SQRT((AL9:AM9*$B$22:$C$22)/($B$9:$C$9*$B$22:$C$22)*(AL9:AM9*AL22:AM22)/($B$9:$C$9*AL22:AM22))</f>
        <v>0.98244315014015149</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0.99851889871177324</v>
      </c>
      <c r="E68" s="191"/>
      <c r="F68" s="191">
        <f>F66/F67</f>
        <v>0.99698076027057181</v>
      </c>
      <c r="G68" s="191"/>
      <c r="H68" s="191">
        <f>H66/H67</f>
        <v>0.99537720091896942</v>
      </c>
      <c r="I68" s="191"/>
      <c r="J68" s="191">
        <f>J66/J67</f>
        <v>0.99369852480314358</v>
      </c>
      <c r="K68" s="191"/>
      <c r="L68" s="191">
        <f>L66/L67</f>
        <v>0.99193385160400505</v>
      </c>
      <c r="M68" s="191"/>
      <c r="N68" s="191">
        <f>N66/N67</f>
        <v>0.99007127480544943</v>
      </c>
      <c r="O68" s="191"/>
      <c r="P68" s="191">
        <f>P66/P67</f>
        <v>0.98809871850162512</v>
      </c>
      <c r="Q68" s="191"/>
      <c r="R68" s="191">
        <f>R66/R67</f>
        <v>0.98600546138443246</v>
      </c>
      <c r="S68" s="191"/>
      <c r="T68" s="191">
        <f>T66/T67</f>
        <v>0.98378529224870448</v>
      </c>
      <c r="U68" s="191"/>
      <c r="V68" s="191">
        <f>V66/V67</f>
        <v>0.98144257078922936</v>
      </c>
      <c r="W68" s="191"/>
      <c r="X68" s="191">
        <f>X66/X67</f>
        <v>0.97900385189684891</v>
      </c>
      <c r="Y68" s="191"/>
      <c r="Z68" s="191">
        <f>Z66/Z67</f>
        <v>0.97654021243209255</v>
      </c>
      <c r="AA68" s="191"/>
      <c r="AB68" s="191">
        <f>AB66/AB67</f>
        <v>0.97421006056745452</v>
      </c>
      <c r="AC68" s="191"/>
      <c r="AD68" s="191">
        <f>AD66/AD67</f>
        <v>0.97233764200971384</v>
      </c>
      <c r="AE68" s="191"/>
      <c r="AF68" s="191">
        <f>AF66/AF67</f>
        <v>0.97152975705581668</v>
      </c>
      <c r="AG68" s="191"/>
      <c r="AH68" s="191">
        <f>AH66/AH67</f>
        <v>0.97270613759814639</v>
      </c>
      <c r="AI68" s="191"/>
      <c r="AJ68" s="191">
        <f>AJ66/AJ67</f>
        <v>0.97657180857256864</v>
      </c>
      <c r="AK68" s="191"/>
      <c r="AL68" s="191">
        <f>AL66/AL67</f>
        <v>0.98244315014015149</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1.0015555108739465</v>
      </c>
      <c r="E69" s="191"/>
      <c r="F69" s="191">
        <f>F32/F65/($B$32)</f>
        <v>1.0029882277921189</v>
      </c>
      <c r="G69" s="191"/>
      <c r="H69" s="191">
        <f>H32/H65/($B$32)</f>
        <v>1.0042783646925615</v>
      </c>
      <c r="I69" s="191"/>
      <c r="J69" s="191">
        <f>J32/J65/($B$32)</f>
        <v>1.005401786973793</v>
      </c>
      <c r="K69" s="191"/>
      <c r="L69" s="191">
        <f>L32/L65/($B$32)</f>
        <v>1.0063283040701234</v>
      </c>
      <c r="M69" s="191"/>
      <c r="N69" s="191">
        <f>N32/N65/($B$32)</f>
        <v>1.0070207294391162</v>
      </c>
      <c r="O69" s="191"/>
      <c r="P69" s="191">
        <f>P32/P65/($B$32)</f>
        <v>1.0074318972957375</v>
      </c>
      <c r="Q69" s="191"/>
      <c r="R69" s="191">
        <f>R32/R65/($B$32)</f>
        <v>1.0075017230440895</v>
      </c>
      <c r="S69" s="191"/>
      <c r="T69" s="191">
        <f>T32/T65/($B$32)</f>
        <v>1.0071526346426078</v>
      </c>
      <c r="U69" s="191"/>
      <c r="V69" s="191">
        <f>V32/V65/($B$32)</f>
        <v>1.006282645657836</v>
      </c>
      <c r="W69" s="191"/>
      <c r="X69" s="191">
        <f>X32/X65/($B$32)</f>
        <v>1.0047548337211802</v>
      </c>
      <c r="Y69" s="191"/>
      <c r="Z69" s="191">
        <f>Z32/Z65/($B$32)</f>
        <v>1.002379576292318</v>
      </c>
      <c r="AA69" s="191"/>
      <c r="AB69" s="191">
        <f>AB32/AB65/($B$32)</f>
        <v>0.99888160147520488</v>
      </c>
      <c r="AC69" s="191"/>
      <c r="AD69" s="191">
        <f>AD32/AD65/($B$32)</f>
        <v>0.99382791676852422</v>
      </c>
      <c r="AE69" s="191"/>
      <c r="AF69" s="191">
        <f>AF32/AF65/($B$32)</f>
        <v>0.98643732610731538</v>
      </c>
      <c r="AG69" s="191"/>
      <c r="AH69" s="191">
        <f>AH32/AH65/($B$32)</f>
        <v>0.97498257148853884</v>
      </c>
      <c r="AI69" s="191"/>
      <c r="AJ69" s="191">
        <f>AJ32/AJ65/($B$32)</f>
        <v>0.9548417826173905</v>
      </c>
      <c r="AK69" s="191"/>
      <c r="AL69" s="191">
        <f>AL32/AL65/($B$32)</f>
        <v>0.91216792506409772</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1.0001823165243149</v>
      </c>
      <c r="E70" s="138"/>
      <c r="F70" s="138">
        <f>F18/$B$18</f>
        <v>1.0002358176089334</v>
      </c>
      <c r="G70" s="138"/>
      <c r="H70" s="138">
        <f>H18/$B$18</f>
        <v>1.0001409749995176</v>
      </c>
      <c r="I70" s="138"/>
      <c r="J70" s="138">
        <f>J18/$B$18</f>
        <v>0.99987383296826871</v>
      </c>
      <c r="K70" s="138"/>
      <c r="L70" s="138">
        <f>L18/$B$18</f>
        <v>0.99940422766340742</v>
      </c>
      <c r="M70" s="138"/>
      <c r="N70" s="138">
        <f>N18/$B$18</f>
        <v>0.99869385274585321</v>
      </c>
      <c r="O70" s="138"/>
      <c r="P70" s="138">
        <f>P18/$B$18</f>
        <v>0.9976924796525618</v>
      </c>
      <c r="Q70" s="138"/>
      <c r="R70" s="138">
        <f>R18/$B$18</f>
        <v>0.99633264889015183</v>
      </c>
      <c r="S70" s="138"/>
      <c r="T70" s="138">
        <f>T18/$B$18</f>
        <v>0.99452094596578122</v>
      </c>
      <c r="U70" s="138"/>
      <c r="V70" s="138">
        <f>V18/$B$18</f>
        <v>0.99212329826482026</v>
      </c>
      <c r="W70" s="138"/>
      <c r="X70" s="138">
        <f>X18/$B$18</f>
        <v>0.98893952005414731</v>
      </c>
      <c r="Y70" s="138"/>
      <c r="Z70" s="138">
        <f>Z18/$B$18</f>
        <v>0.98465680871410799</v>
      </c>
      <c r="AA70" s="138"/>
      <c r="AB70" s="138">
        <f>AB18/$B$18</f>
        <v>0.97876096125909151</v>
      </c>
      <c r="AC70" s="138"/>
      <c r="AD70" s="138">
        <f>AD18/$B$18</f>
        <v>0.97035927427237945</v>
      </c>
      <c r="AE70" s="138"/>
      <c r="AF70" s="138">
        <f>AF18/$B$18</f>
        <v>0.95782149394814586</v>
      </c>
      <c r="AG70" s="138"/>
      <c r="AH70" s="138">
        <f>AH18/$B$18</f>
        <v>0.93806731938182952</v>
      </c>
      <c r="AI70" s="138"/>
      <c r="AJ70" s="138">
        <f>AJ18/$B$18</f>
        <v>0.90506197758015805</v>
      </c>
      <c r="AK70" s="138"/>
      <c r="AL70" s="138">
        <f>AL18/$B$18</f>
        <v>0.8447010143941529</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0.93053466674725249</v>
      </c>
      <c r="E71" s="138"/>
      <c r="F71" s="138">
        <f>G18/$C$18</f>
        <v>0.86100037804657281</v>
      </c>
      <c r="G71" s="138"/>
      <c r="H71" s="138">
        <f>I18/$C$18</f>
        <v>0.79141661456057444</v>
      </c>
      <c r="I71" s="138"/>
      <c r="J71" s="138">
        <f>K18/$C$18</f>
        <v>0.72181172296698659</v>
      </c>
      <c r="K71" s="138"/>
      <c r="L71" s="138">
        <f>M18/$C$18</f>
        <v>0.65223855715763235</v>
      </c>
      <c r="M71" s="138"/>
      <c r="N71" s="138">
        <f>O18/$C$18</f>
        <v>0.5827701147883102</v>
      </c>
      <c r="O71" s="138"/>
      <c r="P71" s="138">
        <f>Q18/$C$18</f>
        <v>0.51352950845815082</v>
      </c>
      <c r="Q71" s="138"/>
      <c r="R71" s="138">
        <f>S18/$C$18</f>
        <v>0.44470961445554286</v>
      </c>
      <c r="S71" s="138"/>
      <c r="T71" s="138">
        <f>U18/$C$18</f>
        <v>0.37661233056225496</v>
      </c>
      <c r="U71" s="138"/>
      <c r="V71" s="138">
        <f>W18/$C$18</f>
        <v>0.30971132438729126</v>
      </c>
      <c r="W71" s="138"/>
      <c r="X71" s="138">
        <f>Y18/$C$18</f>
        <v>0.24474533442830346</v>
      </c>
      <c r="Y71" s="138"/>
      <c r="Z71" s="138">
        <f>AA18/$C$18</f>
        <v>0.18286270777961397</v>
      </c>
      <c r="AA71" s="138"/>
      <c r="AB71" s="138">
        <f>AC18/$C$18</f>
        <v>0.12582796959262063</v>
      </c>
      <c r="AC71" s="138"/>
      <c r="AD71" s="138">
        <f>AE18/$C$18</f>
        <v>7.6262851047847677E-2</v>
      </c>
      <c r="AE71" s="138"/>
      <c r="AF71" s="138">
        <f>AG18/$C$18</f>
        <v>3.7660231206644551E-2</v>
      </c>
      <c r="AG71" s="138"/>
      <c r="AH71" s="138">
        <f>AI18/$C$18</f>
        <v>1.3257006193911285E-2</v>
      </c>
      <c r="AI71" s="138"/>
      <c r="AJ71" s="138">
        <f>AK18/$C$18</f>
        <v>2.6988396026301166E-3</v>
      </c>
      <c r="AK71" s="138"/>
      <c r="AL71" s="138">
        <f>AM18/$C$18</f>
        <v>2.2809300737344995E-4</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1.0225114684189103</v>
      </c>
      <c r="E72" s="138"/>
      <c r="F72" s="138">
        <f>G19/$C$19</f>
        <v>1.0488512951797826</v>
      </c>
      <c r="G72" s="138"/>
      <c r="H72" s="138">
        <f>I19/$C$19</f>
        <v>1.079518925291123</v>
      </c>
      <c r="I72" s="138"/>
      <c r="J72" s="138">
        <f>K19/$C$19</f>
        <v>1.1150730536895161</v>
      </c>
      <c r="K72" s="138"/>
      <c r="L72" s="138">
        <f>M19/$C$19</f>
        <v>1.156115496211519</v>
      </c>
      <c r="M72" s="138"/>
      <c r="N72" s="138">
        <f>O19/$C$19</f>
        <v>1.2032899974707718</v>
      </c>
      <c r="O72" s="138"/>
      <c r="P72" s="138">
        <f>Q19/$C$19</f>
        <v>1.2572090382804613</v>
      </c>
      <c r="Q72" s="138"/>
      <c r="R72" s="138">
        <f>S19/$C$19</f>
        <v>1.3183696806730005</v>
      </c>
      <c r="S72" s="138"/>
      <c r="T72" s="138">
        <f>U19/$C$19</f>
        <v>1.386963210967076</v>
      </c>
      <c r="U72" s="138"/>
      <c r="V72" s="138">
        <f>W19/$C$19</f>
        <v>1.4625258894168374</v>
      </c>
      <c r="W72" s="138"/>
      <c r="X72" s="138">
        <f>Y19/$C$19</f>
        <v>1.5432786575338353</v>
      </c>
      <c r="Y72" s="138"/>
      <c r="Z72" s="138">
        <f>AA19/$C$19</f>
        <v>1.6248817833089999</v>
      </c>
      <c r="AA72" s="138"/>
      <c r="AB72" s="138">
        <f>AC19/$C$19</f>
        <v>1.6980809454125854</v>
      </c>
      <c r="AC72" s="138"/>
      <c r="AD72" s="138">
        <f>AE19/$C$19</f>
        <v>1.7444706658342919</v>
      </c>
      <c r="AE72" s="138"/>
      <c r="AF72" s="138">
        <f>AG19/$C$19</f>
        <v>1.7303544667217992</v>
      </c>
      <c r="AG72" s="138"/>
      <c r="AH72" s="138">
        <f>AI19/$C$19</f>
        <v>1.6054230868297938</v>
      </c>
      <c r="AI72" s="138"/>
      <c r="AJ72" s="138">
        <f>AK19/$C$19</f>
        <v>1.3297422167689048</v>
      </c>
      <c r="AK72" s="138"/>
      <c r="AL72" s="138">
        <f>AM19/$C$19</f>
        <v>0.92702397615896648</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0.47641154857151596</v>
      </c>
      <c r="E73" s="138"/>
      <c r="F73" s="193">
        <f t="array" ref="F73">SUM(F9:G9*F22:G22)/F32</f>
        <v>0.47641155071677216</v>
      </c>
      <c r="G73" s="138"/>
      <c r="H73" s="193">
        <f t="array" ref="H73">SUM(H9:I9*H22:I22)/H32</f>
        <v>0.47641155575292893</v>
      </c>
      <c r="I73" s="138"/>
      <c r="J73" s="193">
        <f t="array" ref="J73">SUM(J9:K9*J22:K22)/J32</f>
        <v>0.47641159142512679</v>
      </c>
      <c r="K73" s="138"/>
      <c r="L73" s="193">
        <f t="array" ref="L73">SUM(L9:M9*L22:M22)/L32</f>
        <v>0.47641153446625506</v>
      </c>
      <c r="M73" s="138"/>
      <c r="N73" s="193">
        <f t="array" ref="N73">SUM(N9:O9*N22:O22)/N32</f>
        <v>0.47641153528739932</v>
      </c>
      <c r="O73" s="138"/>
      <c r="P73" s="193">
        <f t="array" ref="P73">SUM(P9:Q9*P22:Q22)/P32</f>
        <v>0.47641153609573145</v>
      </c>
      <c r="Q73" s="138"/>
      <c r="R73" s="193">
        <f t="array" ref="R73">SUM(R9:S9*R22:S22)/R32</f>
        <v>0.47641153840256589</v>
      </c>
      <c r="S73" s="138"/>
      <c r="T73" s="193">
        <f t="array" ref="T73">SUM(T9:U9*T22:U22)/T32</f>
        <v>0.47641153749539117</v>
      </c>
      <c r="U73" s="138"/>
      <c r="V73" s="193">
        <f t="array" ref="V73">SUM(V9:W9*V22:W22)/V32</f>
        <v>0.47641153678196785</v>
      </c>
      <c r="W73" s="138"/>
      <c r="X73" s="193">
        <f t="array" ref="X73">SUM(X9:Y9*X22:Y22)/X32</f>
        <v>0.47641153405141523</v>
      </c>
      <c r="Y73" s="138"/>
      <c r="Z73" s="193">
        <f t="array" ref="Z73">SUM(Z9:AA9*Z22:AA22)/Z32</f>
        <v>0.4764115356218897</v>
      </c>
      <c r="AA73" s="138"/>
      <c r="AB73" s="193">
        <f t="array" ref="AB73">SUM(AB9:AC9*AB22:AC22)/AB32</f>
        <v>0.47641153502185624</v>
      </c>
      <c r="AC73" s="138"/>
      <c r="AD73" s="193">
        <f t="array" ref="AD73">SUM(AD9:AE9*AD22:AE22)/AD32</f>
        <v>0.47641153459897284</v>
      </c>
      <c r="AE73" s="138"/>
      <c r="AF73" s="193">
        <f t="array" ref="AF73">SUM(AF9:AG9*AF22:AG22)/AF32</f>
        <v>0.47641153358211002</v>
      </c>
      <c r="AG73" s="138"/>
      <c r="AH73" s="193">
        <f t="array" ref="AH73">SUM(AH9:AI9*AH22:AI22)/AH32</f>
        <v>0.47641153370497319</v>
      </c>
      <c r="AI73" s="138"/>
      <c r="AJ73" s="193">
        <f t="array" ref="AJ73">SUM(AJ9:AK9*AJ22:AK22)/AJ32</f>
        <v>0.47641153355555471</v>
      </c>
      <c r="AK73" s="138"/>
      <c r="AL73" s="193">
        <f t="array" ref="AL73">SUM(AL9:AM9*AL22:AM22)/AL32</f>
        <v>0.47641153352935306</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0.22604620456442481</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0.22604620456442481</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0.22038438846470129</v>
      </c>
      <c r="E75" s="138"/>
      <c r="F75" s="193">
        <f t="array" ref="F75">SUM(F11:G11*F24:G24)/F32</f>
        <v>0.22038438849210351</v>
      </c>
      <c r="G75" s="138"/>
      <c r="H75" s="193">
        <f t="array" ref="H75">SUM(H11:I11*H24:I24)/H32</f>
        <v>0.22038438854779269</v>
      </c>
      <c r="I75" s="138"/>
      <c r="J75" s="193">
        <f t="array" ref="J75">SUM(J11:K11*J24:K24)/J32</f>
        <v>0.22038438808319699</v>
      </c>
      <c r="K75" s="138"/>
      <c r="L75" s="193">
        <f t="array" ref="L75">SUM(L11:M11*L24:M24)/L32</f>
        <v>0.22038438830872309</v>
      </c>
      <c r="M75" s="138"/>
      <c r="N75" s="193">
        <f t="array" ref="N75">SUM(N11:O11*N24:O24)/N32</f>
        <v>0.2203843882862154</v>
      </c>
      <c r="O75" s="138"/>
      <c r="P75" s="193">
        <f t="array" ref="P75">SUM(P11:Q11*P24:Q24)/P32</f>
        <v>0.22038438826435872</v>
      </c>
      <c r="Q75" s="138"/>
      <c r="R75" s="193">
        <f t="array" ref="R75">SUM(R11:S11*R24:S24)/R32</f>
        <v>0.22038438830750229</v>
      </c>
      <c r="S75" s="138"/>
      <c r="T75" s="193">
        <f t="array" ref="T75">SUM(T11:U11*T24:U24)/T32</f>
        <v>0.22038438831361754</v>
      </c>
      <c r="U75" s="138"/>
      <c r="V75" s="193">
        <f t="array" ref="V75">SUM(V11:W11*V24:W24)/V32</f>
        <v>0.22038438831962992</v>
      </c>
      <c r="W75" s="138"/>
      <c r="X75" s="193">
        <f t="array" ref="X75">SUM(X11:Y11*X24:Y24)/X32</f>
        <v>0.22038438831345894</v>
      </c>
      <c r="Y75" s="138"/>
      <c r="Z75" s="193">
        <f t="array" ref="Z75">SUM(Z11:AA11*Z24:AA24)/Z32</f>
        <v>0.22038438836487964</v>
      </c>
      <c r="AA75" s="138"/>
      <c r="AB75" s="193">
        <f t="array" ref="AB75">SUM(AB11:AC11*AB24:AC24)/AB32</f>
        <v>0.22038438832146201</v>
      </c>
      <c r="AC75" s="138"/>
      <c r="AD75" s="193">
        <f t="array" ref="AD75">SUM(AD11:AE11*AD24:AE24)/AD32</f>
        <v>0.22038438831952487</v>
      </c>
      <c r="AE75" s="138"/>
      <c r="AF75" s="193">
        <f t="array" ref="AF75">SUM(AF11:AG11*AF24:AG24)/AF32</f>
        <v>0.2203843883325981</v>
      </c>
      <c r="AG75" s="138"/>
      <c r="AH75" s="193">
        <f t="array" ref="AH75">SUM(AH11:AI11*AH24:AI24)/AH32</f>
        <v>0.22038438833228988</v>
      </c>
      <c r="AI75" s="138"/>
      <c r="AJ75" s="193">
        <f t="array" ref="AJ75">SUM(AJ11:AK11*AJ24:AK24)/AJ32</f>
        <v>0.22038438833200016</v>
      </c>
      <c r="AK75" s="138"/>
      <c r="AL75" s="193">
        <f t="array" ref="AL75">SUM(AL11:AM11*AL24:AM24)/AL32</f>
        <v>0.22038438833193916</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0.22295870345541599</v>
      </c>
      <c r="E76" s="138"/>
      <c r="F76" s="193">
        <f t="array" ref="F76">SUM(F12:G12*F25:G25)/F32</f>
        <v>0.22295958286581374</v>
      </c>
      <c r="G76" s="138"/>
      <c r="H76" s="193">
        <f t="array" ref="H76">SUM(H12:I12*H25:I25)/H32</f>
        <v>0.22302942664681832</v>
      </c>
      <c r="I76" s="138"/>
      <c r="J76" s="193">
        <f t="array" ref="J76">SUM(J12:K12*J25:K25)/J32</f>
        <v>0.22317731800638074</v>
      </c>
      <c r="K76" s="138"/>
      <c r="L76" s="193">
        <f t="array" ref="L76">SUM(L12:M12*L25:M25)/L32</f>
        <v>0.22341336122991701</v>
      </c>
      <c r="M76" s="138"/>
      <c r="N76" s="193">
        <f t="array" ref="N76">SUM(N12:O12*N25:O25)/N32</f>
        <v>0.22374825042190807</v>
      </c>
      <c r="O76" s="138"/>
      <c r="P76" s="193">
        <f t="array" ref="P76">SUM(P12:Q12*P25:Q25)/P32</f>
        <v>0.22419266481000452</v>
      </c>
      <c r="Q76" s="138"/>
      <c r="R76" s="193">
        <f t="array" ref="R76">SUM(R12:S12*R25:S25)/R32</f>
        <v>0.22475567155917522</v>
      </c>
      <c r="S76" s="138"/>
      <c r="T76" s="193">
        <f t="array" ref="T76">SUM(T12:U12*T25:U25)/T32</f>
        <v>0.22544166610306654</v>
      </c>
      <c r="U76" s="138"/>
      <c r="V76" s="193">
        <f t="array" ref="V76">SUM(V12:W12*V25:W25)/V32</f>
        <v>0.22624444249965817</v>
      </c>
      <c r="W76" s="138"/>
      <c r="X76" s="193">
        <f t="array" ref="X76">SUM(X12:Y12*X25:Y25)/X32</f>
        <v>0.2271356513464754</v>
      </c>
      <c r="Y76" s="138"/>
      <c r="Z76" s="193">
        <f t="array" ref="Z76">SUM(Z12:AA12*Z25:AA25)/Z32</f>
        <v>0.22804237018778301</v>
      </c>
      <c r="AA76" s="138"/>
      <c r="AB76" s="193">
        <f t="array" ref="AB76">SUM(AB12:AC12*AB25:AC25)/AB32</f>
        <v>0.22880357023670247</v>
      </c>
      <c r="AC76" s="138"/>
      <c r="AD76" s="193">
        <f t="array" ref="AD76">SUM(AD12:AE12*AD25:AE25)/AD32</f>
        <v>0.22908941483507542</v>
      </c>
      <c r="AE76" s="138"/>
      <c r="AF76" s="193">
        <f t="array" ref="AF76">SUM(AF12:AG12*AF25:AG25)/AF32</f>
        <v>0.22827888330852333</v>
      </c>
      <c r="AG76" s="138"/>
      <c r="AH76" s="193">
        <f t="array" ref="AH76">SUM(AH12:AI12*AH25:AI25)/AH32</f>
        <v>0.22541149440720959</v>
      </c>
      <c r="AI76" s="138"/>
      <c r="AJ76" s="193">
        <f t="array" ref="AJ76">SUM(AJ12:AK12*AJ25:AK25)/AJ32</f>
        <v>0.21963078535420311</v>
      </c>
      <c r="AK76" s="138"/>
      <c r="AL76" s="193">
        <f t="array" ref="AL76">SUM(AL12:AM12*AL25:AM25)/AL32</f>
        <v>0.21102279401446064</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0.145800845056058</v>
      </c>
      <c r="E77" s="138"/>
      <c r="F77" s="193">
        <f t="array" ref="F77">SUM(F4:G4*F19:G19)/F32</f>
        <v>0.145801726639114</v>
      </c>
      <c r="G77" s="138"/>
      <c r="H77" s="193">
        <f t="array" ref="H77">SUM(H4:I4*H19:I19)/H32</f>
        <v>0.14587157551196459</v>
      </c>
      <c r="I77" s="138"/>
      <c r="J77" s="193">
        <f t="array" ref="J77">SUM(J4:K4*J19:K19)/J32</f>
        <v>0.14601950207912917</v>
      </c>
      <c r="K77" s="138"/>
      <c r="L77" s="193">
        <f t="array" ref="L77">SUM(L4:M4*L19:M19)/L32</f>
        <v>0.14625548856931989</v>
      </c>
      <c r="M77" s="138"/>
      <c r="N77" s="193">
        <f t="array" ref="N77">SUM(N4:O4*N19:O19)/N32</f>
        <v>0.14659037855994753</v>
      </c>
      <c r="O77" s="138"/>
      <c r="P77" s="193">
        <f t="array" ref="P77">SUM(P4:Q4*P19:Q19)/P32</f>
        <v>0.14703479373451908</v>
      </c>
      <c r="Q77" s="138"/>
      <c r="R77" s="193">
        <f t="array" ref="R77">SUM(R4:S4*R19:S19)/R32</f>
        <v>0.14759780283366808</v>
      </c>
      <c r="S77" s="138"/>
      <c r="T77" s="193">
        <f t="array" ref="T77">SUM(T4:U4*T19:U19)/T32</f>
        <v>0.14828379647649984</v>
      </c>
      <c r="U77" s="138"/>
      <c r="V77" s="193">
        <f t="array" ref="V77">SUM(V4:W4*V19:W19)/V32</f>
        <v>0.14908657216568055</v>
      </c>
      <c r="W77" s="138"/>
      <c r="X77" s="193">
        <f t="array" ref="X77">SUM(X4:Y4*X19:Y19)/X32</f>
        <v>0.14997777827577427</v>
      </c>
      <c r="Y77" s="138"/>
      <c r="Z77" s="193">
        <f t="array" ref="Z77">SUM(Z4:AA4*Z19:AA19)/Z32</f>
        <v>0.15088449873897711</v>
      </c>
      <c r="AA77" s="138"/>
      <c r="AB77" s="193">
        <f t="array" ref="AB77">SUM(AB4:AC4*AB19:AC19)/AB32</f>
        <v>0.15164569814444556</v>
      </c>
      <c r="AC77" s="138"/>
      <c r="AD77" s="193">
        <f t="array" ref="AD77">SUM(AD4:AE4*AD19:AE19)/AD32</f>
        <v>0.15193154231799791</v>
      </c>
      <c r="AE77" s="138"/>
      <c r="AF77" s="193">
        <f t="array" ref="AF77">SUM(AF4:AG4*AF19:AG19)/AF32</f>
        <v>0.15112100978765644</v>
      </c>
      <c r="AG77" s="138"/>
      <c r="AH77" s="193">
        <f t="array" ref="AH77">SUM(AH4:AI4*AH19:AI19)/AH32</f>
        <v>0.14825362100889733</v>
      </c>
      <c r="AI77" s="138"/>
      <c r="AJ77" s="193">
        <f t="array" ref="AJ77">SUM(AJ4:AK4*AJ19:AK19)/AJ32</f>
        <v>0.14247291180618277</v>
      </c>
      <c r="AK77" s="138"/>
      <c r="AL77" s="193">
        <f t="array" ref="AL77">SUM(AL4:AM4*AL19:AM19)/AL32</f>
        <v>0.13386492044017739</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0.34912166339704048</v>
      </c>
      <c r="E78" s="138"/>
      <c r="F78" s="193">
        <f t="array" ref="F78">SUM(F13:G13*F26:G26)/F32</f>
        <v>0.3514114900434725</v>
      </c>
      <c r="G78" s="138"/>
      <c r="H78" s="193">
        <f t="array" ref="H78">SUM(H13:I13*H26:I26)/H32</f>
        <v>0.35376647610846579</v>
      </c>
      <c r="I78" s="138"/>
      <c r="J78" s="193">
        <f t="array" ref="J78">SUM(J13:K13*J26:K26)/J32</f>
        <v>0.3561979404621507</v>
      </c>
      <c r="K78" s="138"/>
      <c r="L78" s="193">
        <f t="array" ref="L78">SUM(L13:M13*L26:M26)/L32</f>
        <v>0.35871991045893481</v>
      </c>
      <c r="M78" s="138"/>
      <c r="N78" s="193">
        <f t="array" ref="N78">SUM(N13:O13*N26:O26)/N32</f>
        <v>0.36135007179932666</v>
      </c>
      <c r="O78" s="138"/>
      <c r="P78" s="193">
        <f t="array" ref="P78">SUM(P13:Q13*P26:Q26)/P32</f>
        <v>0.36411149834602358</v>
      </c>
      <c r="Q78" s="138"/>
      <c r="R78" s="193">
        <f t="array" ref="R78">SUM(R13:S13*R26:S26)/R32</f>
        <v>0.36703540544060775</v>
      </c>
      <c r="S78" s="138"/>
      <c r="T78" s="193">
        <f t="array" ref="T78">SUM(T13:U13*T26:U26)/T32</f>
        <v>0.37016570301328222</v>
      </c>
      <c r="U78" s="138"/>
      <c r="V78" s="193">
        <f t="array" ref="V78">SUM(V13:W13*V26:W26)/V32</f>
        <v>0.37356725883949726</v>
      </c>
      <c r="W78" s="138"/>
      <c r="X78" s="193">
        <f t="array" ref="X78">SUM(X13:Y13*X26:Y26)/X32</f>
        <v>0.37734065153356772</v>
      </c>
      <c r="Y78" s="138"/>
      <c r="Z78" s="193">
        <f t="array" ref="Z78">SUM(Z13:AA13*Z26:AA26)/Z32</f>
        <v>0.38165029651390181</v>
      </c>
      <c r="AA78" s="138"/>
      <c r="AB78" s="193">
        <f t="array" ref="AB78">SUM(AB13:AC13*AB26:AC26)/AB32</f>
        <v>0.38677964911216273</v>
      </c>
      <c r="AC78" s="138"/>
      <c r="AD78" s="193">
        <f t="array" ref="AD78">SUM(AD13:AE13*AD26:AE26)/AD32</f>
        <v>0.3932421183472688</v>
      </c>
      <c r="AE78" s="138"/>
      <c r="AF78" s="193">
        <f t="array" ref="AF78">SUM(AF13:AG13*AF26:AG26)/AF32</f>
        <v>0.40199768132147351</v>
      </c>
      <c r="AG78" s="138"/>
      <c r="AH78" s="193">
        <f t="array" ref="AH78">SUM(AH13:AI13*AH26:AI26)/AH32</f>
        <v>0.41482079117347809</v>
      </c>
      <c r="AI78" s="138"/>
      <c r="AJ78" s="193">
        <f t="array" ref="AJ78">SUM(AJ13:AK13*AJ26:AK26)/AJ32</f>
        <v>0.43483870237174926</v>
      </c>
      <c r="AK78" s="138"/>
      <c r="AL78" s="193">
        <f t="array" ref="AL78">SUM(AL13:AM13*AL26:AM26)/AL32</f>
        <v>0.46832044249105947</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0.44676847467581393</v>
      </c>
      <c r="F79" s="193">
        <f t="array" ref="F79">SUM(F15:G15*F27:G27)/F32</f>
        <v>0.43873153394433617</v>
      </c>
      <c r="H79" s="193">
        <f t="array" ref="H79">SUM(H15:I15*H27:I27)/H32</f>
        <v>0.43046590189422929</v>
      </c>
      <c r="J79" s="193">
        <f t="array" ref="J79">SUM(J15:K15*J27:K27)/J32</f>
        <v>0.42193169867387736</v>
      </c>
      <c r="L79" s="193">
        <f t="array" ref="L79">SUM(L15:M15*L27:M27)/L32</f>
        <v>0.41308000234125086</v>
      </c>
      <c r="N79" s="193">
        <f t="array" ref="N79">SUM(N15:O15*N27:O27)/N32</f>
        <v>0.40384851107477077</v>
      </c>
      <c r="P79" s="193">
        <f t="array" ref="P79">SUM(P15:Q15*P27:Q27)/P32</f>
        <v>0.39415630008618369</v>
      </c>
      <c r="R79" s="193">
        <f t="array" ref="R79">SUM(R15:S15*R27:S27)/R32</f>
        <v>0.38389386971434347</v>
      </c>
      <c r="T79" s="193">
        <f t="array" ref="T79">SUM(T15:U15*T27:U27)/T32</f>
        <v>0.37290699363929286</v>
      </c>
      <c r="V79" s="193">
        <f t="array" ref="V79">SUM(V15:W15*V27:W27)/V32</f>
        <v>0.36096804183743497</v>
      </c>
      <c r="X79" s="193">
        <f t="array" ref="X79">SUM(X15:Y15*X27:Y27)/X32</f>
        <v>0.34772399266194165</v>
      </c>
      <c r="Z79" s="193">
        <f t="array" ref="Z79">SUM(Z15:AA15*Z27:AA27)/Z32</f>
        <v>0.33259779229508579</v>
      </c>
      <c r="AB79" s="193">
        <f t="array" ref="AB79">SUM(AB15:AC15*AB27:AC27)/AB32</f>
        <v>0.31459452116558384</v>
      </c>
      <c r="AD79" s="193">
        <f t="array" ref="AD79">SUM(AD15:AE15*AD27:AE27)/AD32</f>
        <v>0.29191222176811876</v>
      </c>
      <c r="AF79" s="193">
        <f t="array" ref="AF79">SUM(AF15:AG15*AF27:AG27)/AF32</f>
        <v>0.26118150848191257</v>
      </c>
      <c r="AH79" s="193">
        <f t="array" ref="AH79">SUM(AH15:AI15*AH27:AI27)/AH32</f>
        <v>0.21617430757992526</v>
      </c>
      <c r="AJ79" s="193">
        <f t="array" ref="AJ79">SUM(AJ15:AK15*AJ27:AK27)/AJ32</f>
        <v>0.14591442882392316</v>
      </c>
      <c r="AL79" s="193">
        <f t="array" ref="AL79">SUM(AL15:AM15*AL27:AM27)/AL32</f>
        <v>2.8398521230792586E-2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0.20410990189752098</v>
      </c>
      <c r="F80" s="236">
        <f>F55</f>
        <v>0.20985702673882711</v>
      </c>
      <c r="H80" s="236">
        <f>H55</f>
        <v>0.21576769470260249</v>
      </c>
      <c r="J80" s="236">
        <f>J55</f>
        <v>0.22187041378216171</v>
      </c>
      <c r="L80" s="236">
        <f>L55</f>
        <v>0.22820008418993512</v>
      </c>
      <c r="N80" s="236">
        <f>N55</f>
        <v>0.23480141089511086</v>
      </c>
      <c r="P80" s="236">
        <f>P55</f>
        <v>0.24173219183203057</v>
      </c>
      <c r="R80" s="236">
        <f>R55</f>
        <v>0.24907072967629565</v>
      </c>
      <c r="T80" s="236">
        <f>T55</f>
        <v>0.25692730706327133</v>
      </c>
      <c r="V80" s="236">
        <f>V55</f>
        <v>0.26546470234304537</v>
      </c>
      <c r="X80" s="236">
        <f>X55</f>
        <v>0.27493535055749596</v>
      </c>
      <c r="Z80" s="236">
        <f>Z55</f>
        <v>0.28575192751470579</v>
      </c>
      <c r="AB80" s="236">
        <f>AB55</f>
        <v>0.29862582697809631</v>
      </c>
      <c r="AD80" s="236">
        <f>AD55</f>
        <v>0.31484565246852275</v>
      </c>
      <c r="AF80" s="236">
        <f>AF55</f>
        <v>0.33682081094356242</v>
      </c>
      <c r="AH80" s="236">
        <f>AH55</f>
        <v>0.3690049001379932</v>
      </c>
      <c r="AJ80" s="236">
        <f>AJ55</f>
        <v>0.41924686769131214</v>
      </c>
      <c r="AL80" s="236">
        <f>AL55</f>
        <v>0.50328103622291254</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-2.1936302666903853E-2</v>
      </c>
      <c r="F81" s="236">
        <f>F51/F$32</f>
        <v>-1.6189177825597714E-2</v>
      </c>
      <c r="H81" s="236">
        <f>H51/H$32</f>
        <v>-1.027850986182236E-2</v>
      </c>
      <c r="J81" s="236">
        <f>J51/J$32</f>
        <v>-4.1757907822631357E-3</v>
      </c>
      <c r="L81" s="236">
        <f>L51/L$32</f>
        <v>2.1538796255102968E-3</v>
      </c>
      <c r="N81" s="236">
        <f>N51/N$32</f>
        <v>8.7552063306860044E-3</v>
      </c>
      <c r="P81" s="236">
        <f>P51/P$32</f>
        <v>1.5685987267605703E-2</v>
      </c>
      <c r="R81" s="236">
        <f>R51/R$32</f>
        <v>2.3024525111870822E-2</v>
      </c>
      <c r="T81" s="236">
        <f>T51/T$32</f>
        <v>3.0881102498846479E-2</v>
      </c>
      <c r="V81" s="236">
        <f>V51/V$32</f>
        <v>3.9418497778620491E-2</v>
      </c>
      <c r="X81" s="236">
        <f>X51/X$32</f>
        <v>4.8889145993071127E-2</v>
      </c>
      <c r="Z81" s="236">
        <f>Z51/Z$32</f>
        <v>5.970572295028094E-2</v>
      </c>
      <c r="AB81" s="236">
        <f>AB51/AB$32</f>
        <v>7.2579622413671455E-2</v>
      </c>
      <c r="AD81" s="236">
        <f>AD51/AD$32</f>
        <v>8.8799447904097883E-2</v>
      </c>
      <c r="AF81" s="236">
        <f>AF51/AF$32</f>
        <v>0.11077460637913757</v>
      </c>
      <c r="AH81" s="236">
        <f>AH51/AH$32</f>
        <v>0.14295869557356833</v>
      </c>
      <c r="AJ81" s="236">
        <f>AJ51/AJ$32</f>
        <v>0.19320066312688727</v>
      </c>
      <c r="AL81" s="236">
        <f>AL51/AL$32</f>
        <v>0.27723483165848772</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0.13997431476319142</v>
      </c>
      <c r="F82" s="236">
        <f>F52/F$32</f>
        <v>0.14089238129805526</v>
      </c>
      <c r="H82" s="236">
        <f>H52/H$32</f>
        <v>0.14183657237894334</v>
      </c>
      <c r="J82" s="236">
        <f>J52/J$32</f>
        <v>0.1428114261117841</v>
      </c>
      <c r="L82" s="236">
        <f>L52/L$32</f>
        <v>0.14382256652260333</v>
      </c>
      <c r="N82" s="236">
        <f>N52/N$32</f>
        <v>0.14487708438825436</v>
      </c>
      <c r="P82" s="236">
        <f>P52/P$32</f>
        <v>0.14598423077636954</v>
      </c>
      <c r="R82" s="236">
        <f>R52/R$32</f>
        <v>0.14715652094024345</v>
      </c>
      <c r="T82" s="236">
        <f>T52/T$32</f>
        <v>0.14841155980972115</v>
      </c>
      <c r="V82" s="236">
        <f>V52/V$32</f>
        <v>0.14977535500154718</v>
      </c>
      <c r="X82" s="236">
        <f>X52/X$32</f>
        <v>0.15128823177792836</v>
      </c>
      <c r="Z82" s="236">
        <f>Z52/Z$32</f>
        <v>0.15301610966761645</v>
      </c>
      <c r="AB82" s="236">
        <f>AB52/AB$32</f>
        <v>0.15507263520124928</v>
      </c>
      <c r="AD82" s="236">
        <f>AD52/AD$32</f>
        <v>0.15766365087773407</v>
      </c>
      <c r="AF82" s="236">
        <f>AF52/AF$32</f>
        <v>0.16117404297358778</v>
      </c>
      <c r="AH82" s="236">
        <f>AH52/AH$32</f>
        <v>0.16631524789683028</v>
      </c>
      <c r="AJ82" s="236">
        <f>AJ52/AJ$32</f>
        <v>0.17434108443674687</v>
      </c>
      <c r="AL82" s="236">
        <f>AL52/AL$32</f>
        <v>0.18776501116955993</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0.18279885033363807</v>
      </c>
      <c r="F83" s="236">
        <f>F53/F$32</f>
        <v>0.17951047255143271</v>
      </c>
      <c r="H83" s="236">
        <f>H53/H$32</f>
        <v>0.17612852390983083</v>
      </c>
      <c r="J83" s="236">
        <f>J53/J$32</f>
        <v>0.17263668725254214</v>
      </c>
      <c r="L83" s="236">
        <f>L53/L$32</f>
        <v>0.16901494578056225</v>
      </c>
      <c r="N83" s="236">
        <f>N53/N$32</f>
        <v>0.16523780821148445</v>
      </c>
      <c r="P83" s="236">
        <f>P53/P$32</f>
        <v>0.16127216352898899</v>
      </c>
      <c r="R83" s="236">
        <f>R53/R$32</f>
        <v>0.15707320908180544</v>
      </c>
      <c r="T83" s="236">
        <f>T53/T$32</f>
        <v>0.1525778419529257</v>
      </c>
      <c r="V83" s="236">
        <f>V53/V$32</f>
        <v>0.1476929255201985</v>
      </c>
      <c r="X83" s="236">
        <f>X53/X$32</f>
        <v>0.1422740181883885</v>
      </c>
      <c r="Z83" s="236">
        <f>Z53/Z$32</f>
        <v>0.136085013829959</v>
      </c>
      <c r="AB83" s="236">
        <f>AB53/AB$32</f>
        <v>0.12871883324368164</v>
      </c>
      <c r="AD83" s="236">
        <f>AD53/AD$32</f>
        <v>0.11943819128301365</v>
      </c>
      <c r="AF83" s="236">
        <f>AF53/AF$32</f>
        <v>0.10686447720722222</v>
      </c>
      <c r="AH83" s="236">
        <f>AH53/AH$32</f>
        <v>8.8449425456786482E-2</v>
      </c>
      <c r="AJ83" s="236">
        <f>AJ53/AJ$32</f>
        <v>5.9702041097365217E-2</v>
      </c>
      <c r="AL83" s="236">
        <f>AL53/AL$32</f>
        <v>1.1619479274877597E-2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6.1523794427630472E-2</v>
      </c>
      <c r="E2" s="227"/>
      <c r="F2" s="226">
        <v>0.12286646391601222</v>
      </c>
      <c r="G2" s="227"/>
      <c r="H2" s="226">
        <v>0.19082706635634183</v>
      </c>
      <c r="I2" s="227"/>
      <c r="J2" s="226">
        <v>0.26674945685701446</v>
      </c>
      <c r="K2" s="227"/>
      <c r="L2" s="226">
        <v>0.35243922216532536</v>
      </c>
      <c r="M2" s="227"/>
      <c r="N2" s="226">
        <v>0.45039681041417007</v>
      </c>
      <c r="O2" s="227"/>
      <c r="P2" s="226">
        <v>0.56420433350983312</v>
      </c>
      <c r="Q2" s="227"/>
      <c r="R2" s="226">
        <v>0.69919712522062705</v>
      </c>
      <c r="S2" s="227"/>
      <c r="T2" s="226">
        <v>0.86368887874841127</v>
      </c>
      <c r="U2" s="227"/>
      <c r="V2" s="226">
        <v>1.0713410800859129</v>
      </c>
      <c r="W2" s="227"/>
      <c r="X2" s="226">
        <v>1.346051370381814</v>
      </c>
      <c r="Y2" s="227"/>
      <c r="Z2" s="226">
        <v>1.7327289508778689</v>
      </c>
      <c r="AA2" s="227"/>
      <c r="AB2" s="226">
        <v>2.3223251545078041</v>
      </c>
      <c r="AC2" s="227"/>
      <c r="AD2" s="226">
        <v>3.3103559860164053</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997.56950109437253</v>
      </c>
      <c r="E3" s="85">
        <v>1034.9010366871335</v>
      </c>
      <c r="F3" s="84">
        <v>995.14179644293722</v>
      </c>
      <c r="G3" s="85">
        <v>1073.7875934803469</v>
      </c>
      <c r="H3" s="84">
        <v>992.70309621658214</v>
      </c>
      <c r="I3" s="85">
        <v>1117.3944925250883</v>
      </c>
      <c r="J3" s="84">
        <v>990.24118405703609</v>
      </c>
      <c r="K3" s="85">
        <v>1166.6654880034432</v>
      </c>
      <c r="L3" s="84">
        <v>987.7466234466275</v>
      </c>
      <c r="M3" s="85">
        <v>1222.8422948861603</v>
      </c>
      <c r="N3" s="84">
        <v>985.21474367930296</v>
      </c>
      <c r="O3" s="85">
        <v>1287.6047621695573</v>
      </c>
      <c r="P3" s="84">
        <v>982.64890844369188</v>
      </c>
      <c r="Q3" s="85">
        <v>1363.3005868029936</v>
      </c>
      <c r="R3" s="84">
        <v>980.06602205277272</v>
      </c>
      <c r="S3" s="85">
        <v>1453.3373167965206</v>
      </c>
      <c r="T3" s="84">
        <v>977.5060116035894</v>
      </c>
      <c r="U3" s="85">
        <v>1562.8847931291477</v>
      </c>
      <c r="V3" s="84">
        <v>975.04862756398541</v>
      </c>
      <c r="W3" s="85">
        <v>1700.2050775643306</v>
      </c>
      <c r="X3" s="84">
        <v>972.84358598760059</v>
      </c>
      <c r="Y3" s="85">
        <v>1879.3293840105162</v>
      </c>
      <c r="Z3" s="84">
        <v>971.16266130815632</v>
      </c>
      <c r="AA3" s="85">
        <v>2125.7904973391364</v>
      </c>
      <c r="AB3" s="84">
        <v>970.47213980981076</v>
      </c>
      <c r="AC3" s="85">
        <v>2489.4994104807388</v>
      </c>
      <c r="AD3" s="84">
        <v>971.44266843124115</v>
      </c>
      <c r="AE3" s="85">
        <v>3073.8150354926479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997.44839001299999</v>
      </c>
      <c r="E5" s="42">
        <v>1030.131880327516</v>
      </c>
      <c r="F5" s="41">
        <v>994.89709618413121</v>
      </c>
      <c r="G5" s="42">
        <v>1062.5097298393919</v>
      </c>
      <c r="H5" s="41">
        <v>992.33159220562766</v>
      </c>
      <c r="I5" s="42">
        <v>1097.3440916519755</v>
      </c>
      <c r="J5" s="41">
        <v>989.73894853076331</v>
      </c>
      <c r="K5" s="42">
        <v>1134.8611816642897</v>
      </c>
      <c r="L5" s="41">
        <v>987.1091113158061</v>
      </c>
      <c r="M5" s="42">
        <v>1175.3023001119006</v>
      </c>
      <c r="N5" s="41">
        <v>984.43701308030916</v>
      </c>
      <c r="O5" s="42">
        <v>1218.9196780740042</v>
      </c>
      <c r="P5" s="41">
        <v>981.72605390167712</v>
      </c>
      <c r="Q5" s="42">
        <v>1265.968034580819</v>
      </c>
      <c r="R5" s="41">
        <v>978.99397665036156</v>
      </c>
      <c r="S5" s="42">
        <v>1316.6839424655313</v>
      </c>
      <c r="T5" s="41">
        <v>976.28299792426321</v>
      </c>
      <c r="U5" s="42">
        <v>1371.2407176988061</v>
      </c>
      <c r="V5" s="41">
        <v>973.6777701850483</v>
      </c>
      <c r="W5" s="42">
        <v>1429.6482821464062</v>
      </c>
      <c r="X5" s="41">
        <v>971.33760503869769</v>
      </c>
      <c r="Y5" s="42">
        <v>1491.5326128470458</v>
      </c>
      <c r="Z5" s="41">
        <v>969.55209874571085</v>
      </c>
      <c r="AA5" s="42">
        <v>1555.659782665364</v>
      </c>
      <c r="AB5" s="41">
        <v>968.81821814907312</v>
      </c>
      <c r="AC5" s="42">
        <v>1619.0074963451746</v>
      </c>
      <c r="AD5" s="41">
        <v>969.84962201247833</v>
      </c>
      <c r="AE5" s="42">
        <v>1675.5569393136832</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997.25375332382441</v>
      </c>
      <c r="E6" s="42">
        <v>1037.5740363558491</v>
      </c>
      <c r="F6" s="41">
        <v>994.50891829569662</v>
      </c>
      <c r="G6" s="42">
        <v>1079.2277355195399</v>
      </c>
      <c r="H6" s="41">
        <v>991.74987478974788</v>
      </c>
      <c r="I6" s="42">
        <v>1125.7122158530449</v>
      </c>
      <c r="J6" s="41">
        <v>988.96274339206354</v>
      </c>
      <c r="K6" s="42">
        <v>1177.9929569711815</v>
      </c>
      <c r="L6" s="41">
        <v>986.13675661570369</v>
      </c>
      <c r="M6" s="42">
        <v>1237.3412813281489</v>
      </c>
      <c r="N6" s="41">
        <v>983.26651981612156</v>
      </c>
      <c r="O6" s="42">
        <v>1305.4783109066541</v>
      </c>
      <c r="P6" s="41">
        <v>980.35573783896655</v>
      </c>
      <c r="Q6" s="42">
        <v>1384.8107848215336</v>
      </c>
      <c r="R6" s="41">
        <v>977.42350054086091</v>
      </c>
      <c r="S6" s="42">
        <v>1478.8333108362583</v>
      </c>
      <c r="T6" s="41">
        <v>974.51511669228807</v>
      </c>
      <c r="U6" s="42">
        <v>1592.848924917497</v>
      </c>
      <c r="V6" s="41">
        <v>971.72131853178769</v>
      </c>
      <c r="W6" s="42">
        <v>1735.3329247601866</v>
      </c>
      <c r="X6" s="41">
        <v>969.21271582212034</v>
      </c>
      <c r="Y6" s="42">
        <v>1920.6773938080862</v>
      </c>
      <c r="Z6" s="41">
        <v>967.29929713678393</v>
      </c>
      <c r="AA6" s="42">
        <v>2175.0672617661762</v>
      </c>
      <c r="AB6" s="41">
        <v>966.51299305489647</v>
      </c>
      <c r="AC6" s="42">
        <v>2549.6782018326858</v>
      </c>
      <c r="AD6" s="41">
        <v>967.61809855211368</v>
      </c>
      <c r="AE6" s="42">
        <v>3150.4740863457055</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1013.3194721476614</v>
      </c>
      <c r="E7" s="34">
        <v>1013.3194721476614</v>
      </c>
      <c r="F7" s="33">
        <v>1010.7275829413144</v>
      </c>
      <c r="G7" s="34">
        <v>1010.7275829413144</v>
      </c>
      <c r="H7" s="33">
        <v>1008.1212574779427</v>
      </c>
      <c r="I7" s="34">
        <v>1008.1212574779427</v>
      </c>
      <c r="J7" s="33">
        <v>1005.4873604799775</v>
      </c>
      <c r="K7" s="34">
        <v>1005.4873604799775</v>
      </c>
      <c r="L7" s="33">
        <v>1002.8156781301168</v>
      </c>
      <c r="M7" s="34">
        <v>1002.8156781301168</v>
      </c>
      <c r="N7" s="33">
        <v>1000.1010623157736</v>
      </c>
      <c r="O7" s="34">
        <v>1000.1010623157736</v>
      </c>
      <c r="P7" s="33">
        <v>997.34696721530474</v>
      </c>
      <c r="Q7" s="34">
        <v>997.34696721530474</v>
      </c>
      <c r="R7" s="33">
        <v>994.57141801808405</v>
      </c>
      <c r="S7" s="34">
        <v>994.57141801808405</v>
      </c>
      <c r="T7" s="33">
        <v>991.81730305911583</v>
      </c>
      <c r="U7" s="34">
        <v>991.81730305911583</v>
      </c>
      <c r="V7" s="33">
        <v>989.17062176316301</v>
      </c>
      <c r="W7" s="34">
        <v>989.17062176316301</v>
      </c>
      <c r="X7" s="33">
        <v>986.79322065190604</v>
      </c>
      <c r="Y7" s="34">
        <v>986.79322065190604</v>
      </c>
      <c r="Z7" s="33">
        <v>984.97930394960713</v>
      </c>
      <c r="AA7" s="34">
        <v>984.97930394960713</v>
      </c>
      <c r="AB7" s="33">
        <v>984.2337460778914</v>
      </c>
      <c r="AC7" s="34">
        <v>984.2337460778914</v>
      </c>
      <c r="AD7" s="33">
        <v>985.2815613121445</v>
      </c>
      <c r="AE7" s="34">
        <v>985.2815613121445</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1093.5095023661347</v>
      </c>
      <c r="E8" s="36">
        <v>1093.5095023661347</v>
      </c>
      <c r="F8" s="35">
        <v>1193.0565432211154</v>
      </c>
      <c r="G8" s="36">
        <v>1193.0565432211154</v>
      </c>
      <c r="H8" s="35">
        <v>1306.7470454453867</v>
      </c>
      <c r="I8" s="36">
        <v>1306.7470454453867</v>
      </c>
      <c r="J8" s="35">
        <v>1437.5847854813485</v>
      </c>
      <c r="K8" s="36">
        <v>1437.5847854813485</v>
      </c>
      <c r="L8" s="35">
        <v>1589.5249285724567</v>
      </c>
      <c r="M8" s="36">
        <v>1589.5249285724567</v>
      </c>
      <c r="N8" s="35">
        <v>1767.9172132296026</v>
      </c>
      <c r="O8" s="36">
        <v>1767.9172132296026</v>
      </c>
      <c r="P8" s="35">
        <v>1980.2326857762434</v>
      </c>
      <c r="Q8" s="36">
        <v>1980.2326857762434</v>
      </c>
      <c r="R8" s="35">
        <v>2237.3055698615922</v>
      </c>
      <c r="S8" s="36">
        <v>2237.3055698615922</v>
      </c>
      <c r="T8" s="35">
        <v>2555.5660756622547</v>
      </c>
      <c r="U8" s="36">
        <v>2555.5660756622547</v>
      </c>
      <c r="V8" s="35">
        <v>2961.2892168841072</v>
      </c>
      <c r="W8" s="36">
        <v>2961.2892168841072</v>
      </c>
      <c r="X8" s="35">
        <v>3499.2121303389799</v>
      </c>
      <c r="Y8" s="36">
        <v>3499.2121303389799</v>
      </c>
      <c r="Z8" s="35">
        <v>4251.1965258060136</v>
      </c>
      <c r="AA8" s="36">
        <v>4251.1965258060136</v>
      </c>
      <c r="AB8" s="35">
        <v>5378.869330444275</v>
      </c>
      <c r="AC8" s="36">
        <v>5378.869330444275</v>
      </c>
      <c r="AD8" s="35">
        <v>7222.2468832820623</v>
      </c>
      <c r="AE8" s="36">
        <v>7222.2468832820623</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1013.3194721476614</v>
      </c>
      <c r="E9" s="42">
        <v>1093.5095023661347</v>
      </c>
      <c r="F9" s="41">
        <v>1010.7275829413144</v>
      </c>
      <c r="G9" s="42">
        <v>1193.0565432211154</v>
      </c>
      <c r="H9" s="41">
        <v>1008.1212574779427</v>
      </c>
      <c r="I9" s="42">
        <v>1306.7470454453867</v>
      </c>
      <c r="J9" s="41">
        <v>1005.4873604799775</v>
      </c>
      <c r="K9" s="42">
        <v>1437.5847854813485</v>
      </c>
      <c r="L9" s="41">
        <v>1002.8156781301168</v>
      </c>
      <c r="M9" s="42">
        <v>1589.5249285724567</v>
      </c>
      <c r="N9" s="41">
        <v>1000.1010623157736</v>
      </c>
      <c r="O9" s="42">
        <v>1767.9172132296026</v>
      </c>
      <c r="P9" s="41">
        <v>997.34696721530474</v>
      </c>
      <c r="Q9" s="42">
        <v>1980.2326857762434</v>
      </c>
      <c r="R9" s="41">
        <v>994.57141801808405</v>
      </c>
      <c r="S9" s="42">
        <v>2237.3055698615922</v>
      </c>
      <c r="T9" s="41">
        <v>991.81730305911583</v>
      </c>
      <c r="U9" s="42">
        <v>2555.5660756622547</v>
      </c>
      <c r="V9" s="41">
        <v>989.17062176316301</v>
      </c>
      <c r="W9" s="42">
        <v>2961.2892168841072</v>
      </c>
      <c r="X9" s="41">
        <v>986.79322065190604</v>
      </c>
      <c r="Y9" s="42">
        <v>3499.2121303389799</v>
      </c>
      <c r="Z9" s="41">
        <v>984.97930394960713</v>
      </c>
      <c r="AA9" s="42">
        <v>4251.1965258060136</v>
      </c>
      <c r="AB9" s="41">
        <v>984.2337460778914</v>
      </c>
      <c r="AC9" s="42">
        <v>5378.869330444275</v>
      </c>
      <c r="AD9" s="41">
        <v>985.2815613121445</v>
      </c>
      <c r="AE9" s="42">
        <v>7222.2468832820623</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1013.3194721476614</v>
      </c>
      <c r="E10" s="42">
        <v>1093.5095023661347</v>
      </c>
      <c r="F10" s="41">
        <v>1010.7275829413144</v>
      </c>
      <c r="G10" s="42">
        <v>1193.0565432211154</v>
      </c>
      <c r="H10" s="41">
        <v>1008.1212574779427</v>
      </c>
      <c r="I10" s="42">
        <v>1306.7470454453867</v>
      </c>
      <c r="J10" s="41">
        <v>1005.4873604799775</v>
      </c>
      <c r="K10" s="42">
        <v>1437.5847854813485</v>
      </c>
      <c r="L10" s="41">
        <v>1002.8156781301168</v>
      </c>
      <c r="M10" s="42">
        <v>1589.5249285724567</v>
      </c>
      <c r="N10" s="41">
        <v>1000.1010623157736</v>
      </c>
      <c r="O10" s="42">
        <v>1767.9172132296026</v>
      </c>
      <c r="P10" s="41">
        <v>997.34696721530474</v>
      </c>
      <c r="Q10" s="42">
        <v>1980.2326857762434</v>
      </c>
      <c r="R10" s="41">
        <v>994.57141801808405</v>
      </c>
      <c r="S10" s="42">
        <v>2237.3055698615922</v>
      </c>
      <c r="T10" s="41">
        <v>991.81730305911583</v>
      </c>
      <c r="U10" s="42">
        <v>2555.5660756622547</v>
      </c>
      <c r="V10" s="41">
        <v>989.17062176316301</v>
      </c>
      <c r="W10" s="42">
        <v>2961.2892168841072</v>
      </c>
      <c r="X10" s="41">
        <v>986.79322065190604</v>
      </c>
      <c r="Y10" s="42">
        <v>3499.2121303389799</v>
      </c>
      <c r="Z10" s="41">
        <v>984.97930394960713</v>
      </c>
      <c r="AA10" s="42">
        <v>4251.1965258060136</v>
      </c>
      <c r="AB10" s="41">
        <v>984.2337460778914</v>
      </c>
      <c r="AC10" s="42">
        <v>5378.869330444275</v>
      </c>
      <c r="AD10" s="41">
        <v>985.2815613121445</v>
      </c>
      <c r="AE10" s="42">
        <v>7222.2468832820623</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1013.3194721476614</v>
      </c>
      <c r="E11" s="42">
        <v>1093.5095023661347</v>
      </c>
      <c r="F11" s="41">
        <v>1010.7275829413144</v>
      </c>
      <c r="G11" s="42">
        <v>1193.0565432211154</v>
      </c>
      <c r="H11" s="41">
        <v>1008.1212574779427</v>
      </c>
      <c r="I11" s="42">
        <v>1306.7470454453867</v>
      </c>
      <c r="J11" s="41">
        <v>1005.4873604799775</v>
      </c>
      <c r="K11" s="42">
        <v>1437.5847854813485</v>
      </c>
      <c r="L11" s="41">
        <v>1002.8156781301168</v>
      </c>
      <c r="M11" s="42">
        <v>1589.5249285724567</v>
      </c>
      <c r="N11" s="41">
        <v>1000.1010623157736</v>
      </c>
      <c r="O11" s="42">
        <v>1767.9172132296026</v>
      </c>
      <c r="P11" s="41">
        <v>997.34696721530474</v>
      </c>
      <c r="Q11" s="42">
        <v>1980.2326857762434</v>
      </c>
      <c r="R11" s="41">
        <v>994.57141801808405</v>
      </c>
      <c r="S11" s="42">
        <v>2237.3055698615922</v>
      </c>
      <c r="T11" s="41">
        <v>991.81730305911583</v>
      </c>
      <c r="U11" s="42">
        <v>2555.5660756622547</v>
      </c>
      <c r="V11" s="41">
        <v>989.17062176316301</v>
      </c>
      <c r="W11" s="42">
        <v>2961.2892168841072</v>
      </c>
      <c r="X11" s="41">
        <v>986.79322065190604</v>
      </c>
      <c r="Y11" s="42">
        <v>3499.2121303389799</v>
      </c>
      <c r="Z11" s="41">
        <v>984.97930394960713</v>
      </c>
      <c r="AA11" s="42">
        <v>4251.1965258060136</v>
      </c>
      <c r="AB11" s="41">
        <v>984.2337460778914</v>
      </c>
      <c r="AC11" s="42">
        <v>5378.869330444275</v>
      </c>
      <c r="AD11" s="41">
        <v>985.2815613121445</v>
      </c>
      <c r="AE11" s="42">
        <v>7222.2468832820623</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954.69610087905744</v>
      </c>
      <c r="E13" s="98">
        <v>954.69610087905744</v>
      </c>
      <c r="F13" s="97">
        <v>908.69364115222629</v>
      </c>
      <c r="G13" s="98">
        <v>908.69364115222629</v>
      </c>
      <c r="H13" s="97">
        <v>861.81553683178072</v>
      </c>
      <c r="I13" s="98">
        <v>861.81553683178072</v>
      </c>
      <c r="J13" s="97">
        <v>813.85225033782319</v>
      </c>
      <c r="K13" s="98">
        <v>813.85225033782319</v>
      </c>
      <c r="L13" s="97">
        <v>764.54273302963372</v>
      </c>
      <c r="M13" s="98">
        <v>764.54273302963372</v>
      </c>
      <c r="N13" s="97">
        <v>713.54559076093437</v>
      </c>
      <c r="O13" s="98">
        <v>713.54559076093437</v>
      </c>
      <c r="P13" s="97">
        <v>660.39277368704802</v>
      </c>
      <c r="Q13" s="98">
        <v>660.39277368704802</v>
      </c>
      <c r="R13" s="97">
        <v>604.41558409332629</v>
      </c>
      <c r="S13" s="98">
        <v>604.41558409332629</v>
      </c>
      <c r="T13" s="97">
        <v>544.62328590133757</v>
      </c>
      <c r="U13" s="98">
        <v>544.62328590133757</v>
      </c>
      <c r="V13" s="97">
        <v>479.50404910857822</v>
      </c>
      <c r="W13" s="98">
        <v>479.50404910857822</v>
      </c>
      <c r="X13" s="97">
        <v>406.7105149844765</v>
      </c>
      <c r="Y13" s="98">
        <v>406.7105149844765</v>
      </c>
      <c r="Z13" s="97">
        <v>322.6543367123495</v>
      </c>
      <c r="AA13" s="98">
        <v>322.6543367123495</v>
      </c>
      <c r="AB13" s="97">
        <v>222.52934606197272</v>
      </c>
      <c r="AC13" s="98">
        <v>222.52934606197272</v>
      </c>
      <c r="AD13" s="97">
        <v>104.04882866091093</v>
      </c>
      <c r="AE13" s="98">
        <v>104.04882866091093</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1390.9954889538626</v>
      </c>
      <c r="E14" s="42">
        <v>1390.9954889538628</v>
      </c>
      <c r="F14" s="41">
        <v>1323.9697475667508</v>
      </c>
      <c r="G14" s="42">
        <v>1323.969747566751</v>
      </c>
      <c r="H14" s="41">
        <v>1255.6681890075324</v>
      </c>
      <c r="I14" s="42">
        <v>1255.6681890075326</v>
      </c>
      <c r="J14" s="41">
        <v>1185.7855163046002</v>
      </c>
      <c r="K14" s="42">
        <v>1185.7855163046004</v>
      </c>
      <c r="L14" s="41">
        <v>1113.9413806942957</v>
      </c>
      <c r="M14" s="42">
        <v>1113.941380694296</v>
      </c>
      <c r="N14" s="41">
        <v>1039.6383697361673</v>
      </c>
      <c r="O14" s="42">
        <v>1039.6383697361673</v>
      </c>
      <c r="P14" s="41">
        <v>962.19453320338141</v>
      </c>
      <c r="Q14" s="42">
        <v>962.19453320338152</v>
      </c>
      <c r="R14" s="41">
        <v>880.63557623530846</v>
      </c>
      <c r="S14" s="42">
        <v>880.63557623530858</v>
      </c>
      <c r="T14" s="41">
        <v>793.51799297225841</v>
      </c>
      <c r="U14" s="42">
        <v>793.51799297225853</v>
      </c>
      <c r="V14" s="41">
        <v>698.63904192234565</v>
      </c>
      <c r="W14" s="42">
        <v>698.63904192234577</v>
      </c>
      <c r="X14" s="41">
        <v>592.57861337508189</v>
      </c>
      <c r="Y14" s="42">
        <v>592.578613375082</v>
      </c>
      <c r="Z14" s="41">
        <v>470.10847372795018</v>
      </c>
      <c r="AA14" s="42">
        <v>470.10847372795024</v>
      </c>
      <c r="AB14" s="41">
        <v>324.22601940768772</v>
      </c>
      <c r="AC14" s="42">
        <v>324.22601940768777</v>
      </c>
      <c r="AD14" s="41">
        <v>151.59949974132692</v>
      </c>
      <c r="AE14" s="42">
        <v>151.59949974132692</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1039.1767083937189</v>
      </c>
      <c r="E15" s="155">
        <v>1039.1767083937189</v>
      </c>
      <c r="F15" s="154">
        <v>1079.7191876480344</v>
      </c>
      <c r="G15" s="155">
        <v>1079.7191876480344</v>
      </c>
      <c r="H15" s="154">
        <v>1121.8252567352422</v>
      </c>
      <c r="I15" s="155">
        <v>1121.8252567352422</v>
      </c>
      <c r="J15" s="154">
        <v>1165.7471300592538</v>
      </c>
      <c r="K15" s="155">
        <v>1165.7471300592538</v>
      </c>
      <c r="L15" s="154">
        <v>1211.8219027100081</v>
      </c>
      <c r="M15" s="155">
        <v>1211.8219027100081</v>
      </c>
      <c r="N15" s="154">
        <v>1260.5203332270635</v>
      </c>
      <c r="O15" s="155">
        <v>1260.5203332270635</v>
      </c>
      <c r="P15" s="154">
        <v>1312.5293633979825</v>
      </c>
      <c r="Q15" s="155">
        <v>1312.5293633979825</v>
      </c>
      <c r="R15" s="154">
        <v>1368.8934011579361</v>
      </c>
      <c r="S15" s="155">
        <v>1368.8934011579361</v>
      </c>
      <c r="T15" s="154">
        <v>1431.2665044960452</v>
      </c>
      <c r="U15" s="155">
        <v>1431.2665044960452</v>
      </c>
      <c r="V15" s="154">
        <v>1502.3788611272489</v>
      </c>
      <c r="W15" s="155">
        <v>1502.3788611272489</v>
      </c>
      <c r="X15" s="154">
        <v>1586.9319005185396</v>
      </c>
      <c r="Y15" s="155">
        <v>1586.9319005185396</v>
      </c>
      <c r="Z15" s="154">
        <v>1693.349129340673</v>
      </c>
      <c r="AA15" s="155">
        <v>1693.349129340673</v>
      </c>
      <c r="AB15" s="154">
        <v>1837.0672809194898</v>
      </c>
      <c r="AC15" s="155">
        <v>1837.0672809194898</v>
      </c>
      <c r="AD15" s="154">
        <v>2045.5124356234951</v>
      </c>
      <c r="AE15" s="155">
        <v>2045.5124356234951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993.86774776621235</v>
      </c>
      <c r="E16" s="42">
        <v>1014.9546631142504</v>
      </c>
      <c r="F16" s="41">
        <v>987.43453463985452</v>
      </c>
      <c r="G16" s="42">
        <v>1030.4571828033577</v>
      </c>
      <c r="H16" s="41">
        <v>980.64128271504558</v>
      </c>
      <c r="I16" s="42">
        <v>1046.5789231600672</v>
      </c>
      <c r="J16" s="41">
        <v>973.41943708645113</v>
      </c>
      <c r="K16" s="42">
        <v>1063.4146735942447</v>
      </c>
      <c r="L16" s="41">
        <v>965.68762410227907</v>
      </c>
      <c r="M16" s="42">
        <v>1081.096444296456</v>
      </c>
      <c r="N16" s="41">
        <v>957.34665513233824</v>
      </c>
      <c r="O16" s="42">
        <v>1099.8158294594323</v>
      </c>
      <c r="P16" s="41">
        <v>948.27161485258046</v>
      </c>
      <c r="Q16" s="42">
        <v>1119.8623017896571</v>
      </c>
      <c r="R16" s="41">
        <v>938.29895491154741</v>
      </c>
      <c r="S16" s="42">
        <v>1141.6896437946723</v>
      </c>
      <c r="T16" s="41">
        <v>927.2043407868656</v>
      </c>
      <c r="U16" s="42">
        <v>1166.0362875948674</v>
      </c>
      <c r="V16" s="41">
        <v>914.66275230474673</v>
      </c>
      <c r="W16" s="42">
        <v>1194.1520067866127</v>
      </c>
      <c r="X16" s="41">
        <v>900.17249132950758</v>
      </c>
      <c r="Y16" s="42">
        <v>1228.2437347509444</v>
      </c>
      <c r="Z16" s="41">
        <v>882.90233670377097</v>
      </c>
      <c r="AA16" s="42">
        <v>1272.381901082013</v>
      </c>
      <c r="AB16" s="41">
        <v>861.37340010085211</v>
      </c>
      <c r="AC16" s="42">
        <v>1334.3411432258479</v>
      </c>
      <c r="AD16" s="41">
        <v>832.81963228292102</v>
      </c>
      <c r="AE16" s="42">
        <v>1429.1216268862522</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997.68213194075588</v>
      </c>
      <c r="E17" s="36">
        <v>1053.2628977516381</v>
      </c>
      <c r="F17" s="35">
        <v>995.36937226165958</v>
      </c>
      <c r="G17" s="36">
        <v>1112.6581385842667</v>
      </c>
      <c r="H17" s="35">
        <v>993.04861673317487</v>
      </c>
      <c r="I17" s="36">
        <v>1179.3380407855175</v>
      </c>
      <c r="J17" s="35">
        <v>990.70831395734581</v>
      </c>
      <c r="K17" s="36">
        <v>1254.781585591069</v>
      </c>
      <c r="L17" s="35">
        <v>988.33960151624024</v>
      </c>
      <c r="M17" s="36">
        <v>1340.9334673538885</v>
      </c>
      <c r="N17" s="35">
        <v>985.93818038686936</v>
      </c>
      <c r="O17" s="36">
        <v>1440.4228482736053</v>
      </c>
      <c r="P17" s="35">
        <v>983.50738115532693</v>
      </c>
      <c r="Q17" s="36">
        <v>1556.9225471501015</v>
      </c>
      <c r="R17" s="35">
        <v>981.0633295495328</v>
      </c>
      <c r="S17" s="36">
        <v>1695.7624239598958</v>
      </c>
      <c r="T17" s="35">
        <v>978.64382304981984</v>
      </c>
      <c r="U17" s="36">
        <v>1865.0306604665554</v>
      </c>
      <c r="V17" s="35">
        <v>976.32404954882929</v>
      </c>
      <c r="W17" s="36">
        <v>2077.66331939777</v>
      </c>
      <c r="X17" s="35">
        <v>974.24479200079634</v>
      </c>
      <c r="Y17" s="36">
        <v>2355.6624354426854</v>
      </c>
      <c r="Z17" s="35">
        <v>972.66122840867354</v>
      </c>
      <c r="AA17" s="36">
        <v>2739.1636699204901</v>
      </c>
      <c r="AB17" s="35">
        <v>972.01107510111876</v>
      </c>
      <c r="AC17" s="36">
        <v>3306.9165501304774</v>
      </c>
      <c r="AD17" s="35">
        <v>972.92492857867023</v>
      </c>
      <c r="AE17" s="36">
        <v>4222.8825670457791</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28274.166467130832</v>
      </c>
      <c r="E18" s="34">
        <v>1135.7062952749411</v>
      </c>
      <c r="F18" s="33">
        <v>28693.263743243962</v>
      </c>
      <c r="G18" s="34">
        <v>1035.1907809578004</v>
      </c>
      <c r="H18" s="33">
        <v>29115.355339082114</v>
      </c>
      <c r="I18" s="34">
        <v>935.24861301585508</v>
      </c>
      <c r="J18" s="33">
        <v>29541.642516027096</v>
      </c>
      <c r="K18" s="34">
        <v>835.960175551161</v>
      </c>
      <c r="L18" s="33">
        <v>29973.583120944084</v>
      </c>
      <c r="M18" s="34">
        <v>737.48220864452298</v>
      </c>
      <c r="N18" s="33">
        <v>30413.057967801502</v>
      </c>
      <c r="O18" s="34">
        <v>640.07909757538221</v>
      </c>
      <c r="P18" s="33">
        <v>30862.65902726377</v>
      </c>
      <c r="Q18" s="34">
        <v>544.16799562901406</v>
      </c>
      <c r="R18" s="33">
        <v>31326.162745001213</v>
      </c>
      <c r="S18" s="34">
        <v>450.38401101643427</v>
      </c>
      <c r="T18" s="33">
        <v>31809.360368009544</v>
      </c>
      <c r="U18" s="34">
        <v>359.67641156614422</v>
      </c>
      <c r="V18" s="33">
        <v>32321.528291939667</v>
      </c>
      <c r="W18" s="34">
        <v>273.45171631978968</v>
      </c>
      <c r="X18" s="33">
        <v>32878.063565340708</v>
      </c>
      <c r="Y18" s="34">
        <v>193.78084136471355</v>
      </c>
      <c r="Z18" s="33">
        <v>33505.04647537908</v>
      </c>
      <c r="AA18" s="34">
        <v>123.65488285119392</v>
      </c>
      <c r="AB18" s="33">
        <v>34245.769827129567</v>
      </c>
      <c r="AC18" s="34">
        <v>67.090860917111399</v>
      </c>
      <c r="AD18" s="33">
        <v>35163.150340221167</v>
      </c>
      <c r="AE18" s="34">
        <v>28.258301221950177</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1902.9354095611914</v>
      </c>
      <c r="E19" s="42">
        <v>281.12471227851245</v>
      </c>
      <c r="F19" s="41">
        <v>1919.2987862072009</v>
      </c>
      <c r="G19" s="42">
        <v>301.42433378726162</v>
      </c>
      <c r="H19" s="41">
        <v>1935.4849719361266</v>
      </c>
      <c r="I19" s="42">
        <v>323.88758291041438</v>
      </c>
      <c r="J19" s="41">
        <v>1951.5075576413315</v>
      </c>
      <c r="K19" s="42">
        <v>348.71050507103354</v>
      </c>
      <c r="L19" s="41">
        <v>1967.4059771287598</v>
      </c>
      <c r="M19" s="42">
        <v>376.06562902148681</v>
      </c>
      <c r="N19" s="41">
        <v>1983.266773941966</v>
      </c>
      <c r="O19" s="42">
        <v>406.07145523793747</v>
      </c>
      <c r="P19" s="41">
        <v>1999.259706045925</v>
      </c>
      <c r="Q19" s="42">
        <v>438.74116281843459</v>
      </c>
      <c r="R19" s="41">
        <v>2015.6980947084783</v>
      </c>
      <c r="S19" s="42">
        <v>473.894284692974</v>
      </c>
      <c r="T19" s="41">
        <v>2033.1444152131637</v>
      </c>
      <c r="U19" s="42">
        <v>511.00077079336552</v>
      </c>
      <c r="V19" s="41">
        <v>2052.5989604966062</v>
      </c>
      <c r="W19" s="42">
        <v>548.89705769066757</v>
      </c>
      <c r="X19" s="41">
        <v>2075.8427359614875</v>
      </c>
      <c r="Y19" s="42">
        <v>585.25829788761462</v>
      </c>
      <c r="Z19" s="41">
        <v>2106.0447974227413</v>
      </c>
      <c r="AA19" s="42">
        <v>615.63402430715166</v>
      </c>
      <c r="AB19" s="41">
        <v>2148.6685155811192</v>
      </c>
      <c r="AC19" s="42">
        <v>631.92791378355423</v>
      </c>
      <c r="AD19" s="41">
        <v>2211.9087344660497</v>
      </c>
      <c r="AE19" s="42">
        <v>621.38694030204897</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26918.352172784929</v>
      </c>
      <c r="E20" s="83">
        <v>1338.1147774499941</v>
      </c>
      <c r="F20" s="82">
        <v>27289.247025738448</v>
      </c>
      <c r="G20" s="83">
        <v>1267.6876838999945</v>
      </c>
      <c r="H20" s="82">
        <v>27661.865052039375</v>
      </c>
      <c r="I20" s="83">
        <v>1197.2605903499946</v>
      </c>
      <c r="J20" s="82">
        <v>28037.171997352834</v>
      </c>
      <c r="K20" s="83">
        <v>1126.8334967999949</v>
      </c>
      <c r="L20" s="82">
        <v>28416.393351910978</v>
      </c>
      <c r="M20" s="83">
        <v>1056.4064032499953</v>
      </c>
      <c r="N20" s="82">
        <v>28801.198382642826</v>
      </c>
      <c r="O20" s="83">
        <v>985.97930969999561</v>
      </c>
      <c r="P20" s="82">
        <v>29194.017902072053</v>
      </c>
      <c r="Q20" s="83">
        <v>915.55221614999607</v>
      </c>
      <c r="R20" s="82">
        <v>29598.570468165039</v>
      </c>
      <c r="S20" s="83">
        <v>845.12512259999642</v>
      </c>
      <c r="T20" s="82">
        <v>30020.786522037837</v>
      </c>
      <c r="U20" s="83">
        <v>774.69802904999653</v>
      </c>
      <c r="V20" s="82">
        <v>30470.451219802682</v>
      </c>
      <c r="W20" s="83">
        <v>704.27093549999688</v>
      </c>
      <c r="X20" s="82">
        <v>30964.162211326064</v>
      </c>
      <c r="Y20" s="83">
        <v>633.84384194999734</v>
      </c>
      <c r="Z20" s="82">
        <v>31530.480835642058</v>
      </c>
      <c r="AA20" s="83">
        <v>563.41674839999757</v>
      </c>
      <c r="AB20" s="82">
        <v>32217.372383146281</v>
      </c>
      <c r="AC20" s="83">
        <v>492.98965484999775</v>
      </c>
      <c r="AD20" s="82">
        <v>33095.099596197171</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25015.430168685347</v>
      </c>
      <c r="E21" s="83">
        <v>1057.5727375807317</v>
      </c>
      <c r="F21" s="82">
        <v>25370.002593471501</v>
      </c>
      <c r="G21" s="83">
        <v>968.75403340375829</v>
      </c>
      <c r="H21" s="82">
        <v>25726.504501929314</v>
      </c>
      <c r="I21" s="83">
        <v>879.37150447235933</v>
      </c>
      <c r="J21" s="82">
        <v>26085.890239042783</v>
      </c>
      <c r="K21" s="83">
        <v>789.55404176857871</v>
      </c>
      <c r="L21" s="82">
        <v>26449.348567832239</v>
      </c>
      <c r="M21" s="83">
        <v>699.50888960678833</v>
      </c>
      <c r="N21" s="82">
        <v>26818.465190708375</v>
      </c>
      <c r="O21" s="83">
        <v>609.55293113263565</v>
      </c>
      <c r="P21" s="82">
        <v>27195.503894513637</v>
      </c>
      <c r="Q21" s="83">
        <v>520.15675052030394</v>
      </c>
      <c r="R21" s="82">
        <v>27583.871368048432</v>
      </c>
      <c r="S21" s="83">
        <v>432.00838729857458</v>
      </c>
      <c r="T21" s="82">
        <v>27988.933761328062</v>
      </c>
      <c r="U21" s="83">
        <v>346.10734348692642</v>
      </c>
      <c r="V21" s="82">
        <v>28419.467097272605</v>
      </c>
      <c r="W21" s="83">
        <v>263.90479505833275</v>
      </c>
      <c r="X21" s="82">
        <v>28890.265234146569</v>
      </c>
      <c r="Y21" s="83">
        <v>187.50700041638495</v>
      </c>
      <c r="Z21" s="82">
        <v>29426.67192615012</v>
      </c>
      <c r="AA21" s="83">
        <v>119.92768576911656</v>
      </c>
      <c r="AB21" s="82">
        <v>30071.099922040037</v>
      </c>
      <c r="AC21" s="83">
        <v>65.194905656996497</v>
      </c>
      <c r="AD21" s="82">
        <v>30885.49205941187</v>
      </c>
      <c r="AE21" s="83">
        <v>27.500847646545971</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6629.0668014580579</v>
      </c>
      <c r="E22" s="42">
        <v>365.71594312317552</v>
      </c>
      <c r="F22" s="41">
        <v>6723.8881775158507</v>
      </c>
      <c r="G22" s="42">
        <v>351.19799782926418</v>
      </c>
      <c r="H22" s="41">
        <v>6818.1489378736451</v>
      </c>
      <c r="I22" s="42">
        <v>336.35695124108798</v>
      </c>
      <c r="J22" s="41">
        <v>6911.9376537001663</v>
      </c>
      <c r="K22" s="42">
        <v>321.18931999858387</v>
      </c>
      <c r="L22" s="41">
        <v>7005.3728811088858</v>
      </c>
      <c r="M22" s="42">
        <v>305.68281301290943</v>
      </c>
      <c r="N22" s="41">
        <v>7098.6387681756351</v>
      </c>
      <c r="O22" s="42">
        <v>289.81311740070731</v>
      </c>
      <c r="P22" s="41">
        <v>7192.0488021777128</v>
      </c>
      <c r="Q22" s="42">
        <v>273.53941751843456</v>
      </c>
      <c r="R22" s="41">
        <v>7286.153995499747</v>
      </c>
      <c r="S22" s="42">
        <v>256.79810737742122</v>
      </c>
      <c r="T22" s="41">
        <v>7381.9364603897766</v>
      </c>
      <c r="U22" s="42">
        <v>239.49389753608918</v>
      </c>
      <c r="V22" s="41">
        <v>7481.157299765161</v>
      </c>
      <c r="W22" s="42">
        <v>221.4873282441207</v>
      </c>
      <c r="X22" s="41">
        <v>7586.9834192413637</v>
      </c>
      <c r="Y22" s="42">
        <v>202.5784244246085</v>
      </c>
      <c r="Z22" s="41">
        <v>7705.0577806775673</v>
      </c>
      <c r="AA22" s="42">
        <v>182.4914730044172</v>
      </c>
      <c r="AB22" s="41">
        <v>7844.9040556140935</v>
      </c>
      <c r="AC22" s="42">
        <v>160.88813860339368</v>
      </c>
      <c r="AD22" s="41">
        <v>8019.6410434279687</v>
      </c>
      <c r="AE22" s="42">
        <v>137.5005986184766</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3332.5938810786788</v>
      </c>
      <c r="E23" s="8">
        <v>0</v>
      </c>
      <c r="F23" s="116">
        <v>3387.0239937459482</v>
      </c>
      <c r="G23" s="8">
        <v>0</v>
      </c>
      <c r="H23" s="116">
        <v>3441.9216505560316</v>
      </c>
      <c r="I23" s="8">
        <v>0</v>
      </c>
      <c r="J23" s="116">
        <v>3497.4416252449514</v>
      </c>
      <c r="K23" s="8">
        <v>0</v>
      </c>
      <c r="L23" s="116">
        <v>3553.7830986211484</v>
      </c>
      <c r="M23" s="8">
        <v>0</v>
      </c>
      <c r="N23" s="116">
        <v>3611.2201831477637</v>
      </c>
      <c r="O23" s="8">
        <v>0</v>
      </c>
      <c r="P23" s="116">
        <v>3670.1543748084764</v>
      </c>
      <c r="Q23" s="8">
        <v>0</v>
      </c>
      <c r="R23" s="116">
        <v>3731.2026329041519</v>
      </c>
      <c r="S23" s="8">
        <v>0</v>
      </c>
      <c r="T23" s="116">
        <v>3795.3531477657375</v>
      </c>
      <c r="U23" s="8">
        <v>0</v>
      </c>
      <c r="V23" s="116">
        <v>3864.2460085141815</v>
      </c>
      <c r="W23" s="8">
        <v>0</v>
      </c>
      <c r="X23" s="116">
        <v>3940.688703865952</v>
      </c>
      <c r="Y23" s="8">
        <v>0</v>
      </c>
      <c r="Z23" s="116">
        <v>4029.5868376276094</v>
      </c>
      <c r="AA23" s="8">
        <v>0</v>
      </c>
      <c r="AB23" s="116">
        <v>4139.4126378031306</v>
      </c>
      <c r="AC23" s="8">
        <v>0</v>
      </c>
      <c r="AD23" s="116">
        <v>4283.3575195101512</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3249.1218537627788</v>
      </c>
      <c r="E24" s="8">
        <v>0</v>
      </c>
      <c r="F24" s="97">
        <v>3302.1886451665082</v>
      </c>
      <c r="G24" s="8">
        <v>0</v>
      </c>
      <c r="H24" s="97">
        <v>3355.7112764421481</v>
      </c>
      <c r="I24" s="8">
        <v>0</v>
      </c>
      <c r="J24" s="97">
        <v>3409.8406320129229</v>
      </c>
      <c r="K24" s="8">
        <v>0</v>
      </c>
      <c r="L24" s="97">
        <v>3464.7709125136525</v>
      </c>
      <c r="M24" s="8">
        <v>0</v>
      </c>
      <c r="N24" s="97">
        <v>3520.7693605015293</v>
      </c>
      <c r="O24" s="8">
        <v>0</v>
      </c>
      <c r="P24" s="97">
        <v>3578.2274180523727</v>
      </c>
      <c r="Q24" s="8">
        <v>0</v>
      </c>
      <c r="R24" s="97">
        <v>3637.7465905433587</v>
      </c>
      <c r="S24" s="8">
        <v>0</v>
      </c>
      <c r="T24" s="97">
        <v>3700.2903170008776</v>
      </c>
      <c r="U24" s="8">
        <v>0</v>
      </c>
      <c r="V24" s="97">
        <v>3767.457607077436</v>
      </c>
      <c r="W24" s="8">
        <v>0</v>
      </c>
      <c r="X24" s="97">
        <v>3841.985629787755</v>
      </c>
      <c r="Y24" s="8">
        <v>0</v>
      </c>
      <c r="Z24" s="97">
        <v>3928.6571173247598</v>
      </c>
      <c r="AA24" s="8">
        <v>0</v>
      </c>
      <c r="AB24" s="97">
        <v>4035.7320928849817</v>
      </c>
      <c r="AC24" s="8">
        <v>0</v>
      </c>
      <c r="AD24" s="97">
        <v>4176.0715633904965</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3258.7145212035839</v>
      </c>
      <c r="E25" s="42">
        <v>78.033716921749047</v>
      </c>
      <c r="F25" s="41">
        <v>3323.1722063609504</v>
      </c>
      <c r="G25" s="42">
        <v>66.068970062811658</v>
      </c>
      <c r="H25" s="41">
        <v>3388.6457739633629</v>
      </c>
      <c r="I25" s="42">
        <v>55.122375420202133</v>
      </c>
      <c r="J25" s="41">
        <v>3455.3774937248741</v>
      </c>
      <c r="K25" s="42">
        <v>45.196706780847556</v>
      </c>
      <c r="L25" s="41">
        <v>3523.630709273637</v>
      </c>
      <c r="M25" s="42">
        <v>36.293140463197361</v>
      </c>
      <c r="N25" s="41">
        <v>3593.6941771997472</v>
      </c>
      <c r="O25" s="42">
        <v>28.410730554425299</v>
      </c>
      <c r="P25" s="41">
        <v>3665.889919413924</v>
      </c>
      <c r="Q25" s="42">
        <v>21.545851253820508</v>
      </c>
      <c r="R25" s="41">
        <v>3740.5835972963414</v>
      </c>
      <c r="S25" s="42">
        <v>15.691484032171255</v>
      </c>
      <c r="T25" s="41">
        <v>3818.2019350240535</v>
      </c>
      <c r="U25" s="42">
        <v>10.836073206310186</v>
      </c>
      <c r="V25" s="41">
        <v>3899.2597622714102</v>
      </c>
      <c r="W25" s="42">
        <v>6.9613254915935112</v>
      </c>
      <c r="X25" s="41">
        <v>3984.4008308966677</v>
      </c>
      <c r="Y25" s="42">
        <v>4.0375594829064001</v>
      </c>
      <c r="Z25" s="41">
        <v>4074.4510314769173</v>
      </c>
      <c r="AA25" s="42">
        <v>2.0136512329474932</v>
      </c>
      <c r="AB25" s="41">
        <v>4170.4567334674866</v>
      </c>
      <c r="AC25" s="42">
        <v>0.79662368390314109</v>
      </c>
      <c r="AD25" s="41">
        <v>4273.6234981908228</v>
      </c>
      <c r="AE25" s="42">
        <v>0.22009212000532533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5183.4649292350778</v>
      </c>
      <c r="E26" s="34">
        <v>69.849589953169797</v>
      </c>
      <c r="F26" s="33">
        <v>5339.3341418710779</v>
      </c>
      <c r="G26" s="34">
        <v>64.724298852723706</v>
      </c>
      <c r="H26" s="33">
        <v>5505.601932470252</v>
      </c>
      <c r="I26" s="34">
        <v>59.521164561041012</v>
      </c>
      <c r="J26" s="33">
        <v>5684.455414014521</v>
      </c>
      <c r="K26" s="34">
        <v>54.233342963379741</v>
      </c>
      <c r="L26" s="33">
        <v>5878.8090969597815</v>
      </c>
      <c r="M26" s="34">
        <v>48.856783725951047</v>
      </c>
      <c r="N26" s="33">
        <v>6092.6983986590631</v>
      </c>
      <c r="O26" s="34">
        <v>43.392209664933361</v>
      </c>
      <c r="P26" s="33">
        <v>6331.9701255256978</v>
      </c>
      <c r="Q26" s="34">
        <v>37.848129921093893</v>
      </c>
      <c r="R26" s="33">
        <v>6605.5481934113959</v>
      </c>
      <c r="S26" s="34">
        <v>32.245490800102189</v>
      </c>
      <c r="T26" s="33">
        <v>6927.924887359819</v>
      </c>
      <c r="U26" s="34">
        <v>26.625003149229112</v>
      </c>
      <c r="V26" s="33">
        <v>7324.4831609227494</v>
      </c>
      <c r="W26" s="34">
        <v>21.058935222514624</v>
      </c>
      <c r="X26" s="33">
        <v>7844.1776259576327</v>
      </c>
      <c r="Y26" s="34">
        <v>15.670152892487536</v>
      </c>
      <c r="Z26" s="33">
        <v>8594.6768584201582</v>
      </c>
      <c r="AA26" s="34">
        <v>10.661076807820699</v>
      </c>
      <c r="AB26" s="33">
        <v>9865.608961563863</v>
      </c>
      <c r="AC26" s="34">
        <v>6.3464316517022095</v>
      </c>
      <c r="AD26" s="33">
        <v>12817.138391144019</v>
      </c>
      <c r="AE26" s="34">
        <v>3.1444346872297251</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6446.8599191500007</v>
      </c>
      <c r="E27" s="36">
        <v>251.56747606021474</v>
      </c>
      <c r="F27" s="35">
        <v>6468.3639933302957</v>
      </c>
      <c r="G27" s="36">
        <v>230.06343604268184</v>
      </c>
      <c r="H27" s="35">
        <v>6489.733745957049</v>
      </c>
      <c r="I27" s="36">
        <v>208.69358599668629</v>
      </c>
      <c r="J27" s="35">
        <v>6510.9831285973696</v>
      </c>
      <c r="K27" s="36">
        <v>187.4441492413176</v>
      </c>
      <c r="L27" s="35">
        <v>6532.1114924171097</v>
      </c>
      <c r="M27" s="36">
        <v>166.31585518543648</v>
      </c>
      <c r="N27" s="35">
        <v>6553.0967692569302</v>
      </c>
      <c r="O27" s="36">
        <v>145.33053242269747</v>
      </c>
      <c r="P27" s="35">
        <v>6573.8861970218522</v>
      </c>
      <c r="Q27" s="36">
        <v>124.54110977404807</v>
      </c>
      <c r="R27" s="35">
        <v>6594.3806338437143</v>
      </c>
      <c r="S27" s="36">
        <v>104.04667497271174</v>
      </c>
      <c r="T27" s="35">
        <v>6614.4116316716863</v>
      </c>
      <c r="U27" s="36">
        <v>84.015677405285174</v>
      </c>
      <c r="V27" s="35">
        <v>6633.7052114377075</v>
      </c>
      <c r="W27" s="36">
        <v>64.722104490012811</v>
      </c>
      <c r="X27" s="35">
        <v>6651.8261678397557</v>
      </c>
      <c r="Y27" s="36">
        <v>46.601148300892596</v>
      </c>
      <c r="Z27" s="35">
        <v>6668.1014186697548</v>
      </c>
      <c r="AA27" s="36">
        <v>30.325918295899314</v>
      </c>
      <c r="AB27" s="35">
        <v>6681.5604934977609</v>
      </c>
      <c r="AC27" s="36">
        <v>16.866821832133969</v>
      </c>
      <c r="AD27" s="35">
        <v>6691.0901123184804</v>
      </c>
      <c r="AE27" s="36">
        <v>7.337060155948266</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13763.097676000007</v>
      </c>
      <c r="C28" s="42">
        <v>382.36647900000003</v>
      </c>
      <c r="D28" s="41">
        <v>13995.426504385452</v>
      </c>
      <c r="E28" s="42">
        <v>353.30004343286021</v>
      </c>
      <c r="F28" s="41">
        <v>14231.964887161213</v>
      </c>
      <c r="G28" s="42">
        <v>324.22203072407069</v>
      </c>
      <c r="H28" s="41">
        <v>14473.749670147074</v>
      </c>
      <c r="I28" s="42">
        <v>295.11063317878268</v>
      </c>
      <c r="J28" s="41">
        <v>14722.024534226237</v>
      </c>
      <c r="K28" s="42">
        <v>265.95607416925048</v>
      </c>
      <c r="L28" s="41">
        <v>14978.347194592412</v>
      </c>
      <c r="M28" s="42">
        <v>236.76776542093282</v>
      </c>
      <c r="N28" s="41">
        <v>15244.754540635948</v>
      </c>
      <c r="O28" s="42">
        <v>207.58411654506725</v>
      </c>
      <c r="P28" s="41">
        <v>15524.039189469571</v>
      </c>
      <c r="Q28" s="42">
        <v>178.48723626955649</v>
      </c>
      <c r="R28" s="41">
        <v>15820.208261026864</v>
      </c>
      <c r="S28" s="42">
        <v>149.62501770084799</v>
      </c>
      <c r="T28" s="41">
        <v>16139.289056183907</v>
      </c>
      <c r="U28" s="42">
        <v>121.24514947949079</v>
      </c>
      <c r="V28" s="41">
        <v>16490.786734661462</v>
      </c>
      <c r="W28" s="42">
        <v>93.748296140023655</v>
      </c>
      <c r="X28" s="41">
        <v>16890.41510301653</v>
      </c>
      <c r="Y28" s="42">
        <v>67.770462781446383</v>
      </c>
      <c r="Z28" s="41">
        <v>17365.288940270624</v>
      </c>
      <c r="AA28" s="42">
        <v>44.298201559745138</v>
      </c>
      <c r="AB28" s="41">
        <v>17963.363259315585</v>
      </c>
      <c r="AC28" s="42">
        <v>24.763655801008785</v>
      </c>
      <c r="AD28" s="41">
        <v>18767.304526553598</v>
      </c>
      <c r="AE28" s="42">
        <v>10.835146709352312</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14577.273756555363</v>
      </c>
      <c r="E29" s="36">
        <v>748.17819339437449</v>
      </c>
      <c r="F29" s="35">
        <v>14792.747808024318</v>
      </c>
      <c r="G29" s="36">
        <v>679.81925762488277</v>
      </c>
      <c r="H29" s="35">
        <v>15009.729234541959</v>
      </c>
      <c r="I29" s="36">
        <v>612.2124652220034</v>
      </c>
      <c r="J29" s="35">
        <v>15228.832521483493</v>
      </c>
      <c r="K29" s="36">
        <v>545.41544550283766</v>
      </c>
      <c r="L29" s="35">
        <v>15450.804507923453</v>
      </c>
      <c r="M29" s="36">
        <v>479.53550541930872</v>
      </c>
      <c r="N29" s="35">
        <v>15676.610786755058</v>
      </c>
      <c r="O29" s="36">
        <v>414.74914752486319</v>
      </c>
      <c r="P29" s="35">
        <v>15907.585429868328</v>
      </c>
      <c r="Q29" s="36">
        <v>351.33018145720445</v>
      </c>
      <c r="R29" s="35">
        <v>16145.677054513606</v>
      </c>
      <c r="S29" s="36">
        <v>289.69024371937718</v>
      </c>
      <c r="T29" s="35">
        <v>16393.88063343559</v>
      </c>
      <c r="U29" s="36">
        <v>230.43836580342702</v>
      </c>
      <c r="V29" s="35">
        <v>16657.002415120103</v>
      </c>
      <c r="W29" s="36">
        <v>174.46904512478508</v>
      </c>
      <c r="X29" s="35">
        <v>16943.031386869203</v>
      </c>
      <c r="Y29" s="36">
        <v>123.08842578152539</v>
      </c>
      <c r="Z29" s="35">
        <v>17265.51411855052</v>
      </c>
      <c r="AA29" s="36">
        <v>78.166355002720366</v>
      </c>
      <c r="AB29" s="35">
        <v>17646.953613675119</v>
      </c>
      <c r="AC29" s="36">
        <v>42.185146361201959</v>
      </c>
      <c r="AD29" s="35">
        <v>18120.062151133166</v>
      </c>
      <c r="AE29" s="36">
        <v>17.663783526348396</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2963176.4616097715</v>
      </c>
      <c r="F30" s="119">
        <v>3001453.8000054909</v>
      </c>
      <c r="H30" s="119">
        <v>3039713.681100619</v>
      </c>
      <c r="J30" s="119">
        <v>3078026.8612930616</v>
      </c>
      <c r="L30" s="119">
        <v>3116501.6324128993</v>
      </c>
      <c r="N30" s="119">
        <v>3155314.5743270856</v>
      </c>
      <c r="P30" s="119">
        <v>3194761.7939546532</v>
      </c>
      <c r="R30" s="119">
        <v>3235346.4489850001</v>
      </c>
      <c r="T30" s="119">
        <v>3277932.0555042587</v>
      </c>
      <c r="V30" s="119">
        <v>3324018.3480762444</v>
      </c>
      <c r="X30" s="119">
        <v>3376245.5905367825</v>
      </c>
      <c r="Z30" s="119">
        <v>3439295.2608562931</v>
      </c>
      <c r="AB30" s="119">
        <v>3521264.4051610837</v>
      </c>
      <c r="AD30" s="119">
        <v>3634483.7906117165</v>
      </c>
      <c r="AF30" s="119"/>
      <c r="AH30" s="119"/>
      <c r="AJ30" s="119"/>
      <c r="AL30" s="119"/>
      <c r="AN30" s="119"/>
      <c r="AP30" s="119"/>
      <c r="AR30" s="119"/>
      <c r="AT30" s="119"/>
      <c r="AV30" s="119"/>
    </row>
    <row r="31" spans="1:49" x14ac:dyDescent="0.2">
      <c r="A31" t="s">
        <v>47</v>
      </c>
      <c r="B31" s="80">
        <v>1</v>
      </c>
      <c r="D31" s="80">
        <v>1.011664907786441</v>
      </c>
      <c r="F31" s="80">
        <v>1.0229336239405502</v>
      </c>
      <c r="H31" s="80">
        <v>1.0337805373824198</v>
      </c>
      <c r="J31" s="80">
        <v>1.0441725952070524</v>
      </c>
      <c r="L31" s="80">
        <v>1.0540692630642488</v>
      </c>
      <c r="N31" s="80">
        <v>1.0634227948076387</v>
      </c>
      <c r="P31" s="80">
        <v>1.0721796865772462</v>
      </c>
      <c r="R31" s="80">
        <v>1.0802835502926891</v>
      </c>
      <c r="T31" s="80">
        <v>1.0876812258962563</v>
      </c>
      <c r="V31" s="80">
        <v>1.0943339453160903</v>
      </c>
      <c r="X31" s="80">
        <v>1.1002348667412578</v>
      </c>
      <c r="Z31" s="80">
        <v>1.1054232652472213</v>
      </c>
      <c r="AB31" s="80">
        <v>1.1099228412238444</v>
      </c>
      <c r="AD31" s="80">
        <v>1.1132796288556681</v>
      </c>
      <c r="AF31" s="80"/>
      <c r="AH31" s="80"/>
      <c r="AJ31" s="80"/>
      <c r="AL31" s="80"/>
      <c r="AN31" s="80"/>
      <c r="AP31" s="80"/>
      <c r="AR31" s="80"/>
      <c r="AT31" s="80"/>
      <c r="AV31" s="80"/>
    </row>
    <row r="32" spans="1:49" x14ac:dyDescent="0.2">
      <c r="A32" t="s">
        <v>64</v>
      </c>
      <c r="B32" s="86">
        <v>14734457.915000005</v>
      </c>
      <c r="D32" s="86">
        <v>14939345.161598181</v>
      </c>
      <c r="F32" s="86">
        <v>15144508.09364241</v>
      </c>
      <c r="H32" s="86">
        <v>15350288.181946283</v>
      </c>
      <c r="J32" s="86">
        <v>15557143.969643967</v>
      </c>
      <c r="L32" s="86">
        <v>15765756.451599294</v>
      </c>
      <c r="N32" s="86">
        <v>15977198.769523744</v>
      </c>
      <c r="P32" s="86">
        <v>16193226.256466389</v>
      </c>
      <c r="R32" s="86">
        <v>16416765.327562239</v>
      </c>
      <c r="T32" s="86">
        <v>16652776.499510247</v>
      </c>
      <c r="V32" s="86">
        <v>16909811.134645183</v>
      </c>
      <c r="X32" s="86">
        <v>17202876.310918882</v>
      </c>
      <c r="Z32" s="86">
        <v>17558621.018119019</v>
      </c>
      <c r="AB32" s="86">
        <v>18023525.831445571</v>
      </c>
      <c r="AD32" s="86">
        <v>18670135.128405817</v>
      </c>
      <c r="AF32" s="86"/>
      <c r="AH32" s="86"/>
      <c r="AJ32" s="86"/>
      <c r="AL32" s="86"/>
      <c r="AN32" s="86"/>
      <c r="AP32" s="86"/>
      <c r="AR32" s="86"/>
      <c r="AT32" s="86"/>
      <c r="AV32" s="86"/>
    </row>
    <row r="33" spans="1:49 16319:16321" x14ac:dyDescent="0.2">
      <c r="A33" t="s">
        <v>54</v>
      </c>
      <c r="B33" s="117">
        <v>7019665.6909999885</v>
      </c>
      <c r="D33" s="117">
        <v>7117276.3310570493</v>
      </c>
      <c r="F33" s="117">
        <v>7215018.314904632</v>
      </c>
      <c r="H33" s="117">
        <v>7313054.333170386</v>
      </c>
      <c r="J33" s="117">
        <v>7411602.8269102098</v>
      </c>
      <c r="L33" s="117">
        <v>7510988.2078437097</v>
      </c>
      <c r="N33" s="117">
        <v>7611721.7719208272</v>
      </c>
      <c r="P33" s="117">
        <v>7714639.7563346028</v>
      </c>
      <c r="R33" s="117">
        <v>7821136.3471677285</v>
      </c>
      <c r="T33" s="117">
        <v>7933574.7913689017</v>
      </c>
      <c r="V33" s="117">
        <v>8056029.0545225125</v>
      </c>
      <c r="X33" s="117">
        <v>8195648.6833973415</v>
      </c>
      <c r="Z33" s="117">
        <v>8365129.5657288954</v>
      </c>
      <c r="AB33" s="117">
        <v>8586615.5806447603</v>
      </c>
      <c r="AD33" s="117">
        <v>8894667.7182533741</v>
      </c>
      <c r="AF33" s="117"/>
      <c r="AH33" s="117"/>
      <c r="AJ33" s="117"/>
      <c r="AL33" s="117"/>
      <c r="AN33" s="117"/>
      <c r="AP33" s="117"/>
      <c r="AR33" s="117"/>
      <c r="AT33" s="117"/>
      <c r="AV33" s="117"/>
    </row>
    <row r="34" spans="1:49 16319:16321" x14ac:dyDescent="0.2">
      <c r="A34" t="s">
        <v>75</v>
      </c>
      <c r="B34" s="117">
        <v>1136879.4410000162</v>
      </c>
      <c r="D34" s="117">
        <v>1152688.1162856291</v>
      </c>
      <c r="F34" s="117">
        <v>1168518.0564292998</v>
      </c>
      <c r="H34" s="117">
        <v>1184395.5945370239</v>
      </c>
      <c r="J34" s="117">
        <v>1200356.1377933566</v>
      </c>
      <c r="L34" s="117">
        <v>1216452.2435865877</v>
      </c>
      <c r="N34" s="117">
        <v>1232766.6785742687</v>
      </c>
      <c r="P34" s="117">
        <v>1249434.9018033848</v>
      </c>
      <c r="R34" s="117">
        <v>1266682.7019270603</v>
      </c>
      <c r="T34" s="117">
        <v>1284892.8222238342</v>
      </c>
      <c r="V34" s="117">
        <v>1304725.06957573</v>
      </c>
      <c r="X34" s="117">
        <v>1327337.3565304719</v>
      </c>
      <c r="Z34" s="117">
        <v>1354785.8609799715</v>
      </c>
      <c r="AB34" s="117">
        <v>1390656.9277867163</v>
      </c>
      <c r="AD34" s="117">
        <v>1440547.9155427297</v>
      </c>
      <c r="AF34" s="117"/>
      <c r="AH34" s="117"/>
      <c r="AJ34" s="117"/>
      <c r="AL34" s="117"/>
      <c r="AN34" s="117"/>
      <c r="AP34" s="117"/>
      <c r="AR34" s="117"/>
      <c r="AT34" s="117"/>
      <c r="AV34" s="117"/>
    </row>
    <row r="35" spans="1:49 16319:16321" x14ac:dyDescent="0.2">
      <c r="A35" t="s">
        <v>78</v>
      </c>
      <c r="B35" s="233">
        <v>1</v>
      </c>
      <c r="D35" s="233">
        <v>1.0022170119799316</v>
      </c>
      <c r="F35" s="233">
        <v>1.0048070306290982</v>
      </c>
      <c r="H35" s="233">
        <v>1.0078299718124122</v>
      </c>
      <c r="J35" s="233">
        <v>1.0113676532043547</v>
      </c>
      <c r="L35" s="233">
        <v>1.015533573128836</v>
      </c>
      <c r="N35" s="233">
        <v>1.0204882282310748</v>
      </c>
      <c r="P35" s="233">
        <v>1.0264640213138156</v>
      </c>
      <c r="R35" s="233">
        <v>1.0338072585273463</v>
      </c>
      <c r="T35" s="233">
        <v>1.0430522315282253</v>
      </c>
      <c r="V35" s="233">
        <v>1.0550585651908757</v>
      </c>
      <c r="X35" s="233">
        <v>1.07127966888767</v>
      </c>
      <c r="Z35" s="233">
        <v>1.0943127093346108</v>
      </c>
      <c r="AB35" s="233">
        <v>1.1290475099214421</v>
      </c>
      <c r="AD35" s="233">
        <v>1.1849406735788375</v>
      </c>
      <c r="AF35" s="233"/>
      <c r="AH35" s="233"/>
      <c r="AJ35" s="233"/>
      <c r="AL35" s="233"/>
      <c r="AN35" s="233"/>
      <c r="AP35" s="233"/>
      <c r="AR35" s="233"/>
      <c r="AT35" s="233"/>
      <c r="AV35" s="233"/>
    </row>
    <row r="36" spans="1:49 16319:16321" x14ac:dyDescent="0.2">
      <c r="A36" t="s">
        <v>21</v>
      </c>
      <c r="B36" s="37">
        <v>0.4719576767198812</v>
      </c>
      <c r="C36" s="38">
        <v>0.31738834428178975</v>
      </c>
      <c r="D36" s="37">
        <v>0.47197773286940131</v>
      </c>
      <c r="E36" s="38">
        <v>0.31944231280108848</v>
      </c>
      <c r="F36" s="37">
        <v>0.47199830166438572</v>
      </c>
      <c r="G36" s="38">
        <v>0.3216551518550827</v>
      </c>
      <c r="H36" s="37">
        <v>0.47201951038603152</v>
      </c>
      <c r="I36" s="38">
        <v>0.32405010973441184</v>
      </c>
      <c r="J36" s="37">
        <v>0.47204148491606535</v>
      </c>
      <c r="K36" s="38">
        <v>0.32665587175825644</v>
      </c>
      <c r="L36" s="37">
        <v>0.47206433714954432</v>
      </c>
      <c r="M36" s="38">
        <v>0.32950871077446242</v>
      </c>
      <c r="N36" s="37">
        <v>0.4720881438090711</v>
      </c>
      <c r="O36" s="38">
        <v>0.33265575083816068</v>
      </c>
      <c r="P36" s="37">
        <v>0.47211290879314577</v>
      </c>
      <c r="Q36" s="38">
        <v>0.33616012931239603</v>
      </c>
      <c r="R36" s="37">
        <v>0.47213849810842801</v>
      </c>
      <c r="S36" s="38">
        <v>0.34010936827954852</v>
      </c>
      <c r="T36" s="37">
        <v>0.47216452408449677</v>
      </c>
      <c r="U36" s="38">
        <v>0.34462949267188542</v>
      </c>
      <c r="V36" s="37">
        <v>0.47219013740060711</v>
      </c>
      <c r="W36" s="38">
        <v>0.34990974131600922</v>
      </c>
      <c r="X36" s="37">
        <v>0.4722136541583708</v>
      </c>
      <c r="Y36" s="38">
        <v>0.35624739442161008</v>
      </c>
      <c r="Z36" s="37">
        <v>0.47223192454807966</v>
      </c>
      <c r="AA36" s="38">
        <v>0.36413053817742652</v>
      </c>
      <c r="AB36" s="37">
        <v>0.47223951692611654</v>
      </c>
      <c r="AC36" s="38">
        <v>0.37438477293230504</v>
      </c>
      <c r="AD36" s="37">
        <v>0.47222886034084466</v>
      </c>
      <c r="AE36" s="38">
        <v>0.38838397840895317</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0.34962461301992531</v>
      </c>
      <c r="D37" s="39">
        <v>2.0502008905026171E-2</v>
      </c>
      <c r="E37" s="40">
        <v>0.34579503992399663</v>
      </c>
      <c r="F37" s="39">
        <v>1.9604493589849985E-2</v>
      </c>
      <c r="G37" s="40">
        <v>0.34193963060281829</v>
      </c>
      <c r="H37" s="39">
        <v>1.8709636818082489E-2</v>
      </c>
      <c r="I37" s="40">
        <v>0.33805548027946797</v>
      </c>
      <c r="J37" s="39">
        <v>1.7816124717602702E-2</v>
      </c>
      <c r="K37" s="40">
        <v>0.33413864074990934</v>
      </c>
      <c r="L37" s="39">
        <v>1.6922205473977568E-2</v>
      </c>
      <c r="M37" s="40">
        <v>0.33018351221429471</v>
      </c>
      <c r="N37" s="39">
        <v>1.6025480821631827E-2</v>
      </c>
      <c r="O37" s="40">
        <v>0.3261820566308532</v>
      </c>
      <c r="P37" s="39">
        <v>1.512260905803285E-2</v>
      </c>
      <c r="Q37" s="40">
        <v>0.32212271466218823</v>
      </c>
      <c r="R37" s="39">
        <v>1.4208886114228813E-2</v>
      </c>
      <c r="S37" s="40">
        <v>0.3179889445201794</v>
      </c>
      <c r="T37" s="39">
        <v>1.3277634424752934E-2</v>
      </c>
      <c r="U37" s="40">
        <v>0.31375722538795808</v>
      </c>
      <c r="V37" s="39">
        <v>1.2319317385016531E-2</v>
      </c>
      <c r="W37" s="40">
        <v>0.30939444209498634</v>
      </c>
      <c r="X37" s="39">
        <v>1.1320325058514769E-2</v>
      </c>
      <c r="Y37" s="40">
        <v>0.30485496107425958</v>
      </c>
      <c r="Z37" s="39">
        <v>1.0261706846883357E-2</v>
      </c>
      <c r="AA37" s="40">
        <v>0.30007960605212108</v>
      </c>
      <c r="AB37" s="39">
        <v>9.1196468832789659E-3</v>
      </c>
      <c r="AC37" s="40">
        <v>0.29500572641446937</v>
      </c>
      <c r="AD37" s="39">
        <v>7.8740924249151873E-3</v>
      </c>
      <c r="AE37" s="40">
        <v>0.28961632773116608</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0.18332865569214704</v>
      </c>
      <c r="E38" s="38">
        <v>6.1503216319022017E-2</v>
      </c>
      <c r="F38" s="37">
        <v>0.18608319324176786</v>
      </c>
      <c r="G38" s="38">
        <v>6.2524029428506087E-2</v>
      </c>
      <c r="H38" s="37">
        <v>0.18909616140181446</v>
      </c>
      <c r="I38" s="38">
        <v>6.3642077339313805E-2</v>
      </c>
      <c r="J38" s="37">
        <v>0.19242177921997936</v>
      </c>
      <c r="K38" s="38">
        <v>6.4875510280884965E-2</v>
      </c>
      <c r="L38" s="37">
        <v>0.1961330106326846</v>
      </c>
      <c r="M38" s="38">
        <v>6.6248084568370544E-2</v>
      </c>
      <c r="N38" s="37">
        <v>0.20033166033844546</v>
      </c>
      <c r="O38" s="38">
        <v>6.7791949197064744E-2</v>
      </c>
      <c r="P38" s="37">
        <v>0.20516605908557969</v>
      </c>
      <c r="Q38" s="38">
        <v>6.9552289412655594E-2</v>
      </c>
      <c r="R38" s="37">
        <v>0.21086362371227413</v>
      </c>
      <c r="S38" s="38">
        <v>7.1595549600728545E-2</v>
      </c>
      <c r="T38" s="37">
        <v>0.21779516492029766</v>
      </c>
      <c r="U38" s="38">
        <v>7.4024879844901345E-2</v>
      </c>
      <c r="V38" s="37">
        <v>0.22661314448888009</v>
      </c>
      <c r="W38" s="38">
        <v>7.7011530612911314E-2</v>
      </c>
      <c r="X38" s="37">
        <v>0.23858393029651487</v>
      </c>
      <c r="Y38" s="38">
        <v>8.0865336233084326E-2</v>
      </c>
      <c r="Z38" s="37">
        <v>0.25651887588742456</v>
      </c>
      <c r="AA38" s="38">
        <v>8.6216383550742764E-2</v>
      </c>
      <c r="AB38" s="37">
        <v>0.28808255768127916</v>
      </c>
      <c r="AC38" s="38">
        <v>9.4594577636185381E-2</v>
      </c>
      <c r="AD38" s="37">
        <v>0.36450483722680582</v>
      </c>
      <c r="AE38" s="38">
        <v>0.11127472463869219</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0.22801237754062806</v>
      </c>
      <c r="E39" s="40">
        <v>0.22150751220350789</v>
      </c>
      <c r="F39" s="39">
        <v>0.22543144799459486</v>
      </c>
      <c r="G39" s="40">
        <v>0.22224254724314474</v>
      </c>
      <c r="H39" s="39">
        <v>0.22289728805905218</v>
      </c>
      <c r="I39" s="40">
        <v>0.22314236353018613</v>
      </c>
      <c r="J39" s="39">
        <v>0.22040017324916836</v>
      </c>
      <c r="K39" s="40">
        <v>0.22422617096290848</v>
      </c>
      <c r="L39" s="39">
        <v>0.21792894983759173</v>
      </c>
      <c r="M39" s="40">
        <v>0.22551846435878306</v>
      </c>
      <c r="N39" s="39">
        <v>0.21546984115161111</v>
      </c>
      <c r="O39" s="40">
        <v>0.22705089569899894</v>
      </c>
      <c r="P39" s="39">
        <v>0.21300453053039098</v>
      </c>
      <c r="Q39" s="40">
        <v>0.22886518643950871</v>
      </c>
      <c r="R39" s="39">
        <v>0.21050713065378537</v>
      </c>
      <c r="S39" s="40">
        <v>0.23101769251954002</v>
      </c>
      <c r="T39" s="39">
        <v>0.20793915863595153</v>
      </c>
      <c r="U39" s="40">
        <v>0.2335868427942063</v>
      </c>
      <c r="V39" s="39">
        <v>0.2052410749739213</v>
      </c>
      <c r="W39" s="40">
        <v>0.23668567658329551</v>
      </c>
      <c r="X39" s="39">
        <v>0.20231806397661317</v>
      </c>
      <c r="Y39" s="40">
        <v>0.24048377524166542</v>
      </c>
      <c r="Z39" s="39">
        <v>0.19901782328729961</v>
      </c>
      <c r="AA39" s="40">
        <v>0.24524642777263778</v>
      </c>
      <c r="AB39" s="39">
        <v>0.19510615551134772</v>
      </c>
      <c r="AC39" s="40">
        <v>0.25140267394947258</v>
      </c>
      <c r="AD39" s="39">
        <v>0.19028699213747396</v>
      </c>
      <c r="AE39" s="40">
        <v>0.25964264795397762</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8.3198473444722726E-2</v>
      </c>
      <c r="E42" s="135"/>
      <c r="F42" s="177">
        <f>10.8%+(1-10.8%)*(1-SUM(F26:G26)/SUM($B$26:$C$26))</f>
        <v>5.6890842923472171E-2</v>
      </c>
      <c r="G42" s="135"/>
      <c r="H42" s="177">
        <f>10.8%+(1-10.8%)*(1-SUM(H26:I26)/SUM($B$26:$C$26))</f>
        <v>2.87820513715005E-2</v>
      </c>
      <c r="I42" s="135"/>
      <c r="J42" s="177">
        <f>10.8%+(1-10.8%)*(1-SUM(J26:K26)/SUM($B$26:$C$26))</f>
        <v>-1.5083988605203852E-3</v>
      </c>
      <c r="K42" s="135"/>
      <c r="L42" s="177">
        <f>10.8%+(1-10.8%)*(1-SUM(L26:M26)/SUM($B$26:$C$26))</f>
        <v>-3.4488437437410452E-2</v>
      </c>
      <c r="M42" s="135"/>
      <c r="N42" s="177">
        <f>10.8%+(1-10.8%)*(1-SUM(N26:O26)/SUM($B$26:$C$26))</f>
        <v>-7.086244622227858E-2</v>
      </c>
      <c r="O42" s="135"/>
      <c r="P42" s="177">
        <f>10.8%+(1-10.8%)*(1-SUM(P26:Q26)/SUM($B$26:$C$26))</f>
        <v>-0.11165228716891634</v>
      </c>
      <c r="Q42" s="135"/>
      <c r="R42" s="177">
        <f>10.8%+(1-10.8%)*(1-SUM(R26:S26)/SUM($B$26:$C$26))</f>
        <v>-0.15841900583261267</v>
      </c>
      <c r="S42" s="135"/>
      <c r="T42" s="177">
        <f>10.8%+(1-10.8%)*(1-SUM(T26:U26)/SUM($B$26:$C$26))</f>
        <v>-0.21369888150324476</v>
      </c>
      <c r="U42" s="135"/>
      <c r="V42" s="177">
        <f>10.8%+(1-10.8%)*(1-SUM(V26:W26)/SUM($B$26:$C$26))</f>
        <v>-0.28193432594297496</v>
      </c>
      <c r="W42" s="135"/>
      <c r="X42" s="177">
        <f>10.8%+(1-10.8%)*(1-SUM(X26:Y26)/SUM($B$26:$C$26))</f>
        <v>-0.3716902758861218</v>
      </c>
      <c r="Y42" s="162"/>
      <c r="Z42" s="177">
        <f>10.8%+(1-10.8%)*(1-SUM(Z26:AA26)/SUM($B$26:$C$26))</f>
        <v>-0.50179223549709218</v>
      </c>
      <c r="AA42" s="135"/>
      <c r="AB42" s="177">
        <f>10.8%+(1-10.8%)*(1-SUM(AB26:AC26)/SUM($B$26:$C$26))</f>
        <v>-0.72284064499228839</v>
      </c>
      <c r="AC42" s="135"/>
      <c r="AD42" s="177">
        <f>10.8%+(1-10.8%)*(1-SUM(AD26:AE26)/SUM($B$26:$C$26))</f>
        <v>-1.2373788629371254</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0.58122509399786282</v>
      </c>
      <c r="E43" s="135"/>
      <c r="F43" s="162">
        <f t="array" ref="F43">SUM(F15:G15*F27:G27)/SUM(F15:G15*F27:G27,F13:G13*F26:G26)</f>
        <v>0.59560144629563205</v>
      </c>
      <c r="G43" s="135"/>
      <c r="H43" s="162">
        <f t="array" ref="H43">SUM(H15:I15*H27:I27)/SUM(H15:I15*H27:I27,H13:I13*H26:I26)</f>
        <v>0.61040733353284404</v>
      </c>
      <c r="I43" s="135"/>
      <c r="J43" s="162">
        <f t="array" ref="J43">SUM(J15:K15*J27:K27)/SUM(J15:K15*J27:K27,J13:K13*J26:K26)</f>
        <v>0.62573916818480846</v>
      </c>
      <c r="K43" s="135"/>
      <c r="L43" s="162">
        <f t="array" ref="L43">SUM(L15:M15*L27:M27)/SUM(L15:M15*L27:M27,L13:M13*L26:M26)</f>
        <v>0.64172167231016197</v>
      </c>
      <c r="M43" s="135"/>
      <c r="N43" s="162">
        <f t="array" ref="N43">SUM(N15:O15*N27:O27)/SUM(N15:O15*N27:O27,N13:O13*N26:O26)</f>
        <v>0.65852285627300833</v>
      </c>
      <c r="O43" s="135"/>
      <c r="P43" s="162">
        <f t="array" ref="P43">SUM(P15:Q15*P27:Q27)/SUM(P15:Q15*P27:Q27,P13:Q13*P26:Q26)</f>
        <v>0.67637854810491682</v>
      </c>
      <c r="Q43" s="135"/>
      <c r="R43" s="162">
        <f t="array" ref="R43">SUM(R15:S15*R27:S27)/SUM(R15:S15*R27:S27,R13:S13*R26:S26)</f>
        <v>0.69563322576646858</v>
      </c>
      <c r="S43" s="135"/>
      <c r="T43" s="162">
        <f t="array" ref="T43">SUM(T15:U15*T27:U27)/SUM(T15:U15*T27:U27,T13:U13*T26:U26)</f>
        <v>0.7168109261779525</v>
      </c>
      <c r="U43" s="135"/>
      <c r="V43" s="162">
        <f t="array" ref="V43">SUM(V15:W15*V27:W27)/SUM(V15:W15*V27:W27,V13:W13*V26:W26)</f>
        <v>0.74074260994761687</v>
      </c>
      <c r="W43" s="135"/>
      <c r="X43" s="162">
        <f t="array" ref="X43">SUM(X15:Y15*X27:Y27)/SUM(X15:Y15*X27:Y27,X13:Y13*X26:Y26)</f>
        <v>0.76880247976086424</v>
      </c>
      <c r="Y43" s="135"/>
      <c r="Z43" s="162">
        <f t="array" ref="Z43">SUM(Z15:AA15*Z27:AA27)/SUM(Z15:AA15*Z27:AA27,Z13:AA13*Z26:AA26)</f>
        <v>0.80335111873297527</v>
      </c>
      <c r="AA43" s="135"/>
      <c r="AB43" s="162">
        <f t="array" ref="AB43">SUM(AB15:AC15*AB27:AC27)/SUM(AB15:AC15*AB27:AC27,AB13:AC13*AB26:AC26)</f>
        <v>0.84852019195677397</v>
      </c>
      <c r="AC43" s="135"/>
      <c r="AD43" s="162">
        <f t="array" ref="AD43">SUM(AD15:AE15*AD27:AE27)/SUM(AD15:AE15*AD27:AE27,AD13:AE13*AD26:AE26)</f>
        <v>0.91128183491885761</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0.29754226239514986</v>
      </c>
      <c r="F44" s="193">
        <f>(SUM(F11:G11*F24:G24)+F34)/F32</f>
        <v>0.29754226260187017</v>
      </c>
      <c r="H44" s="193">
        <f>(SUM(H11:I11*H24:I24)+H34)/H32</f>
        <v>0.29754226188720928</v>
      </c>
      <c r="J44" s="193">
        <f>(SUM(J11:K11*J24:K24)+J34)/J32</f>
        <v>0.29754226119945998</v>
      </c>
      <c r="L44" s="193">
        <f>(SUM(L11:M11*L24:M24)+L34)/L32</f>
        <v>0.2975422619387611</v>
      </c>
      <c r="N44" s="193">
        <f>(SUM(N11:O11*N24:O24)+N34)/N32</f>
        <v>0.29754226161651376</v>
      </c>
      <c r="P44" s="193">
        <f>(SUM(P11:Q11*P24:Q24)+P34)/P32</f>
        <v>0.29754226173925935</v>
      </c>
      <c r="R44" s="193">
        <f>(SUM(R11:S11*R24:S24)+R34)/R32</f>
        <v>0.29754226179217463</v>
      </c>
      <c r="T44" s="193">
        <f>(SUM(T11:U11*T24:U24)+T34)/T32</f>
        <v>0.29754226180319709</v>
      </c>
      <c r="V44" s="193">
        <f>(SUM(V11:W11*V24:W24)+V34)/V32</f>
        <v>0.29754226189590433</v>
      </c>
      <c r="X44" s="193">
        <f>(SUM(X11:Y11*X24:Y24)+X34)/X32</f>
        <v>0.29754226196454392</v>
      </c>
      <c r="Z44" s="193">
        <f>(SUM(Z11:AA11*Z24:AA24)+Z34)/Z32</f>
        <v>0.29754226191612709</v>
      </c>
      <c r="AB44" s="193">
        <f>(SUM(AB11:AC11*AB24:AC24)+AB34)/AB32</f>
        <v>0.29754226192398409</v>
      </c>
      <c r="AD44" s="193">
        <f>(SUM(AD11:AE11*AD24:AE24)+AD34)/AD32</f>
        <v>0.29754226134225642</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0.22038438808291885</v>
      </c>
      <c r="F45" s="193">
        <f>SUM(F11:G11*F24:G24)/F32</f>
        <v>0.22038438799781895</v>
      </c>
      <c r="H45" s="193">
        <f>SUM(H11:I11*H24:I24)/H32</f>
        <v>0.22038438833471072</v>
      </c>
      <c r="J45" s="193">
        <f>SUM(J11:K11*J24:K24)/J32</f>
        <v>0.22038438825468529</v>
      </c>
      <c r="L45" s="193">
        <f>SUM(L11:M11*L24:M24)/L32</f>
        <v>0.22038438833332494</v>
      </c>
      <c r="N45" s="193">
        <f>SUM(N11:O11*N24:O24)/N32</f>
        <v>0.22038438830234103</v>
      </c>
      <c r="P45" s="193">
        <f>SUM(P11:Q11*P24:Q24)/P32</f>
        <v>0.22038438831644763</v>
      </c>
      <c r="R45" s="193">
        <f>SUM(R11:S11*R24:S24)/R32</f>
        <v>0.22038438832239818</v>
      </c>
      <c r="T45" s="193">
        <f>SUM(T11:U11*T24:U24)/T32</f>
        <v>0.22038438832416354</v>
      </c>
      <c r="V45" s="193">
        <f>SUM(V11:W11*V24:W24)/V32</f>
        <v>0.22038438832849461</v>
      </c>
      <c r="X45" s="193">
        <f>SUM(X11:Y11*X24:Y24)/X32</f>
        <v>0.22038438833105189</v>
      </c>
      <c r="Z45" s="193">
        <f>SUM(Z11:AA11*Z24:AA24)/Z32</f>
        <v>0.22038438832332352</v>
      </c>
      <c r="AB45" s="193">
        <f>SUM(AB11:AC11*AB24:AC24)/AB32</f>
        <v>0.22038438833187907</v>
      </c>
      <c r="AD45" s="193">
        <f>SUM(AD11:AE11*AD24:AE24)/AD32</f>
        <v>0.22038438832017013</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7.715787431223102E-2</v>
      </c>
      <c r="F46" s="193">
        <f>F34/F32</f>
        <v>7.7157874604051213E-2</v>
      </c>
      <c r="H46" s="193">
        <f>H34/H32</f>
        <v>7.7157873552498535E-2</v>
      </c>
      <c r="J46" s="193">
        <f>J34/J32</f>
        <v>7.7157872944774664E-2</v>
      </c>
      <c r="L46" s="193">
        <f>L34/L32</f>
        <v>7.7157873605436134E-2</v>
      </c>
      <c r="N46" s="193">
        <f>N34/N32</f>
        <v>7.715787331417269E-2</v>
      </c>
      <c r="P46" s="193">
        <f>P34/P32</f>
        <v>7.7157873422811718E-2</v>
      </c>
      <c r="R46" s="193">
        <f>R34/R32</f>
        <v>7.7157873469776442E-2</v>
      </c>
      <c r="T46" s="193">
        <f>T34/T32</f>
        <v>7.7157873479033509E-2</v>
      </c>
      <c r="V46" s="193">
        <f>V34/V32</f>
        <v>7.7157873567409718E-2</v>
      </c>
      <c r="X46" s="193">
        <f>X34/X32</f>
        <v>7.7157873633491983E-2</v>
      </c>
      <c r="Z46" s="193">
        <f>Z34/Z32</f>
        <v>7.7157873592803586E-2</v>
      </c>
      <c r="AB46" s="193">
        <f>AB34/AB32</f>
        <v>7.7157873592104978E-2</v>
      </c>
      <c r="AD46" s="193">
        <f>AD34/AD32</f>
        <v>7.7157873022086335E-2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1.0164990207312847</v>
      </c>
      <c r="E48" s="191"/>
      <c r="F48" s="191">
        <f>F24/$B$24</f>
        <v>1.0331011501444283</v>
      </c>
      <c r="G48" s="191"/>
      <c r="H48" s="191">
        <f>H24/$B$24</f>
        <v>1.0498458906396617</v>
      </c>
      <c r="I48" s="191"/>
      <c r="J48" s="191">
        <f>J24/$B$24</f>
        <v>1.0667804469311677</v>
      </c>
      <c r="K48" s="191"/>
      <c r="L48" s="191">
        <f>L24/$B$24</f>
        <v>1.0839655753598916</v>
      </c>
      <c r="M48" s="191"/>
      <c r="N48" s="191">
        <f>N24/$B$24</f>
        <v>1.1014848836850708</v>
      </c>
      <c r="O48" s="191"/>
      <c r="P48" s="191">
        <f>P24/$B$24</f>
        <v>1.1194608359153373</v>
      </c>
      <c r="Q48" s="191"/>
      <c r="R48" s="191">
        <f>R24/$B$24</f>
        <v>1.1380816150904112</v>
      </c>
      <c r="S48" s="191"/>
      <c r="T48" s="191">
        <f>T24/$B$24</f>
        <v>1.1576486364452203</v>
      </c>
      <c r="U48" s="191"/>
      <c r="V48" s="191">
        <f>V24/$B$24</f>
        <v>1.178662155685481</v>
      </c>
      <c r="W48" s="191"/>
      <c r="X48" s="191">
        <f>X24/$B$24</f>
        <v>1.201978505613799</v>
      </c>
      <c r="Y48" s="191"/>
      <c r="Z48" s="191">
        <f>Z24/$B$24</f>
        <v>1.2290939805550234</v>
      </c>
      <c r="AA48" s="191"/>
      <c r="AB48" s="191">
        <f>AB24/$B$24</f>
        <v>1.2625927573632072</v>
      </c>
      <c r="AC48" s="191"/>
      <c r="AD48" s="191">
        <f>AD24/$B$24</f>
        <v>1.3064984465800014</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0.95258421027298856</v>
      </c>
      <c r="E49" s="191"/>
      <c r="F49" s="191">
        <f>F13/F35/$B$13*$B$35</f>
        <v>0.9043464202109569</v>
      </c>
      <c r="G49" s="191"/>
      <c r="H49" s="191">
        <f>H13/H35/$B$13*$B$35</f>
        <v>0.85511997155824893</v>
      </c>
      <c r="I49" s="191"/>
      <c r="J49" s="191">
        <f>J13/J35/$B$13*$B$35</f>
        <v>0.80470464697903288</v>
      </c>
      <c r="K49" s="191"/>
      <c r="L49" s="191">
        <f>L13/L35/$B$13*$B$35</f>
        <v>0.75284830877042785</v>
      </c>
      <c r="M49" s="191"/>
      <c r="N49" s="191">
        <f>N13/N35/$B$13*$B$35</f>
        <v>0.69921981559532731</v>
      </c>
      <c r="O49" s="191"/>
      <c r="P49" s="191">
        <f>P13/P35/$B$13*$B$35</f>
        <v>0.64336670353217318</v>
      </c>
      <c r="Q49" s="191"/>
      <c r="R49" s="191">
        <f>R13/R35/$B$13*$B$35</f>
        <v>0.58465016482309629</v>
      </c>
      <c r="S49" s="191"/>
      <c r="T49" s="191">
        <f>T13/T35/$B$13*$B$35</f>
        <v>0.52214382888897537</v>
      </c>
      <c r="U49" s="191"/>
      <c r="V49" s="191">
        <f>V13/V35/$B$13*$B$35</f>
        <v>0.45448097852447539</v>
      </c>
      <c r="W49" s="191"/>
      <c r="X49" s="191">
        <f>X13/X35/$B$13*$B$35</f>
        <v>0.3796492426732711</v>
      </c>
      <c r="Y49" s="191"/>
      <c r="Z49" s="191">
        <f>Z13/Z35/$B$13*$B$35</f>
        <v>0.29484655890411543</v>
      </c>
      <c r="AA49" s="191"/>
      <c r="AB49" s="191">
        <f>AB13/AB35/$B$13*$B$35</f>
        <v>0.19709475828652778</v>
      </c>
      <c r="AC49" s="191"/>
      <c r="AD49" s="191">
        <f>AD13/AD35/$B$13*$B$35</f>
        <v>8.7809314829792845E-2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-413805.81084740162</v>
      </c>
      <c r="F51" s="29">
        <f>F30-F10*F23</f>
        <v>-421904.77455758909</v>
      </c>
      <c r="H51" s="29">
        <f>H30-H10*H23</f>
        <v>-430160.70139848348</v>
      </c>
      <c r="J51" s="29">
        <f>J30-J10*J23</f>
        <v>-438606.48690728704</v>
      </c>
      <c r="L51" s="29">
        <f>L30-L10*L23</f>
        <v>-447287.77555821557</v>
      </c>
      <c r="N51" s="29">
        <f>N30-N10*N23</f>
        <v>-456270.56709515536</v>
      </c>
      <c r="P51" s="29">
        <f>P30-P10*P23</f>
        <v>-465655.54097256344</v>
      </c>
      <c r="R51" s="29">
        <f>R30-R10*R23</f>
        <v>-475601.04453529092</v>
      </c>
      <c r="T51" s="29">
        <f>T30-T10*T23</f>
        <v>-486364.86766968109</v>
      </c>
      <c r="V51" s="29">
        <f>V30-V10*V23</f>
        <v>-498380.2788115493</v>
      </c>
      <c r="X51" s="29">
        <f>X30-X10*X23</f>
        <v>-512399.30713768536</v>
      </c>
      <c r="Z51" s="29">
        <f>Z30-Z10*Z23</f>
        <v>-529764.37767464807</v>
      </c>
      <c r="AB51" s="29">
        <f>AB30-AB10*AB23</f>
        <v>-552885.20190605754</v>
      </c>
      <c r="AD51" s="29">
        <f>AD30-AD10*AD23</f>
        <v>-585829.39386935951</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2010805.6826332379</v>
      </c>
      <c r="F52" s="29">
        <f t="array" ref="F52">Calibration!sL*SUM(F13:G13*F26:G26)</f>
        <v>1968833.8968613422</v>
      </c>
      <c r="H52" s="29">
        <f t="array" ref="H52">Calibration!sL*SUM(H13:I13*H26:I26)</f>
        <v>1922917.4757437003</v>
      </c>
      <c r="J52" s="29">
        <f t="array" ref="J52">Calibration!sL*SUM(J13:K13*J26:K26)</f>
        <v>1872534.3434691757</v>
      </c>
      <c r="L52" s="29">
        <f t="array" ref="L52">Calibration!sL*SUM(L13:M13*L26:M26)</f>
        <v>1817008.8092671011</v>
      </c>
      <c r="N52" s="29">
        <f t="array" ref="N52">Calibration!sL*SUM(N13:O13*N26:O26)</f>
        <v>1755436.1709623889</v>
      </c>
      <c r="P52" s="29">
        <f t="array" ref="P52">Calibration!sL*SUM(P13:Q13*P26:Q26)</f>
        <v>1686556.54192535</v>
      </c>
      <c r="R52" s="29">
        <f t="array" ref="R52">Calibration!sL*SUM(R13:S13*R26:S26)</f>
        <v>1608536.6295214605</v>
      </c>
      <c r="T52" s="29">
        <f t="array" ref="T52">Calibration!sL*SUM(T13:U13*T26:U26)</f>
        <v>1518576.8853558798</v>
      </c>
      <c r="V52" s="29">
        <f t="array" ref="V52">Calibration!sL*SUM(V13:W13*V26:W26)</f>
        <v>1412172.2815489846</v>
      </c>
      <c r="X52" s="29">
        <f t="array" ref="X52">Calibration!sL*SUM(X13:Y13*X26:Y26)</f>
        <v>1281654.8574787513</v>
      </c>
      <c r="Z52" s="29">
        <f t="array" ref="Z52">Calibration!sL*SUM(Z13:AA13*Z26:AA26)</f>
        <v>1113209.717205815</v>
      </c>
      <c r="AB52" s="29">
        <f t="array" ref="AB52">Calibration!sL*SUM(AB13:AC13*AB26:AC26)</f>
        <v>880769.01503677643</v>
      </c>
      <c r="AD52" s="29">
        <f t="array" ref="AD52">Calibration!sL*SUM(AD13:AE13*AD26:AE26)</f>
        <v>534818.41629185888</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2848086.6499643489</v>
      </c>
      <c r="F53" s="29">
        <f t="array" ref="F53">Calibration!sK*SUM(F15:G15*F27:G27)</f>
        <v>2959202.0249256459</v>
      </c>
      <c r="H53" s="29">
        <f t="array" ref="H53">Calibration!sK*SUM(H15:I15*H27:I27)</f>
        <v>3074602.6939602005</v>
      </c>
      <c r="J53" s="29">
        <f t="array" ref="J53">Calibration!sK*SUM(J15:K15*J27:K27)</f>
        <v>3194979.9811348426</v>
      </c>
      <c r="L53" s="29">
        <f t="array" ref="L53">Calibration!sK*SUM(L15:M15*L27:M27)</f>
        <v>3321257.809990495</v>
      </c>
      <c r="N53" s="29">
        <f t="array" ref="N53">Calibration!sK*SUM(N15:O15*N27:O27)</f>
        <v>3454726.2789342841</v>
      </c>
      <c r="P53" s="29">
        <f t="array" ref="P53">Calibration!sK*SUM(P15:Q15*P27:Q27)</f>
        <v>3597268.1816712073</v>
      </c>
      <c r="R53" s="29">
        <f t="array" ref="R53">Calibration!sK*SUM(R15:S15*R27:S27)</f>
        <v>3751745.9150949013</v>
      </c>
      <c r="T53" s="29">
        <f t="array" ref="T53">Calibration!sK*SUM(T15:U15*T27:U27)</f>
        <v>3922692.780403377</v>
      </c>
      <c r="V53" s="29">
        <f t="array" ref="V53">Calibration!sK*SUM(V15:W15*V27:W27)</f>
        <v>4117591.4474970349</v>
      </c>
      <c r="X53" s="29">
        <f t="array" ref="X53">Calibration!sK*SUM(X15:Y15*X27:Y27)</f>
        <v>4349327.184116723</v>
      </c>
      <c r="Z53" s="29">
        <f t="array" ref="Z53">Calibration!sK*SUM(Z15:AA15*Z27:AA27)</f>
        <v>4640986.4348510215</v>
      </c>
      <c r="AB53" s="29">
        <f t="array" ref="AB53">Calibration!sK*SUM(AB15:AC15*AB27:AC27)</f>
        <v>5034876.8339565573</v>
      </c>
      <c r="AD53" s="29">
        <f t="array" ref="AD53">Calibration!sK*SUM(AD15:AE15*AD27:AE27)</f>
        <v>5606165.3609628165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0.19834714504265305</v>
      </c>
      <c r="F55" s="193">
        <f>F30/F32</f>
        <v>0.19818760579391062</v>
      </c>
      <c r="H55" s="193">
        <f>H30/H32</f>
        <v>0.19802323220717605</v>
      </c>
      <c r="J55" s="193">
        <f>J30/J32</f>
        <v>0.1978529521420572</v>
      </c>
      <c r="L55" s="193">
        <f>L30/L32</f>
        <v>0.19767536318225684</v>
      </c>
      <c r="N55" s="193">
        <f>N30/N32</f>
        <v>0.19748859733445884</v>
      </c>
      <c r="P55" s="193">
        <f>P30/P32</f>
        <v>0.19729001147494615</v>
      </c>
      <c r="R55" s="193">
        <f>R30/R32</f>
        <v>0.19707575666889451</v>
      </c>
      <c r="T55" s="193">
        <f>T30/T32</f>
        <v>0.19683997173688494</v>
      </c>
      <c r="V55" s="193">
        <f>V30/V32</f>
        <v>0.19657335742005566</v>
      </c>
      <c r="X55" s="193">
        <f>X30/X32</f>
        <v>0.19626052815329706</v>
      </c>
      <c r="Z55" s="193">
        <f>Z30/Z32</f>
        <v>0.19587502101145812</v>
      </c>
      <c r="AB55" s="193">
        <f>AB30/AB32</f>
        <v>0.19537045293421712</v>
      </c>
      <c r="AD55" s="193">
        <f>AD30/AD32</f>
        <v>0.19466831737505766</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3.4273919327448762E-2</v>
      </c>
      <c r="F56" s="193">
        <f>(Model!$C$52*F5*F20+F2*G5*G20)/F32</f>
        <v>3.9452892590263883E-2</v>
      </c>
      <c r="H56" s="193">
        <f>(Model!$C$52*H5*H20+H2*I5*I20)/H32</f>
        <v>4.4786227197215971E-2</v>
      </c>
      <c r="J56" s="193">
        <f>(Model!$C$52*J5*J20+J2*K5*K20)/J32</f>
        <v>5.0308722030568818E-2</v>
      </c>
      <c r="L56" s="193">
        <f>(Model!$C$52*L5*L20+L2*M5*M20)/L32</f>
        <v>5.6065271628031196E-2</v>
      </c>
      <c r="N56" s="193">
        <f>(Model!$C$52*N5*N20+N2*O5*O20)/N32</f>
        <v>6.2116245442153668E-2</v>
      </c>
      <c r="P56" s="193">
        <f>(Model!$C$52*P5*P20+P2*Q5*Q20)/P32</f>
        <v>6.8546180338898893E-2</v>
      </c>
      <c r="R56" s="193">
        <f>(Model!$C$52*R5*R20+R2*S5*S20)/R32</f>
        <v>7.5478356243370057E-2</v>
      </c>
      <c r="T56" s="193">
        <f>(Model!$C$52*T5*T20+T2*U5*U20)/T32</f>
        <v>8.3100051143454826E-2</v>
      </c>
      <c r="V56" s="193">
        <f>(Model!$C$52*V5*V20+V2*W5*W20)/V32</f>
        <v>9.170796526799517E-2</v>
      </c>
      <c r="X56" s="193">
        <f>(Model!$C$52*X5*X20+X2*Y5*Y20)/X32</f>
        <v>0.10179259886808766</v>
      </c>
      <c r="Z56" s="193">
        <f>(Model!$C$52*Z5*Z20+Z2*AA5*AA20)/Z32</f>
        <v>0.11419676653268282</v>
      </c>
      <c r="AB56" s="193">
        <f>(Model!$C$52*AB5*AB20+AB2*AC5*AC20)/AB32</f>
        <v>0.13039739358551627</v>
      </c>
      <c r="AD56" s="193">
        <f>(Model!$C$52*AD5*AD20+AD2*AE5*AE20)/AD32</f>
        <v>0.15289364848795731</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0.15342157807411735</v>
      </c>
      <c r="F57" s="193">
        <f t="array" ref="F57">SUM(Model!tauL*F13:G13*F26:G26)/F32</f>
        <v>0.14818416908783066</v>
      </c>
      <c r="H57" s="193">
        <f t="array" ref="H57">SUM(Model!tauL*H13:I13*H26:I26)/H32</f>
        <v>0.1427881004884432</v>
      </c>
      <c r="J57" s="193">
        <f t="array" ref="J57">SUM(Model!tauL*J13:K13*J26:K26)/J32</f>
        <v>0.13719801371732515</v>
      </c>
      <c r="L57" s="193">
        <f t="array" ref="L57">SUM(Model!tauL*L13:M13*L26:M26)/L32</f>
        <v>0.131368161678627</v>
      </c>
      <c r="N57" s="193">
        <f t="array" ref="N57">SUM(Model!tauL*N13:O13*N26:O26)/N32</f>
        <v>0.12523689962028584</v>
      </c>
      <c r="P57" s="193">
        <f t="array" ref="P57">SUM(Model!tauL*P13:Q13*P26:Q26)/P32</f>
        <v>0.11871768644777801</v>
      </c>
      <c r="R57" s="193">
        <f t="array" ref="R57">SUM(Model!tauL*R13:S13*R26:S26)/R32</f>
        <v>0.11168407921472423</v>
      </c>
      <c r="T57" s="193">
        <f t="array" ref="T57">SUM(Model!tauL*T13:U13*T26:U26)/T32</f>
        <v>0.10394366716320615</v>
      </c>
      <c r="V57" s="193">
        <f t="array" ref="V57">SUM(Model!tauL*V13:W13*V26:W26)/V32</f>
        <v>9.5191205959367697E-2</v>
      </c>
      <c r="X57" s="193">
        <f t="array" ref="X57">SUM(Model!tauL*X13:Y13*X26:Y26)/X32</f>
        <v>8.4921552296882336E-2</v>
      </c>
      <c r="Y57" s="193"/>
      <c r="Z57" s="193">
        <f t="array" ref="Z57">SUM(Model!tauL*Z13:AA13*Z26:AA26)/Z32</f>
        <v>7.2266078165094089E-2</v>
      </c>
      <c r="AB57" s="193">
        <f t="array" ref="AB57">SUM(Model!tauL*AB13:AC13*AB26:AC26)/AB32</f>
        <v>5.5701921604913406E-2</v>
      </c>
      <c r="AD57" s="193">
        <f t="array" ref="AD57">SUM(Model!tauL*AD13:AE13*AD26:AE26)/AD32</f>
        <v>3.2651775020176875E-2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1.065164764108693E-2</v>
      </c>
      <c r="F58" s="193">
        <f t="array" ref="F58">SUM(Model!tauY/(1+Model!tauY)*F3:G3*F18:G18)/F32</f>
        <v>1.0550544115816103E-2</v>
      </c>
      <c r="H58" s="193">
        <f t="array" ref="H58">SUM(Model!tauY/(1+Model!tauY)*H3:I3*H18:I18)/H32</f>
        <v>1.0448904521516852E-2</v>
      </c>
      <c r="J58" s="193">
        <f t="array" ref="J58">SUM(Model!tauY/(1+Model!tauY)*J3:K3*J18:K18)/J32</f>
        <v>1.0346216394163239E-2</v>
      </c>
      <c r="L58" s="193">
        <f t="array" ref="L58">SUM(Model!tauY/(1+Model!tauY)*L3:M3*L18:M18)/L32</f>
        <v>1.0241929875598644E-2</v>
      </c>
      <c r="N58" s="193">
        <f t="array" ref="N58">SUM(Model!tauY/(1+Model!tauY)*N3:O3*N18:O18)/N32</f>
        <v>1.0135452272019346E-2</v>
      </c>
      <c r="P58" s="193">
        <f t="array" ref="P58">SUM(Model!tauY/(1+Model!tauY)*P3:Q3*P18:Q18)/P32</f>
        <v>1.002614468826925E-2</v>
      </c>
      <c r="R58" s="193">
        <f t="array" ref="R58">SUM(Model!tauY/(1+Model!tauY)*R3:S3*R18:S18)/R32</f>
        <v>9.9133212108002064E-3</v>
      </c>
      <c r="T58" s="193">
        <f t="array" ref="T58">SUM(Model!tauY/(1+Model!tauY)*T3:U3*T18:U18)/T32</f>
        <v>9.7962534302239498E-3</v>
      </c>
      <c r="V58" s="193">
        <f t="array" ref="V58">SUM(Model!tauY/(1+Model!tauY)*V3:W3*V18:W18)/V32</f>
        <v>9.6741861926927866E-3</v>
      </c>
      <c r="X58" s="193">
        <f t="array" ref="X58">SUM(Model!tauY/(1+Model!tauY)*X3:Y3*X18:Y18)/X32</f>
        <v>9.5463769883270769E-3</v>
      </c>
      <c r="Y58" s="193"/>
      <c r="Z58" s="193">
        <f t="array" ref="Z58">SUM(Model!tauY/(1+Model!tauY)*Z3:AA3*Z18:AA18)/Z32</f>
        <v>9.4121763136812298E-3</v>
      </c>
      <c r="AB58" s="193">
        <f t="array" ref="AB58">SUM(Model!tauY/(1+Model!tauY)*AB3:AC3*AB18:AC18)/AB32</f>
        <v>9.2711377437874262E-3</v>
      </c>
      <c r="AD58" s="193">
        <f t="array" ref="AD58">SUM(Model!tauY/(1+Model!tauY)*AD3:AE3*AD18:AE18)/AD32</f>
        <v>9.122893866923474E-3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5.6767235573023907E-3</v>
      </c>
      <c r="F59" s="193">
        <f>(F2*G5*G20)/F32</f>
        <v>1.0927564399788915E-2</v>
      </c>
      <c r="H59" s="193">
        <f>(H2*I5*I20)/H32</f>
        <v>1.6332586144838377E-2</v>
      </c>
      <c r="J59" s="193">
        <f>(J2*K5*K20)/J32</f>
        <v>2.192684580914625E-2</v>
      </c>
      <c r="L59" s="193">
        <f>(L2*M5*M20)/L32</f>
        <v>2.7755562406419503E-2</v>
      </c>
      <c r="N59" s="193">
        <f>(N2*O5*O20)/N32</f>
        <v>3.3879544127111805E-2</v>
      </c>
      <c r="P59" s="193">
        <f>(P2*Q5*Q20)/P32</f>
        <v>4.0383958944465205E-2</v>
      </c>
      <c r="R59" s="193">
        <f>(R2*S5*S20)/R32</f>
        <v>4.7393043038450815E-2</v>
      </c>
      <c r="T59" s="193">
        <f>(T2*U5*U20)/T32</f>
        <v>5.5095588450082091E-2</v>
      </c>
      <c r="V59" s="193">
        <f>(V2*W5*W20)/V32</f>
        <v>6.3790788990408451E-2</v>
      </c>
      <c r="X59" s="193">
        <f>(X2*Y5*Y20)/X32</f>
        <v>7.3973402806116625E-2</v>
      </c>
      <c r="Z59" s="193">
        <f>(Z2*AA5*AA20)/Z32</f>
        <v>8.6493725529233928E-2</v>
      </c>
      <c r="AB59" s="193">
        <f>(AB2*AC5*AC20)/AB32</f>
        <v>0.10284186375133517</v>
      </c>
      <c r="AD59" s="193">
        <f>(AD2*AE5*AE20)/AD32</f>
        <v>0.1255386473284916</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2.8597195770146376E-2</v>
      </c>
      <c r="F60" s="193">
        <f>Model!$C$52*F5*F20/F32</f>
        <v>2.8525328190474972E-2</v>
      </c>
      <c r="H60" s="193">
        <f>Model!$C$52*H5*H20/H32</f>
        <v>2.8453641052377594E-2</v>
      </c>
      <c r="J60" s="193">
        <f>Model!$C$52*J5*J20/J32</f>
        <v>2.8381876221422565E-2</v>
      </c>
      <c r="L60" s="193">
        <f>Model!$C$52*L5*L20/L32</f>
        <v>2.830970922161169E-2</v>
      </c>
      <c r="N60" s="193">
        <f>Model!$C$52*N5*N20/N32</f>
        <v>2.8236701315041864E-2</v>
      </c>
      <c r="P60" s="193">
        <f>Model!$C$52*P5*P20/P32</f>
        <v>2.8162221394433685E-2</v>
      </c>
      <c r="R60" s="193">
        <f>Model!$C$52*R5*R20/R32</f>
        <v>2.8085313204919238E-2</v>
      </c>
      <c r="T60" s="193">
        <f>Model!$C$52*T5*T20/T32</f>
        <v>2.8004462693372738E-2</v>
      </c>
      <c r="V60" s="193">
        <f>Model!$C$52*V5*V20/V32</f>
        <v>2.7917176277586733E-2</v>
      </c>
      <c r="X60" s="193">
        <f>Model!$C$52*X5*X20/X32</f>
        <v>2.7819196061971019E-2</v>
      </c>
      <c r="Z60" s="193">
        <f>Model!$C$52*Z5*Z20/Z32</f>
        <v>2.7703041003448892E-2</v>
      </c>
      <c r="AB60" s="193">
        <f>Model!$C$52*AB5*AB20/AB32</f>
        <v>2.7555529834181119E-2</v>
      </c>
      <c r="AD60" s="193">
        <f>Model!$C$52*AD5*AD20/AD32</f>
        <v>2.7355001159465712E-2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0.91870429077914462</v>
      </c>
      <c r="F62">
        <f>F13/F15</f>
        <v>0.84160182716734411</v>
      </c>
      <c r="H62">
        <f>H13/H15</f>
        <v>0.76822618465540093</v>
      </c>
      <c r="J62">
        <f>J13/J15</f>
        <v>0.69813789744990051</v>
      </c>
      <c r="L62">
        <f>L13/L15</f>
        <v>0.63090354392826209</v>
      </c>
      <c r="N62">
        <f>N13/N15</f>
        <v>0.56607225758444002</v>
      </c>
      <c r="P62">
        <f>P13/P15</f>
        <v>0.50314514257979692</v>
      </c>
      <c r="R62">
        <f>R13/R15</f>
        <v>0.44153590307474339</v>
      </c>
      <c r="T62">
        <f>T13/T15</f>
        <v>0.38051843188568274</v>
      </c>
      <c r="V62">
        <f>V13/V15</f>
        <v>0.31916320278148869</v>
      </c>
      <c r="X62">
        <f>X13/X15</f>
        <v>0.25628731444089148</v>
      </c>
      <c r="Z62">
        <f>Z13/Z15</f>
        <v>0.19054212218952099</v>
      </c>
      <c r="AB62">
        <f>AB13/AB15</f>
        <v>0.12113293202336728</v>
      </c>
      <c r="AD62">
        <f>AD13/AD15</f>
        <v>5.0866876606983656E-2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0.9976803986721422</v>
      </c>
      <c r="E65" s="191"/>
      <c r="F65" s="191">
        <f t="array" ref="F65">SQRT((F9:G9*$B$22:$C$22+F10:G10*$B$23:$C$23+F11:G11*$B$24:$C$24+F4:G4*($B$25:$C$25-$B$19:$C$19))/($B$9:$C$9*$B$22:$C$22+$B$10:$C$10*$B$23:$C$23+$B$11:$C$11*$B$24:$C$24+$B$4:$C$4*($B$25:$C$25-$B$19:$C$19))*(F9:G9*F22:G22+F10:G10*F23:G23+F11:G11*F24:G24+F4:G4*(F25:G25-F19:G19))/($B$9:$C$9*F22:G22+$B$10:$C$10*F23:G23+$B$11:$C$11*F24:G24+$B$4:$C$4*(F25:G25-F19:G19)))</f>
        <v>0.99536529856605627</v>
      </c>
      <c r="G65" s="191"/>
      <c r="H65" s="191">
        <f t="array" ref="H65">SQRT((H9:I9*$B$22:$C$22+H10:I10*$B$23:$C$23+H11:I11*$B$24:$C$24+H4:I4*($B$25:$C$25-$B$19:$C$19))/($B$9:$C$9*$B$22:$C$22+$B$10:$C$10*$B$23:$C$23+$B$11:$C$11*$B$24:$C$24+$B$4:$C$4*($B$25:$C$25-$B$19:$C$19))*(H9:I9*H22:I22+H10:I10*H23:I23+H11:I11*H24:I24+H4:I4*(H25:I25-H19:I19))/($B$9:$C$9*H22:I22+$B$10:$C$10*H23:I23+$B$11:$C$11*H24:I24+$B$4:$C$4*(H25:I25-H19:I19)))</f>
        <v>0.99304156921383746</v>
      </c>
      <c r="I65" s="191"/>
      <c r="J65" s="191">
        <f t="array" ref="J65">SQRT((J9:K9*$B$22:$C$22+J10:K10*$B$23:$C$23+J11:K11*$B$24:$C$24+J4:K4*($B$25:$C$25-$B$19:$C$19))/($B$9:$C$9*$B$22:$C$22+$B$10:$C$10*$B$23:$C$23+$B$11:$C$11*$B$24:$C$24+$B$4:$C$4*($B$25:$C$25-$B$19:$C$19))*(J9:K9*J22:K22+J10:K10*J23:K23+J11:K11*J24:K24+J4:K4*(J25:K25-J19:K19))/($B$9:$C$9*J22:K22+$B$10:$C$10*J23:K23+$B$11:$C$11*J24:K24+$B$4:$C$4*(J25:K25-J19:K19)))</f>
        <v>0.99069762582141585</v>
      </c>
      <c r="K65" s="191"/>
      <c r="L65" s="191">
        <f t="array" ref="L65">SQRT((L9:M9*$B$22:$C$22+L10:M10*$B$23:$C$23+L11:M11*$B$24:$C$24+L4:M4*($B$25:$C$25-$B$19:$C$19))/($B$9:$C$9*$B$22:$C$22+$B$10:$C$10*$B$23:$C$23+$B$11:$C$11*$B$24:$C$24+$B$4:$C$4*($B$25:$C$25-$B$19:$C$19))*(L9:M9*L22:M22+L10:M10*L23:M23+L11:M11*L24:M24+L4:M4*(L25:M25-L19:M19))/($B$9:$C$9*L22:M22+$B$10:$C$10*L23:M23+$B$11:$C$11*L24:M24+$B$4:$C$4*(L25:M25-L19:M19)))</f>
        <v>0.98832457067133506</v>
      </c>
      <c r="M65" s="191"/>
      <c r="N65" s="191">
        <f t="array" ref="N65">SQRT((N9:O9*$B$22:$C$22+N10:O10*$B$23:$C$23+N11:O11*$B$24:$C$24+N4:O4*($B$25:$C$25-$B$19:$C$19))/($B$9:$C$9*$B$22:$C$22+$B$10:$C$10*$B$23:$C$23+$B$11:$C$11*$B$24:$C$24+$B$4:$C$4*($B$25:$C$25-$B$19:$C$19))*(N9:O9*N22:O22+N10:O10*N23:O23+N11:O11*N24:O24+N4:O4*(N25:O25-N19:O19))/($B$9:$C$9*N22:O22+$B$10:$C$10*N23:O23+$B$11:$C$11*N24:O24+$B$4:$C$4*(N25:O25-N19:O19)))</f>
        <v>0.98591806919574609</v>
      </c>
      <c r="O65" s="191"/>
      <c r="P65" s="191">
        <f t="array" ref="P65">SQRT((P9:Q9*$B$22:$C$22+P10:Q10*$B$23:$C$23+P11:Q11*$B$24:$C$24+P4:Q4*($B$25:$C$25-$B$19:$C$19))/($B$9:$C$9*$B$22:$C$22+$B$10:$C$10*$B$23:$C$23+$B$11:$C$11*$B$24:$C$24+$B$4:$C$4*($B$25:$C$25-$B$19:$C$19))*(P9:Q9*P22:Q22+P10:Q10*P23:Q23+P11:Q11*P24:Q24+P4:Q4*(P25:Q25-P19:Q19))/($B$9:$C$9*P22:Q22+$B$10:$C$10*P23:Q23+$B$11:$C$11*P24:Q24+$B$4:$C$4*(P25:Q25-P19:Q19)))</f>
        <v>0.98348143187604886</v>
      </c>
      <c r="Q65" s="191"/>
      <c r="R65" s="191">
        <f t="array" ref="R65">SQRT((R9:S9*$B$22:$C$22+R10:S10*$B$23:$C$23+R11:S11*$B$24:$C$24+R4:S4*($B$25:$C$25-$B$19:$C$19))/($B$9:$C$9*$B$22:$C$22+$B$10:$C$10*$B$23:$C$23+$B$11:$C$11*$B$24:$C$24+$B$4:$C$4*($B$25:$C$25-$B$19:$C$19))*(R9:S9*R22:S22+R10:S10*R23:S23+R11:S11*R24:S24+R4:S4*(R25:S25-R19:S19))/($B$9:$C$9*R22:S22+$B$10:$C$10*R23:S23+$B$11:$C$11*R24:S24+$B$4:$C$4*(R25:S25-R19:S19)))</f>
        <v>0.98103079822197092</v>
      </c>
      <c r="S65" s="191"/>
      <c r="T65" s="191">
        <f t="array" ref="T65">SQRT((T9:U9*$B$22:$C$22+T10:U10*$B$23:$C$23+T11:U11*$B$24:$C$24+T4:U4*($B$25:$C$25-$B$19:$C$19))/($B$9:$C$9*$B$22:$C$22+$B$10:$C$10*$B$23:$C$23+$B$11:$C$11*$B$24:$C$24+$B$4:$C$4*($B$25:$C$25-$B$19:$C$19))*(T9:U9*T22:U22+T10:U10*T23:U23+T11:U11*T24:U24+T4:U4*(T25:U25-T19:U19))/($B$9:$C$9*T22:U22+$B$10:$C$10*T23:U23+$B$11:$C$11*T24:U24+$B$4:$C$4*(T25:U25-T19:U19)))</f>
        <v>0.97860405346761004</v>
      </c>
      <c r="U65" s="191"/>
      <c r="V65" s="191">
        <f t="array" ref="V65">SQRT((V9:W9*$B$22:$C$22+V10:W10*$B$23:$C$23+V11:W11*$B$24:$C$24+V4:W4*($B$25:$C$25-$B$19:$C$19))/($B$9:$C$9*$B$22:$C$22+$B$10:$C$10*$B$23:$C$23+$B$11:$C$11*$B$24:$C$24+$B$4:$C$4*($B$25:$C$25-$B$19:$C$19))*(V9:W9*V22:W22+V10:W10*V23:W23+V11:W11*V24:W24+V4:W4*(V25:W25-V19:W19))/($B$9:$C$9*V22:W22+$B$10:$C$10*V23:W23+$B$11:$C$11*V24:W24+$B$4:$C$4*(V25:W25-V19:W19)))</f>
        <v>0.976276617556608</v>
      </c>
      <c r="W65" s="191"/>
      <c r="X65" s="191">
        <f t="array" ref="X65">SQRT((X9:Y9*$B$22:$C$22+X10:Y10*$B$23:$C$23+X11:Y11*$B$24:$C$24+X4:Y4*($B$25:$C$25-$B$19:$C$19))/($B$9:$C$9*$B$22:$C$22+$B$10:$C$10*$B$23:$C$23+$B$11:$C$11*$B$24:$C$24+$B$4:$C$4*($B$25:$C$25-$B$19:$C$19))*(X9:Y9*X22:Y22+X10:Y10*X23:Y23+X11:Y11*X24:Y24+X4:Y4*(X25:Y25-X19:Y19))/($B$9:$C$9*X22:Y22+$B$10:$C$10*X23:Y23+$B$11:$C$11*X24:Y24+$B$4:$C$4*(X25:Y25-X19:Y19)))</f>
        <v>0.97418977356998626</v>
      </c>
      <c r="Y65" s="191"/>
      <c r="Z65" s="191">
        <f t="array" ref="Z65">SQRT((Z9:AA9*$B$22:$C$22+Z10:AA10*$B$23:$C$23+Z11:AA11*$B$24:$C$24+Z4:AA4*($B$25:$C$25-$B$19:$C$19))/($B$9:$C$9*$B$22:$C$22+$B$10:$C$10*$B$23:$C$23+$B$11:$C$11*$B$24:$C$24+$B$4:$C$4*($B$25:$C$25-$B$19:$C$19))*(Z9:AA9*Z22:AA22+Z10:AA10*Z23:AA23+Z11:AA11*Z24:AA24+Z4:AA4*(Z25:AA25-Z19:AA19))/($B$9:$C$9*Z22:AA22+$B$10:$C$10*Z23:AA23+$B$11:$C$11*Z24:AA24+$B$4:$C$4*(Z25:AA25-Z19:AA19)))</f>
        <v>0.97259967447230911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0.97194572900787501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0.9728608501696504</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0.9974483900129999</v>
      </c>
      <c r="E66" s="191"/>
      <c r="F66" s="191">
        <f t="array" ref="F66">SQRT((F9:G9*$B$22:$C$22)/($B$9:$C$9*$B$22:$C$22)*(F9:G9*F22:G22)/($B$9:$C$9*F22:G22))</f>
        <v>0.99489709618413114</v>
      </c>
      <c r="G66" s="191"/>
      <c r="H66" s="191">
        <f t="array" ref="H66">SQRT((H9:I9*$B$22:$C$22)/($B$9:$C$9*$B$22:$C$22)*(H9:I9*H22:I22)/($B$9:$C$9*H22:I22))</f>
        <v>0.99233159220562761</v>
      </c>
      <c r="I66" s="191"/>
      <c r="J66" s="191">
        <f t="array" ref="J66">SQRT((J9:K9*$B$22:$C$22)/($B$9:$C$9*$B$22:$C$22)*(J9:K9*J22:K22)/($B$9:$C$9*J22:K22))</f>
        <v>0.98973894853076327</v>
      </c>
      <c r="K66" s="191"/>
      <c r="L66" s="191">
        <f t="array" ref="L66">SQRT((L9:M9*$B$22:$C$22)/($B$9:$C$9*$B$22:$C$22)*(L9:M9*L22:M22)/($B$9:$C$9*L22:M22))</f>
        <v>0.98710911131580614</v>
      </c>
      <c r="M66" s="191"/>
      <c r="N66" s="191">
        <f t="array" ref="N66">SQRT((N9:O9*$B$22:$C$22)/($B$9:$C$9*$B$22:$C$22)*(N9:O9*N22:O22)/($B$9:$C$9*N22:O22))</f>
        <v>0.98443701308030918</v>
      </c>
      <c r="O66" s="191"/>
      <c r="P66" s="191">
        <f t="array" ref="P66">SQRT((P9:Q9*$B$22:$C$22)/($B$9:$C$9*$B$22:$C$22)*(P9:Q9*P22:Q22)/($B$9:$C$9*P22:Q22))</f>
        <v>0.98172605390167711</v>
      </c>
      <c r="Q66" s="191"/>
      <c r="R66" s="191">
        <f t="array" ref="R66">SQRT((R9:S9*$B$22:$C$22)/($B$9:$C$9*$B$22:$C$22)*(R9:S9*R22:S22)/($B$9:$C$9*R22:S22))</f>
        <v>0.97899397665036159</v>
      </c>
      <c r="S66" s="191"/>
      <c r="T66" s="191">
        <f t="array" ref="T66">SQRT((T9:U9*$B$22:$C$22)/($B$9:$C$9*$B$22:$C$22)*(T9:U9*T22:U22)/($B$9:$C$9*T22:U22))</f>
        <v>0.97628299792426321</v>
      </c>
      <c r="U66" s="191"/>
      <c r="V66" s="191">
        <f t="array" ref="V66">SQRT((V9:W9*$B$22:$C$22)/($B$9:$C$9*$B$22:$C$22)*(V9:W9*V22:W22)/($B$9:$C$9*V22:W22))</f>
        <v>0.97367777018504831</v>
      </c>
      <c r="W66" s="191"/>
      <c r="X66" s="191">
        <f t="array" ref="X66">SQRT((X9:Y9*$B$22:$C$22)/($B$9:$C$9*$B$22:$C$22)*(X9:Y9*X22:Y22)/($B$9:$C$9*X22:Y22))</f>
        <v>0.9713376050386977</v>
      </c>
      <c r="Y66" s="191"/>
      <c r="Z66" s="191">
        <f t="array" ref="Z66">SQRT((Z9:AA9*$B$22:$C$22)/($B$9:$C$9*$B$22:$C$22)*(Z9:AA9*Z22:AA22)/($B$9:$C$9*Z22:AA22))</f>
        <v>0.9695520987457108</v>
      </c>
      <c r="AA66" s="191"/>
      <c r="AB66" s="191">
        <f t="array" ref="AB66">SQRT((AB9:AC9*$B$22:$C$22)/($B$9:$C$9*$B$22:$C$22)*(AB9:AC9*AB22:AC22)/($B$9:$C$9*AB22:AC22))</f>
        <v>0.9688182181490731</v>
      </c>
      <c r="AC66" s="191"/>
      <c r="AD66" s="191">
        <f t="array" ref="AD66">SQRT((AD9:AE9*$B$22:$C$22)/($B$9:$C$9*$B$22:$C$22)*(AD9:AE9*AD22:AE22)/($B$9:$C$9*AD22:AE22))</f>
        <v>0.96984962201247837</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0.9974483900129999</v>
      </c>
      <c r="E68" s="191"/>
      <c r="F68" s="191">
        <f>F66/F67</f>
        <v>0.99489709618413114</v>
      </c>
      <c r="G68" s="191"/>
      <c r="H68" s="191">
        <f>H66/H67</f>
        <v>0.99233159220562761</v>
      </c>
      <c r="I68" s="191"/>
      <c r="J68" s="191">
        <f>J66/J67</f>
        <v>0.98973894853076327</v>
      </c>
      <c r="K68" s="191"/>
      <c r="L68" s="191">
        <f>L66/L67</f>
        <v>0.98710911131580614</v>
      </c>
      <c r="M68" s="191"/>
      <c r="N68" s="191">
        <f>N66/N67</f>
        <v>0.98443701308030918</v>
      </c>
      <c r="O68" s="191"/>
      <c r="P68" s="191">
        <f>P66/P67</f>
        <v>0.98172605390167711</v>
      </c>
      <c r="Q68" s="191"/>
      <c r="R68" s="191">
        <f>R66/R67</f>
        <v>0.97899397665036159</v>
      </c>
      <c r="S68" s="191"/>
      <c r="T68" s="191">
        <f>T66/T67</f>
        <v>0.97628299792426321</v>
      </c>
      <c r="U68" s="191"/>
      <c r="V68" s="191">
        <f>V66/V67</f>
        <v>0.97367777018504831</v>
      </c>
      <c r="W68" s="191"/>
      <c r="X68" s="191">
        <f>X66/X67</f>
        <v>0.9713376050386977</v>
      </c>
      <c r="Y68" s="191"/>
      <c r="Z68" s="191">
        <f>Z66/Z67</f>
        <v>0.9695520987457108</v>
      </c>
      <c r="AA68" s="191"/>
      <c r="AB68" s="191">
        <f>AB66/AB67</f>
        <v>0.9688182181490731</v>
      </c>
      <c r="AC68" s="191"/>
      <c r="AD68" s="191">
        <f>AD66/AD67</f>
        <v>0.96984962201247837</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1.0162626369860721</v>
      </c>
      <c r="E69" s="191"/>
      <c r="F69" s="191">
        <f>F32/F65/($B$32)</f>
        <v>1.0326151990451831</v>
      </c>
      <c r="G69" s="191"/>
      <c r="H69" s="191">
        <f>H32/H65/($B$32)</f>
        <v>1.0490953012577875</v>
      </c>
      <c r="I69" s="191"/>
      <c r="J69" s="191">
        <f>J32/J65/($B$32)</f>
        <v>1.0657481462656486</v>
      </c>
      <c r="K69" s="191"/>
      <c r="L69" s="191">
        <f>L32/L65/($B$32)</f>
        <v>1.0826324949676196</v>
      </c>
      <c r="M69" s="191"/>
      <c r="N69" s="191">
        <f>N32/N65/($B$32)</f>
        <v>1.0998302220774019</v>
      </c>
      <c r="O69" s="191"/>
      <c r="P69" s="191">
        <f>P32/P65/($B$32)</f>
        <v>1.1174627536398758</v>
      </c>
      <c r="Q69" s="191"/>
      <c r="R69" s="191">
        <f>R32/R65/($B$32)</f>
        <v>1.1357187237929862</v>
      </c>
      <c r="S69" s="191"/>
      <c r="T69" s="191">
        <f>T32/T65/($B$32)</f>
        <v>1.1549029225525953</v>
      </c>
      <c r="U69" s="191"/>
      <c r="V69" s="191">
        <f>V32/V65/($B$32)</f>
        <v>1.1755245582338689</v>
      </c>
      <c r="W69" s="191"/>
      <c r="X69" s="191">
        <f>X32/X65/($B$32)</f>
        <v>1.1984594322696758</v>
      </c>
      <c r="Y69" s="191"/>
      <c r="Z69" s="191">
        <f>Z32/Z65/($B$32)</f>
        <v>1.2252426972032331</v>
      </c>
      <c r="AA69" s="191"/>
      <c r="AB69" s="191">
        <f>AB32/AB65/($B$32)</f>
        <v>1.2585300073137922</v>
      </c>
      <c r="AC69" s="191"/>
      <c r="AD69" s="191">
        <f>AD32/AD65/($B$32)</f>
        <v>1.3024545333715696</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1.0149749140745614</v>
      </c>
      <c r="E70" s="138"/>
      <c r="F70" s="138">
        <f>F18/$B$18</f>
        <v>1.0300195033573722</v>
      </c>
      <c r="G70" s="138"/>
      <c r="H70" s="138">
        <f>H18/$B$18</f>
        <v>1.045171581552691</v>
      </c>
      <c r="I70" s="138"/>
      <c r="J70" s="138">
        <f>J18/$B$18</f>
        <v>1.0604742710694202</v>
      </c>
      <c r="K70" s="138"/>
      <c r="L70" s="138">
        <f>L18/$B$18</f>
        <v>1.0759799051212884</v>
      </c>
      <c r="M70" s="138"/>
      <c r="N70" s="138">
        <f>N18/$B$18</f>
        <v>1.09175600042884</v>
      </c>
      <c r="O70" s="138"/>
      <c r="P70" s="138">
        <f>P18/$B$18</f>
        <v>1.1078956025361575</v>
      </c>
      <c r="Q70" s="138"/>
      <c r="R70" s="138">
        <f>R18/$B$18</f>
        <v>1.1245342768055016</v>
      </c>
      <c r="S70" s="138"/>
      <c r="T70" s="138">
        <f>T18/$B$18</f>
        <v>1.1418799151451515</v>
      </c>
      <c r="U70" s="138"/>
      <c r="V70" s="138">
        <f>V18/$B$18</f>
        <v>1.1602655179598993</v>
      </c>
      <c r="W70" s="138"/>
      <c r="X70" s="138">
        <f>X18/$B$18</f>
        <v>1.1802438024464235</v>
      </c>
      <c r="Y70" s="138"/>
      <c r="Z70" s="138">
        <f>Z18/$B$18</f>
        <v>1.2027509885020127</v>
      </c>
      <c r="AA70" s="138"/>
      <c r="AB70" s="138">
        <f>AB18/$B$18</f>
        <v>1.2293411842260835</v>
      </c>
      <c r="AC70" s="138"/>
      <c r="AD70" s="138">
        <f>AD18/$B$18</f>
        <v>1.2622729492891231</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0.91828605055179369</v>
      </c>
      <c r="E71" s="138"/>
      <c r="F71" s="138">
        <f>G18/$C$18</f>
        <v>0.83701328219126947</v>
      </c>
      <c r="G71" s="138"/>
      <c r="H71" s="138">
        <f>I18/$C$18</f>
        <v>0.75620409845704062</v>
      </c>
      <c r="I71" s="138"/>
      <c r="J71" s="138">
        <f>K18/$C$18</f>
        <v>0.67592349467396462</v>
      </c>
      <c r="K71" s="138"/>
      <c r="L71" s="138">
        <f>M18/$C$18</f>
        <v>0.59629820451461524</v>
      </c>
      <c r="M71" s="138"/>
      <c r="N71" s="138">
        <f>O18/$C$18</f>
        <v>0.5175419991935154</v>
      </c>
      <c r="O71" s="138"/>
      <c r="P71" s="138">
        <f>Q18/$C$18</f>
        <v>0.43999217193903212</v>
      </c>
      <c r="Q71" s="138"/>
      <c r="R71" s="138">
        <f>S18/$C$18</f>
        <v>0.36416224549308657</v>
      </c>
      <c r="S71" s="138"/>
      <c r="T71" s="138">
        <f>U18/$C$18</f>
        <v>0.29081975932321286</v>
      </c>
      <c r="U71" s="138"/>
      <c r="V71" s="138">
        <f>W18/$C$18</f>
        <v>0.22110196768357185</v>
      </c>
      <c r="W71" s="138"/>
      <c r="X71" s="138">
        <f>Y18/$C$18</f>
        <v>0.1566833293341284</v>
      </c>
      <c r="Y71" s="138"/>
      <c r="Z71" s="138">
        <f>AA18/$C$18</f>
        <v>9.9982323314830562E-2</v>
      </c>
      <c r="AA71" s="138"/>
      <c r="AB71" s="138">
        <f>AC18/$C$18</f>
        <v>5.424694919453555E-2</v>
      </c>
      <c r="AC71" s="138"/>
      <c r="AD71" s="138">
        <f>AE18/$C$18</f>
        <v>2.2848516321841428E-2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1.0697811969132407</v>
      </c>
      <c r="E72" s="138"/>
      <c r="F72" s="138">
        <f>G19/$C$19</f>
        <v>1.1470285979634944</v>
      </c>
      <c r="G72" s="138"/>
      <c r="H72" s="138">
        <f>I19/$C$19</f>
        <v>1.2325093845466362</v>
      </c>
      <c r="I72" s="138"/>
      <c r="J72" s="138">
        <f>K19/$C$19</f>
        <v>1.3269695803958117</v>
      </c>
      <c r="K72" s="138"/>
      <c r="L72" s="138">
        <f>M19/$C$19</f>
        <v>1.4310657198075396</v>
      </c>
      <c r="M72" s="138"/>
      <c r="N72" s="138">
        <f>O19/$C$19</f>
        <v>1.5452487399484509</v>
      </c>
      <c r="O72" s="138"/>
      <c r="P72" s="138">
        <f>Q19/$C$19</f>
        <v>1.6695687920527467</v>
      </c>
      <c r="Q72" s="138"/>
      <c r="R72" s="138">
        <f>S19/$C$19</f>
        <v>1.8033391336544664</v>
      </c>
      <c r="S72" s="138"/>
      <c r="T72" s="138">
        <f>U19/$C$19</f>
        <v>1.944542732555421</v>
      </c>
      <c r="U72" s="138"/>
      <c r="V72" s="138">
        <f>W19/$C$19</f>
        <v>2.0887518091142949</v>
      </c>
      <c r="W72" s="138"/>
      <c r="X72" s="138">
        <f>Y19/$C$19</f>
        <v>2.2271194778399197</v>
      </c>
      <c r="Y72" s="138"/>
      <c r="Z72" s="138">
        <f>AA19/$C$19</f>
        <v>2.3427101020252743</v>
      </c>
      <c r="AA72" s="138"/>
      <c r="AB72" s="138">
        <f>AC19/$C$19</f>
        <v>2.4047142440487943</v>
      </c>
      <c r="AC72" s="138"/>
      <c r="AD72" s="138">
        <f>AE19/$C$19</f>
        <v>2.3646020278857991</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0.47641153304042533</v>
      </c>
      <c r="E73" s="138"/>
      <c r="F73" s="193">
        <f t="array" ref="F73">SUM(F9:G9*F22:G22)/F32</f>
        <v>0.47641153283370513</v>
      </c>
      <c r="G73" s="138"/>
      <c r="H73" s="193">
        <f t="array" ref="H73">SUM(H9:I9*H22:I22)/H32</f>
        <v>0.47641153354836602</v>
      </c>
      <c r="I73" s="138"/>
      <c r="J73" s="193">
        <f t="array" ref="J73">SUM(J9:K9*J22:K22)/J32</f>
        <v>0.47641153423611543</v>
      </c>
      <c r="K73" s="138"/>
      <c r="L73" s="193">
        <f t="array" ref="L73">SUM(L9:M9*L22:M22)/L32</f>
        <v>0.47641153349681414</v>
      </c>
      <c r="M73" s="138"/>
      <c r="N73" s="193">
        <f t="array" ref="N73">SUM(N9:O9*N22:O22)/N32</f>
        <v>0.47641153381906154</v>
      </c>
      <c r="O73" s="138"/>
      <c r="P73" s="193">
        <f t="array" ref="P73">SUM(P9:Q9*P22:Q22)/P32</f>
        <v>0.476411533696316</v>
      </c>
      <c r="Q73" s="138"/>
      <c r="R73" s="193">
        <f t="array" ref="R73">SUM(R9:S9*R22:S22)/R32</f>
        <v>0.47641153364340072</v>
      </c>
      <c r="S73" s="138"/>
      <c r="T73" s="193">
        <f t="array" ref="T73">SUM(T9:U9*T22:U22)/T32</f>
        <v>0.47641153363237831</v>
      </c>
      <c r="U73" s="138"/>
      <c r="V73" s="193">
        <f t="array" ref="V73">SUM(V9:W9*V22:W22)/V32</f>
        <v>0.47641153353967097</v>
      </c>
      <c r="W73" s="138"/>
      <c r="X73" s="193">
        <f t="array" ref="X73">SUM(X9:Y9*X22:Y22)/X32</f>
        <v>0.47641153347103132</v>
      </c>
      <c r="Y73" s="138"/>
      <c r="Z73" s="193">
        <f t="array" ref="Z73">SUM(Z9:AA9*Z22:AA22)/Z32</f>
        <v>0.47641153351944815</v>
      </c>
      <c r="AA73" s="138"/>
      <c r="AB73" s="193">
        <f t="array" ref="AB73">SUM(AB9:AC9*AB22:AC22)/AB32</f>
        <v>0.47641153351159132</v>
      </c>
      <c r="AC73" s="138"/>
      <c r="AD73" s="193">
        <f t="array" ref="AD73">SUM(AD9:AE9*AD22:AE22)/AD32</f>
        <v>0.47641153409331877</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0.22604620456442487</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0.22038438808291885</v>
      </c>
      <c r="E75" s="138"/>
      <c r="F75" s="193">
        <f t="array" ref="F75">SUM(F11:G11*F24:G24)/F32</f>
        <v>0.22038438799781895</v>
      </c>
      <c r="G75" s="138"/>
      <c r="H75" s="193">
        <f t="array" ref="H75">SUM(H11:I11*H24:I24)/H32</f>
        <v>0.22038438833471072</v>
      </c>
      <c r="I75" s="138"/>
      <c r="J75" s="193">
        <f t="array" ref="J75">SUM(J11:K11*J24:K24)/J32</f>
        <v>0.22038438825468529</v>
      </c>
      <c r="K75" s="138"/>
      <c r="L75" s="193">
        <f t="array" ref="L75">SUM(L11:M11*L24:M24)/L32</f>
        <v>0.22038438833332494</v>
      </c>
      <c r="M75" s="138"/>
      <c r="N75" s="193">
        <f t="array" ref="N75">SUM(N11:O11*N24:O24)/N32</f>
        <v>0.22038438830234103</v>
      </c>
      <c r="O75" s="138"/>
      <c r="P75" s="193">
        <f t="array" ref="P75">SUM(P11:Q11*P24:Q24)/P32</f>
        <v>0.22038438831644763</v>
      </c>
      <c r="Q75" s="138"/>
      <c r="R75" s="193">
        <f t="array" ref="R75">SUM(R11:S11*R24:S24)/R32</f>
        <v>0.22038438832239818</v>
      </c>
      <c r="S75" s="138"/>
      <c r="T75" s="193">
        <f t="array" ref="T75">SUM(T11:U11*T24:U24)/T32</f>
        <v>0.22038438832416354</v>
      </c>
      <c r="U75" s="138"/>
      <c r="V75" s="193">
        <f t="array" ref="V75">SUM(V11:W11*V24:W24)/V32</f>
        <v>0.22038438832849461</v>
      </c>
      <c r="W75" s="138"/>
      <c r="X75" s="193">
        <f t="array" ref="X75">SUM(X11:Y11*X24:Y24)/X32</f>
        <v>0.22038438833105189</v>
      </c>
      <c r="Y75" s="138"/>
      <c r="Z75" s="193">
        <f t="array" ref="Z75">SUM(Z11:AA11*Z24:AA24)/Z32</f>
        <v>0.22038438832332352</v>
      </c>
      <c r="AA75" s="138"/>
      <c r="AB75" s="193">
        <f t="array" ref="AB75">SUM(AB11:AC11*AB24:AC24)/AB32</f>
        <v>0.22038438833187907</v>
      </c>
      <c r="AC75" s="138"/>
      <c r="AD75" s="193">
        <f t="array" ref="AD75">SUM(AD11:AE11*AD24:AE24)/AD32</f>
        <v>0.22038438832017013</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0.22335304540004178</v>
      </c>
      <c r="E76" s="138"/>
      <c r="F76" s="193">
        <f t="array" ref="F76">SUM(F12:G12*F25:G25)/F32</f>
        <v>0.22379341444880269</v>
      </c>
      <c r="G76" s="138"/>
      <c r="H76" s="193">
        <f t="array" ref="H76">SUM(H12:I12*H25:I25)/H32</f>
        <v>0.2243455046944223</v>
      </c>
      <c r="I76" s="138"/>
      <c r="J76" s="193">
        <f t="array" ref="J76">SUM(J12:K12*J25:K25)/J32</f>
        <v>0.22501393619138912</v>
      </c>
      <c r="K76" s="138"/>
      <c r="L76" s="193">
        <f t="array" ref="L76">SUM(L12:M12*L25:M25)/L32</f>
        <v>0.22580101758299784</v>
      </c>
      <c r="M76" s="138"/>
      <c r="N76" s="193">
        <f t="array" ref="N76">SUM(N12:O12*N25:O25)/N32</f>
        <v>0.22670462826457918</v>
      </c>
      <c r="O76" s="138"/>
      <c r="P76" s="193">
        <f t="array" ref="P76">SUM(P12:Q12*P25:Q25)/P32</f>
        <v>0.22771470689451107</v>
      </c>
      <c r="Q76" s="138"/>
      <c r="R76" s="193">
        <f t="array" ref="R76">SUM(R12:S12*R25:S25)/R32</f>
        <v>0.22880725930960785</v>
      </c>
      <c r="S76" s="138"/>
      <c r="T76" s="193">
        <f t="array" ref="T76">SUM(T12:U12*T25:U25)/T32</f>
        <v>0.22993390972027844</v>
      </c>
      <c r="U76" s="138"/>
      <c r="V76" s="193">
        <f t="array" ref="V76">SUM(V12:W12*V25:W25)/V32</f>
        <v>0.23100323573454079</v>
      </c>
      <c r="W76" s="138"/>
      <c r="X76" s="193">
        <f t="array" ref="X76">SUM(X12:Y12*X25:Y25)/X32</f>
        <v>0.23184718173251423</v>
      </c>
      <c r="Y76" s="138"/>
      <c r="Z76" s="193">
        <f t="array" ref="Z76">SUM(Z12:AA12*Z25:AA25)/Z32</f>
        <v>0.2321631453007213</v>
      </c>
      <c r="AA76" s="138"/>
      <c r="AB76" s="193">
        <f t="array" ref="AB76">SUM(AB12:AC12*AB25:AC25)/AB32</f>
        <v>0.23143381578946232</v>
      </c>
      <c r="AC76" s="138"/>
      <c r="AD76" s="193">
        <f t="array" ref="AD76">SUM(AD12:AE12*AD25:AE25)/AD32</f>
        <v>0.22891337212703713</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0.14619517108781077</v>
      </c>
      <c r="E77" s="138"/>
      <c r="F77" s="193">
        <f t="array" ref="F77">SUM(F4:G4*F19:G19)/F32</f>
        <v>0.14663553984475144</v>
      </c>
      <c r="G77" s="138"/>
      <c r="H77" s="193">
        <f t="array" ref="H77">SUM(H4:I4*H19:I19)/H32</f>
        <v>0.14718763114192376</v>
      </c>
      <c r="I77" s="138"/>
      <c r="J77" s="193">
        <f t="array" ref="J77">SUM(J4:K4*J19:K19)/J32</f>
        <v>0.14785606324661446</v>
      </c>
      <c r="K77" s="138"/>
      <c r="L77" s="193">
        <f t="array" ref="L77">SUM(L4:M4*L19:M19)/L32</f>
        <v>0.14864314397756173</v>
      </c>
      <c r="M77" s="138"/>
      <c r="N77" s="193">
        <f t="array" ref="N77">SUM(N4:O4*N19:O19)/N32</f>
        <v>0.14954675495040648</v>
      </c>
      <c r="O77" s="138"/>
      <c r="P77" s="193">
        <f t="array" ref="P77">SUM(P4:Q4*P19:Q19)/P32</f>
        <v>0.15055683347169935</v>
      </c>
      <c r="Q77" s="138"/>
      <c r="R77" s="193">
        <f t="array" ref="R77">SUM(R4:S4*R19:S19)/R32</f>
        <v>0.15164938583983142</v>
      </c>
      <c r="S77" s="138"/>
      <c r="T77" s="193">
        <f t="array" ref="T77">SUM(T4:U4*T19:U19)/T32</f>
        <v>0.15277603624124492</v>
      </c>
      <c r="U77" s="138"/>
      <c r="V77" s="193">
        <f t="array" ref="V77">SUM(V4:W4*V19:W19)/V32</f>
        <v>0.15384536216713107</v>
      </c>
      <c r="W77" s="138"/>
      <c r="X77" s="193">
        <f t="array" ref="X77">SUM(X4:Y4*X19:Y19)/X32</f>
        <v>0.15468930809902223</v>
      </c>
      <c r="Y77" s="138"/>
      <c r="Z77" s="193">
        <f t="array" ref="Z77">SUM(Z4:AA4*Z19:AA19)/Z32</f>
        <v>0.15500527170791772</v>
      </c>
      <c r="AA77" s="138"/>
      <c r="AB77" s="193">
        <f t="array" ref="AB77">SUM(AB4:AC4*AB19:AC19)/AB32</f>
        <v>0.15427594219735735</v>
      </c>
      <c r="AC77" s="138"/>
      <c r="AD77" s="193">
        <f t="array" ref="AD77">SUM(AD4:AE4*AD19:AE19)/AD32</f>
        <v>0.15175549910495076</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0.33571209674252089</v>
      </c>
      <c r="E78" s="138"/>
      <c r="F78" s="193">
        <f t="array" ref="F78">SUM(F13:G13*F26:G26)/F32</f>
        <v>0.32425176909920189</v>
      </c>
      <c r="G78" s="138"/>
      <c r="H78" s="193">
        <f t="array" ref="H78">SUM(H13:I13*H26:I26)/H32</f>
        <v>0.31244426766161598</v>
      </c>
      <c r="I78" s="138"/>
      <c r="J78" s="193">
        <f t="array" ref="J78">SUM(J13:K13*J26:K26)/J32</f>
        <v>0.30021222198419473</v>
      </c>
      <c r="K78" s="138"/>
      <c r="L78" s="193">
        <f t="array" ref="L78">SUM(L13:M13*L26:M26)/L32</f>
        <v>0.28745552976281419</v>
      </c>
      <c r="M78" s="138"/>
      <c r="N78" s="193">
        <f t="array" ref="N78">SUM(N13:O13*N26:O26)/N32</f>
        <v>0.27403930196016957</v>
      </c>
      <c r="O78" s="138"/>
      <c r="P78" s="193">
        <f t="array" ref="P78">SUM(P13:Q13*P26:Q26)/P32</f>
        <v>0.2597741721738186</v>
      </c>
      <c r="Q78" s="138"/>
      <c r="R78" s="193">
        <f t="array" ref="R78">SUM(R13:S13*R26:S26)/R32</f>
        <v>0.24438346206959111</v>
      </c>
      <c r="S78" s="138"/>
      <c r="T78" s="193">
        <f t="array" ref="T78">SUM(T13:U13*T26:U26)/T32</f>
        <v>0.22744614469816596</v>
      </c>
      <c r="U78" s="138"/>
      <c r="V78" s="193">
        <f t="array" ref="V78">SUM(V13:W13*V26:W26)/V32</f>
        <v>0.20829429435688807</v>
      </c>
      <c r="W78" s="138"/>
      <c r="X78" s="193">
        <f t="array" ref="X78">SUM(X13:Y13*X26:Y26)/X32</f>
        <v>0.18582257292675827</v>
      </c>
      <c r="Y78" s="138"/>
      <c r="Z78" s="193">
        <f t="array" ref="Z78">SUM(Z13:AA13*Z26:AA26)/Z32</f>
        <v>0.15813027690565434</v>
      </c>
      <c r="AA78" s="138"/>
      <c r="AB78" s="193">
        <f t="array" ref="AB78">SUM(AB13:AC13*AB26:AC26)/AB32</f>
        <v>0.12188512938863921</v>
      </c>
      <c r="AC78" s="138"/>
      <c r="AD78" s="193">
        <f t="array" ref="AD78">SUM(AD13:AE13*AD26:AE26)/AD32</f>
        <v>7.1447549894794737E-2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0.46594075286926473</v>
      </c>
      <c r="F79" s="193">
        <f t="array" ref="F79">SUM(F15:G15*F27:G27)/F32</f>
        <v>0.47756061655102799</v>
      </c>
      <c r="H79" s="193">
        <f t="array" ref="H79">SUM(H15:I15*H27:I27)/H32</f>
        <v>0.48953250077931726</v>
      </c>
      <c r="J79" s="193">
        <f t="array" ref="J79">SUM(J15:K15*J27:K27)/J32</f>
        <v>0.50193482751640139</v>
      </c>
      <c r="L79" s="193">
        <f t="array" ref="L79">SUM(L15:M15*L27:M27)/L32</f>
        <v>0.5148691087837427</v>
      </c>
      <c r="N79" s="193">
        <f t="array" ref="N79">SUM(N15:O15*N27:O27)/N32</f>
        <v>0.52847210178772486</v>
      </c>
      <c r="P79" s="193">
        <f t="array" ref="P79">SUM(P15:Q15*P27:Q27)/P32</f>
        <v>0.54293581708250693</v>
      </c>
      <c r="R79" s="193">
        <f t="array" ref="R79">SUM(R15:S15*R27:S27)/R32</f>
        <v>0.55854078182991895</v>
      </c>
      <c r="T79" s="193">
        <f t="array" ref="T79">SUM(T15:U15*T27:U27)/T32</f>
        <v>0.57571388414210711</v>
      </c>
      <c r="V79" s="193">
        <f t="array" ref="V79">SUM(V15:W15*V27:W27)/V32</f>
        <v>0.59513234784915336</v>
      </c>
      <c r="X79" s="193">
        <f t="array" ref="X79">SUM(X15:Y15*X27:Y27)/X32</f>
        <v>0.6179168994281159</v>
      </c>
      <c r="Z79" s="193">
        <f t="array" ref="Z79">SUM(Z15:AA15*Z27:AA27)/Z32</f>
        <v>0.64599469897423967</v>
      </c>
      <c r="AB79" s="193">
        <f t="array" ref="AB79">SUM(AB15:AC15*AB27:AC27)/AB32</f>
        <v>0.68274441802838814</v>
      </c>
      <c r="AD79" s="193">
        <f t="array" ref="AD79">SUM(AD15:AE15*AD27:AE27)/AD32</f>
        <v>0.7338841409652247</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0.19834714504265305</v>
      </c>
      <c r="F80" s="236">
        <f>F55</f>
        <v>0.19818760579391062</v>
      </c>
      <c r="H80" s="236">
        <f>H55</f>
        <v>0.19802323220717605</v>
      </c>
      <c r="J80" s="236">
        <f>J55</f>
        <v>0.1978529521420572</v>
      </c>
      <c r="L80" s="236">
        <f>L55</f>
        <v>0.19767536318225684</v>
      </c>
      <c r="N80" s="236">
        <f>N55</f>
        <v>0.19748859733445884</v>
      </c>
      <c r="P80" s="236">
        <f>P55</f>
        <v>0.19729001147494615</v>
      </c>
      <c r="R80" s="236">
        <f>R55</f>
        <v>0.19707575666889451</v>
      </c>
      <c r="T80" s="236">
        <f>T55</f>
        <v>0.19683997173688494</v>
      </c>
      <c r="V80" s="236">
        <f>V55</f>
        <v>0.19657335742005566</v>
      </c>
      <c r="X80" s="236">
        <f>X55</f>
        <v>0.19626052815329706</v>
      </c>
      <c r="Z80" s="236">
        <f>Z55</f>
        <v>0.19587502101145812</v>
      </c>
      <c r="AB80" s="236">
        <f>AB55</f>
        <v>0.19537045293421712</v>
      </c>
      <c r="AD80" s="236">
        <f>AD55</f>
        <v>0.19466831737505766</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-2.7699059521771804E-2</v>
      </c>
      <c r="F81" s="236">
        <f>F51/F$32</f>
        <v>-2.785859877051422E-2</v>
      </c>
      <c r="H81" s="236">
        <f>H51/H$32</f>
        <v>-2.802297235724879E-2</v>
      </c>
      <c r="J81" s="236">
        <f>J51/J$32</f>
        <v>-2.819325242236765E-2</v>
      </c>
      <c r="L81" s="236">
        <f>L51/L$32</f>
        <v>-2.837084138216801E-2</v>
      </c>
      <c r="N81" s="236">
        <f>N51/N$32</f>
        <v>-2.8557607229966014E-2</v>
      </c>
      <c r="P81" s="236">
        <f>P51/P$32</f>
        <v>-2.8756193089478677E-2</v>
      </c>
      <c r="R81" s="236">
        <f>R51/R$32</f>
        <v>-2.8970447895530341E-2</v>
      </c>
      <c r="T81" s="236">
        <f>T51/T$32</f>
        <v>-2.9206232827539896E-2</v>
      </c>
      <c r="V81" s="236">
        <f>V51/V$32</f>
        <v>-2.9472847144369173E-2</v>
      </c>
      <c r="X81" s="236">
        <f>X51/X$32</f>
        <v>-2.9785676411127775E-2</v>
      </c>
      <c r="Z81" s="236">
        <f>Z51/Z$32</f>
        <v>-3.0171183552966708E-2</v>
      </c>
      <c r="AB81" s="236">
        <f>AB51/AB$32</f>
        <v>-3.0675751630207727E-2</v>
      </c>
      <c r="AD81" s="236">
        <f>AD51/AD$32</f>
        <v>-3.1377887189367203E-2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0.13459798009099122</v>
      </c>
      <c r="F82" s="236">
        <f>F52/F$32</f>
        <v>0.13000315921042355</v>
      </c>
      <c r="H82" s="236">
        <f>H52/H$32</f>
        <v>0.12526914497965413</v>
      </c>
      <c r="J82" s="236">
        <f>J52/J$32</f>
        <v>0.12036491705180444</v>
      </c>
      <c r="L82" s="236">
        <f>L52/L$32</f>
        <v>0.11525034113303088</v>
      </c>
      <c r="N82" s="236">
        <f>N52/N$32</f>
        <v>0.10987133578827697</v>
      </c>
      <c r="P82" s="236">
        <f>P52/P$32</f>
        <v>0.10415197782170571</v>
      </c>
      <c r="R82" s="236">
        <f>R52/R$32</f>
        <v>9.7981337823040901E-2</v>
      </c>
      <c r="T82" s="236">
        <f>T52/T$32</f>
        <v>9.1190612292222903E-2</v>
      </c>
      <c r="V82" s="236">
        <f>V52/V$32</f>
        <v>8.3512007928680868E-2</v>
      </c>
      <c r="X82" s="236">
        <f>X52/X$32</f>
        <v>7.4502358461141102E-2</v>
      </c>
      <c r="Z82" s="236">
        <f>Z52/Z$32</f>
        <v>6.3399609573956656E-2</v>
      </c>
      <c r="AB82" s="236">
        <f>AB52/AB$32</f>
        <v>4.8867742264951421E-2</v>
      </c>
      <c r="AD82" s="236">
        <f>AD52/AD$32</f>
        <v>2.8645663923350797E-2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0.19064333939384437</v>
      </c>
      <c r="F83" s="236">
        <f>F53/F$32</f>
        <v>0.19539769840183216</v>
      </c>
      <c r="H83" s="236">
        <f>H53/H$32</f>
        <v>0.20029608939695931</v>
      </c>
      <c r="J83" s="236">
        <f>J53/J$32</f>
        <v>0.2053705993445249</v>
      </c>
      <c r="L83" s="236">
        <f>L53/L$32</f>
        <v>0.21066276268993001</v>
      </c>
      <c r="N83" s="236">
        <f>N53/N$32</f>
        <v>0.21622853472437986</v>
      </c>
      <c r="P83" s="236">
        <f>P53/P$32</f>
        <v>0.22214647808275523</v>
      </c>
      <c r="R83" s="236">
        <f>R53/R$32</f>
        <v>0.22853137266913751</v>
      </c>
      <c r="T83" s="236">
        <f>T53/T$32</f>
        <v>0.23555788312650097</v>
      </c>
      <c r="V83" s="236">
        <f>V53/V$32</f>
        <v>0.24350310093415684</v>
      </c>
      <c r="X83" s="236">
        <f>X53/X$32</f>
        <v>0.25282558018255064</v>
      </c>
      <c r="Z83" s="236">
        <f>Z53/Z$32</f>
        <v>0.26431383364684014</v>
      </c>
      <c r="AB83" s="236">
        <f>AB53/AB$32</f>
        <v>0.27935027147530861</v>
      </c>
      <c r="AD83" s="236">
        <f>AD53/AD$32</f>
        <v>0.30027449305566484</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c r="AB1" s="94"/>
      <c r="AD1" s="94"/>
      <c r="AF1" s="94"/>
      <c r="AH1" s="94"/>
      <c r="AJ1" s="94"/>
      <c r="AL1" s="94"/>
      <c r="AN1" s="94"/>
      <c r="AP1" s="94"/>
      <c r="AR1" s="94"/>
      <c r="AT1" s="94"/>
      <c r="AV1" s="94"/>
    </row>
    <row r="2" spans="1:49" x14ac:dyDescent="0.2">
      <c r="A2" s="229" t="s">
        <v>155</v>
      </c>
      <c r="B2" s="226">
        <v>5.7716594496607888E-3</v>
      </c>
      <c r="C2" s="227"/>
      <c r="D2" s="226">
        <v>3.4887949747467187E-2</v>
      </c>
      <c r="E2" s="227"/>
      <c r="F2" s="226">
        <v>6.4974668220133536E-2</v>
      </c>
      <c r="G2" s="227"/>
      <c r="H2" s="226">
        <v>9.5933182871647954E-2</v>
      </c>
      <c r="I2" s="227"/>
      <c r="J2" s="226">
        <v>0.12761657711332441</v>
      </c>
      <c r="K2" s="227"/>
      <c r="L2" s="226">
        <v>0.15981900263662782</v>
      </c>
      <c r="M2" s="227"/>
      <c r="N2" s="226">
        <v>0.19226147219898668</v>
      </c>
      <c r="O2" s="227"/>
      <c r="P2" s="226">
        <v>0.22457749022887025</v>
      </c>
      <c r="Q2" s="227"/>
      <c r="R2" s="226">
        <v>0.25629108360389857</v>
      </c>
      <c r="S2" s="227"/>
      <c r="T2" s="226">
        <v>0.28677539912445354</v>
      </c>
      <c r="U2" s="227"/>
      <c r="V2" s="226">
        <v>0.31514583404300911</v>
      </c>
      <c r="W2" s="227"/>
      <c r="X2" s="226">
        <v>0.33987571968301161</v>
      </c>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999.1627505106635</v>
      </c>
      <c r="E3" s="85">
        <v>1012.3854259177346</v>
      </c>
      <c r="F3" s="84">
        <v>998.36108154532747</v>
      </c>
      <c r="G3" s="85">
        <v>1024.9131556236216</v>
      </c>
      <c r="H3" s="84">
        <v>997.59841211658079</v>
      </c>
      <c r="I3" s="85">
        <v>1037.5037401060267</v>
      </c>
      <c r="J3" s="84">
        <v>996.87810370094178</v>
      </c>
      <c r="K3" s="85">
        <v>1050.0646414080543</v>
      </c>
      <c r="L3" s="84">
        <v>996.20279560716995</v>
      </c>
      <c r="M3" s="85">
        <v>1062.4977112113095</v>
      </c>
      <c r="N3" s="84">
        <v>995.57309663988451</v>
      </c>
      <c r="O3" s="85">
        <v>1074.71839071573</v>
      </c>
      <c r="P3" s="84">
        <v>994.9849115063073</v>
      </c>
      <c r="Q3" s="85">
        <v>1086.698074766088</v>
      </c>
      <c r="R3" s="84">
        <v>994.42371746476999</v>
      </c>
      <c r="S3" s="85">
        <v>1098.5593992716235</v>
      </c>
      <c r="T3" s="84">
        <v>993.85120763617522</v>
      </c>
      <c r="U3" s="85">
        <v>1110.8025946425626</v>
      </c>
      <c r="V3" s="84">
        <v>993.16935577410459</v>
      </c>
      <c r="W3" s="85">
        <v>1124.9199574902789</v>
      </c>
      <c r="X3" s="84">
        <v>992.10120347654799</v>
      </c>
      <c r="Y3" s="85">
        <v>1145.4594293486718</v>
      </c>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999.1213252446596</v>
      </c>
      <c r="E5" s="42">
        <v>1010.8101887831002</v>
      </c>
      <c r="F5" s="41">
        <v>998.27970151411671</v>
      </c>
      <c r="G5" s="42">
        <v>1021.6132120203512</v>
      </c>
      <c r="H5" s="41">
        <v>997.47875702282261</v>
      </c>
      <c r="I5" s="42">
        <v>1032.3380882352178</v>
      </c>
      <c r="J5" s="41">
        <v>996.722062384271</v>
      </c>
      <c r="K5" s="42">
        <v>1042.9062119550219</v>
      </c>
      <c r="L5" s="41">
        <v>996.01243164042364</v>
      </c>
      <c r="M5" s="42">
        <v>1053.2381426899603</v>
      </c>
      <c r="N5" s="41">
        <v>995.35054493472944</v>
      </c>
      <c r="O5" s="42">
        <v>1063.2695055139523</v>
      </c>
      <c r="P5" s="41">
        <v>994.73213408438528</v>
      </c>
      <c r="Q5" s="42">
        <v>1072.9842356515267</v>
      </c>
      <c r="R5" s="41">
        <v>994.14195698806338</v>
      </c>
      <c r="S5" s="42">
        <v>1082.4876552464036</v>
      </c>
      <c r="T5" s="41">
        <v>993.53973416119481</v>
      </c>
      <c r="U5" s="42">
        <v>1092.1772591197116</v>
      </c>
      <c r="V5" s="41">
        <v>992.82230233533255</v>
      </c>
      <c r="W5" s="42">
        <v>1103.1998675030795</v>
      </c>
      <c r="X5" s="41">
        <v>991.6979913010382</v>
      </c>
      <c r="Y5" s="42">
        <v>1118.9511422664684</v>
      </c>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999.05417905765307</v>
      </c>
      <c r="E6" s="42">
        <v>1013.3563400883797</v>
      </c>
      <c r="F6" s="41">
        <v>998.14835958295043</v>
      </c>
      <c r="G6" s="42">
        <v>1026.8407828844324</v>
      </c>
      <c r="H6" s="41">
        <v>997.28643043371437</v>
      </c>
      <c r="I6" s="42">
        <v>1040.3685299325191</v>
      </c>
      <c r="J6" s="41">
        <v>996.47221742291356</v>
      </c>
      <c r="K6" s="42">
        <v>1053.8413172897897</v>
      </c>
      <c r="L6" s="41">
        <v>995.70873137019646</v>
      </c>
      <c r="M6" s="42">
        <v>1067.1554571384238</v>
      </c>
      <c r="N6" s="41">
        <v>994.99668743550296</v>
      </c>
      <c r="O6" s="42">
        <v>1080.22231219072</v>
      </c>
      <c r="P6" s="41">
        <v>994.33147904061343</v>
      </c>
      <c r="Q6" s="42">
        <v>1093.0133108572923</v>
      </c>
      <c r="R6" s="41">
        <v>993.69669961855823</v>
      </c>
      <c r="S6" s="42">
        <v>1105.6610368598526</v>
      </c>
      <c r="T6" s="41">
        <v>993.04902316322227</v>
      </c>
      <c r="U6" s="42">
        <v>1118.6991326168556</v>
      </c>
      <c r="V6" s="41">
        <v>992.27751998438578</v>
      </c>
      <c r="W6" s="42">
        <v>1133.7128914339414</v>
      </c>
      <c r="X6" s="41">
        <v>991.06864219097304</v>
      </c>
      <c r="Y6" s="42">
        <v>1155.5201571964174</v>
      </c>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1015.0190265936417</v>
      </c>
      <c r="E7" s="34">
        <v>1015.0190265936417</v>
      </c>
      <c r="F7" s="33">
        <v>1014.164011213478</v>
      </c>
      <c r="G7" s="34">
        <v>1014.164011213478</v>
      </c>
      <c r="H7" s="33">
        <v>1013.350322347704</v>
      </c>
      <c r="I7" s="34">
        <v>1013.350322347704</v>
      </c>
      <c r="J7" s="33">
        <v>1012.581587424282</v>
      </c>
      <c r="K7" s="34">
        <v>1012.581587424282</v>
      </c>
      <c r="L7" s="33">
        <v>1011.8606652613159</v>
      </c>
      <c r="M7" s="34">
        <v>1011.8606652613159</v>
      </c>
      <c r="N7" s="33">
        <v>1011.1882468244816</v>
      </c>
      <c r="O7" s="34">
        <v>1011.1882468244816</v>
      </c>
      <c r="P7" s="33">
        <v>1010.5599960170057</v>
      </c>
      <c r="Q7" s="34">
        <v>1010.5599960170057</v>
      </c>
      <c r="R7" s="33">
        <v>1009.9604282100831</v>
      </c>
      <c r="S7" s="34">
        <v>1009.9604282100831</v>
      </c>
      <c r="T7" s="33">
        <v>1009.3486230047735</v>
      </c>
      <c r="U7" s="34">
        <v>1009.3486230047735</v>
      </c>
      <c r="V7" s="33">
        <v>1008.6197756314519</v>
      </c>
      <c r="W7" s="34">
        <v>1008.6197756314519</v>
      </c>
      <c r="X7" s="33">
        <v>1007.4775749169006</v>
      </c>
      <c r="Y7" s="34">
        <v>1007.4775749169006</v>
      </c>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1046.075283853593</v>
      </c>
      <c r="E8" s="36">
        <v>1046.075283853593</v>
      </c>
      <c r="F8" s="35">
        <v>1087.9921915206785</v>
      </c>
      <c r="G8" s="36">
        <v>1087.9921915206785</v>
      </c>
      <c r="H8" s="35">
        <v>1131.3735668392544</v>
      </c>
      <c r="I8" s="36">
        <v>1131.3735668392544</v>
      </c>
      <c r="J8" s="35">
        <v>1175.998332974945</v>
      </c>
      <c r="K8" s="36">
        <v>1175.998332974945</v>
      </c>
      <c r="L8" s="35">
        <v>1221.565612193524</v>
      </c>
      <c r="M8" s="36">
        <v>1221.565612193524</v>
      </c>
      <c r="N8" s="35">
        <v>1267.6952659883532</v>
      </c>
      <c r="O8" s="36">
        <v>1267.6952659883532</v>
      </c>
      <c r="P8" s="35">
        <v>1313.9523423492892</v>
      </c>
      <c r="Q8" s="36">
        <v>1313.9523423492892</v>
      </c>
      <c r="R8" s="35">
        <v>1359.9195893973476</v>
      </c>
      <c r="S8" s="36">
        <v>1359.9195893973476</v>
      </c>
      <c r="T8" s="35">
        <v>1405.3868285184185</v>
      </c>
      <c r="U8" s="36">
        <v>1405.3868285184185</v>
      </c>
      <c r="V8" s="35">
        <v>1450.8687098634746</v>
      </c>
      <c r="W8" s="36">
        <v>1450.8687098634746</v>
      </c>
      <c r="X8" s="35">
        <v>1499.2554670344123</v>
      </c>
      <c r="Y8" s="36">
        <v>1499.2554670344123</v>
      </c>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1015.0190265936417</v>
      </c>
      <c r="E9" s="42">
        <v>1046.075283853593</v>
      </c>
      <c r="F9" s="41">
        <v>1014.164011213478</v>
      </c>
      <c r="G9" s="42">
        <v>1087.9921915206785</v>
      </c>
      <c r="H9" s="41">
        <v>1013.350322347704</v>
      </c>
      <c r="I9" s="42">
        <v>1131.3735668392544</v>
      </c>
      <c r="J9" s="41">
        <v>1012.581587424282</v>
      </c>
      <c r="K9" s="42">
        <v>1175.998332974945</v>
      </c>
      <c r="L9" s="41">
        <v>1011.8606652613159</v>
      </c>
      <c r="M9" s="42">
        <v>1221.565612193524</v>
      </c>
      <c r="N9" s="41">
        <v>1011.1882468244816</v>
      </c>
      <c r="O9" s="42">
        <v>1267.6952659883532</v>
      </c>
      <c r="P9" s="41">
        <v>1010.5599960170057</v>
      </c>
      <c r="Q9" s="42">
        <v>1313.9523423492892</v>
      </c>
      <c r="R9" s="41">
        <v>1009.9604282100831</v>
      </c>
      <c r="S9" s="42">
        <v>1359.9195893973476</v>
      </c>
      <c r="T9" s="41">
        <v>1009.3486230047735</v>
      </c>
      <c r="U9" s="42">
        <v>1405.3868285184185</v>
      </c>
      <c r="V9" s="41">
        <v>1008.6197756314519</v>
      </c>
      <c r="W9" s="42">
        <v>1450.8687098634746</v>
      </c>
      <c r="X9" s="41">
        <v>1007.4775749169006</v>
      </c>
      <c r="Y9" s="42">
        <v>1499.2554670344123</v>
      </c>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1015.0190265936417</v>
      </c>
      <c r="E10" s="42">
        <v>1046.075283853593</v>
      </c>
      <c r="F10" s="41">
        <v>1014.164011213478</v>
      </c>
      <c r="G10" s="42">
        <v>1087.9921915206785</v>
      </c>
      <c r="H10" s="41">
        <v>1013.350322347704</v>
      </c>
      <c r="I10" s="42">
        <v>1131.3735668392544</v>
      </c>
      <c r="J10" s="41">
        <v>1012.581587424282</v>
      </c>
      <c r="K10" s="42">
        <v>1175.998332974945</v>
      </c>
      <c r="L10" s="41">
        <v>1011.8606652613159</v>
      </c>
      <c r="M10" s="42">
        <v>1221.565612193524</v>
      </c>
      <c r="N10" s="41">
        <v>1011.1882468244816</v>
      </c>
      <c r="O10" s="42">
        <v>1267.6952659883532</v>
      </c>
      <c r="P10" s="41">
        <v>1010.5599960170057</v>
      </c>
      <c r="Q10" s="42">
        <v>1313.9523423492892</v>
      </c>
      <c r="R10" s="41">
        <v>1009.9604282100831</v>
      </c>
      <c r="S10" s="42">
        <v>1359.9195893973476</v>
      </c>
      <c r="T10" s="41">
        <v>1009.3486230047735</v>
      </c>
      <c r="U10" s="42">
        <v>1405.3868285184185</v>
      </c>
      <c r="V10" s="41">
        <v>1008.6197756314519</v>
      </c>
      <c r="W10" s="42">
        <v>1450.8687098634746</v>
      </c>
      <c r="X10" s="41">
        <v>1007.4775749169006</v>
      </c>
      <c r="Y10" s="42">
        <v>1499.2554670344123</v>
      </c>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1015.0190265936417</v>
      </c>
      <c r="E11" s="42">
        <v>1046.075283853593</v>
      </c>
      <c r="F11" s="41">
        <v>1014.164011213478</v>
      </c>
      <c r="G11" s="42">
        <v>1087.9921915206785</v>
      </c>
      <c r="H11" s="41">
        <v>1013.350322347704</v>
      </c>
      <c r="I11" s="42">
        <v>1131.3735668392544</v>
      </c>
      <c r="J11" s="41">
        <v>1012.581587424282</v>
      </c>
      <c r="K11" s="42">
        <v>1175.998332974945</v>
      </c>
      <c r="L11" s="41">
        <v>1011.8606652613159</v>
      </c>
      <c r="M11" s="42">
        <v>1221.565612193524</v>
      </c>
      <c r="N11" s="41">
        <v>1011.1882468244816</v>
      </c>
      <c r="O11" s="42">
        <v>1267.6952659883532</v>
      </c>
      <c r="P11" s="41">
        <v>1010.5599960170057</v>
      </c>
      <c r="Q11" s="42">
        <v>1313.9523423492892</v>
      </c>
      <c r="R11" s="41">
        <v>1009.9604282100831</v>
      </c>
      <c r="S11" s="42">
        <v>1359.9195893973476</v>
      </c>
      <c r="T11" s="41">
        <v>1009.3486230047735</v>
      </c>
      <c r="U11" s="42">
        <v>1405.3868285184185</v>
      </c>
      <c r="V11" s="41">
        <v>1008.6197756314519</v>
      </c>
      <c r="W11" s="42">
        <v>1450.8687098634746</v>
      </c>
      <c r="X11" s="41">
        <v>1007.4775749169006</v>
      </c>
      <c r="Y11" s="42">
        <v>1499.2554670344123</v>
      </c>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1001.3248617391544</v>
      </c>
      <c r="E13" s="98">
        <v>1001.3248617391544</v>
      </c>
      <c r="F13" s="97">
        <v>1002.7202006235425</v>
      </c>
      <c r="G13" s="98">
        <v>1002.7202006235425</v>
      </c>
      <c r="H13" s="97">
        <v>1004.1809104330076</v>
      </c>
      <c r="I13" s="98">
        <v>1004.1809104330076</v>
      </c>
      <c r="J13" s="97">
        <v>1005.6990702356521</v>
      </c>
      <c r="K13" s="98">
        <v>1005.6990702356521</v>
      </c>
      <c r="L13" s="97">
        <v>1007.2631497818498</v>
      </c>
      <c r="M13" s="98">
        <v>1007.2631497818498</v>
      </c>
      <c r="N13" s="97">
        <v>1008.8569158686961</v>
      </c>
      <c r="O13" s="98">
        <v>1008.8569158686961</v>
      </c>
      <c r="P13" s="97">
        <v>1010.4580269440872</v>
      </c>
      <c r="Q13" s="98">
        <v>1010.4580269440872</v>
      </c>
      <c r="R13" s="97">
        <v>1012.0355876119398</v>
      </c>
      <c r="S13" s="98">
        <v>1012.0355876119398</v>
      </c>
      <c r="T13" s="97">
        <v>1013.5449826144667</v>
      </c>
      <c r="U13" s="98">
        <v>1013.5449826144667</v>
      </c>
      <c r="V13" s="97">
        <v>1014.9139540513638</v>
      </c>
      <c r="W13" s="98">
        <v>1014.9139540513638</v>
      </c>
      <c r="X13" s="97">
        <v>1015.9928179984647</v>
      </c>
      <c r="Y13" s="98">
        <v>1015.9928179984647</v>
      </c>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1458.9337532373154</v>
      </c>
      <c r="E14" s="42">
        <v>1458.9337532373156</v>
      </c>
      <c r="F14" s="41">
        <v>1460.9667667711076</v>
      </c>
      <c r="G14" s="42">
        <v>1460.9667667711078</v>
      </c>
      <c r="H14" s="41">
        <v>1463.095025966642</v>
      </c>
      <c r="I14" s="42">
        <v>1463.0950259666422</v>
      </c>
      <c r="J14" s="41">
        <v>1465.3069899990132</v>
      </c>
      <c r="K14" s="42">
        <v>1465.3069899990135</v>
      </c>
      <c r="L14" s="41">
        <v>1467.5858592550235</v>
      </c>
      <c r="M14" s="42">
        <v>1467.5858592550237</v>
      </c>
      <c r="N14" s="41">
        <v>1469.9079819024391</v>
      </c>
      <c r="O14" s="42">
        <v>1469.9079819024394</v>
      </c>
      <c r="P14" s="41">
        <v>1472.2408062233226</v>
      </c>
      <c r="Q14" s="42">
        <v>1472.2408062233228</v>
      </c>
      <c r="R14" s="41">
        <v>1474.5393175197587</v>
      </c>
      <c r="S14" s="42">
        <v>1474.5393175197589</v>
      </c>
      <c r="T14" s="41">
        <v>1476.7385112083377</v>
      </c>
      <c r="U14" s="42">
        <v>1476.738511208338</v>
      </c>
      <c r="V14" s="41">
        <v>1478.7331072808233</v>
      </c>
      <c r="W14" s="42">
        <v>1478.7331072808236</v>
      </c>
      <c r="X14" s="41">
        <v>1480.3050157470154</v>
      </c>
      <c r="Y14" s="42">
        <v>1480.3050157470157</v>
      </c>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991.67622669381706</v>
      </c>
      <c r="E15" s="155">
        <v>991.67622669381706</v>
      </c>
      <c r="F15" s="154">
        <v>980.37630603982575</v>
      </c>
      <c r="G15" s="155">
        <v>980.37630603982575</v>
      </c>
      <c r="H15" s="154">
        <v>965.71709910216202</v>
      </c>
      <c r="I15" s="155">
        <v>965.71709910216202</v>
      </c>
      <c r="J15" s="154">
        <v>947.2886650442955</v>
      </c>
      <c r="K15" s="155">
        <v>947.2886650442955</v>
      </c>
      <c r="L15" s="154">
        <v>924.67058666161074</v>
      </c>
      <c r="M15" s="155">
        <v>924.67058666161074</v>
      </c>
      <c r="N15" s="154">
        <v>897.45004431590633</v>
      </c>
      <c r="O15" s="155">
        <v>897.45004431590633</v>
      </c>
      <c r="P15" s="154">
        <v>865.26091056191581</v>
      </c>
      <c r="Q15" s="155">
        <v>865.26091056191581</v>
      </c>
      <c r="R15" s="154">
        <v>827.83966876737804</v>
      </c>
      <c r="S15" s="155">
        <v>827.83966876737804</v>
      </c>
      <c r="T15" s="154">
        <v>785.12334101733131</v>
      </c>
      <c r="U15" s="155">
        <v>785.12334101733131</v>
      </c>
      <c r="V15" s="154">
        <v>737.45464390333962</v>
      </c>
      <c r="W15" s="155">
        <v>737.45464390333962</v>
      </c>
      <c r="X15" s="154">
        <v>686.13453530919026</v>
      </c>
      <c r="Y15" s="155">
        <v>686.13453530919026</v>
      </c>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997.43910950641509</v>
      </c>
      <c r="E16" s="42">
        <v>994.88524219666112</v>
      </c>
      <c r="F16" s="41">
        <v>994.88267298853816</v>
      </c>
      <c r="G16" s="42">
        <v>988.69674929554446</v>
      </c>
      <c r="H16" s="41">
        <v>992.34208831461012</v>
      </c>
      <c r="I16" s="42">
        <v>981.37786848560449</v>
      </c>
      <c r="J16" s="41">
        <v>989.83093944516952</v>
      </c>
      <c r="K16" s="42">
        <v>972.90674464992321</v>
      </c>
      <c r="L16" s="41">
        <v>987.36438051639459</v>
      </c>
      <c r="M16" s="42">
        <v>963.32533269959879</v>
      </c>
      <c r="N16" s="41">
        <v>984.95759176721378</v>
      </c>
      <c r="O16" s="42">
        <v>952.79513485093685</v>
      </c>
      <c r="P16" s="41">
        <v>982.62203676420495</v>
      </c>
      <c r="Q16" s="42">
        <v>941.69854498795291</v>
      </c>
      <c r="R16" s="41">
        <v>980.35711421436372</v>
      </c>
      <c r="S16" s="42">
        <v>930.85223939291927</v>
      </c>
      <c r="T16" s="41">
        <v>978.13040302802108</v>
      </c>
      <c r="U16" s="42">
        <v>922.00175034171821</v>
      </c>
      <c r="V16" s="41">
        <v>975.82474074828292</v>
      </c>
      <c r="W16" s="42">
        <v>919.17153425299307</v>
      </c>
      <c r="X16" s="41">
        <v>973.06582162494192</v>
      </c>
      <c r="Y16" s="42">
        <v>933.32881945769259</v>
      </c>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999.20127491778305</v>
      </c>
      <c r="E17" s="36">
        <v>1018.8686501240244</v>
      </c>
      <c r="F17" s="35">
        <v>998.43676292591647</v>
      </c>
      <c r="G17" s="36">
        <v>1037.9531116799772</v>
      </c>
      <c r="H17" s="35">
        <v>997.70968859002073</v>
      </c>
      <c r="I17" s="36">
        <v>1057.1329463609782</v>
      </c>
      <c r="J17" s="35">
        <v>997.02322032611721</v>
      </c>
      <c r="K17" s="36">
        <v>1076.2676311856342</v>
      </c>
      <c r="L17" s="35">
        <v>996.37983365763318</v>
      </c>
      <c r="M17" s="36">
        <v>1095.2081012129238</v>
      </c>
      <c r="N17" s="35">
        <v>995.78007207489622</v>
      </c>
      <c r="O17" s="36">
        <v>1113.8261426248894</v>
      </c>
      <c r="P17" s="35">
        <v>995.2199999546865</v>
      </c>
      <c r="Q17" s="36">
        <v>1132.0794578570687</v>
      </c>
      <c r="R17" s="35">
        <v>994.68576298560924</v>
      </c>
      <c r="S17" s="36">
        <v>1150.1580569068399</v>
      </c>
      <c r="T17" s="35">
        <v>994.14089031315552</v>
      </c>
      <c r="U17" s="36">
        <v>1168.8321750627931</v>
      </c>
      <c r="V17" s="35">
        <v>993.49213319611465</v>
      </c>
      <c r="W17" s="36">
        <v>1190.3973706290401</v>
      </c>
      <c r="X17" s="35">
        <v>992.47621850053474</v>
      </c>
      <c r="Y17" s="36">
        <v>1221.8524465587384</v>
      </c>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27263.587547697312</v>
      </c>
      <c r="E18" s="34">
        <v>1160.9375749001474</v>
      </c>
      <c r="F18" s="33">
        <v>26605.482336258337</v>
      </c>
      <c r="G18" s="34">
        <v>1086.5060751677943</v>
      </c>
      <c r="H18" s="33">
        <v>25876.074952486157</v>
      </c>
      <c r="I18" s="34">
        <v>1013.5632765699502</v>
      </c>
      <c r="J18" s="33">
        <v>25068.528743203235</v>
      </c>
      <c r="K18" s="34">
        <v>942.19279214725225</v>
      </c>
      <c r="L18" s="33">
        <v>24176.151159260997</v>
      </c>
      <c r="M18" s="34">
        <v>872.45986922169254</v>
      </c>
      <c r="N18" s="33">
        <v>23192.872141877622</v>
      </c>
      <c r="O18" s="34">
        <v>804.39620680308053</v>
      </c>
      <c r="P18" s="33">
        <v>22114.121451014733</v>
      </c>
      <c r="Q18" s="34">
        <v>737.97196248026751</v>
      </c>
      <c r="R18" s="33">
        <v>20938.203468020361</v>
      </c>
      <c r="S18" s="34">
        <v>673.04818846653302</v>
      </c>
      <c r="T18" s="33">
        <v>19668.831606332351</v>
      </c>
      <c r="U18" s="34">
        <v>609.28041135320007</v>
      </c>
      <c r="V18" s="33">
        <v>18320.823779867173</v>
      </c>
      <c r="W18" s="34">
        <v>545.88300936875874</v>
      </c>
      <c r="X18" s="33">
        <v>16936.894129862954</v>
      </c>
      <c r="Y18" s="34">
        <v>480.88291880834799</v>
      </c>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1842.317768161633</v>
      </c>
      <c r="E19" s="42">
        <v>260.61901496336043</v>
      </c>
      <c r="F19" s="41">
        <v>1794.213354257701</v>
      </c>
      <c r="G19" s="42">
        <v>257.62770786170591</v>
      </c>
      <c r="H19" s="41">
        <v>1741.6640432739207</v>
      </c>
      <c r="I19" s="42">
        <v>253.69435410423827</v>
      </c>
      <c r="J19" s="41">
        <v>1684.2375882911274</v>
      </c>
      <c r="K19" s="42">
        <v>248.69959388405147</v>
      </c>
      <c r="L19" s="41">
        <v>1621.5067334991957</v>
      </c>
      <c r="M19" s="42">
        <v>242.53345578788202</v>
      </c>
      <c r="N19" s="41">
        <v>1553.075659902566</v>
      </c>
      <c r="O19" s="42">
        <v>235.11240267914195</v>
      </c>
      <c r="P19" s="41">
        <v>1478.629272960975</v>
      </c>
      <c r="Q19" s="42">
        <v>226.40748710316447</v>
      </c>
      <c r="R19" s="41">
        <v>1398.0081460627753</v>
      </c>
      <c r="S19" s="42">
        <v>216.49462745577569</v>
      </c>
      <c r="T19" s="41">
        <v>1311.3433585862317</v>
      </c>
      <c r="U19" s="42">
        <v>205.65499938481091</v>
      </c>
      <c r="V19" s="41">
        <v>1219.3512556942028</v>
      </c>
      <c r="W19" s="42">
        <v>194.62152505802797</v>
      </c>
      <c r="X19" s="41">
        <v>1124.176764926917</v>
      </c>
      <c r="Y19" s="42">
        <v>185.3792368260151</v>
      </c>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25973.673312712486</v>
      </c>
      <c r="E20" s="83">
        <v>1338.1147774499941</v>
      </c>
      <c r="F20" s="82">
        <v>25338.149503652625</v>
      </c>
      <c r="G20" s="83">
        <v>1267.6876838999945</v>
      </c>
      <c r="H20" s="82">
        <v>24635.555845595729</v>
      </c>
      <c r="I20" s="83">
        <v>1197.2605903499943</v>
      </c>
      <c r="J20" s="82">
        <v>23859.454119581602</v>
      </c>
      <c r="K20" s="83">
        <v>1126.8334967999951</v>
      </c>
      <c r="L20" s="82">
        <v>23003.532289760882</v>
      </c>
      <c r="M20" s="83">
        <v>1056.4064032499953</v>
      </c>
      <c r="N20" s="82">
        <v>22062.046054834198</v>
      </c>
      <c r="O20" s="83">
        <v>985.97930969999561</v>
      </c>
      <c r="P20" s="82">
        <v>21030.630589886518</v>
      </c>
      <c r="Q20" s="83">
        <v>915.55221614999596</v>
      </c>
      <c r="R20" s="82">
        <v>19907.567001179912</v>
      </c>
      <c r="S20" s="83">
        <v>845.12512259999642</v>
      </c>
      <c r="T20" s="82">
        <v>18696.108982734135</v>
      </c>
      <c r="U20" s="83">
        <v>774.69802904999653</v>
      </c>
      <c r="V20" s="82">
        <v>17409.691343928163</v>
      </c>
      <c r="W20" s="83">
        <v>704.27093549999688</v>
      </c>
      <c r="X20" s="82">
        <v>16087.221007608438</v>
      </c>
      <c r="Y20" s="83">
        <v>633.84384194999711</v>
      </c>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24131.357078441164</v>
      </c>
      <c r="E21" s="83">
        <v>1077.568651906015</v>
      </c>
      <c r="F21" s="82">
        <v>23543.941885104981</v>
      </c>
      <c r="G21" s="83">
        <v>1010.3404451011554</v>
      </c>
      <c r="H21" s="82">
        <v>22893.903780657558</v>
      </c>
      <c r="I21" s="83">
        <v>944.16866032456574</v>
      </c>
      <c r="J21" s="82">
        <v>22175.236140793368</v>
      </c>
      <c r="K21" s="83">
        <v>879.14760040562032</v>
      </c>
      <c r="L21" s="82">
        <v>21382.053534188228</v>
      </c>
      <c r="M21" s="83">
        <v>815.35831089675264</v>
      </c>
      <c r="N21" s="82">
        <v>20509.006874913139</v>
      </c>
      <c r="O21" s="83">
        <v>752.85366939983032</v>
      </c>
      <c r="P21" s="82">
        <v>19552.045957156442</v>
      </c>
      <c r="Q21" s="83">
        <v>691.63440147350229</v>
      </c>
      <c r="R21" s="82">
        <v>18509.611110136273</v>
      </c>
      <c r="S21" s="83">
        <v>631.60666927391753</v>
      </c>
      <c r="T21" s="82">
        <v>17384.825307983167</v>
      </c>
      <c r="U21" s="83">
        <v>572.49760182035311</v>
      </c>
      <c r="V21" s="82">
        <v>16190.408694867177</v>
      </c>
      <c r="W21" s="83">
        <v>513.6486333913499</v>
      </c>
      <c r="X21" s="82">
        <v>14963.129053666678</v>
      </c>
      <c r="Y21" s="83">
        <v>453.35519041308095</v>
      </c>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6394.4645388384715</v>
      </c>
      <c r="E22" s="42">
        <v>362.81731473380898</v>
      </c>
      <c r="F22" s="41">
        <v>6240.0319992068853</v>
      </c>
      <c r="G22" s="42">
        <v>345.49284243350286</v>
      </c>
      <c r="H22" s="41">
        <v>6068.771818750125</v>
      </c>
      <c r="I22" s="42">
        <v>327.93098797941059</v>
      </c>
      <c r="J22" s="41">
        <v>5879.1009937866647</v>
      </c>
      <c r="K22" s="42">
        <v>310.12952182770016</v>
      </c>
      <c r="L22" s="41">
        <v>5669.4714521767655</v>
      </c>
      <c r="M22" s="42">
        <v>292.08881354968003</v>
      </c>
      <c r="N22" s="41">
        <v>5438.4789391076993</v>
      </c>
      <c r="O22" s="42">
        <v>273.8128797703547</v>
      </c>
      <c r="P22" s="41">
        <v>5185.0624482027488</v>
      </c>
      <c r="Q22" s="42">
        <v>255.31202673580023</v>
      </c>
      <c r="R22" s="41">
        <v>4908.8143618404483</v>
      </c>
      <c r="S22" s="42">
        <v>236.6067664193435</v>
      </c>
      <c r="T22" s="41">
        <v>4610.5491589258445</v>
      </c>
      <c r="U22" s="42">
        <v>217.7360115411507</v>
      </c>
      <c r="V22" s="41">
        <v>4293.575278558862</v>
      </c>
      <c r="W22" s="42">
        <v>198.77769836269073</v>
      </c>
      <c r="X22" s="41">
        <v>3967.4234979884568</v>
      </c>
      <c r="Y22" s="42">
        <v>179.91441891768201</v>
      </c>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3211.4403825066752</v>
      </c>
      <c r="E23" s="8">
        <v>0</v>
      </c>
      <c r="F23" s="116">
        <v>3136.6120015814508</v>
      </c>
      <c r="G23" s="8">
        <v>0</v>
      </c>
      <c r="H23" s="116">
        <v>3053.2088422931884</v>
      </c>
      <c r="I23" s="8">
        <v>0</v>
      </c>
      <c r="J23" s="116">
        <v>2960.3939599432438</v>
      </c>
      <c r="K23" s="8">
        <v>0</v>
      </c>
      <c r="L23" s="116">
        <v>2857.3440664532982</v>
      </c>
      <c r="M23" s="8">
        <v>0</v>
      </c>
      <c r="N23" s="116">
        <v>2743.3058806864019</v>
      </c>
      <c r="O23" s="8">
        <v>0</v>
      </c>
      <c r="P23" s="116">
        <v>2617.7000752186764</v>
      </c>
      <c r="Q23" s="8">
        <v>0</v>
      </c>
      <c r="R23" s="116">
        <v>2480.2832818201828</v>
      </c>
      <c r="S23" s="8">
        <v>0</v>
      </c>
      <c r="T23" s="116">
        <v>2331.4451612097678</v>
      </c>
      <c r="U23" s="8">
        <v>0</v>
      </c>
      <c r="V23" s="116">
        <v>2172.8715408895951</v>
      </c>
      <c r="W23" s="8">
        <v>0</v>
      </c>
      <c r="X23" s="116">
        <v>2009.4846226159259</v>
      </c>
      <c r="Y23" s="8">
        <v>0</v>
      </c>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3131.0029133829412</v>
      </c>
      <c r="E24" s="8">
        <v>0</v>
      </c>
      <c r="F24" s="97">
        <v>3058.048768791497</v>
      </c>
      <c r="G24" s="8">
        <v>0</v>
      </c>
      <c r="H24" s="97">
        <v>2976.7346201699329</v>
      </c>
      <c r="I24" s="8">
        <v>0</v>
      </c>
      <c r="J24" s="97">
        <v>2886.244487338925</v>
      </c>
      <c r="K24" s="8">
        <v>0</v>
      </c>
      <c r="L24" s="97">
        <v>2785.7757007636096</v>
      </c>
      <c r="M24" s="8">
        <v>0</v>
      </c>
      <c r="N24" s="97">
        <v>2674.5938496796966</v>
      </c>
      <c r="O24" s="8">
        <v>0</v>
      </c>
      <c r="P24" s="97">
        <v>2552.1341148542601</v>
      </c>
      <c r="Q24" s="8">
        <v>0</v>
      </c>
      <c r="R24" s="97">
        <v>2418.1592200807436</v>
      </c>
      <c r="S24" s="8">
        <v>0</v>
      </c>
      <c r="T24" s="97">
        <v>2273.0490741286271</v>
      </c>
      <c r="U24" s="8">
        <v>0</v>
      </c>
      <c r="V24" s="97">
        <v>2118.4472752239803</v>
      </c>
      <c r="W24" s="8">
        <v>0</v>
      </c>
      <c r="X24" s="97">
        <v>1959.1527312153319</v>
      </c>
      <c r="Y24" s="8">
        <v>0</v>
      </c>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3132.2279766832939</v>
      </c>
      <c r="E25" s="42">
        <v>83.354874787416705</v>
      </c>
      <c r="F25" s="41">
        <v>3061.5311465009831</v>
      </c>
      <c r="G25" s="42">
        <v>76.115293842818133</v>
      </c>
      <c r="H25" s="41">
        <v>2982.1517078966954</v>
      </c>
      <c r="I25" s="42">
        <v>69.292372206954226</v>
      </c>
      <c r="J25" s="41">
        <v>2893.2606705861576</v>
      </c>
      <c r="K25" s="42">
        <v>62.881314610851149</v>
      </c>
      <c r="L25" s="41">
        <v>2794.0519785270671</v>
      </c>
      <c r="M25" s="42">
        <v>56.872636020285782</v>
      </c>
      <c r="N25" s="41">
        <v>2683.8056357534765</v>
      </c>
      <c r="O25" s="42">
        <v>51.250081150672393</v>
      </c>
      <c r="P25" s="41">
        <v>2562.002396374296</v>
      </c>
      <c r="Q25" s="42">
        <v>45.987094516970373</v>
      </c>
      <c r="R25" s="41">
        <v>2428.5066612421297</v>
      </c>
      <c r="S25" s="42">
        <v>41.040531437693751</v>
      </c>
      <c r="T25" s="41">
        <v>2283.9082519868648</v>
      </c>
      <c r="U25" s="42">
        <v>36.33769281656717</v>
      </c>
      <c r="V25" s="41">
        <v>2130.3021545828983</v>
      </c>
      <c r="W25" s="42">
        <v>31.744627714109047</v>
      </c>
      <c r="X25" s="41">
        <v>1973.6250600310577</v>
      </c>
      <c r="Y25" s="42">
        <v>26.970800237153998</v>
      </c>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4840.5900811808724</v>
      </c>
      <c r="E26" s="34">
        <v>69.326010492046692</v>
      </c>
      <c r="F26" s="33">
        <v>4637.6725659046169</v>
      </c>
      <c r="G26" s="34">
        <v>63.968228726626172</v>
      </c>
      <c r="H26" s="33">
        <v>4427.3672594941854</v>
      </c>
      <c r="I26" s="34">
        <v>58.835625929977667</v>
      </c>
      <c r="J26" s="33">
        <v>4209.5785485590641</v>
      </c>
      <c r="K26" s="34">
        <v>53.930757600312603</v>
      </c>
      <c r="L26" s="33">
        <v>3984.3333986132338</v>
      </c>
      <c r="M26" s="34">
        <v>49.254003436786675</v>
      </c>
      <c r="N26" s="33">
        <v>3751.8383367075071</v>
      </c>
      <c r="O26" s="34">
        <v>44.802703281434312</v>
      </c>
      <c r="P26" s="33">
        <v>3512.5705279049675</v>
      </c>
      <c r="Q26" s="34">
        <v>40.569037807246112</v>
      </c>
      <c r="R26" s="33">
        <v>3267.4341485093255</v>
      </c>
      <c r="S26" s="34">
        <v>36.536890040796798</v>
      </c>
      <c r="T26" s="33">
        <v>3018.0790855680311</v>
      </c>
      <c r="U26" s="34">
        <v>32.67539994592908</v>
      </c>
      <c r="V26" s="33">
        <v>2767.6995224215038</v>
      </c>
      <c r="W26" s="34">
        <v>28.923353380608038</v>
      </c>
      <c r="X26" s="33">
        <v>2523.6296359355742</v>
      </c>
      <c r="Y26" s="34">
        <v>25.141251563087508</v>
      </c>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6438.5859852679077</v>
      </c>
      <c r="E27" s="36">
        <v>259.83900017852199</v>
      </c>
      <c r="F27" s="35">
        <v>6451.6043749522469</v>
      </c>
      <c r="G27" s="36">
        <v>246.82009554160791</v>
      </c>
      <c r="H27" s="35">
        <v>6464.2123845866545</v>
      </c>
      <c r="I27" s="36">
        <v>234.21573099223122</v>
      </c>
      <c r="J27" s="35">
        <v>6476.3521817644705</v>
      </c>
      <c r="K27" s="36">
        <v>222.07641306669981</v>
      </c>
      <c r="L27" s="35">
        <v>6487.9690669252223</v>
      </c>
      <c r="M27" s="36">
        <v>210.46238836536702</v>
      </c>
      <c r="N27" s="35">
        <v>6498.9813783065247</v>
      </c>
      <c r="O27" s="36">
        <v>199.44702477515182</v>
      </c>
      <c r="P27" s="35">
        <v>6509.2995997976986</v>
      </c>
      <c r="Q27" s="36">
        <v>189.12538404474262</v>
      </c>
      <c r="R27" s="35">
        <v>6518.7977284622712</v>
      </c>
      <c r="S27" s="36">
        <v>179.63178273299212</v>
      </c>
      <c r="T27" s="35">
        <v>6527.2429456725658</v>
      </c>
      <c r="U27" s="36">
        <v>171.18258591202738</v>
      </c>
      <c r="V27" s="35">
        <v>6534.2290226186269</v>
      </c>
      <c r="W27" s="36">
        <v>164.19425505687624</v>
      </c>
      <c r="X27" s="35">
        <v>6538.7723633776523</v>
      </c>
      <c r="Y27" s="36">
        <v>159.65122352306599</v>
      </c>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13763.097676000007</v>
      </c>
      <c r="C28" s="42">
        <v>382.36647900000003</v>
      </c>
      <c r="D28" s="41">
        <v>13481.621362625279</v>
      </c>
      <c r="E28" s="42">
        <v>360.66315750563382</v>
      </c>
      <c r="F28" s="41">
        <v>13167.873707942856</v>
      </c>
      <c r="G28" s="42">
        <v>339.26707500261875</v>
      </c>
      <c r="H28" s="41">
        <v>12818.420823673452</v>
      </c>
      <c r="I28" s="42">
        <v>318.19362966053092</v>
      </c>
      <c r="J28" s="41">
        <v>12429.696791772754</v>
      </c>
      <c r="K28" s="42">
        <v>297.45451599028439</v>
      </c>
      <c r="L28" s="41">
        <v>11998.185669880157</v>
      </c>
      <c r="M28" s="42">
        <v>277.05349262320402</v>
      </c>
      <c r="N28" s="41">
        <v>11520.665722766847</v>
      </c>
      <c r="O28" s="42">
        <v>256.98026449999514</v>
      </c>
      <c r="P28" s="41">
        <v>10994.659094541621</v>
      </c>
      <c r="Q28" s="42">
        <v>237.19934123997774</v>
      </c>
      <c r="R28" s="41">
        <v>10419.139539121015</v>
      </c>
      <c r="S28" s="42">
        <v>217.62995551174498</v>
      </c>
      <c r="T28" s="41">
        <v>9795.8368414048091</v>
      </c>
      <c r="U28" s="42">
        <v>198.10430438731547</v>
      </c>
      <c r="V28" s="41">
        <v>9132.16182223742</v>
      </c>
      <c r="W28" s="42">
        <v>178.26471213116807</v>
      </c>
      <c r="X28" s="41">
        <v>8449.8103490947924</v>
      </c>
      <c r="Y28" s="42">
        <v>157.24263190211599</v>
      </c>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14056.616700878329</v>
      </c>
      <c r="E29" s="36">
        <v>766.30095826899458</v>
      </c>
      <c r="F29" s="35">
        <v>13717.130635328102</v>
      </c>
      <c r="G29" s="36">
        <v>716.38576591521496</v>
      </c>
      <c r="H29" s="35">
        <v>13340.899311557643</v>
      </c>
      <c r="I29" s="36">
        <v>667.57802819421727</v>
      </c>
      <c r="J29" s="35">
        <v>12924.399704106376</v>
      </c>
      <c r="K29" s="36">
        <v>619.92934046630353</v>
      </c>
      <c r="L29" s="35">
        <v>12464.182863489228</v>
      </c>
      <c r="M29" s="36">
        <v>573.47779089052551</v>
      </c>
      <c r="N29" s="35">
        <v>11957.120237372628</v>
      </c>
      <c r="O29" s="36">
        <v>528.23745709518107</v>
      </c>
      <c r="P29" s="35">
        <v>11400.855480675951</v>
      </c>
      <c r="Q29" s="36">
        <v>484.17918688265274</v>
      </c>
      <c r="R29" s="35">
        <v>10794.512313366302</v>
      </c>
      <c r="S29" s="36">
        <v>441.19783189197557</v>
      </c>
      <c r="T29" s="35">
        <v>10139.999268302819</v>
      </c>
      <c r="U29" s="36">
        <v>399.04575907480273</v>
      </c>
      <c r="V29" s="35">
        <v>9444.9413404870684</v>
      </c>
      <c r="W29" s="36">
        <v>357.17037098007876</v>
      </c>
      <c r="X29" s="35">
        <v>8731.3216337577305</v>
      </c>
      <c r="Y29" s="36">
        <v>314.20144179002534</v>
      </c>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2861290.8116907417</v>
      </c>
      <c r="F30" s="119">
        <v>2791106.1580327963</v>
      </c>
      <c r="H30" s="119">
        <v>2713590.2631875398</v>
      </c>
      <c r="J30" s="119">
        <v>2628033.0829753135</v>
      </c>
      <c r="L30" s="119">
        <v>2533734.0769213876</v>
      </c>
      <c r="N30" s="119">
        <v>2430050.1177300094</v>
      </c>
      <c r="P30" s="119">
        <v>2316478.9920521202</v>
      </c>
      <c r="R30" s="119">
        <v>2192791.9332304136</v>
      </c>
      <c r="T30" s="119">
        <v>2059273.6716825501</v>
      </c>
      <c r="V30" s="119">
        <v>1917250.2959431405</v>
      </c>
      <c r="X30" s="119">
        <v>1770625.5761064303</v>
      </c>
      <c r="Z30" s="119"/>
      <c r="AB30" s="119"/>
      <c r="AD30" s="119"/>
      <c r="AF30" s="119"/>
      <c r="AH30" s="119"/>
      <c r="AJ30" s="119"/>
      <c r="AL30" s="119"/>
      <c r="AN30" s="119"/>
      <c r="AP30" s="119"/>
      <c r="AR30" s="119"/>
      <c r="AT30" s="119"/>
      <c r="AV30" s="119"/>
    </row>
    <row r="31" spans="1:49" x14ac:dyDescent="0.2">
      <c r="A31" t="s">
        <v>47</v>
      </c>
      <c r="B31" s="80">
        <v>1</v>
      </c>
      <c r="D31" s="80">
        <v>0.97738974502732823</v>
      </c>
      <c r="F31" s="80">
        <v>0.95248623605545135</v>
      </c>
      <c r="H31" s="80">
        <v>0.92507226763515416</v>
      </c>
      <c r="J31" s="80">
        <v>0.89492553739385217</v>
      </c>
      <c r="L31" s="80">
        <v>0.86183086119569285</v>
      </c>
      <c r="N31" s="80">
        <v>0.82559591787403452</v>
      </c>
      <c r="P31" s="80">
        <v>0.78608000411273626</v>
      </c>
      <c r="R31" s="80">
        <v>0.74323849191588209</v>
      </c>
      <c r="T31" s="80">
        <v>0.6972044274990119</v>
      </c>
      <c r="V31" s="80">
        <v>0.64847162578220041</v>
      </c>
      <c r="X31" s="80">
        <v>0.59843304916264728</v>
      </c>
      <c r="Z31" s="80"/>
      <c r="AB31" s="80"/>
      <c r="AD31" s="80"/>
      <c r="AF31" s="80"/>
      <c r="AH31" s="80"/>
      <c r="AJ31" s="80"/>
      <c r="AL31" s="80"/>
      <c r="AN31" s="80"/>
      <c r="AP31" s="80"/>
      <c r="AR31" s="80"/>
      <c r="AT31" s="80"/>
      <c r="AV31" s="80"/>
    </row>
    <row r="32" spans="1:49" x14ac:dyDescent="0.2">
      <c r="A32" t="s">
        <v>64</v>
      </c>
      <c r="B32" s="86">
        <v>14734457.915000005</v>
      </c>
      <c r="D32" s="86">
        <v>14420384.086061515</v>
      </c>
      <c r="F32" s="86">
        <v>14072516.790422644</v>
      </c>
      <c r="H32" s="86">
        <v>13687335.164483411</v>
      </c>
      <c r="J32" s="86">
        <v>13261184.460658513</v>
      </c>
      <c r="L32" s="86">
        <v>12790456.152683973</v>
      </c>
      <c r="N32" s="86">
        <v>12271821.459421864</v>
      </c>
      <c r="P32" s="86">
        <v>11702664.871918956</v>
      </c>
      <c r="R32" s="86">
        <v>11081751.937469414</v>
      </c>
      <c r="T32" s="86">
        <v>10410442.2704763</v>
      </c>
      <c r="V32" s="86">
        <v>9695368.2999061719</v>
      </c>
      <c r="X32" s="86">
        <v>8956180.876060212</v>
      </c>
      <c r="Z32" s="86"/>
      <c r="AB32" s="86"/>
      <c r="AD32" s="86"/>
      <c r="AF32" s="86"/>
      <c r="AH32" s="86"/>
      <c r="AJ32" s="86"/>
      <c r="AL32" s="86"/>
      <c r="AN32" s="86"/>
      <c r="AP32" s="86"/>
      <c r="AR32" s="86"/>
      <c r="AT32" s="86"/>
      <c r="AV32" s="86"/>
    </row>
    <row r="33" spans="1:49 16319:16321" x14ac:dyDescent="0.2">
      <c r="A33" t="s">
        <v>54</v>
      </c>
      <c r="B33" s="117">
        <v>7019665.6909999885</v>
      </c>
      <c r="D33" s="117">
        <v>6870037.3972965507</v>
      </c>
      <c r="F33" s="117">
        <v>6704309.3972100476</v>
      </c>
      <c r="H33" s="117">
        <v>6520804.330332486</v>
      </c>
      <c r="J33" s="117">
        <v>6317781.217591865</v>
      </c>
      <c r="L33" s="117">
        <v>6093520.805618315</v>
      </c>
      <c r="N33" s="117">
        <v>5846437.2752796961</v>
      </c>
      <c r="P33" s="117">
        <v>5575284.5225631427</v>
      </c>
      <c r="R33" s="117">
        <v>5279474.4315258106</v>
      </c>
      <c r="T33" s="117">
        <v>4959654.7675716849</v>
      </c>
      <c r="V33" s="117">
        <v>4618985.2768898932</v>
      </c>
      <c r="X33" s="117">
        <v>4266827.8805823904</v>
      </c>
      <c r="Z33" s="117"/>
      <c r="AB33" s="117"/>
      <c r="AD33" s="117"/>
      <c r="AF33" s="117"/>
      <c r="AH33" s="117"/>
      <c r="AJ33" s="117"/>
      <c r="AL33" s="117"/>
      <c r="AN33" s="117"/>
      <c r="AP33" s="117"/>
      <c r="AR33" s="117"/>
      <c r="AT33" s="117"/>
      <c r="AV33" s="117"/>
    </row>
    <row r="34" spans="1:49 16319:16321" x14ac:dyDescent="0.2">
      <c r="A34" t="s">
        <v>75</v>
      </c>
      <c r="B34" s="117">
        <v>1136879.4410000162</v>
      </c>
      <c r="D34" s="117">
        <v>1112646.0683457172</v>
      </c>
      <c r="F34" s="117">
        <v>1085805.3782243945</v>
      </c>
      <c r="H34" s="117">
        <v>1056085.6827254908</v>
      </c>
      <c r="J34" s="117">
        <v>1023204.8030218298</v>
      </c>
      <c r="L34" s="117">
        <v>986884.42526027537</v>
      </c>
      <c r="N34" s="117">
        <v>946867.65432244085</v>
      </c>
      <c r="P34" s="117">
        <v>902952.73082712677</v>
      </c>
      <c r="R34" s="117">
        <v>855044.41916127247</v>
      </c>
      <c r="T34" s="117">
        <v>803247.58683238947</v>
      </c>
      <c r="V34" s="117">
        <v>748074.00154477637</v>
      </c>
      <c r="X34" s="117">
        <v>691039.85851527983</v>
      </c>
      <c r="Z34" s="117"/>
      <c r="AB34" s="117"/>
      <c r="AD34" s="117"/>
      <c r="AF34" s="117"/>
      <c r="AH34" s="117"/>
      <c r="AJ34" s="117"/>
      <c r="AL34" s="117"/>
      <c r="AN34" s="117"/>
      <c r="AP34" s="117"/>
      <c r="AR34" s="117"/>
      <c r="AT34" s="117"/>
      <c r="AV34" s="117"/>
    </row>
    <row r="35" spans="1:49 16319:16321" x14ac:dyDescent="0.2">
      <c r="A35" t="s">
        <v>78</v>
      </c>
      <c r="B35" s="233">
        <v>1</v>
      </c>
      <c r="D35" s="233">
        <v>1.0013248631914609</v>
      </c>
      <c r="F35" s="233">
        <v>1.0027202017438104</v>
      </c>
      <c r="H35" s="233">
        <v>1.0041809101723425</v>
      </c>
      <c r="J35" s="233">
        <v>1.0056990699232338</v>
      </c>
      <c r="L35" s="233">
        <v>1.007263149057182</v>
      </c>
      <c r="N35" s="233">
        <v>1.0088569157324541</v>
      </c>
      <c r="P35" s="233">
        <v>1.010458027167938</v>
      </c>
      <c r="R35" s="233">
        <v>1.0120355874705551</v>
      </c>
      <c r="T35" s="233">
        <v>1.0135449826994163</v>
      </c>
      <c r="V35" s="233">
        <v>1.0149139541800201</v>
      </c>
      <c r="X35" s="233">
        <v>1.0159928179525453</v>
      </c>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0.47196452555593615</v>
      </c>
      <c r="E36" s="38">
        <v>0.31812171330490074</v>
      </c>
      <c r="F36" s="37">
        <v>0.47197114236232013</v>
      </c>
      <c r="G36" s="38">
        <v>0.31885414548883312</v>
      </c>
      <c r="H36" s="37">
        <v>0.47197749113823306</v>
      </c>
      <c r="I36" s="38">
        <v>0.31958105519184682</v>
      </c>
      <c r="J36" s="37">
        <v>0.47198353586591885</v>
      </c>
      <c r="K36" s="38">
        <v>0.32029732915718057</v>
      </c>
      <c r="L36" s="37">
        <v>0.47198924590599378</v>
      </c>
      <c r="M36" s="38">
        <v>0.32099778925993866</v>
      </c>
      <c r="N36" s="37">
        <v>0.47199460799344761</v>
      </c>
      <c r="O36" s="38">
        <v>0.32167827604884486</v>
      </c>
      <c r="P36" s="37">
        <v>0.4719996494827482</v>
      </c>
      <c r="Q36" s="38">
        <v>0.32233796147380867</v>
      </c>
      <c r="R36" s="37">
        <v>0.47200448930797823</v>
      </c>
      <c r="S36" s="38">
        <v>0.32298445711971002</v>
      </c>
      <c r="T36" s="37">
        <v>0.47200945680365602</v>
      </c>
      <c r="U36" s="38">
        <v>0.32364582697306571</v>
      </c>
      <c r="V36" s="37">
        <v>0.47201541271890279</v>
      </c>
      <c r="W36" s="38">
        <v>0.32440290964129082</v>
      </c>
      <c r="X36" s="37">
        <v>0.47202483011183427</v>
      </c>
      <c r="Y36" s="38">
        <v>0.32549627451840429</v>
      </c>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0.34962461301992531</v>
      </c>
      <c r="D37" s="39">
        <v>2.0978185485437683E-2</v>
      </c>
      <c r="E37" s="40">
        <v>0.34744055166548876</v>
      </c>
      <c r="F37" s="39">
        <v>2.0561965809840464E-2</v>
      </c>
      <c r="G37" s="40">
        <v>0.34526612350344121</v>
      </c>
      <c r="H37" s="39">
        <v>2.0156303501624864E-2</v>
      </c>
      <c r="I37" s="40">
        <v>0.34310990308638928</v>
      </c>
      <c r="J37" s="39">
        <v>1.9763138769030516E-2</v>
      </c>
      <c r="K37" s="40">
        <v>0.34098242697927539</v>
      </c>
      <c r="L37" s="39">
        <v>1.938455416861817E-2</v>
      </c>
      <c r="M37" s="40">
        <v>0.33889666617124986</v>
      </c>
      <c r="N37" s="39">
        <v>1.9022668771965626E-2</v>
      </c>
      <c r="O37" s="40">
        <v>0.3368689668979053</v>
      </c>
      <c r="P37" s="39">
        <v>1.8679385845772487E-2</v>
      </c>
      <c r="Q37" s="40">
        <v>0.3349205295281556</v>
      </c>
      <c r="R37" s="39">
        <v>1.8355873182552825E-2</v>
      </c>
      <c r="S37" s="40">
        <v>0.33308070438480303</v>
      </c>
      <c r="T37" s="39">
        <v>1.8051383500084915E-2</v>
      </c>
      <c r="U37" s="40">
        <v>0.33139484179056244</v>
      </c>
      <c r="V37" s="39">
        <v>1.7760186775750718E-2</v>
      </c>
      <c r="W37" s="40">
        <v>0.32994609998395263</v>
      </c>
      <c r="X37" s="39">
        <v>1.7461982548973826E-2</v>
      </c>
      <c r="Y37" s="40">
        <v>0.32893174833696448</v>
      </c>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0.177547803373724</v>
      </c>
      <c r="E38" s="38">
        <v>5.9715536813432404E-2</v>
      </c>
      <c r="F38" s="37">
        <v>0.17431266636291459</v>
      </c>
      <c r="G38" s="38">
        <v>5.8875168937041845E-2</v>
      </c>
      <c r="H38" s="37">
        <v>0.17109887290185047</v>
      </c>
      <c r="I38" s="38">
        <v>5.8048300772188817E-2</v>
      </c>
      <c r="J38" s="37">
        <v>0.16792284029434301</v>
      </c>
      <c r="K38" s="38">
        <v>5.7239620224014555E-2</v>
      </c>
      <c r="L38" s="37">
        <v>0.16480428883681023</v>
      </c>
      <c r="M38" s="38">
        <v>5.6454176489201022E-2</v>
      </c>
      <c r="N38" s="37">
        <v>0.16176687017271549</v>
      </c>
      <c r="O38" s="38">
        <v>5.5697307996384171E-2</v>
      </c>
      <c r="P38" s="37">
        <v>0.15883834841396283</v>
      </c>
      <c r="Q38" s="38">
        <v>5.4973684462071792E-2</v>
      </c>
      <c r="R38" s="37">
        <v>0.15605131326093905</v>
      </c>
      <c r="S38" s="38">
        <v>5.4285697022737882E-2</v>
      </c>
      <c r="T38" s="37">
        <v>0.15344475696239959</v>
      </c>
      <c r="U38" s="38">
        <v>5.362949364046949E-2</v>
      </c>
      <c r="V38" s="37">
        <v>0.15106850847301637</v>
      </c>
      <c r="W38" s="38">
        <v>5.2984527607946724E-2</v>
      </c>
      <c r="X38" s="37">
        <v>0.14900191360858406</v>
      </c>
      <c r="Y38" s="38">
        <v>5.2281440200431302E-2</v>
      </c>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0.23616062904427676</v>
      </c>
      <c r="E39" s="40">
        <v>0.22381823605017764</v>
      </c>
      <c r="F39" s="39">
        <v>0.24249153965383693</v>
      </c>
      <c r="G39" s="40">
        <v>0.22716862904194099</v>
      </c>
      <c r="H39" s="39">
        <v>0.24981425492298542</v>
      </c>
      <c r="I39" s="40">
        <v>0.23108150858114385</v>
      </c>
      <c r="J39" s="39">
        <v>0.25834592241558602</v>
      </c>
      <c r="K39" s="40">
        <v>0.23570166840333057</v>
      </c>
      <c r="L39" s="39">
        <v>0.2683623635617417</v>
      </c>
      <c r="M39" s="40">
        <v>0.24122873244945597</v>
      </c>
      <c r="N39" s="39">
        <v>0.28021459949204841</v>
      </c>
      <c r="O39" s="40">
        <v>0.24794625221794123</v>
      </c>
      <c r="P39" s="39">
        <v>0.2943503595300645</v>
      </c>
      <c r="Q39" s="40">
        <v>0.25627719433825996</v>
      </c>
      <c r="R39" s="39">
        <v>0.31133510276651266</v>
      </c>
      <c r="S39" s="40">
        <v>0.26689289981191922</v>
      </c>
      <c r="T39" s="39">
        <v>0.33185717770704437</v>
      </c>
      <c r="U39" s="40">
        <v>0.28095862384913073</v>
      </c>
      <c r="V39" s="39">
        <v>0.35665585244038633</v>
      </c>
      <c r="W39" s="40">
        <v>0.30078652795357214</v>
      </c>
      <c r="X39" s="39">
        <v>0.38606679083200723</v>
      </c>
      <c r="Y39" s="40">
        <v>0.3319960374527125</v>
      </c>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0.14312791445054751</v>
      </c>
      <c r="E42" s="135"/>
      <c r="F42" s="177">
        <f>10.8%+(1-10.8%)*(1-SUM(F26:G26)/SUM($B$26:$C$26))</f>
        <v>0.17947584480463333</v>
      </c>
      <c r="G42" s="135"/>
      <c r="H42" s="177">
        <f>10.8%+(1-10.8%)*(1-SUM(H26:I26)/SUM($B$26:$C$26))</f>
        <v>0.21707378479423206</v>
      </c>
      <c r="I42" s="135"/>
      <c r="J42" s="177">
        <f>10.8%+(1-10.8%)*(1-SUM(J26:K26)/SUM($B$26:$C$26))</f>
        <v>0.25593797476006785</v>
      </c>
      <c r="K42" s="135"/>
      <c r="L42" s="177">
        <f>10.8%+(1-10.8%)*(1-SUM(L26:M26)/SUM($B$26:$C$26))</f>
        <v>0.29606364245158201</v>
      </c>
      <c r="M42" s="135"/>
      <c r="N42" s="177">
        <f>10.8%+(1-10.8%)*(1-SUM(N26:O26)/SUM($B$26:$C$26))</f>
        <v>0.33741520928731072</v>
      </c>
      <c r="O42" s="135"/>
      <c r="P42" s="177">
        <f>10.8%+(1-10.8%)*(1-SUM(P26:Q26)/SUM($B$26:$C$26))</f>
        <v>0.37991076566794413</v>
      </c>
      <c r="Q42" s="135"/>
      <c r="R42" s="177">
        <f>10.8%+(1-10.8%)*(1-SUM(R26:S26)/SUM($B$26:$C$26))</f>
        <v>0.42339532864953278</v>
      </c>
      <c r="S42" s="135"/>
      <c r="T42" s="177">
        <f>10.8%+(1-10.8%)*(1-SUM(T26:U26)/SUM($B$26:$C$26))</f>
        <v>0.46758634777177854</v>
      </c>
      <c r="U42" s="135"/>
      <c r="V42" s="177">
        <f>10.8%+(1-10.8%)*(1-SUM(V26:W26)/SUM($B$26:$C$26))</f>
        <v>0.51193706137911343</v>
      </c>
      <c r="W42" s="135"/>
      <c r="X42" s="177">
        <f>10.8%+(1-10.8%)*(1-SUM(X26:Y26)/SUM($B$26:$C$26))</f>
        <v>0.55519186373415608</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0.57467057453159953</v>
      </c>
      <c r="E43" s="135"/>
      <c r="F43" s="162">
        <f t="array" ref="F43">SUM(F15:G15*F27:G27)/SUM(F15:G15*F27:G27,F13:G13*F26:G26)</f>
        <v>0.58210617984837976</v>
      </c>
      <c r="G43" s="135"/>
      <c r="H43" s="162">
        <f t="array" ref="H43">SUM(H15:I15*H27:I27)/SUM(H15:I15*H27:I27,H13:I13*H26:I26)</f>
        <v>0.58947843764537433</v>
      </c>
      <c r="I43" s="135"/>
      <c r="J43" s="162">
        <f t="array" ref="J43">SUM(J15:K15*J27:K27)/SUM(J15:K15*J27:K27,J13:K13*J26:K26)</f>
        <v>0.59675108455096071</v>
      </c>
      <c r="K43" s="135"/>
      <c r="L43" s="162">
        <f t="array" ref="L43">SUM(L15:M15*L27:M27)/SUM(L15:M15*L27:M27,L13:M13*L26:M26)</f>
        <v>0.60388102836751467</v>
      </c>
      <c r="M43" s="135"/>
      <c r="N43" s="162">
        <f t="array" ref="N43">SUM(N15:O15*N27:O27)/SUM(N15:O15*N27:O27,N13:O13*N26:O26)</f>
        <v>0.61081526781839346</v>
      </c>
      <c r="O43" s="135"/>
      <c r="P43" s="162">
        <f t="array" ref="P43">SUM(P15:Q15*P27:Q27)/SUM(P15:Q15*P27:Q27,P13:Q13*P26:Q26)</f>
        <v>0.61749114322110266</v>
      </c>
      <c r="Q43" s="135"/>
      <c r="R43" s="162">
        <f t="array" ref="R43">SUM(R15:S15*R27:S27)/SUM(R15:S15*R27:S27,R13:S13*R26:S26)</f>
        <v>0.62383276086681805</v>
      </c>
      <c r="S43" s="135"/>
      <c r="T43" s="162">
        <f t="array" ref="T43">SUM(T15:U15*T27:U27)/SUM(T15:U15*T27:U27,T13:U13*T26:U26)</f>
        <v>0.62974314224161132</v>
      </c>
      <c r="U43" s="135"/>
      <c r="V43" s="162">
        <f t="array" ref="V43">SUM(V15:W15*V27:W27)/SUM(V15:W15*V27:W27,V13:W13*V26:W26)</f>
        <v>0.63508747234777452</v>
      </c>
      <c r="W43" s="135"/>
      <c r="X43" s="162">
        <f t="array" ref="X43">SUM(X15:Y15*X27:Y27)/SUM(X15:Y15*X27:Y27,X13:Y13*X26:Y26)</f>
        <v>0.63961952061332139</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0.29754225491794034</v>
      </c>
      <c r="F44" s="193">
        <f>(SUM(F11:G11*F24:G24)+F34)/F32</f>
        <v>0.29754225533545536</v>
      </c>
      <c r="H44" s="193">
        <f>(SUM(H11:I11*H24:I24)+H34)/H32</f>
        <v>0.29754226229412056</v>
      </c>
      <c r="J44" s="193">
        <f>(SUM(J11:K11*J24:K24)+J34)/J32</f>
        <v>0.29754226248883092</v>
      </c>
      <c r="L44" s="193">
        <f>(SUM(L11:M11*L24:M24)+L34)/L32</f>
        <v>0.297542263831236</v>
      </c>
      <c r="N44" s="193">
        <f>(SUM(N11:O11*N24:O24)+N34)/N32</f>
        <v>0.29754226234640918</v>
      </c>
      <c r="P44" s="193">
        <f>(SUM(P11:Q11*P24:Q24)+P34)/P32</f>
        <v>0.29754226151723867</v>
      </c>
      <c r="R44" s="193">
        <f>(SUM(R11:S11*R24:S24)+R34)/R32</f>
        <v>0.29754226219461261</v>
      </c>
      <c r="T44" s="193">
        <f>(SUM(T11:U11*T24:U24)+T34)/T32</f>
        <v>0.29754226183175159</v>
      </c>
      <c r="V44" s="193">
        <f>(SUM(V11:W11*V24:W24)+V34)/V32</f>
        <v>0.29754226221567737</v>
      </c>
      <c r="X44" s="193">
        <f>(SUM(X11:Y11*X24:Y24)+X34)/X32</f>
        <v>0.29754226024789465</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0.22038438854590797</v>
      </c>
      <c r="F45" s="193">
        <f>SUM(F11:G11*F24:G24)/F32</f>
        <v>0.22038438838138194</v>
      </c>
      <c r="H45" s="193">
        <f>SUM(H11:I11*H24:I24)/H32</f>
        <v>0.22038438824235659</v>
      </c>
      <c r="J45" s="193">
        <f>SUM(J11:K11*J24:K24)/J32</f>
        <v>0.22038438823880938</v>
      </c>
      <c r="L45" s="193">
        <f>SUM(L11:M11*L24:M24)/L32</f>
        <v>0.22038438818712255</v>
      </c>
      <c r="N45" s="193">
        <f>SUM(N11:O11*N24:O24)/N32</f>
        <v>0.22038438831333565</v>
      </c>
      <c r="P45" s="193">
        <f>SUM(P11:Q11*P24:Q24)/P32</f>
        <v>0.22038438844220937</v>
      </c>
      <c r="R45" s="193">
        <f>SUM(R11:S11*R24:S24)/R32</f>
        <v>0.22038438824237119</v>
      </c>
      <c r="T45" s="193">
        <f>SUM(T11:U11*T24:U24)/T32</f>
        <v>0.22038438842320535</v>
      </c>
      <c r="V45" s="193">
        <f>SUM(V11:W11*V24:W24)/V32</f>
        <v>0.22038438864092971</v>
      </c>
      <c r="X45" s="193">
        <f>SUM(X11:Y11*X24:Y24)/X32</f>
        <v>0.22038438815060116</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7.715786637203241E-2</v>
      </c>
      <c r="F46" s="193">
        <f>F34/F32</f>
        <v>7.7157866954073409E-2</v>
      </c>
      <c r="H46" s="193">
        <f>H34/H32</f>
        <v>7.7157874051763942E-2</v>
      </c>
      <c r="J46" s="193">
        <f>J34/J32</f>
        <v>7.7157874250021574E-2</v>
      </c>
      <c r="L46" s="193">
        <f>L34/L32</f>
        <v>7.7157875644113416E-2</v>
      </c>
      <c r="N46" s="193">
        <f>N34/N32</f>
        <v>7.7157874033073545E-2</v>
      </c>
      <c r="P46" s="193">
        <f>P34/P32</f>
        <v>7.715787307502929E-2</v>
      </c>
      <c r="R46" s="193">
        <f>R34/R32</f>
        <v>7.7157873952241454E-2</v>
      </c>
      <c r="T46" s="193">
        <f>T34/T32</f>
        <v>7.7157873408546282E-2</v>
      </c>
      <c r="V46" s="193">
        <f>V34/V32</f>
        <v>7.715787357474764E-2</v>
      </c>
      <c r="X46" s="193">
        <f>X34/X32</f>
        <v>7.7157872097293495E-2</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0.97954510129398431</v>
      </c>
      <c r="E48" s="191"/>
      <c r="F48" s="191">
        <f>F24/$B$24</f>
        <v>0.9567211445840782</v>
      </c>
      <c r="G48" s="191"/>
      <c r="H48" s="191">
        <f>H24/$B$24</f>
        <v>0.93128173167018735</v>
      </c>
      <c r="I48" s="191"/>
      <c r="J48" s="191">
        <f>J24/$B$24</f>
        <v>0.9029715803282059</v>
      </c>
      <c r="K48" s="191"/>
      <c r="L48" s="191">
        <f>L24/$B$24</f>
        <v>0.87153957261523052</v>
      </c>
      <c r="M48" s="191"/>
      <c r="N48" s="191">
        <f>N24/$B$24</f>
        <v>0.83675594558105026</v>
      </c>
      <c r="O48" s="191"/>
      <c r="P48" s="191">
        <f>P24/$B$24</f>
        <v>0.79844399357318396</v>
      </c>
      <c r="Q48" s="191"/>
      <c r="R48" s="191">
        <f>R24/$B$24</f>
        <v>0.75652948390893682</v>
      </c>
      <c r="S48" s="191"/>
      <c r="T48" s="191">
        <f>T24/$B$24</f>
        <v>0.71113127236212248</v>
      </c>
      <c r="U48" s="191"/>
      <c r="V48" s="191">
        <f>V24/$B$24</f>
        <v>0.6627635643280666</v>
      </c>
      <c r="W48" s="191"/>
      <c r="X48" s="191">
        <f>X24/$B$24</f>
        <v>0.61292771474147556</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0.99999999854961508</v>
      </c>
      <c r="E49" s="191"/>
      <c r="F49" s="191">
        <f>F13/F35/$B$13*$B$35</f>
        <v>0.99999999888277125</v>
      </c>
      <c r="G49" s="191"/>
      <c r="H49" s="191">
        <f>H13/H35/$B$13*$B$35</f>
        <v>1.0000000002595799</v>
      </c>
      <c r="I49" s="191"/>
      <c r="J49" s="191">
        <f>J13/J35/$B$13*$B$35</f>
        <v>1.000000000310648</v>
      </c>
      <c r="K49" s="191"/>
      <c r="L49" s="191">
        <f>L13/L35/$B$13*$B$35</f>
        <v>1.0000000007194425</v>
      </c>
      <c r="M49" s="191"/>
      <c r="N49" s="191">
        <f>N13/N35/$B$13*$B$35</f>
        <v>1.000000000135046</v>
      </c>
      <c r="O49" s="191"/>
      <c r="P49" s="191">
        <f>P13/P35/$B$13*$B$35</f>
        <v>0.9999999997784661</v>
      </c>
      <c r="Q49" s="191"/>
      <c r="R49" s="191">
        <f>R13/R35/$B$13*$B$35</f>
        <v>1.0000000001397034</v>
      </c>
      <c r="S49" s="191"/>
      <c r="T49" s="191">
        <f>T13/T35/$B$13*$B$35</f>
        <v>0.9999999999161856</v>
      </c>
      <c r="U49" s="191"/>
      <c r="V49" s="191">
        <f>V13/V35/$B$13*$B$35</f>
        <v>0.99999999987323429</v>
      </c>
      <c r="W49" s="191"/>
      <c r="X49" s="191">
        <f>X13/X35/$B$13*$B$35</f>
        <v>1.0000000000451967</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-398382.27932469593</v>
      </c>
      <c r="F51" s="29">
        <f>F30-F10*F23</f>
        <v>-389932.85111138411</v>
      </c>
      <c r="H51" s="29">
        <f>H30-H10*H23</f>
        <v>-380379.90134512307</v>
      </c>
      <c r="J51" s="29">
        <f>J30-J10*J23</f>
        <v>-369607.33238527272</v>
      </c>
      <c r="L51" s="29">
        <f>L30-L10*L23</f>
        <v>-357499.99104052037</v>
      </c>
      <c r="N51" s="29">
        <f>N30-N10*N23</f>
        <v>-343948.54626456369</v>
      </c>
      <c r="P51" s="29">
        <f>P30-P10*P23</f>
        <v>-328863.98553458089</v>
      </c>
      <c r="R51" s="29">
        <f>R30-R10*R23</f>
        <v>-312196.03215900855</v>
      </c>
      <c r="T51" s="29">
        <f>T30-T10*T23</f>
        <v>-293967.2913956712</v>
      </c>
      <c r="V51" s="29">
        <f>V30-V10*V23</f>
        <v>-274350.91010488989</v>
      </c>
      <c r="X51" s="29">
        <f>X30-X10*X23</f>
        <v>-253885.11831946601</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1971154.2993215597</v>
      </c>
      <c r="F52" s="29">
        <f t="array" ref="F52">Calibration!sL*SUM(F13:G13*F26:G26)</f>
        <v>1890169.5484669646</v>
      </c>
      <c r="H52" s="29">
        <f t="array" ref="H52">Calibration!sL*SUM(H13:I13*H26:I26)</f>
        <v>1806185.7995865224</v>
      </c>
      <c r="J52" s="29">
        <f t="array" ref="J52">Calibration!sL*SUM(J13:K13*J26:K26)</f>
        <v>1719122.4661723843</v>
      </c>
      <c r="L52" s="29">
        <f t="array" ref="L52">Calibration!sL*SUM(L13:M13*L26:M26)</f>
        <v>1628943.307445589</v>
      </c>
      <c r="N52" s="29">
        <f t="array" ref="N52">Calibration!sL*SUM(N13:O13*N26:O26)</f>
        <v>1535679.7779048656</v>
      </c>
      <c r="P52" s="29">
        <f t="array" ref="P52">Calibration!sL*SUM(P13:Q13*P26:Q26)</f>
        <v>1439468.2723188619</v>
      </c>
      <c r="R52" s="29">
        <f t="array" ref="R52">Calibration!sL*SUM(R13:S13*R26:S26)</f>
        <v>1340613.4377087655</v>
      </c>
      <c r="T52" s="29">
        <f t="array" ref="T52">Calibration!sL*SUM(T13:U13*T26:U26)</f>
        <v>1239714.9501940266</v>
      </c>
      <c r="V52" s="29">
        <f t="array" ref="V52">Calibration!sL*SUM(V13:W13*V26:W26)</f>
        <v>1137980.1363150999</v>
      </c>
      <c r="X52" s="29">
        <f t="array" ref="X52">Calibration!sL*SUM(X13:Y13*X26:Y26)</f>
        <v>1038228.5991823693</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2717900.4142874223</v>
      </c>
      <c r="F53" s="29">
        <f t="array" ref="F53">Calibration!sK*SUM(F15:G15*F27:G27)</f>
        <v>2686930.3627291885</v>
      </c>
      <c r="H53" s="29">
        <f t="array" ref="H53">Calibration!sK*SUM(H15:I15*H27:I27)</f>
        <v>2646755.1198656908</v>
      </c>
      <c r="J53" s="29">
        <f t="array" ref="J53">Calibration!sK*SUM(J15:K15*J27:K27)</f>
        <v>2596248.2241572184</v>
      </c>
      <c r="L53" s="29">
        <f t="array" ref="L53">Calibration!sK*SUM(L15:M15*L27:M27)</f>
        <v>2534259.6003815755</v>
      </c>
      <c r="N53" s="29">
        <f t="array" ref="N53">Calibration!sK*SUM(N15:O15*N27:O27)</f>
        <v>2459654.69988736</v>
      </c>
      <c r="P53" s="29">
        <f t="array" ref="P53">Calibration!sK*SUM(P15:Q15*P27:Q27)</f>
        <v>2371432.2511896868</v>
      </c>
      <c r="R53" s="29">
        <f t="array" ref="R53">Calibration!sK*SUM(R15:S15*R27:S27)</f>
        <v>2268872.8824290861</v>
      </c>
      <c r="T53" s="29">
        <f t="array" ref="T53">Calibration!sK*SUM(T15:U15*T27:U27)</f>
        <v>2151798.3091242812</v>
      </c>
      <c r="V53" s="29">
        <f t="array" ref="V53">Calibration!sK*SUM(V15:W15*V27:W27)</f>
        <v>2021151.3770574431</v>
      </c>
      <c r="X53" s="29">
        <f t="array" ref="X53">Calibration!sK*SUM(X15:Y15*X27:Y27)</f>
        <v>1880497.7856886841</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0.19841987526923185</v>
      </c>
      <c r="F55" s="193">
        <f>F30/F32</f>
        <v>0.19833738339771206</v>
      </c>
      <c r="H55" s="193">
        <f>H30/H32</f>
        <v>0.19825555746080514</v>
      </c>
      <c r="J55" s="193">
        <f>J30/J32</f>
        <v>0.19817483806003952</v>
      </c>
      <c r="L55" s="193">
        <f>L30/L32</f>
        <v>0.19809567748603743</v>
      </c>
      <c r="N55" s="193">
        <f>N30/N32</f>
        <v>0.19801869883498868</v>
      </c>
      <c r="P55" s="193">
        <f>P30/P32</f>
        <v>0.19794457223248446</v>
      </c>
      <c r="R55" s="193">
        <f>R30/R32</f>
        <v>0.19787412185398107</v>
      </c>
      <c r="T55" s="193">
        <f>T30/T32</f>
        <v>0.19780847135789686</v>
      </c>
      <c r="V55" s="193">
        <f>V30/V32</f>
        <v>0.1977490938597655</v>
      </c>
      <c r="X55" s="193">
        <f>X30/X32</f>
        <v>0.19769872902403032</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3.1906948064460497E-2</v>
      </c>
      <c r="F56" s="193">
        <f>(Model!$C$52*F5*F20+F2*G5*G20)/F32</f>
        <v>3.4579943016187199E-2</v>
      </c>
      <c r="H56" s="193">
        <f>(Model!$C$52*H5*H20+H2*I5*I20)/H32</f>
        <v>3.722975315308099E-2</v>
      </c>
      <c r="J56" s="193">
        <f>(Model!$C$52*J5*J20+J2*K5*K20)/J32</f>
        <v>3.98435201428207E-2</v>
      </c>
      <c r="L56" s="193">
        <f>(Model!$C$52*L5*L20+L2*M5*M20)/L32</f>
        <v>4.240564714703237E-2</v>
      </c>
      <c r="N56" s="193">
        <f>(Model!$C$52*N5*N20+N2*O5*O20)/N32</f>
        <v>4.4897302369802397E-2</v>
      </c>
      <c r="P56" s="193">
        <f>(Model!$C$52*P5*P20+P2*Q5*Q20)/P32</f>
        <v>4.7295962714389427E-2</v>
      </c>
      <c r="R56" s="193">
        <f>(Model!$C$52*R5*R20+R2*S5*S20)/R32</f>
        <v>4.957446946755234E-2</v>
      </c>
      <c r="T56" s="193">
        <f>(Model!$C$52*T5*T20+T2*U5*U20)/T32</f>
        <v>5.1698816517583839E-2</v>
      </c>
      <c r="V56" s="193">
        <f>(Model!$C$52*V5*V20+V2*W5*W20)/V32</f>
        <v>5.3621706661496869E-2</v>
      </c>
      <c r="X56" s="193">
        <f>(Model!$C$52*X5*X20+X2*Y5*Y20)/X32</f>
        <v>5.5258285892863288E-2</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0.15580869737243447</v>
      </c>
      <c r="F57" s="193">
        <f t="array" ref="F57">SUM(Model!tauL*F13:G13*F26:G26)/F32</f>
        <v>0.15310059895365524</v>
      </c>
      <c r="H57" s="193">
        <f t="array" ref="H57">SUM(Model!tauL*H13:I13*H26:I26)/H32</f>
        <v>0.1504150957456715</v>
      </c>
      <c r="J57" s="193">
        <f t="array" ref="J57">SUM(Model!tauL*J13:K13*J26:K26)/J32</f>
        <v>0.14776528061342853</v>
      </c>
      <c r="L57" s="193">
        <f t="array" ref="L57">SUM(Model!tauL*L13:M13*L26:M26)/L32</f>
        <v>0.14516697916351487</v>
      </c>
      <c r="N57" s="193">
        <f t="array" ref="N57">SUM(Model!tauL*N13:O13*N26:O26)/N32</f>
        <v>0.14263941213799455</v>
      </c>
      <c r="P57" s="193">
        <f t="array" ref="P57">SUM(Model!tauL*P13:Q13*P26:Q26)/P32</f>
        <v>0.14020555845863106</v>
      </c>
      <c r="R57" s="193">
        <f t="array" ref="R57">SUM(Model!tauL*R13:S13*R26:S26)/R32</f>
        <v>0.13789326249670522</v>
      </c>
      <c r="T57" s="193">
        <f t="array" ref="T57">SUM(Model!tauL*T13:U13*T26:U26)/T32</f>
        <v>0.13573772355726627</v>
      </c>
      <c r="V57" s="193">
        <f t="array" ref="V57">SUM(Model!tauL*V13:W13*V26:W26)/V32</f>
        <v>0.13378834243658641</v>
      </c>
      <c r="X57" s="193">
        <f t="array" ref="X57">SUM(Model!tauL*X13:Y13*X26:Y26)/X32</f>
        <v>0.13213505049851243</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1.0704229832336886E-2</v>
      </c>
      <c r="F58" s="193">
        <f t="array" ref="F58">SUM(Model!tauY/(1+Model!tauY)*F3:G3*F18:G18)/F32</f>
        <v>1.0656841427869591E-2</v>
      </c>
      <c r="H58" s="193">
        <f t="array" ref="H58">SUM(Model!tauY/(1+Model!tauY)*H3:I3*H18:I18)/H32</f>
        <v>1.0610708562052654E-2</v>
      </c>
      <c r="J58" s="193">
        <f t="array" ref="J58">SUM(Model!tauY/(1+Model!tauY)*J3:K3*J18:K18)/J32</f>
        <v>1.0566037303790292E-2</v>
      </c>
      <c r="L58" s="193">
        <f t="array" ref="L58">SUM(Model!tauY/(1+Model!tauY)*L3:M3*L18:M18)/L32</f>
        <v>1.0523051175490192E-2</v>
      </c>
      <c r="N58" s="193">
        <f t="array" ref="N58">SUM(Model!tauY/(1+Model!tauY)*N3:O3*N18:O18)/N32</f>
        <v>1.0481984327191734E-2</v>
      </c>
      <c r="P58" s="193">
        <f t="array" ref="P58">SUM(Model!tauY/(1+Model!tauY)*P3:Q3*P18:Q18)/P32</f>
        <v>1.0443051059463941E-2</v>
      </c>
      <c r="R58" s="193">
        <f t="array" ref="R58">SUM(Model!tauY/(1+Model!tauY)*R3:S3*R18:S18)/R32</f>
        <v>1.0406389889723498E-2</v>
      </c>
      <c r="T58" s="193">
        <f t="array" ref="T58">SUM(Model!tauY/(1+Model!tauY)*T3:U3*T18:U18)/T32</f>
        <v>1.0371931283046774E-2</v>
      </c>
      <c r="V58" s="193">
        <f t="array" ref="V58">SUM(Model!tauY/(1+Model!tauY)*V3:W3*V18:W18)/V32</f>
        <v>1.0339044761682176E-2</v>
      </c>
      <c r="X58" s="193">
        <f t="array" ref="X58">SUM(Model!tauY/(1+Model!tauY)*X3:Y3*X18:Y18)/X32</f>
        <v>1.0305392632654573E-2</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3.2723639370754978E-3</v>
      </c>
      <c r="F59" s="193">
        <f>(F2*G5*G20)/F32</f>
        <v>5.9795853176514736E-3</v>
      </c>
      <c r="H59" s="193">
        <f>(H2*I5*I20)/H32</f>
        <v>8.6628459195430413E-3</v>
      </c>
      <c r="J59" s="193">
        <f>(J2*K5*K20)/J32</f>
        <v>1.1309145164998398E-2</v>
      </c>
      <c r="L59" s="193">
        <f>(L2*M5*M20)/L32</f>
        <v>1.3902726728719405E-2</v>
      </c>
      <c r="N59" s="193">
        <f>(N2*O5*O20)/N32</f>
        <v>1.6424584635942239E-2</v>
      </c>
      <c r="P59" s="193">
        <f>(P2*Q5*Q20)/P32</f>
        <v>1.885202101599864E-2</v>
      </c>
      <c r="R59" s="193">
        <f>(R2*S5*S20)/R32</f>
        <v>2.1157728370520837E-2</v>
      </c>
      <c r="T59" s="193">
        <f>(T2*U5*U20)/T32</f>
        <v>2.3307639559262929E-2</v>
      </c>
      <c r="V59" s="193">
        <f>(V2*W5*W20)/V32</f>
        <v>2.5254642555015267E-2</v>
      </c>
      <c r="X59" s="193">
        <f>(X2*Y5*Y20)/X32</f>
        <v>2.6914770665859025E-2</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2.8634584127384996E-2</v>
      </c>
      <c r="F60" s="193">
        <f>Model!$C$52*F5*F20/F32</f>
        <v>2.8600357698535729E-2</v>
      </c>
      <c r="H60" s="193">
        <f>Model!$C$52*H5*H20/H32</f>
        <v>2.8566907233537952E-2</v>
      </c>
      <c r="J60" s="193">
        <f>Model!$C$52*J5*J20/J32</f>
        <v>2.8534374977822304E-2</v>
      </c>
      <c r="L60" s="193">
        <f>Model!$C$52*L5*L20/L32</f>
        <v>2.8502920418312969E-2</v>
      </c>
      <c r="N60" s="193">
        <f>Model!$C$52*N5*N20/N32</f>
        <v>2.8472717733860155E-2</v>
      </c>
      <c r="P60" s="193">
        <f>Model!$C$52*P5*P20/P32</f>
        <v>2.8443941698390787E-2</v>
      </c>
      <c r="R60" s="193">
        <f>Model!$C$52*R5*R20/R32</f>
        <v>2.8416741097031503E-2</v>
      </c>
      <c r="T60" s="193">
        <f>Model!$C$52*T5*T20/T32</f>
        <v>2.8391176958320913E-2</v>
      </c>
      <c r="V60" s="193">
        <f>Model!$C$52*V5*V20/V32</f>
        <v>2.8367064106481602E-2</v>
      </c>
      <c r="X60" s="193">
        <f>Model!$C$52*X5*X20/X32</f>
        <v>2.8343515227004266E-2</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1.0097296222150098</v>
      </c>
      <c r="F62">
        <f>F13/F15</f>
        <v>1.0227911409588974</v>
      </c>
      <c r="H62">
        <f>H13/H15</f>
        <v>1.0398292743978603</v>
      </c>
      <c r="J62">
        <f>J13/J15</f>
        <v>1.061660618718187</v>
      </c>
      <c r="L62">
        <f>L13/L15</f>
        <v>1.0893210666713511</v>
      </c>
      <c r="N62">
        <f>N13/N15</f>
        <v>1.1241371285882673</v>
      </c>
      <c r="P62">
        <f>P13/P15</f>
        <v>1.1678073221727743</v>
      </c>
      <c r="R62">
        <f>R13/R15</f>
        <v>1.2225019237346073</v>
      </c>
      <c r="T62">
        <f>T13/T15</f>
        <v>1.2909372701888544</v>
      </c>
      <c r="V62">
        <f>V13/V15</f>
        <v>1.3762391523896778</v>
      </c>
      <c r="X62">
        <f>X13/X15</f>
        <v>1.4807486953569997</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0.99920073660276065</v>
      </c>
      <c r="E65" s="191"/>
      <c r="F65" s="191">
        <f t="array" ref="F65">SQRT((F9:G9*$B$22:$C$22+F10:G10*$B$23:$C$23+F11:G11*$B$24:$C$24+F4:G4*($B$25:$C$25-$B$19:$C$19))/($B$9:$C$9*$B$22:$C$22+$B$10:$C$10*$B$23:$C$23+$B$11:$C$11*$B$24:$C$24+$B$4:$C$4*($B$25:$C$25-$B$19:$C$19))*(F9:G9*F22:G22+F10:G10*F23:G23+F11:G11*F24:G24+F4:G4*(F25:G25-F19:G19))/($B$9:$C$9*F22:G22+$B$10:$C$10*F23:G23+$B$11:$C$11*F24:G24+$B$4:$C$4*(F25:G25-F19:G19)))</f>
        <v>0.99843562665798924</v>
      </c>
      <c r="G65" s="191"/>
      <c r="H65" s="191">
        <f t="array" ref="H65">SQRT((H9:I9*$B$22:$C$22+H10:I10*$B$23:$C$23+H11:I11*$B$24:$C$24+H4:I4*($B$25:$C$25-$B$19:$C$19))/($B$9:$C$9*$B$22:$C$22+$B$10:$C$10*$B$23:$C$23+$B$11:$C$11*$B$24:$C$24+$B$4:$C$4*($B$25:$C$25-$B$19:$C$19))*(H9:I9*H22:I22+H10:I10*H23:I23+H11:I11*H24:I24+H4:I4*(H25:I25-H19:I19))/($B$9:$C$9*H22:I22+$B$10:$C$10*H23:I23+$B$11:$C$11*H24:I24+$B$4:$C$4*(H25:I25-H19:I19)))</f>
        <v>0.99770790606033477</v>
      </c>
      <c r="I65" s="191"/>
      <c r="J65" s="191">
        <f t="array" ref="J65">SQRT((J9:K9*$B$22:$C$22+J10:K10*$B$23:$C$23+J11:K11*$B$24:$C$24+J4:K4*($B$25:$C$25-$B$19:$C$19))/($B$9:$C$9*$B$22:$C$22+$B$10:$C$10*$B$23:$C$23+$B$11:$C$11*$B$24:$C$24+$B$4:$C$4*($B$25:$C$25-$B$19:$C$19))*(J9:K9*J22:K22+J10:K10*J23:K23+J11:K11*J24:K24+J4:K4*(J25:K25-J19:K19))/($B$9:$C$9*J22:K22+$B$10:$C$10*J23:K23+$B$11:$C$11*J24:K24+$B$4:$C$4*(J25:K25-J19:K19)))</f>
        <v>0.99702075425753989</v>
      </c>
      <c r="K65" s="191"/>
      <c r="L65" s="191">
        <f t="array" ref="L65">SQRT((L9:M9*$B$22:$C$22+L10:M10*$B$23:$C$23+L11:M11*$B$24:$C$24+L4:M4*($B$25:$C$25-$B$19:$C$19))/($B$9:$C$9*$B$22:$C$22+$B$10:$C$10*$B$23:$C$23+$B$11:$C$11*$B$24:$C$24+$B$4:$C$4*($B$25:$C$25-$B$19:$C$19))*(L9:M9*L22:M22+L10:M10*L23:M23+L11:M11*L24:M24+L4:M4*(L25:M25-L19:M19))/($B$9:$C$9*L22:M22+$B$10:$C$10*L23:M23+$B$11:$C$11*L24:M24+$B$4:$C$4*(L25:M25-L19:M19)))</f>
        <v>0.99637666123802593</v>
      </c>
      <c r="M65" s="191"/>
      <c r="N65" s="191">
        <f t="array" ref="N65">SQRT((N9:O9*$B$22:$C$22+N10:O10*$B$23:$C$23+N11:O11*$B$24:$C$24+N4:O4*($B$25:$C$25-$B$19:$C$19))/($B$9:$C$9*$B$22:$C$22+$B$10:$C$10*$B$23:$C$23+$B$11:$C$11*$B$24:$C$24+$B$4:$C$4*($B$25:$C$25-$B$19:$C$19))*(N9:O9*N22:O22+N10:O10*N23:O23+N11:O11*N24:O24+N4:O4*(N25:O25-N19:O19))/($B$9:$C$9*N22:O22+$B$10:$C$10*N23:O23+$B$11:$C$11*N24:O24+$B$4:$C$4*(N25:O25-N19:O19)))</f>
        <v>0.99577618121150191</v>
      </c>
      <c r="O65" s="191"/>
      <c r="P65" s="191">
        <f t="array" ref="P65">SQRT((P9:Q9*$B$22:$C$22+P10:Q10*$B$23:$C$23+P11:Q11*$B$24:$C$24+P4:Q4*($B$25:$C$25-$B$19:$C$19))/($B$9:$C$9*$B$22:$C$22+$B$10:$C$10*$B$23:$C$23+$B$11:$C$11*$B$24:$C$24+$B$4:$C$4*($B$25:$C$25-$B$19:$C$19))*(P9:Q9*P22:Q22+P10:Q10*P23:Q23+P11:Q11*P24:Q24+P4:Q4*(P25:Q25-P19:Q19))/($B$9:$C$9*P22:Q22+$B$10:$C$10*P23:Q23+$B$11:$C$11*P24:Q24+$B$4:$C$4*(P25:Q25-P19:Q19)))</f>
        <v>0.99521538661165099</v>
      </c>
      <c r="Q65" s="191"/>
      <c r="R65" s="191">
        <f t="array" ref="R65">SQRT((R9:S9*$B$22:$C$22+R10:S10*$B$23:$C$23+R11:S11*$B$24:$C$24+R4:S4*($B$25:$C$25-$B$19:$C$19))/($B$9:$C$9*$B$22:$C$22+$B$10:$C$10*$B$23:$C$23+$B$11:$C$11*$B$24:$C$24+$B$4:$C$4*($B$25:$C$25-$B$19:$C$19))*(R9:S9*R22:S22+R10:S10*R23:S23+R11:S11*R24:S24+R4:S4*(R25:S25-R19:S19))/($B$9:$C$9*R22:S22+$B$10:$C$10*R23:S23+$B$11:$C$11*R24:S24+$B$4:$C$4*(R25:S25-R19:S19)))</f>
        <v>0.99468041801482598</v>
      </c>
      <c r="S65" s="191"/>
      <c r="T65" s="191">
        <f t="array" ref="T65">SQRT((T9:U9*$B$22:$C$22+T10:U10*$B$23:$C$23+T11:U11*$B$24:$C$24+T4:U4*($B$25:$C$25-$B$19:$C$19))/($B$9:$C$9*$B$22:$C$22+$B$10:$C$10*$B$23:$C$23+$B$11:$C$11*$B$24:$C$24+$B$4:$C$4*($B$25:$C$25-$B$19:$C$19))*(T9:U9*T22:U22+T10:U10*T23:U23+T11:U11*T24:U24+T4:U4*(T25:U25-T19:U19))/($B$9:$C$9*T22:U22+$B$10:$C$10*T23:U23+$B$11:$C$11*T24:U24+$B$4:$C$4*(T25:U25-T19:U19)))</f>
        <v>0.99413476657679978</v>
      </c>
      <c r="U65" s="191"/>
      <c r="V65" s="191">
        <f t="array" ref="V65">SQRT((V9:W9*$B$22:$C$22+V10:W10*$B$23:$C$23+V11:W11*$B$24:$C$24+V4:W4*($B$25:$C$25-$B$19:$C$19))/($B$9:$C$9*$B$22:$C$22+$B$10:$C$10*$B$23:$C$23+$B$11:$C$11*$B$24:$C$24+$B$4:$C$4*($B$25:$C$25-$B$19:$C$19))*(V9:W9*V22:W22+V10:W10*V23:W23+V11:W11*V24:W24+V4:W4*(V25:W25-V19:W19))/($B$9:$C$9*V22:W22+$B$10:$C$10*V23:W23+$B$11:$C$11*V24:W24+$B$4:$C$4*(V25:W25-V19:W19)))</f>
        <v>0.9934850661684641</v>
      </c>
      <c r="W65" s="191"/>
      <c r="X65" s="191">
        <f t="array" ref="X65">SQRT((X9:Y9*$B$22:$C$22+X10:Y10*$B$23:$C$23+X11:Y11*$B$24:$C$24+X4:Y4*($B$25:$C$25-$B$19:$C$19))/($B$9:$C$9*$B$22:$C$22+$B$10:$C$10*$B$23:$C$23+$B$11:$C$11*$B$24:$C$24+$B$4:$C$4*($B$25:$C$25-$B$19:$C$19))*(X9:Y9*X22:Y22+X10:Y10*X23:Y23+X11:Y11*X24:Y24+X4:Y4*(X25:Y25-X19:Y19))/($B$9:$C$9*X22:Y22+$B$10:$C$10*X23:Y23+$B$11:$C$11*X24:Y24+$B$4:$C$4*(X25:Y25-X19:Y19)))</f>
        <v>0.99246766800198882</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0.99912132524465946</v>
      </c>
      <c r="E66" s="191"/>
      <c r="F66" s="191">
        <f t="array" ref="F66">SQRT((F9:G9*$B$22:$C$22)/($B$9:$C$9*$B$22:$C$22)*(F9:G9*F22:G22)/($B$9:$C$9*F22:G22))</f>
        <v>0.99827970151411671</v>
      </c>
      <c r="G66" s="191"/>
      <c r="H66" s="191">
        <f t="array" ref="H66">SQRT((H9:I9*$B$22:$C$22)/($B$9:$C$9*$B$22:$C$22)*(H9:I9*H22:I22)/($B$9:$C$9*H22:I22))</f>
        <v>0.99747875702282252</v>
      </c>
      <c r="I66" s="191"/>
      <c r="J66" s="191">
        <f t="array" ref="J66">SQRT((J9:K9*$B$22:$C$22)/($B$9:$C$9*$B$22:$C$22)*(J9:K9*J22:K22)/($B$9:$C$9*J22:K22))</f>
        <v>0.99672206238427097</v>
      </c>
      <c r="K66" s="191"/>
      <c r="L66" s="191">
        <f t="array" ref="L66">SQRT((L9:M9*$B$22:$C$22)/($B$9:$C$9*$B$22:$C$22)*(L9:M9*L22:M22)/($B$9:$C$9*L22:M22))</f>
        <v>0.99601243164042352</v>
      </c>
      <c r="M66" s="191"/>
      <c r="N66" s="191">
        <f t="array" ref="N66">SQRT((N9:O9*$B$22:$C$22)/($B$9:$C$9*$B$22:$C$22)*(N9:O9*N22:O22)/($B$9:$C$9*N22:O22))</f>
        <v>0.99535054493472941</v>
      </c>
      <c r="O66" s="191"/>
      <c r="P66" s="191">
        <f t="array" ref="P66">SQRT((P9:Q9*$B$22:$C$22)/($B$9:$C$9*$B$22:$C$22)*(P9:Q9*P22:Q22)/($B$9:$C$9*P22:Q22))</f>
        <v>0.99473213408438521</v>
      </c>
      <c r="Q66" s="191"/>
      <c r="R66" s="191">
        <f t="array" ref="R66">SQRT((R9:S9*$B$22:$C$22)/($B$9:$C$9*$B$22:$C$22)*(R9:S9*R22:S22)/($B$9:$C$9*R22:S22))</f>
        <v>0.99414195698806329</v>
      </c>
      <c r="S66" s="191"/>
      <c r="T66" s="191">
        <f t="array" ref="T66">SQRT((T9:U9*$B$22:$C$22)/($B$9:$C$9*$B$22:$C$22)*(T9:U9*T22:U22)/($B$9:$C$9*T22:U22))</f>
        <v>0.99353973416119479</v>
      </c>
      <c r="U66" s="191"/>
      <c r="V66" s="191">
        <f t="array" ref="V66">SQRT((V9:W9*$B$22:$C$22)/($B$9:$C$9*$B$22:$C$22)*(V9:W9*V22:W22)/($B$9:$C$9*V22:W22))</f>
        <v>0.99282230233533253</v>
      </c>
      <c r="W66" s="191"/>
      <c r="X66" s="191">
        <f t="array" ref="X66">SQRT((X9:Y9*$B$22:$C$22)/($B$9:$C$9*$B$22:$C$22)*(X9:Y9*X22:Y22)/($B$9:$C$9*X22:Y22))</f>
        <v>0.99169799130103808</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0.99912132524465946</v>
      </c>
      <c r="E68" s="191"/>
      <c r="F68" s="191">
        <f>F66/F67</f>
        <v>0.99827970151411671</v>
      </c>
      <c r="G68" s="191"/>
      <c r="H68" s="191">
        <f>H66/H67</f>
        <v>0.99747875702282252</v>
      </c>
      <c r="I68" s="191"/>
      <c r="J68" s="191">
        <f>J66/J67</f>
        <v>0.99672206238427097</v>
      </c>
      <c r="K68" s="191"/>
      <c r="L68" s="191">
        <f>L66/L67</f>
        <v>0.99601243164042352</v>
      </c>
      <c r="M68" s="191"/>
      <c r="N68" s="191">
        <f>N66/N67</f>
        <v>0.99535054493472941</v>
      </c>
      <c r="O68" s="191"/>
      <c r="P68" s="191">
        <f>P66/P67</f>
        <v>0.99473213408438521</v>
      </c>
      <c r="Q68" s="191"/>
      <c r="R68" s="191">
        <f>R66/R67</f>
        <v>0.99414195698806329</v>
      </c>
      <c r="S68" s="191"/>
      <c r="T68" s="191">
        <f>T66/T67</f>
        <v>0.99353973416119479</v>
      </c>
      <c r="U68" s="191"/>
      <c r="V68" s="191">
        <f>V66/V67</f>
        <v>0.99282230233533253</v>
      </c>
      <c r="W68" s="191"/>
      <c r="X68" s="191">
        <f>X66/X67</f>
        <v>0.99169799130103808</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0.97946725111418331</v>
      </c>
      <c r="E69" s="191"/>
      <c r="F69" s="191">
        <f>F32/F65/($B$32)</f>
        <v>0.95657173375338056</v>
      </c>
      <c r="G69" s="191"/>
      <c r="H69" s="191">
        <f>H32/H65/($B$32)</f>
        <v>0.93106783947431948</v>
      </c>
      <c r="I69" s="191"/>
      <c r="J69" s="191">
        <f>J32/J65/($B$32)</f>
        <v>0.90270106450258003</v>
      </c>
      <c r="K69" s="191"/>
      <c r="L69" s="191">
        <f>L32/L65/($B$32)</f>
        <v>0.87122097830269996</v>
      </c>
      <c r="M69" s="191"/>
      <c r="N69" s="191">
        <f>N32/N65/($B$32)</f>
        <v>0.83639828125682492</v>
      </c>
      <c r="O69" s="191"/>
      <c r="P69" s="191">
        <f>P32/P65/($B$32)</f>
        <v>0.79805628807710804</v>
      </c>
      <c r="Q69" s="191"/>
      <c r="R69" s="191">
        <f>R32/R65/($B$32)</f>
        <v>0.75611994399075499</v>
      </c>
      <c r="S69" s="191"/>
      <c r="T69" s="191">
        <f>T32/T65/($B$32)</f>
        <v>0.71070562941549187</v>
      </c>
      <c r="U69" s="191"/>
      <c r="V69" s="191">
        <f>V32/V65/($B$32)</f>
        <v>0.66232142719096498</v>
      </c>
      <c r="W69" s="191"/>
      <c r="X69" s="191">
        <f>X32/X65/($B$32)</f>
        <v>0.61245237867113</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0.97869754925427543</v>
      </c>
      <c r="E70" s="138"/>
      <c r="F70" s="138">
        <f>F18/$B$18</f>
        <v>0.95507314705628998</v>
      </c>
      <c r="G70" s="138"/>
      <c r="H70" s="138">
        <f>H18/$B$18</f>
        <v>0.92888916750272232</v>
      </c>
      <c r="I70" s="138"/>
      <c r="J70" s="138">
        <f>J18/$B$18</f>
        <v>0.89990019110509756</v>
      </c>
      <c r="K70" s="138"/>
      <c r="L70" s="138">
        <f>L18/$B$18</f>
        <v>0.86786597136472865</v>
      </c>
      <c r="M70" s="138"/>
      <c r="N70" s="138">
        <f>N18/$B$18</f>
        <v>0.83256860769743168</v>
      </c>
      <c r="O70" s="138"/>
      <c r="P70" s="138">
        <f>P18/$B$18</f>
        <v>0.79384403942273896</v>
      </c>
      <c r="Q70" s="138"/>
      <c r="R70" s="138">
        <f>R18/$B$18</f>
        <v>0.75163139788878119</v>
      </c>
      <c r="S70" s="138"/>
      <c r="T70" s="138">
        <f>T18/$B$18</f>
        <v>0.70606398575151386</v>
      </c>
      <c r="U70" s="138"/>
      <c r="V70" s="138">
        <f>V18/$B$18</f>
        <v>0.65767373066021428</v>
      </c>
      <c r="W70" s="138"/>
      <c r="X70" s="138">
        <f>X18/$B$18</f>
        <v>0.60799396806734696</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0.9386870399746704</v>
      </c>
      <c r="E71" s="138"/>
      <c r="F71" s="138">
        <f>G18/$C$18</f>
        <v>0.87850474794174405</v>
      </c>
      <c r="G71" s="138"/>
      <c r="H71" s="138">
        <f>I18/$C$18</f>
        <v>0.81952615927028338</v>
      </c>
      <c r="I71" s="138"/>
      <c r="J71" s="138">
        <f>K18/$C$18</f>
        <v>0.76181888007392962</v>
      </c>
      <c r="K71" s="138"/>
      <c r="L71" s="138">
        <f>M18/$C$18</f>
        <v>0.70543566669106927</v>
      </c>
      <c r="M71" s="138"/>
      <c r="N71" s="138">
        <f>O18/$C$18</f>
        <v>0.65040214965544629</v>
      </c>
      <c r="O71" s="138"/>
      <c r="P71" s="138">
        <f>Q18/$C$18</f>
        <v>0.5966941996036973</v>
      </c>
      <c r="Q71" s="138"/>
      <c r="R71" s="138">
        <f>S18/$C$18</f>
        <v>0.5441994689906593</v>
      </c>
      <c r="S71" s="138"/>
      <c r="T71" s="138">
        <f>U18/$C$18</f>
        <v>0.49263943058857085</v>
      </c>
      <c r="U71" s="138"/>
      <c r="V71" s="138">
        <f>W18/$C$18</f>
        <v>0.44137886249473685</v>
      </c>
      <c r="W71" s="138"/>
      <c r="X71" s="138">
        <f>Y18/$C$18</f>
        <v>0.38882242541715722</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0.99174960289381775</v>
      </c>
      <c r="E72" s="138"/>
      <c r="F72" s="138">
        <f>G19/$C$19</f>
        <v>0.98036659758771461</v>
      </c>
      <c r="G72" s="138"/>
      <c r="H72" s="138">
        <f>I19/$C$19</f>
        <v>0.96539876407196801</v>
      </c>
      <c r="I72" s="138"/>
      <c r="J72" s="138">
        <f>K19/$C$19</f>
        <v>0.94639189511570054</v>
      </c>
      <c r="K72" s="138"/>
      <c r="L72" s="138">
        <f>M19/$C$19</f>
        <v>0.92292750972108839</v>
      </c>
      <c r="M72" s="138"/>
      <c r="N72" s="138">
        <f>O19/$C$19</f>
        <v>0.8946877188728205</v>
      </c>
      <c r="O72" s="138"/>
      <c r="P72" s="138">
        <f>Q19/$C$19</f>
        <v>0.86156236703725475</v>
      </c>
      <c r="Q72" s="138"/>
      <c r="R72" s="138">
        <f>S19/$C$19</f>
        <v>0.82384035116584153</v>
      </c>
      <c r="S72" s="138"/>
      <c r="T72" s="138">
        <f>U19/$C$19</f>
        <v>0.78259164628370792</v>
      </c>
      <c r="U72" s="138"/>
      <c r="V72" s="138">
        <f>W19/$C$19</f>
        <v>0.74060528629510747</v>
      </c>
      <c r="W72" s="138"/>
      <c r="X72" s="138">
        <f>Y19/$C$19</f>
        <v>0.70543503716644129</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0.47641154051763485</v>
      </c>
      <c r="E73" s="138"/>
      <c r="F73" s="193">
        <f t="array" ref="F73">SUM(F9:G9*F22:G22)/F32</f>
        <v>0.47641154010011993</v>
      </c>
      <c r="G73" s="138"/>
      <c r="H73" s="193">
        <f t="array" ref="H73">SUM(H9:I9*H22:I22)/H32</f>
        <v>0.47641153314145473</v>
      </c>
      <c r="I73" s="138"/>
      <c r="J73" s="193">
        <f t="array" ref="J73">SUM(J9:K9*J22:K22)/J32</f>
        <v>0.47641153294674432</v>
      </c>
      <c r="K73" s="138"/>
      <c r="L73" s="193">
        <f t="array" ref="L73">SUM(L9:M9*L22:M22)/L32</f>
        <v>0.47641153160433924</v>
      </c>
      <c r="M73" s="138"/>
      <c r="N73" s="193">
        <f t="array" ref="N73">SUM(N9:O9*N22:O22)/N32</f>
        <v>0.47641153308916601</v>
      </c>
      <c r="O73" s="138"/>
      <c r="P73" s="193">
        <f t="array" ref="P73">SUM(P9:Q9*P22:Q22)/P32</f>
        <v>0.47641153391833668</v>
      </c>
      <c r="Q73" s="138"/>
      <c r="R73" s="193">
        <f t="array" ref="R73">SUM(R9:S9*R22:S22)/R32</f>
        <v>0.4764115332409628</v>
      </c>
      <c r="S73" s="138"/>
      <c r="T73" s="193">
        <f t="array" ref="T73">SUM(T9:U9*T22:U22)/T32</f>
        <v>0.4764115336038236</v>
      </c>
      <c r="U73" s="138"/>
      <c r="V73" s="193">
        <f t="array" ref="V73">SUM(V9:W9*V22:W22)/V32</f>
        <v>0.4764115332198981</v>
      </c>
      <c r="W73" s="138"/>
      <c r="X73" s="193">
        <f t="array" ref="X73">SUM(X9:Y9*X22:Y22)/X32</f>
        <v>0.47641153518768053</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0.22604620456442487</v>
      </c>
      <c r="M74" s="138"/>
      <c r="N74" s="193">
        <f t="array" ref="N74">SUM(N10:O10*N23:O23)/N32</f>
        <v>0.22604620456442484</v>
      </c>
      <c r="O74" s="138"/>
      <c r="P74" s="193">
        <f t="array" ref="P74">SUM(P10:Q10*P23:Q23)/P32</f>
        <v>0.22604620456442484</v>
      </c>
      <c r="Q74" s="138"/>
      <c r="R74" s="193">
        <f t="array" ref="R74">SUM(R10:S10*R23:S23)/R32</f>
        <v>0.22604620456442481</v>
      </c>
      <c r="S74" s="138"/>
      <c r="T74" s="193">
        <f t="array" ref="T74">SUM(T10:U10*T23:U23)/T32</f>
        <v>0.22604620456442484</v>
      </c>
      <c r="U74" s="138"/>
      <c r="V74" s="193">
        <f t="array" ref="V74">SUM(V10:W10*V23:W23)/V32</f>
        <v>0.22604620456442484</v>
      </c>
      <c r="W74" s="138"/>
      <c r="X74" s="193">
        <f t="array" ref="X74">SUM(X10:Y10*X23:Y23)/X32</f>
        <v>0.22604620456442484</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0.22038438854590797</v>
      </c>
      <c r="E75" s="138"/>
      <c r="F75" s="193">
        <f t="array" ref="F75">SUM(F11:G11*F24:G24)/F32</f>
        <v>0.22038438838138194</v>
      </c>
      <c r="G75" s="138"/>
      <c r="H75" s="193">
        <f t="array" ref="H75">SUM(H11:I11*H24:I24)/H32</f>
        <v>0.22038438824235659</v>
      </c>
      <c r="I75" s="138"/>
      <c r="J75" s="193">
        <f t="array" ref="J75">SUM(J11:K11*J24:K24)/J32</f>
        <v>0.22038438823880938</v>
      </c>
      <c r="K75" s="138"/>
      <c r="L75" s="193">
        <f t="array" ref="L75">SUM(L11:M11*L24:M24)/L32</f>
        <v>0.22038438818712255</v>
      </c>
      <c r="M75" s="138"/>
      <c r="N75" s="193">
        <f t="array" ref="N75">SUM(N11:O11*N24:O24)/N32</f>
        <v>0.22038438831333565</v>
      </c>
      <c r="O75" s="138"/>
      <c r="P75" s="193">
        <f t="array" ref="P75">SUM(P11:Q11*P24:Q24)/P32</f>
        <v>0.22038438844220937</v>
      </c>
      <c r="Q75" s="138"/>
      <c r="R75" s="193">
        <f t="array" ref="R75">SUM(R11:S11*R24:S24)/R32</f>
        <v>0.22038438824237119</v>
      </c>
      <c r="S75" s="138"/>
      <c r="T75" s="193">
        <f t="array" ref="T75">SUM(T11:U11*T24:U24)/T32</f>
        <v>0.22038438842320535</v>
      </c>
      <c r="U75" s="138"/>
      <c r="V75" s="193">
        <f t="array" ref="V75">SUM(V11:W11*V24:W24)/V32</f>
        <v>0.22038438864092971</v>
      </c>
      <c r="W75" s="138"/>
      <c r="X75" s="193">
        <f t="array" ref="X75">SUM(X11:Y11*X24:Y24)/X32</f>
        <v>0.22038438815060116</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0.22298871044487889</v>
      </c>
      <c r="E76" s="138"/>
      <c r="F76" s="193">
        <f t="array" ref="F76">SUM(F12:G12*F25:G25)/F32</f>
        <v>0.22296270717397151</v>
      </c>
      <c r="G76" s="138"/>
      <c r="H76" s="193">
        <f t="array" ref="H76">SUM(H12:I12*H25:I25)/H32</f>
        <v>0.22293923860516626</v>
      </c>
      <c r="I76" s="138"/>
      <c r="J76" s="193">
        <f t="array" ref="J76">SUM(J12:K12*J25:K25)/J32</f>
        <v>0.2229168890582052</v>
      </c>
      <c r="K76" s="138"/>
      <c r="L76" s="193">
        <f t="array" ref="L76">SUM(L12:M12*L25:M25)/L32</f>
        <v>0.22289467869753105</v>
      </c>
      <c r="M76" s="138"/>
      <c r="N76" s="193">
        <f t="array" ref="N76">SUM(N12:O12*N25:O25)/N32</f>
        <v>0.22287284132578961</v>
      </c>
      <c r="O76" s="138"/>
      <c r="P76" s="193">
        <f t="array" ref="P76">SUM(P12:Q12*P25:Q25)/P32</f>
        <v>0.22285432586805493</v>
      </c>
      <c r="Q76" s="138"/>
      <c r="R76" s="193">
        <f t="array" ref="R76">SUM(R12:S12*R25:S25)/R32</f>
        <v>0.22284808454607583</v>
      </c>
      <c r="S76" s="138"/>
      <c r="T76" s="193">
        <f t="array" ref="T76">SUM(T12:U12*T25:U25)/T32</f>
        <v>0.22287678895099197</v>
      </c>
      <c r="U76" s="138"/>
      <c r="V76" s="193">
        <f t="array" ref="V76">SUM(V12:W12*V25:W25)/V32</f>
        <v>0.22299790120587071</v>
      </c>
      <c r="W76" s="138"/>
      <c r="X76" s="193">
        <f t="array" ref="X76">SUM(X12:Y12*X25:Y25)/X32</f>
        <v>0.22337600010019737</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0.14583084407284647</v>
      </c>
      <c r="E77" s="138"/>
      <c r="F77" s="193">
        <f t="array" ref="F77">SUM(F4:G4*F19:G19)/F32</f>
        <v>0.14580484021989809</v>
      </c>
      <c r="G77" s="138"/>
      <c r="H77" s="193">
        <f t="array" ref="H77">SUM(H4:I4*H19:I19)/H32</f>
        <v>0.14578136455340232</v>
      </c>
      <c r="I77" s="138"/>
      <c r="J77" s="193">
        <f t="array" ref="J77">SUM(J4:K4*J19:K19)/J32</f>
        <v>0.14575901480818365</v>
      </c>
      <c r="K77" s="138"/>
      <c r="L77" s="193">
        <f t="array" ref="L77">SUM(L4:M4*L19:M19)/L32</f>
        <v>0.1457368030534176</v>
      </c>
      <c r="M77" s="138"/>
      <c r="N77" s="193">
        <f t="array" ref="N77">SUM(N4:O4*N19:O19)/N32</f>
        <v>0.14571496729271607</v>
      </c>
      <c r="O77" s="138"/>
      <c r="P77" s="193">
        <f t="array" ref="P77">SUM(P4:Q4*P19:Q19)/P32</f>
        <v>0.14569645279302562</v>
      </c>
      <c r="Q77" s="138"/>
      <c r="R77" s="193">
        <f t="array" ref="R77">SUM(R4:S4*R19:S19)/R32</f>
        <v>0.14569021059383436</v>
      </c>
      <c r="S77" s="138"/>
      <c r="T77" s="193">
        <f t="array" ref="T77">SUM(T4:U4*T19:U19)/T32</f>
        <v>0.1457189155424457</v>
      </c>
      <c r="U77" s="138"/>
      <c r="V77" s="193">
        <f t="array" ref="V77">SUM(V4:W4*V19:W19)/V32</f>
        <v>0.14584002763112308</v>
      </c>
      <c r="W77" s="138"/>
      <c r="X77" s="193">
        <f t="array" ref="X77">SUM(X4:Y4*X19:Y19)/X32</f>
        <v>0.1462181280029039</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0.34093551338881184</v>
      </c>
      <c r="E78" s="138"/>
      <c r="F78" s="193">
        <f t="array" ref="F78">SUM(F13:G13*F26:G26)/F32</f>
        <v>0.33500974069265127</v>
      </c>
      <c r="G78" s="138"/>
      <c r="H78" s="193">
        <f t="array" ref="H78">SUM(H13:I13*H26:I26)/H32</f>
        <v>0.32913341010031799</v>
      </c>
      <c r="I78" s="138"/>
      <c r="J78" s="193">
        <f t="array" ref="J78">SUM(J13:K13*J26:K26)/J32</f>
        <v>0.32333517099215542</v>
      </c>
      <c r="K78" s="138"/>
      <c r="L78" s="193">
        <f t="array" ref="L78">SUM(L13:M13*L26:M26)/L32</f>
        <v>0.31764965244470422</v>
      </c>
      <c r="M78" s="138"/>
      <c r="N78" s="193">
        <f t="array" ref="N78">SUM(N13:O13*N26:O26)/N32</f>
        <v>0.31211891265929564</v>
      </c>
      <c r="O78" s="138"/>
      <c r="P78" s="193">
        <f t="array" ref="P78">SUM(P13:Q13*P26:Q26)/P32</f>
        <v>0.30679323336359127</v>
      </c>
      <c r="Q78" s="138"/>
      <c r="R78" s="193">
        <f t="array" ref="R78">SUM(R13:S13*R26:S26)/R32</f>
        <v>0.30173354270330893</v>
      </c>
      <c r="S78" s="138"/>
      <c r="T78" s="193">
        <f t="array" ref="T78">SUM(T13:U13*T26:U26)/T32</f>
        <v>0.29701686265052252</v>
      </c>
      <c r="U78" s="138"/>
      <c r="V78" s="193">
        <f t="array" ref="V78">SUM(V13:W13*V26:W26)/V32</f>
        <v>0.29275129041753745</v>
      </c>
      <c r="W78" s="138"/>
      <c r="X78" s="193">
        <f t="array" ref="X78">SUM(X13:Y13*X26:Y26)/X32</f>
        <v>0.28913361088363132</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0.46064437498442129</v>
      </c>
      <c r="F79" s="193">
        <f t="array" ref="F79">SUM(F15:G15*F27:G27)/F32</f>
        <v>0.46665260638657324</v>
      </c>
      <c r="H79" s="193">
        <f t="array" ref="H79">SUM(H15:I15*H27:I27)/H32</f>
        <v>0.47261110293453884</v>
      </c>
      <c r="J79" s="193">
        <f t="array" ref="J79">SUM(J15:K15*J27:K27)/J32</f>
        <v>0.47849010021063104</v>
      </c>
      <c r="L79" s="193">
        <f t="array" ref="L79">SUM(L15:M15*L27:M27)/L32</f>
        <v>0.48425501557865924</v>
      </c>
      <c r="N79" s="193">
        <f t="array" ref="N79">SUM(N15:O15*N27:O27)/N32</f>
        <v>0.48986247779681957</v>
      </c>
      <c r="P79" s="193">
        <f t="array" ref="P79">SUM(P15:Q15*P27:Q27)/P32</f>
        <v>0.49526200778060997</v>
      </c>
      <c r="R79" s="193">
        <f t="array" ref="R79">SUM(R15:S15*R27:S27)/R32</f>
        <v>0.5003925100561134</v>
      </c>
      <c r="T79" s="193">
        <f t="array" ref="T79">SUM(T15:U15*T27:U27)/T32</f>
        <v>0.50517452537325047</v>
      </c>
      <c r="V79" s="193">
        <f t="array" ref="V79">SUM(V15:W15*V27:W27)/V32</f>
        <v>0.50949929906219593</v>
      </c>
      <c r="X79" s="193">
        <f t="array" ref="X79">SUM(X15:Y15*X27:Y27)/X32</f>
        <v>0.51316736661575946</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0.19841987526923185</v>
      </c>
      <c r="F80" s="236">
        <f>F55</f>
        <v>0.19833738339771206</v>
      </c>
      <c r="H80" s="236">
        <f>H55</f>
        <v>0.19825555746080514</v>
      </c>
      <c r="J80" s="236">
        <f>J55</f>
        <v>0.19817483806003952</v>
      </c>
      <c r="L80" s="236">
        <f>L55</f>
        <v>0.19809567748603743</v>
      </c>
      <c r="N80" s="236">
        <f>N55</f>
        <v>0.19801869883498868</v>
      </c>
      <c r="P80" s="236">
        <f>P55</f>
        <v>0.19794457223248446</v>
      </c>
      <c r="R80" s="236">
        <f>R55</f>
        <v>0.19787412185398107</v>
      </c>
      <c r="T80" s="236">
        <f>T55</f>
        <v>0.19780847135789686</v>
      </c>
      <c r="V80" s="236">
        <f>V55</f>
        <v>0.1977490938597655</v>
      </c>
      <c r="X80" s="236">
        <f>X55</f>
        <v>0.19769872902403032</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-2.7626329295192983E-2</v>
      </c>
      <c r="F81" s="236">
        <f>F51/F$32</f>
        <v>-2.7708821166712791E-2</v>
      </c>
      <c r="H81" s="236">
        <f>H51/H$32</f>
        <v>-2.7790647103619705E-2</v>
      </c>
      <c r="J81" s="236">
        <f>J51/J$32</f>
        <v>-2.7871366504385316E-2</v>
      </c>
      <c r="L81" s="236">
        <f>L51/L$32</f>
        <v>-2.7950527078387421E-2</v>
      </c>
      <c r="N81" s="236">
        <f>N51/N$32</f>
        <v>-2.8027505729436141E-2</v>
      </c>
      <c r="P81" s="236">
        <f>P51/P$32</f>
        <v>-2.81016323319404E-2</v>
      </c>
      <c r="R81" s="236">
        <f>R51/R$32</f>
        <v>-2.8172082710443747E-2</v>
      </c>
      <c r="T81" s="236">
        <f>T51/T$32</f>
        <v>-2.8237733206527983E-2</v>
      </c>
      <c r="V81" s="236">
        <f>V51/V$32</f>
        <v>-2.8297110704659352E-2</v>
      </c>
      <c r="X81" s="236">
        <f>X51/X$32</f>
        <v>-2.8347475540394518E-2</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0.13669221898373998</v>
      </c>
      <c r="F82" s="236">
        <f>F52/F$32</f>
        <v>0.13431638253601946</v>
      </c>
      <c r="H82" s="236">
        <f>H52/H$32</f>
        <v>0.13196036904782638</v>
      </c>
      <c r="J82" s="236">
        <f>J52/J$32</f>
        <v>0.12963566499451418</v>
      </c>
      <c r="L82" s="236">
        <f>L52/L$32</f>
        <v>0.12735615430758257</v>
      </c>
      <c r="N82" s="236">
        <f>N52/N$32</f>
        <v>0.12513869949809495</v>
      </c>
      <c r="P82" s="236">
        <f>P52/P$32</f>
        <v>0.12300346015828648</v>
      </c>
      <c r="R82" s="236">
        <f>R52/R$32</f>
        <v>0.12097486437824946</v>
      </c>
      <c r="T82" s="236">
        <f>T52/T$32</f>
        <v>0.11908379279041974</v>
      </c>
      <c r="V82" s="236">
        <f>V52/V$32</f>
        <v>0.11737358510930553</v>
      </c>
      <c r="X82" s="236">
        <f>X52/X$32</f>
        <v>0.11592313884119343</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0.18847628454740648</v>
      </c>
      <c r="F83" s="236">
        <f>F53/F$32</f>
        <v>0.19093459988321612</v>
      </c>
      <c r="H83" s="236">
        <f>H53/H$32</f>
        <v>0.19337256581059145</v>
      </c>
      <c r="J83" s="236">
        <f>J53/J$32</f>
        <v>0.19577800398293352</v>
      </c>
      <c r="L83" s="236">
        <f>L53/L$32</f>
        <v>0.1981367646414848</v>
      </c>
      <c r="N83" s="236">
        <f>N53/N$32</f>
        <v>0.20043110210008191</v>
      </c>
      <c r="P83" s="236">
        <f>P53/P$32</f>
        <v>0.20264036244257833</v>
      </c>
      <c r="R83" s="236">
        <f>R53/R$32</f>
        <v>0.20473954797324198</v>
      </c>
      <c r="T83" s="236">
        <f>T53/T$32</f>
        <v>0.20669614731227282</v>
      </c>
      <c r="V83" s="236">
        <f>V53/V$32</f>
        <v>0.20846566262748401</v>
      </c>
      <c r="X83" s="236">
        <f>X53/X$32</f>
        <v>0.209966481440235</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6.1386969598904356E-2</v>
      </c>
      <c r="E2" s="227"/>
      <c r="F2" s="226">
        <v>0.12183414429023202</v>
      </c>
      <c r="G2" s="227"/>
      <c r="H2" s="226">
        <v>0.18785757776253628</v>
      </c>
      <c r="I2" s="227"/>
      <c r="J2" s="226">
        <v>0.26038048531400992</v>
      </c>
      <c r="K2" s="227"/>
      <c r="L2" s="226">
        <v>0.34056821033723989</v>
      </c>
      <c r="M2" s="227"/>
      <c r="N2" s="226">
        <v>0.42993026313445276</v>
      </c>
      <c r="O2" s="227"/>
      <c r="P2" s="226">
        <v>0.53047246627170397</v>
      </c>
      <c r="Q2" s="227"/>
      <c r="R2" s="226">
        <v>0.64494132509917879</v>
      </c>
      <c r="S2" s="227"/>
      <c r="T2" s="226">
        <v>0.77722464514270451</v>
      </c>
      <c r="U2" s="227"/>
      <c r="V2" s="226">
        <v>0.93303558489829197</v>
      </c>
      <c r="W2" s="227"/>
      <c r="X2" s="226">
        <v>1.1211254507647823</v>
      </c>
      <c r="Y2" s="227"/>
      <c r="Z2" s="226">
        <v>1.3555348596773606</v>
      </c>
      <c r="AA2" s="227"/>
      <c r="AB2" s="226">
        <v>1.6599505385387006</v>
      </c>
      <c r="AC2" s="227"/>
      <c r="AD2" s="226">
        <v>2.0763975263277672</v>
      </c>
      <c r="AE2" s="227"/>
      <c r="AF2" s="226">
        <v>2.6824109319608946</v>
      </c>
      <c r="AG2" s="227"/>
      <c r="AH2" s="226">
        <v>3.6208131688305794</v>
      </c>
      <c r="AI2" s="227"/>
      <c r="AJ2" s="226">
        <v>5.1273914854279585</v>
      </c>
      <c r="AK2" s="227"/>
      <c r="AL2" s="226">
        <v>7.4415395056993168</v>
      </c>
      <c r="AM2" s="227"/>
      <c r="AN2" s="226"/>
      <c r="AO2" s="227"/>
      <c r="AP2" s="226"/>
      <c r="AQ2" s="227"/>
      <c r="AR2" s="226"/>
      <c r="AS2" s="227"/>
      <c r="AT2" s="226"/>
      <c r="AU2" s="227"/>
      <c r="AV2" s="226"/>
      <c r="AW2" s="227"/>
    </row>
    <row r="3" spans="1:49" x14ac:dyDescent="0.2">
      <c r="A3" t="s">
        <v>12</v>
      </c>
      <c r="B3" s="84">
        <v>1000</v>
      </c>
      <c r="C3" s="85">
        <v>1000</v>
      </c>
      <c r="D3" s="84">
        <v>998.39695320795886</v>
      </c>
      <c r="E3" s="85">
        <v>1024.1616675626872</v>
      </c>
      <c r="F3" s="84">
        <v>996.77032635580326</v>
      </c>
      <c r="G3" s="85">
        <v>1051.019164381034</v>
      </c>
      <c r="H3" s="84">
        <v>995.11053546348751</v>
      </c>
      <c r="I3" s="85">
        <v>1081.044784395586</v>
      </c>
      <c r="J3" s="84">
        <v>993.4076506943635</v>
      </c>
      <c r="K3" s="85">
        <v>1114.8242154712357</v>
      </c>
      <c r="L3" s="84">
        <v>991.65156581193742</v>
      </c>
      <c r="M3" s="85">
        <v>1153.092264094513</v>
      </c>
      <c r="N3" s="84">
        <v>989.83247485547417</v>
      </c>
      <c r="O3" s="85">
        <v>1196.7904273978104</v>
      </c>
      <c r="P3" s="84">
        <v>987.94176172823916</v>
      </c>
      <c r="Q3" s="85">
        <v>1247.1489003894062</v>
      </c>
      <c r="R3" s="84">
        <v>985.97363228380652</v>
      </c>
      <c r="S3" s="85">
        <v>1305.8156290137472</v>
      </c>
      <c r="T3" s="84">
        <v>983.92799329853619</v>
      </c>
      <c r="U3" s="85">
        <v>1375.0616731432265</v>
      </c>
      <c r="V3" s="84">
        <v>981.81544280284129</v>
      </c>
      <c r="W3" s="85">
        <v>1458.1247983890846</v>
      </c>
      <c r="X3" s="84">
        <v>979.66595176135172</v>
      </c>
      <c r="Y3" s="85">
        <v>1559.8028430063775</v>
      </c>
      <c r="Z3" s="84">
        <v>977.54387738213154</v>
      </c>
      <c r="AA3" s="85">
        <v>1687.5287919301772</v>
      </c>
      <c r="AB3" s="84">
        <v>975.57339474024377</v>
      </c>
      <c r="AC3" s="85">
        <v>1853.3947788832013</v>
      </c>
      <c r="AD3" s="84">
        <v>973.9777695328944</v>
      </c>
      <c r="AE3" s="85">
        <v>2078.0720490894555</v>
      </c>
      <c r="AF3" s="84">
        <v>973.12189419901188</v>
      </c>
      <c r="AG3" s="85">
        <v>2398.2874566741034</v>
      </c>
      <c r="AH3" s="84">
        <v>973.48464643403747</v>
      </c>
      <c r="AI3" s="85">
        <v>2879.2633609217082</v>
      </c>
      <c r="AJ3" s="84">
        <v>975.37084512022079</v>
      </c>
      <c r="AK3" s="85">
        <v>3625.2778540528343</v>
      </c>
      <c r="AL3" s="84">
        <v>978.33247204076167</v>
      </c>
      <c r="AM3" s="85">
        <v>4739.1899222844677</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998.31736705374624</v>
      </c>
      <c r="E5" s="42">
        <v>1020.9687640406322</v>
      </c>
      <c r="F5" s="41">
        <v>996.60882074824303</v>
      </c>
      <c r="G5" s="42">
        <v>1043.7037860502423</v>
      </c>
      <c r="H5" s="41">
        <v>994.86422661625181</v>
      </c>
      <c r="I5" s="42">
        <v>1068.4143747074984</v>
      </c>
      <c r="J5" s="41">
        <v>993.07305556513484</v>
      </c>
      <c r="K5" s="42">
        <v>1095.3335917117686</v>
      </c>
      <c r="L5" s="41">
        <v>991.22455959135254</v>
      </c>
      <c r="M5" s="42">
        <v>1124.71875875516</v>
      </c>
      <c r="N5" s="41">
        <v>989.30827005412687</v>
      </c>
      <c r="O5" s="42">
        <v>1156.8532587457353</v>
      </c>
      <c r="P5" s="41">
        <v>987.31493425301278</v>
      </c>
      <c r="Q5" s="42">
        <v>1192.0444911857317</v>
      </c>
      <c r="R5" s="41">
        <v>985.23823981508008</v>
      </c>
      <c r="S5" s="42">
        <v>1230.6191143282688</v>
      </c>
      <c r="T5" s="41">
        <v>983.07786622738888</v>
      </c>
      <c r="U5" s="42">
        <v>1272.9096287087327</v>
      </c>
      <c r="V5" s="41">
        <v>980.84478768928523</v>
      </c>
      <c r="W5" s="42">
        <v>1319.227755709119</v>
      </c>
      <c r="X5" s="41">
        <v>978.57051759163858</v>
      </c>
      <c r="Y5" s="42">
        <v>1369.80693424539</v>
      </c>
      <c r="Z5" s="41">
        <v>976.32311933737515</v>
      </c>
      <c r="AA5" s="42">
        <v>1424.6850570923555</v>
      </c>
      <c r="AB5" s="41">
        <v>974.23435100366737</v>
      </c>
      <c r="AC5" s="42">
        <v>1483.4638616894351</v>
      </c>
      <c r="AD5" s="41">
        <v>972.54158264288583</v>
      </c>
      <c r="AE5" s="42">
        <v>1544.8447814901635</v>
      </c>
      <c r="AF5" s="41">
        <v>971.63309685023012</v>
      </c>
      <c r="AG5" s="42">
        <v>1605.8357376726826</v>
      </c>
      <c r="AH5" s="41">
        <v>972.01819045097955</v>
      </c>
      <c r="AI5" s="42">
        <v>1660.9578592397024</v>
      </c>
      <c r="AJ5" s="41">
        <v>974.01953757125466</v>
      </c>
      <c r="AK5" s="42">
        <v>1703.1693969617479</v>
      </c>
      <c r="AL5" s="41">
        <v>977.15853505512439</v>
      </c>
      <c r="AM5" s="42">
        <v>1728.4619850008182</v>
      </c>
      <c r="AN5" s="41"/>
      <c r="AO5" s="42"/>
      <c r="AP5" s="41"/>
      <c r="AQ5" s="42"/>
      <c r="AR5" s="41"/>
      <c r="AS5" s="42"/>
      <c r="AT5" s="41"/>
      <c r="AU5" s="42"/>
      <c r="AV5" s="41"/>
      <c r="AW5" s="42"/>
    </row>
    <row r="6" spans="1:49" x14ac:dyDescent="0.2">
      <c r="A6" t="s">
        <v>77</v>
      </c>
      <c r="B6" s="41">
        <v>999.99999999999943</v>
      </c>
      <c r="C6" s="42">
        <v>999.99999999999909</v>
      </c>
      <c r="D6" s="41">
        <v>998.18889563353764</v>
      </c>
      <c r="E6" s="42">
        <v>1026.0325997822554</v>
      </c>
      <c r="F6" s="41">
        <v>996.35037620728713</v>
      </c>
      <c r="G6" s="42">
        <v>1054.86422777039</v>
      </c>
      <c r="H6" s="41">
        <v>994.47356223938777</v>
      </c>
      <c r="I6" s="42">
        <v>1086.9793427100967</v>
      </c>
      <c r="J6" s="41">
        <v>992.54716236794752</v>
      </c>
      <c r="K6" s="42">
        <v>1122.9782668003836</v>
      </c>
      <c r="L6" s="41">
        <v>990.55966274093566</v>
      </c>
      <c r="M6" s="42">
        <v>1163.6137059189309</v>
      </c>
      <c r="N6" s="41">
        <v>988.49986445954505</v>
      </c>
      <c r="O6" s="42">
        <v>1209.8498813357357</v>
      </c>
      <c r="P6" s="41">
        <v>986.35789013179976</v>
      </c>
      <c r="Q6" s="42">
        <v>1262.9466068699896</v>
      </c>
      <c r="R6" s="41">
        <v>984.12703525001564</v>
      </c>
      <c r="S6" s="42">
        <v>1324.5917004770888</v>
      </c>
      <c r="T6" s="41">
        <v>981.80704055834769</v>
      </c>
      <c r="U6" s="42">
        <v>1397.1116433740385</v>
      </c>
      <c r="V6" s="41">
        <v>979.40977376043929</v>
      </c>
      <c r="W6" s="42">
        <v>1483.8240274875411</v>
      </c>
      <c r="X6" s="41">
        <v>976.96912714531595</v>
      </c>
      <c r="Y6" s="42">
        <v>1589.6460231543492</v>
      </c>
      <c r="Z6" s="41">
        <v>974.55815083122377</v>
      </c>
      <c r="AA6" s="42">
        <v>1722.1965624760119</v>
      </c>
      <c r="AB6" s="41">
        <v>972.31809218876413</v>
      </c>
      <c r="AC6" s="42">
        <v>1893.8708121743914</v>
      </c>
      <c r="AD6" s="41">
        <v>970.50323993204859</v>
      </c>
      <c r="AE6" s="42">
        <v>2125.8569837729965</v>
      </c>
      <c r="AF6" s="41">
        <v>969.5294267513782</v>
      </c>
      <c r="AG6" s="42">
        <v>2455.7963544992849</v>
      </c>
      <c r="AH6" s="41">
        <v>969.9421951701438</v>
      </c>
      <c r="AI6" s="42">
        <v>2950.5287733956397</v>
      </c>
      <c r="AJ6" s="41">
        <v>972.0877602433676</v>
      </c>
      <c r="AK6" s="42">
        <v>3716.9181163029029</v>
      </c>
      <c r="AL6" s="41">
        <v>975.45427610296781</v>
      </c>
      <c r="AM6" s="42">
        <v>4860.3713654308922</v>
      </c>
      <c r="AN6" s="41"/>
      <c r="AO6" s="42"/>
      <c r="AP6" s="41"/>
      <c r="AQ6" s="42"/>
      <c r="AR6" s="41"/>
      <c r="AS6" s="42"/>
      <c r="AT6" s="41"/>
      <c r="AU6" s="42"/>
      <c r="AV6" s="41"/>
      <c r="AW6" s="42"/>
    </row>
    <row r="7" spans="1:49" x14ac:dyDescent="0.2">
      <c r="A7" t="s">
        <v>13</v>
      </c>
      <c r="B7" s="33">
        <v>1015.9116825427475</v>
      </c>
      <c r="C7" s="34">
        <v>1015.9116825427475</v>
      </c>
      <c r="D7" s="33">
        <v>1014.2022760752169</v>
      </c>
      <c r="E7" s="34">
        <v>1014.2022760752169</v>
      </c>
      <c r="F7" s="33">
        <v>1012.4665439232909</v>
      </c>
      <c r="G7" s="34">
        <v>1012.4665439232909</v>
      </c>
      <c r="H7" s="33">
        <v>1010.6941903633056</v>
      </c>
      <c r="I7" s="34">
        <v>1010.6941903633056</v>
      </c>
      <c r="J7" s="33">
        <v>1008.8745187670435</v>
      </c>
      <c r="K7" s="34">
        <v>1008.8745187670435</v>
      </c>
      <c r="L7" s="33">
        <v>1006.9966101121448</v>
      </c>
      <c r="M7" s="34">
        <v>1006.9966101121448</v>
      </c>
      <c r="N7" s="33">
        <v>1005.0498291841428</v>
      </c>
      <c r="O7" s="34">
        <v>1005.0498291841428</v>
      </c>
      <c r="P7" s="33">
        <v>1003.0247760565603</v>
      </c>
      <c r="Q7" s="34">
        <v>1003.0247760565603</v>
      </c>
      <c r="R7" s="33">
        <v>1000.9150379159929</v>
      </c>
      <c r="S7" s="34">
        <v>1000.9150379159929</v>
      </c>
      <c r="T7" s="33">
        <v>998.7202891496006</v>
      </c>
      <c r="U7" s="34">
        <v>998.7202891496006</v>
      </c>
      <c r="V7" s="33">
        <v>996.45167857470562</v>
      </c>
      <c r="W7" s="34">
        <v>996.45167857470562</v>
      </c>
      <c r="X7" s="33">
        <v>994.14122101324881</v>
      </c>
      <c r="Y7" s="34">
        <v>994.14122101324881</v>
      </c>
      <c r="Z7" s="33">
        <v>991.85806287141634</v>
      </c>
      <c r="AA7" s="34">
        <v>991.85806287141634</v>
      </c>
      <c r="AB7" s="33">
        <v>989.73605871907728</v>
      </c>
      <c r="AC7" s="34">
        <v>989.73605871907728</v>
      </c>
      <c r="AD7" s="33">
        <v>988.0163555655206</v>
      </c>
      <c r="AE7" s="34">
        <v>988.0163555655206</v>
      </c>
      <c r="AF7" s="33">
        <v>987.0934142353376</v>
      </c>
      <c r="AG7" s="34">
        <v>987.0934142353376</v>
      </c>
      <c r="AH7" s="33">
        <v>987.48463532321136</v>
      </c>
      <c r="AI7" s="34">
        <v>987.48463532321136</v>
      </c>
      <c r="AJ7" s="33">
        <v>989.51782724352211</v>
      </c>
      <c r="AK7" s="34">
        <v>989.51782724352211</v>
      </c>
      <c r="AL7" s="33">
        <v>992.7067714588577</v>
      </c>
      <c r="AM7" s="34">
        <v>992.7067714588577</v>
      </c>
      <c r="AN7" s="33"/>
      <c r="AO7" s="34"/>
      <c r="AP7" s="33"/>
      <c r="AQ7" s="34"/>
      <c r="AR7" s="33"/>
      <c r="AS7" s="34"/>
      <c r="AT7" s="33"/>
      <c r="AU7" s="34"/>
      <c r="AV7" s="33"/>
      <c r="AW7" s="34"/>
    </row>
    <row r="8" spans="1:49" x14ac:dyDescent="0.2">
      <c r="B8" s="35">
        <v>1005.7716594496609</v>
      </c>
      <c r="C8" s="36">
        <v>1005.7716594496609</v>
      </c>
      <c r="D8" s="35">
        <v>1083.6429425202255</v>
      </c>
      <c r="E8" s="36">
        <v>1083.6429425202255</v>
      </c>
      <c r="F8" s="35">
        <v>1170.862543716149</v>
      </c>
      <c r="G8" s="36">
        <v>1170.862543716149</v>
      </c>
      <c r="H8" s="35">
        <v>1269.1241111867237</v>
      </c>
      <c r="I8" s="36">
        <v>1269.1241111867237</v>
      </c>
      <c r="J8" s="35">
        <v>1380.5370839024165</v>
      </c>
      <c r="K8" s="36">
        <v>1380.5370839024165</v>
      </c>
      <c r="L8" s="35">
        <v>1507.7622135571266</v>
      </c>
      <c r="M8" s="36">
        <v>1507.7622135571266</v>
      </c>
      <c r="N8" s="35">
        <v>1654.2194846862385</v>
      </c>
      <c r="O8" s="36">
        <v>1654.2194846862385</v>
      </c>
      <c r="P8" s="35">
        <v>1824.3912723306253</v>
      </c>
      <c r="Q8" s="36">
        <v>1824.3912723306253</v>
      </c>
      <c r="R8" s="35">
        <v>2024.2962366155205</v>
      </c>
      <c r="S8" s="36">
        <v>2024.2962366155205</v>
      </c>
      <c r="T8" s="35">
        <v>2262.2463631806095</v>
      </c>
      <c r="U8" s="36">
        <v>2262.2463631806095</v>
      </c>
      <c r="V8" s="35">
        <v>2550.114196371238</v>
      </c>
      <c r="W8" s="36">
        <v>2550.114196371238</v>
      </c>
      <c r="X8" s="35">
        <v>2905.5323508619772</v>
      </c>
      <c r="Y8" s="36">
        <v>2905.5323508619772</v>
      </c>
      <c r="Z8" s="35">
        <v>3355.8953160424744</v>
      </c>
      <c r="AA8" s="36">
        <v>3355.8953160424744</v>
      </c>
      <c r="AB8" s="35">
        <v>3945.9404978035136</v>
      </c>
      <c r="AC8" s="36">
        <v>3945.9404978035136</v>
      </c>
      <c r="AD8" s="35">
        <v>4752.5566643366992</v>
      </c>
      <c r="AE8" s="36">
        <v>4752.5566643366992</v>
      </c>
      <c r="AF8" s="35">
        <v>5913.347075339374</v>
      </c>
      <c r="AG8" s="36">
        <v>5913.347075339374</v>
      </c>
      <c r="AH8" s="35">
        <v>7674.9759488474656</v>
      </c>
      <c r="AI8" s="36">
        <v>7674.9759488474656</v>
      </c>
      <c r="AJ8" s="35">
        <v>10435.985661184885</v>
      </c>
      <c r="AK8" s="36">
        <v>10435.985661184885</v>
      </c>
      <c r="AL8" s="35">
        <v>14590.880130483869</v>
      </c>
      <c r="AM8" s="36">
        <v>14590.880130483869</v>
      </c>
      <c r="AN8" s="35"/>
      <c r="AO8" s="36"/>
      <c r="AP8" s="35"/>
      <c r="AQ8" s="36"/>
      <c r="AR8" s="35"/>
      <c r="AS8" s="36"/>
      <c r="AT8" s="35"/>
      <c r="AU8" s="36"/>
      <c r="AV8" s="35"/>
      <c r="AW8" s="36"/>
    </row>
    <row r="9" spans="1:49" x14ac:dyDescent="0.2">
      <c r="A9" t="s">
        <v>14</v>
      </c>
      <c r="B9" s="41">
        <v>1015.9116825427475</v>
      </c>
      <c r="C9" s="42">
        <v>1005.7716594496609</v>
      </c>
      <c r="D9" s="41">
        <v>1014.2022760752169</v>
      </c>
      <c r="E9" s="42">
        <v>1083.6429425202255</v>
      </c>
      <c r="F9" s="41">
        <v>1012.4665439232909</v>
      </c>
      <c r="G9" s="42">
        <v>1170.862543716149</v>
      </c>
      <c r="H9" s="41">
        <v>1010.6941903633056</v>
      </c>
      <c r="I9" s="42">
        <v>1269.1241111867237</v>
      </c>
      <c r="J9" s="41">
        <v>1008.8745187670435</v>
      </c>
      <c r="K9" s="42">
        <v>1380.5370839024165</v>
      </c>
      <c r="L9" s="41">
        <v>1006.9966101121448</v>
      </c>
      <c r="M9" s="42">
        <v>1507.7622135571266</v>
      </c>
      <c r="N9" s="41">
        <v>1005.0498291841428</v>
      </c>
      <c r="O9" s="42">
        <v>1654.2194846862385</v>
      </c>
      <c r="P9" s="41">
        <v>1003.0247760565603</v>
      </c>
      <c r="Q9" s="42">
        <v>1824.3912723306253</v>
      </c>
      <c r="R9" s="41">
        <v>1000.9150379159929</v>
      </c>
      <c r="S9" s="42">
        <v>2024.2962366155205</v>
      </c>
      <c r="T9" s="41">
        <v>998.7202891496006</v>
      </c>
      <c r="U9" s="42">
        <v>2262.2463631806095</v>
      </c>
      <c r="V9" s="41">
        <v>996.45167857470562</v>
      </c>
      <c r="W9" s="42">
        <v>2550.114196371238</v>
      </c>
      <c r="X9" s="41">
        <v>994.14122101324881</v>
      </c>
      <c r="Y9" s="42">
        <v>2905.5323508619772</v>
      </c>
      <c r="Z9" s="41">
        <v>991.85806287141634</v>
      </c>
      <c r="AA9" s="42">
        <v>3355.8953160424744</v>
      </c>
      <c r="AB9" s="41">
        <v>989.73605871907728</v>
      </c>
      <c r="AC9" s="42">
        <v>3945.9404978035136</v>
      </c>
      <c r="AD9" s="41">
        <v>988.0163555655206</v>
      </c>
      <c r="AE9" s="42">
        <v>4752.5566643366992</v>
      </c>
      <c r="AF9" s="41">
        <v>987.0934142353376</v>
      </c>
      <c r="AG9" s="42">
        <v>5913.347075339374</v>
      </c>
      <c r="AH9" s="41">
        <v>987.48463532321136</v>
      </c>
      <c r="AI9" s="42">
        <v>7674.9759488474656</v>
      </c>
      <c r="AJ9" s="41">
        <v>989.51782724352211</v>
      </c>
      <c r="AK9" s="42">
        <v>10435.985661184885</v>
      </c>
      <c r="AL9" s="41">
        <v>992.7067714588577</v>
      </c>
      <c r="AM9" s="42">
        <v>14590.880130483869</v>
      </c>
      <c r="AN9" s="41"/>
      <c r="AO9" s="42"/>
      <c r="AP9" s="41"/>
      <c r="AQ9" s="42"/>
      <c r="AR9" s="41"/>
      <c r="AS9" s="42"/>
      <c r="AT9" s="41"/>
      <c r="AU9" s="42"/>
      <c r="AV9" s="41"/>
      <c r="AW9" s="42"/>
    </row>
    <row r="10" spans="1:49" x14ac:dyDescent="0.2">
      <c r="A10" t="s">
        <v>15</v>
      </c>
      <c r="B10" s="41">
        <v>1015.9116825427475</v>
      </c>
      <c r="C10" s="42">
        <v>1005.7716594496609</v>
      </c>
      <c r="D10" s="41">
        <v>1014.2022760752169</v>
      </c>
      <c r="E10" s="42">
        <v>1083.6429425202255</v>
      </c>
      <c r="F10" s="41">
        <v>1012.4665439232909</v>
      </c>
      <c r="G10" s="42">
        <v>1170.862543716149</v>
      </c>
      <c r="H10" s="41">
        <v>1010.6941903633056</v>
      </c>
      <c r="I10" s="42">
        <v>1269.1241111867237</v>
      </c>
      <c r="J10" s="41">
        <v>1008.8745187670435</v>
      </c>
      <c r="K10" s="42">
        <v>1380.5370839024165</v>
      </c>
      <c r="L10" s="41">
        <v>1006.9966101121448</v>
      </c>
      <c r="M10" s="42">
        <v>1507.7622135571266</v>
      </c>
      <c r="N10" s="41">
        <v>1005.0498291841428</v>
      </c>
      <c r="O10" s="42">
        <v>1654.2194846862385</v>
      </c>
      <c r="P10" s="41">
        <v>1003.0247760565603</v>
      </c>
      <c r="Q10" s="42">
        <v>1824.3912723306253</v>
      </c>
      <c r="R10" s="41">
        <v>1000.9150379159929</v>
      </c>
      <c r="S10" s="42">
        <v>2024.2962366155205</v>
      </c>
      <c r="T10" s="41">
        <v>998.7202891496006</v>
      </c>
      <c r="U10" s="42">
        <v>2262.2463631806095</v>
      </c>
      <c r="V10" s="41">
        <v>996.45167857470562</v>
      </c>
      <c r="W10" s="42">
        <v>2550.114196371238</v>
      </c>
      <c r="X10" s="41">
        <v>994.14122101324881</v>
      </c>
      <c r="Y10" s="42">
        <v>2905.5323508619772</v>
      </c>
      <c r="Z10" s="41">
        <v>991.85806287141634</v>
      </c>
      <c r="AA10" s="42">
        <v>3355.8953160424744</v>
      </c>
      <c r="AB10" s="41">
        <v>989.73605871907728</v>
      </c>
      <c r="AC10" s="42">
        <v>3945.9404978035136</v>
      </c>
      <c r="AD10" s="41">
        <v>988.0163555655206</v>
      </c>
      <c r="AE10" s="42">
        <v>4752.5566643366992</v>
      </c>
      <c r="AF10" s="41">
        <v>987.0934142353376</v>
      </c>
      <c r="AG10" s="42">
        <v>5913.347075339374</v>
      </c>
      <c r="AH10" s="41">
        <v>987.48463532321136</v>
      </c>
      <c r="AI10" s="42">
        <v>7674.9759488474656</v>
      </c>
      <c r="AJ10" s="41">
        <v>989.51782724352211</v>
      </c>
      <c r="AK10" s="42">
        <v>10435.985661184885</v>
      </c>
      <c r="AL10" s="41">
        <v>992.7067714588577</v>
      </c>
      <c r="AM10" s="42">
        <v>14590.880130483869</v>
      </c>
      <c r="AN10" s="41"/>
      <c r="AO10" s="42"/>
      <c r="AP10" s="41"/>
      <c r="AQ10" s="42"/>
      <c r="AR10" s="41"/>
      <c r="AS10" s="42"/>
      <c r="AT10" s="41"/>
      <c r="AU10" s="42"/>
      <c r="AV10" s="41"/>
      <c r="AW10" s="42"/>
    </row>
    <row r="11" spans="1:49" x14ac:dyDescent="0.2">
      <c r="A11" t="s">
        <v>29</v>
      </c>
      <c r="B11" s="41">
        <v>1015.9116825427475</v>
      </c>
      <c r="C11" s="42">
        <v>1005.7716594496609</v>
      </c>
      <c r="D11" s="41">
        <v>1014.2022760752169</v>
      </c>
      <c r="E11" s="42">
        <v>1083.6429425202255</v>
      </c>
      <c r="F11" s="41">
        <v>1012.4665439232909</v>
      </c>
      <c r="G11" s="42">
        <v>1170.862543716149</v>
      </c>
      <c r="H11" s="41">
        <v>1010.6941903633056</v>
      </c>
      <c r="I11" s="42">
        <v>1269.1241111867237</v>
      </c>
      <c r="J11" s="41">
        <v>1008.8745187670435</v>
      </c>
      <c r="K11" s="42">
        <v>1380.5370839024165</v>
      </c>
      <c r="L11" s="41">
        <v>1006.9966101121448</v>
      </c>
      <c r="M11" s="42">
        <v>1507.7622135571266</v>
      </c>
      <c r="N11" s="41">
        <v>1005.0498291841428</v>
      </c>
      <c r="O11" s="42">
        <v>1654.2194846862385</v>
      </c>
      <c r="P11" s="41">
        <v>1003.0247760565603</v>
      </c>
      <c r="Q11" s="42">
        <v>1824.3912723306253</v>
      </c>
      <c r="R11" s="41">
        <v>1000.9150379159929</v>
      </c>
      <c r="S11" s="42">
        <v>2024.2962366155205</v>
      </c>
      <c r="T11" s="41">
        <v>998.7202891496006</v>
      </c>
      <c r="U11" s="42">
        <v>2262.2463631806095</v>
      </c>
      <c r="V11" s="41">
        <v>996.45167857470562</v>
      </c>
      <c r="W11" s="42">
        <v>2550.114196371238</v>
      </c>
      <c r="X11" s="41">
        <v>994.14122101324881</v>
      </c>
      <c r="Y11" s="42">
        <v>2905.5323508619772</v>
      </c>
      <c r="Z11" s="41">
        <v>991.85806287141634</v>
      </c>
      <c r="AA11" s="42">
        <v>3355.8953160424744</v>
      </c>
      <c r="AB11" s="41">
        <v>989.73605871907728</v>
      </c>
      <c r="AC11" s="42">
        <v>3945.9404978035136</v>
      </c>
      <c r="AD11" s="41">
        <v>988.0163555655206</v>
      </c>
      <c r="AE11" s="42">
        <v>4752.5566643366992</v>
      </c>
      <c r="AF11" s="41">
        <v>987.0934142353376</v>
      </c>
      <c r="AG11" s="42">
        <v>5913.347075339374</v>
      </c>
      <c r="AH11" s="41">
        <v>987.48463532321136</v>
      </c>
      <c r="AI11" s="42">
        <v>7674.9759488474656</v>
      </c>
      <c r="AJ11" s="41">
        <v>989.51782724352211</v>
      </c>
      <c r="AK11" s="42">
        <v>10435.985661184885</v>
      </c>
      <c r="AL11" s="41">
        <v>992.7067714588577</v>
      </c>
      <c r="AM11" s="42">
        <v>14590.880130483869</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1002.5306145917403</v>
      </c>
      <c r="E13" s="98">
        <v>1002.5306145917403</v>
      </c>
      <c r="F13" s="97">
        <v>1005.3363075064461</v>
      </c>
      <c r="G13" s="98">
        <v>1005.3363075064461</v>
      </c>
      <c r="H13" s="97">
        <v>1008.4618103677662</v>
      </c>
      <c r="I13" s="98">
        <v>1008.4618103677662</v>
      </c>
      <c r="J13" s="97">
        <v>1011.963792308795</v>
      </c>
      <c r="K13" s="98">
        <v>1011.963792308795</v>
      </c>
      <c r="L13" s="97">
        <v>1015.9150668401318</v>
      </c>
      <c r="M13" s="98">
        <v>1015.9150668401318</v>
      </c>
      <c r="N13" s="97">
        <v>1020.4111998092069</v>
      </c>
      <c r="O13" s="98">
        <v>1020.4111998092069</v>
      </c>
      <c r="P13" s="97">
        <v>1025.5802746091067</v>
      </c>
      <c r="Q13" s="98">
        <v>1025.5802746091067</v>
      </c>
      <c r="R13" s="97">
        <v>1031.5982855515247</v>
      </c>
      <c r="S13" s="98">
        <v>1031.5982855515247</v>
      </c>
      <c r="T13" s="97">
        <v>1038.71375828652</v>
      </c>
      <c r="U13" s="98">
        <v>1038.71375828652</v>
      </c>
      <c r="V13" s="97">
        <v>1047.2887244373985</v>
      </c>
      <c r="W13" s="98">
        <v>1047.2887244373985</v>
      </c>
      <c r="X13" s="97">
        <v>1057.8687726643968</v>
      </c>
      <c r="Y13" s="98">
        <v>1057.8687726643968</v>
      </c>
      <c r="Z13" s="97">
        <v>1071.3073498850188</v>
      </c>
      <c r="AA13" s="98">
        <v>1071.3073498850188</v>
      </c>
      <c r="AB13" s="97">
        <v>1088.9921239042894</v>
      </c>
      <c r="AC13" s="98">
        <v>1088.9921239042894</v>
      </c>
      <c r="AD13" s="97">
        <v>1113.2595566072951</v>
      </c>
      <c r="AE13" s="98">
        <v>1113.2595566072951</v>
      </c>
      <c r="AF13" s="97">
        <v>1148.1092312341764</v>
      </c>
      <c r="AG13" s="98">
        <v>1148.1092312341764</v>
      </c>
      <c r="AH13" s="97">
        <v>1200.1413921348433</v>
      </c>
      <c r="AI13" s="98">
        <v>1200.1413921348433</v>
      </c>
      <c r="AJ13" s="97">
        <v>1278.5087544853104</v>
      </c>
      <c r="AK13" s="98">
        <v>1278.5087544853104</v>
      </c>
      <c r="AL13" s="97">
        <v>1388.9271892302393</v>
      </c>
      <c r="AM13" s="98">
        <v>1388.9271892302393</v>
      </c>
      <c r="AN13" s="97"/>
      <c r="AO13" s="98"/>
      <c r="AP13" s="97"/>
      <c r="AQ13" s="98"/>
      <c r="AR13" s="97"/>
      <c r="AS13" s="98"/>
      <c r="AT13" s="97"/>
      <c r="AU13" s="98"/>
      <c r="AV13" s="97"/>
      <c r="AW13" s="98"/>
    </row>
    <row r="14" spans="1:49" x14ac:dyDescent="0.2">
      <c r="A14" t="s">
        <v>36</v>
      </c>
      <c r="B14" s="41">
        <v>1457.0034251455234</v>
      </c>
      <c r="C14" s="42">
        <v>1457.0034251455236</v>
      </c>
      <c r="D14" s="41">
        <v>1460.6905392734122</v>
      </c>
      <c r="E14" s="42">
        <v>1460.6905392734125</v>
      </c>
      <c r="F14" s="41">
        <v>1464.7784434600451</v>
      </c>
      <c r="G14" s="42">
        <v>1464.7784434600453</v>
      </c>
      <c r="H14" s="41">
        <v>1469.3323118342905</v>
      </c>
      <c r="I14" s="42">
        <v>1469.3323118342907</v>
      </c>
      <c r="J14" s="41">
        <v>1474.4347115171672</v>
      </c>
      <c r="K14" s="42">
        <v>1474.4347115171674</v>
      </c>
      <c r="L14" s="41">
        <v>1480.1917320430152</v>
      </c>
      <c r="M14" s="42">
        <v>1480.1917320430155</v>
      </c>
      <c r="N14" s="41">
        <v>1486.7426131788673</v>
      </c>
      <c r="O14" s="42">
        <v>1486.7426131788675</v>
      </c>
      <c r="P14" s="41">
        <v>1494.2739728671547</v>
      </c>
      <c r="Q14" s="42">
        <v>1494.273972867155</v>
      </c>
      <c r="R14" s="41">
        <v>1503.042235422821</v>
      </c>
      <c r="S14" s="42">
        <v>1503.0422354228212</v>
      </c>
      <c r="T14" s="41">
        <v>1513.409503569239</v>
      </c>
      <c r="U14" s="42">
        <v>1513.4095035692392</v>
      </c>
      <c r="V14" s="41">
        <v>1525.9032586215758</v>
      </c>
      <c r="W14" s="42">
        <v>1525.903258621576</v>
      </c>
      <c r="X14" s="41">
        <v>1541.318425126517</v>
      </c>
      <c r="Y14" s="42">
        <v>1541.3184251265172</v>
      </c>
      <c r="Z14" s="41">
        <v>1560.8984781660458</v>
      </c>
      <c r="AA14" s="42">
        <v>1560.8984781660461</v>
      </c>
      <c r="AB14" s="41">
        <v>1586.6652544850479</v>
      </c>
      <c r="AC14" s="42">
        <v>1586.6652544850481</v>
      </c>
      <c r="AD14" s="41">
        <v>1622.0229870528156</v>
      </c>
      <c r="AE14" s="42">
        <v>1622.0229870528158</v>
      </c>
      <c r="AF14" s="41">
        <v>1672.7990823493885</v>
      </c>
      <c r="AG14" s="42">
        <v>1672.7990823493888</v>
      </c>
      <c r="AH14" s="41">
        <v>1748.6101189993833</v>
      </c>
      <c r="AI14" s="42">
        <v>1748.6101189993835</v>
      </c>
      <c r="AJ14" s="41">
        <v>1862.7916343636341</v>
      </c>
      <c r="AK14" s="42">
        <v>1862.7916343636346</v>
      </c>
      <c r="AL14" s="41">
        <v>2023.6716719862029</v>
      </c>
      <c r="AM14" s="42">
        <v>2023.6716719862034</v>
      </c>
      <c r="AN14" s="41"/>
      <c r="AO14" s="42"/>
      <c r="AP14" s="41"/>
      <c r="AQ14" s="42"/>
      <c r="AR14" s="41"/>
      <c r="AS14" s="42"/>
      <c r="AT14" s="41"/>
      <c r="AU14" s="42"/>
      <c r="AV14" s="41"/>
      <c r="AW14" s="42"/>
    </row>
    <row r="15" spans="1:49" x14ac:dyDescent="0.2">
      <c r="A15" t="s">
        <v>18</v>
      </c>
      <c r="B15" s="154">
        <v>1000</v>
      </c>
      <c r="C15" s="155">
        <v>1000</v>
      </c>
      <c r="D15" s="154">
        <v>986.4898029104304</v>
      </c>
      <c r="E15" s="155">
        <v>986.4898029104304</v>
      </c>
      <c r="F15" s="154">
        <v>971.87618310728317</v>
      </c>
      <c r="G15" s="155">
        <v>971.87618310728317</v>
      </c>
      <c r="H15" s="154">
        <v>956.0633238787666</v>
      </c>
      <c r="I15" s="155">
        <v>956.0633238787666</v>
      </c>
      <c r="J15" s="154">
        <v>938.93028817565892</v>
      </c>
      <c r="K15" s="155">
        <v>938.93028817565892</v>
      </c>
      <c r="L15" s="154">
        <v>920.32523428066986</v>
      </c>
      <c r="M15" s="155">
        <v>920.32523428066986</v>
      </c>
      <c r="N15" s="154">
        <v>900.05580572814995</v>
      </c>
      <c r="O15" s="155">
        <v>900.05580572814995</v>
      </c>
      <c r="P15" s="154">
        <v>877.87544078926646</v>
      </c>
      <c r="Q15" s="155">
        <v>877.87544078926646</v>
      </c>
      <c r="R15" s="154">
        <v>853.46185583307874</v>
      </c>
      <c r="S15" s="155">
        <v>853.46185583307874</v>
      </c>
      <c r="T15" s="154">
        <v>826.38348232758221</v>
      </c>
      <c r="U15" s="155">
        <v>826.38348232758221</v>
      </c>
      <c r="V15" s="154">
        <v>796.0447202028613</v>
      </c>
      <c r="W15" s="155">
        <v>796.0447202028613</v>
      </c>
      <c r="X15" s="154">
        <v>761.59598266000069</v>
      </c>
      <c r="Y15" s="155">
        <v>761.59598266000069</v>
      </c>
      <c r="Z15" s="154">
        <v>721.78195011676883</v>
      </c>
      <c r="AA15" s="155">
        <v>721.78195011676883</v>
      </c>
      <c r="AB15" s="154">
        <v>674.68613821553674</v>
      </c>
      <c r="AC15" s="155">
        <v>674.68613821553674</v>
      </c>
      <c r="AD15" s="154">
        <v>617.3205856844454</v>
      </c>
      <c r="AE15" s="155">
        <v>617.3205856844454</v>
      </c>
      <c r="AF15" s="154">
        <v>545.09770679587587</v>
      </c>
      <c r="AG15" s="155">
        <v>545.09770679587587</v>
      </c>
      <c r="AH15" s="154">
        <v>451.76196898700493</v>
      </c>
      <c r="AI15" s="155">
        <v>451.76196898700493</v>
      </c>
      <c r="AJ15" s="154">
        <v>332.15044314503331</v>
      </c>
      <c r="AK15" s="155">
        <v>332.15044314503331</v>
      </c>
      <c r="AL15" s="154">
        <v>192.85577837971897</v>
      </c>
      <c r="AM15" s="155">
        <v>192.85577837971897</v>
      </c>
      <c r="AN15" s="154"/>
      <c r="AO15" s="155"/>
      <c r="AP15" s="154"/>
      <c r="AQ15" s="155"/>
      <c r="AR15" s="154"/>
      <c r="AS15" s="155"/>
      <c r="AT15" s="154"/>
      <c r="AU15" s="155"/>
      <c r="AV15" s="154"/>
      <c r="AW15" s="155"/>
    </row>
    <row r="16" spans="1:49" s="29" customFormat="1" x14ac:dyDescent="0.2">
      <c r="A16" t="s">
        <v>61</v>
      </c>
      <c r="B16" s="41">
        <v>1000</v>
      </c>
      <c r="C16" s="42">
        <v>1000</v>
      </c>
      <c r="D16" s="41">
        <v>995.09919199912099</v>
      </c>
      <c r="E16" s="42">
        <v>991.10307264027199</v>
      </c>
      <c r="F16" s="41">
        <v>989.92909668617767</v>
      </c>
      <c r="G16" s="42">
        <v>981.55519501311335</v>
      </c>
      <c r="H16" s="41">
        <v>984.44575344557632</v>
      </c>
      <c r="I16" s="42">
        <v>971.28516803570687</v>
      </c>
      <c r="J16" s="41">
        <v>978.59823113209484</v>
      </c>
      <c r="K16" s="42">
        <v>960.20710998302025</v>
      </c>
      <c r="L16" s="41">
        <v>972.32684448806947</v>
      </c>
      <c r="M16" s="42">
        <v>948.21588584331676</v>
      </c>
      <c r="N16" s="41">
        <v>965.56058070755478</v>
      </c>
      <c r="O16" s="42">
        <v>935.18216436309831</v>
      </c>
      <c r="P16" s="41">
        <v>958.21368659536745</v>
      </c>
      <c r="Q16" s="42">
        <v>920.94384898230305</v>
      </c>
      <c r="R16" s="41">
        <v>950.18065962207413</v>
      </c>
      <c r="S16" s="42">
        <v>905.29377715698558</v>
      </c>
      <c r="T16" s="41">
        <v>941.32881732643659</v>
      </c>
      <c r="U16" s="42">
        <v>887.96041503244669</v>
      </c>
      <c r="V16" s="41">
        <v>931.48657048778205</v>
      </c>
      <c r="W16" s="42">
        <v>868.57704947914272</v>
      </c>
      <c r="X16" s="41">
        <v>920.42449857146596</v>
      </c>
      <c r="Y16" s="42">
        <v>846.63120016569098</v>
      </c>
      <c r="Z16" s="41">
        <v>907.82333167197328</v>
      </c>
      <c r="AA16" s="42">
        <v>821.37988212791106</v>
      </c>
      <c r="AB16" s="41">
        <v>893.21837228293646</v>
      </c>
      <c r="AC16" s="42">
        <v>791.70723071971486</v>
      </c>
      <c r="AD16" s="41">
        <v>875.9020593092115</v>
      </c>
      <c r="AE16" s="42">
        <v>755.89578903888821</v>
      </c>
      <c r="AF16" s="41">
        <v>854.76427229242734</v>
      </c>
      <c r="AG16" s="42">
        <v>711.33105899498491</v>
      </c>
      <c r="AH16" s="41">
        <v>828.1054867415537</v>
      </c>
      <c r="AI16" s="42">
        <v>654.46988167987297</v>
      </c>
      <c r="AJ16" s="41">
        <v>793.79767445522418</v>
      </c>
      <c r="AK16" s="42">
        <v>582.5483315450133</v>
      </c>
      <c r="AL16" s="41">
        <v>751.38583726487548</v>
      </c>
      <c r="AM16" s="42">
        <v>502.00741423048828</v>
      </c>
      <c r="AN16" s="41"/>
      <c r="AO16" s="42"/>
      <c r="AP16" s="41"/>
      <c r="AQ16" s="42"/>
      <c r="AR16" s="41"/>
      <c r="AS16" s="42"/>
      <c r="AT16" s="41"/>
      <c r="AU16" s="42"/>
      <c r="AV16" s="41"/>
      <c r="AW16" s="42"/>
    </row>
    <row r="17" spans="1:49" x14ac:dyDescent="0.2">
      <c r="A17" t="s">
        <v>62</v>
      </c>
      <c r="B17" s="35">
        <v>1000.0000000000002</v>
      </c>
      <c r="C17" s="36">
        <v>999.99999999999977</v>
      </c>
      <c r="D17" s="35">
        <v>998.47097246609474</v>
      </c>
      <c r="E17" s="36">
        <v>1036.8138979655721</v>
      </c>
      <c r="F17" s="35">
        <v>996.92053440192103</v>
      </c>
      <c r="G17" s="36">
        <v>1077.749973221486</v>
      </c>
      <c r="H17" s="35">
        <v>995.3396075910747</v>
      </c>
      <c r="I17" s="36">
        <v>1123.5430701692374</v>
      </c>
      <c r="J17" s="35">
        <v>993.71884215849911</v>
      </c>
      <c r="K17" s="36">
        <v>1175.104980880101</v>
      </c>
      <c r="L17" s="35">
        <v>992.04871459568039</v>
      </c>
      <c r="M17" s="36">
        <v>1233.5814651946043</v>
      </c>
      <c r="N17" s="35">
        <v>990.32004233028977</v>
      </c>
      <c r="O17" s="36">
        <v>1300.4414936206322</v>
      </c>
      <c r="P17" s="35">
        <v>988.5248000268698</v>
      </c>
      <c r="Q17" s="36">
        <v>1377.6059600660585</v>
      </c>
      <c r="R17" s="35">
        <v>986.65767795441798</v>
      </c>
      <c r="S17" s="36">
        <v>1467.6494618001141</v>
      </c>
      <c r="T17" s="35">
        <v>984.71879240744636</v>
      </c>
      <c r="U17" s="36">
        <v>1574.1219670033036</v>
      </c>
      <c r="V17" s="35">
        <v>982.71839620210392</v>
      </c>
      <c r="W17" s="36">
        <v>1702.0867595070235</v>
      </c>
      <c r="X17" s="35">
        <v>980.68502500012869</v>
      </c>
      <c r="Y17" s="36">
        <v>1859.0518697994094</v>
      </c>
      <c r="Z17" s="35">
        <v>978.67959305431032</v>
      </c>
      <c r="AA17" s="36">
        <v>2056.660570526652</v>
      </c>
      <c r="AB17" s="35">
        <v>976.8192033219907</v>
      </c>
      <c r="AC17" s="36">
        <v>2313.8834921206026</v>
      </c>
      <c r="AD17" s="35">
        <v>975.31400491371608</v>
      </c>
      <c r="AE17" s="36">
        <v>2663.230536175332</v>
      </c>
      <c r="AF17" s="35">
        <v>974.50710323738519</v>
      </c>
      <c r="AG17" s="36">
        <v>3162.6780222061402</v>
      </c>
      <c r="AH17" s="35">
        <v>974.84905994167309</v>
      </c>
      <c r="AI17" s="36">
        <v>3915.7609797621435</v>
      </c>
      <c r="AJ17" s="35">
        <v>976.62806911224948</v>
      </c>
      <c r="AK17" s="36">
        <v>5089.3813577921446</v>
      </c>
      <c r="AL17" s="35">
        <v>979.42460698304876</v>
      </c>
      <c r="AM17" s="36">
        <v>6850.9956519434591</v>
      </c>
      <c r="AN17" s="35"/>
      <c r="AO17" s="36"/>
      <c r="AP17" s="35"/>
      <c r="AQ17" s="36"/>
      <c r="AR17" s="35"/>
      <c r="AS17" s="36"/>
      <c r="AT17" s="35"/>
      <c r="AU17" s="36"/>
      <c r="AV17" s="35"/>
      <c r="AW17" s="36"/>
    </row>
    <row r="18" spans="1:49" x14ac:dyDescent="0.2">
      <c r="A18" t="s">
        <v>19</v>
      </c>
      <c r="B18" s="33">
        <v>27857.010133999996</v>
      </c>
      <c r="C18" s="34">
        <v>1236.7674480000003</v>
      </c>
      <c r="D18" s="33">
        <v>28004.290422125654</v>
      </c>
      <c r="E18" s="34">
        <v>1147.709659506075</v>
      </c>
      <c r="F18" s="33">
        <v>28133.252738397401</v>
      </c>
      <c r="G18" s="34">
        <v>1058.9663419875983</v>
      </c>
      <c r="H18" s="33">
        <v>28242.682494319539</v>
      </c>
      <c r="I18" s="34">
        <v>970.5669645335297</v>
      </c>
      <c r="J18" s="33">
        <v>28330.827771240394</v>
      </c>
      <c r="K18" s="34">
        <v>882.56870125639682</v>
      </c>
      <c r="L18" s="33">
        <v>28395.27411138326</v>
      </c>
      <c r="M18" s="34">
        <v>795.06060595409269</v>
      </c>
      <c r="N18" s="33">
        <v>28432.743940415901</v>
      </c>
      <c r="O18" s="34">
        <v>708.18465904236018</v>
      </c>
      <c r="P18" s="33">
        <v>28438.80841272635</v>
      </c>
      <c r="Q18" s="34">
        <v>622.15410759156816</v>
      </c>
      <c r="R18" s="33">
        <v>28407.445890923362</v>
      </c>
      <c r="S18" s="34">
        <v>537.28615986107286</v>
      </c>
      <c r="T18" s="33">
        <v>28330.356357497258</v>
      </c>
      <c r="U18" s="34">
        <v>454.04484327539689</v>
      </c>
      <c r="V18" s="33">
        <v>28195.862885109123</v>
      </c>
      <c r="W18" s="34">
        <v>373.10594357289301</v>
      </c>
      <c r="X18" s="33">
        <v>27987.066590222959</v>
      </c>
      <c r="Y18" s="34">
        <v>295.44375985439518</v>
      </c>
      <c r="Z18" s="33">
        <v>27678.608452477241</v>
      </c>
      <c r="AA18" s="34">
        <v>222.44862869814497</v>
      </c>
      <c r="AB18" s="33">
        <v>27230.669229203817</v>
      </c>
      <c r="AC18" s="34">
        <v>156.06219233625691</v>
      </c>
      <c r="AD18" s="33">
        <v>26577.175628804365</v>
      </c>
      <c r="AE18" s="34">
        <v>98.870264486607084</v>
      </c>
      <c r="AF18" s="33">
        <v>25601.474768944405</v>
      </c>
      <c r="AG18" s="34">
        <v>53.911430813174405</v>
      </c>
      <c r="AH18" s="33">
        <v>24084.969596869003</v>
      </c>
      <c r="AI18" s="34">
        <v>23.654638646424811</v>
      </c>
      <c r="AJ18" s="33">
        <v>21602.866773506317</v>
      </c>
      <c r="AK18" s="34">
        <v>7.7802780212389653</v>
      </c>
      <c r="AL18" s="33">
        <v>17348.191939097895</v>
      </c>
      <c r="AM18" s="34">
        <v>1.8806983271848992</v>
      </c>
      <c r="AN18" s="33"/>
      <c r="AO18" s="34"/>
      <c r="AP18" s="33"/>
      <c r="AQ18" s="34"/>
      <c r="AR18" s="33"/>
      <c r="AS18" s="34"/>
      <c r="AT18" s="33"/>
      <c r="AU18" s="34"/>
      <c r="AV18" s="33"/>
      <c r="AW18" s="34"/>
    </row>
    <row r="19" spans="1:49" x14ac:dyDescent="0.2">
      <c r="A19" t="s">
        <v>3</v>
      </c>
      <c r="B19" s="41">
        <v>1886.3937399999918</v>
      </c>
      <c r="C19" s="42">
        <v>262.78711299999759</v>
      </c>
      <c r="D19" s="41">
        <v>1888.7168711232125</v>
      </c>
      <c r="E19" s="42">
        <v>271.2549687739608</v>
      </c>
      <c r="F19" s="41">
        <v>1889.6263951429125</v>
      </c>
      <c r="G19" s="42">
        <v>280.6440844959937</v>
      </c>
      <c r="H19" s="41">
        <v>1889.0093508300213</v>
      </c>
      <c r="I19" s="42">
        <v>291.05960769476121</v>
      </c>
      <c r="J19" s="41">
        <v>1886.7167965006902</v>
      </c>
      <c r="K19" s="42">
        <v>302.60753949450361</v>
      </c>
      <c r="L19" s="41">
        <v>1882.5575484257704</v>
      </c>
      <c r="M19" s="42">
        <v>315.3851244706521</v>
      </c>
      <c r="N19" s="41">
        <v>1876.2887658031821</v>
      </c>
      <c r="O19" s="42">
        <v>329.46967573862594</v>
      </c>
      <c r="P19" s="41">
        <v>1867.6033472332201</v>
      </c>
      <c r="Q19" s="42">
        <v>344.89559166206072</v>
      </c>
      <c r="R19" s="41">
        <v>1856.1115845928875</v>
      </c>
      <c r="S19" s="42">
        <v>361.61811977654838</v>
      </c>
      <c r="T19" s="41">
        <v>1841.3138374118275</v>
      </c>
      <c r="U19" s="42">
        <v>379.4522213439929</v>
      </c>
      <c r="V19" s="41">
        <v>1822.5575525651386</v>
      </c>
      <c r="W19" s="42">
        <v>397.9726152053243</v>
      </c>
      <c r="X19" s="41">
        <v>1798.9643475444116</v>
      </c>
      <c r="Y19" s="42">
        <v>416.34572328749539</v>
      </c>
      <c r="Z19" s="41">
        <v>1769.2964614703419</v>
      </c>
      <c r="AA19" s="42">
        <v>433.05142646617617</v>
      </c>
      <c r="AB19" s="41">
        <v>1731.6883319538729</v>
      </c>
      <c r="AC19" s="42">
        <v>445.43072215682747</v>
      </c>
      <c r="AD19" s="41">
        <v>1683.0481470996951</v>
      </c>
      <c r="AE19" s="42">
        <v>449.01890891878884</v>
      </c>
      <c r="AF19" s="41">
        <v>1617.604404498034</v>
      </c>
      <c r="AG19" s="42">
        <v>436.86635019249752</v>
      </c>
      <c r="AH19" s="41">
        <v>1523.2428391255307</v>
      </c>
      <c r="AI19" s="42">
        <v>400.00779787666841</v>
      </c>
      <c r="AJ19" s="41">
        <v>1373.0665630886199</v>
      </c>
      <c r="AK19" s="42">
        <v>331.68569871188339</v>
      </c>
      <c r="AL19" s="41">
        <v>1111.2372559402811</v>
      </c>
      <c r="AM19" s="42">
        <v>234.55428630527871</v>
      </c>
      <c r="AN19" s="41"/>
      <c r="AO19" s="42"/>
      <c r="AP19" s="41"/>
      <c r="AQ19" s="42"/>
      <c r="AR19" s="41"/>
      <c r="AS19" s="42"/>
      <c r="AT19" s="41"/>
      <c r="AU19" s="42"/>
      <c r="AV19" s="41"/>
      <c r="AW19" s="42"/>
    </row>
    <row r="20" spans="1:49" x14ac:dyDescent="0.2">
      <c r="A20" t="s">
        <v>127</v>
      </c>
      <c r="B20" s="82">
        <v>26548.356269999993</v>
      </c>
      <c r="C20" s="83">
        <v>1408.5418709999938</v>
      </c>
      <c r="D20" s="82">
        <v>26670.729675504117</v>
      </c>
      <c r="E20" s="83">
        <v>1338.1147774499941</v>
      </c>
      <c r="F20" s="82">
        <v>26775.142064826516</v>
      </c>
      <c r="G20" s="83">
        <v>1267.6876838999945</v>
      </c>
      <c r="H20" s="82">
        <v>26860.356270505014</v>
      </c>
      <c r="I20" s="83">
        <v>1197.2605903499946</v>
      </c>
      <c r="J20" s="82">
        <v>26924.621641748417</v>
      </c>
      <c r="K20" s="83">
        <v>1126.8334967999949</v>
      </c>
      <c r="L20" s="82">
        <v>26965.559989766618</v>
      </c>
      <c r="M20" s="83">
        <v>1056.4064032499953</v>
      </c>
      <c r="N20" s="82">
        <v>26979.984119802597</v>
      </c>
      <c r="O20" s="83">
        <v>985.97930969999561</v>
      </c>
      <c r="P20" s="82">
        <v>26963.640096819905</v>
      </c>
      <c r="Q20" s="83">
        <v>915.55221614999596</v>
      </c>
      <c r="R20" s="82">
        <v>26910.815115804005</v>
      </c>
      <c r="S20" s="83">
        <v>845.12512259999642</v>
      </c>
      <c r="T20" s="82">
        <v>26813.732416058272</v>
      </c>
      <c r="U20" s="83">
        <v>774.69802904999653</v>
      </c>
      <c r="V20" s="82">
        <v>26661.58503973854</v>
      </c>
      <c r="W20" s="83">
        <v>704.27093549999688</v>
      </c>
      <c r="X20" s="82">
        <v>26438.912809595866</v>
      </c>
      <c r="Y20" s="83">
        <v>633.84384194999734</v>
      </c>
      <c r="Z20" s="82">
        <v>26122.741475925231</v>
      </c>
      <c r="AA20" s="83">
        <v>563.41674839999757</v>
      </c>
      <c r="AB20" s="82">
        <v>25677.228403120062</v>
      </c>
      <c r="AC20" s="83">
        <v>492.98965484999775</v>
      </c>
      <c r="AD20" s="82">
        <v>25042.949159698717</v>
      </c>
      <c r="AE20" s="83">
        <v>422.56256129999804</v>
      </c>
      <c r="AF20" s="82">
        <v>24114.20850245739</v>
      </c>
      <c r="AG20" s="83">
        <v>352.13546774999827</v>
      </c>
      <c r="AH20" s="82">
        <v>22689.53788896172</v>
      </c>
      <c r="AI20" s="83">
        <v>281.70837419999856</v>
      </c>
      <c r="AJ20" s="82">
        <v>20368.617148105059</v>
      </c>
      <c r="AK20" s="83">
        <v>211.28128064999879</v>
      </c>
      <c r="AL20" s="82">
        <v>16378.79791053583</v>
      </c>
      <c r="AM20" s="83">
        <v>140.85418709999902</v>
      </c>
      <c r="AN20" s="82"/>
      <c r="AO20" s="83"/>
      <c r="AP20" s="82"/>
      <c r="AQ20" s="83"/>
      <c r="AR20" s="82"/>
      <c r="AS20" s="83"/>
      <c r="AT20" s="82"/>
      <c r="AU20" s="83"/>
      <c r="AV20" s="82"/>
      <c r="AW20" s="83"/>
    </row>
    <row r="21" spans="1:49" x14ac:dyDescent="0.2">
      <c r="A21" t="s">
        <v>76</v>
      </c>
      <c r="B21" s="82">
        <v>24661.962529999968</v>
      </c>
      <c r="C21" s="83">
        <v>1145.7547579999991</v>
      </c>
      <c r="D21" s="82">
        <v>24782.018580263313</v>
      </c>
      <c r="E21" s="83">
        <v>1067.1382065815242</v>
      </c>
      <c r="F21" s="82">
        <v>24885.539222235151</v>
      </c>
      <c r="G21" s="83">
        <v>988.22819031689414</v>
      </c>
      <c r="H21" s="82">
        <v>24971.401110802446</v>
      </c>
      <c r="I21" s="83">
        <v>909.04290709485383</v>
      </c>
      <c r="J21" s="82">
        <v>25038.003663627187</v>
      </c>
      <c r="K21" s="83">
        <v>829.62521755591058</v>
      </c>
      <c r="L21" s="82">
        <v>25083.161278459316</v>
      </c>
      <c r="M21" s="83">
        <v>750.05567083797678</v>
      </c>
      <c r="N21" s="82">
        <v>25103.931261834125</v>
      </c>
      <c r="O21" s="83">
        <v>670.46654036677444</v>
      </c>
      <c r="P21" s="82">
        <v>25096.36862010977</v>
      </c>
      <c r="Q21" s="83">
        <v>591.06505994130009</v>
      </c>
      <c r="R21" s="82">
        <v>25055.152078107636</v>
      </c>
      <c r="S21" s="83">
        <v>512.16473421243393</v>
      </c>
      <c r="T21" s="82">
        <v>24973.005895186674</v>
      </c>
      <c r="U21" s="83">
        <v>434.23043245595545</v>
      </c>
      <c r="V21" s="82">
        <v>24839.775768000527</v>
      </c>
      <c r="W21" s="83">
        <v>357.94079423294789</v>
      </c>
      <c r="X21" s="82">
        <v>24640.87715397463</v>
      </c>
      <c r="Y21" s="83">
        <v>284.27587306749115</v>
      </c>
      <c r="Z21" s="82">
        <v>24354.565154790922</v>
      </c>
      <c r="AA21" s="83">
        <v>214.63285723720051</v>
      </c>
      <c r="AB21" s="82">
        <v>23946.843943377102</v>
      </c>
      <c r="AC21" s="83">
        <v>150.96155823917806</v>
      </c>
      <c r="AD21" s="82">
        <v>23361.345258649348</v>
      </c>
      <c r="AE21" s="83">
        <v>95.855284215421307</v>
      </c>
      <c r="AF21" s="82">
        <v>22498.088329227186</v>
      </c>
      <c r="AG21" s="83">
        <v>52.368097748630689</v>
      </c>
      <c r="AH21" s="82">
        <v>21167.653932494981</v>
      </c>
      <c r="AI21" s="83">
        <v>23.012120872639439</v>
      </c>
      <c r="AJ21" s="82">
        <v>18996.602207861193</v>
      </c>
      <c r="AK21" s="83">
        <v>7.5767398762555214</v>
      </c>
      <c r="AL21" s="82">
        <v>15268.214288611794</v>
      </c>
      <c r="AM21" s="83">
        <v>1.8325387429201216</v>
      </c>
      <c r="AN21" s="82"/>
      <c r="AO21" s="83"/>
      <c r="AP21" s="82"/>
      <c r="AQ21" s="83"/>
      <c r="AR21" s="82"/>
      <c r="AS21" s="83"/>
      <c r="AT21" s="82"/>
      <c r="AU21" s="83"/>
      <c r="AV21" s="82"/>
      <c r="AW21" s="83"/>
    </row>
    <row r="22" spans="1:49" x14ac:dyDescent="0.2">
      <c r="A22" t="s">
        <v>28</v>
      </c>
      <c r="B22" s="41">
        <v>6533.6044688320644</v>
      </c>
      <c r="C22" s="42">
        <v>379.90788307663382</v>
      </c>
      <c r="D22" s="41">
        <v>6567.975266825646</v>
      </c>
      <c r="E22" s="42">
        <v>364.54813473832917</v>
      </c>
      <c r="F22" s="41">
        <v>6597.2486533095944</v>
      </c>
      <c r="G22" s="42">
        <v>348.91884437914717</v>
      </c>
      <c r="H22" s="41">
        <v>6621.0499790815329</v>
      </c>
      <c r="I22" s="42">
        <v>333.02389129772649</v>
      </c>
      <c r="J22" s="41">
        <v>6638.8650531480071</v>
      </c>
      <c r="K22" s="42">
        <v>316.86417556839228</v>
      </c>
      <c r="L22" s="41">
        <v>6650.0090770758934</v>
      </c>
      <c r="M22" s="42">
        <v>300.43757324142979</v>
      </c>
      <c r="N22" s="41">
        <v>6653.5791568992136</v>
      </c>
      <c r="O22" s="42">
        <v>283.73696144492681</v>
      </c>
      <c r="P22" s="41">
        <v>6648.3870167887717</v>
      </c>
      <c r="Q22" s="42">
        <v>266.74875310278588</v>
      </c>
      <c r="R22" s="41">
        <v>6632.8578670317702</v>
      </c>
      <c r="S22" s="42">
        <v>249.45015267379225</v>
      </c>
      <c r="T22" s="41">
        <v>6604.8763178233276</v>
      </c>
      <c r="U22" s="42">
        <v>231.80568206782667</v>
      </c>
      <c r="V22" s="41">
        <v>6561.5430658327241</v>
      </c>
      <c r="W22" s="42">
        <v>213.76218591291541</v>
      </c>
      <c r="X22" s="41">
        <v>6498.7711209531499</v>
      </c>
      <c r="Y22" s="42">
        <v>195.2427198646206</v>
      </c>
      <c r="Z22" s="41">
        <v>6410.5831774200506</v>
      </c>
      <c r="AA22" s="42">
        <v>176.13943068229517</v>
      </c>
      <c r="AB22" s="41">
        <v>6287.8131419064375</v>
      </c>
      <c r="AC22" s="42">
        <v>156.30850017080266</v>
      </c>
      <c r="AD22" s="41">
        <v>6115.5374950641553</v>
      </c>
      <c r="AE22" s="42">
        <v>135.57607707984093</v>
      </c>
      <c r="AF22" s="41">
        <v>5867.6989911706632</v>
      </c>
      <c r="AG22" s="42">
        <v>113.78263049484966</v>
      </c>
      <c r="AH22" s="41">
        <v>5495.526098362292</v>
      </c>
      <c r="AI22" s="42">
        <v>90.916721367606883</v>
      </c>
      <c r="AJ22" s="41">
        <v>4903.975997364907</v>
      </c>
      <c r="AK22" s="42">
        <v>67.34716062973807</v>
      </c>
      <c r="AL22" s="41">
        <v>3914.3035800717184</v>
      </c>
      <c r="AM22" s="42">
        <v>43.902935584285025</v>
      </c>
      <c r="AN22" s="41"/>
      <c r="AO22" s="42"/>
      <c r="AP22" s="41"/>
      <c r="AQ22" s="42"/>
      <c r="AR22" s="41"/>
      <c r="AS22" s="42"/>
      <c r="AT22" s="41"/>
      <c r="AU22" s="42"/>
      <c r="AV22" s="41"/>
      <c r="AW22" s="42"/>
    </row>
    <row r="23" spans="1:49" x14ac:dyDescent="0.2">
      <c r="A23" t="s">
        <v>7</v>
      </c>
      <c r="B23" s="116">
        <v>3278.5018080150408</v>
      </c>
      <c r="C23" s="8">
        <v>0</v>
      </c>
      <c r="D23" s="116">
        <v>3301.1641056227227</v>
      </c>
      <c r="E23" s="8">
        <v>0</v>
      </c>
      <c r="F23" s="116">
        <v>3321.695142437728</v>
      </c>
      <c r="G23" s="8">
        <v>0</v>
      </c>
      <c r="H23" s="116">
        <v>3339.9494643173657</v>
      </c>
      <c r="I23" s="8">
        <v>0</v>
      </c>
      <c r="J23" s="116">
        <v>3355.7178604370365</v>
      </c>
      <c r="K23" s="8">
        <v>0</v>
      </c>
      <c r="L23" s="116">
        <v>3368.7139360378828</v>
      </c>
      <c r="M23" s="8">
        <v>0</v>
      </c>
      <c r="N23" s="116">
        <v>3378.551702369622</v>
      </c>
      <c r="O23" s="8">
        <v>0</v>
      </c>
      <c r="P23" s="116">
        <v>3384.7148968062547</v>
      </c>
      <c r="Q23" s="8">
        <v>0</v>
      </c>
      <c r="R23" s="116">
        <v>3386.5101567271736</v>
      </c>
      <c r="S23" s="8">
        <v>0</v>
      </c>
      <c r="T23" s="116">
        <v>3382.9955374899432</v>
      </c>
      <c r="U23" s="8">
        <v>0</v>
      </c>
      <c r="V23" s="116">
        <v>3372.8665915864526</v>
      </c>
      <c r="W23" s="8">
        <v>0</v>
      </c>
      <c r="X23" s="116">
        <v>3354.2652717764595</v>
      </c>
      <c r="Y23" s="8">
        <v>0</v>
      </c>
      <c r="Z23" s="116">
        <v>3324.4408776124224</v>
      </c>
      <c r="AA23" s="8">
        <v>0</v>
      </c>
      <c r="AB23" s="116">
        <v>3279.1058376316914</v>
      </c>
      <c r="AC23" s="8">
        <v>0</v>
      </c>
      <c r="AD23" s="116">
        <v>3211.1095881472947</v>
      </c>
      <c r="AE23" s="8">
        <v>0</v>
      </c>
      <c r="AF23" s="116">
        <v>3107.5062290914075</v>
      </c>
      <c r="AG23" s="8">
        <v>0</v>
      </c>
      <c r="AH23" s="116">
        <v>2942.777719729098</v>
      </c>
      <c r="AI23" s="8">
        <v>0</v>
      </c>
      <c r="AJ23" s="116">
        <v>2663.8336938433717</v>
      </c>
      <c r="AK23" s="8">
        <v>0</v>
      </c>
      <c r="AL23" s="116">
        <v>2163.4206114708231</v>
      </c>
      <c r="AM23" s="8">
        <v>0</v>
      </c>
      <c r="AN23" s="116"/>
      <c r="AO23" s="8"/>
      <c r="AP23" s="116"/>
      <c r="AQ23" s="8"/>
      <c r="AR23" s="116"/>
      <c r="AS23" s="8"/>
      <c r="AT23" s="116"/>
      <c r="AU23" s="8"/>
      <c r="AV23" s="116"/>
      <c r="AW23" s="8"/>
    </row>
    <row r="24" spans="1:49" x14ac:dyDescent="0.2">
      <c r="A24" t="s">
        <v>8</v>
      </c>
      <c r="B24" s="97">
        <v>3196.3846373657216</v>
      </c>
      <c r="C24" s="8">
        <v>0</v>
      </c>
      <c r="D24" s="97">
        <v>3218.4793187180658</v>
      </c>
      <c r="E24" s="8">
        <v>0</v>
      </c>
      <c r="F24" s="97">
        <v>3238.4961126046242</v>
      </c>
      <c r="G24" s="8">
        <v>0</v>
      </c>
      <c r="H24" s="97">
        <v>3256.2932037779392</v>
      </c>
      <c r="I24" s="8">
        <v>0</v>
      </c>
      <c r="J24" s="97">
        <v>3271.6666486795002</v>
      </c>
      <c r="K24" s="8">
        <v>0</v>
      </c>
      <c r="L24" s="97">
        <v>3284.3372067016376</v>
      </c>
      <c r="M24" s="8">
        <v>0</v>
      </c>
      <c r="N24" s="97">
        <v>3293.9285641704623</v>
      </c>
      <c r="O24" s="8">
        <v>0</v>
      </c>
      <c r="P24" s="97">
        <v>3299.9373874665584</v>
      </c>
      <c r="Q24" s="8">
        <v>0</v>
      </c>
      <c r="R24" s="97">
        <v>3301.6876817207044</v>
      </c>
      <c r="S24" s="8">
        <v>0</v>
      </c>
      <c r="T24" s="97">
        <v>3298.2610949917103</v>
      </c>
      <c r="U24" s="8">
        <v>0</v>
      </c>
      <c r="V24" s="97">
        <v>3288.3858507751124</v>
      </c>
      <c r="W24" s="8">
        <v>0</v>
      </c>
      <c r="X24" s="97">
        <v>3270.2504408593695</v>
      </c>
      <c r="Y24" s="8">
        <v>0</v>
      </c>
      <c r="Z24" s="97">
        <v>3241.1730646248939</v>
      </c>
      <c r="AA24" s="8">
        <v>0</v>
      </c>
      <c r="AB24" s="97">
        <v>3196.9735373501576</v>
      </c>
      <c r="AC24" s="8">
        <v>0</v>
      </c>
      <c r="AD24" s="97">
        <v>3130.6804016608121</v>
      </c>
      <c r="AE24" s="8">
        <v>0</v>
      </c>
      <c r="AF24" s="97">
        <v>3029.6720126182436</v>
      </c>
      <c r="AG24" s="8">
        <v>0</v>
      </c>
      <c r="AH24" s="97">
        <v>2869.0694853962609</v>
      </c>
      <c r="AI24" s="8">
        <v>0</v>
      </c>
      <c r="AJ24" s="97">
        <v>2597.1122159128586</v>
      </c>
      <c r="AK24" s="8">
        <v>0</v>
      </c>
      <c r="AL24" s="97">
        <v>2109.2330618044016</v>
      </c>
      <c r="AM24" s="8">
        <v>0</v>
      </c>
      <c r="AN24" s="97"/>
      <c r="AO24" s="8"/>
      <c r="AP24" s="97"/>
      <c r="AQ24" s="8"/>
      <c r="AR24" s="97"/>
      <c r="AS24" s="8"/>
      <c r="AT24" s="97"/>
      <c r="AU24" s="8"/>
      <c r="AV24" s="97"/>
      <c r="AW24" s="8"/>
    </row>
    <row r="25" spans="1:49" x14ac:dyDescent="0.2">
      <c r="A25" t="s">
        <v>0</v>
      </c>
      <c r="B25" s="41">
        <v>3195.0476040000012</v>
      </c>
      <c r="C25" s="42">
        <v>91.012690000004397</v>
      </c>
      <c r="D25" s="41">
        <v>3222.2624468050667</v>
      </c>
      <c r="E25" s="42">
        <v>80.520953233965855</v>
      </c>
      <c r="F25" s="41">
        <v>3247.6751144160489</v>
      </c>
      <c r="G25" s="42">
        <v>70.546389417859402</v>
      </c>
      <c r="H25" s="41">
        <v>3271.1926841160625</v>
      </c>
      <c r="I25" s="42">
        <v>61.115594131230758</v>
      </c>
      <c r="J25" s="41">
        <v>3292.6615652071027</v>
      </c>
      <c r="K25" s="42">
        <v>52.257621551577586</v>
      </c>
      <c r="L25" s="41">
        <v>3311.8502596490907</v>
      </c>
      <c r="M25" s="42">
        <v>44.003378588797474</v>
      </c>
      <c r="N25" s="41">
        <v>3328.420655386004</v>
      </c>
      <c r="O25" s="42">
        <v>36.385153025408364</v>
      </c>
      <c r="P25" s="41">
        <v>3341.8852876565879</v>
      </c>
      <c r="Q25" s="42">
        <v>29.435760535132658</v>
      </c>
      <c r="R25" s="41">
        <v>3351.5400811771419</v>
      </c>
      <c r="S25" s="42">
        <v>23.1876018052223</v>
      </c>
      <c r="T25" s="41">
        <v>3356.357669432477</v>
      </c>
      <c r="U25" s="42">
        <v>17.671291783275379</v>
      </c>
      <c r="V25" s="41">
        <v>3354.8144385671021</v>
      </c>
      <c r="W25" s="42">
        <v>12.913878021076274</v>
      </c>
      <c r="X25" s="41">
        <v>3344.5999837072995</v>
      </c>
      <c r="Y25" s="42">
        <v>8.9361265632780373</v>
      </c>
      <c r="Z25" s="41">
        <v>3322.1142434237063</v>
      </c>
      <c r="AA25" s="42">
        <v>5.7483242127882113</v>
      </c>
      <c r="AB25" s="41">
        <v>3281.5668050789423</v>
      </c>
      <c r="AC25" s="42">
        <v>3.3433029976464903</v>
      </c>
      <c r="AD25" s="41">
        <v>3213.3169761310282</v>
      </c>
      <c r="AE25" s="42">
        <v>1.6848389685165941</v>
      </c>
      <c r="AF25" s="41">
        <v>3100.7969407314654</v>
      </c>
      <c r="AG25" s="42">
        <v>0.68975092378471459</v>
      </c>
      <c r="AH25" s="41">
        <v>2914.9473897837797</v>
      </c>
      <c r="AI25" s="42">
        <v>0.20997492806049534</v>
      </c>
      <c r="AJ25" s="41">
        <v>2604.4419294407517</v>
      </c>
      <c r="AK25" s="42">
        <v>4.3563867154553439E-2</v>
      </c>
      <c r="AL25" s="41">
        <v>2078.8545889467982</v>
      </c>
      <c r="AM25" s="42">
        <v>6.1620443014938501E-3</v>
      </c>
      <c r="AN25" s="41"/>
      <c r="AO25" s="42"/>
      <c r="AP25" s="41"/>
      <c r="AQ25" s="42"/>
      <c r="AR25" s="41"/>
      <c r="AS25" s="42"/>
      <c r="AT25" s="41"/>
      <c r="AU25" s="42"/>
      <c r="AV25" s="41"/>
      <c r="AW25" s="42"/>
    </row>
    <row r="26" spans="1:49" x14ac:dyDescent="0.2">
      <c r="A26" t="s">
        <v>27</v>
      </c>
      <c r="B26" s="33">
        <v>5036.2953101960647</v>
      </c>
      <c r="C26" s="34">
        <v>74.905331803938267</v>
      </c>
      <c r="D26" s="33">
        <v>5090.1462783864854</v>
      </c>
      <c r="E26" s="34">
        <v>70.408409776117082</v>
      </c>
      <c r="F26" s="33">
        <v>5139.6365792966026</v>
      </c>
      <c r="G26" s="34">
        <v>65.823197003994977</v>
      </c>
      <c r="H26" s="33">
        <v>5184.3566254188381</v>
      </c>
      <c r="I26" s="34">
        <v>61.14879386481185</v>
      </c>
      <c r="J26" s="33">
        <v>5223.7533999069929</v>
      </c>
      <c r="K26" s="34">
        <v>56.384993462340304</v>
      </c>
      <c r="L26" s="33">
        <v>5257.0961451608382</v>
      </c>
      <c r="M26" s="34">
        <v>51.533028132629433</v>
      </c>
      <c r="N26" s="33">
        <v>5283.4277432236631</v>
      </c>
      <c r="O26" s="34">
        <v>46.596620928612495</v>
      </c>
      <c r="P26" s="33">
        <v>5301.4951261932501</v>
      </c>
      <c r="Q26" s="34">
        <v>41.583594266698903</v>
      </c>
      <c r="R26" s="33">
        <v>5309.6483304675585</v>
      </c>
      <c r="S26" s="34">
        <v>36.508260259420766</v>
      </c>
      <c r="T26" s="33">
        <v>5305.6881009438284</v>
      </c>
      <c r="U26" s="34">
        <v>31.394890726522604</v>
      </c>
      <c r="V26" s="33">
        <v>5286.6312520297815</v>
      </c>
      <c r="W26" s="34">
        <v>26.282876477874431</v>
      </c>
      <c r="X26" s="33">
        <v>5248.3239882991193</v>
      </c>
      <c r="Y26" s="34">
        <v>21.234106295661331</v>
      </c>
      <c r="Z26" s="33">
        <v>5184.7770193471588</v>
      </c>
      <c r="AA26" s="34">
        <v>16.343329395020547</v>
      </c>
      <c r="AB26" s="33">
        <v>5086.9489277918137</v>
      </c>
      <c r="AC26" s="34">
        <v>11.751394533514512</v>
      </c>
      <c r="AD26" s="33">
        <v>4940.3789437775968</v>
      </c>
      <c r="AE26" s="34">
        <v>7.6579015777544459</v>
      </c>
      <c r="AF26" s="33">
        <v>4720.4107540209543</v>
      </c>
      <c r="AG26" s="34">
        <v>4.3167756840061919</v>
      </c>
      <c r="AH26" s="33">
        <v>4382.8120718655491</v>
      </c>
      <c r="AI26" s="34">
        <v>1.9707026517671715</v>
      </c>
      <c r="AJ26" s="33">
        <v>3848.734399657953</v>
      </c>
      <c r="AK26" s="34">
        <v>0.6785587234139342</v>
      </c>
      <c r="AL26" s="33">
        <v>2993.7071029852332</v>
      </c>
      <c r="AM26" s="34">
        <v>0.17166825885942097</v>
      </c>
      <c r="AN26" s="33"/>
      <c r="AO26" s="34"/>
      <c r="AP26" s="33"/>
      <c r="AQ26" s="34"/>
      <c r="AR26" s="33"/>
      <c r="AS26" s="34"/>
      <c r="AT26" s="33"/>
      <c r="AU26" s="34"/>
      <c r="AV26" s="33"/>
      <c r="AW26" s="34"/>
    </row>
    <row r="27" spans="1:49" x14ac:dyDescent="0.2">
      <c r="A27" t="s">
        <v>2</v>
      </c>
      <c r="B27" s="35">
        <v>6425.1981590000069</v>
      </c>
      <c r="C27" s="36">
        <v>273.22915400000028</v>
      </c>
      <c r="D27" s="35">
        <v>6442.9211472039779</v>
      </c>
      <c r="E27" s="36">
        <v>255.50615659312533</v>
      </c>
      <c r="F27" s="35">
        <v>6460.6417322572124</v>
      </c>
      <c r="G27" s="36">
        <v>237.78559956353072</v>
      </c>
      <c r="H27" s="35">
        <v>6478.3840633631899</v>
      </c>
      <c r="I27" s="36">
        <v>220.04325031087848</v>
      </c>
      <c r="J27" s="35">
        <v>6496.1685702744044</v>
      </c>
      <c r="K27" s="36">
        <v>202.2587554687035</v>
      </c>
      <c r="L27" s="35">
        <v>6514.0122092872734</v>
      </c>
      <c r="M27" s="36">
        <v>184.41510559086186</v>
      </c>
      <c r="N27" s="35">
        <v>6531.9240764807018</v>
      </c>
      <c r="O27" s="36">
        <v>166.50323882365669</v>
      </c>
      <c r="P27" s="35">
        <v>6549.9020896658849</v>
      </c>
      <c r="Q27" s="36">
        <v>148.52522280793536</v>
      </c>
      <c r="R27" s="35">
        <v>6567.9258317916792</v>
      </c>
      <c r="S27" s="36">
        <v>130.50149040796009</v>
      </c>
      <c r="T27" s="35">
        <v>6585.9465151234463</v>
      </c>
      <c r="U27" s="36">
        <v>112.48079833380544</v>
      </c>
      <c r="V27" s="35">
        <v>6603.8704204872083</v>
      </c>
      <c r="W27" s="36">
        <v>94.556892505317251</v>
      </c>
      <c r="X27" s="35">
        <v>6621.5347085858284</v>
      </c>
      <c r="Y27" s="36">
        <v>76.892596325174864</v>
      </c>
      <c r="Z27" s="35">
        <v>6638.6710006079147</v>
      </c>
      <c r="AA27" s="36">
        <v>59.756346621306442</v>
      </c>
      <c r="AB27" s="35">
        <v>6654.8547625531646</v>
      </c>
      <c r="AC27" s="36">
        <v>43.572530709535329</v>
      </c>
      <c r="AD27" s="35">
        <v>6669.4477312282052</v>
      </c>
      <c r="AE27" s="36">
        <v>28.979594658213411</v>
      </c>
      <c r="AF27" s="35">
        <v>6681.5834916253034</v>
      </c>
      <c r="AG27" s="36">
        <v>16.843813832090618</v>
      </c>
      <c r="AH27" s="35">
        <v>6690.3533720726118</v>
      </c>
      <c r="AI27" s="36">
        <v>8.0739707224546908</v>
      </c>
      <c r="AJ27" s="35">
        <v>6695.3978835249018</v>
      </c>
      <c r="AK27" s="36">
        <v>3.0294091178256881</v>
      </c>
      <c r="AL27" s="35">
        <v>6697.5013272498491</v>
      </c>
      <c r="AM27" s="36">
        <v>0.9260014150063659</v>
      </c>
      <c r="AN27" s="35"/>
      <c r="AO27" s="36"/>
      <c r="AP27" s="35"/>
      <c r="AQ27" s="36"/>
      <c r="AR27" s="35"/>
      <c r="AS27" s="36"/>
      <c r="AT27" s="35"/>
      <c r="AU27" s="36"/>
      <c r="AV27" s="35"/>
      <c r="AW27" s="36"/>
    </row>
    <row r="28" spans="1:49" x14ac:dyDescent="0.2">
      <c r="A28" t="s">
        <v>35</v>
      </c>
      <c r="B28" s="41">
        <v>13763.097676000007</v>
      </c>
      <c r="C28" s="42">
        <v>382.36647900000003</v>
      </c>
      <c r="D28" s="41">
        <v>13858.924521331544</v>
      </c>
      <c r="E28" s="42">
        <v>358.08501126969168</v>
      </c>
      <c r="F28" s="41">
        <v>13947.840104552093</v>
      </c>
      <c r="G28" s="42">
        <v>333.6690668692998</v>
      </c>
      <c r="H28" s="41">
        <v>14029.506514406858</v>
      </c>
      <c r="I28" s="42">
        <v>309.0988971266944</v>
      </c>
      <c r="J28" s="41">
        <v>14103.369834639801</v>
      </c>
      <c r="K28" s="42">
        <v>284.35831097274109</v>
      </c>
      <c r="L28" s="41">
        <v>14168.610214430664</v>
      </c>
      <c r="M28" s="42">
        <v>259.43525431714824</v>
      </c>
      <c r="N28" s="41">
        <v>14224.061777726001</v>
      </c>
      <c r="O28" s="42">
        <v>234.32801043353896</v>
      </c>
      <c r="P28" s="41">
        <v>14268.095461640745</v>
      </c>
      <c r="Q28" s="42">
        <v>209.05065308520631</v>
      </c>
      <c r="R28" s="41">
        <v>14298.438614902059</v>
      </c>
      <c r="S28" s="42">
        <v>183.64369996188179</v>
      </c>
      <c r="T28" s="41">
        <v>14311.89182393093</v>
      </c>
      <c r="U28" s="42">
        <v>158.18903291879653</v>
      </c>
      <c r="V28" s="41">
        <v>14303.871314717811</v>
      </c>
      <c r="W28" s="42">
        <v>132.83408992727925</v>
      </c>
      <c r="X28" s="41">
        <v>14267.626202953325</v>
      </c>
      <c r="Y28" s="42">
        <v>107.82689054656663</v>
      </c>
      <c r="Z28" s="41">
        <v>14192.831378624573</v>
      </c>
      <c r="AA28" s="42">
        <v>83.568313950086164</v>
      </c>
      <c r="AB28" s="41">
        <v>14062.880654308085</v>
      </c>
      <c r="AC28" s="42">
        <v>60.683177909933988</v>
      </c>
      <c r="AD28" s="41">
        <v>13849.260275178134</v>
      </c>
      <c r="AE28" s="42">
        <v>40.099434059968594</v>
      </c>
      <c r="AF28" s="41">
        <v>13498.943496806643</v>
      </c>
      <c r="AG28" s="42">
        <v>23.059055828854721</v>
      </c>
      <c r="AH28" s="41">
        <v>12904.487318981475</v>
      </c>
      <c r="AI28" s="42">
        <v>10.838548490124284</v>
      </c>
      <c r="AJ28" s="41">
        <v>11833.329722766688</v>
      </c>
      <c r="AK28" s="42">
        <v>3.8970725696803563</v>
      </c>
      <c r="AL28" s="41">
        <v>9781.8347462389629</v>
      </c>
      <c r="AM28" s="42">
        <v>1.0477631451553775</v>
      </c>
      <c r="AN28" s="41"/>
      <c r="AO28" s="42"/>
      <c r="AP28" s="41"/>
      <c r="AQ28" s="42"/>
      <c r="AR28" s="41"/>
      <c r="AS28" s="42"/>
      <c r="AT28" s="41"/>
      <c r="AU28" s="42"/>
      <c r="AV28" s="41"/>
      <c r="AW28" s="42"/>
    </row>
    <row r="29" spans="1:49" x14ac:dyDescent="0.2">
      <c r="A29" t="s">
        <v>53</v>
      </c>
      <c r="B29" s="35">
        <v>14362.768558000003</v>
      </c>
      <c r="C29" s="36">
        <v>817.26651000000004</v>
      </c>
      <c r="D29" s="35">
        <v>14438.330033765915</v>
      </c>
      <c r="E29" s="36">
        <v>756.78852205414216</v>
      </c>
      <c r="F29" s="35">
        <v>14504.431263810469</v>
      </c>
      <c r="G29" s="36">
        <v>696.7051389903047</v>
      </c>
      <c r="H29" s="35">
        <v>14560.443957806689</v>
      </c>
      <c r="I29" s="36">
        <v>637.0457228852473</v>
      </c>
      <c r="J29" s="35">
        <v>14605.462558670246</v>
      </c>
      <c r="K29" s="36">
        <v>577.85899692794726</v>
      </c>
      <c r="L29" s="35">
        <v>14638.239947278873</v>
      </c>
      <c r="M29" s="36">
        <v>519.2155972462923</v>
      </c>
      <c r="N29" s="35">
        <v>14657.084090131757</v>
      </c>
      <c r="O29" s="36">
        <v>461.22139531149446</v>
      </c>
      <c r="P29" s="35">
        <v>14659.709922369067</v>
      </c>
      <c r="Q29" s="36">
        <v>404.02892141476752</v>
      </c>
      <c r="R29" s="35">
        <v>14643.012352864209</v>
      </c>
      <c r="S29" s="36">
        <v>347.85778227733772</v>
      </c>
      <c r="T29" s="35">
        <v>14602.713992659672</v>
      </c>
      <c r="U29" s="36">
        <v>293.02121739267614</v>
      </c>
      <c r="V29" s="35">
        <v>14532.800792851902</v>
      </c>
      <c r="W29" s="36">
        <v>239.96621400536958</v>
      </c>
      <c r="X29" s="35">
        <v>14424.574329348019</v>
      </c>
      <c r="Y29" s="36">
        <v>189.32661177352543</v>
      </c>
      <c r="Z29" s="35">
        <v>14264.988210079006</v>
      </c>
      <c r="AA29" s="36">
        <v>141.99429336405609</v>
      </c>
      <c r="AB29" s="35">
        <v>14033.564356280494</v>
      </c>
      <c r="AC29" s="36">
        <v>99.199158480307432</v>
      </c>
      <c r="AD29" s="35">
        <v>13696.32620211816</v>
      </c>
      <c r="AE29" s="36">
        <v>62.558370118657336</v>
      </c>
      <c r="AF29" s="35">
        <v>13193.269252801334</v>
      </c>
      <c r="AG29" s="36">
        <v>33.941388862686217</v>
      </c>
      <c r="AH29" s="35">
        <v>12411.859988125105</v>
      </c>
      <c r="AI29" s="36">
        <v>14.812330324024254</v>
      </c>
      <c r="AJ29" s="35">
        <v>11133.180394424322</v>
      </c>
      <c r="AK29" s="36">
        <v>4.8449480645222307</v>
      </c>
      <c r="AL29" s="35">
        <v>8941.0451668834157</v>
      </c>
      <c r="AM29" s="36">
        <v>1.1651614809982285</v>
      </c>
      <c r="AN29" s="35"/>
      <c r="AO29" s="36"/>
      <c r="AP29" s="35"/>
      <c r="AQ29" s="36"/>
      <c r="AR29" s="35"/>
      <c r="AS29" s="36"/>
      <c r="AT29" s="35"/>
      <c r="AU29" s="36"/>
      <c r="AV29" s="35"/>
      <c r="AW29" s="36"/>
    </row>
    <row r="30" spans="1:49" x14ac:dyDescent="0.2">
      <c r="A30" t="s">
        <v>48</v>
      </c>
      <c r="B30" s="119">
        <v>2924829.9599999995</v>
      </c>
      <c r="D30" s="119">
        <v>3029800.5875449488</v>
      </c>
      <c r="F30" s="119">
        <v>3134675.954235442</v>
      </c>
      <c r="H30" s="119">
        <v>3239516.2507390734</v>
      </c>
      <c r="J30" s="119">
        <v>3344353.8071191227</v>
      </c>
      <c r="L30" s="119">
        <v>3449187.8182652928</v>
      </c>
      <c r="N30" s="119">
        <v>3553989.2533539841</v>
      </c>
      <c r="P30" s="119">
        <v>3658703.8262860454</v>
      </c>
      <c r="R30" s="119">
        <v>3763265.866994733</v>
      </c>
      <c r="T30" s="119">
        <v>3867623.8030423061</v>
      </c>
      <c r="V30" s="119">
        <v>3971790.1568929488</v>
      </c>
      <c r="X30" s="119">
        <v>4075914.1320468858</v>
      </c>
      <c r="Z30" s="119">
        <v>4180363.6935363049</v>
      </c>
      <c r="AB30" s="119">
        <v>4285679.189269918</v>
      </c>
      <c r="AD30" s="119">
        <v>4391784.7080393471</v>
      </c>
      <c r="AF30" s="119">
        <v>4493986.7118888479</v>
      </c>
      <c r="AH30" s="119">
        <v>4567093.8087244472</v>
      </c>
      <c r="AJ30" s="119">
        <v>4514544.9037361164</v>
      </c>
      <c r="AL30" s="119">
        <v>4050789.5443403525</v>
      </c>
      <c r="AN30" s="119"/>
      <c r="AP30" s="119"/>
      <c r="AR30" s="119"/>
      <c r="AT30" s="119"/>
      <c r="AV30" s="119"/>
    </row>
    <row r="31" spans="1:49" x14ac:dyDescent="0.2">
      <c r="A31" t="s">
        <v>47</v>
      </c>
      <c r="B31" s="80">
        <v>1</v>
      </c>
      <c r="D31" s="80">
        <v>1.0026824455102463</v>
      </c>
      <c r="F31" s="80">
        <v>1.0043936986810917</v>
      </c>
      <c r="H31" s="80">
        <v>1.0050589601822784</v>
      </c>
      <c r="J31" s="80">
        <v>1.0045795600871796</v>
      </c>
      <c r="L31" s="80">
        <v>1.002827830338185</v>
      </c>
      <c r="N31" s="80">
        <v>0.9996390365080573</v>
      </c>
      <c r="P31" s="80">
        <v>0.99480019451647173</v>
      </c>
      <c r="R31" s="80">
        <v>0.98803323685238675</v>
      </c>
      <c r="T31" s="80">
        <v>0.97896960296114988</v>
      </c>
      <c r="V31" s="80">
        <v>0.96711042282891901</v>
      </c>
      <c r="X31" s="80">
        <v>0.95176163193881902</v>
      </c>
      <c r="Z31" s="80">
        <v>0.93192379010892779</v>
      </c>
      <c r="AB31" s="80">
        <v>0.9060962121712105</v>
      </c>
      <c r="AD31" s="80">
        <v>0.87191118386883359</v>
      </c>
      <c r="AF31" s="80">
        <v>0.82543183166335043</v>
      </c>
      <c r="AH31" s="80">
        <v>0.75981647591911006</v>
      </c>
      <c r="AJ31" s="80">
        <v>0.66303090531299569</v>
      </c>
      <c r="AL31" s="80">
        <v>0.51506954124809012</v>
      </c>
      <c r="AN31" s="80"/>
      <c r="AP31" s="80"/>
      <c r="AR31" s="80"/>
      <c r="AT31" s="80"/>
      <c r="AV31" s="80"/>
    </row>
    <row r="32" spans="1:49" x14ac:dyDescent="0.2">
      <c r="A32" t="s">
        <v>64</v>
      </c>
      <c r="B32" s="86">
        <v>14734457.915000005</v>
      </c>
      <c r="D32" s="86">
        <v>14811344.238545509</v>
      </c>
      <c r="F32" s="86">
        <v>14877954.740762746</v>
      </c>
      <c r="H32" s="86">
        <v>14933528.860602947</v>
      </c>
      <c r="J32" s="86">
        <v>14977018.73866896</v>
      </c>
      <c r="L32" s="86">
        <v>15007035.93127954</v>
      </c>
      <c r="N32" s="86">
        <v>15021764.324242871</v>
      </c>
      <c r="P32" s="86">
        <v>15018844.965462849</v>
      </c>
      <c r="R32" s="86">
        <v>14995203.96042487</v>
      </c>
      <c r="T32" s="86">
        <v>14946795.005491098</v>
      </c>
      <c r="V32" s="86">
        <v>14868192.913351864</v>
      </c>
      <c r="X32" s="86">
        <v>14751910.474726846</v>
      </c>
      <c r="Z32" s="86">
        <v>14587165.908638084</v>
      </c>
      <c r="AB32" s="86">
        <v>14357459.768519722</v>
      </c>
      <c r="AD32" s="86">
        <v>14035311.049421169</v>
      </c>
      <c r="AF32" s="86">
        <v>13569787.377505759</v>
      </c>
      <c r="AH32" s="86">
        <v>12855547.780612007</v>
      </c>
      <c r="AJ32" s="86">
        <v>11660938.673795449</v>
      </c>
      <c r="AL32" s="86">
        <v>9500899.5822739173</v>
      </c>
      <c r="AN32" s="86"/>
      <c r="AP32" s="86"/>
      <c r="AR32" s="86"/>
      <c r="AT32" s="86"/>
      <c r="AV32" s="86"/>
    </row>
    <row r="33" spans="1:49 16319:16321" x14ac:dyDescent="0.2">
      <c r="A33" t="s">
        <v>54</v>
      </c>
      <c r="B33" s="117">
        <v>7019665.6909999885</v>
      </c>
      <c r="D33" s="117">
        <v>7056295.4782384001</v>
      </c>
      <c r="F33" s="117">
        <v>7088029.5490992162</v>
      </c>
      <c r="H33" s="117">
        <v>7114505.3980099615</v>
      </c>
      <c r="J33" s="117">
        <v>7135224.5305863684</v>
      </c>
      <c r="L33" s="117">
        <v>7149525.018296646</v>
      </c>
      <c r="N33" s="117">
        <v>7156541.8052525911</v>
      </c>
      <c r="P33" s="117">
        <v>7155150.9957176959</v>
      </c>
      <c r="R33" s="117">
        <v>7143888.1887522219</v>
      </c>
      <c r="T33" s="117">
        <v>7120825.5471564028</v>
      </c>
      <c r="V33" s="117">
        <v>7083378.586933109</v>
      </c>
      <c r="X33" s="117">
        <v>7027980.2961069401</v>
      </c>
      <c r="Z33" s="117">
        <v>6949494.1026290413</v>
      </c>
      <c r="AB33" s="117">
        <v>6840059.438007392</v>
      </c>
      <c r="AD33" s="117">
        <v>6686584.0568480026</v>
      </c>
      <c r="AF33" s="117">
        <v>6464803.216161035</v>
      </c>
      <c r="AH33" s="117">
        <v>6124531.2349949265</v>
      </c>
      <c r="AJ33" s="117">
        <v>5555405.6764203655</v>
      </c>
      <c r="AL33" s="117">
        <v>4526338.1399694998</v>
      </c>
      <c r="AN33" s="117"/>
      <c r="AP33" s="117"/>
      <c r="AR33" s="117"/>
      <c r="AT33" s="117"/>
      <c r="AV33" s="117"/>
    </row>
    <row r="34" spans="1:49 16319:16321" x14ac:dyDescent="0.2">
      <c r="A34" t="s">
        <v>75</v>
      </c>
      <c r="B34" s="117">
        <v>1136879.4410000162</v>
      </c>
      <c r="D34" s="117">
        <v>1142811.5601418593</v>
      </c>
      <c r="F34" s="117">
        <v>1147951.0241950019</v>
      </c>
      <c r="H34" s="117">
        <v>1152239.3197225109</v>
      </c>
      <c r="J34" s="117">
        <v>1155594.8507634865</v>
      </c>
      <c r="L34" s="117">
        <v>1157910.965341466</v>
      </c>
      <c r="N34" s="117">
        <v>1159047.3668696047</v>
      </c>
      <c r="P34" s="117">
        <v>1158822.1092964399</v>
      </c>
      <c r="R34" s="117">
        <v>1156997.9786129284</v>
      </c>
      <c r="T34" s="117">
        <v>1153262.902459932</v>
      </c>
      <c r="V34" s="117">
        <v>1147198.1488177152</v>
      </c>
      <c r="X34" s="117">
        <v>1138226.0394386705</v>
      </c>
      <c r="Z34" s="117">
        <v>1125514.6796999765</v>
      </c>
      <c r="AB34" s="117">
        <v>1107791.0539658885</v>
      </c>
      <c r="AD34" s="117">
        <v>1082934.7590810605</v>
      </c>
      <c r="AF34" s="117">
        <v>1047015.9369647186</v>
      </c>
      <c r="AH34" s="117">
        <v>991906.72770964098</v>
      </c>
      <c r="AJ34" s="117">
        <v>899733.23150740296</v>
      </c>
      <c r="AL34" s="117">
        <v>733069.20874553977</v>
      </c>
      <c r="AN34" s="117"/>
      <c r="AP34" s="117"/>
      <c r="AR34" s="117"/>
      <c r="AT34" s="117"/>
      <c r="AV34" s="117"/>
    </row>
    <row r="35" spans="1:49 16319:16321" x14ac:dyDescent="0.2">
      <c r="A35" t="s">
        <v>78</v>
      </c>
      <c r="B35" s="233">
        <v>1</v>
      </c>
      <c r="D35" s="233">
        <v>1.0025306259498259</v>
      </c>
      <c r="F35" s="233">
        <v>1.0053363209995418</v>
      </c>
      <c r="H35" s="233">
        <v>1.0084618107943046</v>
      </c>
      <c r="J35" s="233">
        <v>1.0119637952171765</v>
      </c>
      <c r="L35" s="233">
        <v>1.0159150671972244</v>
      </c>
      <c r="N35" s="233">
        <v>1.0204112000847381</v>
      </c>
      <c r="P35" s="233">
        <v>1.0255802743708207</v>
      </c>
      <c r="R35" s="233">
        <v>1.0315982846369534</v>
      </c>
      <c r="T35" s="233">
        <v>1.038713758018974</v>
      </c>
      <c r="V35" s="233">
        <v>1.0472887244337032</v>
      </c>
      <c r="X35" s="233">
        <v>1.0578687711933974</v>
      </c>
      <c r="Z35" s="233">
        <v>1.0713073554312289</v>
      </c>
      <c r="AB35" s="233">
        <v>1.0889921220309375</v>
      </c>
      <c r="AD35" s="233">
        <v>1.1132595586404563</v>
      </c>
      <c r="AF35" s="233">
        <v>1.1481092304456233</v>
      </c>
      <c r="AH35" s="233">
        <v>1.2001413955912943</v>
      </c>
      <c r="AJ35" s="233">
        <v>1.2785087532997621</v>
      </c>
      <c r="AL35" s="233">
        <v>1.3889271900038163</v>
      </c>
      <c r="AN35" s="233"/>
      <c r="AP35" s="233"/>
      <c r="AR35" s="233"/>
      <c r="AT35" s="233"/>
      <c r="AV35" s="233"/>
    </row>
    <row r="36" spans="1:49 16319:16321" x14ac:dyDescent="0.2">
      <c r="A36" t="s">
        <v>21</v>
      </c>
      <c r="B36" s="37">
        <v>0.4719576767198812</v>
      </c>
      <c r="C36" s="38">
        <v>0.31738834428178975</v>
      </c>
      <c r="D36" s="37">
        <v>0.47197084557726976</v>
      </c>
      <c r="E36" s="38">
        <v>0.31881111118836258</v>
      </c>
      <c r="F36" s="37">
        <v>0.47198444520921889</v>
      </c>
      <c r="G36" s="38">
        <v>0.32035462670378784</v>
      </c>
      <c r="H36" s="37">
        <v>0.47199857006468565</v>
      </c>
      <c r="I36" s="38">
        <v>0.32203639071747198</v>
      </c>
      <c r="J36" s="37">
        <v>0.47201332651344996</v>
      </c>
      <c r="K36" s="38">
        <v>0.32387720405981546</v>
      </c>
      <c r="L36" s="37">
        <v>0.47202882635942633</v>
      </c>
      <c r="M36" s="38">
        <v>0.32590203597258455</v>
      </c>
      <c r="N36" s="37">
        <v>0.47204518839874021</v>
      </c>
      <c r="O36" s="38">
        <v>0.32814145836719644</v>
      </c>
      <c r="P36" s="37">
        <v>0.4720625280958648</v>
      </c>
      <c r="Q36" s="38">
        <v>0.33063355526096588</v>
      </c>
      <c r="R36" s="37">
        <v>0.47208094298904196</v>
      </c>
      <c r="S36" s="38">
        <v>0.33342685519761017</v>
      </c>
      <c r="T36" s="37">
        <v>0.47210048228033369</v>
      </c>
      <c r="U36" s="38">
        <v>0.33658477591087471</v>
      </c>
      <c r="V36" s="37">
        <v>0.47212109330576713</v>
      </c>
      <c r="W36" s="38">
        <v>0.34019270388879463</v>
      </c>
      <c r="X36" s="37">
        <v>0.4721425214980946</v>
      </c>
      <c r="Y36" s="38">
        <v>0.34436939665500943</v>
      </c>
      <c r="Z36" s="37">
        <v>0.47216413458180162</v>
      </c>
      <c r="AA36" s="38">
        <v>0.34928590327986353</v>
      </c>
      <c r="AB36" s="37">
        <v>0.47218461535811501</v>
      </c>
      <c r="AC36" s="38">
        <v>0.35519697630669173</v>
      </c>
      <c r="AD36" s="37">
        <v>0.47220149469094974</v>
      </c>
      <c r="AE36" s="38">
        <v>0.36249135046766495</v>
      </c>
      <c r="AF36" s="37">
        <v>0.47221065789089334</v>
      </c>
      <c r="AG36" s="38">
        <v>0.37175839749375822</v>
      </c>
      <c r="AH36" s="37">
        <v>0.47220676495425656</v>
      </c>
      <c r="AI36" s="38">
        <v>0.38381522604496254</v>
      </c>
      <c r="AJ36" s="37">
        <v>0.47218674335914651</v>
      </c>
      <c r="AK36" s="38">
        <v>0.39946281552915225</v>
      </c>
      <c r="AL36" s="37">
        <v>0.47215604920023363</v>
      </c>
      <c r="AM36" s="38">
        <v>0.41840350451800001</v>
      </c>
      <c r="AN36" s="37"/>
      <c r="AO36" s="38"/>
      <c r="AP36" s="37"/>
      <c r="AQ36" s="38"/>
      <c r="AR36" s="37"/>
      <c r="AS36" s="38"/>
      <c r="AT36" s="37"/>
      <c r="AU36" s="38"/>
      <c r="AV36" s="37"/>
      <c r="AW36" s="38"/>
    </row>
    <row r="37" spans="1:49 16319:16321" x14ac:dyDescent="0.2">
      <c r="B37" s="39">
        <v>2.1403217525954435E-2</v>
      </c>
      <c r="C37" s="40">
        <v>0.34962461301992531</v>
      </c>
      <c r="D37" s="39">
        <v>2.060355267914912E-2</v>
      </c>
      <c r="E37" s="40">
        <v>0.34553921402205634</v>
      </c>
      <c r="F37" s="39">
        <v>1.9805379704124486E-2</v>
      </c>
      <c r="G37" s="40">
        <v>0.34144524930234277</v>
      </c>
      <c r="H37" s="39">
        <v>1.900760381823911E-2</v>
      </c>
      <c r="I37" s="40">
        <v>0.33733988862527592</v>
      </c>
      <c r="J37" s="39">
        <v>1.8209116637793198E-2</v>
      </c>
      <c r="K37" s="40">
        <v>0.33322048748864341</v>
      </c>
      <c r="L37" s="39">
        <v>1.7408765299734754E-2</v>
      </c>
      <c r="M37" s="40">
        <v>0.32908450226496405</v>
      </c>
      <c r="N37" s="39">
        <v>1.6605238818192061E-2</v>
      </c>
      <c r="O37" s="40">
        <v>0.32492905135925498</v>
      </c>
      <c r="P37" s="39">
        <v>1.5796972977237811E-2</v>
      </c>
      <c r="Q37" s="40">
        <v>0.32075056388882484</v>
      </c>
      <c r="R37" s="39">
        <v>1.4981991932421699E-2</v>
      </c>
      <c r="S37" s="40">
        <v>0.31654417687838421</v>
      </c>
      <c r="T37" s="39">
        <v>1.4157703334958643E-2</v>
      </c>
      <c r="U37" s="40">
        <v>0.31230298221111208</v>
      </c>
      <c r="V37" s="39">
        <v>1.3320599205432502E-2</v>
      </c>
      <c r="W37" s="40">
        <v>0.30801696602803952</v>
      </c>
      <c r="X37" s="39">
        <v>1.2465871367762508E-2</v>
      </c>
      <c r="Y37" s="40">
        <v>0.30367181109864955</v>
      </c>
      <c r="Z37" s="39">
        <v>1.158692860628009E-2</v>
      </c>
      <c r="AA37" s="40">
        <v>0.29924775615899318</v>
      </c>
      <c r="AB37" s="39">
        <v>1.067496860276405E-2</v>
      </c>
      <c r="AC37" s="40">
        <v>0.29471973214291081</v>
      </c>
      <c r="AD37" s="39">
        <v>9.7191647787879948E-3</v>
      </c>
      <c r="AE37" s="40">
        <v>0.29006229859591615</v>
      </c>
      <c r="AF37" s="39">
        <v>8.709402545992409E-3</v>
      </c>
      <c r="AG37" s="40">
        <v>0.28526950223654551</v>
      </c>
      <c r="AH37" s="39">
        <v>7.6462068855800537E-3</v>
      </c>
      <c r="AI37" s="40">
        <v>0.28040971027152983</v>
      </c>
      <c r="AJ37" s="39">
        <v>6.5634295077220788E-3</v>
      </c>
      <c r="AK37" s="40">
        <v>0.27572622841326838</v>
      </c>
      <c r="AL37" s="39">
        <v>5.5590929183609522E-3</v>
      </c>
      <c r="AM37" s="40">
        <v>0.27172914458715225</v>
      </c>
      <c r="AN37" s="39"/>
      <c r="AO37" s="40"/>
      <c r="AP37" s="39"/>
      <c r="AQ37" s="40"/>
      <c r="AR37" s="39"/>
      <c r="AS37" s="40"/>
      <c r="AT37" s="39"/>
      <c r="AU37" s="40"/>
      <c r="AV37" s="39"/>
      <c r="AW37" s="40"/>
    </row>
    <row r="38" spans="1:49 16319:16321" x14ac:dyDescent="0.2">
      <c r="A38" t="s">
        <v>22</v>
      </c>
      <c r="B38" s="37">
        <v>0.18079094942242827</v>
      </c>
      <c r="C38" s="38">
        <v>6.0565413429233668E-2</v>
      </c>
      <c r="D38" s="37">
        <v>0.181763087072003</v>
      </c>
      <c r="E38" s="38">
        <v>6.1346882630941554E-2</v>
      </c>
      <c r="F38" s="37">
        <v>0.18268902736162529</v>
      </c>
      <c r="G38" s="38">
        <v>6.2157968949655099E-2</v>
      </c>
      <c r="H38" s="37">
        <v>0.18356459682827825</v>
      </c>
      <c r="I38" s="38">
        <v>6.3003168353459219E-2</v>
      </c>
      <c r="J38" s="37">
        <v>0.18438407243468566</v>
      </c>
      <c r="K38" s="38">
        <v>6.388737033397221E-2</v>
      </c>
      <c r="L38" s="37">
        <v>0.1851398273015207</v>
      </c>
      <c r="M38" s="38">
        <v>6.4816477821572488E-2</v>
      </c>
      <c r="N38" s="37">
        <v>0.18582194368210456</v>
      </c>
      <c r="O38" s="38">
        <v>6.5797275235561559E-2</v>
      </c>
      <c r="P38" s="37">
        <v>0.18641762514286056</v>
      </c>
      <c r="Q38" s="38">
        <v>6.6838093262252818E-2</v>
      </c>
      <c r="R38" s="37">
        <v>0.18691044421434863</v>
      </c>
      <c r="S38" s="38">
        <v>6.7949377793131274E-2</v>
      </c>
      <c r="T38" s="37">
        <v>0.18727925741533241</v>
      </c>
      <c r="U38" s="38">
        <v>6.9144911987207194E-2</v>
      </c>
      <c r="V38" s="37">
        <v>0.18749670026313583</v>
      </c>
      <c r="W38" s="38">
        <v>7.0443467681558375E-2</v>
      </c>
      <c r="X38" s="37">
        <v>0.18752676245579006</v>
      </c>
      <c r="Y38" s="38">
        <v>7.1871906538578528E-2</v>
      </c>
      <c r="Z38" s="37">
        <v>0.1873207256155654</v>
      </c>
      <c r="AA38" s="38">
        <v>7.3470128769361279E-2</v>
      </c>
      <c r="AB38" s="37">
        <v>0.18680954496469965</v>
      </c>
      <c r="AC38" s="38">
        <v>7.529943260180888E-2</v>
      </c>
      <c r="AD38" s="37">
        <v>0.18588803463462122</v>
      </c>
      <c r="AE38" s="38">
        <v>7.7454041591967032E-2</v>
      </c>
      <c r="AF38" s="37">
        <v>0.18438042326167078</v>
      </c>
      <c r="AG38" s="38">
        <v>8.0071621526158709E-2</v>
      </c>
      <c r="AH38" s="37">
        <v>0.18197291278438257</v>
      </c>
      <c r="AI38" s="38">
        <v>8.3311467202016459E-2</v>
      </c>
      <c r="AJ38" s="37">
        <v>0.17815850275844072</v>
      </c>
      <c r="AK38" s="38">
        <v>8.7215228242689138E-2</v>
      </c>
      <c r="AL38" s="37">
        <v>0.17256594309625248</v>
      </c>
      <c r="AM38" s="38">
        <v>9.1278998007288364E-2</v>
      </c>
      <c r="AN38" s="37"/>
      <c r="AO38" s="38"/>
      <c r="AP38" s="37"/>
      <c r="AQ38" s="38"/>
      <c r="AR38" s="37"/>
      <c r="AS38" s="38"/>
      <c r="AT38" s="37"/>
      <c r="AU38" s="38"/>
      <c r="AV38" s="37"/>
      <c r="AW38" s="38"/>
    </row>
    <row r="39" spans="1:49 16319:16321" x14ac:dyDescent="0.2">
      <c r="A39" t="s">
        <v>23</v>
      </c>
      <c r="B39" s="39">
        <v>0.23064923795098646</v>
      </c>
      <c r="C39" s="40">
        <v>0.22092201281804777</v>
      </c>
      <c r="D39" s="39">
        <v>0.23006907334861623</v>
      </c>
      <c r="E39" s="40">
        <v>0.22262264195204579</v>
      </c>
      <c r="F39" s="39">
        <v>0.22964432134217694</v>
      </c>
      <c r="G39" s="40">
        <v>0.22454500217374754</v>
      </c>
      <c r="H39" s="39">
        <v>0.22938274594370381</v>
      </c>
      <c r="I39" s="40">
        <v>0.22671619615307517</v>
      </c>
      <c r="J39" s="39">
        <v>0.2292968148593558</v>
      </c>
      <c r="K39" s="40">
        <v>0.22917055089396932</v>
      </c>
      <c r="L39" s="39">
        <v>0.2294048010853996</v>
      </c>
      <c r="M39" s="40">
        <v>0.23195100374714089</v>
      </c>
      <c r="N39" s="39">
        <v>0.22973245530466926</v>
      </c>
      <c r="O39" s="40">
        <v>0.23511274453305725</v>
      </c>
      <c r="P39" s="39">
        <v>0.23031563047960926</v>
      </c>
      <c r="Q39" s="40">
        <v>0.2387273844142796</v>
      </c>
      <c r="R39" s="39">
        <v>0.2312043770851725</v>
      </c>
      <c r="S39" s="40">
        <v>0.24289010243946005</v>
      </c>
      <c r="T39" s="39">
        <v>0.2324695966410095</v>
      </c>
      <c r="U39" s="40">
        <v>0.24773059313346546</v>
      </c>
      <c r="V39" s="39">
        <v>0.23421416281517182</v>
      </c>
      <c r="W39" s="40">
        <v>0.25343175077789626</v>
      </c>
      <c r="X39" s="39">
        <v>0.23659266637465337</v>
      </c>
      <c r="Y39" s="40">
        <v>0.26026136535451</v>
      </c>
      <c r="Z39" s="39">
        <v>0.23984843790128302</v>
      </c>
      <c r="AA39" s="40">
        <v>0.26862987185411569</v>
      </c>
      <c r="AB39" s="39">
        <v>0.24438821927358642</v>
      </c>
      <c r="AC39" s="40">
        <v>0.27919978604204448</v>
      </c>
      <c r="AD39" s="39">
        <v>0.25094644458758258</v>
      </c>
      <c r="AE39" s="40">
        <v>0.29310728365795941</v>
      </c>
      <c r="AF39" s="39">
        <v>0.26098432031463775</v>
      </c>
      <c r="AG39" s="40">
        <v>0.31243492480215296</v>
      </c>
      <c r="AH39" s="39">
        <v>0.27778126707464662</v>
      </c>
      <c r="AI39" s="40">
        <v>0.34132716390808193</v>
      </c>
      <c r="AJ39" s="39">
        <v>0.30993098988769929</v>
      </c>
      <c r="AK39" s="40">
        <v>0.38937029108161253</v>
      </c>
      <c r="AL39" s="39">
        <v>0.38606336330390628</v>
      </c>
      <c r="AM39" s="40">
        <v>0.49237105261450415</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9.9386796907308991E-2</v>
      </c>
      <c r="E42" s="135"/>
      <c r="F42" s="177">
        <f>10.8%+(1-10.8%)*(1-SUM(F26:G26)/SUM($B$26:$C$26))</f>
        <v>9.1550020105798546E-2</v>
      </c>
      <c r="G42" s="135"/>
      <c r="H42" s="177">
        <f>10.8%+(1-10.8%)*(1-SUM(H26:I26)/SUM($B$26:$C$26))</f>
        <v>8.4561307268474814E-2</v>
      </c>
      <c r="I42" s="135"/>
      <c r="J42" s="177">
        <f>10.8%+(1-10.8%)*(1-SUM(J26:K26)/SUM($B$26:$C$26))</f>
        <v>7.851720627377351E-2</v>
      </c>
      <c r="K42" s="135"/>
      <c r="L42" s="177">
        <f>10.8%+(1-10.8%)*(1-SUM(L26:M26)/SUM($B$26:$C$26))</f>
        <v>7.3545032909359626E-2</v>
      </c>
      <c r="M42" s="135"/>
      <c r="N42" s="177">
        <f>10.8%+(1-10.8%)*(1-SUM(N26:O26)/SUM($B$26:$C$26))</f>
        <v>6.981117239736287E-2</v>
      </c>
      <c r="O42" s="135"/>
      <c r="P42" s="177">
        <f>10.8%+(1-10.8%)*(1-SUM(P26:Q26)/SUM($B$26:$C$26))</f>
        <v>6.7532943338859619E-2</v>
      </c>
      <c r="Q42" s="135"/>
      <c r="R42" s="177">
        <f>10.8%+(1-10.8%)*(1-SUM(R26:S26)/SUM($B$26:$C$26))</f>
        <v>6.6995797476176844E-2</v>
      </c>
      <c r="S42" s="135"/>
      <c r="T42" s="177">
        <f>10.8%+(1-10.8%)*(1-SUM(T26:U26)/SUM($B$26:$C$26))</f>
        <v>6.8579310025460222E-2</v>
      </c>
      <c r="U42" s="135"/>
      <c r="V42" s="177">
        <f>10.8%+(1-10.8%)*(1-SUM(V26:W26)/SUM($B$26:$C$26))</f>
        <v>7.2797228172514078E-2</v>
      </c>
      <c r="W42" s="135"/>
      <c r="X42" s="177">
        <f>10.8%+(1-10.8%)*(1-SUM(X26:Y26)/SUM($B$26:$C$26))</f>
        <v>8.0363666072152479E-2</v>
      </c>
      <c r="Y42" s="162"/>
      <c r="Z42" s="177">
        <f>10.8%+(1-10.8%)*(1-SUM(Z26:AA26)/SUM($B$26:$C$26))</f>
        <v>9.2307331284370076E-2</v>
      </c>
      <c r="AA42" s="135"/>
      <c r="AB42" s="177">
        <f>10.8%+(1-10.8%)*(1-SUM(AB26:AC26)/SUM($B$26:$C$26))</f>
        <v>0.11018153931547611</v>
      </c>
      <c r="AC42" s="135"/>
      <c r="AD42" s="177">
        <f>10.8%+(1-10.8%)*(1-SUM(AD26:AE26)/SUM($B$26:$C$26))</f>
        <v>0.13647513075716</v>
      </c>
      <c r="AE42" s="135"/>
      <c r="AF42" s="177">
        <f>10.8%+(1-10.8%)*(1-SUM(AF26:AG26)/SUM($B$26:$C$26))</f>
        <v>0.17544677822553334</v>
      </c>
      <c r="AG42" s="135"/>
      <c r="AH42" s="177">
        <f>10.8%+(1-10.8%)*(1-SUM(AH26:AI26)/SUM($B$26:$C$26))</f>
        <v>0.23477348888831914</v>
      </c>
      <c r="AI42" s="135"/>
      <c r="AJ42" s="177">
        <f>10.8%+(1-10.8%)*(1-SUM(AJ26:AK26)/SUM($B$26:$C$26))</f>
        <v>0.3282055236374779</v>
      </c>
      <c r="AK42" s="135"/>
      <c r="AL42" s="177">
        <f>10.8%+(1-10.8%)*(1-SUM(AL26:AM26)/SUM($B$26:$C$26))</f>
        <v>0.47751222246975744</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0.56087131414166502</v>
      </c>
      <c r="E43" s="135"/>
      <c r="F43" s="162">
        <f t="array" ref="F43">SUM(F15:G15*F27:G27)/SUM(F15:G15*F27:G27,F13:G13*F26:G26)</f>
        <v>0.55436318943593366</v>
      </c>
      <c r="G43" s="135"/>
      <c r="H43" s="162">
        <f t="array" ref="H43">SUM(H15:I15*H27:I27)/SUM(H15:I15*H27:I27,H13:I13*H26:I26)</f>
        <v>0.54764099507439812</v>
      </c>
      <c r="I43" s="135"/>
      <c r="J43" s="162">
        <f t="array" ref="J43">SUM(J15:K15*J27:K27)/SUM(J15:K15*J27:K27,J13:K13*J26:K26)</f>
        <v>0.54066339969586785</v>
      </c>
      <c r="K43" s="135"/>
      <c r="L43" s="162">
        <f t="array" ref="L43">SUM(L15:M15*L27:M27)/SUM(L15:M15*L27:M27,L13:M13*L26:M26)</f>
        <v>0.53338057928995442</v>
      </c>
      <c r="M43" s="135"/>
      <c r="N43" s="162">
        <f t="array" ref="N43">SUM(N15:O15*N27:O27)/SUM(N15:O15*N27:O27,N13:O13*N26:O26)</f>
        <v>0.52573044206401809</v>
      </c>
      <c r="O43" s="135"/>
      <c r="P43" s="162">
        <f t="array" ref="P43">SUM(P15:Q15*P27:Q27)/SUM(P15:Q15*P27:Q27,P13:Q13*P26:Q26)</f>
        <v>0.51763308611974812</v>
      </c>
      <c r="Q43" s="135"/>
      <c r="R43" s="162">
        <f t="array" ref="R43">SUM(R15:S15*R27:S27)/SUM(R15:S15*R27:S27,R13:S13*R26:S26)</f>
        <v>0.50898180870153664</v>
      </c>
      <c r="S43" s="135"/>
      <c r="T43" s="162">
        <f t="array" ref="T43">SUM(T15:U15*T27:U27)/SUM(T15:U15*T27:U27,T13:U13*T26:U26)</f>
        <v>0.49962849914551144</v>
      </c>
      <c r="U43" s="135"/>
      <c r="V43" s="162">
        <f t="array" ref="V43">SUM(V15:W15*V27:W27)/SUM(V15:W15*V27:W27,V13:W13*V26:W26)</f>
        <v>0.48935853557845671</v>
      </c>
      <c r="W43" s="135"/>
      <c r="X43" s="162">
        <f t="array" ref="X43">SUM(X15:Y15*X27:Y27)/SUM(X15:Y15*X27:Y27,X13:Y13*X26:Y26)</f>
        <v>0.47784723710716009</v>
      </c>
      <c r="Y43" s="135"/>
      <c r="Z43" s="162">
        <f t="array" ref="Z43">SUM(Z15:AA15*Z27:AA27)/SUM(Z15:AA15*Z27:AA27,Z13:AA13*Z26:AA26)</f>
        <v>0.46458112325206025</v>
      </c>
      <c r="AA43" s="135"/>
      <c r="AB43" s="162">
        <f t="array" ref="AB43">SUM(AB15:AC15*AB27:AC27)/SUM(AB15:AC15*AB27:AC27,AB13:AC13*AB26:AC26)</f>
        <v>0.44871272031382431</v>
      </c>
      <c r="AC43" s="135"/>
      <c r="AD43" s="162">
        <f t="array" ref="AD43">SUM(AD15:AE15*AD27:AE27)/SUM(AD15:AE15*AD27:AE27,AD13:AE13*AD26:AE26)</f>
        <v>0.42879304883943459</v>
      </c>
      <c r="AE43" s="135"/>
      <c r="AF43" s="162">
        <f t="array" ref="AF43">SUM(AF15:AG15*AF27:AG27)/SUM(AF15:AG15*AF27:AG27,AF13:AG13*AF26:AG26)</f>
        <v>0.40231132238739181</v>
      </c>
      <c r="AG43" s="135"/>
      <c r="AH43" s="162">
        <f t="array" ref="AH43">SUM(AH15:AI15*AH27:AI27)/SUM(AH15:AI15*AH27:AI27,AH13:AI13*AH26:AI26)</f>
        <v>0.36509760626209664</v>
      </c>
      <c r="AI43" s="135"/>
      <c r="AJ43" s="162">
        <f t="array" ref="AJ43">SUM(AJ15:AK15*AJ27:AK27)/SUM(AJ15:AK15*AJ27:AK27,AJ13:AK13*AJ26:AK26)</f>
        <v>0.3113298354632128</v>
      </c>
      <c r="AK43" s="135"/>
      <c r="AL43" s="162">
        <f t="array" ref="AL43">SUM(AL15:AM15*AL27:AM27)/SUM(AL15:AM15*AL27:AM27,AL13:AM13*AL26:AM26)</f>
        <v>0.23702831799548368</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0.29754224462745371</v>
      </c>
      <c r="F44" s="193">
        <f>(SUM(F11:G11*F24:G24)+F34)/F32</f>
        <v>0.29754224071566637</v>
      </c>
      <c r="H44" s="193">
        <f>(SUM(H11:I11*H24:I24)+H34)/H32</f>
        <v>0.29754226106748805</v>
      </c>
      <c r="J44" s="193">
        <f>(SUM(J11:K11*J24:K24)+J34)/J32</f>
        <v>0.29754225752622943</v>
      </c>
      <c r="L44" s="193">
        <f>(SUM(L11:M11*L24:M24)+L34)/L32</f>
        <v>0.29754226080369545</v>
      </c>
      <c r="N44" s="193">
        <f>(SUM(N11:O11*N24:O24)+N34)/N32</f>
        <v>0.29754226009395035</v>
      </c>
      <c r="P44" s="193">
        <f>(SUM(P11:Q11*P24:Q24)+P34)/P32</f>
        <v>0.29754225965026054</v>
      </c>
      <c r="R44" s="193">
        <f>(SUM(R11:S11*R24:S24)+R34)/R32</f>
        <v>0.29754225694591735</v>
      </c>
      <c r="T44" s="193">
        <f>(SUM(T11:U11*T24:U24)+T34)/T32</f>
        <v>0.2975422607526963</v>
      </c>
      <c r="V44" s="193">
        <f>(SUM(V11:W11*V24:W24)+V34)/V32</f>
        <v>0.29754226188786825</v>
      </c>
      <c r="X44" s="193">
        <f>(SUM(X11:Y11*X24:Y24)+X34)/X32</f>
        <v>0.29754226161103342</v>
      </c>
      <c r="Z44" s="193">
        <f>(SUM(Z11:AA11*Z24:AA24)+Z34)/Z32</f>
        <v>0.29754226038106829</v>
      </c>
      <c r="AB44" s="193">
        <f>(SUM(AB11:AC11*AB24:AC24)+AB34)/AB32</f>
        <v>0.29754226106339043</v>
      </c>
      <c r="AD44" s="193">
        <f>(SUM(AD11:AE11*AD24:AE24)+AD34)/AD32</f>
        <v>0.29754226217470275</v>
      </c>
      <c r="AF44" s="193">
        <f>(SUM(AF11:AG11*AF24:AG24)+AF34)/AF32</f>
        <v>0.29754226176058551</v>
      </c>
      <c r="AH44" s="193">
        <f>(SUM(AH11:AI11*AH24:AI24)+AH34)/AH32</f>
        <v>0.29754226171380022</v>
      </c>
      <c r="AJ44" s="193">
        <f>(SUM(AJ11:AK11*AJ24:AK24)+AJ34)/AJ32</f>
        <v>0.29754226186799743</v>
      </c>
      <c r="AL44" s="193">
        <f>(SUM(AL11:AM11*AL24:AM24)+AL34)/AL32</f>
        <v>0.29754226189885508</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0.22038438901784804</v>
      </c>
      <c r="F45" s="193">
        <f>SUM(F11:G11*F24:G24)/F32</f>
        <v>0.22038438910251179</v>
      </c>
      <c r="H45" s="193">
        <f>SUM(H11:I11*H24:I24)/H32</f>
        <v>0.22038438830492196</v>
      </c>
      <c r="J45" s="193">
        <f>SUM(J11:K11*J24:K24)/J32</f>
        <v>0.22038438846515437</v>
      </c>
      <c r="L45" s="193">
        <f>SUM(L11:M11*L24:M24)/L32</f>
        <v>0.22038438828018114</v>
      </c>
      <c r="N45" s="193">
        <f>SUM(N11:O11*N24:O24)/N32</f>
        <v>0.22038438823204953</v>
      </c>
      <c r="P45" s="193">
        <f>SUM(P11:Q11*P24:Q24)/P32</f>
        <v>0.22038438819201905</v>
      </c>
      <c r="R45" s="193">
        <f>SUM(R11:S11*R24:S24)/R32</f>
        <v>0.22038438822559442</v>
      </c>
      <c r="T45" s="193">
        <f>SUM(T11:U11*T24:U24)/T32</f>
        <v>0.22038438831005888</v>
      </c>
      <c r="V45" s="193">
        <f>SUM(V11:W11*V24:W24)/V32</f>
        <v>0.22038438833165996</v>
      </c>
      <c r="X45" s="193">
        <f>SUM(X11:Y11*X24:Y24)/X32</f>
        <v>0.22038438830447468</v>
      </c>
      <c r="Z45" s="193">
        <f>SUM(Z11:AA11*Z24:AA24)/Z32</f>
        <v>0.22038438840310715</v>
      </c>
      <c r="AB45" s="193">
        <f>SUM(AB11:AC11*AB24:AC24)/AB32</f>
        <v>0.22038438830411308</v>
      </c>
      <c r="AD45" s="193">
        <f>SUM(AD11:AE11*AD24:AE24)/AD32</f>
        <v>0.22038438834719526</v>
      </c>
      <c r="AF45" s="193">
        <f>SUM(AF11:AG11*AF24:AG24)/AF32</f>
        <v>0.22038438832917664</v>
      </c>
      <c r="AH45" s="193">
        <f>SUM(AH11:AI11*AH24:AI24)/AH32</f>
        <v>0.22038438834759663</v>
      </c>
      <c r="AJ45" s="193">
        <f>SUM(AJ11:AK11*AJ24:AK24)/AJ32</f>
        <v>0.22038438833168508</v>
      </c>
      <c r="AL45" s="193">
        <f>SUM(AL11:AM11*AL24:AM24)/AL32</f>
        <v>0.22038438833146712</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7.7157855609605683E-2</v>
      </c>
      <c r="F46" s="193">
        <f>F34/F32</f>
        <v>7.7157851613154596E-2</v>
      </c>
      <c r="H46" s="193">
        <f>H34/H32</f>
        <v>7.7157872762566096E-2</v>
      </c>
      <c r="J46" s="193">
        <f>J34/J32</f>
        <v>7.715786906107501E-2</v>
      </c>
      <c r="L46" s="193">
        <f>L34/L32</f>
        <v>7.7157872523514331E-2</v>
      </c>
      <c r="N46" s="193">
        <f>N34/N32</f>
        <v>7.7157871861900817E-2</v>
      </c>
      <c r="P46" s="193">
        <f>P34/P32</f>
        <v>7.7157871458241503E-2</v>
      </c>
      <c r="R46" s="193">
        <f>R34/R32</f>
        <v>7.7157868720322917E-2</v>
      </c>
      <c r="T46" s="193">
        <f>T34/T32</f>
        <v>7.7157872442637401E-2</v>
      </c>
      <c r="V46" s="193">
        <f>V34/V32</f>
        <v>7.715787355620829E-2</v>
      </c>
      <c r="X46" s="193">
        <f>X34/X32</f>
        <v>7.7157873306558725E-2</v>
      </c>
      <c r="Z46" s="193">
        <f>Z34/Z32</f>
        <v>7.7157871977961132E-2</v>
      </c>
      <c r="AB46" s="193">
        <f>AB34/AB32</f>
        <v>7.7157872759277352E-2</v>
      </c>
      <c r="AD46" s="193">
        <f>AD34/AD32</f>
        <v>7.7157873827507509E-2</v>
      </c>
      <c r="AF46" s="193">
        <f>AF34/AF32</f>
        <v>7.7157873431408841E-2</v>
      </c>
      <c r="AH46" s="193">
        <f>AH34/AH32</f>
        <v>7.7157873366203597E-2</v>
      </c>
      <c r="AJ46" s="193">
        <f>AJ34/AJ32</f>
        <v>7.7157873536312344E-2</v>
      </c>
      <c r="AL46" s="193">
        <f>AL34/AL32</f>
        <v>7.715787356738793E-2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1.0069123975550556</v>
      </c>
      <c r="E48" s="191"/>
      <c r="F48" s="191">
        <f>F24/$B$24</f>
        <v>1.0131747208225881</v>
      </c>
      <c r="G48" s="191"/>
      <c r="H48" s="191">
        <f>H24/$B$24</f>
        <v>1.0187426024114516</v>
      </c>
      <c r="I48" s="191"/>
      <c r="J48" s="191">
        <f>J24/$B$24</f>
        <v>1.0235522378732935</v>
      </c>
      <c r="K48" s="191"/>
      <c r="L48" s="191">
        <f>L24/$B$24</f>
        <v>1.0275162658172459</v>
      </c>
      <c r="M48" s="191"/>
      <c r="N48" s="191">
        <f>N24/$B$24</f>
        <v>1.030516955207597</v>
      </c>
      <c r="O48" s="191"/>
      <c r="P48" s="191">
        <f>P24/$B$24</f>
        <v>1.032396836378922</v>
      </c>
      <c r="Q48" s="191"/>
      <c r="R48" s="191">
        <f>R24/$B$24</f>
        <v>1.0329444219960235</v>
      </c>
      <c r="S48" s="191"/>
      <c r="T48" s="191">
        <f>T24/$B$24</f>
        <v>1.031872402474675</v>
      </c>
      <c r="U48" s="191"/>
      <c r="V48" s="191">
        <f>V24/$B$24</f>
        <v>1.0287828981324392</v>
      </c>
      <c r="W48" s="191"/>
      <c r="X48" s="191">
        <f>X24/$B$24</f>
        <v>1.023109172353714</v>
      </c>
      <c r="Y48" s="191"/>
      <c r="Z48" s="191">
        <f>Z24/$B$24</f>
        <v>1.0140122145300023</v>
      </c>
      <c r="AA48" s="191"/>
      <c r="AB48" s="191">
        <f>AB24/$B$24</f>
        <v>1.0001842393989608</v>
      </c>
      <c r="AC48" s="191"/>
      <c r="AD48" s="191">
        <f>AD24/$B$24</f>
        <v>0.97944420238514873</v>
      </c>
      <c r="AE48" s="191"/>
      <c r="AF48" s="191">
        <f>AF24/$B$24</f>
        <v>0.94784337817213604</v>
      </c>
      <c r="AG48" s="191"/>
      <c r="AH48" s="191">
        <f>AH24/$B$24</f>
        <v>0.89759832150888597</v>
      </c>
      <c r="AI48" s="191"/>
      <c r="AJ48" s="191">
        <f>AJ24/$B$24</f>
        <v>0.81251554820800631</v>
      </c>
      <c r="AK48" s="191"/>
      <c r="AL48" s="191">
        <f>AL24/$B$24</f>
        <v>0.6598808657592321</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0.99999998867058493</v>
      </c>
      <c r="E49" s="191"/>
      <c r="F49" s="191">
        <f>F13/F35/$B$13*$B$35</f>
        <v>0.99999998657852562</v>
      </c>
      <c r="G49" s="191"/>
      <c r="H49" s="191">
        <f>H13/H35/$B$13*$B$35</f>
        <v>0.99999999957704067</v>
      </c>
      <c r="I49" s="191"/>
      <c r="J49" s="191">
        <f>J13/J35/$B$13*$B$35</f>
        <v>0.9999999971260024</v>
      </c>
      <c r="K49" s="191"/>
      <c r="L49" s="191">
        <f>L13/L35/$B$13*$B$35</f>
        <v>0.9999999996485015</v>
      </c>
      <c r="M49" s="191"/>
      <c r="N49" s="191">
        <f>N13/N35/$B$13*$B$35</f>
        <v>0.99999999972998022</v>
      </c>
      <c r="O49" s="191"/>
      <c r="P49" s="191">
        <f>P13/P35/$B$13*$B$35</f>
        <v>1.0000000002323426</v>
      </c>
      <c r="Q49" s="191"/>
      <c r="R49" s="191">
        <f>R13/R35/$B$13*$B$35</f>
        <v>1.0000000008865575</v>
      </c>
      <c r="S49" s="191"/>
      <c r="T49" s="191">
        <f>T13/T35/$B$13*$B$35</f>
        <v>1.0000000002575744</v>
      </c>
      <c r="U49" s="191"/>
      <c r="V49" s="191">
        <f>V13/V35/$B$13*$B$35</f>
        <v>1.0000000000035283</v>
      </c>
      <c r="W49" s="191"/>
      <c r="X49" s="191">
        <f>X13/X35/$B$13*$B$35</f>
        <v>1.000000001390531</v>
      </c>
      <c r="Y49" s="191"/>
      <c r="Z49" s="191">
        <f>Z13/Z35/$B$13*$B$35</f>
        <v>0.99999999482295154</v>
      </c>
      <c r="AA49" s="191"/>
      <c r="AB49" s="191">
        <f>AB13/AB35/$B$13*$B$35</f>
        <v>1.0000000017202622</v>
      </c>
      <c r="AC49" s="191"/>
      <c r="AD49" s="191">
        <f>AD13/AD35/$B$13*$B$35</f>
        <v>0.99999999817368623</v>
      </c>
      <c r="AE49" s="191"/>
      <c r="AF49" s="191">
        <f>AF13/AF35/$B$13*$B$35</f>
        <v>1.0000000006868275</v>
      </c>
      <c r="AG49" s="191"/>
      <c r="AH49" s="191">
        <f>AH13/AH35/$B$13*$B$35</f>
        <v>0.99999999711996346</v>
      </c>
      <c r="AI49" s="191"/>
      <c r="AJ49" s="191">
        <f>AJ13/AJ35/$B$13*$B$35</f>
        <v>1.00000000092729</v>
      </c>
      <c r="AK49" s="191"/>
      <c r="AL49" s="191">
        <f>AL13/AL35/$B$13*$B$35</f>
        <v>0.99999999944303986</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-318247.56207542447</v>
      </c>
      <c r="F51" s="29">
        <f>F30-F10*F23</f>
        <v>-228429.24659526814</v>
      </c>
      <c r="H51" s="29">
        <f>H30-H10*H23</f>
        <v>-136151.26895352267</v>
      </c>
      <c r="J51" s="29">
        <f>J30-J10*J23</f>
        <v>-41144.43444726523</v>
      </c>
      <c r="L51" s="29">
        <f>L30-L10*L23</f>
        <v>56904.304237604141</v>
      </c>
      <c r="N51" s="29">
        <f>N30-N10*N23</f>
        <v>158376.44199760072</v>
      </c>
      <c r="P51" s="29">
        <f>P30-P10*P23</f>
        <v>263750.92490164796</v>
      </c>
      <c r="R51" s="29">
        <f>R30-R10*R23</f>
        <v>373656.92507125903</v>
      </c>
      <c r="T51" s="29">
        <f>T30-T10*T23</f>
        <v>488957.52164854156</v>
      </c>
      <c r="V51" s="29">
        <f>V30-V10*V23</f>
        <v>610891.58009808185</v>
      </c>
      <c r="X51" s="29">
        <f>X30-X10*X23</f>
        <v>741300.75916069932</v>
      </c>
      <c r="Z51" s="29">
        <f>Z30-Z10*Z23</f>
        <v>882990.20453709643</v>
      </c>
      <c r="AB51" s="29">
        <f>AB30-AB10*AB23</f>
        <v>1040229.9014096092</v>
      </c>
      <c r="AD51" s="29">
        <f>AD30-AD10*AD23</f>
        <v>1219155.915436557</v>
      </c>
      <c r="AF51" s="29">
        <f>AF30-AF10*AF23</f>
        <v>1426587.7784574311</v>
      </c>
      <c r="AH51" s="29">
        <f>AH30-AH10*AH23</f>
        <v>1661146.0253204876</v>
      </c>
      <c r="AJ51" s="29">
        <f>AJ30-AJ10*AJ23</f>
        <v>1878633.9748661374</v>
      </c>
      <c r="AL51" s="29">
        <f>AL30-AL10*AL23</f>
        <v>1903147.2538196039</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2074271.4052555757</v>
      </c>
      <c r="F52" s="29">
        <f t="array" ref="F52">Calibration!sL*SUM(F13:G13*F26:G26)</f>
        <v>2098176.4791553044</v>
      </c>
      <c r="H52" s="29">
        <f t="array" ref="H52">Calibration!sL*SUM(H13:I13*H26:I26)</f>
        <v>2120890.9967625183</v>
      </c>
      <c r="J52" s="29">
        <f t="array" ref="J52">Calibration!sL*SUM(J13:K13*J26:K26)</f>
        <v>2142307.6148138884</v>
      </c>
      <c r="L52" s="29">
        <f t="array" ref="L52">Calibration!sL*SUM(L13:M13*L26:M26)</f>
        <v>2162277.0692084963</v>
      </c>
      <c r="N52" s="29">
        <f t="array" ref="N52">Calibration!sL*SUM(N13:O13*N26:O26)</f>
        <v>2180599.7748818388</v>
      </c>
      <c r="P52" s="29">
        <f t="array" ref="P52">Calibration!sL*SUM(P13:Q13*P26:Q26)</f>
        <v>2197013.7959837406</v>
      </c>
      <c r="R52" s="29">
        <f t="array" ref="R52">Calibration!sL*SUM(R13:S13*R26:S26)</f>
        <v>2211178.6832677298</v>
      </c>
      <c r="T52" s="29">
        <f t="array" ref="T52">Calibration!sL*SUM(T13:U13*T26:U26)</f>
        <v>2222651.598649018</v>
      </c>
      <c r="V52" s="29">
        <f t="array" ref="V52">Calibration!sL*SUM(V13:W13*V26:W26)</f>
        <v>2230852.0882891137</v>
      </c>
      <c r="X52" s="29">
        <f t="array" ref="X52">Calibration!sL*SUM(X13:Y13*X26:Y26)</f>
        <v>2235000.0959330373</v>
      </c>
      <c r="Z52" s="29">
        <f t="array" ref="Z52">Calibration!sL*SUM(Z13:AA13*Z26:AA26)</f>
        <v>2233996.7629774543</v>
      </c>
      <c r="AB52" s="29">
        <f t="array" ref="AB52">Calibration!sL*SUM(AB13:AC13*AB26:AC26)</f>
        <v>2226156.9380383263</v>
      </c>
      <c r="AD52" s="29">
        <f t="array" ref="AD52">Calibration!sL*SUM(AD13:AE13*AD26:AE26)</f>
        <v>2208517.825298781</v>
      </c>
      <c r="AF52" s="29">
        <f t="array" ref="AF52">Calibration!sL*SUM(AF13:AG13*AF26:AG26)</f>
        <v>2174861.1181247206</v>
      </c>
      <c r="AH52" s="29">
        <f t="array" ref="AH52">Calibration!sL*SUM(AH13:AI13*AH26:AI26)</f>
        <v>2109852.2799714128</v>
      </c>
      <c r="AJ52" s="29">
        <f t="array" ref="AJ52">Calibration!sL*SUM(AJ13:AK13*AJ26:AK26)</f>
        <v>1973193.8905280938</v>
      </c>
      <c r="AL52" s="29">
        <f t="array" ref="AL52">Calibration!sL*SUM(AL13:AM13*AL26:AM26)</f>
        <v>1667190.559500603</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2703686.848404686</v>
      </c>
      <c r="F53" s="29">
        <f t="array" ref="F53">Calibration!sK*SUM(F15:G15*F27:G27)</f>
        <v>2663635.1007234463</v>
      </c>
      <c r="H53" s="29">
        <f t="array" ref="H53">Calibration!sK*SUM(H15:I15*H27:I27)</f>
        <v>2620296.5618077153</v>
      </c>
      <c r="J53" s="29">
        <f t="array" ref="J53">Calibration!sK*SUM(J15:K15*J27:K27)</f>
        <v>2573339.8080111244</v>
      </c>
      <c r="L53" s="29">
        <f t="array" ref="L53">Calibration!sK*SUM(L15:M15*L27:M27)</f>
        <v>2522348.6638734331</v>
      </c>
      <c r="N53" s="29">
        <f t="array" ref="N53">Calibration!sK*SUM(N15:O15*N27:O27)</f>
        <v>2466795.948400592</v>
      </c>
      <c r="P53" s="29">
        <f t="array" ref="P53">Calibration!sK*SUM(P15:Q15*P27:Q27)</f>
        <v>2406005.9007922588</v>
      </c>
      <c r="R53" s="29">
        <f t="array" ref="R53">Calibration!sK*SUM(R15:S15*R27:S27)</f>
        <v>2339095.2392640412</v>
      </c>
      <c r="T53" s="29">
        <f t="array" ref="T53">Calibration!sK*SUM(T15:U15*T27:U27)</f>
        <v>2264881.14680795</v>
      </c>
      <c r="V53" s="29">
        <f t="array" ref="V53">Calibration!sK*SUM(V15:W15*V27:W27)</f>
        <v>2181731.2630695691</v>
      </c>
      <c r="X53" s="29">
        <f t="array" ref="X53">Calibration!sK*SUM(X15:Y15*X27:Y27)</f>
        <v>2087317.1079752799</v>
      </c>
      <c r="Z53" s="29">
        <f t="array" ref="Z53">Calibration!sK*SUM(Z15:AA15*Z27:AA27)</f>
        <v>1978198.2265223549</v>
      </c>
      <c r="AB53" s="29">
        <f t="array" ref="AB53">Calibration!sK*SUM(AB15:AC15*AB27:AC27)</f>
        <v>1849122.0390152894</v>
      </c>
      <c r="AD53" s="29">
        <f t="array" ref="AD53">Calibration!sK*SUM(AD15:AE15*AD27:AE27)</f>
        <v>1691899.4492840513</v>
      </c>
      <c r="AF53" s="29">
        <f t="array" ref="AF53">Calibration!sK*SUM(AF15:AG15*AF27:AG27)</f>
        <v>1493957.1569587425</v>
      </c>
      <c r="AH53" s="29">
        <f t="array" ref="AH53">Calibration!sK*SUM(AH15:AI15*AH27:AI27)</f>
        <v>1238150.5593540783</v>
      </c>
      <c r="AJ53" s="29">
        <f t="array" ref="AJ53">Calibration!sK*SUM(AJ15:AK15*AJ27:AK27)</f>
        <v>910329.51448473427</v>
      </c>
      <c r="AL53" s="29">
        <f t="array" ref="AL53">Calibration!sK*SUM(AL15:AM15*AL27:AM27)</f>
        <v>528562.61873312388</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0.20455946055592308</v>
      </c>
      <c r="F55" s="193">
        <f>F30/F32</f>
        <v>0.2106926663546724</v>
      </c>
      <c r="H55" s="193">
        <f>H30/H32</f>
        <v>0.21692905146387997</v>
      </c>
      <c r="J55" s="193">
        <f>J30/J32</f>
        <v>0.22329903337066551</v>
      </c>
      <c r="L55" s="193">
        <f>L30/L32</f>
        <v>0.22983804623776935</v>
      </c>
      <c r="N55" s="193">
        <f>N30/N32</f>
        <v>0.23658933642157995</v>
      </c>
      <c r="P55" s="193">
        <f>P30/P32</f>
        <v>0.24360753671134869</v>
      </c>
      <c r="R55" s="193">
        <f>R30/R32</f>
        <v>0.25096463355394771</v>
      </c>
      <c r="T55" s="193">
        <f>T30/T32</f>
        <v>0.25875940638922479</v>
      </c>
      <c r="V55" s="193">
        <f>V30/V32</f>
        <v>0.26713334835238928</v>
      </c>
      <c r="X55" s="193">
        <f>X30/X32</f>
        <v>0.27629737443362279</v>
      </c>
      <c r="Z55" s="193">
        <f>Z30/Z32</f>
        <v>0.28657819618414143</v>
      </c>
      <c r="AB55" s="193">
        <f>AB30/AB32</f>
        <v>0.2984984292741486</v>
      </c>
      <c r="AD55" s="193">
        <f>AD30/AD32</f>
        <v>0.3129096813440746</v>
      </c>
      <c r="AF55" s="193">
        <f>AF30/AF32</f>
        <v>0.33117591211033998</v>
      </c>
      <c r="AH55" s="193">
        <f>AH30/AH32</f>
        <v>0.35526248174443986</v>
      </c>
      <c r="AJ55" s="193">
        <f>AJ30/AJ32</f>
        <v>0.38715107162695545</v>
      </c>
      <c r="AL55" s="193">
        <f>AL30/AL32</f>
        <v>0.42635852629134391</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3.4266124036122246E-2</v>
      </c>
      <c r="F56" s="193">
        <f>(Model!$C$52*F5*F20+F2*G5*G20)/F32</f>
        <v>3.9373045021083602E-2</v>
      </c>
      <c r="H56" s="193">
        <f>(Model!$C$52*H5*H20+H2*I5*I20)/H32</f>
        <v>4.4564170317228244E-2</v>
      </c>
      <c r="J56" s="193">
        <f>(Model!$C$52*J5*J20+J2*K5*K20)/J32</f>
        <v>4.9864748087277311E-2</v>
      </c>
      <c r="L56" s="193">
        <f>(Model!$C$52*L5*L20+L2*M5*M20)/L32</f>
        <v>5.5304174432338322E-2</v>
      </c>
      <c r="N56" s="193">
        <f>(Model!$C$52*N5*N20+N2*O5*O20)/N32</f>
        <v>6.0918265239512541E-2</v>
      </c>
      <c r="P56" s="193">
        <f>(Model!$C$52*P5*P20+P2*Q5*Q20)/P32</f>
        <v>6.6752204948302446E-2</v>
      </c>
      <c r="R56" s="193">
        <f>(Model!$C$52*R5*R20+R2*S5*S20)/R32</f>
        <v>7.2865423735678309E-2</v>
      </c>
      <c r="T56" s="193">
        <f>(Model!$C$52*T5*T20+T2*U5*U20)/T32</f>
        <v>7.9339347358511711E-2</v>
      </c>
      <c r="V56" s="193">
        <f>(Model!$C$52*V5*V20+V2*W5*W20)/V32</f>
        <v>8.6290378466558168E-2</v>
      </c>
      <c r="X56" s="193">
        <f>(Model!$C$52*X5*X20+X2*Y5*Y20)/X32</f>
        <v>9.3891741735383241E-2</v>
      </c>
      <c r="Z56" s="193">
        <f>(Model!$C$52*Z5*Z20+Z2*AA5*AA20)/Z32</f>
        <v>0.10241136130991781</v>
      </c>
      <c r="AB56" s="193">
        <f>(Model!$C$52*AB5*AB20+AB2*AC5*AC20)/AB32</f>
        <v>0.11227727066981399</v>
      </c>
      <c r="AD56" s="193">
        <f>(Model!$C$52*AD5*AD20+AD2*AE5*AE20)/AD32</f>
        <v>0.12418626808839985</v>
      </c>
      <c r="AF56" s="193">
        <f>(Model!$C$52*AF5*AF20+AF2*AG5*AG20)/AF32</f>
        <v>0.13925353316874609</v>
      </c>
      <c r="AH56" s="193">
        <f>(Model!$C$52*AH5*AH20+AH2*AI5*AI20)/AH32</f>
        <v>0.15908507208484471</v>
      </c>
      <c r="AJ56" s="193">
        <f>(Model!$C$52*AJ5*AJ20+AJ2*AK5*AK20)/AJ32</f>
        <v>0.18529891917078042</v>
      </c>
      <c r="AL56" s="193">
        <f>(Model!$C$52*AL5*AL20+AL2*AM5*AM20)/AL32</f>
        <v>0.21749381267007492</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0.15963165187202547</v>
      </c>
      <c r="F57" s="193">
        <f t="array" ref="F57">SUM(Model!tauL*F13:G13*F26:G26)/F32</f>
        <v>0.16074840930195489</v>
      </c>
      <c r="H57" s="193">
        <f t="array" ref="H57">SUM(Model!tauL*H13:I13*H26:I26)/H32</f>
        <v>0.16188395493099947</v>
      </c>
      <c r="J57" s="193">
        <f t="array" ref="J57">SUM(Model!tauL*J13:K13*J26:K26)/J32</f>
        <v>0.16304382727546426</v>
      </c>
      <c r="L57" s="193">
        <f t="array" ref="L57">SUM(Model!tauL*L13:M13*L26:M26)/L32</f>
        <v>0.16423447379360587</v>
      </c>
      <c r="N57" s="193">
        <f t="array" ref="N57">SUM(Model!tauL*N13:O13*N26:O26)/N32</f>
        <v>0.16546377252228223</v>
      </c>
      <c r="P57" s="193">
        <f t="array" ref="P57">SUM(Model!tauL*P13:Q13*P26:Q26)/P32</f>
        <v>0.1667416723013678</v>
      </c>
      <c r="R57" s="193">
        <f t="array" ref="R57">SUM(Model!tauL*R13:S13*R26:S26)/R32</f>
        <v>0.16808128695112315</v>
      </c>
      <c r="T57" s="193">
        <f t="array" ref="T57">SUM(Model!tauL*T13:U13*T26:U26)/T32</f>
        <v>0.16950059109233356</v>
      </c>
      <c r="V57" s="193">
        <f t="array" ref="V57">SUM(Model!tauL*V13:W13*V26:W26)/V32</f>
        <v>0.17102535160764015</v>
      </c>
      <c r="X57" s="193">
        <f t="array" ref="X57">SUM(Model!tauL*X13:Y13*X26:Y26)/X32</f>
        <v>0.17269397301626258</v>
      </c>
      <c r="Y57" s="193"/>
      <c r="Z57" s="193">
        <f t="array" ref="Z57">SUM(Model!tauL*Z13:AA13*Z26:AA26)/Z32</f>
        <v>0.17456594350230689</v>
      </c>
      <c r="AB57" s="193">
        <f t="array" ref="AB57">SUM(Model!tauL*AB13:AC13*AB26:AC26)/AB32</f>
        <v>0.17673642776756929</v>
      </c>
      <c r="AD57" s="193">
        <f t="array" ref="AD57">SUM(Model!tauL*AD13:AE13*AD26:AE26)/AD32</f>
        <v>0.17936048517554148</v>
      </c>
      <c r="AF57" s="193">
        <f t="array" ref="AF57">SUM(Model!tauL*AF13:AG13*AF26:AG26)/AF32</f>
        <v>0.18268647217201309</v>
      </c>
      <c r="AH57" s="193">
        <f t="array" ref="AH57">SUM(Model!tauL*AH13:AI13*AH26:AI26)/AH32</f>
        <v>0.18707224825876603</v>
      </c>
      <c r="AJ57" s="193">
        <f t="array" ref="AJ57">SUM(Model!tauL*AJ13:AK13*AJ26:AK26)/AJ32</f>
        <v>0.19287864828740603</v>
      </c>
      <c r="AL57" s="193">
        <f t="array" ref="AL57">SUM(Model!tauL*AL13:AM13*AL26:AM26)/AL32</f>
        <v>0.20001769470681724</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1.0661684647775388E-2</v>
      </c>
      <c r="F58" s="193">
        <f t="array" ref="F58">SUM(Model!tauY/(1+Model!tauY)*F3:G3*F18:G18)/F32</f>
        <v>1.057121203163389E-2</v>
      </c>
      <c r="H58" s="193">
        <f t="array" ref="H58">SUM(Model!tauY/(1+Model!tauY)*H3:I3*H18:I18)/H32</f>
        <v>1.0480926215652237E-2</v>
      </c>
      <c r="J58" s="193">
        <f t="array" ref="J58">SUM(Model!tauY/(1+Model!tauY)*J3:K3*J18:K18)/J32</f>
        <v>1.0390458007923944E-2</v>
      </c>
      <c r="L58" s="193">
        <f t="array" ref="L58">SUM(Model!tauY/(1+Model!tauY)*L3:M3*L18:M18)/L32</f>
        <v>1.0299398011825129E-2</v>
      </c>
      <c r="N58" s="193">
        <f t="array" ref="N58">SUM(Model!tauY/(1+Model!tauY)*N3:O3*N18:O18)/N32</f>
        <v>1.0207298659785173E-2</v>
      </c>
      <c r="P58" s="193">
        <f t="array" ref="P58">SUM(Model!tauY/(1+Model!tauY)*P3:Q3*P18:Q18)/P32</f>
        <v>1.0113659461678455E-2</v>
      </c>
      <c r="R58" s="193">
        <f t="array" ref="R58">SUM(Model!tauY/(1+Model!tauY)*R3:S3*R18:S18)/R32</f>
        <v>1.0017922867146213E-2</v>
      </c>
      <c r="T58" s="193">
        <f t="array" ref="T58">SUM(Model!tauY/(1+Model!tauY)*T3:U3*T18:U18)/T32</f>
        <v>9.9194679383794847E-3</v>
      </c>
      <c r="V58" s="193">
        <f t="array" ref="V58">SUM(Model!tauY/(1+Model!tauY)*V3:W3*V18:W18)/V32</f>
        <v>9.8176182781909722E-3</v>
      </c>
      <c r="X58" s="193">
        <f t="array" ref="X58">SUM(Model!tauY/(1+Model!tauY)*X3:Y3*X18:Y18)/X32</f>
        <v>9.7116596819769394E-3</v>
      </c>
      <c r="Y58" s="193"/>
      <c r="Z58" s="193">
        <f t="array" ref="Z58">SUM(Model!tauY/(1+Model!tauY)*Z3:AA3*Z18:AA18)/Z32</f>
        <v>9.6008913719167338E-3</v>
      </c>
      <c r="AB58" s="193">
        <f t="array" ref="AB58">SUM(Model!tauY/(1+Model!tauY)*AB3:AC3*AB18:AC18)/AB32</f>
        <v>9.4847308367652979E-3</v>
      </c>
      <c r="AD58" s="193">
        <f t="array" ref="AD58">SUM(Model!tauY/(1+Model!tauY)*AD3:AE3*AD18:AE18)/AD32</f>
        <v>9.3629280801332225E-3</v>
      </c>
      <c r="AF58" s="193">
        <f t="array" ref="AF58">SUM(Model!tauY/(1+Model!tauY)*AF3:AG3*AF18:AG18)/AF32</f>
        <v>9.235906769580771E-3</v>
      </c>
      <c r="AH58" s="193">
        <f t="array" ref="AH58">SUM(Model!tauY/(1+Model!tauY)*AH3:AI3*AH18:AI18)/AH32</f>
        <v>9.1051614008290857E-3</v>
      </c>
      <c r="AJ58" s="193">
        <f t="array" ref="AJ58">SUM(Model!tauY/(1+Model!tauY)*AJ3:AK3*AJ18:AK18)/AJ32</f>
        <v>8.9735041687689834E-3</v>
      </c>
      <c r="AL58" s="193">
        <f t="array" ref="AL58">SUM(Model!tauY/(1+Model!tauY)*AL3:AM3*AL18:AM18)/AL32</f>
        <v>8.8470189144517434E-3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5.6622304523736991E-3</v>
      </c>
      <c r="F59" s="193">
        <f>(F2*G5*G20)/F32</f>
        <v>1.0834660664173375E-2</v>
      </c>
      <c r="H59" s="193">
        <f>(H2*I5*I20)/H32</f>
        <v>1.6091431558421819E-2</v>
      </c>
      <c r="J59" s="193">
        <f>(J2*K5*K20)/J32</f>
        <v>2.1457998685345793E-2</v>
      </c>
      <c r="L59" s="193">
        <f>(L2*M5*M20)/L32</f>
        <v>2.6963989439938406E-2</v>
      </c>
      <c r="N59" s="193">
        <f>(N2*O5*O20)/N32</f>
        <v>3.264548674415621E-2</v>
      </c>
      <c r="P59" s="193">
        <f>(P2*Q5*Q20)/P32</f>
        <v>3.8548004069811105E-2</v>
      </c>
      <c r="R59" s="193">
        <f>(R2*S5*S20)/R32</f>
        <v>4.4731400589686991E-2</v>
      </c>
      <c r="T59" s="193">
        <f>(T2*U5*U20)/T32</f>
        <v>5.1277696521598887E-2</v>
      </c>
      <c r="V59" s="193">
        <f>(V2*W5*W20)/V32</f>
        <v>5.8304163129394342E-2</v>
      </c>
      <c r="X59" s="193">
        <f>(X2*Y5*Y20)/X32</f>
        <v>6.5985358297569408E-2</v>
      </c>
      <c r="Z59" s="193">
        <f>(Z2*AA5*AA20)/Z32</f>
        <v>7.4591336753773871E-2</v>
      </c>
      <c r="AB59" s="193">
        <f>(AB2*AC5*AC20)/AB32</f>
        <v>8.4553641555439707E-2</v>
      </c>
      <c r="AD59" s="193">
        <f>(AD2*AE5*AE20)/AD32</f>
        <v>9.6574913399156331E-2</v>
      </c>
      <c r="AF59" s="193">
        <f>(AF2*AG5*AG20)/AF32</f>
        <v>0.11177975583037372</v>
      </c>
      <c r="AH59" s="193">
        <f>(AH2*AI5*AI20)/AH32</f>
        <v>0.13178740317762869</v>
      </c>
      <c r="AJ59" s="193">
        <f>(AJ2*AK5*AK20)/AJ32</f>
        <v>0.1582274511169913</v>
      </c>
      <c r="AL59" s="193">
        <f>(AL2*AM5*AM20)/AL32</f>
        <v>0.19068988534543366</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2.8603893583748548E-2</v>
      </c>
      <c r="F60" s="193">
        <f>Model!$C$52*F5*F20/F32</f>
        <v>2.853838435691022E-2</v>
      </c>
      <c r="H60" s="193">
        <f>Model!$C$52*H5*H20/H32</f>
        <v>2.8472738758806425E-2</v>
      </c>
      <c r="J60" s="193">
        <f>Model!$C$52*J5*J20/J32</f>
        <v>2.8406749401931518E-2</v>
      </c>
      <c r="L60" s="193">
        <f>Model!$C$52*L5*L20/L32</f>
        <v>2.834018499239992E-2</v>
      </c>
      <c r="N60" s="193">
        <f>Model!$C$52*N5*N20/N32</f>
        <v>2.8272778495356331E-2</v>
      </c>
      <c r="P60" s="193">
        <f>Model!$C$52*P5*P20/P32</f>
        <v>2.8204200878491344E-2</v>
      </c>
      <c r="R60" s="193">
        <f>Model!$C$52*R5*R20/R32</f>
        <v>2.8134023145991324E-2</v>
      </c>
      <c r="T60" s="193">
        <f>Model!$C$52*T5*T20/T32</f>
        <v>2.8061650836912828E-2</v>
      </c>
      <c r="V60" s="193">
        <f>Model!$C$52*V5*V20/V32</f>
        <v>2.7986215337163826E-2</v>
      </c>
      <c r="X60" s="193">
        <f>Model!$C$52*X5*X20/X32</f>
        <v>2.7906383437813837E-2</v>
      </c>
      <c r="Z60" s="193">
        <f>Model!$C$52*Z5*Z20/Z32</f>
        <v>2.7820024556143935E-2</v>
      </c>
      <c r="AB60" s="193">
        <f>Model!$C$52*AB5*AB20/AB32</f>
        <v>2.7723629114374294E-2</v>
      </c>
      <c r="AD60" s="193">
        <f>Model!$C$52*AD5*AD20/AD32</f>
        <v>2.7611354689243514E-2</v>
      </c>
      <c r="AF60" s="193">
        <f>Model!$C$52*AF5*AF20/AF32</f>
        <v>2.7473777338372366E-2</v>
      </c>
      <c r="AH60" s="193">
        <f>Model!$C$52*AH5*AH20/AH32</f>
        <v>2.7297668907216049E-2</v>
      </c>
      <c r="AJ60" s="193">
        <f>Model!$C$52*AJ5*AJ20/AJ32</f>
        <v>2.7071468053789148E-2</v>
      </c>
      <c r="AL60" s="193">
        <f>Model!$C$52*AL5*AL20/AL32</f>
        <v>2.6803927324641291E-2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1.0162604941622153</v>
      </c>
      <c r="F62">
        <f>F13/F15</f>
        <v>1.0344283819078519</v>
      </c>
      <c r="H62">
        <f>H13/H15</f>
        <v>1.0548065020174793</v>
      </c>
      <c r="J62">
        <f>J13/J15</f>
        <v>1.0777837343761059</v>
      </c>
      <c r="L62">
        <f>L13/L15</f>
        <v>1.1038652739258805</v>
      </c>
      <c r="N62">
        <f>N13/N15</f>
        <v>1.1337199241592457</v>
      </c>
      <c r="P62">
        <f>P13/P15</f>
        <v>1.1682526096037544</v>
      </c>
      <c r="R62">
        <f>R13/R15</f>
        <v>1.2087221924459224</v>
      </c>
      <c r="T62">
        <f>T13/T15</f>
        <v>1.2569391577877269</v>
      </c>
      <c r="V62">
        <f>V13/V15</f>
        <v>1.3156154395076083</v>
      </c>
      <c r="X62">
        <f>X13/X15</f>
        <v>1.3890156943444136</v>
      </c>
      <c r="Z62">
        <f>Z13/Z15</f>
        <v>1.4842534503830473</v>
      </c>
      <c r="AB62">
        <f>AB13/AB15</f>
        <v>1.614072177004469</v>
      </c>
      <c r="AD62">
        <f>AD13/AD15</f>
        <v>1.8033734536375203</v>
      </c>
      <c r="AF62">
        <f>AF13/AF15</f>
        <v>2.1062448381646042</v>
      </c>
      <c r="AH62">
        <f>AH13/AH15</f>
        <v>2.6565790715538644</v>
      </c>
      <c r="AJ62">
        <f>AJ13/AJ15</f>
        <v>3.8491857556458244</v>
      </c>
      <c r="AL62">
        <f>AL13/AL15</f>
        <v>7.2018956387998028</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0.99846986168146257</v>
      </c>
      <c r="E65" s="191"/>
      <c r="F65" s="191">
        <f t="array" ref="F65">SQRT((F9:G9*$B$22:$C$22+F10:G10*$B$23:$C$23+F11:G11*$B$24:$C$24+F4:G4*($B$25:$C$25-$B$19:$C$19))/($B$9:$C$9*$B$22:$C$22+$B$10:$C$10*$B$23:$C$23+$B$11:$C$11*$B$24:$C$24+$B$4:$C$4*($B$25:$C$25-$B$19:$C$19))*(F9:G9*F22:G22+F10:G10*F23:G23+F11:G11*F24:G24+F4:G4*(F25:G25-F19:G19))/($B$9:$C$9*F22:G22+$B$10:$C$10*F23:G23+$B$11:$C$11*F24:G24+$B$4:$C$4*(F25:G25-F19:G19)))</f>
        <v>0.99691797831308682</v>
      </c>
      <c r="G65" s="191"/>
      <c r="H65" s="191">
        <f t="array" ref="H65">SQRT((H9:I9*$B$22:$C$22+H10:I10*$B$23:$C$23+H11:I11*$B$24:$C$24+H4:I4*($B$25:$C$25-$B$19:$C$19))/($B$9:$C$9*$B$22:$C$22+$B$10:$C$10*$B$23:$C$23+$B$11:$C$11*$B$24:$C$24+$B$4:$C$4*($B$25:$C$25-$B$19:$C$19))*(H9:I9*H22:I22+H10:I10*H23:I23+H11:I11*H24:I24+H4:I4*(H25:I25-H19:I19))/($B$9:$C$9*H22:I22+$B$10:$C$10*H23:I23+$B$11:$C$11*H24:I24+$B$4:$C$4*(H25:I25-H19:I19)))</f>
        <v>0.99533525685383706</v>
      </c>
      <c r="I65" s="191"/>
      <c r="J65" s="191">
        <f t="array" ref="J65">SQRT((J9:K9*$B$22:$C$22+J10:K10*$B$23:$C$23+J11:K11*$B$24:$C$24+J4:K4*($B$25:$C$25-$B$19:$C$19))/($B$9:$C$9*$B$22:$C$22+$B$10:$C$10*$B$23:$C$23+$B$11:$C$11*$B$24:$C$24+$B$4:$C$4*($B$25:$C$25-$B$19:$C$19))*(J9:K9*J22:K22+J10:K10*J23:K23+J11:K11*J24:K24+J4:K4*(J25:K25-J19:K19))/($B$9:$C$9*J22:K22+$B$10:$C$10*J23:K23+$B$11:$C$11*J24:K24+$B$4:$C$4*(J25:K25-J19:K19)))</f>
        <v>0.99371229720271248</v>
      </c>
      <c r="K65" s="191"/>
      <c r="L65" s="191">
        <f t="array" ref="L65">SQRT((L9:M9*$B$22:$C$22+L10:M10*$B$23:$C$23+L11:M11*$B$24:$C$24+L4:M4*($B$25:$C$25-$B$19:$C$19))/($B$9:$C$9*$B$22:$C$22+$B$10:$C$10*$B$23:$C$23+$B$11:$C$11*$B$24:$C$24+$B$4:$C$4*($B$25:$C$25-$B$19:$C$19))*(L9:M9*L22:M22+L10:M10*L23:M23+L11:M11*L24:M24+L4:M4*(L25:M25-L19:M19))/($B$9:$C$9*L22:M22+$B$10:$C$10*L23:M23+$B$11:$C$11*L24:M24+$B$4:$C$4*(L25:M25-L19:M19)))</f>
        <v>0.99203955688101797</v>
      </c>
      <c r="M65" s="191"/>
      <c r="N65" s="191">
        <f t="array" ref="N65">SQRT((N9:O9*$B$22:$C$22+N10:O10*$B$23:$C$23+N11:O11*$B$24:$C$24+N4:O4*($B$25:$C$25-$B$19:$C$19))/($B$9:$C$9*$B$22:$C$22+$B$10:$C$10*$B$23:$C$23+$B$11:$C$11*$B$24:$C$24+$B$4:$C$4*($B$25:$C$25-$B$19:$C$19))*(N9:O9*N22:O22+N10:O10*N23:O23+N11:O11*N24:O24+N4:O4*(N25:O25-N19:O19))/($B$9:$C$9*N22:O22+$B$10:$C$10*N23:O23+$B$11:$C$11*N24:O24+$B$4:$C$4*(N25:O25-N19:O19)))</f>
        <v>0.99030780670849994</v>
      </c>
      <c r="O65" s="191"/>
      <c r="P65" s="191">
        <f t="array" ref="P65">SQRT((P9:Q9*$B$22:$C$22+P10:Q10*$B$23:$C$23+P11:Q11*$B$24:$C$24+P4:Q4*($B$25:$C$25-$B$19:$C$19))/($B$9:$C$9*$B$22:$C$22+$B$10:$C$10*$B$23:$C$23+$B$11:$C$11*$B$24:$C$24+$B$4:$C$4*($B$25:$C$25-$B$19:$C$19))*(P9:Q9*P22:Q22+P10:Q10*P23:Q23+P11:Q11*P24:Q24+P4:Q4*(P25:Q25-P19:Q19))/($B$9:$C$9*P22:Q22+$B$10:$C$10*P23:Q23+$B$11:$C$11*P24:Q24+$B$4:$C$4*(P25:Q25-P19:Q19)))</f>
        <v>0.98850897865201648</v>
      </c>
      <c r="Q65" s="191"/>
      <c r="R65" s="191">
        <f t="array" ref="R65">SQRT((R9:S9*$B$22:$C$22+R10:S10*$B$23:$C$23+R11:S11*$B$24:$C$24+R4:S4*($B$25:$C$25-$B$19:$C$19))/($B$9:$C$9*$B$22:$C$22+$B$10:$C$10*$B$23:$C$23+$B$11:$C$11*$B$24:$C$24+$B$4:$C$4*($B$25:$C$25-$B$19:$C$19))*(R9:S9*R22:S22+R10:S10*R23:S23+R11:S11*R24:S24+R4:S4*(R25:S25-R19:S19))/($B$9:$C$9*R22:S22+$B$10:$C$10*R23:S23+$B$11:$C$11*R24:S24+$B$4:$C$4*(R25:S25-R19:S19)))</f>
        <v>0.98663771553440061</v>
      </c>
      <c r="S65" s="191"/>
      <c r="T65" s="191">
        <f t="array" ref="T65">SQRT((T9:U9*$B$22:$C$22+T10:U10*$B$23:$C$23+T11:U11*$B$24:$C$24+T4:U4*($B$25:$C$25-$B$19:$C$19))/($B$9:$C$9*$B$22:$C$22+$B$10:$C$10*$B$23:$C$23+$B$11:$C$11*$B$24:$C$24+$B$4:$C$4*($B$25:$C$25-$B$19:$C$19))*(T9:U9*T22:U22+T10:U10*T23:U23+T11:U11*T24:U24+T4:U4*(T25:U25-T19:U19))/($B$9:$C$9*T22:U22+$B$10:$C$10*T23:U23+$B$11:$C$11*T24:U24+$B$4:$C$4*(T25:U25-T19:U19)))</f>
        <v>0.98469409761667581</v>
      </c>
      <c r="U65" s="191"/>
      <c r="V65" s="191">
        <f t="array" ref="V65">SQRT((V9:W9*$B$22:$C$22+V10:W10*$B$23:$C$23+V11:W11*$B$24:$C$24+V4:W4*($B$25:$C$25-$B$19:$C$19))/($B$9:$C$9*$B$22:$C$22+$B$10:$C$10*$B$23:$C$23+$B$11:$C$11*$B$24:$C$24+$B$4:$C$4*($B$25:$C$25-$B$19:$C$19))*(V9:W9*V22:W22+V10:W10*V23:W23+V11:W11*V24:W24+V4:W4*(V25:W25-V19:W19))/($B$9:$C$9*V22:W22+$B$10:$C$10*V23:W23+$B$11:$C$11*V24:W24+$B$4:$C$4*(V25:W25-V19:W19)))</f>
        <v>0.98268835806969446</v>
      </c>
      <c r="W65" s="191"/>
      <c r="X65" s="191">
        <f t="array" ref="X65">SQRT((X9:Y9*$B$22:$C$22+X10:Y10*$B$23:$C$23+X11:Y11*$B$24:$C$24+X4:Y4*($B$25:$C$25-$B$19:$C$19))/($B$9:$C$9*$B$22:$C$22+$B$10:$C$10*$B$23:$C$23+$B$11:$C$11*$B$24:$C$24+$B$4:$C$4*($B$25:$C$25-$B$19:$C$19))*(X9:Y9*X22:Y22+X10:Y10*X23:Y23+X11:Y11*X24:Y24+X4:Y4*(X25:Y25-X19:Y19))/($B$9:$C$9*X22:Y22+$B$10:$C$10*X23:Y23+$B$11:$C$11*X24:Y24+$B$4:$C$4*(X25:Y25-X19:Y19)))</f>
        <v>0.98064907203976481</v>
      </c>
      <c r="Y65" s="191"/>
      <c r="Z65" s="191">
        <f t="array" ref="Z65">SQRT((Z9:AA9*$B$22:$C$22+Z10:AA10*$B$23:$C$23+Z11:AA11*$B$24:$C$24+Z4:AA4*($B$25:$C$25-$B$19:$C$19))/($B$9:$C$9*$B$22:$C$22+$B$10:$C$10*$B$23:$C$23+$B$11:$C$11*$B$24:$C$24+$B$4:$C$4*($B$25:$C$25-$B$19:$C$19))*(Z9:AA9*Z22:AA22+Z10:AA10*Z23:AA23+Z11:AA11*Z24:AA24+Z4:AA4*(Z25:AA25-Z19:AA19))/($B$9:$C$9*Z22:AA22+$B$10:$C$10*Z23:AA23+$B$11:$C$11*Z24:AA24+$B$4:$C$4*(Z25:AA25-Z19:AA19)))</f>
        <v>0.97863729867732963</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0.97677051784385105</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0.97525959522852079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0.9744488996558972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0.97479062439267983</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0.97657391949724537</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0.97937776153787415</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0.99831736705374619</v>
      </c>
      <c r="E66" s="191"/>
      <c r="F66" s="191">
        <f t="array" ref="F66">SQRT((F9:G9*$B$22:$C$22)/($B$9:$C$9*$B$22:$C$22)*(F9:G9*F22:G22)/($B$9:$C$9*F22:G22))</f>
        <v>0.99660882074824308</v>
      </c>
      <c r="G66" s="191"/>
      <c r="H66" s="191">
        <f t="array" ref="H66">SQRT((H9:I9*$B$22:$C$22)/($B$9:$C$9*$B$22:$C$22)*(H9:I9*H22:I22)/($B$9:$C$9*H22:I22))</f>
        <v>0.99486422661625173</v>
      </c>
      <c r="I66" s="191"/>
      <c r="J66" s="191">
        <f t="array" ref="J66">SQRT((J9:K9*$B$22:$C$22)/($B$9:$C$9*$B$22:$C$22)*(J9:K9*J22:K22)/($B$9:$C$9*J22:K22))</f>
        <v>0.99307305556513481</v>
      </c>
      <c r="K66" s="191"/>
      <c r="L66" s="191">
        <f t="array" ref="L66">SQRT((L9:M9*$B$22:$C$22)/($B$9:$C$9*$B$22:$C$22)*(L9:M9*L22:M22)/($B$9:$C$9*L22:M22))</f>
        <v>0.99122455959135258</v>
      </c>
      <c r="M66" s="191"/>
      <c r="N66" s="191">
        <f t="array" ref="N66">SQRT((N9:O9*$B$22:$C$22)/($B$9:$C$9*$B$22:$C$22)*(N9:O9*N22:O22)/($B$9:$C$9*N22:O22))</f>
        <v>0.98930827005412691</v>
      </c>
      <c r="O66" s="191"/>
      <c r="P66" s="191">
        <f t="array" ref="P66">SQRT((P9:Q9*$B$22:$C$22)/($B$9:$C$9*$B$22:$C$22)*(P9:Q9*P22:Q22)/($B$9:$C$9*P22:Q22))</f>
        <v>0.98731493425301287</v>
      </c>
      <c r="Q66" s="191"/>
      <c r="R66" s="191">
        <f t="array" ref="R66">SQRT((R9:S9*$B$22:$C$22)/($B$9:$C$9*$B$22:$C$22)*(R9:S9*R22:S22)/($B$9:$C$9*R22:S22))</f>
        <v>0.98523823981508007</v>
      </c>
      <c r="S66" s="191"/>
      <c r="T66" s="191">
        <f t="array" ref="T66">SQRT((T9:U9*$B$22:$C$22)/($B$9:$C$9*$B$22:$C$22)*(T9:U9*T22:U22)/($B$9:$C$9*T22:U22))</f>
        <v>0.98307786622738869</v>
      </c>
      <c r="U66" s="191"/>
      <c r="V66" s="191">
        <f t="array" ref="V66">SQRT((V9:W9*$B$22:$C$22)/($B$9:$C$9*$B$22:$C$22)*(V9:W9*V22:W22)/($B$9:$C$9*V22:W22))</f>
        <v>0.98084478768928507</v>
      </c>
      <c r="W66" s="191"/>
      <c r="X66" s="191">
        <f t="array" ref="X66">SQRT((X9:Y9*$B$22:$C$22)/($B$9:$C$9*$B$22:$C$22)*(X9:Y9*X22:Y22)/($B$9:$C$9*X22:Y22))</f>
        <v>0.97857051759163849</v>
      </c>
      <c r="Y66" s="191"/>
      <c r="Z66" s="191">
        <f t="array" ref="Z66">SQRT((Z9:AA9*$B$22:$C$22)/($B$9:$C$9*$B$22:$C$22)*(Z9:AA9*Z22:AA22)/($B$9:$C$9*Z22:AA22))</f>
        <v>0.97632311933737503</v>
      </c>
      <c r="AA66" s="191"/>
      <c r="AB66" s="191">
        <f t="array" ref="AB66">SQRT((AB9:AC9*$B$22:$C$22)/($B$9:$C$9*$B$22:$C$22)*(AB9:AC9*AB22:AC22)/($B$9:$C$9*AB22:AC22))</f>
        <v>0.97423435100366729</v>
      </c>
      <c r="AC66" s="191"/>
      <c r="AD66" s="191">
        <f t="array" ref="AD66">SQRT((AD9:AE9*$B$22:$C$22)/($B$9:$C$9*$B$22:$C$22)*(AD9:AE9*AD22:AE22)/($B$9:$C$9*AD22:AE22))</f>
        <v>0.97254158264288582</v>
      </c>
      <c r="AE66" s="191"/>
      <c r="AF66" s="191">
        <f t="array" ref="AF66">SQRT((AF9:AG9*$B$22:$C$22)/($B$9:$C$9*$B$22:$C$22)*(AF9:AG9*AF22:AG22)/($B$9:$C$9*AF22:AG22))</f>
        <v>0.97163309685023014</v>
      </c>
      <c r="AG66" s="191"/>
      <c r="AH66" s="191">
        <f t="array" ref="AH66">SQRT((AH9:AI9*$B$22:$C$22)/($B$9:$C$9*$B$22:$C$22)*(AH9:AI9*AH22:AI22)/($B$9:$C$9*AH22:AI22))</f>
        <v>0.97201819045097948</v>
      </c>
      <c r="AI66" s="191"/>
      <c r="AJ66" s="191">
        <f t="array" ref="AJ66">SQRT((AJ9:AK9*$B$22:$C$22)/($B$9:$C$9*$B$22:$C$22)*(AJ9:AK9*AJ22:AK22)/($B$9:$C$9*AJ22:AK22))</f>
        <v>0.97401953757125459</v>
      </c>
      <c r="AK66" s="191"/>
      <c r="AL66" s="191">
        <f t="array" ref="AL66">SQRT((AL9:AM9*$B$22:$C$22)/($B$9:$C$9*$B$22:$C$22)*(AL9:AM9*AL22:AM22)/($B$9:$C$9*AL22:AM22))</f>
        <v>0.9771585350551244</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0.99831736705374619</v>
      </c>
      <c r="E68" s="191"/>
      <c r="F68" s="191">
        <f>F66/F67</f>
        <v>0.99660882074824308</v>
      </c>
      <c r="G68" s="191"/>
      <c r="H68" s="191">
        <f>H66/H67</f>
        <v>0.99486422661625173</v>
      </c>
      <c r="I68" s="191"/>
      <c r="J68" s="191">
        <f>J66/J67</f>
        <v>0.99307305556513481</v>
      </c>
      <c r="K68" s="191"/>
      <c r="L68" s="191">
        <f>L66/L67</f>
        <v>0.99122455959135258</v>
      </c>
      <c r="M68" s="191"/>
      <c r="N68" s="191">
        <f>N66/N67</f>
        <v>0.98930827005412691</v>
      </c>
      <c r="O68" s="191"/>
      <c r="P68" s="191">
        <f>P66/P67</f>
        <v>0.98731493425301287</v>
      </c>
      <c r="Q68" s="191"/>
      <c r="R68" s="191">
        <f>R66/R67</f>
        <v>0.98523823981508007</v>
      </c>
      <c r="S68" s="191"/>
      <c r="T68" s="191">
        <f>T66/T67</f>
        <v>0.98307786622738869</v>
      </c>
      <c r="U68" s="191"/>
      <c r="V68" s="191">
        <f>V66/V67</f>
        <v>0.98084478768928507</v>
      </c>
      <c r="W68" s="191"/>
      <c r="X68" s="191">
        <f>X66/X67</f>
        <v>0.97857051759163849</v>
      </c>
      <c r="Y68" s="191"/>
      <c r="Z68" s="191">
        <f>Z66/Z67</f>
        <v>0.97632311933737503</v>
      </c>
      <c r="AA68" s="191"/>
      <c r="AB68" s="191">
        <f>AB66/AB67</f>
        <v>0.97423435100366729</v>
      </c>
      <c r="AC68" s="191"/>
      <c r="AD68" s="191">
        <f>AD66/AD67</f>
        <v>0.97254158264288582</v>
      </c>
      <c r="AE68" s="191"/>
      <c r="AF68" s="191">
        <f>AF66/AF67</f>
        <v>0.97163309685023014</v>
      </c>
      <c r="AG68" s="191"/>
      <c r="AH68" s="191">
        <f>AH66/AH67</f>
        <v>0.97201819045097948</v>
      </c>
      <c r="AI68" s="191"/>
      <c r="AJ68" s="191">
        <f>AJ66/AJ67</f>
        <v>0.97401953757125459</v>
      </c>
      <c r="AK68" s="191"/>
      <c r="AL68" s="191">
        <f>AL66/AL67</f>
        <v>0.9771585350551244</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1.0067586103796347</v>
      </c>
      <c r="E69" s="191"/>
      <c r="F69" s="191">
        <f>F32/F65/($B$32)</f>
        <v>1.0128605182835599</v>
      </c>
      <c r="G69" s="191"/>
      <c r="H69" s="191">
        <f>H32/H65/($B$32)</f>
        <v>1.0182604950586851</v>
      </c>
      <c r="I69" s="191"/>
      <c r="J69" s="191">
        <f>J32/J65/($B$32)</f>
        <v>1.022893799988468</v>
      </c>
      <c r="K69" s="191"/>
      <c r="L69" s="191">
        <f>L32/L65/($B$32)</f>
        <v>1.026672123336521</v>
      </c>
      <c r="M69" s="191"/>
      <c r="N69" s="191">
        <f>N32/N65/($B$32)</f>
        <v>1.0294768351554193</v>
      </c>
      <c r="O69" s="191"/>
      <c r="P69" s="191">
        <f>P32/P65/($B$32)</f>
        <v>1.0311497794077695</v>
      </c>
      <c r="Q69" s="191"/>
      <c r="R69" s="191">
        <f>R32/R65/($B$32)</f>
        <v>1.0314792639910721</v>
      </c>
      <c r="S69" s="191"/>
      <c r="T69" s="191">
        <f>T32/T65/($B$32)</f>
        <v>1.0301787348981815</v>
      </c>
      <c r="U69" s="191"/>
      <c r="V69" s="191">
        <f>V32/V65/($B$32)</f>
        <v>1.0268528521906022</v>
      </c>
      <c r="W69" s="191"/>
      <c r="X69" s="191">
        <f>X32/X65/($B$32)</f>
        <v>1.0209406208739116</v>
      </c>
      <c r="Y69" s="191"/>
      <c r="Z69" s="191">
        <f>Z32/Z65/($B$32)</f>
        <v>1.0116143839545793</v>
      </c>
      <c r="AA69" s="191"/>
      <c r="AB69" s="191">
        <f>AB32/AB65/($B$32)</f>
        <v>0.99758727938362468</v>
      </c>
      <c r="AC69" s="191"/>
      <c r="AD69" s="191">
        <f>AD32/AD65/($B$32)</f>
        <v>0.97671452738582765</v>
      </c>
      <c r="AE69" s="191"/>
      <c r="AF69" s="191">
        <f>AF32/AF65/($B$32)</f>
        <v>0.94510445565605383</v>
      </c>
      <c r="AG69" s="191"/>
      <c r="AH69" s="191">
        <f>AH32/AH65/($B$32)</f>
        <v>0.89504543266047831</v>
      </c>
      <c r="AI69" s="191"/>
      <c r="AJ69" s="191">
        <f>AJ32/AJ65/($B$32)</f>
        <v>0.81039028662916013</v>
      </c>
      <c r="AK69" s="191"/>
      <c r="AL69" s="191">
        <f>AL32/AL65/($B$32)</f>
        <v>0.65838560504485022</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1.005287009891485</v>
      </c>
      <c r="E70" s="138"/>
      <c r="F70" s="138">
        <f>F18/$B$18</f>
        <v>1.0099164484296268</v>
      </c>
      <c r="G70" s="138"/>
      <c r="H70" s="138">
        <f>H18/$B$18</f>
        <v>1.0138447147940268</v>
      </c>
      <c r="I70" s="138"/>
      <c r="J70" s="138">
        <f>J18/$B$18</f>
        <v>1.0170089192975558</v>
      </c>
      <c r="K70" s="138"/>
      <c r="L70" s="138">
        <f>L18/$B$18</f>
        <v>1.0193223886839995</v>
      </c>
      <c r="M70" s="138"/>
      <c r="N70" s="138">
        <f>N18/$B$18</f>
        <v>1.0206674658783002</v>
      </c>
      <c r="O70" s="138"/>
      <c r="P70" s="138">
        <f>P18/$B$18</f>
        <v>1.0208851659215308</v>
      </c>
      <c r="Q70" s="138"/>
      <c r="R70" s="138">
        <f>R18/$B$18</f>
        <v>1.0197593264415534</v>
      </c>
      <c r="S70" s="138"/>
      <c r="T70" s="138">
        <f>T18/$B$18</f>
        <v>1.0169919966723038</v>
      </c>
      <c r="U70" s="138"/>
      <c r="V70" s="138">
        <f>V18/$B$18</f>
        <v>1.0121640028660344</v>
      </c>
      <c r="W70" s="138"/>
      <c r="X70" s="138">
        <f>X18/$B$18</f>
        <v>1.0046687155440357</v>
      </c>
      <c r="Y70" s="138"/>
      <c r="Z70" s="138">
        <f>Z18/$B$18</f>
        <v>0.99359580656127156</v>
      </c>
      <c r="AA70" s="138"/>
      <c r="AB70" s="138">
        <f>AB18/$B$18</f>
        <v>0.97751586039624117</v>
      </c>
      <c r="AC70" s="138"/>
      <c r="AD70" s="138">
        <f>AD18/$B$18</f>
        <v>0.95405700399866067</v>
      </c>
      <c r="AE70" s="138"/>
      <c r="AF70" s="138">
        <f>AF18/$B$18</f>
        <v>0.91903167805138319</v>
      </c>
      <c r="AG70" s="138"/>
      <c r="AH70" s="138">
        <f>AH18/$B$18</f>
        <v>0.86459277147883329</v>
      </c>
      <c r="AI70" s="138"/>
      <c r="AJ70" s="138">
        <f>AJ18/$B$18</f>
        <v>0.77549121996906689</v>
      </c>
      <c r="AK70" s="138"/>
      <c r="AL70" s="138">
        <f>AL18/$B$18</f>
        <v>0.62275857515391086</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0.92799148405956</v>
      </c>
      <c r="E71" s="138"/>
      <c r="F71" s="138">
        <f>G18/$C$18</f>
        <v>0.85623723659615436</v>
      </c>
      <c r="G71" s="138"/>
      <c r="H71" s="138">
        <f>I18/$C$18</f>
        <v>0.78476108511996467</v>
      </c>
      <c r="I71" s="138"/>
      <c r="J71" s="138">
        <f>K18/$C$18</f>
        <v>0.71360925829962218</v>
      </c>
      <c r="K71" s="138"/>
      <c r="L71" s="138">
        <f>M18/$C$18</f>
        <v>0.64285376142442952</v>
      </c>
      <c r="M71" s="138"/>
      <c r="N71" s="138">
        <f>O18/$C$18</f>
        <v>0.57260939410038547</v>
      </c>
      <c r="O71" s="138"/>
      <c r="P71" s="138">
        <f>Q18/$C$18</f>
        <v>0.50304857926012303</v>
      </c>
      <c r="Q71" s="138"/>
      <c r="R71" s="138">
        <f>S18/$C$18</f>
        <v>0.43442779863743047</v>
      </c>
      <c r="S71" s="138"/>
      <c r="T71" s="138">
        <f>U18/$C$18</f>
        <v>0.36712224598863857</v>
      </c>
      <c r="U71" s="138"/>
      <c r="V71" s="138">
        <f>W18/$C$18</f>
        <v>0.30167833425455171</v>
      </c>
      <c r="W71" s="138"/>
      <c r="X71" s="138">
        <f>Y18/$C$18</f>
        <v>0.2388838421743415</v>
      </c>
      <c r="Y71" s="138"/>
      <c r="Z71" s="138">
        <f>AA18/$C$18</f>
        <v>0.17986293951855767</v>
      </c>
      <c r="AA71" s="138"/>
      <c r="AB71" s="138">
        <f>AC18/$C$18</f>
        <v>0.12618555945066956</v>
      </c>
      <c r="AC71" s="138"/>
      <c r="AD71" s="138">
        <f>AE18/$C$18</f>
        <v>7.994248607245609E-2</v>
      </c>
      <c r="AE71" s="138"/>
      <c r="AF71" s="138">
        <f>AG18/$C$18</f>
        <v>4.3590596518654809E-2</v>
      </c>
      <c r="AG71" s="138"/>
      <c r="AH71" s="138">
        <f>AI18/$C$18</f>
        <v>1.9126181469828599E-2</v>
      </c>
      <c r="AI71" s="138"/>
      <c r="AJ71" s="138">
        <f>AK18/$C$18</f>
        <v>6.2908172703126991E-3</v>
      </c>
      <c r="AK71" s="138"/>
      <c r="AL71" s="138">
        <f>AM18/$C$18</f>
        <v>1.5206563935897663E-3</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1.0322232535579601</v>
      </c>
      <c r="E72" s="138"/>
      <c r="F72" s="138">
        <f>G19/$C$19</f>
        <v>1.067952234385239</v>
      </c>
      <c r="G72" s="138"/>
      <c r="H72" s="138">
        <f>I19/$C$19</f>
        <v>1.1075870668542407</v>
      </c>
      <c r="I72" s="138"/>
      <c r="J72" s="138">
        <f>K19/$C$19</f>
        <v>1.1515311235772296</v>
      </c>
      <c r="K72" s="138"/>
      <c r="L72" s="138">
        <f>M19/$C$19</f>
        <v>1.20015445533151</v>
      </c>
      <c r="M72" s="138"/>
      <c r="N72" s="138">
        <f>O19/$C$19</f>
        <v>1.2537512664809745</v>
      </c>
      <c r="O72" s="138"/>
      <c r="P72" s="138">
        <f>Q19/$C$19</f>
        <v>1.3124524552391725</v>
      </c>
      <c r="Q72" s="138"/>
      <c r="R72" s="138">
        <f>S19/$C$19</f>
        <v>1.3760877222946306</v>
      </c>
      <c r="S72" s="138"/>
      <c r="T72" s="138">
        <f>U19/$C$19</f>
        <v>1.4439529283309884</v>
      </c>
      <c r="U72" s="138"/>
      <c r="V72" s="138">
        <f>W19/$C$19</f>
        <v>1.5144297247381684</v>
      </c>
      <c r="W72" s="138"/>
      <c r="X72" s="138">
        <f>Y19/$C$19</f>
        <v>1.5843460454908198</v>
      </c>
      <c r="Y72" s="138"/>
      <c r="Z72" s="138">
        <f>AA19/$C$19</f>
        <v>1.6479172875809178</v>
      </c>
      <c r="AA72" s="138"/>
      <c r="AB72" s="138">
        <f>AC19/$C$19</f>
        <v>1.6950249845654781</v>
      </c>
      <c r="AC72" s="138"/>
      <c r="AD72" s="138">
        <f>AE19/$C$19</f>
        <v>1.7086793328362071</v>
      </c>
      <c r="AE72" s="138"/>
      <c r="AF72" s="138">
        <f>AG19/$C$19</f>
        <v>1.6624344519987992</v>
      </c>
      <c r="AG72" s="138"/>
      <c r="AH72" s="138">
        <f>AI19/$C$19</f>
        <v>1.5221743308115421</v>
      </c>
      <c r="AI72" s="138"/>
      <c r="AJ72" s="138">
        <f>AK19/$C$19</f>
        <v>1.2621840353026994</v>
      </c>
      <c r="AK72" s="138"/>
      <c r="AL72" s="138">
        <f>AM19/$C$19</f>
        <v>0.8925638842315714</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0.47641155080812159</v>
      </c>
      <c r="E73" s="138"/>
      <c r="F73" s="193">
        <f t="array" ref="F73">SUM(F9:G9*F22:G22)/F32</f>
        <v>0.47641155471990881</v>
      </c>
      <c r="G73" s="138"/>
      <c r="H73" s="193">
        <f t="array" ref="H73">SUM(H9:I9*H22:I22)/H32</f>
        <v>0.47641153436808714</v>
      </c>
      <c r="I73" s="138"/>
      <c r="J73" s="193">
        <f t="array" ref="J73">SUM(J9:K9*J22:K22)/J32</f>
        <v>0.47641153790934582</v>
      </c>
      <c r="K73" s="138"/>
      <c r="L73" s="193">
        <f t="array" ref="L73">SUM(L9:M9*L22:M22)/L32</f>
        <v>0.4764115346318798</v>
      </c>
      <c r="M73" s="138"/>
      <c r="N73" s="193">
        <f t="array" ref="N73">SUM(N9:O9*N22:O22)/N32</f>
        <v>0.476411535341625</v>
      </c>
      <c r="O73" s="138"/>
      <c r="P73" s="193">
        <f t="array" ref="P73">SUM(P9:Q9*P22:Q22)/P32</f>
        <v>0.47641153578531487</v>
      </c>
      <c r="Q73" s="138"/>
      <c r="R73" s="193">
        <f t="array" ref="R73">SUM(R9:S9*R22:S22)/R32</f>
        <v>0.47641153848965773</v>
      </c>
      <c r="S73" s="138"/>
      <c r="T73" s="193">
        <f t="array" ref="T73">SUM(T9:U9*T22:U22)/T32</f>
        <v>0.47641153468287889</v>
      </c>
      <c r="U73" s="138"/>
      <c r="V73" s="193">
        <f t="array" ref="V73">SUM(V9:W9*V22:W22)/V32</f>
        <v>0.47641153354770704</v>
      </c>
      <c r="W73" s="138"/>
      <c r="X73" s="193">
        <f t="array" ref="X73">SUM(X9:Y9*X22:Y22)/X32</f>
        <v>0.47641153382454177</v>
      </c>
      <c r="Y73" s="138"/>
      <c r="Z73" s="193">
        <f t="array" ref="Z73">SUM(Z9:AA9*Z22:AA22)/Z32</f>
        <v>0.47641153505450701</v>
      </c>
      <c r="AA73" s="138"/>
      <c r="AB73" s="193">
        <f t="array" ref="AB73">SUM(AB9:AC9*AB22:AC22)/AB32</f>
        <v>0.47641153437218475</v>
      </c>
      <c r="AC73" s="138"/>
      <c r="AD73" s="193">
        <f t="array" ref="AD73">SUM(AD9:AE9*AD22:AE22)/AD32</f>
        <v>0.47641153326087249</v>
      </c>
      <c r="AE73" s="138"/>
      <c r="AF73" s="193">
        <f t="array" ref="AF73">SUM(AF9:AG9*AF22:AG22)/AF32</f>
        <v>0.47641153367498978</v>
      </c>
      <c r="AG73" s="138"/>
      <c r="AH73" s="193">
        <f t="array" ref="AH73">SUM(AH9:AI9*AH22:AI22)/AH32</f>
        <v>0.47641153372177503</v>
      </c>
      <c r="AI73" s="138"/>
      <c r="AJ73" s="193">
        <f t="array" ref="AJ73">SUM(AJ9:AK9*AJ22:AK22)/AJ32</f>
        <v>0.47641153356757804</v>
      </c>
      <c r="AK73" s="138"/>
      <c r="AL73" s="193">
        <f t="array" ref="AL73">SUM(AL9:AM9*AL22:AM22)/AL32</f>
        <v>0.47641153353672022</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0.22604620456442487</v>
      </c>
      <c r="O74" s="138"/>
      <c r="P74" s="193">
        <f t="array" ref="P74">SUM(P10:Q10*P23:Q23)/P32</f>
        <v>0.22604620456442487</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0.22604620456442487</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0.22038438901784804</v>
      </c>
      <c r="E75" s="138"/>
      <c r="F75" s="193">
        <f t="array" ref="F75">SUM(F11:G11*F24:G24)/F32</f>
        <v>0.22038438910251179</v>
      </c>
      <c r="G75" s="138"/>
      <c r="H75" s="193">
        <f t="array" ref="H75">SUM(H11:I11*H24:I24)/H32</f>
        <v>0.22038438830492196</v>
      </c>
      <c r="I75" s="138"/>
      <c r="J75" s="193">
        <f t="array" ref="J75">SUM(J11:K11*J24:K24)/J32</f>
        <v>0.22038438846515437</v>
      </c>
      <c r="K75" s="138"/>
      <c r="L75" s="193">
        <f t="array" ref="L75">SUM(L11:M11*L24:M24)/L32</f>
        <v>0.22038438828018114</v>
      </c>
      <c r="M75" s="138"/>
      <c r="N75" s="193">
        <f t="array" ref="N75">SUM(N11:O11*N24:O24)/N32</f>
        <v>0.22038438823204953</v>
      </c>
      <c r="O75" s="138"/>
      <c r="P75" s="193">
        <f t="array" ref="P75">SUM(P11:Q11*P24:Q24)/P32</f>
        <v>0.22038438819201905</v>
      </c>
      <c r="Q75" s="138"/>
      <c r="R75" s="193">
        <f t="array" ref="R75">SUM(R11:S11*R24:S24)/R32</f>
        <v>0.22038438822559442</v>
      </c>
      <c r="S75" s="138"/>
      <c r="T75" s="193">
        <f t="array" ref="T75">SUM(T11:U11*T24:U24)/T32</f>
        <v>0.22038438831005888</v>
      </c>
      <c r="U75" s="138"/>
      <c r="V75" s="193">
        <f t="array" ref="V75">SUM(V11:W11*V24:W24)/V32</f>
        <v>0.22038438833165996</v>
      </c>
      <c r="W75" s="138"/>
      <c r="X75" s="193">
        <f t="array" ref="X75">SUM(X11:Y11*X24:Y24)/X32</f>
        <v>0.22038438830447468</v>
      </c>
      <c r="Y75" s="138"/>
      <c r="Z75" s="193">
        <f t="array" ref="Z75">SUM(Z11:AA11*Z24:AA24)/Z32</f>
        <v>0.22038438840310715</v>
      </c>
      <c r="AA75" s="138"/>
      <c r="AB75" s="193">
        <f t="array" ref="AB75">SUM(AB11:AC11*AB24:AC24)/AB32</f>
        <v>0.22038438830411308</v>
      </c>
      <c r="AC75" s="138"/>
      <c r="AD75" s="193">
        <f t="array" ref="AD75">SUM(AD11:AE11*AD24:AE24)/AD32</f>
        <v>0.22038438834719526</v>
      </c>
      <c r="AE75" s="138"/>
      <c r="AF75" s="193">
        <f t="array" ref="AF75">SUM(AF11:AG11*AF24:AG24)/AF32</f>
        <v>0.22038438832917664</v>
      </c>
      <c r="AG75" s="138"/>
      <c r="AH75" s="193">
        <f t="array" ref="AH75">SUM(AH11:AI11*AH24:AI24)/AH32</f>
        <v>0.22038438834759663</v>
      </c>
      <c r="AI75" s="138"/>
      <c r="AJ75" s="193">
        <f t="array" ref="AJ75">SUM(AJ11:AK11*AJ24:AK24)/AJ32</f>
        <v>0.22038438833168508</v>
      </c>
      <c r="AK75" s="138"/>
      <c r="AL75" s="193">
        <f t="array" ref="AL75">SUM(AL11:AM11*AL24:AM24)/AL32</f>
        <v>0.22038438833146712</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0.22299011803694124</v>
      </c>
      <c r="E76" s="138"/>
      <c r="F76" s="193">
        <f t="array" ref="F76">SUM(F12:G12*F25:G25)/F32</f>
        <v>0.22302941241934396</v>
      </c>
      <c r="G76" s="138"/>
      <c r="H76" s="193">
        <f t="array" ref="H76">SUM(H12:I12*H25:I25)/H32</f>
        <v>0.22314272194822346</v>
      </c>
      <c r="I76" s="138"/>
      <c r="J76" s="193">
        <f t="array" ref="J76">SUM(J12:K12*J25:K25)/J32</f>
        <v>0.22333678318252212</v>
      </c>
      <c r="K76" s="138"/>
      <c r="L76" s="193">
        <f t="array" ref="L76">SUM(L12:M12*L25:M25)/L32</f>
        <v>0.22361868483590414</v>
      </c>
      <c r="M76" s="138"/>
      <c r="N76" s="193">
        <f t="array" ref="N76">SUM(N12:O12*N25:O25)/N32</f>
        <v>0.22399538002211372</v>
      </c>
      <c r="O76" s="138"/>
      <c r="P76" s="193">
        <f t="array" ref="P76">SUM(P12:Q12*P25:Q25)/P32</f>
        <v>0.22447272449674852</v>
      </c>
      <c r="Q76" s="138"/>
      <c r="R76" s="193">
        <f t="array" ref="R76">SUM(R12:S12*R25:S25)/R32</f>
        <v>0.22505380332864414</v>
      </c>
      <c r="S76" s="138"/>
      <c r="T76" s="193">
        <f t="array" ref="T76">SUM(T12:U12*T25:U25)/T32</f>
        <v>0.22573594941097502</v>
      </c>
      <c r="U76" s="138"/>
      <c r="V76" s="193">
        <f t="array" ref="V76">SUM(V12:W12*V25:W25)/V32</f>
        <v>0.22650555694390453</v>
      </c>
      <c r="W76" s="138"/>
      <c r="X76" s="193">
        <f t="array" ref="X76">SUM(X12:Y12*X25:Y25)/X32</f>
        <v>0.22732893587009606</v>
      </c>
      <c r="Y76" s="138"/>
      <c r="Z76" s="193">
        <f t="array" ref="Z76">SUM(Z12:AA12*Z25:AA25)/Z32</f>
        <v>0.22813633494535313</v>
      </c>
      <c r="AA76" s="138"/>
      <c r="AB76" s="193">
        <f t="array" ref="AB76">SUM(AB12:AC12*AB25:AC25)/AB32</f>
        <v>0.22879465873755106</v>
      </c>
      <c r="AC76" s="138"/>
      <c r="AD76" s="193">
        <f t="array" ref="AD76">SUM(AD12:AE12*AD25:AE25)/AD32</f>
        <v>0.2290652343776973</v>
      </c>
      <c r="AE76" s="138"/>
      <c r="AF76" s="193">
        <f t="array" ref="AF76">SUM(AF12:AG12*AF25:AG25)/AF32</f>
        <v>0.22855823789814825</v>
      </c>
      <c r="AG76" s="138"/>
      <c r="AH76" s="193">
        <f t="array" ref="AH76">SUM(AH12:AI12*AH25:AI25)/AH32</f>
        <v>0.22676259420919517</v>
      </c>
      <c r="AI76" s="138"/>
      <c r="AJ76" s="193">
        <f t="array" ref="AJ76">SUM(AJ12:AK12*AJ25:AK25)/AJ32</f>
        <v>0.22335127266904559</v>
      </c>
      <c r="AK76" s="138"/>
      <c r="AL76" s="193">
        <f t="array" ref="AL76">SUM(AL12:AM12*AL25:AM25)/AL32</f>
        <v>0.21880672803548895</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0.14583226242733557</v>
      </c>
      <c r="E77" s="138"/>
      <c r="F77" s="193">
        <f t="array" ref="F77">SUM(F4:G4*F19:G19)/F32</f>
        <v>0.14587156080618938</v>
      </c>
      <c r="G77" s="138"/>
      <c r="H77" s="193">
        <f t="array" ref="H77">SUM(H4:I4*H19:I19)/H32</f>
        <v>0.14598484918565735</v>
      </c>
      <c r="I77" s="138"/>
      <c r="J77" s="193">
        <f t="array" ref="J77">SUM(J4:K4*J19:K19)/J32</f>
        <v>0.14617891412144712</v>
      </c>
      <c r="K77" s="138"/>
      <c r="L77" s="193">
        <f t="array" ref="L77">SUM(L4:M4*L19:M19)/L32</f>
        <v>0.1464608123123898</v>
      </c>
      <c r="M77" s="138"/>
      <c r="N77" s="193">
        <f t="array" ref="N77">SUM(N4:O4*N19:O19)/N32</f>
        <v>0.1468375081602129</v>
      </c>
      <c r="O77" s="138"/>
      <c r="P77" s="193">
        <f t="array" ref="P77">SUM(P4:Q4*P19:Q19)/P32</f>
        <v>0.14731485303850703</v>
      </c>
      <c r="Q77" s="138"/>
      <c r="R77" s="193">
        <f t="array" ref="R77">SUM(R4:S4*R19:S19)/R32</f>
        <v>0.14789593460832123</v>
      </c>
      <c r="S77" s="138"/>
      <c r="T77" s="193">
        <f t="array" ref="T77">SUM(T4:U4*T19:U19)/T32</f>
        <v>0.14857807696833761</v>
      </c>
      <c r="U77" s="138"/>
      <c r="V77" s="193">
        <f t="array" ref="V77">SUM(V4:W4*V19:W19)/V32</f>
        <v>0.14934768338769625</v>
      </c>
      <c r="W77" s="138"/>
      <c r="X77" s="193">
        <f t="array" ref="X77">SUM(X4:Y4*X19:Y19)/X32</f>
        <v>0.15017106256353732</v>
      </c>
      <c r="Y77" s="138"/>
      <c r="Z77" s="193">
        <f t="array" ref="Z77">SUM(Z4:AA4*Z19:AA19)/Z32</f>
        <v>0.15097846296739201</v>
      </c>
      <c r="AA77" s="138"/>
      <c r="AB77" s="193">
        <f t="array" ref="AB77">SUM(AB4:AC4*AB19:AC19)/AB32</f>
        <v>0.15163678597827371</v>
      </c>
      <c r="AC77" s="138"/>
      <c r="AD77" s="193">
        <f t="array" ref="AD77">SUM(AD4:AE4*AD19:AE19)/AD32</f>
        <v>0.15190736055018977</v>
      </c>
      <c r="AE77" s="138"/>
      <c r="AF77" s="193">
        <f t="array" ref="AF77">SUM(AF4:AG4*AF19:AG19)/AF32</f>
        <v>0.15140036446673938</v>
      </c>
      <c r="AG77" s="138"/>
      <c r="AH77" s="193">
        <f t="array" ref="AH77">SUM(AH4:AI4*AH19:AI19)/AH32</f>
        <v>0.14960472084299159</v>
      </c>
      <c r="AI77" s="138"/>
      <c r="AJ77" s="193">
        <f t="array" ref="AJ77">SUM(AJ4:AK4*AJ19:AK19)/AJ32</f>
        <v>0.14619339913273327</v>
      </c>
      <c r="AK77" s="138"/>
      <c r="AL77" s="193">
        <f t="array" ref="AL77">SUM(AL4:AM4*AL19:AM19)/AL32</f>
        <v>0.14164885446810102</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0.3493007778250109</v>
      </c>
      <c r="E78" s="138"/>
      <c r="F78" s="193">
        <f t="array" ref="F78">SUM(F13:G13*F26:G26)/F32</f>
        <v>0.35174443003521882</v>
      </c>
      <c r="G78" s="138"/>
      <c r="H78" s="193">
        <f t="array" ref="H78">SUM(H13:I13*H26:I26)/H32</f>
        <v>0.35422919397037528</v>
      </c>
      <c r="I78" s="138"/>
      <c r="J78" s="193">
        <f t="array" ref="J78">SUM(J13:K13*J26:K26)/J32</f>
        <v>0.35676718883134484</v>
      </c>
      <c r="K78" s="138"/>
      <c r="L78" s="193">
        <f t="array" ref="L78">SUM(L13:M13*L26:M26)/L32</f>
        <v>0.35937252273614534</v>
      </c>
      <c r="M78" s="138"/>
      <c r="N78" s="193">
        <f t="array" ref="N78">SUM(N13:O13*N26:O26)/N32</f>
        <v>0.36206243414826417</v>
      </c>
      <c r="O78" s="138"/>
      <c r="P78" s="193">
        <f t="array" ref="P78">SUM(P13:Q13*P26:Q26)/P32</f>
        <v>0.36485869279485666</v>
      </c>
      <c r="Q78" s="138"/>
      <c r="R78" s="193">
        <f t="array" ref="R78">SUM(R13:S13*R26:S26)/R32</f>
        <v>0.36778999391000433</v>
      </c>
      <c r="S78" s="138"/>
      <c r="T78" s="193">
        <f t="array" ref="T78">SUM(T13:U13*T26:U26)/T32</f>
        <v>0.37089566897307075</v>
      </c>
      <c r="U78" s="138"/>
      <c r="V78" s="193">
        <f t="array" ref="V78">SUM(V13:W13*V26:W26)/V32</f>
        <v>0.37423210023684317</v>
      </c>
      <c r="W78" s="138"/>
      <c r="X78" s="193">
        <f t="array" ref="X78">SUM(X13:Y13*X26:Y26)/X32</f>
        <v>0.37788332321857709</v>
      </c>
      <c r="Y78" s="138"/>
      <c r="Z78" s="193">
        <f t="array" ref="Z78">SUM(Z13:AA13*Z26:AA26)/Z32</f>
        <v>0.38197950802386216</v>
      </c>
      <c r="AA78" s="138"/>
      <c r="AB78" s="193">
        <f t="array" ref="AB78">SUM(AB13:AC13*AB26:AC26)/AB32</f>
        <v>0.3867288909515092</v>
      </c>
      <c r="AC78" s="138"/>
      <c r="AD78" s="193">
        <f t="array" ref="AD78">SUM(AD13:AE13*AD26:AE26)/AD32</f>
        <v>0.39247076784693213</v>
      </c>
      <c r="AE78" s="138"/>
      <c r="AF78" s="193">
        <f t="array" ref="AF78">SUM(AF13:AG13*AF26:AG26)/AF32</f>
        <v>0.39974858419023962</v>
      </c>
      <c r="AG78" s="138"/>
      <c r="AH78" s="193">
        <f t="array" ref="AH78">SUM(AH13:AI13*AH26:AI26)/AH32</f>
        <v>0.40934539647968005</v>
      </c>
      <c r="AI78" s="138"/>
      <c r="AJ78" s="193">
        <f t="array" ref="AJ78">SUM(AJ13:AK13*AJ26:AK26)/AJ32</f>
        <v>0.42205077177701195</v>
      </c>
      <c r="AK78" s="138"/>
      <c r="AL78" s="193">
        <f t="array" ref="AL78">SUM(AL13:AM13*AL26:AM26)/AL32</f>
        <v>0.43767220047229566</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0.44613980502431128</v>
      </c>
      <c r="F79" s="193">
        <f t="array" ref="F79">SUM(F15:G15*F27:G27)/F32</f>
        <v>0.43756296490371621</v>
      </c>
      <c r="H79" s="193">
        <f t="array" ref="H79">SUM(H15:I15*H27:I27)/H32</f>
        <v>0.42884175214383841</v>
      </c>
      <c r="J79" s="193">
        <f t="array" ref="J79">SUM(J15:K15*J27:K27)/J32</f>
        <v>0.41993379383610446</v>
      </c>
      <c r="L79" s="193">
        <f t="array" ref="L79">SUM(L15:M15*L27:M27)/L32</f>
        <v>0.41078942678000485</v>
      </c>
      <c r="N79" s="193">
        <f t="array" ref="N79">SUM(N15:O15*N27:O27)/N32</f>
        <v>0.40134822143746984</v>
      </c>
      <c r="P79" s="193">
        <f t="array" ref="P79">SUM(P15:Q15*P27:Q27)/P32</f>
        <v>0.39153375929076284</v>
      </c>
      <c r="R79" s="193">
        <f t="array" ref="R79">SUM(R15:S15*R27:S27)/R32</f>
        <v>0.38124537876612674</v>
      </c>
      <c r="T79" s="193">
        <f t="array" ref="T79">SUM(T15:U15*T27:U27)/T32</f>
        <v>0.37034492594428398</v>
      </c>
      <c r="V79" s="193">
        <f t="array" ref="V79">SUM(V15:W15*V27:W27)/V32</f>
        <v>0.35863455143778095</v>
      </c>
      <c r="X79" s="193">
        <f t="array" ref="X79">SUM(X15:Y15*X27:Y27)/X32</f>
        <v>0.34581929806991574</v>
      </c>
      <c r="Z79" s="193">
        <f t="array" ref="Z79">SUM(Z15:AA15*Z27:AA27)/Z32</f>
        <v>0.33144230919698908</v>
      </c>
      <c r="AB79" s="193">
        <f t="array" ref="AB79">SUM(AB15:AC15*AB27:AC27)/AB32</f>
        <v>0.31477267674593057</v>
      </c>
      <c r="AD79" s="193">
        <f t="array" ref="AD79">SUM(AD15:AE15*AD27:AE27)/AD32</f>
        <v>0.29461955388237954</v>
      </c>
      <c r="AF79" s="193">
        <f t="array" ref="AF79">SUM(AF15:AG15*AF27:AG27)/AF32</f>
        <v>0.26907550293649796</v>
      </c>
      <c r="AH79" s="193">
        <f t="array" ref="AH79">SUM(AH15:AI15*AH27:AI27)/AH32</f>
        <v>0.23539212619638594</v>
      </c>
      <c r="AJ79" s="193">
        <f t="array" ref="AJ79">SUM(AJ15:AK15*AJ27:AK27)/AJ32</f>
        <v>0.1907981557801901</v>
      </c>
      <c r="AL79" s="193">
        <f t="array" ref="AL79">SUM(AL15:AM15*AL27:AM27)/AL32</f>
        <v>0.13596927377275356</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0.20455946055592308</v>
      </c>
      <c r="F80" s="236">
        <f>F55</f>
        <v>0.2106926663546724</v>
      </c>
      <c r="H80" s="236">
        <f>H55</f>
        <v>0.21692905146387997</v>
      </c>
      <c r="J80" s="236">
        <f>J55</f>
        <v>0.22329903337066551</v>
      </c>
      <c r="L80" s="236">
        <f>L55</f>
        <v>0.22983804623776935</v>
      </c>
      <c r="N80" s="236">
        <f>N55</f>
        <v>0.23658933642157995</v>
      </c>
      <c r="P80" s="236">
        <f>P55</f>
        <v>0.24360753671134869</v>
      </c>
      <c r="R80" s="236">
        <f>R55</f>
        <v>0.25096463355394771</v>
      </c>
      <c r="T80" s="236">
        <f>T55</f>
        <v>0.25875940638922479</v>
      </c>
      <c r="V80" s="236">
        <f>V55</f>
        <v>0.26713334835238928</v>
      </c>
      <c r="X80" s="236">
        <f>X55</f>
        <v>0.27629737443362279</v>
      </c>
      <c r="Z80" s="236">
        <f>Z55</f>
        <v>0.28657819618414143</v>
      </c>
      <c r="AB80" s="236">
        <f>AB55</f>
        <v>0.2984984292741486</v>
      </c>
      <c r="AD80" s="236">
        <f>AD55</f>
        <v>0.3129096813440746</v>
      </c>
      <c r="AF80" s="236">
        <f>AF55</f>
        <v>0.33117591211033998</v>
      </c>
      <c r="AH80" s="236">
        <f>AH55</f>
        <v>0.35526248174443986</v>
      </c>
      <c r="AJ80" s="236">
        <f>AJ55</f>
        <v>0.38715107162695545</v>
      </c>
      <c r="AL80" s="236">
        <f>AL55</f>
        <v>0.42635852629134391</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-2.148674400850174E-2</v>
      </c>
      <c r="F81" s="236">
        <f>F51/F$32</f>
        <v>-1.5353538209752431E-2</v>
      </c>
      <c r="H81" s="236">
        <f>H51/H$32</f>
        <v>-9.1171531005448843E-3</v>
      </c>
      <c r="J81" s="236">
        <f>J51/J$32</f>
        <v>-2.7471711937593411E-3</v>
      </c>
      <c r="L81" s="236">
        <f>L51/L$32</f>
        <v>3.7918416733445062E-3</v>
      </c>
      <c r="N81" s="236">
        <f>N51/N$32</f>
        <v>1.0543131857155084E-2</v>
      </c>
      <c r="P81" s="236">
        <f>P51/P$32</f>
        <v>1.7561332146923837E-2</v>
      </c>
      <c r="R81" s="236">
        <f>R51/R$32</f>
        <v>2.4918428989522855E-2</v>
      </c>
      <c r="T81" s="236">
        <f>T51/T$32</f>
        <v>3.2713201824799906E-2</v>
      </c>
      <c r="V81" s="236">
        <f>V51/V$32</f>
        <v>4.1087143787964436E-2</v>
      </c>
      <c r="X81" s="236">
        <f>X51/X$32</f>
        <v>5.0251169869197948E-2</v>
      </c>
      <c r="Z81" s="236">
        <f>Z51/Z$32</f>
        <v>6.0531991619716619E-2</v>
      </c>
      <c r="AB81" s="236">
        <f>AB51/AB$32</f>
        <v>7.2452224709723748E-2</v>
      </c>
      <c r="AD81" s="236">
        <f>AD51/AD$32</f>
        <v>8.6863476779649729E-2</v>
      </c>
      <c r="AF81" s="236">
        <f>AF51/AF$32</f>
        <v>0.10512970754591514</v>
      </c>
      <c r="AH81" s="236">
        <f>AH51/AH$32</f>
        <v>0.12921627718001499</v>
      </c>
      <c r="AJ81" s="236">
        <f>AJ51/AJ$32</f>
        <v>0.16110486706253058</v>
      </c>
      <c r="AL81" s="236">
        <f>AL51/AL$32</f>
        <v>0.20031232172691907</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0.14004612760652921</v>
      </c>
      <c r="F82" s="236">
        <f>F52/F$32</f>
        <v>0.14102586785041782</v>
      </c>
      <c r="H82" s="236">
        <f>H52/H$32</f>
        <v>0.14202209113197417</v>
      </c>
      <c r="J82" s="236">
        <f>J52/J$32</f>
        <v>0.14303965643594302</v>
      </c>
      <c r="L82" s="236">
        <f>L52/L$32</f>
        <v>0.144084220169128</v>
      </c>
      <c r="N82" s="236">
        <f>N52/N$32</f>
        <v>0.14516269379640567</v>
      </c>
      <c r="P82" s="236">
        <f>P52/P$32</f>
        <v>0.14628380551473608</v>
      </c>
      <c r="R82" s="236">
        <f>R52/R$32</f>
        <v>0.14745906018373883</v>
      </c>
      <c r="T82" s="236">
        <f>T52/T$32</f>
        <v>0.14870422708229211</v>
      </c>
      <c r="V82" s="236">
        <f>V52/V$32</f>
        <v>0.150041911703054</v>
      </c>
      <c r="X82" s="236">
        <f>X52/X$32</f>
        <v>0.1515058066385413</v>
      </c>
      <c r="Z82" s="236">
        <f>Z52/Z$32</f>
        <v>0.15314810134945733</v>
      </c>
      <c r="AB82" s="236">
        <f>AB52/AB$32</f>
        <v>0.15505228459141604</v>
      </c>
      <c r="AD82" s="236">
        <f>AD52/AD$32</f>
        <v>0.15735439118678191</v>
      </c>
      <c r="AF82" s="236">
        <f>AF52/AF$32</f>
        <v>0.16027230623597866</v>
      </c>
      <c r="AH82" s="236">
        <f>AH52/AH$32</f>
        <v>0.16411998274809961</v>
      </c>
      <c r="AJ82" s="236">
        <f>AJ52/AJ$32</f>
        <v>0.16921398403048549</v>
      </c>
      <c r="AL82" s="236">
        <f>AL52/AL$32</f>
        <v>0.17547712667241797</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0.18254162518001074</v>
      </c>
      <c r="F83" s="236">
        <f>F53/F$32</f>
        <v>0.17903234329820861</v>
      </c>
      <c r="H83" s="236">
        <f>H53/H$32</f>
        <v>0.17546399021067816</v>
      </c>
      <c r="J83" s="236">
        <f>J53/J$32</f>
        <v>0.1718192287071828</v>
      </c>
      <c r="L83" s="236">
        <f>L53/L$32</f>
        <v>0.16807773869695605</v>
      </c>
      <c r="N83" s="236">
        <f>N53/N$32</f>
        <v>0.16421479495717783</v>
      </c>
      <c r="P83" s="236">
        <f>P53/P$32</f>
        <v>0.16019913024770416</v>
      </c>
      <c r="R83" s="236">
        <f>R53/R$32</f>
        <v>0.15598955809053003</v>
      </c>
      <c r="T83" s="236">
        <f>T53/T$32</f>
        <v>0.15152955171833737</v>
      </c>
      <c r="V83" s="236">
        <f>V53/V$32</f>
        <v>0.14673815949148342</v>
      </c>
      <c r="X83" s="236">
        <f>X53/X$32</f>
        <v>0.14149469735132253</v>
      </c>
      <c r="Z83" s="236">
        <f>Z53/Z$32</f>
        <v>0.13561223879348111</v>
      </c>
      <c r="AB83" s="236">
        <f>AB53/AB$32</f>
        <v>0.12879172700658989</v>
      </c>
      <c r="AD83" s="236">
        <f>AD53/AD$32</f>
        <v>0.12054591760214869</v>
      </c>
      <c r="AF83" s="236">
        <f>AF53/AF$32</f>
        <v>0.11009436739113775</v>
      </c>
      <c r="AH83" s="236">
        <f>AH53/AH$32</f>
        <v>9.6312547740780463E-2</v>
      </c>
      <c r="AJ83" s="236">
        <f>AJ53/AJ$32</f>
        <v>7.8066572507617574E-2</v>
      </c>
      <c r="AL83" s="236">
        <f>AL53/AL$32</f>
        <v>5.5632902353717886E-2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4.6817481432235131E-2</v>
      </c>
      <c r="E2" s="227"/>
      <c r="F2" s="226">
        <v>9.1075901266131465E-2</v>
      </c>
      <c r="G2" s="227"/>
      <c r="H2" s="226">
        <v>0.13892619017453958</v>
      </c>
      <c r="I2" s="227"/>
      <c r="J2" s="226">
        <v>0.19080998005724531</v>
      </c>
      <c r="K2" s="227"/>
      <c r="L2" s="226">
        <v>0.24724475748896085</v>
      </c>
      <c r="M2" s="227"/>
      <c r="N2" s="226">
        <v>0.30884042797855549</v>
      </c>
      <c r="O2" s="227"/>
      <c r="P2" s="226">
        <v>0.37631995232843801</v>
      </c>
      <c r="Q2" s="227"/>
      <c r="R2" s="226">
        <v>0.45054347806711798</v>
      </c>
      <c r="S2" s="227"/>
      <c r="T2" s="226">
        <v>0.53253635064856975</v>
      </c>
      <c r="U2" s="227"/>
      <c r="V2" s="226">
        <v>0.62351590040204297</v>
      </c>
      <c r="W2" s="227"/>
      <c r="X2" s="226">
        <v>0.72491141045219543</v>
      </c>
      <c r="Y2" s="227"/>
      <c r="Z2" s="226">
        <v>0.83835919674831039</v>
      </c>
      <c r="AA2" s="227"/>
      <c r="AB2" s="226">
        <v>0.9656423110636263</v>
      </c>
      <c r="AC2" s="227"/>
      <c r="AD2" s="226">
        <v>1.1085313829799615</v>
      </c>
      <c r="AE2" s="227"/>
      <c r="AF2" s="226">
        <v>1.2684744199453728</v>
      </c>
      <c r="AG2" s="227"/>
      <c r="AH2" s="226">
        <v>1.446126019075723</v>
      </c>
      <c r="AI2" s="227"/>
      <c r="AJ2" s="226">
        <v>1.6408218762669604</v>
      </c>
      <c r="AK2" s="227"/>
      <c r="AL2" s="226">
        <v>1.8502513367112541</v>
      </c>
      <c r="AM2" s="227"/>
      <c r="AN2" s="226">
        <v>2.0706091544958203</v>
      </c>
      <c r="AO2" s="227"/>
      <c r="AP2" s="226">
        <v>2.1155889755602368</v>
      </c>
      <c r="AQ2" s="227"/>
      <c r="AR2" s="226">
        <v>2.1607819051998547</v>
      </c>
      <c r="AS2" s="227"/>
      <c r="AT2" s="226">
        <v>2.2061499119168153</v>
      </c>
      <c r="AU2" s="227"/>
      <c r="AV2" s="226">
        <v>2.2516556166176462</v>
      </c>
      <c r="AW2" s="227"/>
    </row>
    <row r="3" spans="1:49" x14ac:dyDescent="0.2">
      <c r="A3" t="s">
        <v>12</v>
      </c>
      <c r="B3" s="84">
        <v>1000</v>
      </c>
      <c r="C3" s="85">
        <v>1000</v>
      </c>
      <c r="D3" s="84">
        <v>998.7423896751144</v>
      </c>
      <c r="E3" s="85">
        <v>1018.9491033758316</v>
      </c>
      <c r="F3" s="84">
        <v>997.45898804861588</v>
      </c>
      <c r="G3" s="85">
        <v>1039.7582489191989</v>
      </c>
      <c r="H3" s="84">
        <v>996.14664862971563</v>
      </c>
      <c r="I3" s="85">
        <v>1062.6780029471186</v>
      </c>
      <c r="J3" s="84">
        <v>994.80211664154672</v>
      </c>
      <c r="K3" s="85">
        <v>1088.0014543167251</v>
      </c>
      <c r="L3" s="84">
        <v>993.42220965356955</v>
      </c>
      <c r="M3" s="85">
        <v>1116.0725252519342</v>
      </c>
      <c r="N3" s="84">
        <v>992.00412447925692</v>
      </c>
      <c r="O3" s="85">
        <v>1147.2957615224573</v>
      </c>
      <c r="P3" s="84">
        <v>990.54586859878157</v>
      </c>
      <c r="Q3" s="85">
        <v>1182.1476068739796</v>
      </c>
      <c r="R3" s="84">
        <v>989.04694487771189</v>
      </c>
      <c r="S3" s="85">
        <v>1221.1885681277406</v>
      </c>
      <c r="T3" s="84">
        <v>987.50934143780614</v>
      </c>
      <c r="U3" s="85">
        <v>1265.0755704836756</v>
      </c>
      <c r="V3" s="84">
        <v>985.93889523380722</v>
      </c>
      <c r="W3" s="85">
        <v>1314.5706929790117</v>
      </c>
      <c r="X3" s="84">
        <v>984.34707652334475</v>
      </c>
      <c r="Y3" s="85">
        <v>1370.5413080374644</v>
      </c>
      <c r="Z3" s="84">
        <v>982.75310488662467</v>
      </c>
      <c r="AA3" s="85">
        <v>1433.9401724897014</v>
      </c>
      <c r="AB3" s="84">
        <v>981.18600235771316</v>
      </c>
      <c r="AC3" s="85">
        <v>1505.7472777731466</v>
      </c>
      <c r="AD3" s="84">
        <v>979.68570258182331</v>
      </c>
      <c r="AE3" s="85">
        <v>1586.8503529272011</v>
      </c>
      <c r="AF3" s="84">
        <v>978.30166771095469</v>
      </c>
      <c r="AG3" s="85">
        <v>1677.8429153582927</v>
      </c>
      <c r="AH3" s="84">
        <v>977.08725676228505</v>
      </c>
      <c r="AI3" s="85">
        <v>1778.751380121726</v>
      </c>
      <c r="AJ3" s="84">
        <v>976.08941602611048</v>
      </c>
      <c r="AK3" s="85">
        <v>1888.7708146775287</v>
      </c>
      <c r="AL3" s="84">
        <v>975.33652037937645</v>
      </c>
      <c r="AM3" s="85">
        <v>2006.1619588395013</v>
      </c>
      <c r="AN3" s="84">
        <v>974.83045075852681</v>
      </c>
      <c r="AO3" s="85">
        <v>2128.441540942616</v>
      </c>
      <c r="AP3" s="84">
        <v>974.75715130927858</v>
      </c>
      <c r="AQ3" s="85">
        <v>2153.2389435636542</v>
      </c>
      <c r="AR3" s="84">
        <v>974.69255129155215</v>
      </c>
      <c r="AS3" s="85">
        <v>2178.0980601361057</v>
      </c>
      <c r="AT3" s="84">
        <v>974.63634036466487</v>
      </c>
      <c r="AU3" s="85">
        <v>2202.997382569024</v>
      </c>
      <c r="AV3" s="84">
        <v>974.58819004137069</v>
      </c>
      <c r="AW3" s="85">
        <v>2227.9160569381852</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998.68004933806833</v>
      </c>
      <c r="E5" s="42">
        <v>1016.4866375459884</v>
      </c>
      <c r="F5" s="41">
        <v>997.33230796663543</v>
      </c>
      <c r="G5" s="42">
        <v>1034.2445704589193</v>
      </c>
      <c r="H5" s="41">
        <v>995.95342183234879</v>
      </c>
      <c r="I5" s="42">
        <v>1053.3870274875403</v>
      </c>
      <c r="J5" s="41">
        <v>994.53991420945556</v>
      </c>
      <c r="K5" s="42">
        <v>1074.0341125757575</v>
      </c>
      <c r="L5" s="41">
        <v>993.08837487803828</v>
      </c>
      <c r="M5" s="42">
        <v>1096.3106996566614</v>
      </c>
      <c r="N5" s="41">
        <v>991.59578280615995</v>
      </c>
      <c r="O5" s="42">
        <v>1120.3429645849992</v>
      </c>
      <c r="P5" s="41">
        <v>990.05996128258221</v>
      </c>
      <c r="Q5" s="42">
        <v>1146.2523844755435</v>
      </c>
      <c r="R5" s="41">
        <v>988.48030194401929</v>
      </c>
      <c r="S5" s="42">
        <v>1174.1467799622681</v>
      </c>
      <c r="T5" s="41">
        <v>986.8588135791872</v>
      </c>
      <c r="U5" s="42">
        <v>1204.1050985692618</v>
      </c>
      <c r="V5" s="41">
        <v>985.20157061524742</v>
      </c>
      <c r="W5" s="42">
        <v>1236.1572730029852</v>
      </c>
      <c r="X5" s="41">
        <v>983.52061265471582</v>
      </c>
      <c r="Y5" s="42">
        <v>1270.2532410453998</v>
      </c>
      <c r="Z5" s="41">
        <v>981.83620335914634</v>
      </c>
      <c r="AA5" s="42">
        <v>1306.2223215277445</v>
      </c>
      <c r="AB5" s="41">
        <v>980.17903246192498</v>
      </c>
      <c r="AC5" s="42">
        <v>1343.7240816559258</v>
      </c>
      <c r="AD5" s="41">
        <v>978.59142485538428</v>
      </c>
      <c r="AE5" s="42">
        <v>1382.1981346356463</v>
      </c>
      <c r="AF5" s="41">
        <v>977.1259073179267</v>
      </c>
      <c r="AG5" s="42">
        <v>1420.8363304220838</v>
      </c>
      <c r="AH5" s="41">
        <v>975.8392529097822</v>
      </c>
      <c r="AI5" s="42">
        <v>1458.6125098874236</v>
      </c>
      <c r="AJ5" s="41">
        <v>974.78152732729848</v>
      </c>
      <c r="AK5" s="42">
        <v>1494.4008452646835</v>
      </c>
      <c r="AL5" s="41">
        <v>973.98313261844623</v>
      </c>
      <c r="AM5" s="42">
        <v>1527.1792492713421</v>
      </c>
      <c r="AN5" s="41">
        <v>973.44632775562263</v>
      </c>
      <c r="AO5" s="42">
        <v>1556.2406593080555</v>
      </c>
      <c r="AP5" s="41">
        <v>973.36856642049338</v>
      </c>
      <c r="AQ5" s="42">
        <v>1561.5747415013559</v>
      </c>
      <c r="AR5" s="41">
        <v>973.3000319333097</v>
      </c>
      <c r="AS5" s="42">
        <v>1566.7475857849493</v>
      </c>
      <c r="AT5" s="41">
        <v>973.24039584681952</v>
      </c>
      <c r="AU5" s="42">
        <v>1571.7597023851843</v>
      </c>
      <c r="AV5" s="41">
        <v>973.18931032388014</v>
      </c>
      <c r="AW5" s="42">
        <v>1576.6121810777101</v>
      </c>
    </row>
    <row r="6" spans="1:49" x14ac:dyDescent="0.2">
      <c r="A6" t="s">
        <v>77</v>
      </c>
      <c r="B6" s="41">
        <v>999.99999999999943</v>
      </c>
      <c r="C6" s="42">
        <v>999.99999999999909</v>
      </c>
      <c r="D6" s="41">
        <v>998.57922975248653</v>
      </c>
      <c r="E6" s="42">
        <v>1020.4243642842882</v>
      </c>
      <c r="F6" s="41">
        <v>997.12884204074305</v>
      </c>
      <c r="G6" s="42">
        <v>1042.7883711730294</v>
      </c>
      <c r="H6" s="41">
        <v>995.64524692267275</v>
      </c>
      <c r="I6" s="42">
        <v>1067.3483730316611</v>
      </c>
      <c r="J6" s="41">
        <v>994.12472595998076</v>
      </c>
      <c r="K6" s="42">
        <v>1094.4039118635751</v>
      </c>
      <c r="L6" s="41">
        <v>992.56363598822179</v>
      </c>
      <c r="M6" s="42">
        <v>1124.3061552705019</v>
      </c>
      <c r="N6" s="41">
        <v>990.95875620992479</v>
      </c>
      <c r="O6" s="42">
        <v>1157.4678310141867</v>
      </c>
      <c r="P6" s="41">
        <v>989.30777708531173</v>
      </c>
      <c r="Q6" s="42">
        <v>1194.3746621196335</v>
      </c>
      <c r="R6" s="41">
        <v>987.61007740477714</v>
      </c>
      <c r="S6" s="42">
        <v>1235.5976819655093</v>
      </c>
      <c r="T6" s="41">
        <v>985.86784931554223</v>
      </c>
      <c r="U6" s="42">
        <v>1281.8057200214187</v>
      </c>
      <c r="V6" s="41">
        <v>984.08765031269252</v>
      </c>
      <c r="W6" s="42">
        <v>1333.7741119538066</v>
      </c>
      <c r="X6" s="41">
        <v>982.28243728738107</v>
      </c>
      <c r="Y6" s="42">
        <v>1392.3845542011857</v>
      </c>
      <c r="Z6" s="41">
        <v>980.47398284096562</v>
      </c>
      <c r="AA6" s="42">
        <v>1458.6043499786899</v>
      </c>
      <c r="AB6" s="41">
        <v>978.69522676860436</v>
      </c>
      <c r="AC6" s="42">
        <v>1533.4264414096378</v>
      </c>
      <c r="AD6" s="41">
        <v>976.99156003096539</v>
      </c>
      <c r="AE6" s="42">
        <v>1617.7466968404544</v>
      </c>
      <c r="AF6" s="41">
        <v>975.4192751680373</v>
      </c>
      <c r="AG6" s="42">
        <v>1712.1570801146022</v>
      </c>
      <c r="AH6" s="41">
        <v>974.03917419639811</v>
      </c>
      <c r="AI6" s="42">
        <v>1816.6669230482207</v>
      </c>
      <c r="AJ6" s="41">
        <v>972.90483164982527</v>
      </c>
      <c r="AK6" s="42">
        <v>1930.4341813333299</v>
      </c>
      <c r="AL6" s="41">
        <v>972.04872607947163</v>
      </c>
      <c r="AM6" s="42">
        <v>2051.6628413477615</v>
      </c>
      <c r="AN6" s="41">
        <v>971.47317768381436</v>
      </c>
      <c r="AO6" s="42">
        <v>2177.8006707219288</v>
      </c>
      <c r="AP6" s="41">
        <v>971.38980788758136</v>
      </c>
      <c r="AQ6" s="42">
        <v>2203.3660038509443</v>
      </c>
      <c r="AR6" s="41">
        <v>971.31633123721588</v>
      </c>
      <c r="AS6" s="42">
        <v>2228.9905726587654</v>
      </c>
      <c r="AT6" s="41">
        <v>971.25239529509554</v>
      </c>
      <c r="AU6" s="42">
        <v>2254.6523791981645</v>
      </c>
      <c r="AV6" s="41">
        <v>971.19762688857725</v>
      </c>
      <c r="AW6" s="42">
        <v>2280.3301047506438</v>
      </c>
    </row>
    <row r="7" spans="1:49" x14ac:dyDescent="0.2">
      <c r="A7" t="s">
        <v>13</v>
      </c>
      <c r="B7" s="33">
        <v>1015.9116825427475</v>
      </c>
      <c r="C7" s="34">
        <v>1015.9116825427475</v>
      </c>
      <c r="D7" s="33">
        <v>1014.570729244911</v>
      </c>
      <c r="E7" s="34">
        <v>1014.570729244911</v>
      </c>
      <c r="F7" s="33">
        <v>1013.2015430406261</v>
      </c>
      <c r="G7" s="34">
        <v>1013.2015430406261</v>
      </c>
      <c r="H7" s="33">
        <v>1011.8007165079082</v>
      </c>
      <c r="I7" s="34">
        <v>1011.8007165079082</v>
      </c>
      <c r="J7" s="33">
        <v>1010.3647176004476</v>
      </c>
      <c r="K7" s="34">
        <v>1010.3647176004476</v>
      </c>
      <c r="L7" s="33">
        <v>1008.8900818359906</v>
      </c>
      <c r="M7" s="34">
        <v>1008.8900818359906</v>
      </c>
      <c r="N7" s="33">
        <v>1007.3737401128988</v>
      </c>
      <c r="O7" s="34">
        <v>1007.3737401128988</v>
      </c>
      <c r="P7" s="33">
        <v>1005.8134810847955</v>
      </c>
      <c r="Q7" s="34">
        <v>1005.8134810847955</v>
      </c>
      <c r="R7" s="33">
        <v>1004.2086867083117</v>
      </c>
      <c r="S7" s="34">
        <v>1004.2086867083117</v>
      </c>
      <c r="T7" s="33">
        <v>1002.5613977353717</v>
      </c>
      <c r="U7" s="34">
        <v>1002.5613977353717</v>
      </c>
      <c r="V7" s="33">
        <v>1000.8777852474934</v>
      </c>
      <c r="W7" s="34">
        <v>1000.8777852474934</v>
      </c>
      <c r="X7" s="33">
        <v>999.17008041752615</v>
      </c>
      <c r="Y7" s="34">
        <v>999.17008041752615</v>
      </c>
      <c r="Z7" s="33">
        <v>997.45886933597353</v>
      </c>
      <c r="AA7" s="34">
        <v>997.45886933597353</v>
      </c>
      <c r="AB7" s="33">
        <v>995.77533006151646</v>
      </c>
      <c r="AC7" s="34">
        <v>995.77533006151646</v>
      </c>
      <c r="AD7" s="33">
        <v>994.16246094673807</v>
      </c>
      <c r="AE7" s="34">
        <v>994.16246094673807</v>
      </c>
      <c r="AF7" s="33">
        <v>992.67362455946363</v>
      </c>
      <c r="AG7" s="34">
        <v>992.67362455946363</v>
      </c>
      <c r="AH7" s="33">
        <v>991.36649731483453</v>
      </c>
      <c r="AI7" s="34">
        <v>991.36649731483453</v>
      </c>
      <c r="AJ7" s="33">
        <v>990.2919415386649</v>
      </c>
      <c r="AK7" s="34">
        <v>990.2919415386649</v>
      </c>
      <c r="AL7" s="33">
        <v>989.48084302666166</v>
      </c>
      <c r="AM7" s="34">
        <v>989.48084302666166</v>
      </c>
      <c r="AN7" s="33">
        <v>988.9354966952734</v>
      </c>
      <c r="AO7" s="34">
        <v>988.9354966952734</v>
      </c>
      <c r="AP7" s="33">
        <v>988.8564980464655</v>
      </c>
      <c r="AQ7" s="34">
        <v>988.8564980464655</v>
      </c>
      <c r="AR7" s="33">
        <v>988.78687306027848</v>
      </c>
      <c r="AS7" s="34">
        <v>988.78687306027848</v>
      </c>
      <c r="AT7" s="33">
        <v>988.72628806331193</v>
      </c>
      <c r="AU7" s="34">
        <v>988.72628806331193</v>
      </c>
      <c r="AV7" s="33">
        <v>988.67438968374904</v>
      </c>
      <c r="AW7" s="34">
        <v>988.67438968374904</v>
      </c>
    </row>
    <row r="8" spans="1:49" x14ac:dyDescent="0.2">
      <c r="B8" s="35">
        <v>1005.7716594496609</v>
      </c>
      <c r="C8" s="36">
        <v>1005.7716594496609</v>
      </c>
      <c r="D8" s="35">
        <v>1064.0759818254128</v>
      </c>
      <c r="E8" s="36">
        <v>1064.0759818254128</v>
      </c>
      <c r="F8" s="35">
        <v>1128.4393268430683</v>
      </c>
      <c r="G8" s="36">
        <v>1128.4393268430683</v>
      </c>
      <c r="H8" s="35">
        <v>1199.7300739956672</v>
      </c>
      <c r="I8" s="36">
        <v>1199.7300739956672</v>
      </c>
      <c r="J8" s="35">
        <v>1278.9705401771389</v>
      </c>
      <c r="K8" s="36">
        <v>1278.9705401771389</v>
      </c>
      <c r="L8" s="35">
        <v>1367.3677727258257</v>
      </c>
      <c r="M8" s="36">
        <v>1367.3677727258257</v>
      </c>
      <c r="N8" s="35">
        <v>1466.3501652501941</v>
      </c>
      <c r="O8" s="36">
        <v>1466.3501652501941</v>
      </c>
      <c r="P8" s="35">
        <v>1577.6100271577384</v>
      </c>
      <c r="Q8" s="36">
        <v>1577.6100271577384</v>
      </c>
      <c r="R8" s="35">
        <v>1703.1509539677754</v>
      </c>
      <c r="S8" s="36">
        <v>1703.1509539677754</v>
      </c>
      <c r="T8" s="35">
        <v>1845.3348335586727</v>
      </c>
      <c r="U8" s="36">
        <v>1845.3348335586727</v>
      </c>
      <c r="V8" s="35">
        <v>2006.9209881179756</v>
      </c>
      <c r="W8" s="36">
        <v>2006.9209881179756</v>
      </c>
      <c r="X8" s="35">
        <v>2191.0743096430933</v>
      </c>
      <c r="Y8" s="36">
        <v>2191.0743096430933</v>
      </c>
      <c r="Z8" s="35">
        <v>2401.3058177784578</v>
      </c>
      <c r="AA8" s="36">
        <v>2401.3058177784578</v>
      </c>
      <c r="AB8" s="35">
        <v>2641.2809092980028</v>
      </c>
      <c r="AC8" s="36">
        <v>2641.2809092980028</v>
      </c>
      <c r="AD8" s="35">
        <v>2914.4081443756227</v>
      </c>
      <c r="AE8" s="36">
        <v>2914.4081443756227</v>
      </c>
      <c r="AF8" s="35">
        <v>3223.1308704915491</v>
      </c>
      <c r="AG8" s="36">
        <v>3223.1308704915491</v>
      </c>
      <c r="AH8" s="35">
        <v>3567.9500121849719</v>
      </c>
      <c r="AI8" s="36">
        <v>3567.9500121849719</v>
      </c>
      <c r="AJ8" s="35">
        <v>3946.4464440868128</v>
      </c>
      <c r="AK8" s="36">
        <v>3946.4464440868128</v>
      </c>
      <c r="AL8" s="35">
        <v>4352.8446966333322</v>
      </c>
      <c r="AM8" s="36">
        <v>4352.8446966333322</v>
      </c>
      <c r="AN8" s="35">
        <v>4778.6068150699257</v>
      </c>
      <c r="AO8" s="36">
        <v>4778.6068150699257</v>
      </c>
      <c r="AP8" s="35">
        <v>4865.2250491349514</v>
      </c>
      <c r="AQ8" s="36">
        <v>4865.2250491349514</v>
      </c>
      <c r="AR8" s="35">
        <v>4952.1474191646248</v>
      </c>
      <c r="AS8" s="36">
        <v>4952.1474191646248</v>
      </c>
      <c r="AT8" s="35">
        <v>5039.2972313566579</v>
      </c>
      <c r="AU8" s="36">
        <v>5039.2972313566579</v>
      </c>
      <c r="AV8" s="35">
        <v>5126.5998538291333</v>
      </c>
      <c r="AW8" s="36">
        <v>5126.5998538291333</v>
      </c>
    </row>
    <row r="9" spans="1:49" x14ac:dyDescent="0.2">
      <c r="A9" t="s">
        <v>14</v>
      </c>
      <c r="B9" s="41">
        <v>1015.9116825427475</v>
      </c>
      <c r="C9" s="42">
        <v>1005.7716594496609</v>
      </c>
      <c r="D9" s="41">
        <v>1014.570729244911</v>
      </c>
      <c r="E9" s="42">
        <v>1064.0759818254128</v>
      </c>
      <c r="F9" s="41">
        <v>1013.2015430406261</v>
      </c>
      <c r="G9" s="42">
        <v>1128.4393268430683</v>
      </c>
      <c r="H9" s="41">
        <v>1011.8007165079082</v>
      </c>
      <c r="I9" s="42">
        <v>1199.7300739956672</v>
      </c>
      <c r="J9" s="41">
        <v>1010.3647176004476</v>
      </c>
      <c r="K9" s="42">
        <v>1278.9705401771389</v>
      </c>
      <c r="L9" s="41">
        <v>1008.8900818359906</v>
      </c>
      <c r="M9" s="42">
        <v>1367.3677727258257</v>
      </c>
      <c r="N9" s="41">
        <v>1007.3737401128988</v>
      </c>
      <c r="O9" s="42">
        <v>1466.3501652501941</v>
      </c>
      <c r="P9" s="41">
        <v>1005.8134810847955</v>
      </c>
      <c r="Q9" s="42">
        <v>1577.6100271577384</v>
      </c>
      <c r="R9" s="41">
        <v>1004.2086867083117</v>
      </c>
      <c r="S9" s="42">
        <v>1703.1509539677754</v>
      </c>
      <c r="T9" s="41">
        <v>1002.5613977353717</v>
      </c>
      <c r="U9" s="42">
        <v>1845.3348335586727</v>
      </c>
      <c r="V9" s="41">
        <v>1000.8777852474934</v>
      </c>
      <c r="W9" s="42">
        <v>2006.9209881179756</v>
      </c>
      <c r="X9" s="41">
        <v>999.17008041752615</v>
      </c>
      <c r="Y9" s="42">
        <v>2191.0743096430933</v>
      </c>
      <c r="Z9" s="41">
        <v>997.45886933597353</v>
      </c>
      <c r="AA9" s="42">
        <v>2401.3058177784578</v>
      </c>
      <c r="AB9" s="41">
        <v>995.77533006151646</v>
      </c>
      <c r="AC9" s="42">
        <v>2641.2809092980028</v>
      </c>
      <c r="AD9" s="41">
        <v>994.16246094673807</v>
      </c>
      <c r="AE9" s="42">
        <v>2914.4081443756227</v>
      </c>
      <c r="AF9" s="41">
        <v>992.67362455946363</v>
      </c>
      <c r="AG9" s="42">
        <v>3223.1308704915491</v>
      </c>
      <c r="AH9" s="41">
        <v>991.36649731483453</v>
      </c>
      <c r="AI9" s="42">
        <v>3567.9500121849719</v>
      </c>
      <c r="AJ9" s="41">
        <v>990.2919415386649</v>
      </c>
      <c r="AK9" s="42">
        <v>3946.4464440868128</v>
      </c>
      <c r="AL9" s="41">
        <v>989.48084302666166</v>
      </c>
      <c r="AM9" s="42">
        <v>4352.8446966333322</v>
      </c>
      <c r="AN9" s="41">
        <v>988.9354966952734</v>
      </c>
      <c r="AO9" s="42">
        <v>4778.6068150699257</v>
      </c>
      <c r="AP9" s="41">
        <v>988.8564980464655</v>
      </c>
      <c r="AQ9" s="42">
        <v>4865.2250491349514</v>
      </c>
      <c r="AR9" s="41">
        <v>988.78687306027848</v>
      </c>
      <c r="AS9" s="42">
        <v>4952.1474191646248</v>
      </c>
      <c r="AT9" s="41">
        <v>988.72628806331193</v>
      </c>
      <c r="AU9" s="42">
        <v>5039.2972313566579</v>
      </c>
      <c r="AV9" s="41">
        <v>988.67438968374904</v>
      </c>
      <c r="AW9" s="42">
        <v>5126.5998538291333</v>
      </c>
    </row>
    <row r="10" spans="1:49" x14ac:dyDescent="0.2">
      <c r="A10" t="s">
        <v>15</v>
      </c>
      <c r="B10" s="41">
        <v>1015.9116825427475</v>
      </c>
      <c r="C10" s="42">
        <v>1005.7716594496609</v>
      </c>
      <c r="D10" s="41">
        <v>1014.570729244911</v>
      </c>
      <c r="E10" s="42">
        <v>1064.0759818254128</v>
      </c>
      <c r="F10" s="41">
        <v>1013.2015430406261</v>
      </c>
      <c r="G10" s="42">
        <v>1128.4393268430683</v>
      </c>
      <c r="H10" s="41">
        <v>1011.8007165079082</v>
      </c>
      <c r="I10" s="42">
        <v>1199.7300739956672</v>
      </c>
      <c r="J10" s="41">
        <v>1010.3647176004476</v>
      </c>
      <c r="K10" s="42">
        <v>1278.9705401771389</v>
      </c>
      <c r="L10" s="41">
        <v>1008.8900818359906</v>
      </c>
      <c r="M10" s="42">
        <v>1367.3677727258257</v>
      </c>
      <c r="N10" s="41">
        <v>1007.3737401128988</v>
      </c>
      <c r="O10" s="42">
        <v>1466.3501652501941</v>
      </c>
      <c r="P10" s="41">
        <v>1005.8134810847955</v>
      </c>
      <c r="Q10" s="42">
        <v>1577.6100271577384</v>
      </c>
      <c r="R10" s="41">
        <v>1004.2086867083117</v>
      </c>
      <c r="S10" s="42">
        <v>1703.1509539677754</v>
      </c>
      <c r="T10" s="41">
        <v>1002.5613977353717</v>
      </c>
      <c r="U10" s="42">
        <v>1845.3348335586727</v>
      </c>
      <c r="V10" s="41">
        <v>1000.8777852474934</v>
      </c>
      <c r="W10" s="42">
        <v>2006.9209881179756</v>
      </c>
      <c r="X10" s="41">
        <v>999.17008041752615</v>
      </c>
      <c r="Y10" s="42">
        <v>2191.0743096430933</v>
      </c>
      <c r="Z10" s="41">
        <v>997.45886933597353</v>
      </c>
      <c r="AA10" s="42">
        <v>2401.3058177784578</v>
      </c>
      <c r="AB10" s="41">
        <v>995.77533006151646</v>
      </c>
      <c r="AC10" s="42">
        <v>2641.2809092980028</v>
      </c>
      <c r="AD10" s="41">
        <v>994.16246094673807</v>
      </c>
      <c r="AE10" s="42">
        <v>2914.4081443756227</v>
      </c>
      <c r="AF10" s="41">
        <v>992.67362455946363</v>
      </c>
      <c r="AG10" s="42">
        <v>3223.1308704915491</v>
      </c>
      <c r="AH10" s="41">
        <v>991.36649731483453</v>
      </c>
      <c r="AI10" s="42">
        <v>3567.9500121849719</v>
      </c>
      <c r="AJ10" s="41">
        <v>990.2919415386649</v>
      </c>
      <c r="AK10" s="42">
        <v>3946.4464440868128</v>
      </c>
      <c r="AL10" s="41">
        <v>989.48084302666166</v>
      </c>
      <c r="AM10" s="42">
        <v>4352.8446966333322</v>
      </c>
      <c r="AN10" s="41">
        <v>988.9354966952734</v>
      </c>
      <c r="AO10" s="42">
        <v>4778.6068150699257</v>
      </c>
      <c r="AP10" s="41">
        <v>988.8564980464655</v>
      </c>
      <c r="AQ10" s="42">
        <v>4865.2250491349514</v>
      </c>
      <c r="AR10" s="41">
        <v>988.78687306027848</v>
      </c>
      <c r="AS10" s="42">
        <v>4952.1474191646248</v>
      </c>
      <c r="AT10" s="41">
        <v>988.72628806331193</v>
      </c>
      <c r="AU10" s="42">
        <v>5039.2972313566579</v>
      </c>
      <c r="AV10" s="41">
        <v>988.67438968374904</v>
      </c>
      <c r="AW10" s="42">
        <v>5126.5998538291333</v>
      </c>
    </row>
    <row r="11" spans="1:49" x14ac:dyDescent="0.2">
      <c r="A11" t="s">
        <v>29</v>
      </c>
      <c r="B11" s="41">
        <v>1015.9116825427475</v>
      </c>
      <c r="C11" s="42">
        <v>1005.7716594496609</v>
      </c>
      <c r="D11" s="41">
        <v>1014.570729244911</v>
      </c>
      <c r="E11" s="42">
        <v>1064.0759818254128</v>
      </c>
      <c r="F11" s="41">
        <v>1013.2015430406261</v>
      </c>
      <c r="G11" s="42">
        <v>1128.4393268430683</v>
      </c>
      <c r="H11" s="41">
        <v>1011.8007165079082</v>
      </c>
      <c r="I11" s="42">
        <v>1199.7300739956672</v>
      </c>
      <c r="J11" s="41">
        <v>1010.3647176004476</v>
      </c>
      <c r="K11" s="42">
        <v>1278.9705401771389</v>
      </c>
      <c r="L11" s="41">
        <v>1008.8900818359906</v>
      </c>
      <c r="M11" s="42">
        <v>1367.3677727258257</v>
      </c>
      <c r="N11" s="41">
        <v>1007.3737401128988</v>
      </c>
      <c r="O11" s="42">
        <v>1466.3501652501941</v>
      </c>
      <c r="P11" s="41">
        <v>1005.8134810847955</v>
      </c>
      <c r="Q11" s="42">
        <v>1577.6100271577384</v>
      </c>
      <c r="R11" s="41">
        <v>1004.2086867083117</v>
      </c>
      <c r="S11" s="42">
        <v>1703.1509539677754</v>
      </c>
      <c r="T11" s="41">
        <v>1002.5613977353717</v>
      </c>
      <c r="U11" s="42">
        <v>1845.3348335586727</v>
      </c>
      <c r="V11" s="41">
        <v>1000.8777852474934</v>
      </c>
      <c r="W11" s="42">
        <v>2006.9209881179756</v>
      </c>
      <c r="X11" s="41">
        <v>999.17008041752615</v>
      </c>
      <c r="Y11" s="42">
        <v>2191.0743096430933</v>
      </c>
      <c r="Z11" s="41">
        <v>997.45886933597353</v>
      </c>
      <c r="AA11" s="42">
        <v>2401.3058177784578</v>
      </c>
      <c r="AB11" s="41">
        <v>995.77533006151646</v>
      </c>
      <c r="AC11" s="42">
        <v>2641.2809092980028</v>
      </c>
      <c r="AD11" s="41">
        <v>994.16246094673807</v>
      </c>
      <c r="AE11" s="42">
        <v>2914.4081443756227</v>
      </c>
      <c r="AF11" s="41">
        <v>992.67362455946363</v>
      </c>
      <c r="AG11" s="42">
        <v>3223.1308704915491</v>
      </c>
      <c r="AH11" s="41">
        <v>991.36649731483453</v>
      </c>
      <c r="AI11" s="42">
        <v>3567.9500121849719</v>
      </c>
      <c r="AJ11" s="41">
        <v>990.2919415386649</v>
      </c>
      <c r="AK11" s="42">
        <v>3946.4464440868128</v>
      </c>
      <c r="AL11" s="41">
        <v>989.48084302666166</v>
      </c>
      <c r="AM11" s="42">
        <v>4352.8446966333322</v>
      </c>
      <c r="AN11" s="41">
        <v>988.9354966952734</v>
      </c>
      <c r="AO11" s="42">
        <v>4778.6068150699257</v>
      </c>
      <c r="AP11" s="41">
        <v>988.8564980464655</v>
      </c>
      <c r="AQ11" s="42">
        <v>4865.2250491349514</v>
      </c>
      <c r="AR11" s="41">
        <v>988.78687306027848</v>
      </c>
      <c r="AS11" s="42">
        <v>4952.1474191646248</v>
      </c>
      <c r="AT11" s="41">
        <v>988.72628806331193</v>
      </c>
      <c r="AU11" s="42">
        <v>5039.2972313566579</v>
      </c>
      <c r="AV11" s="41">
        <v>988.67438968374904</v>
      </c>
      <c r="AW11" s="42">
        <v>5126.5998538291333</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996.73364074947165</v>
      </c>
      <c r="E13" s="98">
        <v>996.73364074947165</v>
      </c>
      <c r="F13" s="97">
        <v>993.29078256232572</v>
      </c>
      <c r="G13" s="98">
        <v>993.29078256232572</v>
      </c>
      <c r="H13" s="97">
        <v>989.65856746190525</v>
      </c>
      <c r="I13" s="98">
        <v>989.65856746190525</v>
      </c>
      <c r="J13" s="97">
        <v>985.82370773926846</v>
      </c>
      <c r="K13" s="98">
        <v>985.82370773926846</v>
      </c>
      <c r="L13" s="97">
        <v>981.77283920475611</v>
      </c>
      <c r="M13" s="98">
        <v>981.77283920475611</v>
      </c>
      <c r="N13" s="97">
        <v>977.4931018866655</v>
      </c>
      <c r="O13" s="98">
        <v>977.4931018866655</v>
      </c>
      <c r="P13" s="97">
        <v>972.97291192544753</v>
      </c>
      <c r="Q13" s="98">
        <v>972.97291192544753</v>
      </c>
      <c r="R13" s="97">
        <v>968.20317602385728</v>
      </c>
      <c r="S13" s="98">
        <v>968.20317602385728</v>
      </c>
      <c r="T13" s="97">
        <v>963.17915221968997</v>
      </c>
      <c r="U13" s="98">
        <v>963.17915221968997</v>
      </c>
      <c r="V13" s="97">
        <v>957.90292256074315</v>
      </c>
      <c r="W13" s="98">
        <v>957.90292256074315</v>
      </c>
      <c r="X13" s="97">
        <v>952.38690981524871</v>
      </c>
      <c r="Y13" s="98">
        <v>952.38690981524871</v>
      </c>
      <c r="Z13" s="97">
        <v>946.65838805061026</v>
      </c>
      <c r="AA13" s="98">
        <v>946.65838805061026</v>
      </c>
      <c r="AB13" s="97">
        <v>940.76476419670087</v>
      </c>
      <c r="AC13" s="98">
        <v>940.76476419670087</v>
      </c>
      <c r="AD13" s="97">
        <v>934.77849568162276</v>
      </c>
      <c r="AE13" s="98">
        <v>934.77849568162276</v>
      </c>
      <c r="AF13" s="97">
        <v>928.79926307082872</v>
      </c>
      <c r="AG13" s="98">
        <v>928.79926307082872</v>
      </c>
      <c r="AH13" s="97">
        <v>922.94960531482025</v>
      </c>
      <c r="AI13" s="98">
        <v>922.94960531482025</v>
      </c>
      <c r="AJ13" s="97">
        <v>917.36084525517515</v>
      </c>
      <c r="AK13" s="98">
        <v>917.36084525517515</v>
      </c>
      <c r="AL13" s="97">
        <v>912.15045316209239</v>
      </c>
      <c r="AM13" s="98">
        <v>912.15045316209239</v>
      </c>
      <c r="AN13" s="97">
        <v>907.39929781553769</v>
      </c>
      <c r="AO13" s="98">
        <v>907.39929781553769</v>
      </c>
      <c r="AP13" s="97">
        <v>906.50789543378255</v>
      </c>
      <c r="AQ13" s="98">
        <v>906.50789543378255</v>
      </c>
      <c r="AR13" s="97">
        <v>905.63633749454675</v>
      </c>
      <c r="AS13" s="98">
        <v>905.63633749454675</v>
      </c>
      <c r="AT13" s="97">
        <v>904.78457972314663</v>
      </c>
      <c r="AU13" s="98">
        <v>904.78457972314663</v>
      </c>
      <c r="AV13" s="97">
        <v>903.95251381387061</v>
      </c>
      <c r="AW13" s="98">
        <v>903.95251381387061</v>
      </c>
    </row>
    <row r="14" spans="1:49" x14ac:dyDescent="0.2">
      <c r="A14" t="s">
        <v>36</v>
      </c>
      <c r="B14" s="41">
        <v>1457.0034251455234</v>
      </c>
      <c r="C14" s="42">
        <v>1457.0034251455236</v>
      </c>
      <c r="D14" s="41">
        <v>1452.2443285297477</v>
      </c>
      <c r="E14" s="42">
        <v>1452.2443285297479</v>
      </c>
      <c r="F14" s="41">
        <v>1447.2280723587858</v>
      </c>
      <c r="G14" s="42">
        <v>1447.228072358786</v>
      </c>
      <c r="H14" s="41">
        <v>1441.9359225166079</v>
      </c>
      <c r="I14" s="42">
        <v>1441.9359225166081</v>
      </c>
      <c r="J14" s="41">
        <v>1436.3485187657734</v>
      </c>
      <c r="K14" s="42">
        <v>1436.3485187657736</v>
      </c>
      <c r="L14" s="41">
        <v>1430.4463894361747</v>
      </c>
      <c r="M14" s="42">
        <v>1430.446389436175</v>
      </c>
      <c r="N14" s="41">
        <v>1424.2107975049937</v>
      </c>
      <c r="O14" s="42">
        <v>1424.2107975049937</v>
      </c>
      <c r="P14" s="41">
        <v>1417.6248652491906</v>
      </c>
      <c r="Q14" s="42">
        <v>1417.6248652491909</v>
      </c>
      <c r="R14" s="41">
        <v>1410.6753437035341</v>
      </c>
      <c r="S14" s="42">
        <v>1410.6753437035343</v>
      </c>
      <c r="T14" s="41">
        <v>1403.3553238128495</v>
      </c>
      <c r="U14" s="42">
        <v>1403.3553238128497</v>
      </c>
      <c r="V14" s="41">
        <v>1395.6678391279097</v>
      </c>
      <c r="W14" s="42">
        <v>1395.6678391279099</v>
      </c>
      <c r="X14" s="41">
        <v>1387.630989664578</v>
      </c>
      <c r="Y14" s="42">
        <v>1387.6309896645782</v>
      </c>
      <c r="Z14" s="41">
        <v>1379.284513832479</v>
      </c>
      <c r="AA14" s="42">
        <v>1379.2845138324792</v>
      </c>
      <c r="AB14" s="41">
        <v>1370.6974836908137</v>
      </c>
      <c r="AC14" s="42">
        <v>1370.6974836908139</v>
      </c>
      <c r="AD14" s="41">
        <v>1361.9754699605041</v>
      </c>
      <c r="AE14" s="42">
        <v>1361.9754699605044</v>
      </c>
      <c r="AF14" s="41">
        <v>1353.2637075668354</v>
      </c>
      <c r="AG14" s="42">
        <v>1353.2637075668356</v>
      </c>
      <c r="AH14" s="41">
        <v>1344.7407361804019</v>
      </c>
      <c r="AI14" s="42">
        <v>1344.7407361804021</v>
      </c>
      <c r="AJ14" s="41">
        <v>1336.5978936311826</v>
      </c>
      <c r="AK14" s="42">
        <v>1336.5978936311828</v>
      </c>
      <c r="AL14" s="41">
        <v>1329.0063345052099</v>
      </c>
      <c r="AM14" s="42">
        <v>1329.0063345052099</v>
      </c>
      <c r="AN14" s="41">
        <v>1322.0838848918811</v>
      </c>
      <c r="AO14" s="42">
        <v>1322.0838848918813</v>
      </c>
      <c r="AP14" s="41">
        <v>1320.7851085684811</v>
      </c>
      <c r="AQ14" s="42">
        <v>1320.7851085684813</v>
      </c>
      <c r="AR14" s="41">
        <v>1319.5152456658018</v>
      </c>
      <c r="AS14" s="42">
        <v>1319.515245665802</v>
      </c>
      <c r="AT14" s="41">
        <v>1318.2742316754775</v>
      </c>
      <c r="AU14" s="42">
        <v>1318.2742316754777</v>
      </c>
      <c r="AV14" s="41">
        <v>1317.0619087957155</v>
      </c>
      <c r="AW14" s="42">
        <v>1317.0619087957157</v>
      </c>
    </row>
    <row r="15" spans="1:49" x14ac:dyDescent="0.2">
      <c r="A15" t="s">
        <v>18</v>
      </c>
      <c r="B15" s="154">
        <v>1000</v>
      </c>
      <c r="C15" s="155">
        <v>1000</v>
      </c>
      <c r="D15" s="154">
        <v>995.72131815122441</v>
      </c>
      <c r="E15" s="155">
        <v>995.72131815122441</v>
      </c>
      <c r="F15" s="154">
        <v>991.21861420966195</v>
      </c>
      <c r="G15" s="155">
        <v>991.21861420966195</v>
      </c>
      <c r="H15" s="154">
        <v>986.46162679112103</v>
      </c>
      <c r="I15" s="155">
        <v>986.46162679112103</v>
      </c>
      <c r="J15" s="154">
        <v>981.41557005170091</v>
      </c>
      <c r="K15" s="155">
        <v>981.41557005170091</v>
      </c>
      <c r="L15" s="154">
        <v>976.0405364934004</v>
      </c>
      <c r="M15" s="155">
        <v>976.0405364934004</v>
      </c>
      <c r="N15" s="154">
        <v>970.29093120176628</v>
      </c>
      <c r="O15" s="155">
        <v>970.29093120176628</v>
      </c>
      <c r="P15" s="154">
        <v>964.11499754310807</v>
      </c>
      <c r="Q15" s="155">
        <v>964.11499754310807</v>
      </c>
      <c r="R15" s="154">
        <v>957.45463038610126</v>
      </c>
      <c r="S15" s="155">
        <v>957.45463038610126</v>
      </c>
      <c r="T15" s="154">
        <v>950.24574619470843</v>
      </c>
      <c r="U15" s="155">
        <v>950.24574619470843</v>
      </c>
      <c r="V15" s="154">
        <v>942.41971277413916</v>
      </c>
      <c r="W15" s="155">
        <v>942.41971277413916</v>
      </c>
      <c r="X15" s="154">
        <v>933.90661850117613</v>
      </c>
      <c r="Y15" s="155">
        <v>933.90661850117613</v>
      </c>
      <c r="Z15" s="154">
        <v>924.64156255767443</v>
      </c>
      <c r="AA15" s="155">
        <v>924.64156255767443</v>
      </c>
      <c r="AB15" s="154">
        <v>914.57544748446071</v>
      </c>
      <c r="AC15" s="155">
        <v>914.57544748446071</v>
      </c>
      <c r="AD15" s="154">
        <v>903.69149715430228</v>
      </c>
      <c r="AE15" s="155">
        <v>903.69149715430228</v>
      </c>
      <c r="AF15" s="154">
        <v>892.02690867350009</v>
      </c>
      <c r="AG15" s="155">
        <v>892.02690867350009</v>
      </c>
      <c r="AH15" s="154">
        <v>879.69453986759015</v>
      </c>
      <c r="AI15" s="155">
        <v>879.69453986759015</v>
      </c>
      <c r="AJ15" s="154">
        <v>866.89341421261327</v>
      </c>
      <c r="AK15" s="155">
        <v>866.89341421261327</v>
      </c>
      <c r="AL15" s="154">
        <v>853.89446660432657</v>
      </c>
      <c r="AM15" s="155">
        <v>853.89446660432657</v>
      </c>
      <c r="AN15" s="154">
        <v>840.99799913645609</v>
      </c>
      <c r="AO15" s="155">
        <v>840.99799913645609</v>
      </c>
      <c r="AP15" s="154">
        <v>838.45617169639604</v>
      </c>
      <c r="AQ15" s="155">
        <v>838.45617169639604</v>
      </c>
      <c r="AR15" s="154">
        <v>835.93157023801655</v>
      </c>
      <c r="AS15" s="155">
        <v>835.93157023801655</v>
      </c>
      <c r="AT15" s="154">
        <v>833.42598800686926</v>
      </c>
      <c r="AU15" s="155">
        <v>833.42598800686926</v>
      </c>
      <c r="AV15" s="154">
        <v>830.94108644533117</v>
      </c>
      <c r="AW15" s="155">
        <v>830.94108644533117</v>
      </c>
    </row>
    <row r="16" spans="1:49" s="29" customFormat="1" x14ac:dyDescent="0.2">
      <c r="A16" t="s">
        <v>61</v>
      </c>
      <c r="B16" s="41">
        <v>1000</v>
      </c>
      <c r="C16" s="42">
        <v>1000</v>
      </c>
      <c r="D16" s="41">
        <v>996.26100716044198</v>
      </c>
      <c r="E16" s="42">
        <v>996.01024556336415</v>
      </c>
      <c r="F16" s="41">
        <v>992.32324486053119</v>
      </c>
      <c r="G16" s="42">
        <v>991.80999867886021</v>
      </c>
      <c r="H16" s="41">
        <v>988.16571367734639</v>
      </c>
      <c r="I16" s="42">
        <v>987.37395844275898</v>
      </c>
      <c r="J16" s="41">
        <v>983.76506439170157</v>
      </c>
      <c r="K16" s="42">
        <v>982.67346477509727</v>
      </c>
      <c r="L16" s="41">
        <v>979.09550378407152</v>
      </c>
      <c r="M16" s="42">
        <v>977.67617095593016</v>
      </c>
      <c r="N16" s="41">
        <v>974.12883444118302</v>
      </c>
      <c r="O16" s="42">
        <v>972.34580274760788</v>
      </c>
      <c r="P16" s="41">
        <v>968.83463706976136</v>
      </c>
      <c r="Q16" s="42">
        <v>966.64203677689204</v>
      </c>
      <c r="R16" s="41">
        <v>963.18081898839523</v>
      </c>
      <c r="S16" s="42">
        <v>960.52070796622706</v>
      </c>
      <c r="T16" s="41">
        <v>957.13476194018824</v>
      </c>
      <c r="U16" s="42">
        <v>953.93459985664367</v>
      </c>
      <c r="V16" s="41">
        <v>950.66528379219847</v>
      </c>
      <c r="W16" s="42">
        <v>946.83516035491652</v>
      </c>
      <c r="X16" s="41">
        <v>943.74600697175458</v>
      </c>
      <c r="Y16" s="42">
        <v>939.17582899483989</v>
      </c>
      <c r="Z16" s="41">
        <v>936.36065830487212</v>
      </c>
      <c r="AA16" s="42">
        <v>930.91780188458904</v>
      </c>
      <c r="AB16" s="41">
        <v>928.51087777362591</v>
      </c>
      <c r="AC16" s="42">
        <v>922.03923241220116</v>
      </c>
      <c r="AD16" s="41">
        <v>920.22651785885535</v>
      </c>
      <c r="AE16" s="42">
        <v>912.54842404148519</v>
      </c>
      <c r="AF16" s="41">
        <v>911.57691948434899</v>
      </c>
      <c r="AG16" s="42">
        <v>902.49992591057367</v>
      </c>
      <c r="AH16" s="41">
        <v>902.6788094840017</v>
      </c>
      <c r="AI16" s="42">
        <v>892.00882498748445</v>
      </c>
      <c r="AJ16" s="41">
        <v>893.69392460771371</v>
      </c>
      <c r="AK16" s="42">
        <v>881.25432714271017</v>
      </c>
      <c r="AL16" s="41">
        <v>884.81060082756005</v>
      </c>
      <c r="AM16" s="42">
        <v>870.46323911125774</v>
      </c>
      <c r="AN16" s="41">
        <v>876.21205059463887</v>
      </c>
      <c r="AO16" s="42">
        <v>859.87318517595122</v>
      </c>
      <c r="AP16" s="41">
        <v>874.54029189386665</v>
      </c>
      <c r="AQ16" s="42">
        <v>857.79836321457185</v>
      </c>
      <c r="AR16" s="41">
        <v>872.88687124511762</v>
      </c>
      <c r="AS16" s="42">
        <v>855.74139681661029</v>
      </c>
      <c r="AT16" s="41">
        <v>871.25261154039219</v>
      </c>
      <c r="AU16" s="42">
        <v>853.7035585593087</v>
      </c>
      <c r="AV16" s="41">
        <v>869.63824074667093</v>
      </c>
      <c r="AW16" s="42">
        <v>851.68600887029027</v>
      </c>
    </row>
    <row r="17" spans="1:49" x14ac:dyDescent="0.2">
      <c r="A17" t="s">
        <v>62</v>
      </c>
      <c r="B17" s="35">
        <v>1000.0000000000002</v>
      </c>
      <c r="C17" s="36">
        <v>999.99999999999977</v>
      </c>
      <c r="D17" s="35">
        <v>998.80036477828742</v>
      </c>
      <c r="E17" s="36">
        <v>1028.8650403182364</v>
      </c>
      <c r="F17" s="35">
        <v>997.57679808263072</v>
      </c>
      <c r="G17" s="36">
        <v>1060.5710835825312</v>
      </c>
      <c r="H17" s="35">
        <v>996.32634988011966</v>
      </c>
      <c r="I17" s="36">
        <v>1095.5070739185758</v>
      </c>
      <c r="J17" s="35">
        <v>995.04597203834408</v>
      </c>
      <c r="K17" s="36">
        <v>1134.1288082369399</v>
      </c>
      <c r="L17" s="35">
        <v>993.73269141569904</v>
      </c>
      <c r="M17" s="36">
        <v>1176.9720036905439</v>
      </c>
      <c r="N17" s="35">
        <v>992.38391072314744</v>
      </c>
      <c r="O17" s="36">
        <v>1224.667770390078</v>
      </c>
      <c r="P17" s="35">
        <v>990.99780986558551</v>
      </c>
      <c r="Q17" s="36">
        <v>1277.9604629920532</v>
      </c>
      <c r="R17" s="35">
        <v>989.57399207717992</v>
      </c>
      <c r="S17" s="36">
        <v>1337.7273511488663</v>
      </c>
      <c r="T17" s="35">
        <v>988.11442858542478</v>
      </c>
      <c r="U17" s="36">
        <v>1404.9976596984764</v>
      </c>
      <c r="V17" s="35">
        <v>986.62473698420638</v>
      </c>
      <c r="W17" s="36">
        <v>1480.9676408268356</v>
      </c>
      <c r="X17" s="35">
        <v>985.11585810634415</v>
      </c>
      <c r="Y17" s="36">
        <v>1567.0011990896885</v>
      </c>
      <c r="Z17" s="35">
        <v>983.60603761706477</v>
      </c>
      <c r="AA17" s="36">
        <v>1664.5999663226362</v>
      </c>
      <c r="AB17" s="35">
        <v>982.12274934535446</v>
      </c>
      <c r="AC17" s="36">
        <v>1775.3144581732411</v>
      </c>
      <c r="AD17" s="35">
        <v>980.70370064928431</v>
      </c>
      <c r="AE17" s="36">
        <v>1900.5588215917098</v>
      </c>
      <c r="AF17" s="35">
        <v>979.3954992924281</v>
      </c>
      <c r="AG17" s="36">
        <v>2041.297127098758</v>
      </c>
      <c r="AH17" s="35">
        <v>978.24832759862136</v>
      </c>
      <c r="AI17" s="36">
        <v>2197.6173779442938</v>
      </c>
      <c r="AJ17" s="35">
        <v>977.3062260253231</v>
      </c>
      <c r="AK17" s="36">
        <v>2368.3151549486233</v>
      </c>
      <c r="AL17" s="35">
        <v>976.59568111607905</v>
      </c>
      <c r="AM17" s="36">
        <v>2550.7252851739067</v>
      </c>
      <c r="AN17" s="35">
        <v>976.11822095593004</v>
      </c>
      <c r="AO17" s="36">
        <v>2741.0087776643259</v>
      </c>
      <c r="AP17" s="35">
        <v>976.04907479173221</v>
      </c>
      <c r="AQ17" s="36">
        <v>2779.6295489860363</v>
      </c>
      <c r="AR17" s="35">
        <v>975.98813715669064</v>
      </c>
      <c r="AS17" s="36">
        <v>2818.3571493595637</v>
      </c>
      <c r="AT17" s="35">
        <v>975.93511454052214</v>
      </c>
      <c r="AU17" s="36">
        <v>2857.1579988482772</v>
      </c>
      <c r="AV17" s="35">
        <v>975.88969646220164</v>
      </c>
      <c r="AW17" s="36">
        <v>2895.9995050152565</v>
      </c>
    </row>
    <row r="18" spans="1:49" x14ac:dyDescent="0.2">
      <c r="A18" t="s">
        <v>19</v>
      </c>
      <c r="B18" s="33">
        <v>27857.010133999996</v>
      </c>
      <c r="C18" s="34">
        <v>1236.7674480000003</v>
      </c>
      <c r="D18" s="33">
        <v>27671.716771714851</v>
      </c>
      <c r="E18" s="34">
        <v>1153.5556533432391</v>
      </c>
      <c r="F18" s="33">
        <v>27461.050788224442</v>
      </c>
      <c r="G18" s="34">
        <v>1070.8070458475743</v>
      </c>
      <c r="H18" s="33">
        <v>27220.567739820501</v>
      </c>
      <c r="I18" s="34">
        <v>988.61011634675685</v>
      </c>
      <c r="J18" s="33">
        <v>26944.790987629218</v>
      </c>
      <c r="K18" s="34">
        <v>907.07579894137405</v>
      </c>
      <c r="L18" s="33">
        <v>26626.911632844276</v>
      </c>
      <c r="M18" s="34">
        <v>826.34460799328303</v>
      </c>
      <c r="N18" s="33">
        <v>26258.380014338276</v>
      </c>
      <c r="O18" s="34">
        <v>746.59865728439559</v>
      </c>
      <c r="P18" s="33">
        <v>25828.382906116211</v>
      </c>
      <c r="Q18" s="34">
        <v>668.07073451942063</v>
      </c>
      <c r="R18" s="33">
        <v>25323.130600193253</v>
      </c>
      <c r="S18" s="34">
        <v>591.06042375798825</v>
      </c>
      <c r="T18" s="33">
        <v>24724.904627864424</v>
      </c>
      <c r="U18" s="34">
        <v>515.95049149263525</v>
      </c>
      <c r="V18" s="33">
        <v>24010.831040424397</v>
      </c>
      <c r="W18" s="34">
        <v>443.22798837355253</v>
      </c>
      <c r="X18" s="33">
        <v>23151.337416572689</v>
      </c>
      <c r="Y18" s="34">
        <v>373.50027463329644</v>
      </c>
      <c r="Z18" s="33">
        <v>22108.358155561786</v>
      </c>
      <c r="AA18" s="34">
        <v>307.50589579478191</v>
      </c>
      <c r="AB18" s="33">
        <v>20833.56313508685</v>
      </c>
      <c r="AC18" s="34">
        <v>246.10642463586521</v>
      </c>
      <c r="AD18" s="33">
        <v>19267.310162411584</v>
      </c>
      <c r="AE18" s="34">
        <v>190.23890769073077</v>
      </c>
      <c r="AF18" s="33">
        <v>17339.577621806078</v>
      </c>
      <c r="AG18" s="34">
        <v>140.81379831687849</v>
      </c>
      <c r="AH18" s="33">
        <v>14974.577625558555</v>
      </c>
      <c r="AI18" s="34">
        <v>98.549958392764125</v>
      </c>
      <c r="AJ18" s="33">
        <v>12100.108210550554</v>
      </c>
      <c r="AK18" s="34">
        <v>63.778794361915793</v>
      </c>
      <c r="AL18" s="33">
        <v>8660.1659896158526</v>
      </c>
      <c r="AM18" s="34">
        <v>36.303133532557609</v>
      </c>
      <c r="AN18" s="33">
        <v>4625.9866145322103</v>
      </c>
      <c r="AO18" s="34">
        <v>15.40209931331839</v>
      </c>
      <c r="AP18" s="33">
        <v>3747.5355326296058</v>
      </c>
      <c r="AQ18" s="34">
        <v>11.91965742232896</v>
      </c>
      <c r="AR18" s="33">
        <v>2845.4887494269706</v>
      </c>
      <c r="AS18" s="34">
        <v>8.647904052975063</v>
      </c>
      <c r="AT18" s="33">
        <v>1920.0504110191291</v>
      </c>
      <c r="AU18" s="34">
        <v>5.5771579374813776</v>
      </c>
      <c r="AV18" s="33">
        <v>971.46219659879068</v>
      </c>
      <c r="AW18" s="34">
        <v>2.6977326857737483</v>
      </c>
    </row>
    <row r="19" spans="1:49" x14ac:dyDescent="0.2">
      <c r="A19" t="s">
        <v>3</v>
      </c>
      <c r="B19" s="41">
        <v>1886.3937399999918</v>
      </c>
      <c r="C19" s="42">
        <v>262.78711299999759</v>
      </c>
      <c r="D19" s="41">
        <v>1867.914944102539</v>
      </c>
      <c r="E19" s="42">
        <v>266.52282073836096</v>
      </c>
      <c r="F19" s="41">
        <v>1847.6938502609082</v>
      </c>
      <c r="G19" s="42">
        <v>270.60734488615321</v>
      </c>
      <c r="H19" s="41">
        <v>1825.4374930313245</v>
      </c>
      <c r="I19" s="42">
        <v>275.02670538477423</v>
      </c>
      <c r="J19" s="41">
        <v>1800.7887352071355</v>
      </c>
      <c r="K19" s="42">
        <v>279.74759505507211</v>
      </c>
      <c r="L19" s="41">
        <v>1773.3087280334717</v>
      </c>
      <c r="M19" s="42">
        <v>284.70819380698254</v>
      </c>
      <c r="N19" s="41">
        <v>1742.4532543173775</v>
      </c>
      <c r="O19" s="42">
        <v>289.80516045060773</v>
      </c>
      <c r="P19" s="41">
        <v>1707.5426951851459</v>
      </c>
      <c r="Q19" s="42">
        <v>294.87544470844784</v>
      </c>
      <c r="R19" s="41">
        <v>1667.7213118280756</v>
      </c>
      <c r="S19" s="42">
        <v>299.67108676621427</v>
      </c>
      <c r="T19" s="41">
        <v>1621.9029345476342</v>
      </c>
      <c r="U19" s="42">
        <v>303.82556791736317</v>
      </c>
      <c r="V19" s="41">
        <v>1568.7009632619402</v>
      </c>
      <c r="W19" s="42">
        <v>306.8095889611343</v>
      </c>
      <c r="X19" s="41">
        <v>1506.339740416335</v>
      </c>
      <c r="Y19" s="42">
        <v>307.87733133213959</v>
      </c>
      <c r="Z19" s="41">
        <v>1432.5499797706921</v>
      </c>
      <c r="AA19" s="42">
        <v>306.00780525794295</v>
      </c>
      <c r="AB19" s="41">
        <v>1344.46218170981</v>
      </c>
      <c r="AC19" s="42">
        <v>299.85585751211539</v>
      </c>
      <c r="AD19" s="41">
        <v>1238.5360175946591</v>
      </c>
      <c r="AE19" s="42">
        <v>287.74411612738879</v>
      </c>
      <c r="AF19" s="41">
        <v>1110.5959986657106</v>
      </c>
      <c r="AG19" s="42">
        <v>267.74434124179135</v>
      </c>
      <c r="AH19" s="41">
        <v>956.07381224267249</v>
      </c>
      <c r="AI19" s="42">
        <v>237.89963022748438</v>
      </c>
      <c r="AJ19" s="41">
        <v>770.5296091724673</v>
      </c>
      <c r="AK19" s="42">
        <v>196.59103822954592</v>
      </c>
      <c r="AL19" s="41">
        <v>550.38581195670827</v>
      </c>
      <c r="AM19" s="42">
        <v>142.94340626505436</v>
      </c>
      <c r="AN19" s="41">
        <v>293.60760443800592</v>
      </c>
      <c r="AO19" s="42">
        <v>77.06924012233867</v>
      </c>
      <c r="AP19" s="41">
        <v>237.80715279472446</v>
      </c>
      <c r="AQ19" s="42">
        <v>62.505056474769965</v>
      </c>
      <c r="AR19" s="41">
        <v>180.53532250368755</v>
      </c>
      <c r="AS19" s="42">
        <v>47.503046025125641</v>
      </c>
      <c r="AT19" s="41">
        <v>121.8017943123542</v>
      </c>
      <c r="AU19" s="42">
        <v>32.075886269289363</v>
      </c>
      <c r="AV19" s="41">
        <v>61.618611957201736</v>
      </c>
      <c r="AW19" s="42">
        <v>16.236917101750336</v>
      </c>
    </row>
    <row r="20" spans="1:49" x14ac:dyDescent="0.2">
      <c r="A20" t="s">
        <v>127</v>
      </c>
      <c r="B20" s="82">
        <v>26548.356269999993</v>
      </c>
      <c r="C20" s="83">
        <v>1408.5418709999938</v>
      </c>
      <c r="D20" s="82">
        <v>26357.829181179259</v>
      </c>
      <c r="E20" s="83">
        <v>1338.1147774499941</v>
      </c>
      <c r="F20" s="82">
        <v>26143.006323114565</v>
      </c>
      <c r="G20" s="83">
        <v>1267.6876838999945</v>
      </c>
      <c r="H20" s="82">
        <v>25899.66822279886</v>
      </c>
      <c r="I20" s="83">
        <v>1197.2605903499946</v>
      </c>
      <c r="J20" s="82">
        <v>25622.62501867918</v>
      </c>
      <c r="K20" s="83">
        <v>1126.8334967999949</v>
      </c>
      <c r="L20" s="82">
        <v>25305.437263141535</v>
      </c>
      <c r="M20" s="83">
        <v>1056.4064032499953</v>
      </c>
      <c r="N20" s="82">
        <v>24940.036474577922</v>
      </c>
      <c r="O20" s="83">
        <v>985.97930969999561</v>
      </c>
      <c r="P20" s="82">
        <v>24516.240140475376</v>
      </c>
      <c r="Q20" s="83">
        <v>915.55221614999596</v>
      </c>
      <c r="R20" s="82">
        <v>24021.091119127977</v>
      </c>
      <c r="S20" s="83">
        <v>845.12512259999642</v>
      </c>
      <c r="T20" s="82">
        <v>23437.975819785494</v>
      </c>
      <c r="U20" s="83">
        <v>774.69802904999653</v>
      </c>
      <c r="V20" s="82">
        <v>22745.488197042188</v>
      </c>
      <c r="W20" s="83">
        <v>704.27093549999688</v>
      </c>
      <c r="X20" s="82">
        <v>21916.000001637811</v>
      </c>
      <c r="Y20" s="83">
        <v>633.84384194999734</v>
      </c>
      <c r="Z20" s="82">
        <v>20913.994511533863</v>
      </c>
      <c r="AA20" s="83">
        <v>563.41674839999757</v>
      </c>
      <c r="AB20" s="82">
        <v>19694.414084976204</v>
      </c>
      <c r="AC20" s="83">
        <v>492.98965484999775</v>
      </c>
      <c r="AD20" s="82">
        <v>18201.665111742968</v>
      </c>
      <c r="AE20" s="83">
        <v>422.56256129999798</v>
      </c>
      <c r="AF20" s="82">
        <v>16370.439476149508</v>
      </c>
      <c r="AG20" s="83">
        <v>352.13546774999827</v>
      </c>
      <c r="AH20" s="82">
        <v>14129.934417545894</v>
      </c>
      <c r="AI20" s="83">
        <v>281.70837419999856</v>
      </c>
      <c r="AJ20" s="82">
        <v>11412.480320592762</v>
      </c>
      <c r="AK20" s="83">
        <v>211.28128064999879</v>
      </c>
      <c r="AL20" s="82">
        <v>8165.2530550591464</v>
      </c>
      <c r="AM20" s="83">
        <v>140.85418709999902</v>
      </c>
      <c r="AN20" s="82">
        <v>4360.6232690483275</v>
      </c>
      <c r="AO20" s="83">
        <v>70.42709354999927</v>
      </c>
      <c r="AP20" s="82">
        <v>3532.4463076259021</v>
      </c>
      <c r="AQ20" s="83">
        <v>56.341674839999328</v>
      </c>
      <c r="AR20" s="82">
        <v>2682.0940420619659</v>
      </c>
      <c r="AS20" s="83">
        <v>42.256256129999379</v>
      </c>
      <c r="AT20" s="82">
        <v>1809.7505749321076</v>
      </c>
      <c r="AU20" s="83">
        <v>28.170837419999433</v>
      </c>
      <c r="AV20" s="82">
        <v>915.63533009897697</v>
      </c>
      <c r="AW20" s="83">
        <v>14.08541870999948</v>
      </c>
    </row>
    <row r="21" spans="1:49" x14ac:dyDescent="0.2">
      <c r="A21" t="s">
        <v>76</v>
      </c>
      <c r="B21" s="82">
        <v>24661.962529999968</v>
      </c>
      <c r="C21" s="83">
        <v>1145.7547579999991</v>
      </c>
      <c r="D21" s="82">
        <v>24489.917749685177</v>
      </c>
      <c r="E21" s="83">
        <v>1071.7629221583923</v>
      </c>
      <c r="F21" s="82">
        <v>24295.326703729341</v>
      </c>
      <c r="G21" s="83">
        <v>997.79763023908754</v>
      </c>
      <c r="H21" s="82">
        <v>24074.26316931465</v>
      </c>
      <c r="I21" s="83">
        <v>923.92709274535719</v>
      </c>
      <c r="J21" s="82">
        <v>23821.894712312351</v>
      </c>
      <c r="K21" s="83">
        <v>850.24369562254526</v>
      </c>
      <c r="L21" s="82">
        <v>23532.221000434802</v>
      </c>
      <c r="M21" s="83">
        <v>776.87155226361506</v>
      </c>
      <c r="N21" s="82">
        <v>23197.717960195365</v>
      </c>
      <c r="O21" s="83">
        <v>703.97623988206146</v>
      </c>
      <c r="P21" s="82">
        <v>22808.882727930457</v>
      </c>
      <c r="Q21" s="83">
        <v>631.77711220124445</v>
      </c>
      <c r="R21" s="82">
        <v>22353.613633087607</v>
      </c>
      <c r="S21" s="83">
        <v>560.56258732913784</v>
      </c>
      <c r="T21" s="82">
        <v>21816.382480258664</v>
      </c>
      <c r="U21" s="83">
        <v>490.70796000789619</v>
      </c>
      <c r="V21" s="82">
        <v>21177.168239262453</v>
      </c>
      <c r="W21" s="83">
        <v>422.69528144774011</v>
      </c>
      <c r="X21" s="82">
        <v>20410.115509308271</v>
      </c>
      <c r="Y21" s="83">
        <v>357.13180699253502</v>
      </c>
      <c r="Z21" s="82">
        <v>19481.972314237122</v>
      </c>
      <c r="AA21" s="83">
        <v>294.76104806991998</v>
      </c>
      <c r="AB21" s="82">
        <v>18350.543733951181</v>
      </c>
      <c r="AC21" s="83">
        <v>236.45491834730748</v>
      </c>
      <c r="AD21" s="82">
        <v>16963.767197991085</v>
      </c>
      <c r="AE21" s="83">
        <v>183.16899836317469</v>
      </c>
      <c r="AF21" s="82">
        <v>15260.498645675572</v>
      </c>
      <c r="AG21" s="83">
        <v>135.84181706272116</v>
      </c>
      <c r="AH21" s="82">
        <v>13174.491512639741</v>
      </c>
      <c r="AI21" s="83">
        <v>95.2313930580831</v>
      </c>
      <c r="AJ21" s="82">
        <v>10642.505876723397</v>
      </c>
      <c r="AK21" s="83">
        <v>61.720768743080157</v>
      </c>
      <c r="AL21" s="82">
        <v>7615.2899938343271</v>
      </c>
      <c r="AM21" s="83">
        <v>35.17448611987637</v>
      </c>
      <c r="AN21" s="82">
        <v>4067.2508457343401</v>
      </c>
      <c r="AO21" s="83">
        <v>14.938127908449374</v>
      </c>
      <c r="AP21" s="82">
        <v>3294.8307874227785</v>
      </c>
      <c r="AQ21" s="83">
        <v>11.562618063106928</v>
      </c>
      <c r="AR21" s="82">
        <v>2501.7049710142446</v>
      </c>
      <c r="AS21" s="83">
        <v>8.3902738824968655</v>
      </c>
      <c r="AT21" s="82">
        <v>1688.0479055296935</v>
      </c>
      <c r="AU21" s="83">
        <v>5.4118768077588228</v>
      </c>
      <c r="AV21" s="82">
        <v>854.06706162102682</v>
      </c>
      <c r="AW21" s="83">
        <v>2.6181847915166165</v>
      </c>
    </row>
    <row r="22" spans="1:49" x14ac:dyDescent="0.2">
      <c r="A22" t="s">
        <v>28</v>
      </c>
      <c r="B22" s="41">
        <v>6533.6044688320644</v>
      </c>
      <c r="C22" s="42">
        <v>379.90788307663382</v>
      </c>
      <c r="D22" s="41">
        <v>6463.3740993981555</v>
      </c>
      <c r="E22" s="42">
        <v>362.83248811980394</v>
      </c>
      <c r="F22" s="41">
        <v>6386.5963832676307</v>
      </c>
      <c r="G22" s="42">
        <v>345.62105238421691</v>
      </c>
      <c r="H22" s="41">
        <v>6302.2390235976718</v>
      </c>
      <c r="I22" s="42">
        <v>328.2689535922446</v>
      </c>
      <c r="J22" s="41">
        <v>6209.0489327963569</v>
      </c>
      <c r="K22" s="42">
        <v>310.77051038532289</v>
      </c>
      <c r="L22" s="41">
        <v>6105.4924114896457</v>
      </c>
      <c r="M22" s="42">
        <v>293.11858279434392</v>
      </c>
      <c r="N22" s="41">
        <v>5989.6741535530309</v>
      </c>
      <c r="O22" s="42">
        <v>275.30395449965897</v>
      </c>
      <c r="P22" s="41">
        <v>5859.2363325574834</v>
      </c>
      <c r="Q22" s="42">
        <v>257.31484001165353</v>
      </c>
      <c r="R22" s="41">
        <v>5711.2222504724787</v>
      </c>
      <c r="S22" s="42">
        <v>239.13614940800701</v>
      </c>
      <c r="T22" s="41">
        <v>5541.8997090610364</v>
      </c>
      <c r="U22" s="42">
        <v>220.74885677814183</v>
      </c>
      <c r="V22" s="41">
        <v>5346.5374063923509</v>
      </c>
      <c r="W22" s="42">
        <v>202.12942764286763</v>
      </c>
      <c r="X22" s="41">
        <v>5119.1364793444145</v>
      </c>
      <c r="Y22" s="42">
        <v>183.24995788327888</v>
      </c>
      <c r="Z22" s="41">
        <v>4852.1357767891195</v>
      </c>
      <c r="AA22" s="42">
        <v>164.07933910342078</v>
      </c>
      <c r="AB22" s="41">
        <v>4536.1567346748834</v>
      </c>
      <c r="AC22" s="42">
        <v>144.58643361663709</v>
      </c>
      <c r="AD22" s="41">
        <v>4159.9352734102476</v>
      </c>
      <c r="AE22" s="42">
        <v>124.74633638517021</v>
      </c>
      <c r="AF22" s="41">
        <v>3710.6788978386612</v>
      </c>
      <c r="AG22" s="42">
        <v>104.54993071830522</v>
      </c>
      <c r="AH22" s="41">
        <v>3175.1400867236475</v>
      </c>
      <c r="AI22" s="42">
        <v>84.015283192268456</v>
      </c>
      <c r="AJ22" s="41">
        <v>2541.519836716036</v>
      </c>
      <c r="AK22" s="42">
        <v>63.196242454052403</v>
      </c>
      <c r="AL22" s="41">
        <v>1801.7967081295376</v>
      </c>
      <c r="AM22" s="42">
        <v>42.181364634537047</v>
      </c>
      <c r="AN22" s="41">
        <v>953.50329260470892</v>
      </c>
      <c r="AO22" s="42">
        <v>21.079913668510113</v>
      </c>
      <c r="AP22" s="41">
        <v>771.02009027063411</v>
      </c>
      <c r="AQ22" s="42">
        <v>16.859013721048449</v>
      </c>
      <c r="AR22" s="41">
        <v>584.36610885877917</v>
      </c>
      <c r="AS22" s="42">
        <v>12.639839284663767</v>
      </c>
      <c r="AT22" s="41">
        <v>393.60044598590315</v>
      </c>
      <c r="AU22" s="42">
        <v>8.423144872454035</v>
      </c>
      <c r="AV22" s="41">
        <v>198.78824483520739</v>
      </c>
      <c r="AW22" s="42">
        <v>4.2096425421222152</v>
      </c>
    </row>
    <row r="23" spans="1:49" x14ac:dyDescent="0.2">
      <c r="A23" t="s">
        <v>7</v>
      </c>
      <c r="B23" s="116">
        <v>3278.5018080150408</v>
      </c>
      <c r="C23" s="8">
        <v>0</v>
      </c>
      <c r="D23" s="116">
        <v>3260.4198512467178</v>
      </c>
      <c r="E23" s="8">
        <v>0</v>
      </c>
      <c r="F23" s="116">
        <v>3239.2986974834589</v>
      </c>
      <c r="G23" s="8">
        <v>0</v>
      </c>
      <c r="H23" s="116">
        <v>3214.6002745835881</v>
      </c>
      <c r="I23" s="8">
        <v>0</v>
      </c>
      <c r="J23" s="116">
        <v>3185.6616696370256</v>
      </c>
      <c r="K23" s="8">
        <v>0</v>
      </c>
      <c r="L23" s="116">
        <v>3151.6591138567278</v>
      </c>
      <c r="M23" s="8">
        <v>0</v>
      </c>
      <c r="N23" s="116">
        <v>3111.5588515275404</v>
      </c>
      <c r="O23" s="8">
        <v>0</v>
      </c>
      <c r="P23" s="116">
        <v>3064.0546495984745</v>
      </c>
      <c r="Q23" s="8">
        <v>0</v>
      </c>
      <c r="R23" s="116">
        <v>3007.4823308924206</v>
      </c>
      <c r="S23" s="8">
        <v>0</v>
      </c>
      <c r="T23" s="116">
        <v>2939.7058058590437</v>
      </c>
      <c r="U23" s="8">
        <v>0</v>
      </c>
      <c r="V23" s="116">
        <v>2857.969665647799</v>
      </c>
      <c r="W23" s="8">
        <v>0</v>
      </c>
      <c r="X23" s="116">
        <v>2758.7134824937989</v>
      </c>
      <c r="Y23" s="8">
        <v>0</v>
      </c>
      <c r="Z23" s="116">
        <v>2637.3540664874454</v>
      </c>
      <c r="AA23" s="8">
        <v>0</v>
      </c>
      <c r="AB23" s="116">
        <v>2488.0671212579496</v>
      </c>
      <c r="AC23" s="8">
        <v>0</v>
      </c>
      <c r="AD23" s="116">
        <v>2303.6504242039787</v>
      </c>
      <c r="AE23" s="8">
        <v>0</v>
      </c>
      <c r="AF23" s="116">
        <v>2075.6171494097898</v>
      </c>
      <c r="AG23" s="8">
        <v>0</v>
      </c>
      <c r="AH23" s="116">
        <v>1794.7255561409879</v>
      </c>
      <c r="AI23" s="8">
        <v>0</v>
      </c>
      <c r="AJ23" s="116">
        <v>1452.0820087685352</v>
      </c>
      <c r="AK23" s="8">
        <v>0</v>
      </c>
      <c r="AL23" s="116">
        <v>1040.6566520543211</v>
      </c>
      <c r="AM23" s="8">
        <v>0</v>
      </c>
      <c r="AN23" s="116">
        <v>556.64431391793994</v>
      </c>
      <c r="AO23" s="8">
        <v>0</v>
      </c>
      <c r="AP23" s="116">
        <v>451.06396455963102</v>
      </c>
      <c r="AQ23" s="8">
        <v>0</v>
      </c>
      <c r="AR23" s="116">
        <v>342.58485344959342</v>
      </c>
      <c r="AS23" s="8">
        <v>0</v>
      </c>
      <c r="AT23" s="116">
        <v>231.22919625635444</v>
      </c>
      <c r="AU23" s="8">
        <v>0</v>
      </c>
      <c r="AV23" s="116">
        <v>117.02386487301233</v>
      </c>
      <c r="AW23" s="8">
        <v>0</v>
      </c>
    </row>
    <row r="24" spans="1:49" x14ac:dyDescent="0.2">
      <c r="A24" t="s">
        <v>8</v>
      </c>
      <c r="B24" s="97">
        <v>3196.3846373657216</v>
      </c>
      <c r="C24" s="8">
        <v>0</v>
      </c>
      <c r="D24" s="97">
        <v>3206.4560300654634</v>
      </c>
      <c r="E24" s="8">
        <v>0</v>
      </c>
      <c r="F24" s="97">
        <v>3213.7328951514901</v>
      </c>
      <c r="G24" s="8">
        <v>0</v>
      </c>
      <c r="H24" s="97">
        <v>3217.6463291568834</v>
      </c>
      <c r="I24" s="8">
        <v>0</v>
      </c>
      <c r="J24" s="97">
        <v>3217.4839470557399</v>
      </c>
      <c r="K24" s="8">
        <v>0</v>
      </c>
      <c r="L24" s="97">
        <v>3212.346110717247</v>
      </c>
      <c r="M24" s="8">
        <v>0</v>
      </c>
      <c r="N24" s="97">
        <v>3201.0858787436432</v>
      </c>
      <c r="O24" s="8">
        <v>0</v>
      </c>
      <c r="P24" s="97">
        <v>3182.2311498810618</v>
      </c>
      <c r="Q24" s="8">
        <v>0</v>
      </c>
      <c r="R24" s="97">
        <v>3153.8770546689166</v>
      </c>
      <c r="S24" s="8">
        <v>0</v>
      </c>
      <c r="T24" s="97">
        <v>3113.5391087739563</v>
      </c>
      <c r="U24" s="8">
        <v>0</v>
      </c>
      <c r="V24" s="97">
        <v>3057.9594837121208</v>
      </c>
      <c r="W24" s="8">
        <v>0</v>
      </c>
      <c r="X24" s="97">
        <v>2982.8537185699688</v>
      </c>
      <c r="Y24" s="8">
        <v>0</v>
      </c>
      <c r="Z24" s="97">
        <v>2882.5988234145821</v>
      </c>
      <c r="AA24" s="8">
        <v>0</v>
      </c>
      <c r="AB24" s="97">
        <v>2749.8900785914366</v>
      </c>
      <c r="AC24" s="8">
        <v>0</v>
      </c>
      <c r="AD24" s="97">
        <v>2575.4572300092941</v>
      </c>
      <c r="AE24" s="8">
        <v>0</v>
      </c>
      <c r="AF24" s="97">
        <v>2348.0238222697353</v>
      </c>
      <c r="AG24" s="8">
        <v>0</v>
      </c>
      <c r="AH24" s="97">
        <v>2054.7960294497511</v>
      </c>
      <c r="AI24" s="8">
        <v>0</v>
      </c>
      <c r="AJ24" s="97">
        <v>1682.7320167864411</v>
      </c>
      <c r="AK24" s="8">
        <v>0</v>
      </c>
      <c r="AL24" s="97">
        <v>1220.5056625883274</v>
      </c>
      <c r="AM24" s="8">
        <v>0</v>
      </c>
      <c r="AN24" s="97">
        <v>660.51408580905604</v>
      </c>
      <c r="AO24" s="8">
        <v>0</v>
      </c>
      <c r="AP24" s="97">
        <v>536.45431797069909</v>
      </c>
      <c r="AQ24" s="8">
        <v>0</v>
      </c>
      <c r="AR24" s="97">
        <v>408.36039199558684</v>
      </c>
      <c r="AS24" s="8">
        <v>0</v>
      </c>
      <c r="AT24" s="97">
        <v>276.24152166180778</v>
      </c>
      <c r="AU24" s="8">
        <v>0</v>
      </c>
      <c r="AV24" s="97">
        <v>140.11384509204282</v>
      </c>
      <c r="AW24" s="8">
        <v>0</v>
      </c>
    </row>
    <row r="25" spans="1:49" x14ac:dyDescent="0.2">
      <c r="A25" t="s">
        <v>0</v>
      </c>
      <c r="B25" s="41">
        <v>3195.0476040000012</v>
      </c>
      <c r="C25" s="42">
        <v>91.012690000004397</v>
      </c>
      <c r="D25" s="41">
        <v>3181.7933428312313</v>
      </c>
      <c r="E25" s="42">
        <v>81.761240800010313</v>
      </c>
      <c r="F25" s="41">
        <v>3165.7009476392341</v>
      </c>
      <c r="G25" s="42">
        <v>72.888728756087218</v>
      </c>
      <c r="H25" s="41">
        <v>3146.251631248635</v>
      </c>
      <c r="I25" s="42">
        <v>64.422203161213162</v>
      </c>
      <c r="J25" s="41">
        <v>3122.8005619875057</v>
      </c>
      <c r="K25" s="42">
        <v>56.389537547651059</v>
      </c>
      <c r="L25" s="41">
        <v>3094.5385531901702</v>
      </c>
      <c r="M25" s="42">
        <v>48.819156135970573</v>
      </c>
      <c r="N25" s="41">
        <v>3060.4395420300357</v>
      </c>
      <c r="O25" s="42">
        <v>41.739796841943416</v>
      </c>
      <c r="P25" s="41">
        <v>3019.1929266247384</v>
      </c>
      <c r="Q25" s="42">
        <v>35.179765273264294</v>
      </c>
      <c r="R25" s="41">
        <v>2969.1108656100387</v>
      </c>
      <c r="S25" s="42">
        <v>29.166231953178205</v>
      </c>
      <c r="T25" s="41">
        <v>2908.0042102697439</v>
      </c>
      <c r="U25" s="42">
        <v>23.724059067088554</v>
      </c>
      <c r="V25" s="41">
        <v>2833.022495751216</v>
      </c>
      <c r="W25" s="42">
        <v>18.87440152360784</v>
      </c>
      <c r="X25" s="41">
        <v>2740.4532898361545</v>
      </c>
      <c r="Y25" s="42">
        <v>14.63256866698435</v>
      </c>
      <c r="Z25" s="41">
        <v>2625.4906342920917</v>
      </c>
      <c r="AA25" s="42">
        <v>11.005386212009659</v>
      </c>
      <c r="AB25" s="41">
        <v>2482.0109679000625</v>
      </c>
      <c r="AC25" s="42">
        <v>7.9879011617585629</v>
      </c>
      <c r="AD25" s="41">
        <v>2302.4509105927054</v>
      </c>
      <c r="AE25" s="42">
        <v>5.5595712808113422</v>
      </c>
      <c r="AF25" s="41">
        <v>2077.9531781618512</v>
      </c>
      <c r="AG25" s="42">
        <v>3.6809212068942756</v>
      </c>
      <c r="AH25" s="41">
        <v>1798.99813899113</v>
      </c>
      <c r="AI25" s="42">
        <v>2.292133190412704</v>
      </c>
      <c r="AJ25" s="41">
        <v>1456.6421676120685</v>
      </c>
      <c r="AK25" s="42">
        <v>1.3156236844448899</v>
      </c>
      <c r="AL25" s="41">
        <v>1044.1432250646847</v>
      </c>
      <c r="AM25" s="42">
        <v>0.66378286280787036</v>
      </c>
      <c r="AN25" s="41">
        <v>558.32751294357604</v>
      </c>
      <c r="AO25" s="42">
        <v>0.25019024427053727</v>
      </c>
      <c r="AP25" s="41">
        <v>452.372014826738</v>
      </c>
      <c r="AQ25" s="42">
        <v>0.18918784342554062</v>
      </c>
      <c r="AR25" s="41">
        <v>343.52979448090298</v>
      </c>
      <c r="AS25" s="42">
        <v>0.13414358564196238</v>
      </c>
      <c r="AT25" s="41">
        <v>231.8303342400061</v>
      </c>
      <c r="AU25" s="42">
        <v>8.4566603028579129E-2</v>
      </c>
      <c r="AV25" s="41">
        <v>117.30768046423204</v>
      </c>
      <c r="AW25" s="42">
        <v>3.9995872157155471E-2</v>
      </c>
    </row>
    <row r="26" spans="1:49" x14ac:dyDescent="0.2">
      <c r="A26" t="s">
        <v>27</v>
      </c>
      <c r="B26" s="33">
        <v>5036.2953101960647</v>
      </c>
      <c r="C26" s="34">
        <v>74.905331803938267</v>
      </c>
      <c r="D26" s="33">
        <v>5008.3532199769534</v>
      </c>
      <c r="E26" s="34">
        <v>70.307800868734191</v>
      </c>
      <c r="F26" s="33">
        <v>4976.1733383170031</v>
      </c>
      <c r="G26" s="34">
        <v>65.706790324235442</v>
      </c>
      <c r="H26" s="33">
        <v>4938.9619622263717</v>
      </c>
      <c r="I26" s="34">
        <v>61.10407970893592</v>
      </c>
      <c r="J26" s="33">
        <v>4895.7334541438959</v>
      </c>
      <c r="K26" s="34">
        <v>56.502445988245022</v>
      </c>
      <c r="L26" s="33">
        <v>4845.252971431164</v>
      </c>
      <c r="M26" s="34">
        <v>51.906098436901075</v>
      </c>
      <c r="N26" s="33">
        <v>4785.958173363164</v>
      </c>
      <c r="O26" s="34">
        <v>47.321376168277659</v>
      </c>
      <c r="P26" s="33">
        <v>4715.8583892922852</v>
      </c>
      <c r="Q26" s="34">
        <v>42.757453872317377</v>
      </c>
      <c r="R26" s="33">
        <v>4632.3964730247435</v>
      </c>
      <c r="S26" s="34">
        <v>38.227458472265369</v>
      </c>
      <c r="T26" s="33">
        <v>4532.2627672027847</v>
      </c>
      <c r="U26" s="34">
        <v>33.749771506495698</v>
      </c>
      <c r="V26" s="33">
        <v>4411.1538056731242</v>
      </c>
      <c r="W26" s="34">
        <v>29.349741038664142</v>
      </c>
      <c r="X26" s="33">
        <v>4263.4650383528278</v>
      </c>
      <c r="Y26" s="34">
        <v>25.061391078056818</v>
      </c>
      <c r="Z26" s="33">
        <v>4081.9274875444376</v>
      </c>
      <c r="AA26" s="34">
        <v>20.929035539898436</v>
      </c>
      <c r="AB26" s="33">
        <v>3857.2373411468279</v>
      </c>
      <c r="AC26" s="34">
        <v>17.007983409402339</v>
      </c>
      <c r="AD26" s="33">
        <v>3577.8098349160164</v>
      </c>
      <c r="AE26" s="34">
        <v>13.362939244604624</v>
      </c>
      <c r="AF26" s="33">
        <v>3229.9006974927047</v>
      </c>
      <c r="AG26" s="34">
        <v>10.062626585318784</v>
      </c>
      <c r="AH26" s="33">
        <v>2798.4352356335012</v>
      </c>
      <c r="AI26" s="34">
        <v>7.1694209520557051</v>
      </c>
      <c r="AJ26" s="33">
        <v>2268.7784055756965</v>
      </c>
      <c r="AK26" s="34">
        <v>4.7252429315016133</v>
      </c>
      <c r="AL26" s="33">
        <v>1629.199187553146</v>
      </c>
      <c r="AM26" s="34">
        <v>2.7390351997681237</v>
      </c>
      <c r="AN26" s="33">
        <v>873.11253664732135</v>
      </c>
      <c r="AO26" s="34">
        <v>1.1828929754517514</v>
      </c>
      <c r="AP26" s="33">
        <v>707.76568220823538</v>
      </c>
      <c r="AQ26" s="34">
        <v>0.91861673117184794</v>
      </c>
      <c r="AR26" s="33">
        <v>537.74474106591515</v>
      </c>
      <c r="AS26" s="34">
        <v>0.66876182867690426</v>
      </c>
      <c r="AT26" s="33">
        <v>363.08222971692118</v>
      </c>
      <c r="AU26" s="34">
        <v>0.43276055961152504</v>
      </c>
      <c r="AV26" s="33">
        <v>183.81827644102233</v>
      </c>
      <c r="AW26" s="34">
        <v>0.21003466703915757</v>
      </c>
    </row>
    <row r="27" spans="1:49" x14ac:dyDescent="0.2">
      <c r="A27" t="s">
        <v>2</v>
      </c>
      <c r="B27" s="35">
        <v>6425.1981590000069</v>
      </c>
      <c r="C27" s="36">
        <v>273.22915400000028</v>
      </c>
      <c r="D27" s="35">
        <v>6391.4983827516544</v>
      </c>
      <c r="E27" s="36">
        <v>256.49805406103792</v>
      </c>
      <c r="F27" s="35">
        <v>6352.4744295771579</v>
      </c>
      <c r="G27" s="36">
        <v>239.75109121387231</v>
      </c>
      <c r="H27" s="35">
        <v>6307.1415513164302</v>
      </c>
      <c r="I27" s="36">
        <v>222.99507717521971</v>
      </c>
      <c r="J27" s="35">
        <v>6254.2753638213853</v>
      </c>
      <c r="K27" s="36">
        <v>206.24031381592735</v>
      </c>
      <c r="L27" s="35">
        <v>6192.3392711749339</v>
      </c>
      <c r="M27" s="36">
        <v>189.50214537047759</v>
      </c>
      <c r="N27" s="35">
        <v>6119.3847009960018</v>
      </c>
      <c r="O27" s="36">
        <v>172.80383422768469</v>
      </c>
      <c r="P27" s="35">
        <v>6032.9214369365291</v>
      </c>
      <c r="Q27" s="36">
        <v>156.1787296255082</v>
      </c>
      <c r="R27" s="35">
        <v>5929.7386249994333</v>
      </c>
      <c r="S27" s="36">
        <v>139.67447075327738</v>
      </c>
      <c r="T27" s="35">
        <v>5805.6621800139728</v>
      </c>
      <c r="U27" s="36">
        <v>123.35757643884278</v>
      </c>
      <c r="V27" s="35">
        <v>5655.235308636481</v>
      </c>
      <c r="W27" s="36">
        <v>107.31988515470505</v>
      </c>
      <c r="X27" s="35">
        <v>5471.3063542926029</v>
      </c>
      <c r="Y27" s="36">
        <v>91.684528535477185</v>
      </c>
      <c r="Z27" s="35">
        <v>5244.5301589247856</v>
      </c>
      <c r="AA27" s="36">
        <v>76.611938121310118</v>
      </c>
      <c r="AB27" s="35">
        <v>4962.838612852147</v>
      </c>
      <c r="AC27" s="36">
        <v>62.302622111623684</v>
      </c>
      <c r="AD27" s="35">
        <v>4611.0427237914619</v>
      </c>
      <c r="AE27" s="36">
        <v>48.991374185344036</v>
      </c>
      <c r="AF27" s="35">
        <v>4170.8798663064144</v>
      </c>
      <c r="AG27" s="36">
        <v>36.92812300546214</v>
      </c>
      <c r="AH27" s="35">
        <v>3621.9664761355098</v>
      </c>
      <c r="AI27" s="36">
        <v>26.340579010814341</v>
      </c>
      <c r="AJ27" s="35">
        <v>2944.0132958361423</v>
      </c>
      <c r="AK27" s="36">
        <v>17.382997178289902</v>
      </c>
      <c r="AL27" s="35">
        <v>2120.0602686588772</v>
      </c>
      <c r="AM27" s="36">
        <v>10.090466716083045</v>
      </c>
      <c r="AN27" s="35">
        <v>1139.5846916983826</v>
      </c>
      <c r="AO27" s="36">
        <v>4.3642570588190503</v>
      </c>
      <c r="AP27" s="35">
        <v>924.34098162275882</v>
      </c>
      <c r="AQ27" s="36">
        <v>3.3902548861484769</v>
      </c>
      <c r="AR27" s="35">
        <v>702.72668126730287</v>
      </c>
      <c r="AS27" s="36">
        <v>2.4688985240907955</v>
      </c>
      <c r="AT27" s="35">
        <v>474.77055444664262</v>
      </c>
      <c r="AU27" s="36">
        <v>1.5981357948302262</v>
      </c>
      <c r="AV27" s="35">
        <v>240.51194174739908</v>
      </c>
      <c r="AW27" s="36">
        <v>0.77587471889897797</v>
      </c>
    </row>
    <row r="28" spans="1:49" x14ac:dyDescent="0.2">
      <c r="A28" t="s">
        <v>35</v>
      </c>
      <c r="B28" s="41">
        <v>13763.097676000007</v>
      </c>
      <c r="C28" s="42">
        <v>382.36647900000003</v>
      </c>
      <c r="D28" s="41">
        <v>13688.685650877613</v>
      </c>
      <c r="E28" s="42">
        <v>358.93675506114658</v>
      </c>
      <c r="F28" s="41">
        <v>13602.773812790099</v>
      </c>
      <c r="G28" s="42">
        <v>335.48608738892949</v>
      </c>
      <c r="H28" s="41">
        <v>13503.220769233183</v>
      </c>
      <c r="I28" s="42">
        <v>312.02388062481845</v>
      </c>
      <c r="J28" s="41">
        <v>13387.36573696109</v>
      </c>
      <c r="K28" s="42">
        <v>288.56448241912199</v>
      </c>
      <c r="L28" s="41">
        <v>13251.872481384802</v>
      </c>
      <c r="M28" s="42">
        <v>265.12936945083857</v>
      </c>
      <c r="N28" s="41">
        <v>13092.515420810329</v>
      </c>
      <c r="O28" s="42">
        <v>241.75103903911793</v>
      </c>
      <c r="P28" s="41">
        <v>12903.90296908958</v>
      </c>
      <c r="Q28" s="42">
        <v>218.47620661622847</v>
      </c>
      <c r="R28" s="41">
        <v>12679.097163558625</v>
      </c>
      <c r="S28" s="42">
        <v>195.37163575029143</v>
      </c>
      <c r="T28" s="41">
        <v>12409.09989476338</v>
      </c>
      <c r="U28" s="42">
        <v>172.53062612227859</v>
      </c>
      <c r="V28" s="41">
        <v>12082.18174268877</v>
      </c>
      <c r="W28" s="42">
        <v>150.08194767875813</v>
      </c>
      <c r="X28" s="41">
        <v>11683.022068532107</v>
      </c>
      <c r="Y28" s="42">
        <v>128.19830664257961</v>
      </c>
      <c r="Z28" s="41">
        <v>11191.681152178578</v>
      </c>
      <c r="AA28" s="42">
        <v>107.1047052520297</v>
      </c>
      <c r="AB28" s="41">
        <v>10582.531769806017</v>
      </c>
      <c r="AC28" s="42">
        <v>87.082247410514242</v>
      </c>
      <c r="AD28" s="41">
        <v>9823.5044941860142</v>
      </c>
      <c r="AE28" s="42">
        <v>68.460020418625774</v>
      </c>
      <c r="AF28" s="41">
        <v>8876.3156389771484</v>
      </c>
      <c r="AG28" s="42">
        <v>51.5881114576435</v>
      </c>
      <c r="AH28" s="41">
        <v>7698.6342412782178</v>
      </c>
      <c r="AI28" s="42">
        <v>36.78514721230453</v>
      </c>
      <c r="AJ28" s="41">
        <v>6248.8845697107299</v>
      </c>
      <c r="AK28" s="42">
        <v>24.266497041343676</v>
      </c>
      <c r="AL28" s="41">
        <v>4493.07882272796</v>
      </c>
      <c r="AM28" s="42">
        <v>14.080306065258716</v>
      </c>
      <c r="AN28" s="41">
        <v>2411.1931107666992</v>
      </c>
      <c r="AO28" s="42">
        <v>6.0871943500739221</v>
      </c>
      <c r="AP28" s="41">
        <v>1955.1137781285306</v>
      </c>
      <c r="AQ28" s="42">
        <v>4.7282387165328483</v>
      </c>
      <c r="AR28" s="41">
        <v>1485.8670063198854</v>
      </c>
      <c r="AS28" s="42">
        <v>3.4429462681370029</v>
      </c>
      <c r="AT28" s="41">
        <v>1003.5299226081554</v>
      </c>
      <c r="AU28" s="42">
        <v>2.2284374698020168</v>
      </c>
      <c r="AV28" s="41">
        <v>508.20132270190538</v>
      </c>
      <c r="AW28" s="42">
        <v>1.0817775938029663</v>
      </c>
    </row>
    <row r="29" spans="1:49" x14ac:dyDescent="0.2">
      <c r="A29" t="s">
        <v>53</v>
      </c>
      <c r="B29" s="35">
        <v>14362.768558000003</v>
      </c>
      <c r="C29" s="36">
        <v>817.26651000000004</v>
      </c>
      <c r="D29" s="35">
        <v>14266.943483938849</v>
      </c>
      <c r="E29" s="36">
        <v>760.98863693348801</v>
      </c>
      <c r="F29" s="35">
        <v>14158.031016827894</v>
      </c>
      <c r="G29" s="36">
        <v>705.14849056558</v>
      </c>
      <c r="H29" s="35">
        <v>14033.739826957955</v>
      </c>
      <c r="I29" s="36">
        <v>649.81292492745195</v>
      </c>
      <c r="J29" s="35">
        <v>13891.246675202025</v>
      </c>
      <c r="K29" s="36">
        <v>595.06372700993336</v>
      </c>
      <c r="L29" s="35">
        <v>13727.041853733097</v>
      </c>
      <c r="M29" s="36">
        <v>541.00210412310946</v>
      </c>
      <c r="N29" s="35">
        <v>13536.718771931084</v>
      </c>
      <c r="O29" s="36">
        <v>487.75626228098224</v>
      </c>
      <c r="P29" s="35">
        <v>13314.704737707534</v>
      </c>
      <c r="Q29" s="36">
        <v>435.48690692315415</v>
      </c>
      <c r="R29" s="35">
        <v>13053.89384201422</v>
      </c>
      <c r="S29" s="36">
        <v>384.39717286103962</v>
      </c>
      <c r="T29" s="35">
        <v>12745.156576922256</v>
      </c>
      <c r="U29" s="36">
        <v>334.74248769653076</v>
      </c>
      <c r="V29" s="35">
        <v>12376.708196532152</v>
      </c>
      <c r="W29" s="36">
        <v>286.84319408364541</v>
      </c>
      <c r="X29" s="35">
        <v>11933.314203487116</v>
      </c>
      <c r="Y29" s="36">
        <v>241.09354013405084</v>
      </c>
      <c r="Z29" s="35">
        <v>11395.36617414029</v>
      </c>
      <c r="AA29" s="36">
        <v>197.96700131290373</v>
      </c>
      <c r="AB29" s="35">
        <v>10737.96944224194</v>
      </c>
      <c r="AC29" s="36">
        <v>158.00908101711846</v>
      </c>
      <c r="AD29" s="35">
        <v>9930.4032240828474</v>
      </c>
      <c r="AE29" s="36">
        <v>121.80484576342751</v>
      </c>
      <c r="AF29" s="35">
        <v>8936.5999245782241</v>
      </c>
      <c r="AG29" s="36">
        <v>89.912227682617555</v>
      </c>
      <c r="AH29" s="35">
        <v>7717.5192939272765</v>
      </c>
      <c r="AI29" s="36">
        <v>62.756780673498497</v>
      </c>
      <c r="AJ29" s="35">
        <v>6235.9631862093865</v>
      </c>
      <c r="AK29" s="36">
        <v>40.509456997501516</v>
      </c>
      <c r="AL29" s="35">
        <v>4463.0707014749523</v>
      </c>
      <c r="AM29" s="36">
        <v>23.002109840536459</v>
      </c>
      <c r="AN29" s="35">
        <v>2384.0061168731281</v>
      </c>
      <c r="AO29" s="36">
        <v>9.7371543361203994</v>
      </c>
      <c r="AP29" s="35">
        <v>1931.2926649667704</v>
      </c>
      <c r="AQ29" s="36">
        <v>7.53239105618451</v>
      </c>
      <c r="AR29" s="35">
        <v>1466.4208293213151</v>
      </c>
      <c r="AS29" s="36">
        <v>5.4626171577571574</v>
      </c>
      <c r="AT29" s="35">
        <v>989.49560835612328</v>
      </c>
      <c r="AU29" s="36">
        <v>3.5214988565748007</v>
      </c>
      <c r="AV29" s="35">
        <v>500.64134130742735</v>
      </c>
      <c r="AW29" s="36">
        <v>1.7027156595491248</v>
      </c>
    </row>
    <row r="30" spans="1:49" x14ac:dyDescent="0.2">
      <c r="A30" t="s">
        <v>48</v>
      </c>
      <c r="B30" s="119">
        <v>2924829.9599999995</v>
      </c>
      <c r="D30" s="119">
        <v>2952227.4155869777</v>
      </c>
      <c r="F30" s="119">
        <v>2977042.0208951291</v>
      </c>
      <c r="H30" s="119">
        <v>2998718.0211039046</v>
      </c>
      <c r="J30" s="119">
        <v>3016554.3916595634</v>
      </c>
      <c r="L30" s="119">
        <v>3029660.4319868935</v>
      </c>
      <c r="N30" s="119">
        <v>3036894.9148337231</v>
      </c>
      <c r="P30" s="119">
        <v>3036785.7438462228</v>
      </c>
      <c r="R30" s="119">
        <v>3027418.7774512949</v>
      </c>
      <c r="T30" s="119">
        <v>3006285.8518983773</v>
      </c>
      <c r="V30" s="119">
        <v>2970079.8362540565</v>
      </c>
      <c r="X30" s="119">
        <v>2914422.8998420043</v>
      </c>
      <c r="Z30" s="119">
        <v>2833522.0108503201</v>
      </c>
      <c r="AB30" s="119">
        <v>2719771.4343331032</v>
      </c>
      <c r="AD30" s="119">
        <v>2563385.0151662147</v>
      </c>
      <c r="AF30" s="119">
        <v>2352243.1451875954</v>
      </c>
      <c r="AH30" s="119">
        <v>2072265.9056332079</v>
      </c>
      <c r="AJ30" s="119">
        <v>1708627.2529169167</v>
      </c>
      <c r="AL30" s="119">
        <v>1247809.718879472</v>
      </c>
      <c r="AN30" s="119">
        <v>679884.06036647304</v>
      </c>
      <c r="AP30" s="119">
        <v>552924.10067278438</v>
      </c>
      <c r="AR30" s="119">
        <v>421456.16975197417</v>
      </c>
      <c r="AT30" s="119">
        <v>285475.88646699698</v>
      </c>
      <c r="AV30" s="119">
        <v>144986.80213518202</v>
      </c>
    </row>
    <row r="31" spans="1:49" x14ac:dyDescent="0.2">
      <c r="A31" t="s">
        <v>47</v>
      </c>
      <c r="B31" s="80">
        <v>1</v>
      </c>
      <c r="D31" s="80">
        <v>0.98733809296963548</v>
      </c>
      <c r="F31" s="80">
        <v>0.97360150583197114</v>
      </c>
      <c r="H31" s="80">
        <v>0.95863282079040091</v>
      </c>
      <c r="J31" s="80">
        <v>0.94224275405097835</v>
      </c>
      <c r="L31" s="80">
        <v>0.92420187529375164</v>
      </c>
      <c r="N31" s="80">
        <v>0.90422946506884516</v>
      </c>
      <c r="P31" s="80">
        <v>0.88197985479742624</v>
      </c>
      <c r="R31" s="80">
        <v>0.85702412525673177</v>
      </c>
      <c r="T31" s="80">
        <v>0.82882677827985085</v>
      </c>
      <c r="V31" s="80">
        <v>0.79671675208228854</v>
      </c>
      <c r="X31" s="80">
        <v>0.75985367707391671</v>
      </c>
      <c r="Z31" s="80">
        <v>0.71719261194673045</v>
      </c>
      <c r="AB31" s="80">
        <v>0.6674572238101607</v>
      </c>
      <c r="AD31" s="80">
        <v>0.60914224972345388</v>
      </c>
      <c r="AF31" s="80">
        <v>0.54057696060712324</v>
      </c>
      <c r="AH31" s="80">
        <v>0.46008540936836778</v>
      </c>
      <c r="AJ31" s="80">
        <v>0.36625076552259872</v>
      </c>
      <c r="AL31" s="80">
        <v>0.25821911206216136</v>
      </c>
      <c r="AN31" s="80">
        <v>0.13590765269873906</v>
      </c>
      <c r="AP31" s="80">
        <v>0.1097803412875698</v>
      </c>
      <c r="AR31" s="80">
        <v>8.3116066914706743E-2</v>
      </c>
      <c r="AT31" s="80">
        <v>5.5924336146372107E-2</v>
      </c>
      <c r="AV31" s="80">
        <v>2.8215368650051705E-2</v>
      </c>
    </row>
    <row r="32" spans="1:49" x14ac:dyDescent="0.2">
      <c r="A32" t="s">
        <v>64</v>
      </c>
      <c r="B32" s="86">
        <v>14734457.915000005</v>
      </c>
      <c r="D32" s="86">
        <v>14633851.307072857</v>
      </c>
      <c r="F32" s="86">
        <v>14519431.746195583</v>
      </c>
      <c r="H32" s="86">
        <v>14388805.454077845</v>
      </c>
      <c r="J32" s="86">
        <v>14239036.481128071</v>
      </c>
      <c r="L32" s="86">
        <v>14066494.181687657</v>
      </c>
      <c r="N32" s="86">
        <v>13866645.909338141</v>
      </c>
      <c r="P32" s="86">
        <v>13633794.379716471</v>
      </c>
      <c r="R32" s="86">
        <v>13360719.272520091</v>
      </c>
      <c r="T32" s="86">
        <v>13038199.722627265</v>
      </c>
      <c r="V32" s="86">
        <v>12654396.718449794</v>
      </c>
      <c r="X32" s="86">
        <v>12194073.231460258</v>
      </c>
      <c r="Z32" s="86">
        <v>11637674.741171971</v>
      </c>
      <c r="AB32" s="86">
        <v>10960395.745904772</v>
      </c>
      <c r="AD32" s="86">
        <v>10131569.248422837</v>
      </c>
      <c r="AF32" s="86">
        <v>9114996.6568678468</v>
      </c>
      <c r="AH32" s="86">
        <v>7871093.3973050434</v>
      </c>
      <c r="AJ32" s="86">
        <v>6361465.4114969708</v>
      </c>
      <c r="AL32" s="86">
        <v>4555306.8380873343</v>
      </c>
      <c r="AN32" s="86">
        <v>2435277.8766083871</v>
      </c>
      <c r="AP32" s="86">
        <v>1973213.986268315</v>
      </c>
      <c r="AR32" s="86">
        <v>1498558.2556140325</v>
      </c>
      <c r="AT32" s="86">
        <v>1011396.6980642194</v>
      </c>
      <c r="AV32" s="86">
        <v>511835.61522168387</v>
      </c>
    </row>
    <row r="33" spans="1:49 16319:16321" x14ac:dyDescent="0.2">
      <c r="A33" t="s">
        <v>54</v>
      </c>
      <c r="B33" s="117">
        <v>7019665.6909999885</v>
      </c>
      <c r="D33" s="117">
        <v>6943631.5094432896</v>
      </c>
      <c r="F33" s="117">
        <v>6860921.6979996841</v>
      </c>
      <c r="H33" s="117">
        <v>6770444.0956639275</v>
      </c>
      <c r="J33" s="117">
        <v>6670870.2990907915</v>
      </c>
      <c r="L33" s="117">
        <v>6560571.6423768606</v>
      </c>
      <c r="N33" s="117">
        <v>6437532.453296883</v>
      </c>
      <c r="P33" s="117">
        <v>6299241.3638870241</v>
      </c>
      <c r="R33" s="117">
        <v>6142543.9566386836</v>
      </c>
      <c r="T33" s="117">
        <v>5963450.2733064396</v>
      </c>
      <c r="V33" s="117">
        <v>5756888.308705599</v>
      </c>
      <c r="X33" s="117">
        <v>5516402.2826960795</v>
      </c>
      <c r="Z33" s="117">
        <v>5233810.537346988</v>
      </c>
      <c r="AB33" s="117">
        <v>4898886.3565367572</v>
      </c>
      <c r="AD33" s="117">
        <v>4499213.2275346341</v>
      </c>
      <c r="AF33" s="117">
        <v>4020471.1802997412</v>
      </c>
      <c r="AH33" s="117">
        <v>3447489.8369487189</v>
      </c>
      <c r="AJ33" s="117">
        <v>2766247.1998729957</v>
      </c>
      <c r="AL33" s="117">
        <v>1966452.2550688786</v>
      </c>
      <c r="AN33" s="117">
        <v>1043685.8713900442</v>
      </c>
      <c r="AP33" s="117">
        <v>844451.12224784354</v>
      </c>
      <c r="AR33" s="117">
        <v>640407.88499307772</v>
      </c>
      <c r="AT33" s="117">
        <v>431609.8385747798</v>
      </c>
      <c r="AV33" s="117">
        <v>218117.99947986891</v>
      </c>
    </row>
    <row r="34" spans="1:49 16319:16321" x14ac:dyDescent="0.2">
      <c r="A34" t="s">
        <v>75</v>
      </c>
      <c r="B34" s="117">
        <v>1136879.4410000162</v>
      </c>
      <c r="D34" s="117">
        <v>1129116.8187903415</v>
      </c>
      <c r="F34" s="117">
        <v>1120288.4812482595</v>
      </c>
      <c r="H34" s="117">
        <v>1110209.6359937496</v>
      </c>
      <c r="J34" s="117">
        <v>1098653.7692729491</v>
      </c>
      <c r="L34" s="117">
        <v>1085340.7874856868</v>
      </c>
      <c r="N34" s="117">
        <v>1069920.9241039937</v>
      </c>
      <c r="P34" s="117">
        <v>1051954.5520044093</v>
      </c>
      <c r="R34" s="117">
        <v>1030884.6989689271</v>
      </c>
      <c r="T34" s="117">
        <v>1005999.7668718351</v>
      </c>
      <c r="V34" s="117">
        <v>976386.34505174961</v>
      </c>
      <c r="X34" s="117">
        <v>940868.78675466403</v>
      </c>
      <c r="Z34" s="117">
        <v>897938.23547546635</v>
      </c>
      <c r="AB34" s="117">
        <v>845680.82983989571</v>
      </c>
      <c r="AD34" s="117">
        <v>781730.34815146879</v>
      </c>
      <c r="AF34" s="117">
        <v>703293.7594612434</v>
      </c>
      <c r="AH34" s="117">
        <v>607316.82971138577</v>
      </c>
      <c r="AJ34" s="117">
        <v>490837.14389450033</v>
      </c>
      <c r="AL34" s="117">
        <v>351477.78970572981</v>
      </c>
      <c r="AN34" s="117">
        <v>187900.85862750199</v>
      </c>
      <c r="AP34" s="117">
        <v>152248.9934006691</v>
      </c>
      <c r="AR34" s="117">
        <v>115625.56953773173</v>
      </c>
      <c r="AT34" s="117">
        <v>78037.220261391121</v>
      </c>
      <c r="AV34" s="117">
        <v>39492.147277437121</v>
      </c>
    </row>
    <row r="35" spans="1:49 16319:16321" x14ac:dyDescent="0.2">
      <c r="A35" t="s">
        <v>78</v>
      </c>
      <c r="B35" s="233">
        <v>1</v>
      </c>
      <c r="D35" s="233">
        <v>1.0018545113997384</v>
      </c>
      <c r="F35" s="233">
        <v>1.0038931855926354</v>
      </c>
      <c r="H35" s="233">
        <v>1.0061396660431652</v>
      </c>
      <c r="J35" s="233">
        <v>1.0086218976912533</v>
      </c>
      <c r="L35" s="233">
        <v>1.0113731233668997</v>
      </c>
      <c r="N35" s="233">
        <v>1.0144331368463402</v>
      </c>
      <c r="P35" s="233">
        <v>1.017849775098949</v>
      </c>
      <c r="R35" s="233">
        <v>1.0216807150532938</v>
      </c>
      <c r="T35" s="233">
        <v>1.0259954173872659</v>
      </c>
      <c r="V35" s="233">
        <v>1.0308770362234509</v>
      </c>
      <c r="X35" s="233">
        <v>1.0364235487309181</v>
      </c>
      <c r="Z35" s="233">
        <v>1.0427468935800643</v>
      </c>
      <c r="AB35" s="233">
        <v>1.0499678034718476</v>
      </c>
      <c r="AD35" s="233">
        <v>1.0582030921815653</v>
      </c>
      <c r="AF35" s="233">
        <v>1.0675421908036085</v>
      </c>
      <c r="AH35" s="233">
        <v>1.0780132300161722</v>
      </c>
      <c r="AJ35" s="233">
        <v>1.0895475777061987</v>
      </c>
      <c r="AL35" s="233">
        <v>1.1019620240059589</v>
      </c>
      <c r="AN35" s="233">
        <v>1.114976949259183</v>
      </c>
      <c r="AP35" s="233">
        <v>1.1176235766440983</v>
      </c>
      <c r="AR35" s="233">
        <v>1.1202786185326357</v>
      </c>
      <c r="AT35" s="233">
        <v>1.1229395241086879</v>
      </c>
      <c r="AV35" s="233">
        <v>1.1256038123997112</v>
      </c>
    </row>
    <row r="36" spans="1:49 16319:16321" x14ac:dyDescent="0.2">
      <c r="A36" t="s">
        <v>21</v>
      </c>
      <c r="B36" s="37">
        <v>0.4719576767198812</v>
      </c>
      <c r="C36" s="38">
        <v>0.31738834428178975</v>
      </c>
      <c r="D36" s="37">
        <v>0.47196798791148592</v>
      </c>
      <c r="E36" s="38">
        <v>0.31850631203496904</v>
      </c>
      <c r="F36" s="37">
        <v>0.47197865749862211</v>
      </c>
      <c r="G36" s="38">
        <v>0.31971069081087061</v>
      </c>
      <c r="H36" s="37">
        <v>0.47198972258618593</v>
      </c>
      <c r="I36" s="38">
        <v>0.3210106490843197</v>
      </c>
      <c r="J36" s="37">
        <v>0.47200122281143508</v>
      </c>
      <c r="K36" s="38">
        <v>0.32241648862399575</v>
      </c>
      <c r="L36" s="37">
        <v>0.47201319899777777</v>
      </c>
      <c r="M36" s="38">
        <v>0.32393976637828698</v>
      </c>
      <c r="N36" s="37">
        <v>0.47202569128382915</v>
      </c>
      <c r="O36" s="38">
        <v>0.32559340500748263</v>
      </c>
      <c r="P36" s="37">
        <v>0.47203873443987493</v>
      </c>
      <c r="Q36" s="38">
        <v>0.32739177000901004</v>
      </c>
      <c r="R36" s="37">
        <v>0.47205235099135601</v>
      </c>
      <c r="S36" s="38">
        <v>0.32935066819341657</v>
      </c>
      <c r="T36" s="37">
        <v>0.47206654189532732</v>
      </c>
      <c r="U36" s="38">
        <v>0.33148717213985857</v>
      </c>
      <c r="V36" s="37">
        <v>0.47208127123470478</v>
      </c>
      <c r="W36" s="38">
        <v>0.33381916996071975</v>
      </c>
      <c r="X36" s="37">
        <v>0.47209644596163103</v>
      </c>
      <c r="Y36" s="38">
        <v>0.33636437414927473</v>
      </c>
      <c r="Z36" s="37">
        <v>0.47211189040780976</v>
      </c>
      <c r="AA36" s="38">
        <v>0.3391384818723876</v>
      </c>
      <c r="AB36" s="37">
        <v>0.47212732020555015</v>
      </c>
      <c r="AC36" s="38">
        <v>0.34215204685195005</v>
      </c>
      <c r="AD36" s="37">
        <v>0.47214232257954103</v>
      </c>
      <c r="AE36" s="38">
        <v>0.3454057187260009</v>
      </c>
      <c r="AF36" s="37">
        <v>0.47215636379572395</v>
      </c>
      <c r="AG36" s="38">
        <v>0.34888404461169564</v>
      </c>
      <c r="AH36" s="37">
        <v>0.4721688448345549</v>
      </c>
      <c r="AI36" s="38">
        <v>0.35254937013101972</v>
      </c>
      <c r="AJ36" s="37">
        <v>0.47217921324394602</v>
      </c>
      <c r="AK36" s="38">
        <v>0.35633917411827321</v>
      </c>
      <c r="AL36" s="37">
        <v>0.47218710443640832</v>
      </c>
      <c r="AM36" s="38">
        <v>0.36017081689695929</v>
      </c>
      <c r="AN36" s="37">
        <v>0.47219244163866253</v>
      </c>
      <c r="AO36" s="38">
        <v>0.36395456749443583</v>
      </c>
      <c r="AP36" s="37">
        <v>0.47219321688419119</v>
      </c>
      <c r="AQ36" s="38">
        <v>0.36469816889498141</v>
      </c>
      <c r="AR36" s="37">
        <v>0.47219390058644328</v>
      </c>
      <c r="AS36" s="38">
        <v>0.36543601351375254</v>
      </c>
      <c r="AT36" s="37">
        <v>0.47219449585581885</v>
      </c>
      <c r="AU36" s="38">
        <v>0.36616758714605946</v>
      </c>
      <c r="AV36" s="37">
        <v>0.47219500602625458</v>
      </c>
      <c r="AW36" s="38">
        <v>0.36689241646216991</v>
      </c>
    </row>
    <row r="37" spans="1:49 16319:16321" x14ac:dyDescent="0.2">
      <c r="B37" s="39">
        <v>2.1403217525954435E-2</v>
      </c>
      <c r="C37" s="40">
        <v>0.34962461301992531</v>
      </c>
      <c r="D37" s="39">
        <v>2.0795672295815339E-2</v>
      </c>
      <c r="E37" s="40">
        <v>0.34660693903365963</v>
      </c>
      <c r="F37" s="39">
        <v>2.0181101817153171E-2</v>
      </c>
      <c r="G37" s="40">
        <v>0.3435468280316914</v>
      </c>
      <c r="H37" s="39">
        <v>1.9559618476620317E-2</v>
      </c>
      <c r="I37" s="40">
        <v>0.34044534134259169</v>
      </c>
      <c r="J37" s="39">
        <v>1.8931403366958074E-2</v>
      </c>
      <c r="K37" s="40">
        <v>0.33730404452469154</v>
      </c>
      <c r="L37" s="39">
        <v>1.8296725889127938E-2</v>
      </c>
      <c r="M37" s="40">
        <v>0.33412513343042682</v>
      </c>
      <c r="N37" s="39">
        <v>1.7655970336300932E-2</v>
      </c>
      <c r="O37" s="40">
        <v>0.33091159805732201</v>
      </c>
      <c r="P37" s="39">
        <v>1.7009672209681328E-2</v>
      </c>
      <c r="Q37" s="40">
        <v>0.32766743786912977</v>
      </c>
      <c r="R37" s="39">
        <v>1.6358570471054237E-2</v>
      </c>
      <c r="S37" s="40">
        <v>0.32439795715646874</v>
      </c>
      <c r="T37" s="39">
        <v>1.5703688897681638E-2</v>
      </c>
      <c r="U37" s="40">
        <v>0.32111020256517958</v>
      </c>
      <c r="V37" s="39">
        <v>1.5046445794183011E-2</v>
      </c>
      <c r="W37" s="40">
        <v>0.31781353363100462</v>
      </c>
      <c r="X37" s="39">
        <v>1.4388820508620536E-2</v>
      </c>
      <c r="Y37" s="40">
        <v>0.31452045443326609</v>
      </c>
      <c r="Z37" s="39">
        <v>1.3733579702067187E-2</v>
      </c>
      <c r="AA37" s="40">
        <v>0.31124769963629484</v>
      </c>
      <c r="AB37" s="39">
        <v>1.3084565396101167E-2</v>
      </c>
      <c r="AC37" s="40">
        <v>0.30801754913181623</v>
      </c>
      <c r="AD37" s="39">
        <v>1.244699795063803E-2</v>
      </c>
      <c r="AE37" s="40">
        <v>0.30485908992827782</v>
      </c>
      <c r="AF37" s="39">
        <v>1.1827664198034589E-2</v>
      </c>
      <c r="AG37" s="40">
        <v>0.30180873581129308</v>
      </c>
      <c r="AH37" s="39">
        <v>1.1234750214947884E-2</v>
      </c>
      <c r="AI37" s="40">
        <v>0.29890882123222517</v>
      </c>
      <c r="AJ37" s="39">
        <v>1.0677058362872128E-2</v>
      </c>
      <c r="AK37" s="40">
        <v>0.29620311881291678</v>
      </c>
      <c r="AL37" s="39">
        <v>1.0162568037449367E-2</v>
      </c>
      <c r="AM37" s="40">
        <v>0.29372937353034889</v>
      </c>
      <c r="AN37" s="39">
        <v>9.6968048754664977E-3</v>
      </c>
      <c r="AO37" s="40">
        <v>0.29151144269600654</v>
      </c>
      <c r="AP37" s="39">
        <v>9.6097434587361242E-3</v>
      </c>
      <c r="AQ37" s="40">
        <v>0.29109937444827355</v>
      </c>
      <c r="AR37" s="39">
        <v>9.5247226288834794E-3</v>
      </c>
      <c r="AS37" s="40">
        <v>0.29069777519871592</v>
      </c>
      <c r="AT37" s="39">
        <v>9.4417354278386913E-3</v>
      </c>
      <c r="AU37" s="40">
        <v>0.29030657323948661</v>
      </c>
      <c r="AV37" s="39">
        <v>9.3607697382301052E-3</v>
      </c>
      <c r="AW37" s="40">
        <v>0.28992567191689333</v>
      </c>
    </row>
    <row r="38" spans="1:49 16319:16321" x14ac:dyDescent="0.2">
      <c r="A38" t="s">
        <v>22</v>
      </c>
      <c r="B38" s="37">
        <v>0.18079094942242827</v>
      </c>
      <c r="C38" s="38">
        <v>6.0565413429233668E-2</v>
      </c>
      <c r="D38" s="37">
        <v>0.18099177804162597</v>
      </c>
      <c r="E38" s="38">
        <v>6.0948772315378E-2</v>
      </c>
      <c r="F38" s="37">
        <v>0.1812084095649695</v>
      </c>
      <c r="G38" s="38">
        <v>6.1361933113006972E-2</v>
      </c>
      <c r="H38" s="37">
        <v>0.18144228325558578</v>
      </c>
      <c r="I38" s="38">
        <v>6.1808066393995456E-2</v>
      </c>
      <c r="J38" s="37">
        <v>0.18169498722003838</v>
      </c>
      <c r="K38" s="38">
        <v>6.2290765616487227E-2</v>
      </c>
      <c r="L38" s="37">
        <v>0.18196826722685136</v>
      </c>
      <c r="M38" s="38">
        <v>6.2814106771932846E-2</v>
      </c>
      <c r="N38" s="37">
        <v>0.18226403040666683</v>
      </c>
      <c r="O38" s="38">
        <v>6.3382616224357771E-2</v>
      </c>
      <c r="P38" s="37">
        <v>0.18258434554087244</v>
      </c>
      <c r="Q38" s="38">
        <v>6.4001387372663657E-2</v>
      </c>
      <c r="R38" s="37">
        <v>0.18293142922026359</v>
      </c>
      <c r="S38" s="38">
        <v>6.4676058378623127E-2</v>
      </c>
      <c r="T38" s="37">
        <v>0.1833075935142344</v>
      </c>
      <c r="U38" s="38">
        <v>6.5412810071869942E-2</v>
      </c>
      <c r="V38" s="37">
        <v>0.18371516580357211</v>
      </c>
      <c r="W38" s="38">
        <v>6.6218158168134866E-2</v>
      </c>
      <c r="X38" s="37">
        <v>0.18415631726316004</v>
      </c>
      <c r="Y38" s="38">
        <v>6.7098721955859766E-2</v>
      </c>
      <c r="Z38" s="37">
        <v>0.18463277366969694</v>
      </c>
      <c r="AA38" s="38">
        <v>6.8060599247390371E-2</v>
      </c>
      <c r="AB38" s="37">
        <v>0.18514535013219419</v>
      </c>
      <c r="AC38" s="38">
        <v>6.9108246298596451E-2</v>
      </c>
      <c r="AD38" s="37">
        <v>0.18569327035052002</v>
      </c>
      <c r="AE38" s="38">
        <v>7.0242935090484238E-2</v>
      </c>
      <c r="AF38" s="37">
        <v>0.18627332037377969</v>
      </c>
      <c r="AG38" s="38">
        <v>7.1460515273329139E-2</v>
      </c>
      <c r="AH38" s="37">
        <v>0.18687907636587639</v>
      </c>
      <c r="AI38" s="38">
        <v>7.27491017650405E-2</v>
      </c>
      <c r="AJ38" s="37">
        <v>0.18750067074585833</v>
      </c>
      <c r="AK38" s="38">
        <v>7.408799396062582E-2</v>
      </c>
      <c r="AL38" s="37">
        <v>0.18812563056027681</v>
      </c>
      <c r="AM38" s="38">
        <v>7.5449002144998986E-2</v>
      </c>
      <c r="AN38" s="37">
        <v>0.1887408264227354</v>
      </c>
      <c r="AO38" s="38">
        <v>7.6800762765429575E-2</v>
      </c>
      <c r="AP38" s="37">
        <v>0.18886163347772283</v>
      </c>
      <c r="AQ38" s="38">
        <v>7.7067376907243454E-2</v>
      </c>
      <c r="AR38" s="37">
        <v>0.18898150315098139</v>
      </c>
      <c r="AS38" s="38">
        <v>7.7332244273320305E-2</v>
      </c>
      <c r="AT38" s="37">
        <v>0.18910036300776265</v>
      </c>
      <c r="AU38" s="38">
        <v>7.7595177411625887E-2</v>
      </c>
      <c r="AV38" s="37">
        <v>0.1892181467118256</v>
      </c>
      <c r="AW38" s="38">
        <v>7.7855996684458986E-2</v>
      </c>
    </row>
    <row r="39" spans="1:49 16319:16321" x14ac:dyDescent="0.2">
      <c r="A39" t="s">
        <v>23</v>
      </c>
      <c r="B39" s="39">
        <v>0.23064923795098646</v>
      </c>
      <c r="C39" s="40">
        <v>0.22092201281804777</v>
      </c>
      <c r="D39" s="39">
        <v>0.23097585290714021</v>
      </c>
      <c r="E39" s="40">
        <v>0.22235429501615664</v>
      </c>
      <c r="F39" s="39">
        <v>0.23132670627087434</v>
      </c>
      <c r="G39" s="40">
        <v>0.2238975659934162</v>
      </c>
      <c r="H39" s="39">
        <v>0.23170499644244455</v>
      </c>
      <c r="I39" s="40">
        <v>0.22556422748257995</v>
      </c>
      <c r="J39" s="39">
        <v>0.23211445086706453</v>
      </c>
      <c r="K39" s="40">
        <v>0.22736833466026254</v>
      </c>
      <c r="L39" s="39">
        <v>0.23255942546249667</v>
      </c>
      <c r="M39" s="40">
        <v>0.22932580855179727</v>
      </c>
      <c r="N39" s="39">
        <v>0.23304502020515119</v>
      </c>
      <c r="O39" s="40">
        <v>0.23145478838151723</v>
      </c>
      <c r="P39" s="39">
        <v>0.23357720298888404</v>
      </c>
      <c r="Q39" s="40">
        <v>0.23377573893856612</v>
      </c>
      <c r="R39" s="39">
        <v>0.23416293659024057</v>
      </c>
      <c r="S39" s="40">
        <v>0.2363116614460852</v>
      </c>
      <c r="T39" s="39">
        <v>0.23481029623350375</v>
      </c>
      <c r="U39" s="40">
        <v>0.23908801032822274</v>
      </c>
      <c r="V39" s="39">
        <v>0.23552851207504577</v>
      </c>
      <c r="W39" s="40">
        <v>0.24213246448745437</v>
      </c>
      <c r="X39" s="39">
        <v>0.23632787410268638</v>
      </c>
      <c r="Y39" s="40">
        <v>0.24547379148648096</v>
      </c>
      <c r="Z39" s="39">
        <v>0.2372193413017159</v>
      </c>
      <c r="AA39" s="40">
        <v>0.24913973738063905</v>
      </c>
      <c r="AB39" s="39">
        <v>0.23821362580527483</v>
      </c>
      <c r="AC39" s="40">
        <v>0.25315317226604533</v>
      </c>
      <c r="AD39" s="39">
        <v>0.23931948387829985</v>
      </c>
      <c r="AE39" s="40">
        <v>0.25752552293345143</v>
      </c>
      <c r="AF39" s="39">
        <v>0.24054103031097815</v>
      </c>
      <c r="AG39" s="40">
        <v>0.26224790075161114</v>
      </c>
      <c r="AH39" s="39">
        <v>0.24187436645649027</v>
      </c>
      <c r="AI39" s="40">
        <v>0.26728148281743319</v>
      </c>
      <c r="AJ39" s="39">
        <v>0.24330470807435778</v>
      </c>
      <c r="AK39" s="40">
        <v>0.2725513605611492</v>
      </c>
      <c r="AL39" s="39">
        <v>0.2448059622876719</v>
      </c>
      <c r="AM39" s="40">
        <v>0.2779502961372094</v>
      </c>
      <c r="AN39" s="39">
        <v>0.24634413945739872</v>
      </c>
      <c r="AO39" s="40">
        <v>0.2833546888666808</v>
      </c>
      <c r="AP39" s="39">
        <v>0.24665302665566952</v>
      </c>
      <c r="AQ39" s="40">
        <v>0.28442553053559666</v>
      </c>
      <c r="AR39" s="39">
        <v>0.24696167974968067</v>
      </c>
      <c r="AS39" s="40">
        <v>0.28549097087188913</v>
      </c>
      <c r="AT39" s="39">
        <v>0.24726983818859358</v>
      </c>
      <c r="AU39" s="40">
        <v>0.28655021298391598</v>
      </c>
      <c r="AV39" s="39">
        <v>0.24757725271190287</v>
      </c>
      <c r="AW39" s="40">
        <v>0.287602520068235</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0.11367877179994482</v>
      </c>
      <c r="E42" s="135"/>
      <c r="F42" s="177">
        <f>10.8%+(1-10.8%)*(1-SUM(F26:G26)/SUM($B$26:$C$26))</f>
        <v>0.12009772463399582</v>
      </c>
      <c r="G42" s="135"/>
      <c r="H42" s="177">
        <f>10.8%+(1-10.8%)*(1-SUM(H26:I26)/SUM($B$26:$C$26))</f>
        <v>0.12739506393920749</v>
      </c>
      <c r="I42" s="135"/>
      <c r="J42" s="177">
        <f>10.8%+(1-10.8%)*(1-SUM(J26:K26)/SUM($B$26:$C$26))</f>
        <v>0.13574231725144106</v>
      </c>
      <c r="K42" s="135"/>
      <c r="L42" s="177">
        <f>10.8%+(1-10.8%)*(1-SUM(L26:M26)/SUM($B$26:$C$26))</f>
        <v>0.14535425308347527</v>
      </c>
      <c r="M42" s="135"/>
      <c r="N42" s="177">
        <f>10.8%+(1-10.8%)*(1-SUM(N26:O26)/SUM($B$26:$C$26))</f>
        <v>0.15650242278592152</v>
      </c>
      <c r="O42" s="135"/>
      <c r="P42" s="177">
        <f>10.8%+(1-10.8%)*(1-SUM(P26:Q26)/SUM($B$26:$C$26))</f>
        <v>0.16953263442190208</v>
      </c>
      <c r="Q42" s="135"/>
      <c r="R42" s="177">
        <f>10.8%+(1-10.8%)*(1-SUM(R26:S26)/SUM($B$26:$C$26))</f>
        <v>0.18488886688175343</v>
      </c>
      <c r="S42" s="135"/>
      <c r="T42" s="177">
        <f>10.8%+(1-10.8%)*(1-SUM(T26:U26)/SUM($B$26:$C$26))</f>
        <v>0.20314550928390743</v>
      </c>
      <c r="U42" s="135"/>
      <c r="V42" s="177">
        <f>10.8%+(1-10.8%)*(1-SUM(V26:W26)/SUM($B$26:$C$26))</f>
        <v>0.22504917315924211</v>
      </c>
      <c r="W42" s="135"/>
      <c r="X42" s="177">
        <f>10.8%+(1-10.8%)*(1-SUM(X26:Y26)/SUM($B$26:$C$26))</f>
        <v>0.25157201937674467</v>
      </c>
      <c r="Y42" s="162"/>
      <c r="Z42" s="177">
        <f>10.8%+(1-10.8%)*(1-SUM(Z26:AA26)/SUM($B$26:$C$26))</f>
        <v>0.28397488673831928</v>
      </c>
      <c r="AA42" s="135"/>
      <c r="AB42" s="177">
        <f>10.8%+(1-10.8%)*(1-SUM(AB26:AC26)/SUM($B$26:$C$26))</f>
        <v>0.32387181181917002</v>
      </c>
      <c r="AC42" s="135"/>
      <c r="AD42" s="177">
        <f>10.8%+(1-10.8%)*(1-SUM(AD26:AE26)/SUM($B$26:$C$26))</f>
        <v>0.37327326025342289</v>
      </c>
      <c r="AE42" s="135"/>
      <c r="AF42" s="177">
        <f>10.8%+(1-10.8%)*(1-SUM(AF26:AG26)/SUM($B$26:$C$26))</f>
        <v>0.43456587062355534</v>
      </c>
      <c r="AG42" s="135"/>
      <c r="AH42" s="177">
        <f>10.8%+(1-10.8%)*(1-SUM(AH26:AI26)/SUM($B$26:$C$26))</f>
        <v>0.51036957283385886</v>
      </c>
      <c r="AI42" s="135"/>
      <c r="AJ42" s="177">
        <f>10.8%+(1-10.8%)*(1-SUM(AJ26:AK26)/SUM($B$26:$C$26))</f>
        <v>0.60323113950876284</v>
      </c>
      <c r="AK42" s="135"/>
      <c r="AL42" s="177">
        <f>10.8%+(1-10.8%)*(1-SUM(AL26:AM26)/SUM($B$26:$C$26))</f>
        <v>0.71519629209351654</v>
      </c>
      <c r="AM42" s="135"/>
      <c r="AN42" s="177">
        <f>10.8%+(1-10.8%)*(1-SUM(AN26:AO26)/SUM($B$26:$C$26))</f>
        <v>0.84741911385455782</v>
      </c>
      <c r="AO42" s="135"/>
      <c r="AP42" s="177">
        <f>10.8%+(1-10.8%)*(1-SUM(AP26:AQ26)/SUM($B$26:$C$26))</f>
        <v>0.87632135012281709</v>
      </c>
      <c r="AQ42" s="135"/>
      <c r="AR42" s="177">
        <f>10.8%+(1-10.8%)*(1-SUM(AR26:AS26)/SUM($B$26:$C$26))</f>
        <v>0.9060367850489921</v>
      </c>
      <c r="AS42" s="135"/>
      <c r="AT42" s="177">
        <f>10.8%+(1-10.8%)*(1-SUM(AT26:AU26)/SUM($B$26:$C$26))</f>
        <v>0.93655984297267059</v>
      </c>
      <c r="AU42" s="135"/>
      <c r="AV42" s="177">
        <f>10.8%+(1-10.8%)*(1-SUM(AV26:AW26)/SUM($B$26:$C$26))</f>
        <v>0.96788362167599074</v>
      </c>
    </row>
    <row r="43" spans="1:49 16319:16321" x14ac:dyDescent="0.2">
      <c r="A43" t="s">
        <v>108</v>
      </c>
      <c r="B43" s="162">
        <f>SUM(B15:C15*B27:C27)/SUM(B15:C15*B27:C27,B13:C13*B26:C26)</f>
        <v>0.56058995943839085</v>
      </c>
      <c r="C43" s="135"/>
      <c r="D43" s="162">
        <f t="array" ref="D43">SUM(D15:E15*D27:E27)/SUM(D15:E15*D27:E27,D13:E13*D26:E26)</f>
        <v>0.56666365383268569</v>
      </c>
      <c r="E43" s="135"/>
      <c r="F43" s="162">
        <f t="array" ref="F43">SUM(F15:G15*F27:G27)/SUM(F15:G15*F27:G27,F13:G13*F26:G26)</f>
        <v>0.56611644667502614</v>
      </c>
      <c r="G43" s="135"/>
      <c r="H43" s="162">
        <f t="array" ref="H43">SUM(H15:I15*H27:I27)/SUM(H15:I15*H27:I27,H13:I13*H26:I26)</f>
        <v>0.5655557307531065</v>
      </c>
      <c r="I43" s="135"/>
      <c r="J43" s="162">
        <f t="array" ref="J43">SUM(J15:K15*J27:K27)/SUM(J15:K15*J27:K27,J13:K13*J26:K26)</f>
        <v>0.56497756421506051</v>
      </c>
      <c r="K43" s="135"/>
      <c r="L43" s="162">
        <f t="array" ref="L43">SUM(L15:M15*L27:M27)/SUM(L15:M15*L27:M27,L13:M13*L26:M26)</f>
        <v>0.56437707573724427</v>
      </c>
      <c r="M43" s="135"/>
      <c r="N43" s="162">
        <f t="array" ref="N43">SUM(N15:O15*N27:O27)/SUM(N15:O15*N27:O27,N13:O13*N26:O26)</f>
        <v>0.56374828321141757</v>
      </c>
      <c r="O43" s="135"/>
      <c r="P43" s="162">
        <f t="array" ref="P43">SUM(P15:Q15*P27:Q27)/SUM(P15:Q15*P27:Q27,P13:Q13*P26:Q26)</f>
        <v>0.56308383941114903</v>
      </c>
      <c r="Q43" s="135"/>
      <c r="R43" s="162">
        <f t="array" ref="R43">SUM(R15:S15*R27:S27)/SUM(R15:S15*R27:S27,R13:S13*R26:S26)</f>
        <v>0.56237478217619807</v>
      </c>
      <c r="S43" s="135"/>
      <c r="T43" s="162">
        <f t="array" ref="T43">SUM(T15:U15*T27:U27)/SUM(T15:U15*T27:U27,T13:U13*T26:U26)</f>
        <v>0.56161026352128207</v>
      </c>
      <c r="U43" s="135"/>
      <c r="V43" s="162">
        <f t="array" ref="V43">SUM(V15:W15*V27:W27)/SUM(V15:W15*V27:W27,V13:W13*V26:W26)</f>
        <v>0.56077735236091619</v>
      </c>
      <c r="W43" s="135"/>
      <c r="X43" s="162">
        <f t="array" ref="X43">SUM(X15:Y15*X27:Y27)/SUM(X15:Y15*X27:Y27,X13:Y13*X26:Y26)</f>
        <v>0.55986096016117715</v>
      </c>
      <c r="Y43" s="135"/>
      <c r="Z43" s="162">
        <f t="array" ref="Z43">SUM(Z15:AA15*Z27:AA27)/SUM(Z15:AA15*Z27:AA27,Z13:AA13*Z26:AA26)</f>
        <v>0.55884414080728206</v>
      </c>
      <c r="AA43" s="135"/>
      <c r="AB43" s="162">
        <f t="array" ref="AB43">SUM(AB15:AC15*AB27:AC27)/SUM(AB15:AC15*AB27:AC27,AB13:AC13*AB26:AC26)</f>
        <v>0.55770905648643265</v>
      </c>
      <c r="AC43" s="135"/>
      <c r="AD43" s="162">
        <f t="array" ref="AD43">SUM(AD15:AE15*AD27:AE27)/SUM(AD15:AE15*AD27:AE27,AD13:AE13*AD26:AE26)</f>
        <v>0.55643903981850895</v>
      </c>
      <c r="AE43" s="135"/>
      <c r="AF43" s="162">
        <f t="array" ref="AF43">SUM(AF15:AG15*AF27:AG27)/SUM(AF15:AG15*AF27:AG27,AF13:AG13*AF26:AG26)</f>
        <v>0.55502214483581025</v>
      </c>
      <c r="AG43" s="135"/>
      <c r="AH43" s="162">
        <f t="array" ref="AH43">SUM(AH15:AI15*AH27:AI27)/SUM(AH15:AI15*AH27:AI27,AH13:AI13*AH26:AI26)</f>
        <v>0.55345598614529568</v>
      </c>
      <c r="AI43" s="135"/>
      <c r="AJ43" s="162">
        <f t="array" ref="AJ43">SUM(AJ15:AK15*AJ27:AK27)/SUM(AJ15:AK15*AJ27:AK27,AJ13:AK13*AJ26:AK26)</f>
        <v>0.55175246771997011</v>
      </c>
      <c r="AK43" s="135"/>
      <c r="AL43" s="162">
        <f t="array" ref="AL43">SUM(AL15:AM15*AL27:AM27)/SUM(AL15:AM15*AL27:AM27,AL13:AM13*AL26:AM26)</f>
        <v>0.54993968626857137</v>
      </c>
      <c r="AM43" s="135"/>
      <c r="AN43" s="162">
        <f t="array" ref="AN43">SUM(AN15:AO15*AN27:AO27)/SUM(AN15:AO15*AN27:AO27,AN13:AO13*AN26:AO26)</f>
        <v>0.54805865061200609</v>
      </c>
      <c r="AO43" s="135"/>
      <c r="AP43" s="162">
        <f t="array" ref="AP43">SUM(AP15:AQ15*AP27:AQ27)/SUM(AP15:AQ15*AP27:AQ27,AP13:AQ13*AP26:AQ26)</f>
        <v>0.54767831877429352</v>
      </c>
      <c r="AQ43" s="135"/>
      <c r="AR43" s="162">
        <f t="array" ref="AR43">SUM(AR15:AS15*AR27:AS27)/SUM(AR15:AS15*AR27:AS27,AR13:AS13*AR26:AS26)</f>
        <v>0.54729747407563489</v>
      </c>
      <c r="AS43" s="135"/>
      <c r="AT43" s="162">
        <f t="array" ref="AT43">SUM(AT15:AU15*AT27:AU27)/SUM(AT15:AU15*AT27:AU27,AT13:AU13*AT26:AU26)</f>
        <v>0.54691647369958984</v>
      </c>
      <c r="AU43" s="135"/>
      <c r="AV43" s="162">
        <f t="array" ref="AV43">SUM(AV15:AW15*AV27:AW27)/SUM(AV15:AW15*AV27:AW27,AV13:AW13*AV26:AW26)</f>
        <v>0.54653566339055426</v>
      </c>
    </row>
    <row r="44" spans="1:49 16319:16321" x14ac:dyDescent="0.2">
      <c r="A44" t="s">
        <v>142</v>
      </c>
      <c r="B44" s="193">
        <f>(SUM(B11:C11*B24:C24)+B34)/B32</f>
        <v>0.29754226190682465</v>
      </c>
      <c r="D44" s="193">
        <f>(SUM(D11:E11*D24:E24)+D34)/D32</f>
        <v>0.29946274289308544</v>
      </c>
      <c r="F44" s="193">
        <f>(SUM(F11:G11*F24:G24)+F34)/F32</f>
        <v>0.30142003392680267</v>
      </c>
      <c r="H44" s="193">
        <f>(SUM(H11:I11*H24:I24)+H34)/H32</f>
        <v>0.30341827271467015</v>
      </c>
      <c r="J44" s="193">
        <f>(SUM(J11:K11*J24:K24)+J34)/J32</f>
        <v>0.30546210304247445</v>
      </c>
      <c r="L44" s="193">
        <f>(SUM(L11:M11*L24:M24)+L34)/L32</f>
        <v>0.30755672750676005</v>
      </c>
      <c r="N44" s="193">
        <f>(SUM(N11:O11*N24:O24)+N34)/N32</f>
        <v>0.30970797165192387</v>
      </c>
      <c r="P44" s="193">
        <f>(SUM(P11:Q11*P24:Q24)+P34)/P32</f>
        <v>0.3119223764155955</v>
      </c>
      <c r="R44" s="193">
        <f>(SUM(R11:S11*R24:S24)+R34)/R32</f>
        <v>0.31420729291961591</v>
      </c>
      <c r="T44" s="193">
        <f>(SUM(T11:U11*T24:U24)+T34)/T32</f>
        <v>0.31657084378795514</v>
      </c>
      <c r="V44" s="193">
        <f>(SUM(V11:W11*V24:W24)+V34)/V32</f>
        <v>0.31902192971397975</v>
      </c>
      <c r="X44" s="193">
        <f>(SUM(X11:Y11*X24:Y24)+X34)/X32</f>
        <v>0.32156990549271625</v>
      </c>
      <c r="Z44" s="193">
        <f>(SUM(Z11:AA11*Z24:AA24)+Z34)/Z32</f>
        <v>0.32422387483290344</v>
      </c>
      <c r="AB44" s="193">
        <f>(SUM(AB11:AC11*AB24:AC24)+AB34)/AB32</f>
        <v>0.32699125228404974</v>
      </c>
      <c r="AD44" s="193">
        <f>(SUM(AD11:AE11*AD24:AE24)+AD34)/AD32</f>
        <v>0.32987518162804291</v>
      </c>
      <c r="AF44" s="193">
        <f>(SUM(AF11:AG11*AF24:AG24)+AF34)/AF32</f>
        <v>0.33287067366937567</v>
      </c>
      <c r="AH44" s="193">
        <f>(SUM(AH11:AI11*AH24:AI24)+AH34)/AH32</f>
        <v>0.33596002977538197</v>
      </c>
      <c r="AJ44" s="193">
        <f>(SUM(AJ11:AK11*AJ24:AK24)+AJ34)/AJ32</f>
        <v>0.33910945990345037</v>
      </c>
      <c r="AL44" s="193">
        <f>(SUM(AL11:AM11*AL24:AM24)+AL34)/AL32</f>
        <v>0.34226997588972302</v>
      </c>
      <c r="AN44" s="193">
        <f>(SUM(AN11:AO11*AN24:AO24)+AN34)/AN32</f>
        <v>0.34538427512950393</v>
      </c>
      <c r="AP44" s="193">
        <f>(SUM(AP11:AQ11*AP24:AQ24)+AP34)/AP32</f>
        <v>0.34599660066378812</v>
      </c>
      <c r="AR44" s="193">
        <f>(SUM(AR11:AS11*AR24:AS24)+AR34)/AR32</f>
        <v>0.34660445309674742</v>
      </c>
      <c r="AT44" s="193">
        <f>(SUM(AT11:AU11*AT24:AU24)+AT34)/AT32</f>
        <v>0.3472074560408876</v>
      </c>
      <c r="AV44" s="193">
        <f>(SUM(AV11:AW11*AV24:AW24)+AV34)/AV32</f>
        <v>0.34780525673844154</v>
      </c>
    </row>
    <row r="45" spans="1:49 16319:16321" x14ac:dyDescent="0.2">
      <c r="A45" t="s">
        <v>82</v>
      </c>
      <c r="B45" s="193">
        <f>SUM(B11:C11*B24:C24)/B32</f>
        <v>0.22038438833194082</v>
      </c>
      <c r="D45" s="193">
        <f>SUM(D11:E11*D24:E24)/D32</f>
        <v>0.22230487138699631</v>
      </c>
      <c r="F45" s="193">
        <f>SUM(F11:G11*F24:G24)/F32</f>
        <v>0.2242621602006632</v>
      </c>
      <c r="H45" s="193">
        <f>SUM(H11:I11*H24:I24)/H32</f>
        <v>0.22626039887052057</v>
      </c>
      <c r="J45" s="193">
        <f>SUM(J11:K11*J24:K24)/J32</f>
        <v>0.22830422998490718</v>
      </c>
      <c r="L45" s="193">
        <f>SUM(L11:M11*L24:M24)/L32</f>
        <v>0.23039885337927288</v>
      </c>
      <c r="N45" s="193">
        <f>SUM(N11:O11*N24:O24)/N32</f>
        <v>0.23255009720274053</v>
      </c>
      <c r="P45" s="193">
        <f>SUM(P11:Q11*P24:Q24)/P32</f>
        <v>0.23476450512120053</v>
      </c>
      <c r="R45" s="193">
        <f>SUM(R11:S11*R24:S24)/R32</f>
        <v>0.23704941856106856</v>
      </c>
      <c r="T45" s="193">
        <f>SUM(T11:U11*T24:U24)/T32</f>
        <v>0.23941297013412827</v>
      </c>
      <c r="V45" s="193">
        <f>SUM(V11:W11*V24:W24)/V32</f>
        <v>0.24186405591125607</v>
      </c>
      <c r="X45" s="193">
        <f>SUM(X11:Y11*X24:Y24)/X32</f>
        <v>0.24441202978574927</v>
      </c>
      <c r="Z45" s="193">
        <f>SUM(Z11:AA11*Z24:AA24)/Z32</f>
        <v>0.2470660013361709</v>
      </c>
      <c r="AB45" s="193">
        <f>SUM(AB11:AC11*AB24:AC24)/AB32</f>
        <v>0.24983337865928809</v>
      </c>
      <c r="AD45" s="193">
        <f>SUM(AD11:AE11*AD24:AE24)/AD32</f>
        <v>0.25271730716815516</v>
      </c>
      <c r="AF45" s="193">
        <f>SUM(AF11:AG11*AF24:AG24)/AF32</f>
        <v>0.25571280011916048</v>
      </c>
      <c r="AH45" s="193">
        <f>SUM(AH11:AI11*AH24:AI24)/AH32</f>
        <v>0.25880215614129159</v>
      </c>
      <c r="AJ45" s="193">
        <f>SUM(AJ11:AK11*AJ24:AK24)/AJ32</f>
        <v>0.26195158634063598</v>
      </c>
      <c r="AL45" s="193">
        <f>SUM(AL11:AM11*AL24:AM24)/AL32</f>
        <v>0.26511210218361125</v>
      </c>
      <c r="AN45" s="193">
        <f>SUM(AN11:AO11*AN24:AO24)/AN32</f>
        <v>0.26822640315425661</v>
      </c>
      <c r="AP45" s="193">
        <f>SUM(AP11:AQ11*AP24:AQ24)/AP32</f>
        <v>0.26883872804572606</v>
      </c>
      <c r="AR45" s="193">
        <f>SUM(AR11:AS11*AR24:AS24)/AR32</f>
        <v>0.26944657878351008</v>
      </c>
      <c r="AT45" s="193">
        <f>SUM(AT11:AU11*AT24:AU24)/AT32</f>
        <v>0.27004958078704122</v>
      </c>
      <c r="AV45" s="193">
        <f>SUM(AV11:AW11*AV24:AW24)/AV32</f>
        <v>0.27064738397038013</v>
      </c>
      <c r="XCQ45" s="193"/>
    </row>
    <row r="46" spans="1:49 16319:16321" x14ac:dyDescent="0.2">
      <c r="A46" t="s">
        <v>139</v>
      </c>
      <c r="B46" s="193">
        <f>B34/B32</f>
        <v>7.7157873574883795E-2</v>
      </c>
      <c r="D46" s="193">
        <f>D34/D32</f>
        <v>7.715787150608909E-2</v>
      </c>
      <c r="F46" s="193">
        <f>F34/F32</f>
        <v>7.715787372613947E-2</v>
      </c>
      <c r="H46" s="193">
        <f>H34/H32</f>
        <v>7.7157873844149572E-2</v>
      </c>
      <c r="J46" s="193">
        <f>J34/J32</f>
        <v>7.7157873057567272E-2</v>
      </c>
      <c r="L46" s="193">
        <f>L34/L32</f>
        <v>7.7157874127487161E-2</v>
      </c>
      <c r="N46" s="193">
        <f>N34/N32</f>
        <v>7.7157874449183317E-2</v>
      </c>
      <c r="P46" s="193">
        <f>P34/P32</f>
        <v>7.7157871294394997E-2</v>
      </c>
      <c r="R46" s="193">
        <f>R34/R32</f>
        <v>7.7157874358547332E-2</v>
      </c>
      <c r="T46" s="193">
        <f>T34/T32</f>
        <v>7.7157873653826869E-2</v>
      </c>
      <c r="V46" s="193">
        <f>V34/V32</f>
        <v>7.7157873802723667E-2</v>
      </c>
      <c r="X46" s="193">
        <f>X34/X32</f>
        <v>7.7157875706967E-2</v>
      </c>
      <c r="Z46" s="193">
        <f>Z34/Z32</f>
        <v>7.7157873496732518E-2</v>
      </c>
      <c r="AB46" s="193">
        <f>AB34/AB32</f>
        <v>7.7157873624761661E-2</v>
      </c>
      <c r="AD46" s="193">
        <f>AD34/AD32</f>
        <v>7.7157874459887782E-2</v>
      </c>
      <c r="AF46" s="193">
        <f>AF34/AF32</f>
        <v>7.7157873550215181E-2</v>
      </c>
      <c r="AH46" s="193">
        <f>AH34/AH32</f>
        <v>7.7157873634090393E-2</v>
      </c>
      <c r="AJ46" s="193">
        <f>AJ34/AJ32</f>
        <v>7.7157873562814394E-2</v>
      </c>
      <c r="AL46" s="193">
        <f>AL34/AL32</f>
        <v>7.7157873706111754E-2</v>
      </c>
      <c r="AN46" s="193">
        <f>AN34/AN32</f>
        <v>7.7157871975247289E-2</v>
      </c>
      <c r="AP46" s="193">
        <f>AP34/AP32</f>
        <v>7.7157872618062062E-2</v>
      </c>
      <c r="AR46" s="193">
        <f>AR34/AR32</f>
        <v>7.7157874313237354E-2</v>
      </c>
      <c r="AT46" s="193">
        <f>AT34/AT32</f>
        <v>7.715787525384632E-2</v>
      </c>
      <c r="AV46" s="193">
        <f>AV34/AV32</f>
        <v>7.7157872768061408E-2</v>
      </c>
      <c r="XCS46" s="193"/>
    </row>
    <row r="48" spans="1:49 16319:16321" x14ac:dyDescent="0.2">
      <c r="A48" t="s">
        <v>159</v>
      </c>
      <c r="B48" s="191">
        <f>B24/$B$24</f>
        <v>1</v>
      </c>
      <c r="C48" s="191"/>
      <c r="D48" s="191">
        <f>D24/$B$24</f>
        <v>1.0031508700742731</v>
      </c>
      <c r="E48" s="191"/>
      <c r="F48" s="191">
        <f>F24/$B$24</f>
        <v>1.005427462509664</v>
      </c>
      <c r="G48" s="191"/>
      <c r="H48" s="191">
        <f>H24/$B$24</f>
        <v>1.0066517938869475</v>
      </c>
      <c r="I48" s="191"/>
      <c r="J48" s="191">
        <f>J24/$B$24</f>
        <v>1.0066009920844217</v>
      </c>
      <c r="K48" s="191"/>
      <c r="L48" s="191">
        <f>L24/$B$24</f>
        <v>1.004993602198226</v>
      </c>
      <c r="M48" s="191"/>
      <c r="N48" s="191">
        <f>N24/$B$24</f>
        <v>1.001470799641246</v>
      </c>
      <c r="O48" s="191"/>
      <c r="P48" s="191">
        <f>P24/$B$24</f>
        <v>0.99557203243964898</v>
      </c>
      <c r="Q48" s="191"/>
      <c r="R48" s="191">
        <f>R24/$B$24</f>
        <v>0.986701355587844</v>
      </c>
      <c r="S48" s="191"/>
      <c r="T48" s="191">
        <f>T24/$B$24</f>
        <v>0.97408148956064255</v>
      </c>
      <c r="U48" s="191"/>
      <c r="V48" s="191">
        <f>V24/$B$24</f>
        <v>0.95669321143788166</v>
      </c>
      <c r="W48" s="191"/>
      <c r="X48" s="191">
        <f>X24/$B$24</f>
        <v>0.93319611278956316</v>
      </c>
      <c r="Y48" s="191"/>
      <c r="Z48" s="191">
        <f>Z24/$B$24</f>
        <v>0.9018310217478257</v>
      </c>
      <c r="AA48" s="191"/>
      <c r="AB48" s="191">
        <f>AB24/$B$24</f>
        <v>0.86031263147908865</v>
      </c>
      <c r="AC48" s="191"/>
      <c r="AD48" s="191">
        <f>AD24/$B$24</f>
        <v>0.80574071089637056</v>
      </c>
      <c r="AE48" s="191"/>
      <c r="AF48" s="191">
        <f>AF24/$B$24</f>
        <v>0.7345873818880706</v>
      </c>
      <c r="AG48" s="191"/>
      <c r="AH48" s="191">
        <f>AH24/$B$24</f>
        <v>0.6428500517206831</v>
      </c>
      <c r="AI48" s="191"/>
      <c r="AJ48" s="191">
        <f>AJ24/$B$24</f>
        <v>0.52644853723651142</v>
      </c>
      <c r="AK48" s="191"/>
      <c r="AL48" s="191">
        <f>AL24/$B$24</f>
        <v>0.38183942205222171</v>
      </c>
      <c r="AM48" s="191"/>
      <c r="AN48" s="191">
        <f>AN24/$B$24</f>
        <v>0.20664411851053513</v>
      </c>
      <c r="AO48" s="191"/>
      <c r="AP48" s="191">
        <f>AP24/$B$24</f>
        <v>0.167831590635104</v>
      </c>
      <c r="AQ48" s="191"/>
      <c r="AR48" s="191">
        <f>AR24/$B$24</f>
        <v>0.12775696241993401</v>
      </c>
      <c r="AS48" s="191"/>
      <c r="AT48" s="191">
        <f>AT24/$B$24</f>
        <v>8.6423116427399152E-2</v>
      </c>
      <c r="AU48" s="191"/>
      <c r="AV48" s="191">
        <f>AV24/$B$24</f>
        <v>4.3835101525051968E-2</v>
      </c>
    </row>
    <row r="49" spans="1:48 16321:16384" x14ac:dyDescent="0.2">
      <c r="A49" t="s">
        <v>160</v>
      </c>
      <c r="B49" s="191">
        <f>B13/B35/$B$13*$B$35</f>
        <v>1</v>
      </c>
      <c r="C49" s="191"/>
      <c r="D49" s="191">
        <f>D13/D35/$B$13*$B$35</f>
        <v>0.99488860848356897</v>
      </c>
      <c r="E49" s="191"/>
      <c r="F49" s="191">
        <f>F13/F35/$B$13*$B$35</f>
        <v>0.98943871401612238</v>
      </c>
      <c r="G49" s="191"/>
      <c r="H49" s="191">
        <f>H13/H35/$B$13*$B$35</f>
        <v>0.98361947238788927</v>
      </c>
      <c r="I49" s="191"/>
      <c r="J49" s="191">
        <f>J13/J35/$B$13*$B$35</f>
        <v>0.97739669344461966</v>
      </c>
      <c r="K49" s="191"/>
      <c r="L49" s="191">
        <f>L13/L35/$B$13*$B$35</f>
        <v>0.97073257784070532</v>
      </c>
      <c r="M49" s="191"/>
      <c r="N49" s="191">
        <f>N13/N35/$B$13*$B$35</f>
        <v>0.96358553992576246</v>
      </c>
      <c r="O49" s="191"/>
      <c r="P49" s="191">
        <f>P13/P35/$B$13*$B$35</f>
        <v>0.95591013107102285</v>
      </c>
      <c r="Q49" s="191"/>
      <c r="R49" s="191">
        <f>R13/R35/$B$13*$B$35</f>
        <v>0.94765728838617935</v>
      </c>
      <c r="S49" s="191"/>
      <c r="T49" s="191">
        <f>T13/T35/$B$13*$B$35</f>
        <v>0.93877529655294201</v>
      </c>
      <c r="U49" s="191"/>
      <c r="V49" s="191">
        <f>V13/V35/$B$13*$B$35</f>
        <v>0.92921162165951077</v>
      </c>
      <c r="W49" s="191"/>
      <c r="X49" s="191">
        <f>X13/X35/$B$13*$B$35</f>
        <v>0.91891670252130919</v>
      </c>
      <c r="Y49" s="191"/>
      <c r="Z49" s="191">
        <f>Z13/Z35/$B$13*$B$35</f>
        <v>0.90785059526808731</v>
      </c>
      <c r="AA49" s="191"/>
      <c r="AB49" s="191">
        <f>AB13/AB35/$B$13*$B$35</f>
        <v>0.8959939162762387</v>
      </c>
      <c r="AC49" s="191"/>
      <c r="AD49" s="191">
        <f>AD13/AD35/$B$13*$B$35</f>
        <v>0.88336398049499787</v>
      </c>
      <c r="AE49" s="191"/>
      <c r="AF49" s="191">
        <f>AF13/AF35/$B$13*$B$35</f>
        <v>0.87003518087810761</v>
      </c>
      <c r="AG49" s="191"/>
      <c r="AH49" s="191">
        <f>AH13/AH35/$B$13*$B$35</f>
        <v>0.85615795763561664</v>
      </c>
      <c r="AI49" s="191"/>
      <c r="AJ49" s="191">
        <f>AJ13/AJ35/$B$13*$B$35</f>
        <v>0.84196492564966774</v>
      </c>
      <c r="AK49" s="191"/>
      <c r="AL49" s="191">
        <f>AL13/AL35/$B$13*$B$35</f>
        <v>0.82775125938202021</v>
      </c>
      <c r="AM49" s="191"/>
      <c r="AN49" s="191">
        <f>AN13/AN35/$B$13*$B$35</f>
        <v>0.81382785394660873</v>
      </c>
      <c r="AO49" s="191"/>
      <c r="AP49" s="191">
        <f>AP13/AP35/$B$13*$B$35</f>
        <v>0.81110305328003607</v>
      </c>
      <c r="AQ49" s="191"/>
      <c r="AR49" s="191">
        <f>AR13/AR35/$B$13*$B$35</f>
        <v>0.80840276919751286</v>
      </c>
      <c r="AS49" s="191"/>
      <c r="AT49" s="191">
        <f>AT13/AT35/$B$13*$B$35</f>
        <v>0.80572867932607706</v>
      </c>
      <c r="AU49" s="191"/>
      <c r="AV49" s="191">
        <f>AV13/AV35/$B$13*$B$35</f>
        <v>0.8030823135599594</v>
      </c>
    </row>
    <row r="51" spans="1:48 16321:16384" x14ac:dyDescent="0.2">
      <c r="A51" t="s">
        <v>166</v>
      </c>
      <c r="B51" s="29">
        <f>B30-B10*B23</f>
        <v>-405838.32800000021</v>
      </c>
      <c r="D51" s="29">
        <f>D30-D10*D23</f>
        <v>-355699.13053698931</v>
      </c>
      <c r="F51" s="29">
        <f>F30-F10*F23</f>
        <v>-305020.41776460176</v>
      </c>
      <c r="H51" s="29">
        <f>H30-H10*H23</f>
        <v>-253816.84000628814</v>
      </c>
      <c r="J51" s="29">
        <f>J30-J10*J23</f>
        <v>-202125.76155382069</v>
      </c>
      <c r="L51" s="29">
        <f>L30-L10*L23</f>
        <v>-150017.18931116629</v>
      </c>
      <c r="N51" s="29">
        <f>N30-N10*N23</f>
        <v>-97607.763010971248</v>
      </c>
      <c r="P51" s="29">
        <f>P30-P10*P23</f>
        <v>-45081.72950047208</v>
      </c>
      <c r="R51" s="29">
        <f>R30-R10*R23</f>
        <v>7278.8956473651342</v>
      </c>
      <c r="T51" s="29">
        <f>T30-T10*T23</f>
        <v>59050.290245547425</v>
      </c>
      <c r="V51" s="29">
        <f>V30-V10*V23</f>
        <v>109601.48699596804</v>
      </c>
      <c r="X51" s="29">
        <f>X30-X10*X23</f>
        <v>157998.92768976185</v>
      </c>
      <c r="Z51" s="29">
        <f>Z30-Z10*Z23</f>
        <v>202869.80565312086</v>
      </c>
      <c r="AB51" s="29">
        <f>AB30-AB10*AB23</f>
        <v>242215.57544726133</v>
      </c>
      <c r="AD51" s="29">
        <f>AD30-AD10*AD23</f>
        <v>273182.24027859</v>
      </c>
      <c r="AF51" s="29">
        <f>AF30-AF10*AF23</f>
        <v>291832.74628519756</v>
      </c>
      <c r="AH51" s="29">
        <f>AH30-AH10*AH23</f>
        <v>293035.11740029836</v>
      </c>
      <c r="AJ51" s="29">
        <f>AJ30-AJ10*AJ23</f>
        <v>270642.14118015952</v>
      </c>
      <c r="AL51" s="29">
        <f>AL30-AL10*AL23</f>
        <v>218099.89750345913</v>
      </c>
      <c r="AN51" s="29">
        <f>AN30-AN10*AN23</f>
        <v>129398.7392994354</v>
      </c>
      <c r="AP51" s="29">
        <f>AP30-AP10*AP23</f>
        <v>106886.56828339264</v>
      </c>
      <c r="AQ51" s="29"/>
      <c r="AR51" s="29">
        <f>AR30-AR10*AR23</f>
        <v>82712.763751736959</v>
      </c>
      <c r="AT51" s="29">
        <f>AT30-AT10*AT23</f>
        <v>56853.5015605886</v>
      </c>
      <c r="AV51" s="29">
        <f>AV30-AV10*AV23</f>
        <v>29288.303953423034</v>
      </c>
      <c r="XFD51" s="29"/>
    </row>
    <row r="52" spans="1:48 16321:16384" x14ac:dyDescent="0.2">
      <c r="A52" t="s">
        <v>167</v>
      </c>
      <c r="B52" s="29">
        <f t="array" ref="B52">Calibration!sL*SUM(B13:C13*B26:C26)</f>
        <v>2049247.8195702801</v>
      </c>
      <c r="D52" s="29">
        <f t="array" ref="D52">Calibration!sL*SUM(D13:E13*D26:E26)</f>
        <v>2029550.6532067675</v>
      </c>
      <c r="F52" s="29">
        <f t="array" ref="F52">Calibration!sL*SUM(F13:G13*F26:G26)</f>
        <v>2007892.5734634679</v>
      </c>
      <c r="H52" s="29">
        <f t="array" ref="H52">Calibration!sL*SUM(H13:I13*H26:I26)</f>
        <v>1983958.9471104494</v>
      </c>
      <c r="J52" s="29">
        <f t="array" ref="J52">Calibration!sL*SUM(J13:K13*J26:K26)</f>
        <v>1957366.4239210947</v>
      </c>
      <c r="L52" s="29">
        <f t="array" ref="L52">Calibration!sL*SUM(L13:M13*L26:M26)</f>
        <v>1927643.7572728423</v>
      </c>
      <c r="N52" s="29">
        <f t="array" ref="N52">Calibration!sL*SUM(N13:O13*N26:O26)</f>
        <v>1894205.8261645981</v>
      </c>
      <c r="P52" s="29">
        <f t="array" ref="P52">Calibration!sL*SUM(P13:Q13*P26:Q26)</f>
        <v>1856320.4438503294</v>
      </c>
      <c r="R52" s="29">
        <f t="array" ref="R52">Calibration!sL*SUM(R13:S13*R26:S26)</f>
        <v>1813063.2505814496</v>
      </c>
      <c r="T52" s="29">
        <f t="array" ref="T52">Calibration!sL*SUM(T13:U13*T26:U26)</f>
        <v>1763257.4422949927</v>
      </c>
      <c r="V52" s="29">
        <f t="array" ref="V52">Calibration!sL*SUM(V13:W13*V26:W26)</f>
        <v>1705396.1238757116</v>
      </c>
      <c r="X52" s="29">
        <f t="array" ref="X52">Calibration!sL*SUM(X13:Y13*X26:Y26)</f>
        <v>1637544.3105386999</v>
      </c>
      <c r="Z52" s="29">
        <f t="array" ref="Z52">Calibration!sL*SUM(Z13:AA13*Z26:AA26)</f>
        <v>1557224.2899959954</v>
      </c>
      <c r="AB52" s="29">
        <f t="array" ref="AB52">Calibration!sL*SUM(AB13:AC13*AB26:AC26)</f>
        <v>1461301.1039386841</v>
      </c>
      <c r="AD52" s="29">
        <f t="array" ref="AD52">Calibration!sL*SUM(AD13:AE13*AD26:AE26)</f>
        <v>1345911.688902718</v>
      </c>
      <c r="AF52" s="29">
        <f t="array" ref="AF52">Calibration!sL*SUM(AF13:AG13*AF26:AG26)</f>
        <v>1206517.1740864506</v>
      </c>
      <c r="AH52" s="29">
        <f t="array" ref="AH52">Calibration!sL*SUM(AH13:AI13*AH26:AI26)</f>
        <v>1038188.0223978625</v>
      </c>
      <c r="AJ52" s="29">
        <f t="array" ref="AJ52">Calibration!sL*SUM(AJ13:AK13*AJ26:AK26)</f>
        <v>836194.69341670407</v>
      </c>
      <c r="AL52" s="29">
        <f t="array" ref="AL52">Calibration!sL*SUM(AL13:AM13*AL26:AM26)</f>
        <v>596817.76872862666</v>
      </c>
      <c r="AN52" s="29">
        <f t="array" ref="AN52">Calibration!sL*SUM(AN13:AO13*AN26:AO26)</f>
        <v>318074.02087243181</v>
      </c>
      <c r="AP52" s="29">
        <f t="array" ref="AP52">Calibration!sL*SUM(AP13:AQ13*AP26:AQ26)</f>
        <v>257570.40093747099</v>
      </c>
      <c r="AQ52" s="29"/>
      <c r="AR52" s="29">
        <f t="array" ref="AR52">Calibration!sL*SUM(AR13:AS13*AR26:AS26)</f>
        <v>195497.5570223456</v>
      </c>
      <c r="AT52" s="29">
        <f t="array" ref="AT52">Calibration!sL*SUM(AT13:AU13*AT26:AU26)</f>
        <v>131867.89294276154</v>
      </c>
      <c r="AV52" s="29">
        <f t="array" ref="AV52">Calibration!sL*SUM(AV13:AW13*AV26:AW26)</f>
        <v>66696.310341894394</v>
      </c>
    </row>
    <row r="53" spans="1:48 16321:16384" x14ac:dyDescent="0.2">
      <c r="A53" t="s">
        <v>168</v>
      </c>
      <c r="B53" s="29">
        <f t="array" ref="B53">Calibration!sK*SUM(B15:C15*B27:C27)</f>
        <v>2740714.4444297305</v>
      </c>
      <c r="D53" s="29">
        <f t="array" ref="D53">Calibration!sK*SUM(D15:E15*D27:E27)</f>
        <v>2708441.8950898224</v>
      </c>
      <c r="F53" s="29">
        <f t="array" ref="F53">Calibration!sK*SUM(F15:G15*F27:G27)</f>
        <v>2673575.4516165438</v>
      </c>
      <c r="H53" s="29">
        <f t="array" ref="H53">Calibration!sK*SUM(H15:I15*H27:I27)</f>
        <v>2635684.3845969513</v>
      </c>
      <c r="J53" s="29">
        <f t="array" ref="J53">Calibration!sK*SUM(J15:K15*J27:K27)</f>
        <v>2594245.4760711868</v>
      </c>
      <c r="L53" s="29">
        <f t="array" ref="L53">Calibration!sK*SUM(L15:M15*L27:M27)</f>
        <v>2548618.3325892193</v>
      </c>
      <c r="N53" s="29">
        <f t="array" ref="N53">Calibration!sK*SUM(N15:O15*N27:O27)</f>
        <v>2498012.6825088318</v>
      </c>
      <c r="P53" s="29">
        <f t="array" ref="P53">Calibration!sK*SUM(P15:Q15*P27:Q27)</f>
        <v>2441446.937998143</v>
      </c>
      <c r="R53" s="29">
        <f t="array" ref="R53">Calibration!sK*SUM(R15:S15*R27:S27)</f>
        <v>2377693.3373196111</v>
      </c>
      <c r="T53" s="29">
        <f t="array" ref="T53">Calibration!sK*SUM(T15:U15*T27:U27)</f>
        <v>2305206.15902032</v>
      </c>
      <c r="V53" s="29">
        <f t="array" ref="V53">Calibration!sK*SUM(V15:W15*V27:W27)</f>
        <v>2222032.4627614506</v>
      </c>
      <c r="X53" s="29">
        <f t="array" ref="X53">Calibration!sK*SUM(X15:Y15*X27:Y27)</f>
        <v>2125703.7613659357</v>
      </c>
      <c r="Z53" s="29">
        <f t="array" ref="Z53">Calibration!sK*SUM(Z15:AA15*Z27:AA27)</f>
        <v>2013117.8850530419</v>
      </c>
      <c r="AB53" s="29">
        <f t="array" ref="AB53">Calibration!sK*SUM(AB15:AC15*AB27:AC27)</f>
        <v>1880436.8369296342</v>
      </c>
      <c r="AD53" s="29">
        <f t="array" ref="AD53">Calibration!sK*SUM(AD15:AE15*AD27:AE27)</f>
        <v>1723059.3235612714</v>
      </c>
      <c r="AF53" s="29">
        <f t="array" ref="AF53">Calibration!sK*SUM(AF15:AG15*AF27:AG27)</f>
        <v>1535765.1523162622</v>
      </c>
      <c r="AH53" s="29">
        <f t="array" ref="AH53">Calibration!sK*SUM(AH15:AI15*AH27:AI27)</f>
        <v>1313149.640273236</v>
      </c>
      <c r="AJ53" s="29">
        <f t="array" ref="AJ53">Calibration!sK*SUM(AJ15:AK15*AJ27:AK27)</f>
        <v>1050396.2718785834</v>
      </c>
      <c r="AL53" s="29">
        <f t="array" ref="AL53">Calibration!sK*SUM(AL15:AM15*AL27:AM27)</f>
        <v>744227.09156660561</v>
      </c>
      <c r="AN53" s="29">
        <f t="array" ref="AN53">Calibration!sK*SUM(AN15:AO15*AN27:AO27)</f>
        <v>393633.94769534818</v>
      </c>
      <c r="AP53" s="29">
        <f t="array" ref="AP53">Calibration!sK*SUM(AP15:AQ15*AP27:AQ27)</f>
        <v>318268.37364649429</v>
      </c>
      <c r="AQ53" s="29"/>
      <c r="AR53" s="29">
        <f t="array" ref="AR53">Calibration!sK*SUM(AR15:AS15*AR27:AS27)</f>
        <v>241196.6371438225</v>
      </c>
      <c r="AT53" s="29">
        <f t="array" ref="AT53">Calibration!sK*SUM(AT15:AU15*AT27:AU27)</f>
        <v>162443.06960483672</v>
      </c>
      <c r="AV53" s="29">
        <f t="array" ref="AV53">Calibration!sK*SUM(AV15:AW15*AV27:AW27)</f>
        <v>82034.505852360147</v>
      </c>
      <c r="XFD53" s="29"/>
    </row>
    <row r="55" spans="1:48 16321:16384" x14ac:dyDescent="0.2">
      <c r="A55" t="s">
        <v>169</v>
      </c>
      <c r="B55" s="193">
        <f>B30/B32</f>
        <v>0.19850271905982084</v>
      </c>
      <c r="D55" s="193">
        <f>D30/D32</f>
        <v>0.2017396072734525</v>
      </c>
      <c r="F55" s="193">
        <f>F30/F32</f>
        <v>0.20503846658290747</v>
      </c>
      <c r="H55" s="193">
        <f>H30/H32</f>
        <v>0.20840632189199942</v>
      </c>
      <c r="J55" s="193">
        <f>J30/J32</f>
        <v>0.21185101924962416</v>
      </c>
      <c r="L55" s="193">
        <f>L30/L32</f>
        <v>0.21538134469433262</v>
      </c>
      <c r="N55" s="193">
        <f>N30/N32</f>
        <v>0.21900717265655448</v>
      </c>
      <c r="P55" s="193">
        <f>P30/P32</f>
        <v>0.22273958806098526</v>
      </c>
      <c r="R55" s="193">
        <f>R30/R32</f>
        <v>0.22659100275222421</v>
      </c>
      <c r="T55" s="193">
        <f>T30/T32</f>
        <v>0.23057522632369948</v>
      </c>
      <c r="V55" s="193">
        <f>V30/V32</f>
        <v>0.23470734341082847</v>
      </c>
      <c r="X55" s="193">
        <f>X30/X32</f>
        <v>0.23900323087472536</v>
      </c>
      <c r="Z55" s="193">
        <f>Z30/Z32</f>
        <v>0.24347836435278913</v>
      </c>
      <c r="AB55" s="193">
        <f>AB30/AB32</f>
        <v>0.24814536786678668</v>
      </c>
      <c r="AD55" s="193">
        <f>AD30/AD32</f>
        <v>0.25300967227413979</v>
      </c>
      <c r="AF55" s="193">
        <f>AF30/AF32</f>
        <v>0.25806297399080869</v>
      </c>
      <c r="AH55" s="193">
        <f>AH30/AH32</f>
        <v>0.26327548169390597</v>
      </c>
      <c r="AJ55" s="193">
        <f>AJ30/AJ32</f>
        <v>0.26859019775992854</v>
      </c>
      <c r="AL55" s="193">
        <f>AL30/AL32</f>
        <v>0.27392440580432947</v>
      </c>
      <c r="AN55" s="193">
        <f>AN30/AN32</f>
        <v>0.27918130694528709</v>
      </c>
      <c r="AP55" s="193">
        <f>AP30/AP32</f>
        <v>0.28021497137188772</v>
      </c>
      <c r="AR55" s="193">
        <f>AR30/AR32</f>
        <v>0.28124109835108346</v>
      </c>
      <c r="AT55" s="193">
        <f>AT30/AT32</f>
        <v>0.28225906512586862</v>
      </c>
      <c r="AV55" s="193">
        <f>AV30/AV32</f>
        <v>0.28326829517790786</v>
      </c>
      <c r="XCS55" s="193"/>
      <c r="XFD55" s="193"/>
    </row>
    <row r="56" spans="1:48 16321:16384" x14ac:dyDescent="0.2">
      <c r="A56" t="s">
        <v>170</v>
      </c>
      <c r="B56" s="193">
        <f>(Model!$C$52*B5*B20+B2*C5*C20)/B32</f>
        <v>2.9221206744340551E-2</v>
      </c>
      <c r="D56" s="193">
        <f>(Model!$C$52*D5*D20+D2*E5*E20)/D32</f>
        <v>3.2973126572196199E-2</v>
      </c>
      <c r="F56" s="193">
        <f>(Model!$C$52*F5*F20+F2*G5*G20)/F32</f>
        <v>3.6797517614866153E-2</v>
      </c>
      <c r="H56" s="193">
        <f>(Model!$C$52*H5*H20+H2*I5*I20)/H32</f>
        <v>4.0701810754962785E-2</v>
      </c>
      <c r="J56" s="193">
        <f>(Model!$C$52*J5*J20+J2*K5*K20)/J32</f>
        <v>4.469419229741739E-2</v>
      </c>
      <c r="L56" s="193">
        <f>(Model!$C$52*L5*L20+L2*M5*M20)/L32</f>
        <v>4.8783692855382643E-2</v>
      </c>
      <c r="N56" s="193">
        <f>(Model!$C$52*N5*N20+N2*O5*O20)/N32</f>
        <v>5.2980279181482431E-2</v>
      </c>
      <c r="P56" s="193">
        <f>(Model!$C$52*P5*P20+P2*Q5*Q20)/P32</f>
        <v>5.7294946548545694E-2</v>
      </c>
      <c r="R56" s="193">
        <f>(Model!$C$52*R5*R20+R2*S5*S20)/R32</f>
        <v>6.1739765963700032E-2</v>
      </c>
      <c r="T56" s="193">
        <f>(Model!$C$52*T5*T20+T2*U5*U20)/T32</f>
        <v>6.6327884065506992E-2</v>
      </c>
      <c r="V56" s="193">
        <f>(Model!$C$52*V5*V20+V2*W5*W20)/V32</f>
        <v>7.1073292358082352E-2</v>
      </c>
      <c r="X56" s="193">
        <f>(Model!$C$52*X5*X20+X2*Y5*Y20)/X32</f>
        <v>7.5990235731336647E-2</v>
      </c>
      <c r="Z56" s="193">
        <f>(Model!$C$52*Z5*Z20+Z2*AA5*AA20)/Z32</f>
        <v>8.1091863638382777E-2</v>
      </c>
      <c r="AB56" s="193">
        <f>(Model!$C$52*AB5*AB20+AB2*AC5*AC20)/AB32</f>
        <v>8.6387577390184919E-2</v>
      </c>
      <c r="AD56" s="193">
        <f>(Model!$C$52*AD5*AD20+AD2*AE5*AE20)/AD32</f>
        <v>9.1878498554191099E-2</v>
      </c>
      <c r="AF56" s="193">
        <f>(Model!$C$52*AF5*AF20+AF2*AG5*AG20)/AF32</f>
        <v>9.7550753824526354E-2</v>
      </c>
      <c r="AH56" s="193">
        <f>(Model!$C$52*AH5*AH20+AH2*AI5*AI20)/AH32</f>
        <v>0.10336772065473086</v>
      </c>
      <c r="AJ56" s="193">
        <f>(Model!$C$52*AJ5*AJ20+AJ2*AK5*AK20)/AJ32</f>
        <v>0.10926470338525811</v>
      </c>
      <c r="AL56" s="193">
        <f>(Model!$C$52*AL5*AL20+AL2*AM5*AM20)/AL32</f>
        <v>0.1151513071470894</v>
      </c>
      <c r="AN56" s="193">
        <f>(Model!$C$52*AN5*AN20+AN2*AO5*AO20)/AN32</f>
        <v>0.12092431669883322</v>
      </c>
      <c r="AP56" s="193">
        <f>(Model!$C$52*AP5*AP20+AP2*AQ5*AQ20)/AP32</f>
        <v>0.12205644191594224</v>
      </c>
      <c r="AR56" s="193">
        <f>(Model!$C$52*AR5*AR20+AR2*AS5*AS20)/AR32</f>
        <v>0.12317938664527658</v>
      </c>
      <c r="AT56" s="193">
        <f>(Model!$C$52*AT5*AT20+AT2*AU5*AU20)/AT32</f>
        <v>0.12429251406410458</v>
      </c>
      <c r="AV56" s="193">
        <f>(Model!$C$52*AV5*AV20+AV2*AW5*AW20)/AV32</f>
        <v>0.12539523751102155</v>
      </c>
      <c r="XFD56" s="193"/>
    </row>
    <row r="57" spans="1:48 16321:16384" x14ac:dyDescent="0.2">
      <c r="A57" t="s">
        <v>171</v>
      </c>
      <c r="B57" s="193">
        <f t="array" ref="B57">SUM(Model!tauL*B13:C13*B26:C26)/B32</f>
        <v>0.15852881819439493</v>
      </c>
      <c r="D57" s="193">
        <f t="array" ref="D57">SUM(Model!tauL*D13:E13*D26:E26)/D32</f>
        <v>0.15808445268882768</v>
      </c>
      <c r="F57" s="193">
        <f t="array" ref="F57">SUM(Model!tauL*F13:G13*F26:G26)/F32</f>
        <v>0.15762995694881254</v>
      </c>
      <c r="H57" s="193">
        <f t="array" ref="H57">SUM(Model!tauL*H13:I13*H26:I26)/H32</f>
        <v>0.15716500245713189</v>
      </c>
      <c r="J57" s="193">
        <f t="array" ref="J57">SUM(Model!tauL*J13:K13*J26:K26)/J32</f>
        <v>0.15668933400253152</v>
      </c>
      <c r="L57" s="193">
        <f t="array" ref="L57">SUM(Model!tauL*L13:M13*L26:M26)/L32</f>
        <v>0.15620279776507043</v>
      </c>
      <c r="N57" s="193">
        <f t="array" ref="N57">SUM(Model!tauL*N13:O13*N26:O26)/N32</f>
        <v>0.15570538951974522</v>
      </c>
      <c r="P57" s="193">
        <f t="array" ref="P57">SUM(Model!tauL*P13:Q13*P26:Q26)/P32</f>
        <v>0.15519728190476453</v>
      </c>
      <c r="R57" s="193">
        <f t="array" ref="R57">SUM(Model!tauL*R13:S13*R26:S26)/R32</f>
        <v>0.15467888017351114</v>
      </c>
      <c r="T57" s="193">
        <f t="array" ref="T57">SUM(Model!tauL*T13:U13*T26:U26)/T32</f>
        <v>0.15415087676923694</v>
      </c>
      <c r="V57" s="193">
        <f t="array" ref="V57">SUM(Model!tauL*V13:W13*V26:W26)/V32</f>
        <v>0.15361432930329588</v>
      </c>
      <c r="X57" s="193">
        <f t="array" ref="X57">SUM(Model!tauL*X13:Y13*X26:Y26)/X32</f>
        <v>0.15307073397521759</v>
      </c>
      <c r="Y57" s="193"/>
      <c r="Z57" s="193">
        <f t="array" ref="Z57">SUM(Model!tauL*Z13:AA13*Z26:AA26)/Z32</f>
        <v>0.15252212849197513</v>
      </c>
      <c r="AB57" s="193">
        <f t="array" ref="AB57">SUM(Model!tauL*AB13:AC13*AB26:AC26)/AB32</f>
        <v>0.15197123050927874</v>
      </c>
      <c r="AD57" s="193">
        <f t="array" ref="AD57">SUM(Model!tauL*AD13:AE13*AD26:AE26)/AD32</f>
        <v>0.15142157208005369</v>
      </c>
      <c r="AF57" s="193">
        <f t="array" ref="AF57">SUM(Model!tauL*AF13:AG13*AF26:AG26)/AF32</f>
        <v>0.15087764530401765</v>
      </c>
      <c r="AH57" s="193">
        <f t="array" ref="AH57">SUM(Model!tauL*AH13:AI13*AH26:AI26)/AH32</f>
        <v>0.15034495223600539</v>
      </c>
      <c r="AJ57" s="193">
        <f t="array" ref="AJ57">SUM(Model!tauL*AJ13:AK13*AJ26:AK26)/AJ32</f>
        <v>0.14982977936964856</v>
      </c>
      <c r="AL57" s="193">
        <f t="array" ref="AL57">SUM(Model!tauL*AL13:AM13*AL26:AM26)/AL32</f>
        <v>0.14933857812942003</v>
      </c>
      <c r="AN57" s="193">
        <f t="array" ref="AN57">SUM(Model!tauL*AN13:AO13*AN26:AO26)/AN32</f>
        <v>0.14887698964390345</v>
      </c>
      <c r="AP57" s="193">
        <f t="array" ref="AP57">SUM(Model!tauL*AP13:AQ13*AP26:AQ26)/AP32</f>
        <v>0.14878860498661245</v>
      </c>
      <c r="AR57" s="193">
        <f t="array" ref="AR57">SUM(Model!tauL*AR13:AS13*AR26:AS26)/AR32</f>
        <v>0.14870158826849678</v>
      </c>
      <c r="AT57" s="193">
        <f t="array" ref="AT57">SUM(Model!tauL*AT13:AU13*AT26:AU26)/AT32</f>
        <v>0.14861595563500091</v>
      </c>
      <c r="AV57" s="193">
        <f t="array" ref="AV57">SUM(Model!tauL*AV13:AW13*AV26:AW26)/AV32</f>
        <v>0.148531719951639</v>
      </c>
      <c r="XFD57" s="193"/>
    </row>
    <row r="58" spans="1:48 16321:16384" x14ac:dyDescent="0.2">
      <c r="A58" t="s">
        <v>172</v>
      </c>
      <c r="B58" s="193">
        <f t="array" ref="B58">SUM(Model!tauY/(1+Model!tauY)*B3:C3*B18:C18)/B32</f>
        <v>1.075269412108535E-2</v>
      </c>
      <c r="D58" s="193">
        <f t="array" ref="D58">SUM(Model!tauY/(1+Model!tauY)*D3:E3*D18:E18)/D32</f>
        <v>1.0682028012428563E-2</v>
      </c>
      <c r="F58" s="193">
        <f t="array" ref="F58">SUM(Model!tauY/(1+Model!tauY)*F3:G3*F18:G18)/F32</f>
        <v>1.0610992019228774E-2</v>
      </c>
      <c r="H58" s="193">
        <f t="array" ref="H58">SUM(Model!tauY/(1+Model!tauY)*H3:I3*H18:I18)/H32</f>
        <v>1.0539508679904802E-2</v>
      </c>
      <c r="J58" s="193">
        <f t="array" ref="J58">SUM(Model!tauY/(1+Model!tauY)*J3:K3*J18:K18)/J32</f>
        <v>1.046749294967526E-2</v>
      </c>
      <c r="L58" s="193">
        <f t="array" ref="L58">SUM(Model!tauY/(1+Model!tauY)*L3:M3*L18:M18)/L32</f>
        <v>1.0394854073879549E-2</v>
      </c>
      <c r="N58" s="193">
        <f t="array" ref="N58">SUM(Model!tauY/(1+Model!tauY)*N3:O3*N18:O18)/N32</f>
        <v>1.0321503955326853E-2</v>
      </c>
      <c r="P58" s="193">
        <f t="array" ref="P58">SUM(Model!tauY/(1+Model!tauY)*P3:Q3*P18:Q18)/P32</f>
        <v>1.0247359607675057E-2</v>
      </c>
      <c r="R58" s="193">
        <f t="array" ref="R58">SUM(Model!tauY/(1+Model!tauY)*R3:S3*R18:S18)/R32</f>
        <v>1.0172356615013031E-2</v>
      </c>
      <c r="T58" s="193">
        <f t="array" ref="T58">SUM(Model!tauY/(1+Model!tauY)*T3:U3*T18:U18)/T32</f>
        <v>1.00964654889555E-2</v>
      </c>
      <c r="V58" s="193">
        <f t="array" ref="V58">SUM(Model!tauY/(1+Model!tauY)*V3:W3*V18:W18)/V32</f>
        <v>1.001972174945023E-2</v>
      </c>
      <c r="X58" s="193">
        <f t="array" ref="X58">SUM(Model!tauY/(1+Model!tauY)*X3:Y3*X18:Y18)/X32</f>
        <v>9.9422611681711289E-3</v>
      </c>
      <c r="Y58" s="193"/>
      <c r="Z58" s="193">
        <f t="array" ref="Z58">SUM(Model!tauY/(1+Model!tauY)*Z3:AA3*Z18:AA18)/Z32</f>
        <v>9.8643722224312294E-3</v>
      </c>
      <c r="AB58" s="193">
        <f t="array" ref="AB58">SUM(Model!tauY/(1+Model!tauY)*AB3:AC3*AB18:AC18)/AB32</f>
        <v>9.7865599673230171E-3</v>
      </c>
      <c r="AD58" s="193">
        <f t="array" ref="AD58">SUM(Model!tauY/(1+Model!tauY)*AD3:AE3*AD18:AE18)/AD32</f>
        <v>9.7096016398949825E-3</v>
      </c>
      <c r="AF58" s="193">
        <f t="array" ref="AF58">SUM(Model!tauY/(1+Model!tauY)*AF3:AG3*AF18:AG18)/AF32</f>
        <v>9.6345748622646676E-3</v>
      </c>
      <c r="AH58" s="193">
        <f t="array" ref="AH58">SUM(Model!tauY/(1+Model!tauY)*AH3:AI3*AH18:AI18)/AH32</f>
        <v>9.5628088031696461E-3</v>
      </c>
      <c r="AJ58" s="193">
        <f t="array" ref="AJ58">SUM(Model!tauY/(1+Model!tauY)*AJ3:AK3*AJ18:AK18)/AJ32</f>
        <v>9.4957150050218927E-3</v>
      </c>
      <c r="AL58" s="193">
        <f t="array" ref="AL58">SUM(Model!tauY/(1+Model!tauY)*AL3:AM3*AL18:AM18)/AL32</f>
        <v>9.4345205278200533E-3</v>
      </c>
      <c r="AN58" s="193">
        <f t="array" ref="AN58">SUM(Model!tauY/(1+Model!tauY)*AN3:AO3*AN18:AO18)/AN32</f>
        <v>9.3800006025503771E-3</v>
      </c>
      <c r="AP58" s="193">
        <f t="array" ref="AP58">SUM(Model!tauY/(1+Model!tauY)*AP3:AQ3*AP18:AQ18)/AP32</f>
        <v>9.3699244693330672E-3</v>
      </c>
      <c r="AR58" s="193">
        <f t="array" ref="AR58">SUM(Model!tauY/(1+Model!tauY)*AR3:AS3*AR18:AS18)/AR32</f>
        <v>9.3601234373101323E-3</v>
      </c>
      <c r="AT58" s="193">
        <f t="array" ref="AT58">SUM(Model!tauY/(1+Model!tauY)*AT3:AU3*AT18:AU18)/AT32</f>
        <v>9.350595426763128E-3</v>
      </c>
      <c r="AV58" s="193">
        <f t="array" ref="AV58">SUM(Model!tauY/(1+Model!tauY)*AV3:AW3*AV18:AW18)/AV32</f>
        <v>9.3413377152473387E-3</v>
      </c>
      <c r="XFD58" s="193"/>
    </row>
    <row r="59" spans="1:48 16321:16384" x14ac:dyDescent="0.2">
      <c r="A59" t="s">
        <v>173</v>
      </c>
      <c r="B59" s="193">
        <f>(B2*C5*C20)/B32</f>
        <v>5.5174232040962052E-4</v>
      </c>
      <c r="D59" s="193">
        <f>(D2*E5*E20)/D32</f>
        <v>4.3515547269962519E-3</v>
      </c>
      <c r="F59" s="193">
        <f>(F2*G5*G20)/F32</f>
        <v>8.2241188665964238E-3</v>
      </c>
      <c r="H59" s="193">
        <f>(H2*I5*I20)/H32</f>
        <v>1.217688034042335E-2</v>
      </c>
      <c r="J59" s="193">
        <f>(J2*K5*K20)/J32</f>
        <v>1.6218037761321091E-2</v>
      </c>
      <c r="L59" s="193">
        <f>(L2*M5*M20)/L32</f>
        <v>2.0356630723897397E-2</v>
      </c>
      <c r="N59" s="193">
        <f>(N2*O5*O20)/N32</f>
        <v>2.4602628717399773E-2</v>
      </c>
      <c r="P59" s="193">
        <f>(P2*Q5*Q20)/P32</f>
        <v>2.8967023758145798E-2</v>
      </c>
      <c r="R59" s="193">
        <f>(R2*S5*S20)/R32</f>
        <v>3.3461874940508896E-2</v>
      </c>
      <c r="T59" s="193">
        <f>(T2*U5*U20)/T32</f>
        <v>3.8100306977384514E-2</v>
      </c>
      <c r="V59" s="193">
        <f>(V2*W5*W20)/V32</f>
        <v>4.2896275086907937E-2</v>
      </c>
      <c r="X59" s="193">
        <f>(X2*Y5*Y20)/X32</f>
        <v>4.7863970700344094E-2</v>
      </c>
      <c r="Z59" s="193">
        <f>(Z2*AA5*AA20)/Z32</f>
        <v>5.3016465609000508E-2</v>
      </c>
      <c r="AB59" s="193">
        <f>(AB2*AC5*AC20)/AB32</f>
        <v>5.8363047050243207E-2</v>
      </c>
      <c r="AD59" s="193">
        <f>(AD2*AE5*AE20)/AD32</f>
        <v>6.390466968046507E-2</v>
      </c>
      <c r="AF59" s="193">
        <f>(AF2*AG5*AG20)/AF32</f>
        <v>6.9627214883555652E-2</v>
      </c>
      <c r="AH59" s="193">
        <f>(AH2*AI5*AI20)/AH32</f>
        <v>7.5493709503533582E-2</v>
      </c>
      <c r="AJ59" s="193">
        <f>(AJ2*AK5*AK20)/AJ32</f>
        <v>8.1438992562158863E-2</v>
      </c>
      <c r="AL59" s="193">
        <f>(AL2*AM5*AM20)/AL32</f>
        <v>8.7372118663216508E-2</v>
      </c>
      <c r="AN59" s="193">
        <f>(AN2*AO5*AO20)/AN32</f>
        <v>9.3189317278344785E-2</v>
      </c>
      <c r="AP59" s="193">
        <f>(AP2*AQ5*AQ20)/AP32</f>
        <v>9.4329957477022275E-2</v>
      </c>
      <c r="AR59" s="193">
        <f>(AR2*AS5*AS20)/AR32</f>
        <v>9.5461302172155094E-2</v>
      </c>
      <c r="AT59" s="193">
        <f>(AT2*AU5*AU20)/AT32</f>
        <v>9.6582711969858015E-2</v>
      </c>
      <c r="AV59" s="193">
        <f>(AV2*AW5*AW20)/AV32</f>
        <v>9.7693597903270799E-2</v>
      </c>
      <c r="XFD59" s="193"/>
    </row>
    <row r="60" spans="1:48 16321:16384" x14ac:dyDescent="0.2">
      <c r="A60" t="s">
        <v>174</v>
      </c>
      <c r="B60" s="193">
        <f>Model!$C$52*B5*B20/B32</f>
        <v>2.8669464423930927E-2</v>
      </c>
      <c r="D60" s="193">
        <f>Model!$C$52*D5*D20/D32</f>
        <v>2.862157184519995E-2</v>
      </c>
      <c r="F60" s="193">
        <f>Model!$C$52*F5*F20/F32</f>
        <v>2.8573398748269731E-2</v>
      </c>
      <c r="H60" s="193">
        <f>Model!$C$52*H5*H20/H32</f>
        <v>2.8524930414539434E-2</v>
      </c>
      <c r="J60" s="193">
        <f>Model!$C$52*J5*J20/J32</f>
        <v>2.8476154536096292E-2</v>
      </c>
      <c r="L60" s="193">
        <f>Model!$C$52*L5*L20/L32</f>
        <v>2.8427062131485246E-2</v>
      </c>
      <c r="N60" s="193">
        <f>Model!$C$52*N5*N20/N32</f>
        <v>2.8377650464082662E-2</v>
      </c>
      <c r="P60" s="193">
        <f>Model!$C$52*P5*P20/P32</f>
        <v>2.8327922790399897E-2</v>
      </c>
      <c r="R60" s="193">
        <f>Model!$C$52*R5*R20/R32</f>
        <v>2.8277891023191139E-2</v>
      </c>
      <c r="T60" s="193">
        <f>Model!$C$52*T5*T20/T32</f>
        <v>2.8227577088122482E-2</v>
      </c>
      <c r="V60" s="193">
        <f>Model!$C$52*V5*V20/V32</f>
        <v>2.8177017271174415E-2</v>
      </c>
      <c r="X60" s="193">
        <f>Model!$C$52*X5*X20/X32</f>
        <v>2.8126265030992546E-2</v>
      </c>
      <c r="Z60" s="193">
        <f>Model!$C$52*Z5*Z20/Z32</f>
        <v>2.8075398029382258E-2</v>
      </c>
      <c r="AB60" s="193">
        <f>Model!$C$52*AB5*AB20/AB32</f>
        <v>2.8024530339941716E-2</v>
      </c>
      <c r="AD60" s="193">
        <f>Model!$C$52*AD5*AD20/AD32</f>
        <v>2.7973828873726028E-2</v>
      </c>
      <c r="AF60" s="193">
        <f>Model!$C$52*AF5*AF20/AF32</f>
        <v>2.7923538940970705E-2</v>
      </c>
      <c r="AH60" s="193">
        <f>Model!$C$52*AH5*AH20/AH32</f>
        <v>2.7874011151197281E-2</v>
      </c>
      <c r="AJ60" s="193">
        <f>Model!$C$52*AJ5*AJ20/AJ32</f>
        <v>2.7825710823099245E-2</v>
      </c>
      <c r="AL60" s="193">
        <f>Model!$C$52*AL5*AL20/AL32</f>
        <v>2.777918848387291E-2</v>
      </c>
      <c r="AN60" s="193">
        <f>Model!$C$52*AN5*AN20/AN32</f>
        <v>2.7734999420488429E-2</v>
      </c>
      <c r="AP60" s="193">
        <f>Model!$C$52*AP5*AP20/AP32</f>
        <v>2.7726484438919969E-2</v>
      </c>
      <c r="AR60" s="193">
        <f>Model!$C$52*AR5*AR20/AR32</f>
        <v>2.7718084473121483E-2</v>
      </c>
      <c r="AT60" s="193">
        <f>Model!$C$52*AT5*AT20/AT32</f>
        <v>2.7709802094246564E-2</v>
      </c>
      <c r="AV60" s="193">
        <f>Model!$C$52*AV5*AV20/AV32</f>
        <v>2.770163960775076E-2</v>
      </c>
      <c r="XFD60" s="193"/>
    </row>
    <row r="62" spans="1:48 16321:16384" x14ac:dyDescent="0.2">
      <c r="A62" t="s">
        <v>175</v>
      </c>
      <c r="B62">
        <f>B13/B15</f>
        <v>1</v>
      </c>
      <c r="D62">
        <f>D13/D15</f>
        <v>1.0010166726169194</v>
      </c>
      <c r="F62">
        <f>F13/F15</f>
        <v>1.0020905260685766</v>
      </c>
      <c r="H62">
        <f>H13/H15</f>
        <v>1.0032408160479427</v>
      </c>
      <c r="J62">
        <f>J13/J15</f>
        <v>1.0044916117311398</v>
      </c>
      <c r="L62">
        <f>L13/L15</f>
        <v>1.0058730170490153</v>
      </c>
      <c r="N62">
        <f>N13/N15</f>
        <v>1.0074226919507316</v>
      </c>
      <c r="P62">
        <f>P13/P15</f>
        <v>1.0091876118563785</v>
      </c>
      <c r="R62">
        <f>R13/R15</f>
        <v>1.0112261670648786</v>
      </c>
      <c r="T62">
        <f>T13/T15</f>
        <v>1.0136105908148221</v>
      </c>
      <c r="V62">
        <f>V13/V15</f>
        <v>1.0164292083205975</v>
      </c>
      <c r="X62">
        <f>X13/X15</f>
        <v>1.0197881575609042</v>
      </c>
      <c r="Z62">
        <f>Z13/Z15</f>
        <v>1.0238112003445254</v>
      </c>
      <c r="AB62">
        <f>AB13/AB15</f>
        <v>1.0286354906905426</v>
      </c>
      <c r="AD62">
        <f>AD13/AD15</f>
        <v>1.0344000122001951</v>
      </c>
      <c r="AF62">
        <f>AF13/AF15</f>
        <v>1.0412233689811123</v>
      </c>
      <c r="AH62">
        <f>AH13/AH15</f>
        <v>1.0491705512390026</v>
      </c>
      <c r="AJ62">
        <f>AJ13/AJ15</f>
        <v>1.0582164199371622</v>
      </c>
      <c r="AL62">
        <f>AL13/AL15</f>
        <v>1.0682238717267156</v>
      </c>
      <c r="AN62">
        <f>AN13/AN15</f>
        <v>1.0789553586896319</v>
      </c>
      <c r="AP62">
        <f>AP13/AP15</f>
        <v>1.0811631257954744</v>
      </c>
      <c r="AR62">
        <f>AR13/AR15</f>
        <v>1.0833857336392774</v>
      </c>
      <c r="AT62">
        <f>AT13/AT15</f>
        <v>1.0856207902598896</v>
      </c>
      <c r="AV62">
        <f>AV13/AV15</f>
        <v>1.0878659492947613</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0.9987995238099352</v>
      </c>
      <c r="E65" s="191"/>
      <c r="F65" s="191">
        <f t="array" ref="F65">SQRT((F9:G9*$B$22:$C$22+F10:G10*$B$23:$C$23+F11:G11*$B$24:$C$24+F4:G4*($B$25:$C$25-$B$19:$C$19))/($B$9:$C$9*$B$22:$C$22+$B$10:$C$10*$B$23:$C$23+$B$11:$C$11*$B$24:$C$24+$B$4:$C$4*($B$25:$C$25-$B$19:$C$19))*(F9:G9*F22:G22+F10:G10*F23:G23+F11:G11*F24:G24+F4:G4*(F25:G25-F19:G19))/($B$9:$C$9*F22:G22+$B$10:$C$10*F23:G23+$B$11:$C$11*F24:G24+$B$4:$C$4*(F25:G25-F19:G19)))</f>
        <v>0.99757489839999092</v>
      </c>
      <c r="G65" s="191"/>
      <c r="H65" s="191">
        <f t="array" ref="H65">SQRT((H9:I9*$B$22:$C$22+H10:I10*$B$23:$C$23+H11:I11*$B$24:$C$24+H4:I4*($B$25:$C$25-$B$19:$C$19))/($B$9:$C$9*$B$22:$C$22+$B$10:$C$10*$B$23:$C$23+$B$11:$C$11*$B$24:$C$24+$B$4:$C$4*($B$25:$C$25-$B$19:$C$19))*(H9:I9*H22:I22+H10:I10*H23:I23+H11:I11*H24:I24+H4:I4*(H25:I25-H19:I19))/($B$9:$C$9*H22:I22+$B$10:$C$10*H23:I23+$B$11:$C$11*H24:I24+$B$4:$C$4*(H25:I25-H19:I19)))</f>
        <v>0.99632315608328381</v>
      </c>
      <c r="I65" s="191"/>
      <c r="J65" s="191">
        <f t="array" ref="J65">SQRT((J9:K9*$B$22:$C$22+J10:K10*$B$23:$C$23+J11:K11*$B$24:$C$24+J4:K4*($B$25:$C$25-$B$19:$C$19))/($B$9:$C$9*$B$22:$C$22+$B$10:$C$10*$B$23:$C$23+$B$11:$C$11*$B$24:$C$24+$B$4:$C$4*($B$25:$C$25-$B$19:$C$19))*(J9:K9*J22:K22+J10:K10*J23:K23+J11:K11*J24:K24+J4:K4*(J25:K25-J19:K19))/($B$9:$C$9*J22:K22+$B$10:$C$10*J23:K23+$B$11:$C$11*J24:K24+$B$4:$C$4*(J25:K25-J19:K19)))</f>
        <v>0.99504123282850954</v>
      </c>
      <c r="K65" s="191"/>
      <c r="L65" s="191">
        <f t="array" ref="L65">SQRT((L9:M9*$B$22:$C$22+L10:M10*$B$23:$C$23+L11:M11*$B$24:$C$24+L4:M4*($B$25:$C$25-$B$19:$C$19))/($B$9:$C$9*$B$22:$C$22+$B$10:$C$10*$B$23:$C$23+$B$11:$C$11*$B$24:$C$24+$B$4:$C$4*($B$25:$C$25-$B$19:$C$19))*(L9:M9*L22:M22+L10:M10*L23:M23+L11:M11*L24:M24+L4:M4*(L25:M25-L19:M19))/($B$9:$C$9*L22:M22+$B$10:$C$10*L23:M23+$B$11:$C$11*L24:M24+$B$4:$C$4*(L25:M25-L19:M19)))</f>
        <v>0.99372614107691482</v>
      </c>
      <c r="M65" s="191"/>
      <c r="N65" s="191">
        <f t="array" ref="N65">SQRT((N9:O9*$B$22:$C$22+N10:O10*$B$23:$C$23+N11:O11*$B$24:$C$24+N4:O4*($B$25:$C$25-$B$19:$C$19))/($B$9:$C$9*$B$22:$C$22+$B$10:$C$10*$B$23:$C$23+$B$11:$C$11*$B$24:$C$24+$B$4:$C$4*($B$25:$C$25-$B$19:$C$19))*(N9:O9*N22:O22+N10:O10*N23:O23+N11:O11*N24:O24+N4:O4*(N25:O25-N19:O19))/($B$9:$C$9*N22:O22+$B$10:$C$10*N23:O23+$B$11:$C$11*N24:O24+$B$4:$C$4*(N25:O25-N19:O19)))</f>
        <v>0.9923752623623886</v>
      </c>
      <c r="O65" s="191"/>
      <c r="P65" s="191">
        <f t="array" ref="P65">SQRT((P9:Q9*$B$22:$C$22+P10:Q10*$B$23:$C$23+P11:Q11*$B$24:$C$24+P4:Q4*($B$25:$C$25-$B$19:$C$19))/($B$9:$C$9*$B$22:$C$22+$B$10:$C$10*$B$23:$C$23+$B$11:$C$11*$B$24:$C$24+$B$4:$C$4*($B$25:$C$25-$B$19:$C$19))*(P9:Q9*P22:Q22+P10:Q10*P23:Q23+P11:Q11*P24:Q24+P4:Q4*(P25:Q25-P19:Q19))/($B$9:$C$9*P22:Q22+$B$10:$C$10*P23:Q23+$B$11:$C$11*P24:Q24+$B$4:$C$4*(P25:Q25-P19:Q19)))</f>
        <v>0.99098675767654076</v>
      </c>
      <c r="Q65" s="191"/>
      <c r="R65" s="191">
        <f t="array" ref="R65">SQRT((R9:S9*$B$22:$C$22+R10:S10*$B$23:$C$23+R11:S11*$B$24:$C$24+R4:S4*($B$25:$C$25-$B$19:$C$19))/($B$9:$C$9*$B$22:$C$22+$B$10:$C$10*$B$23:$C$23+$B$11:$C$11*$B$24:$C$24+$B$4:$C$4*($B$25:$C$25-$B$19:$C$19))*(R9:S9*R22:S22+R10:S10*R23:S23+R11:S11*R24:S24+R4:S4*(R25:S25-R19:S19))/($B$9:$C$9*R22:S22+$B$10:$C$10*R23:S23+$B$11:$C$11*R24:S24+$B$4:$C$4*(R25:S25-R19:S19)))</f>
        <v>0.98956021752488421</v>
      </c>
      <c r="S65" s="191"/>
      <c r="T65" s="191">
        <f t="array" ref="T65">SQRT((T9:U9*$B$22:$C$22+T10:U10*$B$23:$C$23+T11:U11*$B$24:$C$24+T4:U4*($B$25:$C$25-$B$19:$C$19))/($B$9:$C$9*$B$22:$C$22+$B$10:$C$10*$B$23:$C$23+$B$11:$C$11*$B$24:$C$24+$B$4:$C$4*($B$25:$C$25-$B$19:$C$19))*(T9:U9*T22:U22+T10:U10*T23:U23+T11:U11*T24:U24+T4:U4*(T25:U25-T19:U19))/($B$9:$C$9*T22:U22+$B$10:$C$10*T23:U23+$B$11:$C$11*T24:U24+$B$4:$C$4*(T25:U25-T19:U19)))</f>
        <v>0.98809759954314502</v>
      </c>
      <c r="U65" s="191"/>
      <c r="V65" s="191">
        <f t="array" ref="V65">SQRT((V9:W9*$B$22:$C$22+V10:W10*$B$23:$C$23+V11:W11*$B$24:$C$24+V4:W4*($B$25:$C$25-$B$19:$C$19))/($B$9:$C$9*$B$22:$C$22+$B$10:$C$10*$B$23:$C$23+$B$11:$C$11*$B$24:$C$24+$B$4:$C$4*($B$25:$C$25-$B$19:$C$19))*(V9:W9*V22:W22+V10:W10*V23:W23+V11:W11*V24:W24+V4:W4*(V25:W25-V19:W19))/($B$9:$C$9*V22:W22+$B$10:$C$10*V23:W23+$B$11:$C$11*V24:W24+$B$4:$C$4*(V25:W25-V19:W19)))</f>
        <v>0.98660451815890404</v>
      </c>
      <c r="W65" s="191"/>
      <c r="X65" s="191">
        <f t="array" ref="X65">SQRT((X9:Y9*$B$22:$C$22+X10:Y10*$B$23:$C$23+X11:Y11*$B$24:$C$24+X4:Y4*($B$25:$C$25-$B$19:$C$19))/($B$9:$C$9*$B$22:$C$22+$B$10:$C$10*$B$23:$C$23+$B$11:$C$11*$B$24:$C$24+$B$4:$C$4*($B$25:$C$25-$B$19:$C$19))*(X9:Y9*X22:Y22+X10:Y10*X23:Y23+X11:Y11*X24:Y24+X4:Y4*(X25:Y25-X19:Y19))/($B$9:$C$9*X22:Y22+$B$10:$C$10*X23:Y23+$B$11:$C$11*X24:Y24+$B$4:$C$4*(X25:Y25-X19:Y19)))</f>
        <v>0.98509192854079064</v>
      </c>
      <c r="Y65" s="191"/>
      <c r="Z65" s="191">
        <f t="array" ref="Z65">SQRT((Z9:AA9*$B$22:$C$22+Z10:AA10*$B$23:$C$23+Z11:AA11*$B$24:$C$24+Z4:AA4*($B$25:$C$25-$B$19:$C$19))/($B$9:$C$9*$B$22:$C$22+$B$10:$C$10*$B$23:$C$23+$B$11:$C$11*$B$24:$C$24+$B$4:$C$4*($B$25:$C$25-$B$19:$C$19))*(Z9:AA9*Z22:AA22+Z10:AA10*Z23:AA23+Z11:AA11*Z24:AA24+Z4:AA4*(Z25:AA25-Z19:AA19))/($B$9:$C$9*Z22:AA22+$B$10:$C$10*Z23:AA23+$B$11:$C$11*Z24:AA24+$B$4:$C$4*(Z25:AA25-Z19:AA19)))</f>
        <v>0.9835781188021675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0.98209063556382081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0.98066730904618515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0.97935491859048229</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0.97820384869847155</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0.97725834416261292</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0.97654504612301929</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0.97606554955000935</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0.97599608123645498</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0.97593484860959323</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0.97588155745216398</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0.97583589647487312</v>
      </c>
    </row>
    <row r="66" spans="1:48 16384:16384" x14ac:dyDescent="0.2">
      <c r="A66" t="s">
        <v>182</v>
      </c>
      <c r="B66" s="191">
        <f t="array" ref="B66">SQRT((B9:C9*$B$22:$C$22)/($B$9:$C$9*$B$22:$C$22)*(B9:C9*B22:C22)/($B$9:$C$9*B22:C22))</f>
        <v>1</v>
      </c>
      <c r="C66" s="191"/>
      <c r="D66" s="191">
        <f t="array" ref="D66">SQRT((D9:E9*$B$22:$C$22)/($B$9:$C$9*$B$22:$C$22)*(D9:E9*D22:E22)/($B$9:$C$9*D22:E22))</f>
        <v>0.99868004933806831</v>
      </c>
      <c r="E66" s="191"/>
      <c r="F66" s="191">
        <f t="array" ref="F66">SQRT((F9:G9*$B$22:$C$22)/($B$9:$C$9*$B$22:$C$22)*(F9:G9*F22:G22)/($B$9:$C$9*F22:G22))</f>
        <v>0.99733230796663541</v>
      </c>
      <c r="G66" s="191"/>
      <c r="H66" s="191">
        <f t="array" ref="H66">SQRT((H9:I9*$B$22:$C$22)/($B$9:$C$9*$B$22:$C$22)*(H9:I9*H22:I22)/($B$9:$C$9*H22:I22))</f>
        <v>0.99595342183234881</v>
      </c>
      <c r="I66" s="191"/>
      <c r="J66" s="191">
        <f t="array" ref="J66">SQRT((J9:K9*$B$22:$C$22)/($B$9:$C$9*$B$22:$C$22)*(J9:K9*J22:K22)/($B$9:$C$9*J22:K22))</f>
        <v>0.99453991420945553</v>
      </c>
      <c r="K66" s="191"/>
      <c r="L66" s="191">
        <f t="array" ref="L66">SQRT((L9:M9*$B$22:$C$22)/($B$9:$C$9*$B$22:$C$22)*(L9:M9*L22:M22)/($B$9:$C$9*L22:M22))</f>
        <v>0.99308837487803825</v>
      </c>
      <c r="M66" s="191"/>
      <c r="N66" s="191">
        <f t="array" ref="N66">SQRT((N9:O9*$B$22:$C$22)/($B$9:$C$9*$B$22:$C$22)*(N9:O9*N22:O22)/($B$9:$C$9*N22:O22))</f>
        <v>0.99159578280616001</v>
      </c>
      <c r="O66" s="191"/>
      <c r="P66" s="191">
        <f t="array" ref="P66">SQRT((P9:Q9*$B$22:$C$22)/($B$9:$C$9*$B$22:$C$22)*(P9:Q9*P22:Q22)/($B$9:$C$9*P22:Q22))</f>
        <v>0.99005996128258222</v>
      </c>
      <c r="Q66" s="191"/>
      <c r="R66" s="191">
        <f t="array" ref="R66">SQRT((R9:S9*$B$22:$C$22)/($B$9:$C$9*$B$22:$C$22)*(R9:S9*R22:S22)/($B$9:$C$9*R22:S22))</f>
        <v>0.98848030194401926</v>
      </c>
      <c r="S66" s="191"/>
      <c r="T66" s="191">
        <f t="array" ref="T66">SQRT((T9:U9*$B$22:$C$22)/($B$9:$C$9*$B$22:$C$22)*(T9:U9*T22:U22)/($B$9:$C$9*T22:U22))</f>
        <v>0.98685881357918726</v>
      </c>
      <c r="U66" s="191"/>
      <c r="V66" s="191">
        <f t="array" ref="V66">SQRT((V9:W9*$B$22:$C$22)/($B$9:$C$9*$B$22:$C$22)*(V9:W9*V22:W22)/($B$9:$C$9*V22:W22))</f>
        <v>0.98520157061524749</v>
      </c>
      <c r="W66" s="191"/>
      <c r="X66" s="191">
        <f t="array" ref="X66">SQRT((X9:Y9*$B$22:$C$22)/($B$9:$C$9*$B$22:$C$22)*(X9:Y9*X22:Y22)/($B$9:$C$9*X22:Y22))</f>
        <v>0.9835206126547158</v>
      </c>
      <c r="Y66" s="191"/>
      <c r="Z66" s="191">
        <f t="array" ref="Z66">SQRT((Z9:AA9*$B$22:$C$22)/($B$9:$C$9*$B$22:$C$22)*(Z9:AA9*Z22:AA22)/($B$9:$C$9*Z22:AA22))</f>
        <v>0.98183620335914634</v>
      </c>
      <c r="AA66" s="191"/>
      <c r="AB66" s="191">
        <f t="array" ref="AB66">SQRT((AB9:AC9*$B$22:$C$22)/($B$9:$C$9*$B$22:$C$22)*(AB9:AC9*AB22:AC22)/($B$9:$C$9*AB22:AC22))</f>
        <v>0.98017903246192495</v>
      </c>
      <c r="AC66" s="191"/>
      <c r="AD66" s="191">
        <f t="array" ref="AD66">SQRT((AD9:AE9*$B$22:$C$22)/($B$9:$C$9*$B$22:$C$22)*(AD9:AE9*AD22:AE22)/($B$9:$C$9*AD22:AE22))</f>
        <v>0.97859142485538442</v>
      </c>
      <c r="AE66" s="191"/>
      <c r="AF66" s="191">
        <f t="array" ref="AF66">SQRT((AF9:AG9*$B$22:$C$22)/($B$9:$C$9*$B$22:$C$22)*(AF9:AG9*AF22:AG22)/($B$9:$C$9*AF22:AG22))</f>
        <v>0.9771259073179267</v>
      </c>
      <c r="AG66" s="191"/>
      <c r="AH66" s="191">
        <f t="array" ref="AH66">SQRT((AH9:AI9*$B$22:$C$22)/($B$9:$C$9*$B$22:$C$22)*(AH9:AI9*AH22:AI22)/($B$9:$C$9*AH22:AI22))</f>
        <v>0.97583925290978224</v>
      </c>
      <c r="AI66" s="191"/>
      <c r="AJ66" s="191">
        <f t="array" ref="AJ66">SQRT((AJ9:AK9*$B$22:$C$22)/($B$9:$C$9*$B$22:$C$22)*(AJ9:AK9*AJ22:AK22)/($B$9:$C$9*AJ22:AK22))</f>
        <v>0.97478152732729839</v>
      </c>
      <c r="AK66" s="191"/>
      <c r="AL66" s="191">
        <f t="array" ref="AL66">SQRT((AL9:AM9*$B$22:$C$22)/($B$9:$C$9*$B$22:$C$22)*(AL9:AM9*AL22:AM22)/($B$9:$C$9*AL22:AM22))</f>
        <v>0.97398313261844627</v>
      </c>
      <c r="AM66" s="191"/>
      <c r="AN66" s="191">
        <f t="array" ref="AN66">SQRT((AN9:AO9*$B$22:$C$22)/($B$9:$C$9*$B$22:$C$22)*(AN9:AO9*AN22:AO22)/($B$9:$C$9*AN22:AO22))</f>
        <v>0.97344632775562256</v>
      </c>
      <c r="AO66" s="191"/>
      <c r="AP66" s="191">
        <f t="array" ref="AP66">SQRT((AP9:AQ9*$B$22:$C$22)/($B$9:$C$9*$B$22:$C$22)*(AP9:AQ9*AP22:AQ22)/($B$9:$C$9*AP22:AQ22))</f>
        <v>0.97336856642049352</v>
      </c>
      <c r="AQ66" s="191"/>
      <c r="AR66" s="191">
        <f t="array" ref="AR66">SQRT((AR9:AS9*$B$22:$C$22)/($B$9:$C$9*$B$22:$C$22)*(AR9:AS9*AR22:AS22)/($B$9:$C$9*AR22:AS22))</f>
        <v>0.97330003193330972</v>
      </c>
      <c r="AS66" s="191"/>
      <c r="AT66" s="191">
        <f t="array" ref="AT66">SQRT((AT9:AU9*$B$22:$C$22)/($B$9:$C$9*$B$22:$C$22)*(AT9:AU9*AT22:AU22)/($B$9:$C$9*AT22:AU22))</f>
        <v>0.97324039584681954</v>
      </c>
      <c r="AU66" s="191"/>
      <c r="AV66" s="191">
        <f t="array" ref="AV66">SQRT((AV9:AW9*$B$22:$C$22)/($B$9:$C$9*$B$22:$C$22)*(AV9:AW9*AV22:AW22)/($B$9:$C$9*AV22:AW22))</f>
        <v>0.97318931032388012</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0.99868004933806831</v>
      </c>
      <c r="E68" s="191"/>
      <c r="F68" s="191">
        <f>F66/F67</f>
        <v>0.99733230796663541</v>
      </c>
      <c r="G68" s="191"/>
      <c r="H68" s="191">
        <f>H66/H67</f>
        <v>0.99595342183234881</v>
      </c>
      <c r="I68" s="191"/>
      <c r="J68" s="191">
        <f>J66/J67</f>
        <v>0.99453991420945553</v>
      </c>
      <c r="K68" s="191"/>
      <c r="L68" s="191">
        <f>L66/L67</f>
        <v>0.99308837487803825</v>
      </c>
      <c r="M68" s="191"/>
      <c r="N68" s="191">
        <f>N66/N67</f>
        <v>0.99159578280616001</v>
      </c>
      <c r="O68" s="191"/>
      <c r="P68" s="191">
        <f>P66/P67</f>
        <v>0.99005996128258222</v>
      </c>
      <c r="Q68" s="191"/>
      <c r="R68" s="191">
        <f>R66/R67</f>
        <v>0.98848030194401926</v>
      </c>
      <c r="S68" s="191"/>
      <c r="T68" s="191">
        <f>T66/T67</f>
        <v>0.98685881357918726</v>
      </c>
      <c r="U68" s="191"/>
      <c r="V68" s="191">
        <f>V66/V67</f>
        <v>0.98520157061524749</v>
      </c>
      <c r="W68" s="191"/>
      <c r="X68" s="191">
        <f>X66/X67</f>
        <v>0.9835206126547158</v>
      </c>
      <c r="Y68" s="191"/>
      <c r="Z68" s="191">
        <f>Z66/Z67</f>
        <v>0.98183620335914634</v>
      </c>
      <c r="AA68" s="191"/>
      <c r="AB68" s="191">
        <f>AB66/AB67</f>
        <v>0.98017903246192495</v>
      </c>
      <c r="AC68" s="191"/>
      <c r="AD68" s="191">
        <f>AD66/AD67</f>
        <v>0.97859142485538442</v>
      </c>
      <c r="AE68" s="191"/>
      <c r="AF68" s="191">
        <f>AF66/AF67</f>
        <v>0.9771259073179267</v>
      </c>
      <c r="AG68" s="191"/>
      <c r="AH68" s="191">
        <f>AH66/AH67</f>
        <v>0.97583925290978224</v>
      </c>
      <c r="AI68" s="191"/>
      <c r="AJ68" s="191">
        <f>AJ66/AJ67</f>
        <v>0.97478152732729839</v>
      </c>
      <c r="AK68" s="191"/>
      <c r="AL68" s="191">
        <f>AL66/AL67</f>
        <v>0.97398313261844627</v>
      </c>
      <c r="AM68" s="191"/>
      <c r="AN68" s="191">
        <f>AN66/AN67</f>
        <v>0.97344632775562256</v>
      </c>
      <c r="AO68" s="191"/>
      <c r="AP68" s="191">
        <f>AP66/AP67</f>
        <v>0.97336856642049352</v>
      </c>
      <c r="AQ68" s="191"/>
      <c r="AR68" s="191">
        <f>AR66/AR67</f>
        <v>0.97330003193330972</v>
      </c>
      <c r="AS68" s="191"/>
      <c r="AT68" s="191">
        <f>AT66/AT67</f>
        <v>0.97324039584681954</v>
      </c>
      <c r="AU68" s="191"/>
      <c r="AV68" s="191">
        <f>AV66/AV67</f>
        <v>0.97318931032388012</v>
      </c>
      <c r="XFD68" s="191"/>
    </row>
    <row r="69" spans="1:48 16384:16384" x14ac:dyDescent="0.2">
      <c r="A69" t="s">
        <v>177</v>
      </c>
      <c r="B69" s="191">
        <f>B32/B65/($B$32)</f>
        <v>1</v>
      </c>
      <c r="C69" s="191"/>
      <c r="D69" s="191">
        <f>D32/D65/($B$32)</f>
        <v>0.99436573075700907</v>
      </c>
      <c r="E69" s="191"/>
      <c r="F69" s="191">
        <f>F32/F65/($B$32)</f>
        <v>0.9878020980065747</v>
      </c>
      <c r="G69" s="191"/>
      <c r="H69" s="191">
        <f>H32/H65/($B$32)</f>
        <v>0.98014505670571117</v>
      </c>
      <c r="I69" s="191"/>
      <c r="J69" s="191">
        <f>J32/J65/($B$32)</f>
        <v>0.97119259521857204</v>
      </c>
      <c r="K69" s="191"/>
      <c r="L69" s="191">
        <f>L32/L65/($B$32)</f>
        <v>0.96069381273320154</v>
      </c>
      <c r="M69" s="191"/>
      <c r="N69" s="191">
        <f>N32/N65/($B$32)</f>
        <v>0.94833402632690722</v>
      </c>
      <c r="O69" s="191"/>
      <c r="P69" s="191">
        <f>P32/P65/($B$32)</f>
        <v>0.93371583908254707</v>
      </c>
      <c r="Q69" s="191"/>
      <c r="R69" s="191">
        <f>R32/R65/($B$32)</f>
        <v>0.91633325691629286</v>
      </c>
      <c r="S69" s="191"/>
      <c r="T69" s="191">
        <f>T32/T65/($B$32)</f>
        <v>0.8955371827770201</v>
      </c>
      <c r="U69" s="191"/>
      <c r="V69" s="191">
        <f>V32/V65/($B$32)</f>
        <v>0.87049079479792868</v>
      </c>
      <c r="W69" s="191"/>
      <c r="X69" s="191">
        <f>X32/X65/($B$32)</f>
        <v>0.84011332974832931</v>
      </c>
      <c r="Y69" s="191"/>
      <c r="Z69" s="191">
        <f>Z32/Z65/($B$32)</f>
        <v>0.80301414193759679</v>
      </c>
      <c r="AA69" s="191"/>
      <c r="AB69" s="191">
        <f>AB32/AB65/($B$32)</f>
        <v>0.75742651248528103</v>
      </c>
      <c r="AC69" s="191"/>
      <c r="AD69" s="191">
        <f>AD32/AD65/($B$32)</f>
        <v>0.70116601230489273</v>
      </c>
      <c r="AE69" s="191"/>
      <c r="AF69" s="191">
        <f>AF32/AF65/($B$32)</f>
        <v>0.63165835102534007</v>
      </c>
      <c r="AG69" s="191"/>
      <c r="AH69" s="191">
        <f>AH32/AH65/($B$32)</f>
        <v>0.54609919436986765</v>
      </c>
      <c r="AI69" s="191"/>
      <c r="AJ69" s="191">
        <f>AJ32/AJ65/($B$32)</f>
        <v>0.4417876999199904</v>
      </c>
      <c r="AK69" s="191"/>
      <c r="AL69" s="191">
        <f>AL32/AL65/($B$32)</f>
        <v>0.31658562537798451</v>
      </c>
      <c r="AM69" s="191"/>
      <c r="AN69" s="191">
        <f>AN32/AN65/($B$32)</f>
        <v>0.16933057231218976</v>
      </c>
      <c r="AO69" s="191"/>
      <c r="AP69" s="191">
        <f>AP32/AP65/($B$32)</f>
        <v>0.1372119538355929</v>
      </c>
      <c r="AQ69" s="191"/>
      <c r="AR69" s="191">
        <f>AR32/AR65/($B$32)</f>
        <v>0.10421221861748189</v>
      </c>
      <c r="AS69" s="191"/>
      <c r="AT69" s="191">
        <f>AT32/AT65/($B$32)</f>
        <v>7.0338039321235946E-2</v>
      </c>
      <c r="AU69" s="191"/>
      <c r="AV69" s="191">
        <f>AV32/AV65/($B$32)</f>
        <v>3.559750419277747E-2</v>
      </c>
    </row>
    <row r="70" spans="1:48 16384:16384" x14ac:dyDescent="0.2">
      <c r="A70" t="s">
        <v>178</v>
      </c>
      <c r="B70" s="138">
        <f>B18/$B$18</f>
        <v>1</v>
      </c>
      <c r="C70" s="138"/>
      <c r="D70" s="138">
        <f>D18/$B$18</f>
        <v>0.99334841171418498</v>
      </c>
      <c r="E70" s="138"/>
      <c r="F70" s="138">
        <f>F18/$B$18</f>
        <v>0.98578600704559183</v>
      </c>
      <c r="G70" s="138"/>
      <c r="H70" s="138">
        <f>H18/$B$18</f>
        <v>0.97715324110096413</v>
      </c>
      <c r="I70" s="138"/>
      <c r="J70" s="138">
        <f>J18/$B$18</f>
        <v>0.96725351565071949</v>
      </c>
      <c r="K70" s="138"/>
      <c r="L70" s="138">
        <f>L18/$B$18</f>
        <v>0.95584240752189109</v>
      </c>
      <c r="M70" s="138"/>
      <c r="N70" s="138">
        <f>N18/$B$18</f>
        <v>0.94261300433995376</v>
      </c>
      <c r="O70" s="138"/>
      <c r="P70" s="138">
        <f>P18/$B$18</f>
        <v>0.92717713716850725</v>
      </c>
      <c r="Q70" s="138"/>
      <c r="R70" s="138">
        <f>R18/$B$18</f>
        <v>0.90903978849065015</v>
      </c>
      <c r="S70" s="138"/>
      <c r="T70" s="138">
        <f>T18/$B$18</f>
        <v>0.88756490768143204</v>
      </c>
      <c r="U70" s="138"/>
      <c r="V70" s="138">
        <f>V18/$B$18</f>
        <v>0.86193137472132131</v>
      </c>
      <c r="W70" s="138"/>
      <c r="X70" s="138">
        <f>X18/$B$18</f>
        <v>0.83107761045454243</v>
      </c>
      <c r="Y70" s="138"/>
      <c r="Z70" s="138">
        <f>Z18/$B$18</f>
        <v>0.79363715090795495</v>
      </c>
      <c r="AA70" s="138"/>
      <c r="AB70" s="138">
        <f>AB18/$B$18</f>
        <v>0.74787506034824247</v>
      </c>
      <c r="AC70" s="138"/>
      <c r="AD70" s="138">
        <f>AD18/$B$18</f>
        <v>0.69165032678418981</v>
      </c>
      <c r="AE70" s="138"/>
      <c r="AF70" s="138">
        <f>AF18/$B$18</f>
        <v>0.62244934177780997</v>
      </c>
      <c r="AG70" s="138"/>
      <c r="AH70" s="138">
        <f>AH18/$B$18</f>
        <v>0.53755150152606668</v>
      </c>
      <c r="AI70" s="138"/>
      <c r="AJ70" s="138">
        <f>AJ18/$B$18</f>
        <v>0.434364928337451</v>
      </c>
      <c r="AK70" s="138"/>
      <c r="AL70" s="138">
        <f>AL18/$B$18</f>
        <v>0.3108792346327921</v>
      </c>
      <c r="AM70" s="138"/>
      <c r="AN70" s="138">
        <f>AN18/$B$18</f>
        <v>0.16606184914604702</v>
      </c>
      <c r="AO70" s="138"/>
      <c r="AP70" s="138">
        <f>AP18/$B$18</f>
        <v>0.13452755750178907</v>
      </c>
      <c r="AQ70" s="138"/>
      <c r="AR70" s="138">
        <f>AR18/$B$18</f>
        <v>0.10214623664705491</v>
      </c>
      <c r="AS70" s="138"/>
      <c r="AT70" s="138">
        <f>AT18/$B$18</f>
        <v>6.8925214938112545E-2</v>
      </c>
      <c r="AU70" s="138"/>
      <c r="AV70" s="138">
        <f>AV18/$B$18</f>
        <v>3.4873168079624706E-2</v>
      </c>
    </row>
    <row r="71" spans="1:48 16384:16384" x14ac:dyDescent="0.2">
      <c r="A71" t="s">
        <v>179</v>
      </c>
      <c r="B71" s="138">
        <f>C18/$C$18</f>
        <v>1</v>
      </c>
      <c r="D71" s="138">
        <f>E18/$C$18</f>
        <v>0.93271831758563462</v>
      </c>
      <c r="E71" s="138"/>
      <c r="F71" s="138">
        <f>G18/$C$18</f>
        <v>0.8658111495246712</v>
      </c>
      <c r="G71" s="138"/>
      <c r="H71" s="138">
        <f>I18/$C$18</f>
        <v>0.79935004591643866</v>
      </c>
      <c r="I71" s="138"/>
      <c r="J71" s="138">
        <f>K18/$C$18</f>
        <v>0.73342470357561829</v>
      </c>
      <c r="K71" s="138"/>
      <c r="L71" s="138">
        <f>M18/$C$18</f>
        <v>0.66814873671649455</v>
      </c>
      <c r="M71" s="138"/>
      <c r="N71" s="138">
        <f>O18/$C$18</f>
        <v>0.60366939515729834</v>
      </c>
      <c r="O71" s="138"/>
      <c r="P71" s="138">
        <f>Q18/$C$18</f>
        <v>0.54017490159509796</v>
      </c>
      <c r="Q71" s="138"/>
      <c r="R71" s="138">
        <f>S18/$C$18</f>
        <v>0.47790748755055212</v>
      </c>
      <c r="S71" s="138"/>
      <c r="T71" s="138">
        <f>U18/$C$18</f>
        <v>0.41717664248601338</v>
      </c>
      <c r="U71" s="138"/>
      <c r="V71" s="138">
        <f>W18/$C$18</f>
        <v>0.35837617580435577</v>
      </c>
      <c r="W71" s="138"/>
      <c r="X71" s="138">
        <f>Y18/$C$18</f>
        <v>0.3019971743574677</v>
      </c>
      <c r="Y71" s="138"/>
      <c r="Z71" s="138">
        <f>AA18/$C$18</f>
        <v>0.24863679610265893</v>
      </c>
      <c r="AA71" s="138"/>
      <c r="AB71" s="138">
        <f>AC18/$C$18</f>
        <v>0.19899167384608035</v>
      </c>
      <c r="AC71" s="138"/>
      <c r="AD71" s="138">
        <f>AE18/$C$18</f>
        <v>0.15381946541232927</v>
      </c>
      <c r="AE71" s="138"/>
      <c r="AF71" s="138">
        <f>AG18/$C$18</f>
        <v>0.11385632646185111</v>
      </c>
      <c r="AG71" s="138"/>
      <c r="AH71" s="138">
        <f>AI18/$C$18</f>
        <v>7.968349955533767E-2</v>
      </c>
      <c r="AI71" s="138"/>
      <c r="AJ71" s="138">
        <f>AK18/$C$18</f>
        <v>5.156894650247601E-2</v>
      </c>
      <c r="AK71" s="138"/>
      <c r="AL71" s="138">
        <f>AM18/$C$18</f>
        <v>2.9353241461249714E-2</v>
      </c>
      <c r="AM71" s="138"/>
      <c r="AN71" s="138">
        <f>AO18/$C$18</f>
        <v>1.2453512855812475E-2</v>
      </c>
      <c r="AO71" s="138"/>
      <c r="AP71" s="138">
        <f>AQ18/$C$18</f>
        <v>9.6377515769876226E-3</v>
      </c>
      <c r="AQ71" s="138"/>
      <c r="AR71" s="138">
        <f>AS18/$C$18</f>
        <v>6.9923444920544685E-3</v>
      </c>
      <c r="AS71" s="138"/>
      <c r="AT71" s="138">
        <f>AU18/$C$18</f>
        <v>4.5094637205242618E-3</v>
      </c>
      <c r="AU71" s="138"/>
      <c r="AV71" s="138">
        <f>AW18/$C$18</f>
        <v>2.1812772402251546E-3</v>
      </c>
      <c r="XFD71" s="138"/>
    </row>
    <row r="72" spans="1:48 16384:16384" x14ac:dyDescent="0.2">
      <c r="A72" t="s">
        <v>180</v>
      </c>
      <c r="B72" s="138">
        <f>C19/$C$19</f>
        <v>1</v>
      </c>
      <c r="D72" s="138">
        <f>E19/$C$19</f>
        <v>1.0142157189358194</v>
      </c>
      <c r="E72" s="138"/>
      <c r="F72" s="138">
        <f>G19/$C$19</f>
        <v>1.0297588104564157</v>
      </c>
      <c r="G72" s="138"/>
      <c r="H72" s="138">
        <f>I19/$C$19</f>
        <v>1.0465760753830298</v>
      </c>
      <c r="I72" s="138"/>
      <c r="J72" s="138">
        <f>K19/$C$19</f>
        <v>1.0645407678536911</v>
      </c>
      <c r="K72" s="138"/>
      <c r="L72" s="138">
        <f>M19/$C$19</f>
        <v>1.0834176400689222</v>
      </c>
      <c r="M72" s="138"/>
      <c r="N72" s="138">
        <f>O19/$C$19</f>
        <v>1.1028134414285771</v>
      </c>
      <c r="O72" s="138"/>
      <c r="P72" s="138">
        <f>Q19/$C$19</f>
        <v>1.1221077066608307</v>
      </c>
      <c r="Q72" s="138"/>
      <c r="R72" s="138">
        <f>S19/$C$19</f>
        <v>1.1403568589994633</v>
      </c>
      <c r="S72" s="138"/>
      <c r="T72" s="138">
        <f>U19/$C$19</f>
        <v>1.1561661622172696</v>
      </c>
      <c r="U72" s="138"/>
      <c r="V72" s="138">
        <f>W19/$C$19</f>
        <v>1.1675214414381769</v>
      </c>
      <c r="W72" s="138"/>
      <c r="X72" s="138">
        <f>Y19/$C$19</f>
        <v>1.1715845873010615</v>
      </c>
      <c r="Y72" s="138"/>
      <c r="Z72" s="138">
        <f>AA19/$C$19</f>
        <v>1.1644703644883292</v>
      </c>
      <c r="AA72" s="138"/>
      <c r="AB72" s="138">
        <f>AC19/$C$19</f>
        <v>1.1410599785086042</v>
      </c>
      <c r="AC72" s="138"/>
      <c r="AD72" s="138">
        <f>AE19/$C$19</f>
        <v>1.0949704224171428</v>
      </c>
      <c r="AE72" s="138"/>
      <c r="AF72" s="138">
        <f>AG19/$C$19</f>
        <v>1.0188640462053167</v>
      </c>
      <c r="AG72" s="138"/>
      <c r="AH72" s="138">
        <f>AI19/$C$19</f>
        <v>0.90529412767469519</v>
      </c>
      <c r="AI72" s="138"/>
      <c r="AJ72" s="138">
        <f>AK19/$C$19</f>
        <v>0.7480999961727488</v>
      </c>
      <c r="AK72" s="138"/>
      <c r="AL72" s="138">
        <f>AM19/$C$19</f>
        <v>0.54395135527462368</v>
      </c>
      <c r="AM72" s="138"/>
      <c r="AN72" s="138">
        <f>AO19/$C$19</f>
        <v>0.29327633019180577</v>
      </c>
      <c r="AO72" s="138"/>
      <c r="AP72" s="138">
        <f>AQ19/$C$19</f>
        <v>0.23785434438244518</v>
      </c>
      <c r="AQ72" s="138"/>
      <c r="AR72" s="138">
        <f>AS19/$C$19</f>
        <v>0.18076626925433012</v>
      </c>
      <c r="AS72" s="138"/>
      <c r="AT72" s="138">
        <f>AU19/$C$19</f>
        <v>0.1220603472640215</v>
      </c>
      <c r="AU72" s="138"/>
      <c r="AV72" s="138">
        <f>AW19/$C$19</f>
        <v>6.1787341534325871E-2</v>
      </c>
      <c r="XFD72" s="138"/>
    </row>
    <row r="73" spans="1:48 16384:16384" x14ac:dyDescent="0.2">
      <c r="A73" t="s">
        <v>184</v>
      </c>
      <c r="B73" s="193">
        <f t="array" ref="B73">SUM(B9:C9*B22:C22)/B32</f>
        <v>0.47641153352875065</v>
      </c>
      <c r="D73" s="193">
        <f t="array" ref="D73">SUM(D9:E9*D22:E22)/D32</f>
        <v>0.47449105254249008</v>
      </c>
      <c r="E73" s="138"/>
      <c r="F73" s="193">
        <f t="array" ref="F73">SUM(F9:G9*F22:G22)/F32</f>
        <v>0.47253376150877252</v>
      </c>
      <c r="G73" s="138"/>
      <c r="H73" s="193">
        <f t="array" ref="H73">SUM(H9:I9*H22:I22)/H32</f>
        <v>0.47053552272090499</v>
      </c>
      <c r="I73" s="138"/>
      <c r="J73" s="193">
        <f t="array" ref="J73">SUM(J9:K9*J22:K22)/J32</f>
        <v>0.46849169239310084</v>
      </c>
      <c r="K73" s="138"/>
      <c r="L73" s="193">
        <f t="array" ref="L73">SUM(L9:M9*L22:M22)/L32</f>
        <v>0.46639706792881513</v>
      </c>
      <c r="M73" s="138"/>
      <c r="N73" s="193">
        <f t="array" ref="N73">SUM(N9:O9*N22:O22)/N32</f>
        <v>0.46424582378365137</v>
      </c>
      <c r="O73" s="138"/>
      <c r="P73" s="193">
        <f t="array" ref="P73">SUM(P9:Q9*P22:Q22)/P32</f>
        <v>0.46203141901997985</v>
      </c>
      <c r="Q73" s="138"/>
      <c r="R73" s="193">
        <f t="array" ref="R73">SUM(R9:S9*R22:S22)/R32</f>
        <v>0.45974650251595928</v>
      </c>
      <c r="S73" s="138"/>
      <c r="T73" s="193">
        <f t="array" ref="T73">SUM(T9:U9*T22:U22)/T32</f>
        <v>0.45738295164762027</v>
      </c>
      <c r="U73" s="138"/>
      <c r="V73" s="193">
        <f t="array" ref="V73">SUM(V9:W9*V22:W22)/V32</f>
        <v>0.45493186572159533</v>
      </c>
      <c r="W73" s="138"/>
      <c r="X73" s="193">
        <f t="array" ref="X73">SUM(X9:Y9*X22:Y22)/X32</f>
        <v>0.45238388994285905</v>
      </c>
      <c r="Y73" s="138"/>
      <c r="Z73" s="193">
        <f t="array" ref="Z73">SUM(Z9:AA9*Z22:AA22)/Z32</f>
        <v>0.44972992060267181</v>
      </c>
      <c r="AA73" s="138"/>
      <c r="AB73" s="193">
        <f t="array" ref="AB73">SUM(AB9:AC9*AB22:AC22)/AB32</f>
        <v>0.44696254315152567</v>
      </c>
      <c r="AC73" s="138"/>
      <c r="AD73" s="193">
        <f t="array" ref="AD73">SUM(AD9:AE9*AD22:AE22)/AD32</f>
        <v>0.44407861380753227</v>
      </c>
      <c r="AE73" s="138"/>
      <c r="AF73" s="193">
        <f t="array" ref="AF73">SUM(AF9:AG9*AF22:AG22)/AF32</f>
        <v>0.44108312176619946</v>
      </c>
      <c r="AG73" s="138"/>
      <c r="AH73" s="193">
        <f t="array" ref="AH73">SUM(AH9:AI9*AH22:AI22)/AH32</f>
        <v>0.43799376566019338</v>
      </c>
      <c r="AI73" s="138"/>
      <c r="AJ73" s="193">
        <f t="array" ref="AJ73">SUM(AJ9:AK9*AJ22:AK22)/AJ32</f>
        <v>0.43484433553212509</v>
      </c>
      <c r="AK73" s="138"/>
      <c r="AL73" s="193">
        <f t="array" ref="AL73">SUM(AL9:AM9*AL22:AM22)/AL32</f>
        <v>0.43168381954585239</v>
      </c>
      <c r="AM73" s="138"/>
      <c r="AN73" s="193">
        <f t="array" ref="AN73">SUM(AN9:AO9*AN22:AO22)/AN32</f>
        <v>0.42856952030607132</v>
      </c>
      <c r="AO73" s="138"/>
      <c r="AP73" s="193">
        <f t="array" ref="AP73">SUM(AP9:AQ9*AP22:AQ22)/AP32</f>
        <v>0.42795719477178712</v>
      </c>
      <c r="AQ73" s="138"/>
      <c r="AR73" s="193">
        <f t="array" ref="AR73">SUM(AR9:AS9*AR22:AS22)/AR32</f>
        <v>0.42734934233882793</v>
      </c>
      <c r="AS73" s="138"/>
      <c r="AT73" s="193">
        <f t="array" ref="AT73">SUM(AT9:AU9*AT22:AU22)/AT32</f>
        <v>0.42674633939468765</v>
      </c>
      <c r="AU73" s="138"/>
      <c r="AV73" s="193">
        <f t="array" ref="AV73">SUM(AV9:AW9*AV22:AW22)/AV32</f>
        <v>0.42614853869713376</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0.22604620456442487</v>
      </c>
      <c r="I74" s="138"/>
      <c r="J74" s="193">
        <f t="array" ref="J74">SUM(J10:K10*J23:K23)/J32</f>
        <v>0.22604620456442487</v>
      </c>
      <c r="K74" s="138"/>
      <c r="L74" s="193">
        <f t="array" ref="L74">SUM(L10:M10*L23:M23)/L32</f>
        <v>0.22604620456442484</v>
      </c>
      <c r="M74" s="138"/>
      <c r="N74" s="193">
        <f t="array" ref="N74">SUM(N10:O10*N23:O23)/N32</f>
        <v>0.22604620456442484</v>
      </c>
      <c r="O74" s="138"/>
      <c r="P74" s="193">
        <f t="array" ref="P74">SUM(P10:Q10*P23:Q23)/P32</f>
        <v>0.22604620456442481</v>
      </c>
      <c r="Q74" s="138"/>
      <c r="R74" s="193">
        <f t="array" ref="R74">SUM(R10:S10*R23:S23)/R32</f>
        <v>0.22604620456442481</v>
      </c>
      <c r="S74" s="138"/>
      <c r="T74" s="193">
        <f t="array" ref="T74">SUM(T10:U10*T23:U23)/T32</f>
        <v>0.22604620456442484</v>
      </c>
      <c r="U74" s="138"/>
      <c r="V74" s="193">
        <f t="array" ref="V74">SUM(V10:W10*V23:W23)/V32</f>
        <v>0.22604620456442484</v>
      </c>
      <c r="W74" s="138"/>
      <c r="X74" s="193">
        <f t="array" ref="X74">SUM(X10:Y10*X23:Y23)/X32</f>
        <v>0.22604620456442481</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0.22604620456442481</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0.22230487138699631</v>
      </c>
      <c r="E75" s="138"/>
      <c r="F75" s="193">
        <f t="array" ref="F75">SUM(F11:G11*F24:G24)/F32</f>
        <v>0.2242621602006632</v>
      </c>
      <c r="G75" s="138"/>
      <c r="H75" s="193">
        <f t="array" ref="H75">SUM(H11:I11*H24:I24)/H32</f>
        <v>0.22626039887052057</v>
      </c>
      <c r="I75" s="138"/>
      <c r="J75" s="193">
        <f t="array" ref="J75">SUM(J11:K11*J24:K24)/J32</f>
        <v>0.22830422998490718</v>
      </c>
      <c r="K75" s="138"/>
      <c r="L75" s="193">
        <f t="array" ref="L75">SUM(L11:M11*L24:M24)/L32</f>
        <v>0.23039885337927288</v>
      </c>
      <c r="M75" s="138"/>
      <c r="N75" s="193">
        <f t="array" ref="N75">SUM(N11:O11*N24:O24)/N32</f>
        <v>0.23255009720274053</v>
      </c>
      <c r="O75" s="138"/>
      <c r="P75" s="193">
        <f t="array" ref="P75">SUM(P11:Q11*P24:Q24)/P32</f>
        <v>0.23476450512120053</v>
      </c>
      <c r="Q75" s="138"/>
      <c r="R75" s="193">
        <f t="array" ref="R75">SUM(R11:S11*R24:S24)/R32</f>
        <v>0.23704941856106856</v>
      </c>
      <c r="S75" s="138"/>
      <c r="T75" s="193">
        <f t="array" ref="T75">SUM(T11:U11*T24:U24)/T32</f>
        <v>0.23941297013412827</v>
      </c>
      <c r="U75" s="138"/>
      <c r="V75" s="193">
        <f t="array" ref="V75">SUM(V11:W11*V24:W24)/V32</f>
        <v>0.24186405591125607</v>
      </c>
      <c r="W75" s="138"/>
      <c r="X75" s="193">
        <f t="array" ref="X75">SUM(X11:Y11*X24:Y24)/X32</f>
        <v>0.24441202978574927</v>
      </c>
      <c r="Y75" s="138"/>
      <c r="Z75" s="193">
        <f t="array" ref="Z75">SUM(Z11:AA11*Z24:AA24)/Z32</f>
        <v>0.2470660013361709</v>
      </c>
      <c r="AA75" s="138"/>
      <c r="AB75" s="193">
        <f t="array" ref="AB75">SUM(AB11:AC11*AB24:AC24)/AB32</f>
        <v>0.24983337865928809</v>
      </c>
      <c r="AC75" s="138"/>
      <c r="AD75" s="193">
        <f t="array" ref="AD75">SUM(AD11:AE11*AD24:AE24)/AD32</f>
        <v>0.25271730716815516</v>
      </c>
      <c r="AE75" s="138"/>
      <c r="AF75" s="193">
        <f t="array" ref="AF75">SUM(AF11:AG11*AF24:AG24)/AF32</f>
        <v>0.25571280011916048</v>
      </c>
      <c r="AG75" s="138"/>
      <c r="AH75" s="193">
        <f t="array" ref="AH75">SUM(AH11:AI11*AH24:AI24)/AH32</f>
        <v>0.25880215614129159</v>
      </c>
      <c r="AI75" s="138"/>
      <c r="AJ75" s="193">
        <f t="array" ref="AJ75">SUM(AJ11:AK11*AJ24:AK24)/AJ32</f>
        <v>0.26195158634063598</v>
      </c>
      <c r="AK75" s="138"/>
      <c r="AL75" s="193">
        <f t="array" ref="AL75">SUM(AL11:AM11*AL24:AM24)/AL32</f>
        <v>0.26511210218361125</v>
      </c>
      <c r="AM75" s="138"/>
      <c r="AN75" s="193">
        <f t="array" ref="AN75">SUM(AN11:AO11*AN24:AO24)/AN32</f>
        <v>0.26822640315425661</v>
      </c>
      <c r="AO75" s="138"/>
      <c r="AP75" s="193">
        <f t="array" ref="AP75">SUM(AP11:AQ11*AP24:AQ24)/AP32</f>
        <v>0.26883872804572606</v>
      </c>
      <c r="AQ75" s="138"/>
      <c r="AR75" s="193">
        <f t="array" ref="AR75">SUM(AR11:AS11*AR24:AS24)/AR32</f>
        <v>0.26944657878351008</v>
      </c>
      <c r="AS75" s="138"/>
      <c r="AT75" s="193">
        <f t="array" ref="AT75">SUM(AT11:AU11*AT24:AU24)/AT32</f>
        <v>0.27004958078704122</v>
      </c>
      <c r="AU75" s="138"/>
      <c r="AV75" s="193">
        <f t="array" ref="AV75">SUM(AV11:AW11*AV24:AW24)/AV32</f>
        <v>0.27064738397038013</v>
      </c>
      <c r="XFD75" s="193"/>
    </row>
    <row r="76" spans="1:48 16384:16384" x14ac:dyDescent="0.2">
      <c r="A76" t="s">
        <v>187</v>
      </c>
      <c r="B76" s="193">
        <f t="array" ref="B76">SUM(B12:C12*B25:C25)/B32</f>
        <v>0.22301874374724867</v>
      </c>
      <c r="D76" s="193">
        <f t="array" ref="D76">SUM(D12:E12*D25:E25)/D32</f>
        <v>0.22301405933063534</v>
      </c>
      <c r="E76" s="138"/>
      <c r="F76" s="193">
        <f t="array" ref="F76">SUM(F12:G12*F25:G25)/F32</f>
        <v>0.22305209549567287</v>
      </c>
      <c r="G76" s="138"/>
      <c r="H76" s="193">
        <f t="array" ref="H76">SUM(H12:I12*H25:I25)/H32</f>
        <v>0.22313692715192909</v>
      </c>
      <c r="I76" s="138"/>
      <c r="J76" s="193">
        <f t="array" ref="J76">SUM(J12:K12*J25:K25)/J32</f>
        <v>0.22327283898378561</v>
      </c>
      <c r="K76" s="138"/>
      <c r="L76" s="193">
        <f t="array" ref="L76">SUM(L12:M12*L25:M25)/L32</f>
        <v>0.22346418864042855</v>
      </c>
      <c r="M76" s="138"/>
      <c r="N76" s="193">
        <f t="array" ref="N76">SUM(N12:O12*N25:O25)/N32</f>
        <v>0.22371519105300694</v>
      </c>
      <c r="O76" s="138"/>
      <c r="P76" s="193">
        <f t="array" ref="P76">SUM(P12:Q12*P25:Q25)/P32</f>
        <v>0.22402954062752425</v>
      </c>
      <c r="Q76" s="138"/>
      <c r="R76" s="193">
        <f t="array" ref="R76">SUM(R12:S12*R25:S25)/R32</f>
        <v>0.22440985671557215</v>
      </c>
      <c r="S76" s="138"/>
      <c r="T76" s="193">
        <f t="array" ref="T76">SUM(T12:U12*T25:U25)/T32</f>
        <v>0.22485683082833419</v>
      </c>
      <c r="U76" s="138"/>
      <c r="V76" s="193">
        <f t="array" ref="V76">SUM(V12:W12*V25:W25)/V32</f>
        <v>0.22536806461242279</v>
      </c>
      <c r="W76" s="138"/>
      <c r="X76" s="193">
        <f t="array" ref="X76">SUM(X12:Y12*X25:Y25)/X32</f>
        <v>0.22593646980855575</v>
      </c>
      <c r="Y76" s="138"/>
      <c r="Z76" s="193">
        <f t="array" ref="Z76">SUM(Z12:AA12*Z25:AA25)/Z32</f>
        <v>0.22654835086399683</v>
      </c>
      <c r="AA76" s="138"/>
      <c r="AB76" s="193">
        <f t="array" ref="AB76">SUM(AB12:AC12*AB25:AC25)/AB32</f>
        <v>0.227181474719303</v>
      </c>
      <c r="AC76" s="138"/>
      <c r="AD76" s="193">
        <f t="array" ref="AD76">SUM(AD12:AE12*AD25:AE25)/AD32</f>
        <v>0.22780385005341602</v>
      </c>
      <c r="AE76" s="138"/>
      <c r="AF76" s="193">
        <f t="array" ref="AF76">SUM(AF12:AG12*AF25:AG25)/AF32</f>
        <v>0.22837464211249089</v>
      </c>
      <c r="AG76" s="138"/>
      <c r="AH76" s="193">
        <f t="array" ref="AH76">SUM(AH12:AI12*AH25:AI25)/AH32</f>
        <v>0.22884879917678025</v>
      </c>
      <c r="AI76" s="138"/>
      <c r="AJ76" s="193">
        <f t="array" ref="AJ76">SUM(AJ12:AK12*AJ25:AK25)/AJ32</f>
        <v>0.22918583958054234</v>
      </c>
      <c r="AK76" s="138"/>
      <c r="AL76" s="193">
        <f t="array" ref="AL76">SUM(AL12:AM12*AL25:AM25)/AL32</f>
        <v>0.22936040206814745</v>
      </c>
      <c r="AM76" s="138"/>
      <c r="AN76" s="193">
        <f t="array" ref="AN76">SUM(AN12:AO12*AN25:AO25)/AN32</f>
        <v>0.22936918556734809</v>
      </c>
      <c r="AO76" s="138"/>
      <c r="AP76" s="193">
        <f t="array" ref="AP76">SUM(AP12:AQ12*AP25:AQ25)/AP32</f>
        <v>0.22935231851160459</v>
      </c>
      <c r="AQ76" s="138"/>
      <c r="AR76" s="193">
        <f t="array" ref="AR76">SUM(AR12:AS12*AR25:AS25)/AR32</f>
        <v>0.22932971526404161</v>
      </c>
      <c r="AS76" s="138"/>
      <c r="AT76" s="193">
        <f t="array" ref="AT76">SUM(AT12:AU12*AT25:AU25)/AT32</f>
        <v>0.22930161951973177</v>
      </c>
      <c r="AU76" s="138"/>
      <c r="AV76" s="193">
        <f t="array" ref="AV76">SUM(AV12:AW12*AV25:AW25)/AV32</f>
        <v>0.22926829014343622</v>
      </c>
      <c r="XFD76" s="193"/>
    </row>
    <row r="77" spans="1:48 16384:16384" x14ac:dyDescent="0.2">
      <c r="A77" t="s">
        <v>188</v>
      </c>
      <c r="B77" s="193">
        <f t="array" ref="B77">SUM(B4:C4*B19:C19)/B32</f>
        <v>0.14586087017236485</v>
      </c>
      <c r="D77" s="193">
        <f t="array" ref="D77">SUM(D4:E4*D19:E19)/D32</f>
        <v>0.14585618782454624</v>
      </c>
      <c r="E77" s="138"/>
      <c r="F77" s="193">
        <f t="array" ref="F77">SUM(F4:G4*F19:G19)/F32</f>
        <v>0.14589422176953337</v>
      </c>
      <c r="G77" s="138"/>
      <c r="H77" s="193">
        <f t="array" ref="H77">SUM(H4:I4*H19:I19)/H32</f>
        <v>0.14597905330777955</v>
      </c>
      <c r="I77" s="138"/>
      <c r="J77" s="193">
        <f t="array" ref="J77">SUM(J4:K4*J19:K19)/J32</f>
        <v>0.14611496592621831</v>
      </c>
      <c r="K77" s="138"/>
      <c r="L77" s="193">
        <f t="array" ref="L77">SUM(L4:M4*L19:M19)/L32</f>
        <v>0.14630631451294138</v>
      </c>
      <c r="M77" s="138"/>
      <c r="N77" s="193">
        <f t="array" ref="N77">SUM(N4:O4*N19:O19)/N32</f>
        <v>0.1465573166038236</v>
      </c>
      <c r="O77" s="138"/>
      <c r="P77" s="193">
        <f t="array" ref="P77">SUM(P4:Q4*P19:Q19)/P32</f>
        <v>0.14687166933312926</v>
      </c>
      <c r="Q77" s="138"/>
      <c r="R77" s="193">
        <f t="array" ref="R77">SUM(R4:S4*R19:S19)/R32</f>
        <v>0.14725198235702483</v>
      </c>
      <c r="S77" s="138"/>
      <c r="T77" s="193">
        <f t="array" ref="T77">SUM(T4:U4*T19:U19)/T32</f>
        <v>0.14769895717450732</v>
      </c>
      <c r="U77" s="138"/>
      <c r="V77" s="193">
        <f t="array" ref="V77">SUM(V4:W4*V19:W19)/V32</f>
        <v>0.1482101908096991</v>
      </c>
      <c r="W77" s="138"/>
      <c r="X77" s="193">
        <f t="array" ref="X77">SUM(X4:Y4*X19:Y19)/X32</f>
        <v>0.14877859410158875</v>
      </c>
      <c r="Y77" s="138"/>
      <c r="Z77" s="193">
        <f t="array" ref="Z77">SUM(Z4:AA4*Z19:AA19)/Z32</f>
        <v>0.14939047736726432</v>
      </c>
      <c r="AA77" s="138"/>
      <c r="AB77" s="193">
        <f t="array" ref="AB77">SUM(AB4:AC4*AB19:AC19)/AB32</f>
        <v>0.15002360109454133</v>
      </c>
      <c r="AC77" s="138"/>
      <c r="AD77" s="193">
        <f t="array" ref="AD77">SUM(AD4:AE4*AD19:AE19)/AD32</f>
        <v>0.15064597559352824</v>
      </c>
      <c r="AE77" s="138"/>
      <c r="AF77" s="193">
        <f t="array" ref="AF77">SUM(AF4:AG4*AF19:AG19)/AF32</f>
        <v>0.15121676856227573</v>
      </c>
      <c r="AG77" s="138"/>
      <c r="AH77" s="193">
        <f t="array" ref="AH77">SUM(AH4:AI4*AH19:AI19)/AH32</f>
        <v>0.15169092554268984</v>
      </c>
      <c r="AI77" s="138"/>
      <c r="AJ77" s="193">
        <f t="array" ref="AJ77">SUM(AJ4:AK4*AJ19:AK19)/AJ32</f>
        <v>0.15202796601772794</v>
      </c>
      <c r="AK77" s="138"/>
      <c r="AL77" s="193">
        <f t="array" ref="AL77">SUM(AL4:AM4*AL19:AM19)/AL32</f>
        <v>0.15220252836203571</v>
      </c>
      <c r="AM77" s="138"/>
      <c r="AN77" s="193">
        <f t="array" ref="AN77">SUM(AN4:AO4*AN19:AO19)/AN32</f>
        <v>0.1522113135921008</v>
      </c>
      <c r="AO77" s="138"/>
      <c r="AP77" s="193">
        <f t="array" ref="AP77">SUM(AP4:AQ4*AP19:AQ19)/AP32</f>
        <v>0.1521944458935425</v>
      </c>
      <c r="AQ77" s="138"/>
      <c r="AR77" s="193">
        <f t="array" ref="AR77">SUM(AR4:AS4*AR19:AS19)/AR32</f>
        <v>0.15217184095080422</v>
      </c>
      <c r="AS77" s="138"/>
      <c r="AT77" s="193">
        <f t="array" ref="AT77">SUM(AT4:AU4*AT19:AU19)/AT32</f>
        <v>0.15214374426588545</v>
      </c>
      <c r="AU77" s="138"/>
      <c r="AV77" s="193">
        <f t="array" ref="AV77">SUM(AV4:AW4*AV19:AW19)/AV32</f>
        <v>0.15211041737537481</v>
      </c>
      <c r="XFD77" s="193"/>
    </row>
    <row r="78" spans="1:48 16384:16384" x14ac:dyDescent="0.2">
      <c r="A78" t="s">
        <v>189</v>
      </c>
      <c r="B78" s="193">
        <f t="array" ref="B78">SUM(B13:C13*B26:C26)/B32</f>
        <v>0.346887593115773</v>
      </c>
      <c r="D78" s="193">
        <f t="array" ref="D78">SUM(D13:E13*D26:E26)/D32</f>
        <v>0.34591524699949233</v>
      </c>
      <c r="E78" s="138"/>
      <c r="F78" s="193">
        <f t="array" ref="F78">SUM(F13:G13*F26:G26)/F32</f>
        <v>0.3449207342343627</v>
      </c>
      <c r="G78" s="138"/>
      <c r="H78" s="193">
        <f t="array" ref="H78">SUM(H13:I13*H26:I26)/H32</f>
        <v>0.34390333596971601</v>
      </c>
      <c r="I78" s="138"/>
      <c r="J78" s="193">
        <f t="array" ref="J78">SUM(J13:K13*J26:K26)/J32</f>
        <v>0.34286249376060363</v>
      </c>
      <c r="K78" s="138"/>
      <c r="L78" s="193">
        <f t="array" ref="L78">SUM(L13:M13*L26:M26)/L32</f>
        <v>0.34179787102324422</v>
      </c>
      <c r="M78" s="138"/>
      <c r="N78" s="193">
        <f t="array" ref="N78">SUM(N13:O13*N26:O26)/N32</f>
        <v>0.3407094585126228</v>
      </c>
      <c r="O78" s="138"/>
      <c r="P78" s="193">
        <f t="array" ref="P78">SUM(P13:Q13*P26:Q26)/P32</f>
        <v>0.339597633990041</v>
      </c>
      <c r="Q78" s="138"/>
      <c r="R78" s="193">
        <f t="array" ref="R78">SUM(R13:S13*R26:S26)/R32</f>
        <v>0.33846328421774263</v>
      </c>
      <c r="S78" s="138"/>
      <c r="T78" s="193">
        <f t="array" ref="T78">SUM(T13:U13*T26:U26)/T32</f>
        <v>0.33730792437748308</v>
      </c>
      <c r="U78" s="138"/>
      <c r="V78" s="193">
        <f t="array" ref="V78">SUM(V13:W13*V26:W26)/V32</f>
        <v>0.33613386869995682</v>
      </c>
      <c r="W78" s="138"/>
      <c r="X78" s="193">
        <f t="array" ref="X78">SUM(X13:Y13*X26:Y26)/X32</f>
        <v>0.33494439112020957</v>
      </c>
      <c r="Y78" s="138"/>
      <c r="Z78" s="193">
        <f t="array" ref="Z78">SUM(Z13:AA13*Z26:AA26)/Z32</f>
        <v>0.33374395048222588</v>
      </c>
      <c r="AA78" s="138"/>
      <c r="AB78" s="193">
        <f t="array" ref="AB78">SUM(AB13:AC13*AB26:AC26)/AB32</f>
        <v>0.33253849347165537</v>
      </c>
      <c r="AC78" s="138"/>
      <c r="AD78" s="193">
        <f t="array" ref="AD78">SUM(AD13:AE13*AD26:AE26)/AD32</f>
        <v>0.33133574881159061</v>
      </c>
      <c r="AE78" s="138"/>
      <c r="AF78" s="193">
        <f t="array" ref="AF78">SUM(AF13:AG13*AF26:AG26)/AF32</f>
        <v>0.33014554596822498</v>
      </c>
      <c r="AG78" s="138"/>
      <c r="AH78" s="193">
        <f t="array" ref="AH78">SUM(AH13:AI13*AH26:AI26)/AH32</f>
        <v>0.32897992435862189</v>
      </c>
      <c r="AI78" s="138"/>
      <c r="AJ78" s="193">
        <f t="array" ref="AJ78">SUM(AJ13:AK13*AJ26:AK26)/AJ32</f>
        <v>0.32785263988325325</v>
      </c>
      <c r="AK78" s="138"/>
      <c r="AL78" s="193">
        <f t="array" ref="AL78">SUM(AL13:AM13*AL26:AM26)/AL32</f>
        <v>0.3267778093388824</v>
      </c>
      <c r="AM78" s="138"/>
      <c r="AN78" s="193">
        <f t="array" ref="AN78">SUM(AN13:AO13*AN26:AO26)/AN32</f>
        <v>0.32576777645921723</v>
      </c>
      <c r="AO78" s="138"/>
      <c r="AP78" s="193">
        <f t="array" ref="AP78">SUM(AP13:AQ13*AP26:AQ26)/AP32</f>
        <v>0.32557437603281369</v>
      </c>
      <c r="AQ78" s="138"/>
      <c r="AR78" s="193">
        <f t="array" ref="AR78">SUM(AR13:AS13*AR26:AS26)/AR32</f>
        <v>0.32538396888632909</v>
      </c>
      <c r="AS78" s="138"/>
      <c r="AT78" s="193">
        <f t="array" ref="AT78">SUM(AT13:AU13*AT26:AU26)/AT32</f>
        <v>0.32519659034869858</v>
      </c>
      <c r="AU78" s="138"/>
      <c r="AV78" s="193">
        <f t="array" ref="AV78">SUM(AV13:AW13*AV26:AW26)/AV32</f>
        <v>0.32501226857182119</v>
      </c>
      <c r="XFD78" s="193"/>
    </row>
    <row r="79" spans="1:48 16384:16384" x14ac:dyDescent="0.2">
      <c r="A79" t="s">
        <v>190</v>
      </c>
      <c r="B79" s="193">
        <f t="array" ref="B79">SUM(B15:C15*B27:C27)/B32</f>
        <v>0.45460968782440642</v>
      </c>
      <c r="D79" s="193">
        <f t="array" ref="D79">SUM(D15:E15*D27:E27)/D32</f>
        <v>0.45234515755455335</v>
      </c>
      <c r="F79" s="193">
        <f t="array" ref="F79">SUM(F15:G15*F27:G27)/F32</f>
        <v>0.45004079770464811</v>
      </c>
      <c r="H79" s="193">
        <f t="array" ref="H79">SUM(H15:I15*H27:I27)/H32</f>
        <v>0.44769033970673</v>
      </c>
      <c r="J79" s="193">
        <f t="array" ref="J79">SUM(J15:K15*J27:K27)/J32</f>
        <v>0.44528649708846452</v>
      </c>
      <c r="L79" s="193">
        <f t="array" ref="L79">SUM(L15:M15*L27:M27)/L32</f>
        <v>0.442820779617559</v>
      </c>
      <c r="N79" s="193">
        <f t="array" ref="N79">SUM(N15:O15*N27:O27)/N32</f>
        <v>0.44028336146002262</v>
      </c>
      <c r="P79" s="193">
        <f t="array" ref="P79">SUM(P15:Q15*P27:Q27)/P32</f>
        <v>0.43766277572414869</v>
      </c>
      <c r="R79" s="193">
        <f t="array" ref="R79">SUM(R15:S15*R27:S27)/R32</f>
        <v>0.43494572063996156</v>
      </c>
      <c r="T79" s="193">
        <f t="array" ref="T79">SUM(T15:U15*T27:U27)/T32</f>
        <v>0.43211685067962652</v>
      </c>
      <c r="V79" s="193">
        <f t="array" ref="V79">SUM(V15:W15*V27:W27)/V32</f>
        <v>0.42915879211056518</v>
      </c>
      <c r="X79" s="193">
        <f t="array" ref="X79">SUM(X15:Y15*X27:Y27)/X32</f>
        <v>0.42605238672268481</v>
      </c>
      <c r="Z79" s="193">
        <f t="array" ref="Z79">SUM(Z15:AA15*Z27:AA27)/Z32</f>
        <v>0.42277768133504645</v>
      </c>
      <c r="AB79" s="193">
        <f t="array" ref="AB79">SUM(AB15:AC15*AB27:AC27)/AB32</f>
        <v>0.4193161360397778</v>
      </c>
      <c r="AD79" s="193">
        <f t="array" ref="AD79">SUM(AD15:AE15*AD27:AE27)/AD32</f>
        <v>0.41565458297058117</v>
      </c>
      <c r="AF79" s="193">
        <f t="array" ref="AF79">SUM(AF15:AG15*AF27:AG27)/AF32</f>
        <v>0.41179147884485601</v>
      </c>
      <c r="AH79" s="193">
        <f t="array" ref="AH79">SUM(AH15:AI15*AH27:AI27)/AH32</f>
        <v>0.40774459584884132</v>
      </c>
      <c r="AJ79" s="193">
        <f t="array" ref="AJ79">SUM(AJ15:AK15*AJ27:AK27)/AJ32</f>
        <v>0.40355716446216511</v>
      </c>
      <c r="AL79" s="193">
        <f t="array" ref="AL79">SUM(AL15:AM15*AL27:AM27)/AL32</f>
        <v>0.3992977840178904</v>
      </c>
      <c r="AN79" s="193">
        <f t="array" ref="AN79">SUM(AN15:AO15*AN27:AO27)/AN32</f>
        <v>0.39505092468499681</v>
      </c>
      <c r="AP79" s="193">
        <f t="array" ref="AP79">SUM(AP15:AQ15*AP27:AQ27)/AP32</f>
        <v>0.39421065649219938</v>
      </c>
      <c r="AR79" s="193">
        <f t="array" ref="AR79">SUM(AR15:AS15*AR27:AS27)/AR32</f>
        <v>0.39337492962419618</v>
      </c>
      <c r="AT79" s="193">
        <f t="array" ref="AT79">SUM(AT15:AU15*AT27:AU27)/AT32</f>
        <v>0.39254433703404162</v>
      </c>
      <c r="AV79" s="193">
        <f t="array" ref="AV79">SUM(AV15:AW15*AV27:AW27)/AV32</f>
        <v>0.39171943959720246</v>
      </c>
      <c r="XFD79" s="193"/>
    </row>
    <row r="80" spans="1:48 16384:16384" x14ac:dyDescent="0.2">
      <c r="A80" t="s">
        <v>169</v>
      </c>
      <c r="B80" s="236">
        <f>B55</f>
        <v>0.19850271905982084</v>
      </c>
      <c r="D80" s="236">
        <f>D55</f>
        <v>0.2017396072734525</v>
      </c>
      <c r="F80" s="236">
        <f>F55</f>
        <v>0.20503846658290747</v>
      </c>
      <c r="H80" s="236">
        <f>H55</f>
        <v>0.20840632189199942</v>
      </c>
      <c r="J80" s="236">
        <f>J55</f>
        <v>0.21185101924962416</v>
      </c>
      <c r="L80" s="236">
        <f>L55</f>
        <v>0.21538134469433262</v>
      </c>
      <c r="N80" s="236">
        <f>N55</f>
        <v>0.21900717265655448</v>
      </c>
      <c r="P80" s="236">
        <f>P55</f>
        <v>0.22273958806098526</v>
      </c>
      <c r="R80" s="236">
        <f>R55</f>
        <v>0.22659100275222421</v>
      </c>
      <c r="T80" s="236">
        <f>T55</f>
        <v>0.23057522632369948</v>
      </c>
      <c r="V80" s="236">
        <f>V55</f>
        <v>0.23470734341082847</v>
      </c>
      <c r="X80" s="236">
        <f>X55</f>
        <v>0.23900323087472536</v>
      </c>
      <c r="Z80" s="236">
        <f>Z55</f>
        <v>0.24347836435278913</v>
      </c>
      <c r="AB80" s="236">
        <f>AB55</f>
        <v>0.24814536786678668</v>
      </c>
      <c r="AD80" s="236">
        <f>AD55</f>
        <v>0.25300967227413979</v>
      </c>
      <c r="AF80" s="236">
        <f>AF55</f>
        <v>0.25806297399080869</v>
      </c>
      <c r="AH80" s="236">
        <f>AH55</f>
        <v>0.26327548169390597</v>
      </c>
      <c r="AJ80" s="236">
        <f>AJ55</f>
        <v>0.26859019775992854</v>
      </c>
      <c r="AL80" s="236">
        <f>AL55</f>
        <v>0.27392440580432947</v>
      </c>
      <c r="AN80" s="236">
        <f>AN55</f>
        <v>0.27918130694528709</v>
      </c>
      <c r="AP80" s="236">
        <f>AP55</f>
        <v>0.28021497137188772</v>
      </c>
      <c r="AR80" s="236">
        <f>AR55</f>
        <v>0.28124109835108346</v>
      </c>
      <c r="AT80" s="236">
        <f>AT55</f>
        <v>0.28225906512586862</v>
      </c>
      <c r="AV80" s="236">
        <f>AV55</f>
        <v>0.28326829517790786</v>
      </c>
      <c r="XFD80" s="236"/>
    </row>
    <row r="81" spans="1:48 16384:16384" x14ac:dyDescent="0.2">
      <c r="A81" t="s">
        <v>191</v>
      </c>
      <c r="B81" s="236">
        <f>B51/B$32</f>
        <v>-2.7543485504603994E-2</v>
      </c>
      <c r="D81" s="236">
        <f>D51/D$32</f>
        <v>-2.430659729097235E-2</v>
      </c>
      <c r="F81" s="236">
        <f>F51/F$32</f>
        <v>-2.1007737981517352E-2</v>
      </c>
      <c r="H81" s="236">
        <f>H51/H$32</f>
        <v>-1.763988267242542E-2</v>
      </c>
      <c r="J81" s="236">
        <f>J51/J$32</f>
        <v>-1.4195185314800705E-2</v>
      </c>
      <c r="L81" s="236">
        <f>L51/L$32</f>
        <v>-1.0664859870092212E-2</v>
      </c>
      <c r="N81" s="236">
        <f>N51/N$32</f>
        <v>-7.0390319078703651E-3</v>
      </c>
      <c r="P81" s="236">
        <f>P51/P$32</f>
        <v>-3.3066165034395657E-3</v>
      </c>
      <c r="R81" s="236">
        <f>R51/R$32</f>
        <v>5.4479818779937532E-4</v>
      </c>
      <c r="T81" s="236">
        <f>T51/T$32</f>
        <v>4.5290217592746373E-3</v>
      </c>
      <c r="V81" s="236">
        <f>V51/V$32</f>
        <v>8.6611388464036231E-3</v>
      </c>
      <c r="X81" s="236">
        <f>X51/X$32</f>
        <v>1.295702631030052E-2</v>
      </c>
      <c r="Z81" s="236">
        <f>Z51/Z$32</f>
        <v>1.7432159788364293E-2</v>
      </c>
      <c r="AB81" s="236">
        <f>AB51/AB$32</f>
        <v>2.2099163302361821E-2</v>
      </c>
      <c r="AD81" s="236">
        <f>AD51/AD$32</f>
        <v>2.6963467709714938E-2</v>
      </c>
      <c r="AF81" s="236">
        <f>AF51/AF$32</f>
        <v>3.2016769426383859E-2</v>
      </c>
      <c r="AH81" s="236">
        <f>AH51/AH$32</f>
        <v>3.7229277129481105E-2</v>
      </c>
      <c r="AJ81" s="236">
        <f>AJ51/AJ$32</f>
        <v>4.254399319550374E-2</v>
      </c>
      <c r="AL81" s="236">
        <f>AL51/AL$32</f>
        <v>4.7878201239904647E-2</v>
      </c>
      <c r="AN81" s="236">
        <f>AN51/AN$32</f>
        <v>5.313510238086222E-2</v>
      </c>
      <c r="AP81" s="236">
        <f>AP51/AP$32</f>
        <v>5.4168766807462895E-2</v>
      </c>
      <c r="AR81" s="236">
        <f>AR51/AR$32</f>
        <v>5.5194893786658629E-2</v>
      </c>
      <c r="AT81" s="236">
        <f>AT51/AT$32</f>
        <v>5.6212860561443756E-2</v>
      </c>
      <c r="AV81" s="236">
        <f>AV51/AV$32</f>
        <v>5.7222090613483038E-2</v>
      </c>
      <c r="XFD81" s="236"/>
    </row>
    <row r="82" spans="1:48 16384:16384" x14ac:dyDescent="0.2">
      <c r="A82" t="s">
        <v>192</v>
      </c>
      <c r="B82" s="236">
        <f>B52/B$32</f>
        <v>0.13907860278212886</v>
      </c>
      <c r="D82" s="236">
        <f>D52/D$32</f>
        <v>0.13868875736258449</v>
      </c>
      <c r="F82" s="236">
        <f>F52/F$32</f>
        <v>0.13829002460716694</v>
      </c>
      <c r="H82" s="236">
        <f>H52/H$32</f>
        <v>0.13788211630508823</v>
      </c>
      <c r="J82" s="236">
        <f>J52/J$32</f>
        <v>0.13746480855746954</v>
      </c>
      <c r="L82" s="236">
        <f>L52/L$32</f>
        <v>0.13703796641684385</v>
      </c>
      <c r="N82" s="236">
        <f>N52/N$32</f>
        <v>0.13660158617658169</v>
      </c>
      <c r="P82" s="236">
        <f>P52/P$32</f>
        <v>0.13615581929356732</v>
      </c>
      <c r="R82" s="236">
        <f>R52/R$32</f>
        <v>0.13570102129984135</v>
      </c>
      <c r="T82" s="236">
        <f>T52/T$32</f>
        <v>0.13523779968141852</v>
      </c>
      <c r="V82" s="236">
        <f>V52/V$32</f>
        <v>0.13476708228921627</v>
      </c>
      <c r="X82" s="236">
        <f>X52/X$32</f>
        <v>0.13429018175107363</v>
      </c>
      <c r="Z82" s="236">
        <f>Z52/Z$32</f>
        <v>0.13380888576364999</v>
      </c>
      <c r="AB82" s="236">
        <f>AB52/AB$32</f>
        <v>0.13332557854808141</v>
      </c>
      <c r="AD82" s="236">
        <f>AD52/AD$32</f>
        <v>0.13284335880270803</v>
      </c>
      <c r="AF82" s="236">
        <f>AF52/AF$32</f>
        <v>0.13236616748261559</v>
      </c>
      <c r="AH82" s="236">
        <f>AH52/AH$32</f>
        <v>0.13189883158460858</v>
      </c>
      <c r="AJ82" s="236">
        <f>AJ52/AJ$32</f>
        <v>0.13144686629993513</v>
      </c>
      <c r="AL82" s="236">
        <f>AL52/AL$32</f>
        <v>0.13101593151499238</v>
      </c>
      <c r="AN82" s="236">
        <f>AN52/AN$32</f>
        <v>0.13061097623709936</v>
      </c>
      <c r="AP82" s="236">
        <f>AP52/AP$32</f>
        <v>0.13053343566887068</v>
      </c>
      <c r="AR82" s="236">
        <f>AR52/AR$32</f>
        <v>0.13045709520464435</v>
      </c>
      <c r="AT82" s="236">
        <f>AT52/AT$32</f>
        <v>0.13038196900894813</v>
      </c>
      <c r="AV82" s="236">
        <f>AV52/AV$32</f>
        <v>0.13030806836880079</v>
      </c>
    </row>
    <row r="83" spans="1:48 16384:16384" x14ac:dyDescent="0.2">
      <c r="A83" t="s">
        <v>193</v>
      </c>
      <c r="B83" s="236">
        <f>B53/B$32</f>
        <v>0.18600714462929935</v>
      </c>
      <c r="D83" s="236">
        <f>D53/D$32</f>
        <v>0.18508059418239228</v>
      </c>
      <c r="F83" s="236">
        <f>F53/F$32</f>
        <v>0.1841377471482023</v>
      </c>
      <c r="H83" s="236">
        <f>H53/H$32</f>
        <v>0.18317603869263432</v>
      </c>
      <c r="J83" s="236">
        <f>J53/J$32</f>
        <v>0.18219248749797856</v>
      </c>
      <c r="L83" s="236">
        <f>L53/L$32</f>
        <v>0.18118361971863009</v>
      </c>
      <c r="N83" s="236">
        <f>N53/N$32</f>
        <v>0.18014541503699957</v>
      </c>
      <c r="P83" s="236">
        <f>P53/P$32</f>
        <v>0.17907318168377095</v>
      </c>
      <c r="R83" s="236">
        <f>R53/R$32</f>
        <v>0.1779614771346911</v>
      </c>
      <c r="T83" s="236">
        <f>T53/T$32</f>
        <v>0.17680402264583572</v>
      </c>
      <c r="V83" s="236">
        <f>V53/V$32</f>
        <v>0.17559370961728921</v>
      </c>
      <c r="X83" s="236">
        <f>X53/X$32</f>
        <v>0.17432269931606598</v>
      </c>
      <c r="Z83" s="236">
        <f>Z53/Z$32</f>
        <v>0.1729828277405793</v>
      </c>
      <c r="AB83" s="236">
        <f>AB53/AB$32</f>
        <v>0.17156650914108082</v>
      </c>
      <c r="AD83" s="236">
        <f>AD53/AD$32</f>
        <v>0.17006835578106491</v>
      </c>
      <c r="AF83" s="236">
        <f>AF53/AF$32</f>
        <v>0.16848773621426555</v>
      </c>
      <c r="AH83" s="236">
        <f>AH53/AH$32</f>
        <v>0.16683192207106076</v>
      </c>
      <c r="AJ83" s="236">
        <f>AJ53/AJ$32</f>
        <v>0.16511860144365786</v>
      </c>
      <c r="AL83" s="236">
        <f>AL53/AL$32</f>
        <v>0.16337584229102972</v>
      </c>
      <c r="AN83" s="236">
        <f>AN53/AN$32</f>
        <v>0.16163820625002451</v>
      </c>
      <c r="AP83" s="236">
        <f>AP53/AP$32</f>
        <v>0.16129440388185887</v>
      </c>
      <c r="AR83" s="236">
        <f>AR53/AR$32</f>
        <v>0.16095245963260366</v>
      </c>
      <c r="AT83" s="236">
        <f>AT53/AT$32</f>
        <v>0.16061261611368469</v>
      </c>
      <c r="AV83" s="236">
        <f>AV53/AV$32</f>
        <v>0.16027510281172938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4.3214292043521736E-2</v>
      </c>
      <c r="E2" s="227"/>
      <c r="F2" s="226">
        <v>8.2949104354581901E-2</v>
      </c>
      <c r="G2" s="227"/>
      <c r="H2" s="226">
        <v>0.12512174411041616</v>
      </c>
      <c r="I2" s="227"/>
      <c r="J2" s="226">
        <v>0.16987238662689574</v>
      </c>
      <c r="K2" s="227"/>
      <c r="L2" s="226">
        <v>0.21733600740505107</v>
      </c>
      <c r="M2" s="227"/>
      <c r="N2" s="226">
        <v>0.2676363307340095</v>
      </c>
      <c r="O2" s="227"/>
      <c r="P2" s="226">
        <v>0.32089388307596778</v>
      </c>
      <c r="Q2" s="227"/>
      <c r="R2" s="226">
        <v>0.37724960860265228</v>
      </c>
      <c r="S2" s="227"/>
      <c r="T2" s="226">
        <v>0.436937186809714</v>
      </c>
      <c r="U2" s="227"/>
      <c r="V2" s="226">
        <v>0.50046231968398414</v>
      </c>
      <c r="W2" s="227"/>
      <c r="X2" s="226">
        <v>0.56901473755452403</v>
      </c>
      <c r="Y2" s="227"/>
      <c r="Z2" s="226">
        <v>0.64537795198825565</v>
      </c>
      <c r="AA2" s="227"/>
      <c r="AB2" s="226">
        <v>0.73589424227181499</v>
      </c>
      <c r="AC2" s="227"/>
      <c r="AD2" s="226">
        <v>0.85476209105546297</v>
      </c>
      <c r="AE2" s="227"/>
      <c r="AF2" s="226">
        <v>1.0342489497221938</v>
      </c>
      <c r="AG2" s="227"/>
      <c r="AH2" s="226">
        <v>1.3541297677266095</v>
      </c>
      <c r="AI2" s="227"/>
      <c r="AJ2" s="226">
        <v>2.0521927494171446</v>
      </c>
      <c r="AK2" s="227"/>
      <c r="AL2" s="226">
        <v>4.0628021998342607</v>
      </c>
      <c r="AM2" s="227"/>
      <c r="AN2" s="226">
        <v>13.218237967316345</v>
      </c>
      <c r="AO2" s="227"/>
      <c r="AP2" s="226">
        <v>18.82632098945567</v>
      </c>
      <c r="AQ2" s="227"/>
      <c r="AR2" s="226">
        <v>29.122745997963648</v>
      </c>
      <c r="AS2" s="227"/>
      <c r="AT2" s="226">
        <v>52.062543245530911</v>
      </c>
      <c r="AU2" s="227"/>
      <c r="AV2" s="226">
        <v>129.86474407808529</v>
      </c>
      <c r="AW2" s="227"/>
    </row>
    <row r="3" spans="1:49" x14ac:dyDescent="0.2">
      <c r="A3" t="s">
        <v>12</v>
      </c>
      <c r="B3" s="84">
        <v>1000</v>
      </c>
      <c r="C3" s="85">
        <v>1000</v>
      </c>
      <c r="D3" s="84">
        <v>999.24383665135508</v>
      </c>
      <c r="E3" s="85">
        <v>1018.229972635086</v>
      </c>
      <c r="F3" s="84">
        <v>998.8894619167113</v>
      </c>
      <c r="G3" s="85">
        <v>1038.2778835884164</v>
      </c>
      <c r="H3" s="84">
        <v>999.0388389151575</v>
      </c>
      <c r="I3" s="85">
        <v>1060.3710087352524</v>
      </c>
      <c r="J3" s="84">
        <v>999.82854047883541</v>
      </c>
      <c r="K3" s="85">
        <v>1084.7731813574865</v>
      </c>
      <c r="L3" s="84">
        <v>1001.4417072442074</v>
      </c>
      <c r="M3" s="85">
        <v>1111.7956525197774</v>
      </c>
      <c r="N3" s="84">
        <v>1004.1293351012804</v>
      </c>
      <c r="O3" s="85">
        <v>1141.8127245248929</v>
      </c>
      <c r="P3" s="84">
        <v>1008.2384592378884</v>
      </c>
      <c r="Q3" s="85">
        <v>1175.2903612304217</v>
      </c>
      <c r="R3" s="84">
        <v>1014.2567464243745</v>
      </c>
      <c r="S3" s="85">
        <v>1212.8373485678046</v>
      </c>
      <c r="T3" s="84">
        <v>1022.8793224514305</v>
      </c>
      <c r="U3" s="85">
        <v>1255.3026974707991</v>
      </c>
      <c r="V3" s="84">
        <v>1035.1124005545846</v>
      </c>
      <c r="W3" s="85">
        <v>1303.9633720140705</v>
      </c>
      <c r="X3" s="84">
        <v>1052.4340654011942</v>
      </c>
      <c r="Y3" s="85">
        <v>1360.8903998617161</v>
      </c>
      <c r="Z3" s="84">
        <v>1077.0486216279671</v>
      </c>
      <c r="AA3" s="85">
        <v>1429.66729617185</v>
      </c>
      <c r="AB3" s="84">
        <v>1112.3000579376746</v>
      </c>
      <c r="AC3" s="85">
        <v>1516.8119353613072</v>
      </c>
      <c r="AD3" s="84">
        <v>1163.4122337660604</v>
      </c>
      <c r="AE3" s="85">
        <v>1634.7066467070181</v>
      </c>
      <c r="AF3" s="84">
        <v>1239.1072662544218</v>
      </c>
      <c r="AG3" s="85">
        <v>1808.3196668998837</v>
      </c>
      <c r="AH3" s="84">
        <v>1356.0789427035425</v>
      </c>
      <c r="AI3" s="85">
        <v>2093.9976389250301</v>
      </c>
      <c r="AJ3" s="84">
        <v>1553.3519583100863</v>
      </c>
      <c r="AK3" s="85">
        <v>2646.3229283969704</v>
      </c>
      <c r="AL3" s="84">
        <v>1941.9236721247846</v>
      </c>
      <c r="AM3" s="85">
        <v>4020.4887873228131</v>
      </c>
      <c r="AN3" s="84">
        <v>2951.131884447344</v>
      </c>
      <c r="AO3" s="85">
        <v>9397.5424656642899</v>
      </c>
      <c r="AP3" s="84">
        <v>3380.9655683274759</v>
      </c>
      <c r="AQ3" s="85">
        <v>12482.394728231289</v>
      </c>
      <c r="AR3" s="84">
        <v>4024.1553328852733</v>
      </c>
      <c r="AS3" s="85">
        <v>17985.061840009039</v>
      </c>
      <c r="AT3" s="84">
        <v>5126.3411426440598</v>
      </c>
      <c r="AU3" s="85">
        <v>29873.733156311271</v>
      </c>
      <c r="AV3" s="84">
        <v>7664.788727719284</v>
      </c>
      <c r="AW3" s="85">
        <v>68809.943883371117</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999.20643700638584</v>
      </c>
      <c r="E5" s="42">
        <v>1015.866494510887</v>
      </c>
      <c r="F5" s="41">
        <v>998.8344483650352</v>
      </c>
      <c r="G5" s="42">
        <v>1032.9931921168773</v>
      </c>
      <c r="H5" s="41">
        <v>998.99125658128594</v>
      </c>
      <c r="I5" s="42">
        <v>1051.4798915086819</v>
      </c>
      <c r="J5" s="41">
        <v>999.82008159971235</v>
      </c>
      <c r="K5" s="42">
        <v>1071.4311798382189</v>
      </c>
      <c r="L5" s="41">
        <v>1001.5123164753328</v>
      </c>
      <c r="M5" s="42">
        <v>1092.957860953356</v>
      </c>
      <c r="N5" s="41">
        <v>1004.3291455398405</v>
      </c>
      <c r="O5" s="42">
        <v>1116.1791606556958</v>
      </c>
      <c r="P5" s="41">
        <v>1008.6297485784061</v>
      </c>
      <c r="Q5" s="42">
        <v>1141.230387558604</v>
      </c>
      <c r="R5" s="41">
        <v>1014.9154364926766</v>
      </c>
      <c r="S5" s="42">
        <v>1168.2791975142236</v>
      </c>
      <c r="T5" s="41">
        <v>1023.8946428250737</v>
      </c>
      <c r="U5" s="42">
        <v>1197.5603970869763</v>
      </c>
      <c r="V5" s="41">
        <v>1036.5816102741928</v>
      </c>
      <c r="W5" s="42">
        <v>1229.440497545165</v>
      </c>
      <c r="X5" s="41">
        <v>1054.4453852372471</v>
      </c>
      <c r="Y5" s="42">
        <v>1264.5334341601315</v>
      </c>
      <c r="Z5" s="41">
        <v>1079.6376868833593</v>
      </c>
      <c r="AA5" s="42">
        <v>1303.884112513844</v>
      </c>
      <c r="AB5" s="41">
        <v>1115.3491062811459</v>
      </c>
      <c r="AC5" s="42">
        <v>1349.2093907899678</v>
      </c>
      <c r="AD5" s="41">
        <v>1166.4268006693453</v>
      </c>
      <c r="AE5" s="42">
        <v>1403.0895778323672</v>
      </c>
      <c r="AF5" s="41">
        <v>1240.7154629387501</v>
      </c>
      <c r="AG5" s="42">
        <v>1468.7546839816282</v>
      </c>
      <c r="AH5" s="41">
        <v>1352.7722662542913</v>
      </c>
      <c r="AI5" s="42">
        <v>1548.531326637634</v>
      </c>
      <c r="AJ5" s="41">
        <v>1535.4782413990579</v>
      </c>
      <c r="AK5" s="42">
        <v>1638.3566403724349</v>
      </c>
      <c r="AL5" s="41">
        <v>1876.8571299048565</v>
      </c>
      <c r="AM5" s="42">
        <v>1715.2077428604455</v>
      </c>
      <c r="AN5" s="41">
        <v>2675.5454662470634</v>
      </c>
      <c r="AO5" s="42">
        <v>1747.2390595736372</v>
      </c>
      <c r="AP5" s="41">
        <v>2983.8267487694416</v>
      </c>
      <c r="AQ5" s="42">
        <v>1748.8593503968384</v>
      </c>
      <c r="AR5" s="41">
        <v>3414.8191371606995</v>
      </c>
      <c r="AS5" s="42">
        <v>1749.6643941838042</v>
      </c>
      <c r="AT5" s="41">
        <v>4079.9096777156801</v>
      </c>
      <c r="AU5" s="42">
        <v>1749.9808725714888</v>
      </c>
      <c r="AV5" s="41">
        <v>5335.0856121758297</v>
      </c>
      <c r="AW5" s="42">
        <v>1750.0620122214573</v>
      </c>
    </row>
    <row r="6" spans="1:49" x14ac:dyDescent="0.2">
      <c r="A6" t="s">
        <v>77</v>
      </c>
      <c r="B6" s="41">
        <v>999.99999999999943</v>
      </c>
      <c r="C6" s="42">
        <v>999.99999999999909</v>
      </c>
      <c r="D6" s="41">
        <v>999.14578914744084</v>
      </c>
      <c r="E6" s="42">
        <v>1019.650311616513</v>
      </c>
      <c r="F6" s="41">
        <v>998.74540685043928</v>
      </c>
      <c r="G6" s="42">
        <v>1041.1995278424617</v>
      </c>
      <c r="H6" s="41">
        <v>998.91418158208228</v>
      </c>
      <c r="I6" s="42">
        <v>1064.8795176042661</v>
      </c>
      <c r="J6" s="41">
        <v>999.80632296642693</v>
      </c>
      <c r="K6" s="42">
        <v>1090.9592331514693</v>
      </c>
      <c r="L6" s="41">
        <v>1001.6281822117616</v>
      </c>
      <c r="M6" s="42">
        <v>1119.7559406461612</v>
      </c>
      <c r="N6" s="41">
        <v>1004.6618261901377</v>
      </c>
      <c r="O6" s="42">
        <v>1151.6513876465092</v>
      </c>
      <c r="P6" s="41">
        <v>1009.2959747382995</v>
      </c>
      <c r="Q6" s="42">
        <v>1187.1215108064025</v>
      </c>
      <c r="R6" s="41">
        <v>1016.0746592342831</v>
      </c>
      <c r="S6" s="42">
        <v>1226.7895497427978</v>
      </c>
      <c r="T6" s="41">
        <v>1025.7694434560051</v>
      </c>
      <c r="U6" s="42">
        <v>1271.5270940656471</v>
      </c>
      <c r="V6" s="41">
        <v>1039.490237858025</v>
      </c>
      <c r="W6" s="42">
        <v>1322.6484965325817</v>
      </c>
      <c r="X6" s="41">
        <v>1058.8550168950942</v>
      </c>
      <c r="Y6" s="42">
        <v>1382.2892063023608</v>
      </c>
      <c r="Z6" s="41">
        <v>1086.2545935380556</v>
      </c>
      <c r="AA6" s="42">
        <v>1454.1463812807992</v>
      </c>
      <c r="AB6" s="41">
        <v>1125.2774918328785</v>
      </c>
      <c r="AC6" s="42">
        <v>1544.940886759073</v>
      </c>
      <c r="AD6" s="41">
        <v>1181.4668600268724</v>
      </c>
      <c r="AE6" s="42">
        <v>1667.4231151238498</v>
      </c>
      <c r="AF6" s="41">
        <v>1263.988433339732</v>
      </c>
      <c r="AG6" s="42">
        <v>1847.2589935882008</v>
      </c>
      <c r="AH6" s="41">
        <v>1390.2871552311451</v>
      </c>
      <c r="AI6" s="42">
        <v>2142.2824527475691</v>
      </c>
      <c r="AJ6" s="41">
        <v>1601.0554495120477</v>
      </c>
      <c r="AK6" s="42">
        <v>2711.017445120408</v>
      </c>
      <c r="AL6" s="41">
        <v>2011.7894838502159</v>
      </c>
      <c r="AM6" s="42">
        <v>4122.6863755619124</v>
      </c>
      <c r="AN6" s="41">
        <v>3068.8579347062591</v>
      </c>
      <c r="AO6" s="42">
        <v>9639.7754838412111</v>
      </c>
      <c r="AP6" s="41">
        <v>3517.5972484420395</v>
      </c>
      <c r="AQ6" s="42">
        <v>12804.360509881175</v>
      </c>
      <c r="AR6" s="41">
        <v>4188.4693812470114</v>
      </c>
      <c r="AS6" s="42">
        <v>18449.116065347745</v>
      </c>
      <c r="AT6" s="41">
        <v>5337.2780113855206</v>
      </c>
      <c r="AU6" s="42">
        <v>30644.642317880836</v>
      </c>
      <c r="AV6" s="41">
        <v>7981.7649413544514</v>
      </c>
      <c r="AW6" s="42">
        <v>70585.684372087024</v>
      </c>
    </row>
    <row r="7" spans="1:49" x14ac:dyDescent="0.2">
      <c r="A7" t="s">
        <v>13</v>
      </c>
      <c r="B7" s="33">
        <v>1015.9116825427475</v>
      </c>
      <c r="C7" s="34">
        <v>1015.9116825427475</v>
      </c>
      <c r="D7" s="33">
        <v>1015.1054926267012</v>
      </c>
      <c r="E7" s="34">
        <v>1015.1054926267012</v>
      </c>
      <c r="F7" s="33">
        <v>1014.7275850201798</v>
      </c>
      <c r="G7" s="34">
        <v>1014.7275850201798</v>
      </c>
      <c r="H7" s="33">
        <v>1014.8868883189878</v>
      </c>
      <c r="I7" s="34">
        <v>1014.8868883189878</v>
      </c>
      <c r="J7" s="33">
        <v>1015.7289013379908</v>
      </c>
      <c r="K7" s="34">
        <v>1015.7289013379908</v>
      </c>
      <c r="L7" s="33">
        <v>1017.4480625177399</v>
      </c>
      <c r="M7" s="34">
        <v>1017.4480625177399</v>
      </c>
      <c r="N7" s="33">
        <v>1020.3097120720993</v>
      </c>
      <c r="O7" s="34">
        <v>1020.3097120720993</v>
      </c>
      <c r="P7" s="33">
        <v>1024.6787449409569</v>
      </c>
      <c r="Q7" s="34">
        <v>1024.6787449409569</v>
      </c>
      <c r="R7" s="33">
        <v>1031.0644487258819</v>
      </c>
      <c r="S7" s="34">
        <v>1031.0644487258819</v>
      </c>
      <c r="T7" s="33">
        <v>1040.186529338926</v>
      </c>
      <c r="U7" s="34">
        <v>1040.186529338926</v>
      </c>
      <c r="V7" s="33">
        <v>1053.0753677865257</v>
      </c>
      <c r="W7" s="34">
        <v>1053.0753677865257</v>
      </c>
      <c r="X7" s="33">
        <v>1071.2233854658073</v>
      </c>
      <c r="Y7" s="34">
        <v>1071.2233854658073</v>
      </c>
      <c r="Z7" s="33">
        <v>1096.8165390182335</v>
      </c>
      <c r="AA7" s="34">
        <v>1096.8165390182335</v>
      </c>
      <c r="AB7" s="33">
        <v>1133.0961871846284</v>
      </c>
      <c r="AC7" s="34">
        <v>1133.0961871846284</v>
      </c>
      <c r="AD7" s="33">
        <v>1184.9866136309486</v>
      </c>
      <c r="AE7" s="34">
        <v>1184.9866136309486</v>
      </c>
      <c r="AF7" s="33">
        <v>1260.4573335109094</v>
      </c>
      <c r="AG7" s="34">
        <v>1260.4573335109094</v>
      </c>
      <c r="AH7" s="33">
        <v>1374.2971491075625</v>
      </c>
      <c r="AI7" s="34">
        <v>1374.2971491075625</v>
      </c>
      <c r="AJ7" s="33">
        <v>1559.9102837274959</v>
      </c>
      <c r="AK7" s="34">
        <v>1559.9102837274959</v>
      </c>
      <c r="AL7" s="33">
        <v>1906.7210847339948</v>
      </c>
      <c r="AM7" s="34">
        <v>1906.7210847339948</v>
      </c>
      <c r="AN7" s="33">
        <v>2718.1178963346738</v>
      </c>
      <c r="AO7" s="34">
        <v>2718.1178963346738</v>
      </c>
      <c r="AP7" s="33">
        <v>3031.3044527584193</v>
      </c>
      <c r="AQ7" s="34">
        <v>3031.3044527584193</v>
      </c>
      <c r="AR7" s="33">
        <v>3469.1546552120994</v>
      </c>
      <c r="AS7" s="34">
        <v>3469.1546552120994</v>
      </c>
      <c r="AT7" s="33">
        <v>4144.8279053105753</v>
      </c>
      <c r="AU7" s="34">
        <v>4144.8279053105753</v>
      </c>
      <c r="AV7" s="33">
        <v>5419.9758007751507</v>
      </c>
      <c r="AW7" s="34">
        <v>5419.9758007751507</v>
      </c>
    </row>
    <row r="8" spans="1:49" x14ac:dyDescent="0.2">
      <c r="B8" s="35">
        <v>1005.7716594496609</v>
      </c>
      <c r="C8" s="36">
        <v>1005.7716594496609</v>
      </c>
      <c r="D8" s="35">
        <v>1059.766445881909</v>
      </c>
      <c r="E8" s="36">
        <v>1059.766445881909</v>
      </c>
      <c r="F8" s="35">
        <v>1118.6790522073527</v>
      </c>
      <c r="G8" s="36">
        <v>1118.6790522073527</v>
      </c>
      <c r="H8" s="35">
        <v>1183.0428894312795</v>
      </c>
      <c r="I8" s="36">
        <v>1183.0428894312795</v>
      </c>
      <c r="J8" s="35">
        <v>1253.4377514638077</v>
      </c>
      <c r="K8" s="36">
        <v>1253.4377514638077</v>
      </c>
      <c r="L8" s="35">
        <v>1330.4969587149233</v>
      </c>
      <c r="M8" s="36">
        <v>1330.4969587149233</v>
      </c>
      <c r="N8" s="35">
        <v>1414.9092556553528</v>
      </c>
      <c r="O8" s="36">
        <v>1414.9092556553528</v>
      </c>
      <c r="P8" s="35">
        <v>1507.444238106576</v>
      </c>
      <c r="Q8" s="36">
        <v>1507.444238106576</v>
      </c>
      <c r="R8" s="35">
        <v>1609.0120675150852</v>
      </c>
      <c r="S8" s="36">
        <v>1609.0120675150852</v>
      </c>
      <c r="T8" s="35">
        <v>1720.8190680248838</v>
      </c>
      <c r="U8" s="36">
        <v>1720.8190680248838</v>
      </c>
      <c r="V8" s="35">
        <v>1844.7291408600499</v>
      </c>
      <c r="W8" s="36">
        <v>1844.7291408600499</v>
      </c>
      <c r="X8" s="35">
        <v>1984.0715943276798</v>
      </c>
      <c r="Y8" s="36">
        <v>1984.0715943276798</v>
      </c>
      <c r="Z8" s="35">
        <v>2145.3821706780527</v>
      </c>
      <c r="AA8" s="36">
        <v>2145.3821706780527</v>
      </c>
      <c r="AB8" s="35">
        <v>2342.0848130913682</v>
      </c>
      <c r="AC8" s="36">
        <v>2342.0848130913682</v>
      </c>
      <c r="AD8" s="35">
        <v>2602.3973593184883</v>
      </c>
      <c r="AE8" s="36">
        <v>2602.3973593184883</v>
      </c>
      <c r="AF8" s="35">
        <v>2987.8126732891801</v>
      </c>
      <c r="AG8" s="36">
        <v>2987.8126732891801</v>
      </c>
      <c r="AH8" s="35">
        <v>3645.4436922948321</v>
      </c>
      <c r="AI8" s="36">
        <v>3645.4436922948321</v>
      </c>
      <c r="AJ8" s="35">
        <v>5000.580258704178</v>
      </c>
      <c r="AK8" s="36">
        <v>5000.580258704178</v>
      </c>
      <c r="AL8" s="35">
        <v>8683.7575337266207</v>
      </c>
      <c r="AM8" s="36">
        <v>8683.7575337266207</v>
      </c>
      <c r="AN8" s="35">
        <v>24842.660734807992</v>
      </c>
      <c r="AO8" s="36">
        <v>24842.660734807992</v>
      </c>
      <c r="AP8" s="35">
        <v>34673.446846378647</v>
      </c>
      <c r="AQ8" s="36">
        <v>34673.446846378647</v>
      </c>
      <c r="AR8" s="35">
        <v>52704.696127679679</v>
      </c>
      <c r="AS8" s="36">
        <v>52704.696127679679</v>
      </c>
      <c r="AT8" s="35">
        <v>92858.435729676537</v>
      </c>
      <c r="AU8" s="36">
        <v>92858.435729676537</v>
      </c>
      <c r="AV8" s="35">
        <v>229021.41735013999</v>
      </c>
      <c r="AW8" s="36">
        <v>229021.41735013999</v>
      </c>
    </row>
    <row r="9" spans="1:49" x14ac:dyDescent="0.2">
      <c r="A9" t="s">
        <v>14</v>
      </c>
      <c r="B9" s="41">
        <v>1015.9116825427475</v>
      </c>
      <c r="C9" s="42">
        <v>1005.7716594496609</v>
      </c>
      <c r="D9" s="41">
        <v>1015.1054926267012</v>
      </c>
      <c r="E9" s="42">
        <v>1059.766445881909</v>
      </c>
      <c r="F9" s="41">
        <v>1014.7275850201798</v>
      </c>
      <c r="G9" s="42">
        <v>1118.6790522073527</v>
      </c>
      <c r="H9" s="41">
        <v>1014.8868883189878</v>
      </c>
      <c r="I9" s="42">
        <v>1183.0428894312795</v>
      </c>
      <c r="J9" s="41">
        <v>1015.7289013379908</v>
      </c>
      <c r="K9" s="42">
        <v>1253.4377514638077</v>
      </c>
      <c r="L9" s="41">
        <v>1017.4480625177399</v>
      </c>
      <c r="M9" s="42">
        <v>1330.4969587149233</v>
      </c>
      <c r="N9" s="41">
        <v>1020.3097120720993</v>
      </c>
      <c r="O9" s="42">
        <v>1414.9092556553528</v>
      </c>
      <c r="P9" s="41">
        <v>1024.6787449409569</v>
      </c>
      <c r="Q9" s="42">
        <v>1507.444238106576</v>
      </c>
      <c r="R9" s="41">
        <v>1031.0644487258819</v>
      </c>
      <c r="S9" s="42">
        <v>1609.0120675150852</v>
      </c>
      <c r="T9" s="41">
        <v>1040.186529338926</v>
      </c>
      <c r="U9" s="42">
        <v>1720.8190680248838</v>
      </c>
      <c r="V9" s="41">
        <v>1053.0753677865257</v>
      </c>
      <c r="W9" s="42">
        <v>1844.7291408600499</v>
      </c>
      <c r="X9" s="41">
        <v>1071.2233854658073</v>
      </c>
      <c r="Y9" s="42">
        <v>1984.0715943276798</v>
      </c>
      <c r="Z9" s="41">
        <v>1096.8165390182335</v>
      </c>
      <c r="AA9" s="42">
        <v>2145.3821706780527</v>
      </c>
      <c r="AB9" s="41">
        <v>1133.0961871846284</v>
      </c>
      <c r="AC9" s="42">
        <v>2342.0848130913682</v>
      </c>
      <c r="AD9" s="41">
        <v>1184.9866136309486</v>
      </c>
      <c r="AE9" s="42">
        <v>2602.3973593184883</v>
      </c>
      <c r="AF9" s="41">
        <v>1260.4573335109094</v>
      </c>
      <c r="AG9" s="42">
        <v>2987.8126732891801</v>
      </c>
      <c r="AH9" s="41">
        <v>1374.2971491075625</v>
      </c>
      <c r="AI9" s="42">
        <v>3645.4436922948321</v>
      </c>
      <c r="AJ9" s="41">
        <v>1559.9102837274959</v>
      </c>
      <c r="AK9" s="42">
        <v>5000.580258704178</v>
      </c>
      <c r="AL9" s="41">
        <v>1906.7210847339948</v>
      </c>
      <c r="AM9" s="42">
        <v>8683.7575337266207</v>
      </c>
      <c r="AN9" s="41">
        <v>2718.1178963346738</v>
      </c>
      <c r="AO9" s="42">
        <v>24842.660734807992</v>
      </c>
      <c r="AP9" s="41">
        <v>3031.3044527584193</v>
      </c>
      <c r="AQ9" s="42">
        <v>34673.446846378647</v>
      </c>
      <c r="AR9" s="41">
        <v>3469.1546552120994</v>
      </c>
      <c r="AS9" s="42">
        <v>52704.696127679679</v>
      </c>
      <c r="AT9" s="41">
        <v>4144.8279053105753</v>
      </c>
      <c r="AU9" s="42">
        <v>92858.435729676537</v>
      </c>
      <c r="AV9" s="41">
        <v>5419.9758007751507</v>
      </c>
      <c r="AW9" s="42">
        <v>229021.41735013999</v>
      </c>
    </row>
    <row r="10" spans="1:49" x14ac:dyDescent="0.2">
      <c r="A10" t="s">
        <v>15</v>
      </c>
      <c r="B10" s="41">
        <v>1015.9116825427475</v>
      </c>
      <c r="C10" s="42">
        <v>1005.7716594496609</v>
      </c>
      <c r="D10" s="41">
        <v>1015.1054926267012</v>
      </c>
      <c r="E10" s="42">
        <v>1059.766445881909</v>
      </c>
      <c r="F10" s="41">
        <v>1014.7275850201798</v>
      </c>
      <c r="G10" s="42">
        <v>1118.6790522073527</v>
      </c>
      <c r="H10" s="41">
        <v>1014.8868883189878</v>
      </c>
      <c r="I10" s="42">
        <v>1183.0428894312795</v>
      </c>
      <c r="J10" s="41">
        <v>1015.7289013379908</v>
      </c>
      <c r="K10" s="42">
        <v>1253.4377514638077</v>
      </c>
      <c r="L10" s="41">
        <v>1017.4480625177399</v>
      </c>
      <c r="M10" s="42">
        <v>1330.4969587149233</v>
      </c>
      <c r="N10" s="41">
        <v>1020.3097120720993</v>
      </c>
      <c r="O10" s="42">
        <v>1414.9092556553528</v>
      </c>
      <c r="P10" s="41">
        <v>1024.6787449409569</v>
      </c>
      <c r="Q10" s="42">
        <v>1507.444238106576</v>
      </c>
      <c r="R10" s="41">
        <v>1031.0644487258819</v>
      </c>
      <c r="S10" s="42">
        <v>1609.0120675150852</v>
      </c>
      <c r="T10" s="41">
        <v>1040.186529338926</v>
      </c>
      <c r="U10" s="42">
        <v>1720.8190680248838</v>
      </c>
      <c r="V10" s="41">
        <v>1053.0753677865257</v>
      </c>
      <c r="W10" s="42">
        <v>1844.7291408600499</v>
      </c>
      <c r="X10" s="41">
        <v>1071.2233854658073</v>
      </c>
      <c r="Y10" s="42">
        <v>1984.0715943276798</v>
      </c>
      <c r="Z10" s="41">
        <v>1096.8165390182335</v>
      </c>
      <c r="AA10" s="42">
        <v>2145.3821706780527</v>
      </c>
      <c r="AB10" s="41">
        <v>1133.0961871846284</v>
      </c>
      <c r="AC10" s="42">
        <v>2342.0848130913682</v>
      </c>
      <c r="AD10" s="41">
        <v>1184.9866136309486</v>
      </c>
      <c r="AE10" s="42">
        <v>2602.3973593184883</v>
      </c>
      <c r="AF10" s="41">
        <v>1260.4573335109094</v>
      </c>
      <c r="AG10" s="42">
        <v>2987.8126732891801</v>
      </c>
      <c r="AH10" s="41">
        <v>1374.2971491075625</v>
      </c>
      <c r="AI10" s="42">
        <v>3645.4436922948321</v>
      </c>
      <c r="AJ10" s="41">
        <v>1559.9102837274959</v>
      </c>
      <c r="AK10" s="42">
        <v>5000.580258704178</v>
      </c>
      <c r="AL10" s="41">
        <v>1906.7210847339948</v>
      </c>
      <c r="AM10" s="42">
        <v>8683.7575337266207</v>
      </c>
      <c r="AN10" s="41">
        <v>2718.1178963346738</v>
      </c>
      <c r="AO10" s="42">
        <v>24842.660734807992</v>
      </c>
      <c r="AP10" s="41">
        <v>3031.3044527584193</v>
      </c>
      <c r="AQ10" s="42">
        <v>34673.446846378647</v>
      </c>
      <c r="AR10" s="41">
        <v>3469.1546552120994</v>
      </c>
      <c r="AS10" s="42">
        <v>52704.696127679679</v>
      </c>
      <c r="AT10" s="41">
        <v>4144.8279053105753</v>
      </c>
      <c r="AU10" s="42">
        <v>92858.435729676537</v>
      </c>
      <c r="AV10" s="41">
        <v>5419.9758007751507</v>
      </c>
      <c r="AW10" s="42">
        <v>229021.41735013999</v>
      </c>
    </row>
    <row r="11" spans="1:49" x14ac:dyDescent="0.2">
      <c r="A11" t="s">
        <v>29</v>
      </c>
      <c r="B11" s="41">
        <v>1015.9116825427475</v>
      </c>
      <c r="C11" s="42">
        <v>1005.7716594496609</v>
      </c>
      <c r="D11" s="41">
        <v>1015.1054926267012</v>
      </c>
      <c r="E11" s="42">
        <v>1059.766445881909</v>
      </c>
      <c r="F11" s="41">
        <v>1014.7275850201798</v>
      </c>
      <c r="G11" s="42">
        <v>1118.6790522073527</v>
      </c>
      <c r="H11" s="41">
        <v>1014.8868883189878</v>
      </c>
      <c r="I11" s="42">
        <v>1183.0428894312795</v>
      </c>
      <c r="J11" s="41">
        <v>1015.7289013379908</v>
      </c>
      <c r="K11" s="42">
        <v>1253.4377514638077</v>
      </c>
      <c r="L11" s="41">
        <v>1017.4480625177399</v>
      </c>
      <c r="M11" s="42">
        <v>1330.4969587149233</v>
      </c>
      <c r="N11" s="41">
        <v>1020.3097120720993</v>
      </c>
      <c r="O11" s="42">
        <v>1414.9092556553528</v>
      </c>
      <c r="P11" s="41">
        <v>1024.6787449409569</v>
      </c>
      <c r="Q11" s="42">
        <v>1507.444238106576</v>
      </c>
      <c r="R11" s="41">
        <v>1031.0644487258819</v>
      </c>
      <c r="S11" s="42">
        <v>1609.0120675150852</v>
      </c>
      <c r="T11" s="41">
        <v>1040.186529338926</v>
      </c>
      <c r="U11" s="42">
        <v>1720.8190680248838</v>
      </c>
      <c r="V11" s="41">
        <v>1053.0753677865257</v>
      </c>
      <c r="W11" s="42">
        <v>1844.7291408600499</v>
      </c>
      <c r="X11" s="41">
        <v>1071.2233854658073</v>
      </c>
      <c r="Y11" s="42">
        <v>1984.0715943276798</v>
      </c>
      <c r="Z11" s="41">
        <v>1096.8165390182335</v>
      </c>
      <c r="AA11" s="42">
        <v>2145.3821706780527</v>
      </c>
      <c r="AB11" s="41">
        <v>1133.0961871846284</v>
      </c>
      <c r="AC11" s="42">
        <v>2342.0848130913682</v>
      </c>
      <c r="AD11" s="41">
        <v>1184.9866136309486</v>
      </c>
      <c r="AE11" s="42">
        <v>2602.3973593184883</v>
      </c>
      <c r="AF11" s="41">
        <v>1260.4573335109094</v>
      </c>
      <c r="AG11" s="42">
        <v>2987.8126732891801</v>
      </c>
      <c r="AH11" s="41">
        <v>1374.2971491075625</v>
      </c>
      <c r="AI11" s="42">
        <v>3645.4436922948321</v>
      </c>
      <c r="AJ11" s="41">
        <v>1559.9102837274959</v>
      </c>
      <c r="AK11" s="42">
        <v>5000.580258704178</v>
      </c>
      <c r="AL11" s="41">
        <v>1906.7210847339948</v>
      </c>
      <c r="AM11" s="42">
        <v>8683.7575337266207</v>
      </c>
      <c r="AN11" s="41">
        <v>2718.1178963346738</v>
      </c>
      <c r="AO11" s="42">
        <v>24842.660734807992</v>
      </c>
      <c r="AP11" s="41">
        <v>3031.3044527584193</v>
      </c>
      <c r="AQ11" s="42">
        <v>34673.446846378647</v>
      </c>
      <c r="AR11" s="41">
        <v>3469.1546552120994</v>
      </c>
      <c r="AS11" s="42">
        <v>52704.696127679679</v>
      </c>
      <c r="AT11" s="41">
        <v>4144.8279053105753</v>
      </c>
      <c r="AU11" s="42">
        <v>92858.435729676537</v>
      </c>
      <c r="AV11" s="41">
        <v>5419.9758007751507</v>
      </c>
      <c r="AW11" s="42">
        <v>229021.41735013999</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994.95836248865669</v>
      </c>
      <c r="E13" s="98">
        <v>994.95836248865669</v>
      </c>
      <c r="F13" s="97">
        <v>990.03789388969926</v>
      </c>
      <c r="G13" s="98">
        <v>990.03789388969926</v>
      </c>
      <c r="H13" s="97">
        <v>985.31419966360545</v>
      </c>
      <c r="I13" s="98">
        <v>985.31419966360545</v>
      </c>
      <c r="J13" s="97">
        <v>980.89512601742979</v>
      </c>
      <c r="K13" s="98">
        <v>980.89512601742979</v>
      </c>
      <c r="L13" s="97">
        <v>976.93222557344211</v>
      </c>
      <c r="M13" s="98">
        <v>976.93222557344211</v>
      </c>
      <c r="N13" s="97">
        <v>973.64186998388448</v>
      </c>
      <c r="O13" s="98">
        <v>973.64186998388448</v>
      </c>
      <c r="P13" s="97">
        <v>971.33258672117972</v>
      </c>
      <c r="Q13" s="98">
        <v>971.33258672117972</v>
      </c>
      <c r="R13" s="97">
        <v>970.44841739426352</v>
      </c>
      <c r="S13" s="98">
        <v>970.44841739426352</v>
      </c>
      <c r="T13" s="97">
        <v>971.63320061308957</v>
      </c>
      <c r="U13" s="98">
        <v>971.63320061308957</v>
      </c>
      <c r="V13" s="97">
        <v>975.82963351629246</v>
      </c>
      <c r="W13" s="98">
        <v>975.82963351629246</v>
      </c>
      <c r="X13" s="97">
        <v>984.43186605727306</v>
      </c>
      <c r="Y13" s="98">
        <v>984.43186605727306</v>
      </c>
      <c r="Z13" s="97">
        <v>999.52597142919558</v>
      </c>
      <c r="AA13" s="98">
        <v>999.52597142919558</v>
      </c>
      <c r="AB13" s="97">
        <v>1024.2804268777461</v>
      </c>
      <c r="AC13" s="98">
        <v>1024.2804268777461</v>
      </c>
      <c r="AD13" s="97">
        <v>1063.6458995224878</v>
      </c>
      <c r="AE13" s="98">
        <v>1063.6458995224878</v>
      </c>
      <c r="AF13" s="97">
        <v>1125.8933817262262</v>
      </c>
      <c r="AG13" s="98">
        <v>1125.8933817262262</v>
      </c>
      <c r="AH13" s="97">
        <v>1226.9236384660355</v>
      </c>
      <c r="AI13" s="98">
        <v>1226.9236384660355</v>
      </c>
      <c r="AJ13" s="97">
        <v>1404.4762381859791</v>
      </c>
      <c r="AK13" s="98">
        <v>1404.4762381859791</v>
      </c>
      <c r="AL13" s="97">
        <v>1770.066316240039</v>
      </c>
      <c r="AM13" s="98">
        <v>1770.066316240039</v>
      </c>
      <c r="AN13" s="97">
        <v>2794.0333908990488</v>
      </c>
      <c r="AO13" s="98">
        <v>2794.0333908990488</v>
      </c>
      <c r="AP13" s="97">
        <v>3260.0800475198139</v>
      </c>
      <c r="AQ13" s="98">
        <v>3260.0800475198139</v>
      </c>
      <c r="AR13" s="97">
        <v>3988.3752386378592</v>
      </c>
      <c r="AS13" s="98">
        <v>3988.3752386378592</v>
      </c>
      <c r="AT13" s="97">
        <v>5314.7759832553729</v>
      </c>
      <c r="AU13" s="98">
        <v>5314.7759832553729</v>
      </c>
      <c r="AV13" s="97">
        <v>8675.4805167480481</v>
      </c>
      <c r="AW13" s="98">
        <v>8675.4805167480481</v>
      </c>
    </row>
    <row r="14" spans="1:49" x14ac:dyDescent="0.2">
      <c r="A14" t="s">
        <v>36</v>
      </c>
      <c r="B14" s="41">
        <v>1457.0034251455234</v>
      </c>
      <c r="C14" s="42">
        <v>1457.0034251455236</v>
      </c>
      <c r="D14" s="41">
        <v>1449.657742023154</v>
      </c>
      <c r="E14" s="42">
        <v>1449.6577420231542</v>
      </c>
      <c r="F14" s="41">
        <v>1442.4886024211519</v>
      </c>
      <c r="G14" s="42">
        <v>1442.4886024211521</v>
      </c>
      <c r="H14" s="41">
        <v>1435.606163754393</v>
      </c>
      <c r="I14" s="42">
        <v>1435.6061637543933</v>
      </c>
      <c r="J14" s="41">
        <v>1429.1675583159449</v>
      </c>
      <c r="K14" s="42">
        <v>1429.1675583159451</v>
      </c>
      <c r="L14" s="41">
        <v>1423.3935987955442</v>
      </c>
      <c r="M14" s="42">
        <v>1423.3935987955444</v>
      </c>
      <c r="N14" s="41">
        <v>1418.5995394316119</v>
      </c>
      <c r="O14" s="42">
        <v>1418.5995394316121</v>
      </c>
      <c r="P14" s="41">
        <v>1415.23490580822</v>
      </c>
      <c r="Q14" s="42">
        <v>1415.23490580822</v>
      </c>
      <c r="R14" s="41">
        <v>1413.9466680704943</v>
      </c>
      <c r="S14" s="42">
        <v>1413.9466680704945</v>
      </c>
      <c r="T14" s="41">
        <v>1415.672901278379</v>
      </c>
      <c r="U14" s="42">
        <v>1415.672901278379</v>
      </c>
      <c r="V14" s="41">
        <v>1421.7871183917389</v>
      </c>
      <c r="W14" s="42">
        <v>1421.7871183917391</v>
      </c>
      <c r="X14" s="41">
        <v>1434.3206006678458</v>
      </c>
      <c r="Y14" s="42">
        <v>1434.3206006678461</v>
      </c>
      <c r="Z14" s="41">
        <v>1456.3127638942444</v>
      </c>
      <c r="AA14" s="42">
        <v>1456.3127638942447</v>
      </c>
      <c r="AB14" s="41">
        <v>1492.3800902703947</v>
      </c>
      <c r="AC14" s="42">
        <v>1492.3800902703949</v>
      </c>
      <c r="AD14" s="41">
        <v>1549.7357187462558</v>
      </c>
      <c r="AE14" s="42">
        <v>1549.735718746256</v>
      </c>
      <c r="AF14" s="41">
        <v>1640.4305135237876</v>
      </c>
      <c r="AG14" s="42">
        <v>1640.4305135237878</v>
      </c>
      <c r="AH14" s="41">
        <v>1787.6319436370215</v>
      </c>
      <c r="AI14" s="42">
        <v>1787.6319436370218</v>
      </c>
      <c r="AJ14" s="41">
        <v>2046.3266895724714</v>
      </c>
      <c r="AK14" s="42">
        <v>2046.3266895724717</v>
      </c>
      <c r="AL14" s="41">
        <v>2578.9926854964556</v>
      </c>
      <c r="AM14" s="42">
        <v>2578.992685496456</v>
      </c>
      <c r="AN14" s="41">
        <v>4070.9162205108746</v>
      </c>
      <c r="AO14" s="42">
        <v>4070.9162205108755</v>
      </c>
      <c r="AP14" s="41">
        <v>4749.947795484949</v>
      </c>
      <c r="AQ14" s="42">
        <v>4749.9477954849499</v>
      </c>
      <c r="AR14" s="41">
        <v>5811.0763834609543</v>
      </c>
      <c r="AS14" s="42">
        <v>5811.0763834609552</v>
      </c>
      <c r="AT14" s="41">
        <v>7743.6468114842446</v>
      </c>
      <c r="AU14" s="42">
        <v>7743.6468114842455</v>
      </c>
      <c r="AV14" s="41">
        <v>12640.20482768516</v>
      </c>
      <c r="AW14" s="42">
        <v>12640.204827685162</v>
      </c>
    </row>
    <row r="15" spans="1:49" x14ac:dyDescent="0.2">
      <c r="A15" t="s">
        <v>18</v>
      </c>
      <c r="B15" s="154">
        <v>1000</v>
      </c>
      <c r="C15" s="155">
        <v>1000</v>
      </c>
      <c r="D15" s="154">
        <v>999.20643700638584</v>
      </c>
      <c r="E15" s="155">
        <v>999.20643700638584</v>
      </c>
      <c r="F15" s="154">
        <v>998.8344483650352</v>
      </c>
      <c r="G15" s="155">
        <v>998.8344483650352</v>
      </c>
      <c r="H15" s="154">
        <v>998.99125658128594</v>
      </c>
      <c r="I15" s="155">
        <v>998.99125658128594</v>
      </c>
      <c r="J15" s="154">
        <v>999.82008159971235</v>
      </c>
      <c r="K15" s="155">
        <v>999.82008159971235</v>
      </c>
      <c r="L15" s="154">
        <v>1001.5123164753328</v>
      </c>
      <c r="M15" s="155">
        <v>1001.5123164753328</v>
      </c>
      <c r="N15" s="154">
        <v>1004.3291455398405</v>
      </c>
      <c r="O15" s="155">
        <v>1004.3291455398405</v>
      </c>
      <c r="P15" s="154">
        <v>1008.6297485784061</v>
      </c>
      <c r="Q15" s="155">
        <v>1008.6297485784061</v>
      </c>
      <c r="R15" s="154">
        <v>1014.9154364926766</v>
      </c>
      <c r="S15" s="155">
        <v>1014.9154364926766</v>
      </c>
      <c r="T15" s="154">
        <v>1023.8946428250737</v>
      </c>
      <c r="U15" s="155">
        <v>1023.8946428250737</v>
      </c>
      <c r="V15" s="154">
        <v>1036.5816102741928</v>
      </c>
      <c r="W15" s="155">
        <v>1036.5816102741928</v>
      </c>
      <c r="X15" s="154">
        <v>1054.4453852372471</v>
      </c>
      <c r="Y15" s="155">
        <v>1054.4453852372471</v>
      </c>
      <c r="Z15" s="154">
        <v>1079.6376868833593</v>
      </c>
      <c r="AA15" s="155">
        <v>1079.6376868833593</v>
      </c>
      <c r="AB15" s="154">
        <v>1115.3491062811459</v>
      </c>
      <c r="AC15" s="155">
        <v>1115.3491062811459</v>
      </c>
      <c r="AD15" s="154">
        <v>1166.4268006693453</v>
      </c>
      <c r="AE15" s="155">
        <v>1166.4268006693453</v>
      </c>
      <c r="AF15" s="154">
        <v>1240.7154629387501</v>
      </c>
      <c r="AG15" s="155">
        <v>1240.7154629387501</v>
      </c>
      <c r="AH15" s="154">
        <v>1352.7722662542913</v>
      </c>
      <c r="AI15" s="155">
        <v>1352.7722662542913</v>
      </c>
      <c r="AJ15" s="154">
        <v>1535.4782413990579</v>
      </c>
      <c r="AK15" s="155">
        <v>1535.4782413990579</v>
      </c>
      <c r="AL15" s="154">
        <v>1876.8571299048565</v>
      </c>
      <c r="AM15" s="155">
        <v>1876.8571299048565</v>
      </c>
      <c r="AN15" s="154">
        <v>2675.5454662470634</v>
      </c>
      <c r="AO15" s="155">
        <v>2675.5454662470634</v>
      </c>
      <c r="AP15" s="154">
        <v>2983.8267487694416</v>
      </c>
      <c r="AQ15" s="155">
        <v>2983.8267487694416</v>
      </c>
      <c r="AR15" s="154">
        <v>3414.8191371606995</v>
      </c>
      <c r="AS15" s="155">
        <v>3414.8191371606995</v>
      </c>
      <c r="AT15" s="154">
        <v>4079.9096777156801</v>
      </c>
      <c r="AU15" s="155">
        <v>4079.9096777156801</v>
      </c>
      <c r="AV15" s="154">
        <v>5335.0856121758297</v>
      </c>
      <c r="AW15" s="155">
        <v>5335.0856121758297</v>
      </c>
    </row>
    <row r="16" spans="1:49" s="29" customFormat="1" x14ac:dyDescent="0.2">
      <c r="A16" t="s">
        <v>61</v>
      </c>
      <c r="B16" s="41">
        <v>1000</v>
      </c>
      <c r="C16" s="42">
        <v>1000</v>
      </c>
      <c r="D16" s="41">
        <v>996.94086824858277</v>
      </c>
      <c r="E16" s="42">
        <v>997.99364940108637</v>
      </c>
      <c r="F16" s="41">
        <v>994.14159371518645</v>
      </c>
      <c r="G16" s="42">
        <v>996.32249350267136</v>
      </c>
      <c r="H16" s="41">
        <v>991.69219063746823</v>
      </c>
      <c r="I16" s="42">
        <v>995.08458715264396</v>
      </c>
      <c r="J16" s="41">
        <v>989.7165953266026</v>
      </c>
      <c r="K16" s="42">
        <v>994.41288096466894</v>
      </c>
      <c r="L16" s="41">
        <v>988.38444909359703</v>
      </c>
      <c r="M16" s="42">
        <v>994.48718862948681</v>
      </c>
      <c r="N16" s="41">
        <v>987.93243555939955</v>
      </c>
      <c r="O16" s="42">
        <v>995.55565626666544</v>
      </c>
      <c r="P16" s="41">
        <v>988.69201034726973</v>
      </c>
      <c r="Q16" s="42">
        <v>997.96271423535711</v>
      </c>
      <c r="R16" s="41">
        <v>991.13311861814452</v>
      </c>
      <c r="S16" s="42">
        <v>1002.1929895802223</v>
      </c>
      <c r="T16" s="41">
        <v>995.92882016679675</v>
      </c>
      <c r="U16" s="42">
        <v>1008.9361000676402</v>
      </c>
      <c r="V16" s="41">
        <v>1004.0542233600493</v>
      </c>
      <c r="W16" s="42">
        <v>1019.1854672117034</v>
      </c>
      <c r="X16" s="41">
        <v>1016.9375229767959</v>
      </c>
      <c r="Y16" s="42">
        <v>1034.3883887488962</v>
      </c>
      <c r="Z16" s="41">
        <v>1036.6948750449626</v>
      </c>
      <c r="AA16" s="42">
        <v>1056.6776210193477</v>
      </c>
      <c r="AB16" s="41">
        <v>1066.505491649546</v>
      </c>
      <c r="AC16" s="42">
        <v>1089.2376133566956</v>
      </c>
      <c r="AD16" s="41">
        <v>1111.2743571601738</v>
      </c>
      <c r="AE16" s="42">
        <v>1136.9461411530979</v>
      </c>
      <c r="AF16" s="41">
        <v>1179.0808226770746</v>
      </c>
      <c r="AG16" s="42">
        <v>1207.7725661097693</v>
      </c>
      <c r="AH16" s="41">
        <v>1285.2162410240114</v>
      </c>
      <c r="AI16" s="42">
        <v>1316.6647922748216</v>
      </c>
      <c r="AJ16" s="41">
        <v>1465.1972897133085</v>
      </c>
      <c r="AK16" s="42">
        <v>1497.9090014718158</v>
      </c>
      <c r="AL16" s="41">
        <v>1819.6871939872656</v>
      </c>
      <c r="AM16" s="42">
        <v>1846.2808520817196</v>
      </c>
      <c r="AN16" s="41">
        <v>2738.5265504579893</v>
      </c>
      <c r="AO16" s="42">
        <v>2709.2862909486462</v>
      </c>
      <c r="AP16" s="41">
        <v>3130.2005810478872</v>
      </c>
      <c r="AQ16" s="42">
        <v>3062.3008686548196</v>
      </c>
      <c r="AR16" s="41">
        <v>3717.2946291766434</v>
      </c>
      <c r="AS16" s="42">
        <v>3577.1551428731068</v>
      </c>
      <c r="AT16" s="41">
        <v>4726.134230892616</v>
      </c>
      <c r="AU16" s="42">
        <v>4427.322181138823</v>
      </c>
      <c r="AV16" s="41">
        <v>7055.9147129592893</v>
      </c>
      <c r="AW16" s="42">
        <v>6263.2510699158211</v>
      </c>
    </row>
    <row r="17" spans="1:49" x14ac:dyDescent="0.2">
      <c r="A17" t="s">
        <v>62</v>
      </c>
      <c r="B17" s="35">
        <v>1000.0000000000002</v>
      </c>
      <c r="C17" s="36">
        <v>999.99999999999977</v>
      </c>
      <c r="D17" s="35">
        <v>999.27861628536755</v>
      </c>
      <c r="E17" s="36">
        <v>1027.5351201193289</v>
      </c>
      <c r="F17" s="35">
        <v>998.94061958985947</v>
      </c>
      <c r="G17" s="36">
        <v>1057.6203759905816</v>
      </c>
      <c r="H17" s="35">
        <v>999.0830879492637</v>
      </c>
      <c r="I17" s="36">
        <v>1090.5505627709135</v>
      </c>
      <c r="J17" s="35">
        <v>999.8364042338178</v>
      </c>
      <c r="K17" s="36">
        <v>1126.6582406846339</v>
      </c>
      <c r="L17" s="35">
        <v>1001.3760455448029</v>
      </c>
      <c r="M17" s="36">
        <v>1166.3237888862318</v>
      </c>
      <c r="N17" s="35">
        <v>1003.9435347080351</v>
      </c>
      <c r="O17" s="36">
        <v>1209.9878031786989</v>
      </c>
      <c r="P17" s="35">
        <v>1007.8746306692996</v>
      </c>
      <c r="Q17" s="36">
        <v>1258.1793685499433</v>
      </c>
      <c r="R17" s="35">
        <v>1013.6443367072643</v>
      </c>
      <c r="S17" s="36">
        <v>1311.5701188900459</v>
      </c>
      <c r="T17" s="35">
        <v>1021.9354509167603</v>
      </c>
      <c r="U17" s="36">
        <v>1371.087290928371</v>
      </c>
      <c r="V17" s="35">
        <v>1033.7467770154637</v>
      </c>
      <c r="W17" s="36">
        <v>1438.1461626556184</v>
      </c>
      <c r="X17" s="35">
        <v>1050.5648630992646</v>
      </c>
      <c r="Y17" s="36">
        <v>1515.1276581116506</v>
      </c>
      <c r="Z17" s="35">
        <v>1074.6428967467414</v>
      </c>
      <c r="AA17" s="36">
        <v>1606.3518082774403</v>
      </c>
      <c r="AB17" s="35">
        <v>1109.467245553763</v>
      </c>
      <c r="AC17" s="36">
        <v>1720.0588749371916</v>
      </c>
      <c r="AD17" s="35">
        <v>1160.6113154799498</v>
      </c>
      <c r="AE17" s="36">
        <v>1872.5626817832513</v>
      </c>
      <c r="AF17" s="35">
        <v>1237.6123929303039</v>
      </c>
      <c r="AG17" s="36">
        <v>2097.8436842937176</v>
      </c>
      <c r="AH17" s="35">
        <v>1359.1564907891222</v>
      </c>
      <c r="AI17" s="36">
        <v>2474.4759213249677</v>
      </c>
      <c r="AJ17" s="35">
        <v>1570.0383196419732</v>
      </c>
      <c r="AK17" s="36">
        <v>3222.7132071005103</v>
      </c>
      <c r="AL17" s="35">
        <v>2003.1248038614169</v>
      </c>
      <c r="AM17" s="36">
        <v>5155.3658702446164</v>
      </c>
      <c r="AN17" s="35">
        <v>3215.7793485924481</v>
      </c>
      <c r="AO17" s="36">
        <v>13095.208484372066</v>
      </c>
      <c r="AP17" s="35">
        <v>3765.5939533348546</v>
      </c>
      <c r="AQ17" s="36">
        <v>17767.300267361123</v>
      </c>
      <c r="AR17" s="35">
        <v>4621.5049407859206</v>
      </c>
      <c r="AS17" s="36">
        <v>26202.213036599525</v>
      </c>
      <c r="AT17" s="35">
        <v>6172.1300858165887</v>
      </c>
      <c r="AU17" s="36">
        <v>44665.876488223505</v>
      </c>
      <c r="AV17" s="35">
        <v>10083.323188222234</v>
      </c>
      <c r="AW17" s="36">
        <v>106042.84091233264</v>
      </c>
    </row>
    <row r="18" spans="1:49" x14ac:dyDescent="0.2">
      <c r="A18" t="s">
        <v>19</v>
      </c>
      <c r="B18" s="33">
        <v>27857.010133999996</v>
      </c>
      <c r="C18" s="34">
        <v>1236.7674480000003</v>
      </c>
      <c r="D18" s="33">
        <v>27578.972440534417</v>
      </c>
      <c r="E18" s="34">
        <v>1154.3630901074673</v>
      </c>
      <c r="F18" s="33">
        <v>27261.421097237253</v>
      </c>
      <c r="G18" s="34">
        <v>1072.3683697927047</v>
      </c>
      <c r="H18" s="33">
        <v>26897.182576748561</v>
      </c>
      <c r="I18" s="34">
        <v>990.8859963477604</v>
      </c>
      <c r="J18" s="33">
        <v>26477.574473953955</v>
      </c>
      <c r="K18" s="34">
        <v>910.04329118041846</v>
      </c>
      <c r="L18" s="33">
        <v>25992.251177242801</v>
      </c>
      <c r="M18" s="34">
        <v>829.98958038885894</v>
      </c>
      <c r="N18" s="33">
        <v>25428.930160270298</v>
      </c>
      <c r="O18" s="34">
        <v>750.90541155711446</v>
      </c>
      <c r="P18" s="33">
        <v>24773.382650322117</v>
      </c>
      <c r="Q18" s="34">
        <v>672.99840158944767</v>
      </c>
      <c r="R18" s="33">
        <v>24009.642108848431</v>
      </c>
      <c r="S18" s="34">
        <v>596.5001491185127</v>
      </c>
      <c r="T18" s="33">
        <v>23120.795710858434</v>
      </c>
      <c r="U18" s="34">
        <v>521.65536771713164</v>
      </c>
      <c r="V18" s="33">
        <v>22090.712622630093</v>
      </c>
      <c r="W18" s="34">
        <v>448.69615216958329</v>
      </c>
      <c r="X18" s="33">
        <v>20907.140270916218</v>
      </c>
      <c r="Y18" s="34">
        <v>377.81101677176753</v>
      </c>
      <c r="Z18" s="33">
        <v>19566.380394654097</v>
      </c>
      <c r="AA18" s="34">
        <v>309.11864656645355</v>
      </c>
      <c r="AB18" s="33">
        <v>18078.764306555233</v>
      </c>
      <c r="AC18" s="34">
        <v>242.69779275573359</v>
      </c>
      <c r="AD18" s="33">
        <v>16471.735166191145</v>
      </c>
      <c r="AE18" s="34">
        <v>178.795122797196</v>
      </c>
      <c r="AF18" s="33">
        <v>14783.89119034764</v>
      </c>
      <c r="AG18" s="34">
        <v>118.41555413010765</v>
      </c>
      <c r="AH18" s="33">
        <v>13042.301658328499</v>
      </c>
      <c r="AI18" s="34">
        <v>64.519353583201976</v>
      </c>
      <c r="AJ18" s="33">
        <v>11219.917834977052</v>
      </c>
      <c r="AK18" s="34">
        <v>23.57787781349942</v>
      </c>
      <c r="AL18" s="33">
        <v>9170.7097388148795</v>
      </c>
      <c r="AM18" s="34">
        <v>3.5239577130205624</v>
      </c>
      <c r="AN18" s="33">
        <v>6459.3927987511361</v>
      </c>
      <c r="AO18" s="34">
        <v>6.3429949499518107E-2</v>
      </c>
      <c r="AP18" s="33">
        <v>5732.291091768212</v>
      </c>
      <c r="AQ18" s="34">
        <v>1.6361229421617232E-2</v>
      </c>
      <c r="AR18" s="33">
        <v>4883.7535135741382</v>
      </c>
      <c r="AS18" s="34">
        <v>2.8523221322597327E-3</v>
      </c>
      <c r="AT18" s="33">
        <v>3849.1411025560142</v>
      </c>
      <c r="AU18" s="34">
        <v>2.4997872306040884E-4</v>
      </c>
      <c r="AV18" s="33">
        <v>2482.7262106024609</v>
      </c>
      <c r="AW18" s="34">
        <v>4.4412393445962141E-6</v>
      </c>
    </row>
    <row r="19" spans="1:49" x14ac:dyDescent="0.2">
      <c r="A19" t="s">
        <v>3</v>
      </c>
      <c r="B19" s="41">
        <v>1886.3937399999918</v>
      </c>
      <c r="C19" s="42">
        <v>262.78711299999759</v>
      </c>
      <c r="D19" s="41">
        <v>1864.010773821602</v>
      </c>
      <c r="E19" s="42">
        <v>265.87299010368594</v>
      </c>
      <c r="F19" s="41">
        <v>1840.9019169286892</v>
      </c>
      <c r="G19" s="42">
        <v>269.30005379740106</v>
      </c>
      <c r="H19" s="41">
        <v>1816.9902868945362</v>
      </c>
      <c r="I19" s="42">
        <v>273.04038313074881</v>
      </c>
      <c r="J19" s="41">
        <v>1792.208340830995</v>
      </c>
      <c r="K19" s="42">
        <v>277.0455487021149</v>
      </c>
      <c r="L19" s="41">
        <v>1766.5117527166694</v>
      </c>
      <c r="M19" s="42">
        <v>281.24125207044654</v>
      </c>
      <c r="N19" s="41">
        <v>1739.9077596764309</v>
      </c>
      <c r="O19" s="42">
        <v>285.5208174584306</v>
      </c>
      <c r="P19" s="41">
        <v>1712.5008656374764</v>
      </c>
      <c r="Q19" s="42">
        <v>289.74151356443036</v>
      </c>
      <c r="R19" s="41">
        <v>1684.5744073038852</v>
      </c>
      <c r="S19" s="42">
        <v>293.72571544996424</v>
      </c>
      <c r="T19" s="41">
        <v>1656.7266284253139</v>
      </c>
      <c r="U19" s="42">
        <v>297.27366348128254</v>
      </c>
      <c r="V19" s="41">
        <v>1630.099848701474</v>
      </c>
      <c r="W19" s="42">
        <v>300.19542838516128</v>
      </c>
      <c r="X19" s="41">
        <v>1606.7513650165658</v>
      </c>
      <c r="Y19" s="42">
        <v>302.36943290446538</v>
      </c>
      <c r="Z19" s="41">
        <v>1590.2456685390823</v>
      </c>
      <c r="AA19" s="42">
        <v>303.82261178176083</v>
      </c>
      <c r="AB19" s="41">
        <v>1586.5771503674832</v>
      </c>
      <c r="AC19" s="42">
        <v>304.78215608891048</v>
      </c>
      <c r="AD19" s="41">
        <v>1605.6693549344229</v>
      </c>
      <c r="AE19" s="42">
        <v>305.53922609484232</v>
      </c>
      <c r="AF19" s="41">
        <v>1664.336707147306</v>
      </c>
      <c r="AG19" s="42">
        <v>305.73224925849064</v>
      </c>
      <c r="AH19" s="41">
        <v>1794.3211719142753</v>
      </c>
      <c r="AI19" s="42">
        <v>302.21367034530931</v>
      </c>
      <c r="AJ19" s="41">
        <v>2069.0609015271352</v>
      </c>
      <c r="AK19" s="42">
        <v>284.00715547865855</v>
      </c>
      <c r="AL19" s="41">
        <v>2697.5320570987724</v>
      </c>
      <c r="AM19" s="42">
        <v>227.44220502376416</v>
      </c>
      <c r="AN19" s="41">
        <v>4454.7100310865208</v>
      </c>
      <c r="AO19" s="42">
        <v>122.45693586812105</v>
      </c>
      <c r="AP19" s="41">
        <v>5199.1103611895305</v>
      </c>
      <c r="AQ19" s="42">
        <v>98.329445245939311</v>
      </c>
      <c r="AR19" s="41">
        <v>6285.2634868294481</v>
      </c>
      <c r="AS19" s="42">
        <v>73.882968230218935</v>
      </c>
      <c r="AT19" s="41">
        <v>8048.7042467655992</v>
      </c>
      <c r="AU19" s="42">
        <v>49.290958873215267</v>
      </c>
      <c r="AV19" s="41">
        <v>11615.075368845124</v>
      </c>
      <c r="AW19" s="42">
        <v>24.650050609172673</v>
      </c>
    </row>
    <row r="20" spans="1:49" x14ac:dyDescent="0.2">
      <c r="A20" t="s">
        <v>127</v>
      </c>
      <c r="B20" s="82">
        <v>26548.356269999993</v>
      </c>
      <c r="C20" s="83">
        <v>1408.5418709999938</v>
      </c>
      <c r="D20" s="82">
        <v>26275.032537743878</v>
      </c>
      <c r="E20" s="83">
        <v>1338.1147774499941</v>
      </c>
      <c r="F20" s="82">
        <v>25968.622697854251</v>
      </c>
      <c r="G20" s="83">
        <v>1267.6876838999945</v>
      </c>
      <c r="H20" s="82">
        <v>25623.268168562026</v>
      </c>
      <c r="I20" s="83">
        <v>1197.2605903499948</v>
      </c>
      <c r="J20" s="82">
        <v>25231.906890971899</v>
      </c>
      <c r="K20" s="83">
        <v>1126.8334967999951</v>
      </c>
      <c r="L20" s="82">
        <v>24786.159059667996</v>
      </c>
      <c r="M20" s="83">
        <v>1056.4064032499953</v>
      </c>
      <c r="N20" s="82">
        <v>24276.126001395038</v>
      </c>
      <c r="O20" s="83">
        <v>985.97930969999561</v>
      </c>
      <c r="P20" s="82">
        <v>23690.408184553064</v>
      </c>
      <c r="Q20" s="83">
        <v>915.55221614999596</v>
      </c>
      <c r="R20" s="82">
        <v>23016.313889316825</v>
      </c>
      <c r="S20" s="83">
        <v>845.12512259999642</v>
      </c>
      <c r="T20" s="82">
        <v>22240.554023900531</v>
      </c>
      <c r="U20" s="83">
        <v>774.69802904999653</v>
      </c>
      <c r="V20" s="82">
        <v>21350.71861971408</v>
      </c>
      <c r="W20" s="83">
        <v>704.27093549999688</v>
      </c>
      <c r="X20" s="82">
        <v>20337.884982763269</v>
      </c>
      <c r="Y20" s="83">
        <v>633.84384194999711</v>
      </c>
      <c r="Z20" s="82">
        <v>19200.539838487253</v>
      </c>
      <c r="AA20" s="83">
        <v>563.41674839999746</v>
      </c>
      <c r="AB20" s="82">
        <v>17949.189296743367</v>
      </c>
      <c r="AC20" s="83">
        <v>492.98965484999781</v>
      </c>
      <c r="AD20" s="82">
        <v>16609.112588701115</v>
      </c>
      <c r="AE20" s="83">
        <v>422.56256129999809</v>
      </c>
      <c r="AF20" s="82">
        <v>15216.055793635485</v>
      </c>
      <c r="AG20" s="83">
        <v>352.13546774999827</v>
      </c>
      <c r="AH20" s="82">
        <v>13799.269283929727</v>
      </c>
      <c r="AI20" s="83">
        <v>281.70837419999856</v>
      </c>
      <c r="AJ20" s="82">
        <v>12350.690271702564</v>
      </c>
      <c r="AK20" s="83">
        <v>211.28128064999879</v>
      </c>
      <c r="AL20" s="82">
        <v>10777.287648058098</v>
      </c>
      <c r="AM20" s="83">
        <v>140.85418709999902</v>
      </c>
      <c r="AN20" s="82">
        <v>8757.9015639729878</v>
      </c>
      <c r="AO20" s="83">
        <v>70.427093549999285</v>
      </c>
      <c r="AP20" s="82">
        <v>8218.3970840318107</v>
      </c>
      <c r="AQ20" s="83">
        <v>56.341674839999328</v>
      </c>
      <c r="AR20" s="82">
        <v>7585.6598749630048</v>
      </c>
      <c r="AS20" s="83">
        <v>42.256256129999379</v>
      </c>
      <c r="AT20" s="82">
        <v>6805.0318559607313</v>
      </c>
      <c r="AU20" s="83">
        <v>28.170837419999433</v>
      </c>
      <c r="AV20" s="82">
        <v>5743.0756483601463</v>
      </c>
      <c r="AW20" s="83">
        <v>14.08541870999948</v>
      </c>
    </row>
    <row r="21" spans="1:49" x14ac:dyDescent="0.2">
      <c r="A21" t="s">
        <v>76</v>
      </c>
      <c r="B21" s="82">
        <v>24661.962529999968</v>
      </c>
      <c r="C21" s="83">
        <v>1145.7547579999991</v>
      </c>
      <c r="D21" s="82">
        <v>24411.023029564214</v>
      </c>
      <c r="E21" s="83">
        <v>1072.3999876763521</v>
      </c>
      <c r="F21" s="82">
        <v>24127.723479391116</v>
      </c>
      <c r="G21" s="83">
        <v>999.05223536234564</v>
      </c>
      <c r="H21" s="82">
        <v>23806.279876014152</v>
      </c>
      <c r="I21" s="83">
        <v>925.79023489705401</v>
      </c>
      <c r="J21" s="82">
        <v>23439.698612615415</v>
      </c>
      <c r="K21" s="83">
        <v>852.71655281445828</v>
      </c>
      <c r="L21" s="82">
        <v>23019.65164305309</v>
      </c>
      <c r="M21" s="83">
        <v>779.96143144199573</v>
      </c>
      <c r="N21" s="82">
        <v>22536.253042466262</v>
      </c>
      <c r="O21" s="83">
        <v>707.68704128488775</v>
      </c>
      <c r="P21" s="82">
        <v>21978.042269131412</v>
      </c>
      <c r="Q21" s="83">
        <v>636.0886290298796</v>
      </c>
      <c r="R21" s="82">
        <v>21332.131144975505</v>
      </c>
      <c r="S21" s="83">
        <v>565.39153846206887</v>
      </c>
      <c r="T21" s="82">
        <v>20584.79869105418</v>
      </c>
      <c r="U21" s="83">
        <v>495.84000832759449</v>
      </c>
      <c r="V21" s="82">
        <v>19722.804231065238</v>
      </c>
      <c r="W21" s="83">
        <v>427.67504471110055</v>
      </c>
      <c r="X21" s="82">
        <v>18735.745016248304</v>
      </c>
      <c r="Y21" s="83">
        <v>361.10194179953515</v>
      </c>
      <c r="Z21" s="82">
        <v>17619.608581686032</v>
      </c>
      <c r="AA21" s="83">
        <v>296.26148200209383</v>
      </c>
      <c r="AB21" s="82">
        <v>16380.879600585838</v>
      </c>
      <c r="AC21" s="83">
        <v>233.25430883814136</v>
      </c>
      <c r="AD21" s="82">
        <v>15038.631484335834</v>
      </c>
      <c r="AE21" s="83">
        <v>172.33413514957854</v>
      </c>
      <c r="AF21" s="82">
        <v>13619.15865546962</v>
      </c>
      <c r="AG21" s="83">
        <v>114.47685733825294</v>
      </c>
      <c r="AH21" s="82">
        <v>12136.304039168906</v>
      </c>
      <c r="AI21" s="83">
        <v>62.559718932702609</v>
      </c>
      <c r="AJ21" s="82">
        <v>10552.511030289686</v>
      </c>
      <c r="AK21" s="83">
        <v>22.923854267159573</v>
      </c>
      <c r="AL21" s="82">
        <v>8713.5842409937777</v>
      </c>
      <c r="AM21" s="83">
        <v>3.432712809485357</v>
      </c>
      <c r="AN21" s="82">
        <v>6183.8814946915527</v>
      </c>
      <c r="AO21" s="83">
        <v>6.1830579627138088E-2</v>
      </c>
      <c r="AP21" s="82">
        <v>5493.2845705205191</v>
      </c>
      <c r="AQ21" s="83">
        <v>1.5949226344607305E-2</v>
      </c>
      <c r="AR21" s="82">
        <v>4683.9050823821808</v>
      </c>
      <c r="AS21" s="83">
        <v>2.7805434646319092E-3</v>
      </c>
      <c r="AT21" s="82">
        <v>3693.8699909568854</v>
      </c>
      <c r="AU21" s="83">
        <v>2.4368940397558254E-4</v>
      </c>
      <c r="AV21" s="82">
        <v>2383.5235730665436</v>
      </c>
      <c r="AW21" s="83">
        <v>4.3295115408955575E-6</v>
      </c>
    </row>
    <row r="22" spans="1:49" x14ac:dyDescent="0.2">
      <c r="A22" t="s">
        <v>28</v>
      </c>
      <c r="B22" s="41">
        <v>6533.6044688320644</v>
      </c>
      <c r="C22" s="42">
        <v>379.90788307663382</v>
      </c>
      <c r="D22" s="41">
        <v>6445.744032595966</v>
      </c>
      <c r="E22" s="42">
        <v>362.8562740128599</v>
      </c>
      <c r="F22" s="41">
        <v>6348.3981637051247</v>
      </c>
      <c r="G22" s="42">
        <v>345.69646385180999</v>
      </c>
      <c r="H22" s="41">
        <v>6239.9843861785412</v>
      </c>
      <c r="I22" s="42">
        <v>328.42478889924843</v>
      </c>
      <c r="J22" s="41">
        <v>6118.6113664875884</v>
      </c>
      <c r="K22" s="42">
        <v>311.03739552453152</v>
      </c>
      <c r="L22" s="41">
        <v>5982.0535768321406</v>
      </c>
      <c r="M22" s="42">
        <v>293.52984376261617</v>
      </c>
      <c r="N22" s="41">
        <v>5827.7067446403762</v>
      </c>
      <c r="O22" s="42">
        <v>275.89748867733675</v>
      </c>
      <c r="P22" s="41">
        <v>5652.6018555742767</v>
      </c>
      <c r="Q22" s="42">
        <v>258.13548405823821</v>
      </c>
      <c r="R22" s="41">
        <v>5453.4737334592255</v>
      </c>
      <c r="S22" s="42">
        <v>240.23947008108928</v>
      </c>
      <c r="T22" s="41">
        <v>5226.9574637655651</v>
      </c>
      <c r="U22" s="42">
        <v>222.20626474498479</v>
      </c>
      <c r="V22" s="41">
        <v>4969.9935666902993</v>
      </c>
      <c r="W22" s="42">
        <v>204.03523208997913</v>
      </c>
      <c r="X22" s="41">
        <v>4680.5215085912323</v>
      </c>
      <c r="Y22" s="42">
        <v>185.72871730334435</v>
      </c>
      <c r="Z22" s="41">
        <v>4358.5065166954646</v>
      </c>
      <c r="AA22" s="42">
        <v>167.28983417374204</v>
      </c>
      <c r="AB22" s="41">
        <v>4007.1139470987023</v>
      </c>
      <c r="AC22" s="42">
        <v>148.71158198879894</v>
      </c>
      <c r="AD22" s="41">
        <v>3633.3441246791249</v>
      </c>
      <c r="AE22" s="42">
        <v>129.94566498948294</v>
      </c>
      <c r="AF22" s="41">
        <v>3246.7439113233122</v>
      </c>
      <c r="AG22" s="42">
        <v>110.83390037915802</v>
      </c>
      <c r="AH22" s="41">
        <v>2854.733324551642</v>
      </c>
      <c r="AI22" s="42">
        <v>90.990271645252037</v>
      </c>
      <c r="AJ22" s="41">
        <v>2454.2971693107738</v>
      </c>
      <c r="AK22" s="42">
        <v>69.6920811745441</v>
      </c>
      <c r="AL22" s="41">
        <v>2019.7700795887588</v>
      </c>
      <c r="AM22" s="42">
        <v>46.294924596380007</v>
      </c>
      <c r="AN22" s="41">
        <v>1468.1190142867893</v>
      </c>
      <c r="AO22" s="42">
        <v>22.001993794443035</v>
      </c>
      <c r="AP22" s="41">
        <v>1322.8522471700035</v>
      </c>
      <c r="AQ22" s="42">
        <v>17.289210144491246</v>
      </c>
      <c r="AR22" s="41">
        <v>1153.6921781524791</v>
      </c>
      <c r="AS22" s="42">
        <v>12.681372621604458</v>
      </c>
      <c r="AT22" s="41">
        <v>946.58829698082604</v>
      </c>
      <c r="AU22" s="42">
        <v>8.209884167949884</v>
      </c>
      <c r="AV22" s="41">
        <v>666.7383369790698</v>
      </c>
      <c r="AW22" s="42">
        <v>3.9267870787661936</v>
      </c>
    </row>
    <row r="23" spans="1:49" x14ac:dyDescent="0.2">
      <c r="A23" t="s">
        <v>7</v>
      </c>
      <c r="B23" s="116">
        <v>3278.5018080150408</v>
      </c>
      <c r="C23" s="8">
        <v>0</v>
      </c>
      <c r="D23" s="116">
        <v>3249.0329844183921</v>
      </c>
      <c r="E23" s="8">
        <v>0</v>
      </c>
      <c r="F23" s="116">
        <v>3214.6829886239852</v>
      </c>
      <c r="G23" s="8">
        <v>0</v>
      </c>
      <c r="H23" s="116">
        <v>3174.5611300890887</v>
      </c>
      <c r="I23" s="8">
        <v>0</v>
      </c>
      <c r="J23" s="116">
        <v>3127.5905392218024</v>
      </c>
      <c r="K23" s="8">
        <v>0</v>
      </c>
      <c r="L23" s="116">
        <v>3072.4919005964075</v>
      </c>
      <c r="M23" s="8">
        <v>0</v>
      </c>
      <c r="N23" s="116">
        <v>3007.7514384239907</v>
      </c>
      <c r="O23" s="8">
        <v>0</v>
      </c>
      <c r="P23" s="116">
        <v>2931.6259953732697</v>
      </c>
      <c r="Q23" s="8">
        <v>0</v>
      </c>
      <c r="R23" s="116">
        <v>2842.1774011308053</v>
      </c>
      <c r="S23" s="8">
        <v>0</v>
      </c>
      <c r="T23" s="116">
        <v>2737.3856124697863</v>
      </c>
      <c r="U23" s="8">
        <v>0</v>
      </c>
      <c r="V23" s="116">
        <v>2615.3870747844298</v>
      </c>
      <c r="W23" s="8">
        <v>0</v>
      </c>
      <c r="X23" s="116">
        <v>2474.8972714606562</v>
      </c>
      <c r="Y23" s="8">
        <v>0</v>
      </c>
      <c r="Z23" s="116">
        <v>2315.8495820129724</v>
      </c>
      <c r="AA23" s="8">
        <v>0</v>
      </c>
      <c r="AB23" s="116">
        <v>2140.1628779961752</v>
      </c>
      <c r="AC23" s="8">
        <v>0</v>
      </c>
      <c r="AD23" s="116">
        <v>1952.2595964243278</v>
      </c>
      <c r="AE23" s="8">
        <v>0</v>
      </c>
      <c r="AF23" s="116">
        <v>1758.5781441305546</v>
      </c>
      <c r="AG23" s="8">
        <v>0</v>
      </c>
      <c r="AH23" s="116">
        <v>1565.3701299929464</v>
      </c>
      <c r="AI23" s="8">
        <v>0</v>
      </c>
      <c r="AJ23" s="116">
        <v>1374.9579049143697</v>
      </c>
      <c r="AK23" s="8">
        <v>0</v>
      </c>
      <c r="AL23" s="116">
        <v>1179.7317030650272</v>
      </c>
      <c r="AM23" s="8">
        <v>0</v>
      </c>
      <c r="AN23" s="116">
        <v>938.39400647918183</v>
      </c>
      <c r="AO23" s="8">
        <v>0</v>
      </c>
      <c r="AP23" s="116">
        <v>872.81101268024111</v>
      </c>
      <c r="AQ23" s="8">
        <v>0</v>
      </c>
      <c r="AR23" s="116">
        <v>794.32063256232641</v>
      </c>
      <c r="AS23" s="8">
        <v>0</v>
      </c>
      <c r="AT23" s="116">
        <v>694.3002020085105</v>
      </c>
      <c r="AU23" s="8">
        <v>0</v>
      </c>
      <c r="AV23" s="116">
        <v>549.78171174171234</v>
      </c>
      <c r="AW23" s="8">
        <v>0</v>
      </c>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v>3196.3846373657216</v>
      </c>
      <c r="AW24" s="8">
        <v>0</v>
      </c>
    </row>
    <row r="25" spans="1:49" x14ac:dyDescent="0.2">
      <c r="A25" t="s">
        <v>0</v>
      </c>
      <c r="B25" s="41">
        <v>3195.0476040000012</v>
      </c>
      <c r="C25" s="42">
        <v>91.012690000004397</v>
      </c>
      <c r="D25" s="41">
        <v>3167.9473522264125</v>
      </c>
      <c r="E25" s="42">
        <v>81.934080304628381</v>
      </c>
      <c r="F25" s="41">
        <v>3133.6930859558497</v>
      </c>
      <c r="G25" s="42">
        <v>73.203305827834839</v>
      </c>
      <c r="H25" s="41">
        <v>3090.8994508299998</v>
      </c>
      <c r="I25" s="42">
        <v>64.851780616466613</v>
      </c>
      <c r="J25" s="41">
        <v>3037.8754898198868</v>
      </c>
      <c r="K25" s="42">
        <v>56.911243866136751</v>
      </c>
      <c r="L25" s="41">
        <v>2972.5924954794732</v>
      </c>
      <c r="M25" s="42">
        <v>49.412474369181325</v>
      </c>
      <c r="N25" s="41">
        <v>2892.6215021891499</v>
      </c>
      <c r="O25" s="42">
        <v>42.384726179588732</v>
      </c>
      <c r="P25" s="41">
        <v>2795.1274978889237</v>
      </c>
      <c r="Q25" s="42">
        <v>35.853997889287982</v>
      </c>
      <c r="R25" s="41">
        <v>2676.9034487603039</v>
      </c>
      <c r="S25" s="42">
        <v>29.841409796448996</v>
      </c>
      <c r="T25" s="41">
        <v>2534.5263379705921</v>
      </c>
      <c r="U25" s="42">
        <v>24.361311282518365</v>
      </c>
      <c r="V25" s="41">
        <v>2364.7080737258912</v>
      </c>
      <c r="W25" s="42">
        <v>19.419384699440847</v>
      </c>
      <c r="X25" s="41">
        <v>2164.949000290957</v>
      </c>
      <c r="Y25" s="42">
        <v>15.012126709080324</v>
      </c>
      <c r="Z25" s="41">
        <v>1934.5622325231436</v>
      </c>
      <c r="AA25" s="42">
        <v>11.129333137201181</v>
      </c>
      <c r="AB25" s="41">
        <v>1675.9754559248063</v>
      </c>
      <c r="AC25" s="42">
        <v>7.7627617384917116</v>
      </c>
      <c r="AD25" s="41">
        <v>1395.7734387573</v>
      </c>
      <c r="AE25" s="42">
        <v>4.9236810900465802</v>
      </c>
      <c r="AF25" s="41">
        <v>1104.3679159747455</v>
      </c>
      <c r="AG25" s="42">
        <v>2.6648467893628607</v>
      </c>
      <c r="AH25" s="41">
        <v>813.44300220408854</v>
      </c>
      <c r="AI25" s="42">
        <v>1.0828082024268719</v>
      </c>
      <c r="AJ25" s="41">
        <v>533.32601558345482</v>
      </c>
      <c r="AK25" s="42">
        <v>0.24776099596465967</v>
      </c>
      <c r="AL25" s="41">
        <v>278.92116289855386</v>
      </c>
      <c r="AM25" s="42">
        <v>1.6043047985398795E-2</v>
      </c>
      <c r="AN25" s="41">
        <v>85.066250259359165</v>
      </c>
      <c r="AO25" s="42">
        <v>5.2854221033737136E-5</v>
      </c>
      <c r="AP25" s="41">
        <v>57.516118706976997</v>
      </c>
      <c r="AQ25" s="42">
        <v>7.7274110577909963E-6</v>
      </c>
      <c r="AR25" s="41">
        <v>34.589723893556638</v>
      </c>
      <c r="AS25" s="42">
        <v>6.4891618401206661E-7</v>
      </c>
      <c r="AT25" s="41">
        <v>16.799318162170071</v>
      </c>
      <c r="AU25" s="42">
        <v>2.0612845837038095E-8</v>
      </c>
      <c r="AV25" s="41">
        <v>4.8469806206521122</v>
      </c>
      <c r="AW25" s="42">
        <v>6.9026471858662245E-11</v>
      </c>
    </row>
    <row r="26" spans="1:49" x14ac:dyDescent="0.2">
      <c r="A26" t="s">
        <v>27</v>
      </c>
      <c r="B26" s="33">
        <v>5036.2953101960647</v>
      </c>
      <c r="C26" s="34">
        <v>74.905331803938267</v>
      </c>
      <c r="D26" s="33">
        <v>4994.7921502887293</v>
      </c>
      <c r="E26" s="34">
        <v>70.346319172702991</v>
      </c>
      <c r="F26" s="33">
        <v>4946.5457611179008</v>
      </c>
      <c r="G26" s="34">
        <v>65.774943009782291</v>
      </c>
      <c r="H26" s="33">
        <v>4890.2351885521684</v>
      </c>
      <c r="I26" s="34">
        <v>61.193421404644795</v>
      </c>
      <c r="J26" s="33">
        <v>4824.2434394723941</v>
      </c>
      <c r="K26" s="34">
        <v>56.605073254350536</v>
      </c>
      <c r="L26" s="33">
        <v>4746.6218538398698</v>
      </c>
      <c r="M26" s="34">
        <v>52.014397478196216</v>
      </c>
      <c r="N26" s="33">
        <v>4655.0282912103448</v>
      </c>
      <c r="O26" s="34">
        <v>47.427604364227761</v>
      </c>
      <c r="P26" s="33">
        <v>4546.712792537417</v>
      </c>
      <c r="Q26" s="34">
        <v>42.852699308378</v>
      </c>
      <c r="R26" s="33">
        <v>4418.5405323303485</v>
      </c>
      <c r="S26" s="34">
        <v>38.299587319626433</v>
      </c>
      <c r="T26" s="33">
        <v>4267.1229611839426</v>
      </c>
      <c r="U26" s="34">
        <v>33.779832661365617</v>
      </c>
      <c r="V26" s="33">
        <v>4089.1263674699553</v>
      </c>
      <c r="W26" s="34">
        <v>29.305708587464562</v>
      </c>
      <c r="X26" s="33">
        <v>3881.8469592557781</v>
      </c>
      <c r="Y26" s="34">
        <v>24.888908502995665</v>
      </c>
      <c r="Z26" s="33">
        <v>3644.1038616004967</v>
      </c>
      <c r="AA26" s="34">
        <v>20.539540416392015</v>
      </c>
      <c r="AB26" s="33">
        <v>3377.3183980180638</v>
      </c>
      <c r="AC26" s="34">
        <v>16.268376520648225</v>
      </c>
      <c r="AD26" s="33">
        <v>3086.1884807789547</v>
      </c>
      <c r="AE26" s="34">
        <v>12.09961381640351</v>
      </c>
      <c r="AF26" s="33">
        <v>2777.6873526596592</v>
      </c>
      <c r="AG26" s="34">
        <v>8.1071183551875556</v>
      </c>
      <c r="AH26" s="33">
        <v>2456.8609917150038</v>
      </c>
      <c r="AI26" s="34">
        <v>4.4908301384532585</v>
      </c>
      <c r="AJ26" s="33">
        <v>2118.6724239181699</v>
      </c>
      <c r="AK26" s="34">
        <v>1.687069119695106</v>
      </c>
      <c r="AL26" s="33">
        <v>1735.0854985447022</v>
      </c>
      <c r="AM26" s="34">
        <v>0.26582477593314613</v>
      </c>
      <c r="AN26" s="33">
        <v>1220.6311939047739</v>
      </c>
      <c r="AO26" s="34">
        <v>5.3500737969491684E-3</v>
      </c>
      <c r="AP26" s="33">
        <v>1081.337573934728</v>
      </c>
      <c r="AQ26" s="34">
        <v>1.4322715235617475E-3</v>
      </c>
      <c r="AR26" s="33">
        <v>918.33236985088774</v>
      </c>
      <c r="AS26" s="34">
        <v>2.6177915441435057E-4</v>
      </c>
      <c r="AT26" s="33">
        <v>719.43523614191031</v>
      </c>
      <c r="AU26" s="34">
        <v>2.4468914490180464E-5</v>
      </c>
      <c r="AV26" s="33">
        <v>458.16552526719636</v>
      </c>
      <c r="AW26" s="34">
        <v>4.8173140270980256E-7</v>
      </c>
    </row>
    <row r="27" spans="1:49" x14ac:dyDescent="0.2">
      <c r="A27" t="s">
        <v>2</v>
      </c>
      <c r="B27" s="35">
        <v>6425.1981590000069</v>
      </c>
      <c r="C27" s="36">
        <v>273.22915400000028</v>
      </c>
      <c r="D27" s="35">
        <v>6364.1098138526295</v>
      </c>
      <c r="E27" s="36">
        <v>256.43549772756154</v>
      </c>
      <c r="F27" s="35">
        <v>6293.9728902728921</v>
      </c>
      <c r="G27" s="36">
        <v>239.60650438436491</v>
      </c>
      <c r="H27" s="35">
        <v>6213.1094178454905</v>
      </c>
      <c r="I27" s="36">
        <v>222.75167745000695</v>
      </c>
      <c r="J27" s="35">
        <v>6119.4835945446903</v>
      </c>
      <c r="K27" s="36">
        <v>205.88506374860768</v>
      </c>
      <c r="L27" s="35">
        <v>6010.6635181113725</v>
      </c>
      <c r="M27" s="36">
        <v>189.02492040522367</v>
      </c>
      <c r="N27" s="35">
        <v>5883.7554998535352</v>
      </c>
      <c r="O27" s="36">
        <v>172.19634457842983</v>
      </c>
      <c r="P27" s="35">
        <v>5735.400052981925</v>
      </c>
      <c r="Q27" s="36">
        <v>155.43110237616855</v>
      </c>
      <c r="R27" s="35">
        <v>5561.820424317556</v>
      </c>
      <c r="S27" s="36">
        <v>138.76812746865696</v>
      </c>
      <c r="T27" s="35">
        <v>5359.010632227657</v>
      </c>
      <c r="U27" s="36">
        <v>122.25282008711196</v>
      </c>
      <c r="V27" s="35">
        <v>5123.1493960919033</v>
      </c>
      <c r="W27" s="36">
        <v>105.93322157266701</v>
      </c>
      <c r="X27" s="35">
        <v>4851.3456717080517</v>
      </c>
      <c r="Y27" s="36">
        <v>89.855438559746588</v>
      </c>
      <c r="Z27" s="35">
        <v>4542.7715773846348</v>
      </c>
      <c r="AA27" s="36">
        <v>74.059777152909206</v>
      </c>
      <c r="AB27" s="35">
        <v>4200.0045340320348</v>
      </c>
      <c r="AC27" s="36">
        <v>58.588143403936357</v>
      </c>
      <c r="AD27" s="35">
        <v>3829.8314307180763</v>
      </c>
      <c r="AE27" s="36">
        <v>43.52880461164596</v>
      </c>
      <c r="AF27" s="35">
        <v>3441.9631930476266</v>
      </c>
      <c r="AG27" s="36">
        <v>29.144360428600411</v>
      </c>
      <c r="AH27" s="35">
        <v>3043.9238010137378</v>
      </c>
      <c r="AI27" s="36">
        <v>16.142836334866931</v>
      </c>
      <c r="AJ27" s="35">
        <v>2631.6029906939816</v>
      </c>
      <c r="AK27" s="36">
        <v>6.0720831507705855</v>
      </c>
      <c r="AL27" s="35">
        <v>2175.0223091678622</v>
      </c>
      <c r="AM27" s="36">
        <v>0.96115509399697774</v>
      </c>
      <c r="AN27" s="35">
        <v>1577.6315394799087</v>
      </c>
      <c r="AO27" s="36">
        <v>1.9642508206120571E-2</v>
      </c>
      <c r="AP27" s="35">
        <v>1416.6841364054453</v>
      </c>
      <c r="AQ27" s="36">
        <v>5.2942913119414167E-3</v>
      </c>
      <c r="AR27" s="35">
        <v>1227.4497530033029</v>
      </c>
      <c r="AS27" s="36">
        <v>9.7738022018075332E-4</v>
      </c>
      <c r="AT27" s="35">
        <v>993.61323526216427</v>
      </c>
      <c r="AU27" s="36">
        <v>9.2865457900294084E-5</v>
      </c>
      <c r="AV27" s="35">
        <v>676.30623282026863</v>
      </c>
      <c r="AW27" s="36">
        <v>1.8901314772340916E-6</v>
      </c>
    </row>
    <row r="28" spans="1:49" x14ac:dyDescent="0.2">
      <c r="A28" t="s">
        <v>35</v>
      </c>
      <c r="B28" s="41">
        <v>13763.097676000007</v>
      </c>
      <c r="C28" s="42">
        <v>382.36647900000003</v>
      </c>
      <c r="D28" s="41">
        <v>13641.529839456902</v>
      </c>
      <c r="E28" s="42">
        <v>358.93022609300954</v>
      </c>
      <c r="F28" s="41">
        <v>13501.067561908274</v>
      </c>
      <c r="G28" s="42">
        <v>335.44042058572472</v>
      </c>
      <c r="H28" s="41">
        <v>13338.104190482522</v>
      </c>
      <c r="I28" s="42">
        <v>311.90979653322813</v>
      </c>
      <c r="J28" s="41">
        <v>13148.243514178439</v>
      </c>
      <c r="K28" s="42">
        <v>288.35724181623499</v>
      </c>
      <c r="L28" s="41">
        <v>12926.209753874635</v>
      </c>
      <c r="M28" s="42">
        <v>264.80758056528845</v>
      </c>
      <c r="N28" s="41">
        <v>12665.692180496844</v>
      </c>
      <c r="O28" s="42">
        <v>241.29498317134104</v>
      </c>
      <c r="P28" s="41">
        <v>12359.320836468431</v>
      </c>
      <c r="Q28" s="42">
        <v>217.86291860447841</v>
      </c>
      <c r="R28" s="41">
        <v>11998.749556334706</v>
      </c>
      <c r="S28" s="42">
        <v>194.56480994102657</v>
      </c>
      <c r="T28" s="41">
        <v>11575.036675706742</v>
      </c>
      <c r="U28" s="42">
        <v>171.46299082243294</v>
      </c>
      <c r="V28" s="41">
        <v>11079.51083393314</v>
      </c>
      <c r="W28" s="42">
        <v>148.62349713414454</v>
      </c>
      <c r="X28" s="41">
        <v>10505.357385864812</v>
      </c>
      <c r="Y28" s="42">
        <v>126.1096200811814</v>
      </c>
      <c r="Z28" s="41">
        <v>9850.0557977179797</v>
      </c>
      <c r="AA28" s="42">
        <v>103.97657637831769</v>
      </c>
      <c r="AB28" s="41">
        <v>9118.2972008461675</v>
      </c>
      <c r="AC28" s="42">
        <v>82.282170121767393</v>
      </c>
      <c r="AD28" s="41">
        <v>8323.7721510479842</v>
      </c>
      <c r="AE28" s="42">
        <v>61.15009805478941</v>
      </c>
      <c r="AF28" s="41">
        <v>7486.4249142557765</v>
      </c>
      <c r="AG28" s="42">
        <v>40.950609705557625</v>
      </c>
      <c r="AH28" s="41">
        <v>6621.2195402111529</v>
      </c>
      <c r="AI28" s="42">
        <v>22.682715355244472</v>
      </c>
      <c r="AJ28" s="41">
        <v>5716.8171948647523</v>
      </c>
      <c r="AK28" s="42">
        <v>8.5291203352538414</v>
      </c>
      <c r="AL28" s="41">
        <v>4702.4449950359767</v>
      </c>
      <c r="AM28" s="42">
        <v>1.3483923327481746</v>
      </c>
      <c r="AN28" s="41">
        <v>3355.8601934514732</v>
      </c>
      <c r="AO28" s="42">
        <v>2.7436792570015571E-2</v>
      </c>
      <c r="AP28" s="41">
        <v>2991.3217392334727</v>
      </c>
      <c r="AQ28" s="42">
        <v>7.3802229002266108E-3</v>
      </c>
      <c r="AR28" s="41">
        <v>2563.1593412804887</v>
      </c>
      <c r="AS28" s="42">
        <v>1.3582847676430277E-3</v>
      </c>
      <c r="AT28" s="41">
        <v>2036.5279860132371</v>
      </c>
      <c r="AU28" s="42">
        <v>1.2837586442361999E-4</v>
      </c>
      <c r="AV28" s="41">
        <v>1332.138796865077</v>
      </c>
      <c r="AW28" s="42">
        <v>2.5822367123660485E-6</v>
      </c>
    </row>
    <row r="29" spans="1:49" x14ac:dyDescent="0.2">
      <c r="A29" t="s">
        <v>53</v>
      </c>
      <c r="B29" s="35">
        <v>14362.768558000003</v>
      </c>
      <c r="C29" s="36">
        <v>817.26651000000004</v>
      </c>
      <c r="D29" s="35">
        <v>14219.242157353465</v>
      </c>
      <c r="E29" s="36">
        <v>761.59958574228688</v>
      </c>
      <c r="F29" s="35">
        <v>14055.437442622018</v>
      </c>
      <c r="G29" s="36">
        <v>706.34490404546113</v>
      </c>
      <c r="H29" s="35">
        <v>13867.677032697195</v>
      </c>
      <c r="I29" s="36">
        <v>651.57806343092875</v>
      </c>
      <c r="J29" s="35">
        <v>13651.50909189818</v>
      </c>
      <c r="K29" s="36">
        <v>597.39060670459378</v>
      </c>
      <c r="L29" s="35">
        <v>13401.626866609862</v>
      </c>
      <c r="M29" s="36">
        <v>543.88780215735096</v>
      </c>
      <c r="N29" s="35">
        <v>13111.726383301831</v>
      </c>
      <c r="O29" s="36">
        <v>491.19430311741479</v>
      </c>
      <c r="P29" s="35">
        <v>12774.497686393514</v>
      </c>
      <c r="Q29" s="36">
        <v>439.45068649243996</v>
      </c>
      <c r="R29" s="35">
        <v>12381.724995238945</v>
      </c>
      <c r="S29" s="36">
        <v>388.81064500357689</v>
      </c>
      <c r="T29" s="35">
        <v>11924.68082417659</v>
      </c>
      <c r="U29" s="36">
        <v>339.43289229617847</v>
      </c>
      <c r="V29" s="35">
        <v>11394.992826216287</v>
      </c>
      <c r="W29" s="36">
        <v>291.46332555729879</v>
      </c>
      <c r="X29" s="35">
        <v>10786.200826450486</v>
      </c>
      <c r="Y29" s="36">
        <v>245.01389301576086</v>
      </c>
      <c r="Z29" s="35">
        <v>10096.109460815667</v>
      </c>
      <c r="AA29" s="36">
        <v>200.1450552834215</v>
      </c>
      <c r="AB29" s="35">
        <v>9329.5354470048696</v>
      </c>
      <c r="AC29" s="36">
        <v>156.8860965479808</v>
      </c>
      <c r="AD29" s="35">
        <v>8499.8135686881906</v>
      </c>
      <c r="AE29" s="36">
        <v>115.37372923300018</v>
      </c>
      <c r="AF29" s="35">
        <v>7625.6331128319734</v>
      </c>
      <c r="AG29" s="36">
        <v>76.242525223094347</v>
      </c>
      <c r="AH29" s="35">
        <v>6719.134413540517</v>
      </c>
      <c r="AI29" s="36">
        <v>41.40730176172854</v>
      </c>
      <c r="AJ29" s="35">
        <v>5763.2731382392076</v>
      </c>
      <c r="AK29" s="36">
        <v>15.052341942674722</v>
      </c>
      <c r="AL29" s="35">
        <v>4677.2443554915026</v>
      </c>
      <c r="AM29" s="36">
        <v>2.2295115861151524</v>
      </c>
      <c r="AN29" s="35">
        <v>3231.7755194647339</v>
      </c>
      <c r="AO29" s="36">
        <v>3.9550579510273687E-2</v>
      </c>
      <c r="AP29" s="35">
        <v>2846.1280620038683</v>
      </c>
      <c r="AQ29" s="36">
        <v>1.0163890404537851E-2</v>
      </c>
      <c r="AR29" s="35">
        <v>2398.9398394675368</v>
      </c>
      <c r="AS29" s="36">
        <v>1.7647153848546863E-3</v>
      </c>
      <c r="AT29" s="35">
        <v>1859.7212070087276</v>
      </c>
      <c r="AU29" s="36">
        <v>1.5396024319677278E-4</v>
      </c>
      <c r="AV29" s="35">
        <v>1162.9104274215013</v>
      </c>
      <c r="AW29" s="36">
        <v>2.7208810689023489E-6</v>
      </c>
    </row>
    <row r="30" spans="1:49" x14ac:dyDescent="0.2">
      <c r="A30" t="s">
        <v>48</v>
      </c>
      <c r="B30" s="119">
        <v>2924829.9599999995</v>
      </c>
      <c r="D30" s="119">
        <v>2935536.2301159026</v>
      </c>
      <c r="F30" s="119">
        <v>2942448.4013205068</v>
      </c>
      <c r="H30" s="119">
        <v>2944846.9313957514</v>
      </c>
      <c r="J30" s="119">
        <v>2941862.8644567826</v>
      </c>
      <c r="L30" s="119">
        <v>2932470.8994511794</v>
      </c>
      <c r="N30" s="119">
        <v>2915476.7507145437</v>
      </c>
      <c r="P30" s="119">
        <v>2889545.1898234328</v>
      </c>
      <c r="R30" s="119">
        <v>2853273.7577625359</v>
      </c>
      <c r="T30" s="119">
        <v>2805366.5845798738</v>
      </c>
      <c r="V30" s="119">
        <v>2744974.5654355409</v>
      </c>
      <c r="X30" s="119">
        <v>2672291.3132259743</v>
      </c>
      <c r="Z30" s="119">
        <v>2589504.2319508712</v>
      </c>
      <c r="AB30" s="119">
        <v>2502139.2137897438</v>
      </c>
      <c r="AD30" s="119">
        <v>2420724.8641927075</v>
      </c>
      <c r="AF30" s="119">
        <v>2362851.7493610531</v>
      </c>
      <c r="AH30" s="119">
        <v>2357544.7577328323</v>
      </c>
      <c r="AJ30" s="119">
        <v>2460287.0188635783</v>
      </c>
      <c r="AL30" s="119">
        <v>2795451.4352957001</v>
      </c>
      <c r="AN30" s="119">
        <v>3652247.0698800702</v>
      </c>
      <c r="AP30" s="119">
        <v>3952084.0924311113</v>
      </c>
      <c r="AR30" s="119">
        <v>4336344.1423769891</v>
      </c>
      <c r="AT30" s="119">
        <v>4853335.917476045</v>
      </c>
      <c r="AV30" s="119">
        <v>5599318.7590725776</v>
      </c>
    </row>
    <row r="31" spans="1:49" x14ac:dyDescent="0.2">
      <c r="A31" t="s">
        <v>47</v>
      </c>
      <c r="B31" s="80">
        <v>1</v>
      </c>
      <c r="D31" s="80">
        <v>0.98479795522464675</v>
      </c>
      <c r="F31" s="80">
        <v>0.9681198448609033</v>
      </c>
      <c r="H31" s="80">
        <v>0.94973596729793153</v>
      </c>
      <c r="J31" s="80">
        <v>0.92937418790626725</v>
      </c>
      <c r="L31" s="80">
        <v>0.9067170514738675</v>
      </c>
      <c r="N31" s="80">
        <v>0.88139643313782845</v>
      </c>
      <c r="P31" s="80">
        <v>0.85299660711724423</v>
      </c>
      <c r="R31" s="80">
        <v>0.82106515272515501</v>
      </c>
      <c r="T31" s="80">
        <v>0.78514163704179807</v>
      </c>
      <c r="V31" s="80">
        <v>0.74481502293855328</v>
      </c>
      <c r="X31" s="80">
        <v>0.6998197243254759</v>
      </c>
      <c r="Z31" s="80">
        <v>0.650174990948857</v>
      </c>
      <c r="AB31" s="80">
        <v>0.59633883764047679</v>
      </c>
      <c r="AD31" s="80">
        <v>0.53927620895896677</v>
      </c>
      <c r="AF31" s="80">
        <v>0.48024069533368269</v>
      </c>
      <c r="AH31" s="80">
        <v>0.42004918360313659</v>
      </c>
      <c r="AJ31" s="80">
        <v>0.35777867324048596</v>
      </c>
      <c r="AL31" s="80">
        <v>0.28888287346999758</v>
      </c>
      <c r="AN31" s="80">
        <v>0.20064573286793702</v>
      </c>
      <c r="AP31" s="80">
        <v>0.177720656375497</v>
      </c>
      <c r="AR31" s="80">
        <v>0.15137504717560613</v>
      </c>
      <c r="AT31" s="80">
        <v>0.11978709667728568</v>
      </c>
      <c r="AV31" s="80">
        <v>7.8679768015507551E-2</v>
      </c>
    </row>
    <row r="32" spans="1:49" x14ac:dyDescent="0.2">
      <c r="A32" t="s">
        <v>64</v>
      </c>
      <c r="B32" s="86">
        <v>14734457.915000005</v>
      </c>
      <c r="D32" s="86">
        <v>14590429.574182244</v>
      </c>
      <c r="F32" s="86">
        <v>14430799.720515408</v>
      </c>
      <c r="H32" s="86">
        <v>14252928.83507045</v>
      </c>
      <c r="J32" s="86">
        <v>14053693.61702089</v>
      </c>
      <c r="L32" s="86">
        <v>13829477.638817428</v>
      </c>
      <c r="N32" s="86">
        <v>13576153.645385286</v>
      </c>
      <c r="P32" s="86">
        <v>13289207.183831351</v>
      </c>
      <c r="R32" s="86">
        <v>12964022.470206477</v>
      </c>
      <c r="T32" s="86">
        <v>12596502.760061737</v>
      </c>
      <c r="V32" s="86">
        <v>12184233.356140124</v>
      </c>
      <c r="X32" s="86">
        <v>11728433.303814091</v>
      </c>
      <c r="Z32" s="86">
        <v>11236915.604598682</v>
      </c>
      <c r="AB32" s="86">
        <v>10727941.226371715</v>
      </c>
      <c r="AD32" s="86">
        <v>10234197.440090396</v>
      </c>
      <c r="AF32" s="86">
        <v>9806016.0868111867</v>
      </c>
      <c r="AH32" s="86">
        <v>9517008.7509003449</v>
      </c>
      <c r="AJ32" s="86">
        <v>9488374.2007579282</v>
      </c>
      <c r="AL32" s="86">
        <v>9951148.336676145</v>
      </c>
      <c r="AN32" s="86">
        <v>11283823.799383022</v>
      </c>
      <c r="AP32" s="86">
        <v>11704491.629277235</v>
      </c>
      <c r="AR32" s="86">
        <v>12190521.515256152</v>
      </c>
      <c r="AT32" s="86">
        <v>12730825.795075282</v>
      </c>
      <c r="AV32" s="86">
        <v>13182276.513293786</v>
      </c>
    </row>
    <row r="33" spans="1:49 16319:16321" x14ac:dyDescent="0.2">
      <c r="A33" t="s">
        <v>54</v>
      </c>
      <c r="B33" s="117">
        <v>7019665.6909999885</v>
      </c>
      <c r="D33" s="117">
        <v>6927653.0754305068</v>
      </c>
      <c r="F33" s="117">
        <v>6828618.1299362201</v>
      </c>
      <c r="H33" s="117">
        <v>6721418.9480680311</v>
      </c>
      <c r="J33" s="117">
        <v>6604716.4146640049</v>
      </c>
      <c r="L33" s="117">
        <v>6476969.3860434042</v>
      </c>
      <c r="N33" s="117">
        <v>6336435.7010062831</v>
      </c>
      <c r="P33" s="117">
        <v>6181225.8231152175</v>
      </c>
      <c r="R33" s="117">
        <v>6009431.095084114</v>
      </c>
      <c r="T33" s="117">
        <v>5819387.5206442541</v>
      </c>
      <c r="V33" s="117">
        <v>5610167.5415375801</v>
      </c>
      <c r="X33" s="117">
        <v>5382383.168431107</v>
      </c>
      <c r="Z33" s="117">
        <v>5139382.6605023677</v>
      </c>
      <c r="AB33" s="117">
        <v>4888740.6727786427</v>
      </c>
      <c r="AD33" s="117">
        <v>4643634.4058829341</v>
      </c>
      <c r="AF33" s="117">
        <v>4423533.1052422803</v>
      </c>
      <c r="AH33" s="117">
        <v>4254951.7812230512</v>
      </c>
      <c r="AJ33" s="117">
        <v>4176984.2390405927</v>
      </c>
      <c r="AL33" s="117">
        <v>4253152.0973038655</v>
      </c>
      <c r="AN33" s="117">
        <v>4537108.6340068402</v>
      </c>
      <c r="AP33" s="117">
        <v>4609444.4161488004</v>
      </c>
      <c r="AR33" s="117">
        <v>4670704.4810229996</v>
      </c>
      <c r="AT33" s="117">
        <v>4685802.5895242039</v>
      </c>
      <c r="AV33" s="117">
        <v>4513023.9942868743</v>
      </c>
    </row>
    <row r="34" spans="1:49 16319:16321" x14ac:dyDescent="0.2">
      <c r="A34" t="s">
        <v>75</v>
      </c>
      <c r="B34" s="117">
        <v>1136879.4410000162</v>
      </c>
      <c r="D34" s="117">
        <v>1119997.6686057528</v>
      </c>
      <c r="F34" s="117">
        <v>1096694.4210575945</v>
      </c>
      <c r="H34" s="117">
        <v>1065720.5614211811</v>
      </c>
      <c r="J34" s="117">
        <v>1025532.8441529134</v>
      </c>
      <c r="L34" s="117">
        <v>974251.96506153885</v>
      </c>
      <c r="N34" s="117">
        <v>909577.6512338774</v>
      </c>
      <c r="P34" s="117">
        <v>828739.11657630489</v>
      </c>
      <c r="R34" s="117">
        <v>728444.73580290354</v>
      </c>
      <c r="T34" s="117">
        <v>604887.35734651401</v>
      </c>
      <c r="V34" s="117">
        <v>453832.18133869686</v>
      </c>
      <c r="X34" s="117">
        <v>270840.32907900587</v>
      </c>
      <c r="Z34" s="117">
        <v>51623.285339501512</v>
      </c>
      <c r="AB34" s="117">
        <v>-207621.08879309584</v>
      </c>
      <c r="AD34" s="117">
        <v>-510511.4611819188</v>
      </c>
      <c r="AF34" s="117">
        <v>-863036.19364168833</v>
      </c>
      <c r="AH34" s="117">
        <v>-1282009.0318530691</v>
      </c>
      <c r="AJ34" s="117">
        <v>-1819494.2804263742</v>
      </c>
      <c r="AL34" s="117">
        <v>-2646037.056175997</v>
      </c>
      <c r="AN34" s="117">
        <v>-4492100.6638410622</v>
      </c>
      <c r="AP34" s="117">
        <v>-5239923.6800010819</v>
      </c>
      <c r="AR34" s="117">
        <v>-6324556.7305171946</v>
      </c>
      <c r="AT34" s="117">
        <v>-8081195.8874560315</v>
      </c>
      <c r="AV34" s="117">
        <v>-11634878.438833576</v>
      </c>
    </row>
    <row r="35" spans="1:49 16319:16321" x14ac:dyDescent="0.2">
      <c r="A35" t="s">
        <v>78</v>
      </c>
      <c r="B35" s="233">
        <v>1</v>
      </c>
      <c r="D35" s="233">
        <v>1.0021271054496257</v>
      </c>
      <c r="F35" s="233">
        <v>1.0048224667213077</v>
      </c>
      <c r="H35" s="233">
        <v>1.0082052053774042</v>
      </c>
      <c r="J35" s="233">
        <v>1.0124303847073</v>
      </c>
      <c r="L35" s="233">
        <v>1.0177012278214015</v>
      </c>
      <c r="N35" s="233">
        <v>1.024290209073393</v>
      </c>
      <c r="P35" s="233">
        <v>1.0325677140823697</v>
      </c>
      <c r="R35" s="233">
        <v>1.0430475742932739</v>
      </c>
      <c r="T35" s="233">
        <v>1.0564567581836903</v>
      </c>
      <c r="V35" s="233">
        <v>1.0738457725360326</v>
      </c>
      <c r="X35" s="233">
        <v>1.0967648522061688</v>
      </c>
      <c r="Z35" s="233">
        <v>1.1275514365374133</v>
      </c>
      <c r="AB35" s="233">
        <v>1.1698131630377371</v>
      </c>
      <c r="AD35" s="233">
        <v>1.2293158284488999</v>
      </c>
      <c r="AF35" s="233">
        <v>1.3159414519813448</v>
      </c>
      <c r="AH35" s="233">
        <v>1.4490947193916897</v>
      </c>
      <c r="AJ35" s="233">
        <v>1.6753407639534688</v>
      </c>
      <c r="AL35" s="233">
        <v>2.1329452575283065</v>
      </c>
      <c r="AN35" s="233">
        <v>3.4078884591874026</v>
      </c>
      <c r="AP35" s="233">
        <v>3.9884421201266553</v>
      </c>
      <c r="AR35" s="233">
        <v>4.8962975158926936</v>
      </c>
      <c r="AT35" s="233">
        <v>6.5511243558388532</v>
      </c>
      <c r="AV35" s="233">
        <v>10.748105177254782</v>
      </c>
    </row>
    <row r="36" spans="1:49 16319:16321" x14ac:dyDescent="0.2">
      <c r="A36" t="s">
        <v>21</v>
      </c>
      <c r="B36" s="37">
        <v>0.4719576767198812</v>
      </c>
      <c r="C36" s="38">
        <v>0.31738834428178975</v>
      </c>
      <c r="D36" s="37">
        <v>0.47196385939572388</v>
      </c>
      <c r="E36" s="38">
        <v>0.31843759708081382</v>
      </c>
      <c r="F36" s="37">
        <v>0.47196677435968809</v>
      </c>
      <c r="G36" s="38">
        <v>0.31954681235080168</v>
      </c>
      <c r="H36" s="37">
        <v>0.47196554439406757</v>
      </c>
      <c r="I36" s="38">
        <v>0.32071760610021038</v>
      </c>
      <c r="J36" s="37">
        <v>0.4719590740328411</v>
      </c>
      <c r="K36" s="38">
        <v>0.3219503963040487</v>
      </c>
      <c r="L36" s="37">
        <v>0.47194603039366601</v>
      </c>
      <c r="M36" s="38">
        <v>0.32324401501658445</v>
      </c>
      <c r="N36" s="37">
        <v>0.47192481105717399</v>
      </c>
      <c r="O36" s="38">
        <v>0.32459495548053674</v>
      </c>
      <c r="P36" s="37">
        <v>0.47189358642391305</v>
      </c>
      <c r="Q36" s="38">
        <v>0.32599678654400926</v>
      </c>
      <c r="R36" s="37">
        <v>0.47185044719144958</v>
      </c>
      <c r="S36" s="38">
        <v>0.32743959681206425</v>
      </c>
      <c r="T36" s="37">
        <v>0.47179382200233111</v>
      </c>
      <c r="U36" s="38">
        <v>0.32891015490494196</v>
      </c>
      <c r="V36" s="37">
        <v>0.47172344184857007</v>
      </c>
      <c r="W36" s="38">
        <v>0.33039373599049882</v>
      </c>
      <c r="X36" s="37">
        <v>0.47164239586866286</v>
      </c>
      <c r="Y36" s="38">
        <v>0.33187979184909078</v>
      </c>
      <c r="Z36" s="37">
        <v>0.47156123908408359</v>
      </c>
      <c r="AA36" s="38">
        <v>0.33337531506505585</v>
      </c>
      <c r="AB36" s="37">
        <v>0.47150570541981729</v>
      </c>
      <c r="AC36" s="38">
        <v>0.33493237842683443</v>
      </c>
      <c r="AD36" s="37">
        <v>0.47153040543569213</v>
      </c>
      <c r="AE36" s="38">
        <v>0.33669981886014366</v>
      </c>
      <c r="AF36" s="37">
        <v>0.47174347586124299</v>
      </c>
      <c r="AG36" s="38">
        <v>0.33901701856195021</v>
      </c>
      <c r="AH36" s="37">
        <v>0.47236113014747366</v>
      </c>
      <c r="AI36" s="38">
        <v>0.34260798882270793</v>
      </c>
      <c r="AJ36" s="37">
        <v>0.47387328476421353</v>
      </c>
      <c r="AK36" s="38">
        <v>0.34910882593715237</v>
      </c>
      <c r="AL36" s="37">
        <v>0.47762096761907014</v>
      </c>
      <c r="AM36" s="38">
        <v>0.36265136033506301</v>
      </c>
      <c r="AN36" s="37">
        <v>0.48843272455053954</v>
      </c>
      <c r="AO36" s="38">
        <v>0.39543154991531282</v>
      </c>
      <c r="AP36" s="37">
        <v>0.49305634882006505</v>
      </c>
      <c r="AQ36" s="38">
        <v>0.40771597469519993</v>
      </c>
      <c r="AR36" s="37">
        <v>0.49987396156131736</v>
      </c>
      <c r="AS36" s="38">
        <v>0.42448389120479663</v>
      </c>
      <c r="AT36" s="37">
        <v>0.51122017997647318</v>
      </c>
      <c r="AU36" s="38">
        <v>0.44967918977584648</v>
      </c>
      <c r="AV36" s="37">
        <v>0.53577029734131054</v>
      </c>
      <c r="AW36" s="38">
        <v>0.49651250461252866</v>
      </c>
    </row>
    <row r="37" spans="1:49 16319:16321" x14ac:dyDescent="0.2">
      <c r="B37" s="39">
        <v>2.1403217525954435E-2</v>
      </c>
      <c r="C37" s="40">
        <v>0.34962461301992531</v>
      </c>
      <c r="D37" s="39">
        <v>2.0843069964644384E-2</v>
      </c>
      <c r="E37" s="40">
        <v>0.34688225592566374</v>
      </c>
      <c r="F37" s="39">
        <v>2.0283274174758299E-2</v>
      </c>
      <c r="G37" s="40">
        <v>0.34413598448452193</v>
      </c>
      <c r="H37" s="39">
        <v>1.9725253301945168E-2</v>
      </c>
      <c r="I37" s="40">
        <v>0.34139352773029397</v>
      </c>
      <c r="J37" s="39">
        <v>1.9170818429965791E-2</v>
      </c>
      <c r="K37" s="40">
        <v>0.3386646633666337</v>
      </c>
      <c r="L37" s="39">
        <v>1.8622174203865631E-2</v>
      </c>
      <c r="M37" s="40">
        <v>0.3359612442022078</v>
      </c>
      <c r="N37" s="39">
        <v>1.8082032304130174E-2</v>
      </c>
      <c r="O37" s="40">
        <v>0.33329774758642844</v>
      </c>
      <c r="P37" s="39">
        <v>1.7553602199718115E-2</v>
      </c>
      <c r="Q37" s="40">
        <v>0.3306911944106507</v>
      </c>
      <c r="R37" s="39">
        <v>1.7040554323571436E-2</v>
      </c>
      <c r="S37" s="40">
        <v>0.32816089965726303</v>
      </c>
      <c r="T37" s="39">
        <v>1.6546769495453029E-2</v>
      </c>
      <c r="U37" s="40">
        <v>0.32572711186198899</v>
      </c>
      <c r="V37" s="39">
        <v>1.6075711827780999E-2</v>
      </c>
      <c r="W37" s="40">
        <v>0.32340770735656588</v>
      </c>
      <c r="X37" s="39">
        <v>1.5629019651587611E-2</v>
      </c>
      <c r="Y37" s="40">
        <v>0.32121088605603132</v>
      </c>
      <c r="Z37" s="39">
        <v>1.5203669240967044E-2</v>
      </c>
      <c r="AA37" s="40">
        <v>0.31912060899287137</v>
      </c>
      <c r="AB37" s="39">
        <v>1.4786735759230075E-2</v>
      </c>
      <c r="AC37" s="40">
        <v>0.31706988490214744</v>
      </c>
      <c r="AD37" s="39">
        <v>1.4346691073411072E-2</v>
      </c>
      <c r="AE37" s="40">
        <v>0.314896723465108</v>
      </c>
      <c r="AF37" s="39">
        <v>1.3820631689828083E-2</v>
      </c>
      <c r="AG37" s="40">
        <v>0.31228034523235343</v>
      </c>
      <c r="AH37" s="39">
        <v>1.3096152537324508E-2</v>
      </c>
      <c r="AI37" s="40">
        <v>0.3086535835607741</v>
      </c>
      <c r="AJ37" s="39">
        <v>1.1982558373004874E-2</v>
      </c>
      <c r="AK37" s="40">
        <v>0.3030755259358901</v>
      </c>
      <c r="AL37" s="39">
        <v>1.0197938155672912E-2</v>
      </c>
      <c r="AM37" s="40">
        <v>0.29425116201616386</v>
      </c>
      <c r="AN37" s="39">
        <v>7.4940857957816543E-3</v>
      </c>
      <c r="AO37" s="40">
        <v>0.28150638728098193</v>
      </c>
      <c r="AP37" s="39">
        <v>6.8119200018768207E-3</v>
      </c>
      <c r="AQ37" s="40">
        <v>0.27848469734075482</v>
      </c>
      <c r="AR37" s="39">
        <v>6.0556083112660829E-3</v>
      </c>
      <c r="AS37" s="40">
        <v>0.27526402465585315</v>
      </c>
      <c r="AT37" s="39">
        <v>5.1858024383329409E-3</v>
      </c>
      <c r="AU37" s="40">
        <v>0.27176614747881728</v>
      </c>
      <c r="AV37" s="39">
        <v>4.0917240082771721E-3</v>
      </c>
      <c r="AW37" s="40">
        <v>0.26776751295506884</v>
      </c>
    </row>
    <row r="38" spans="1:49 16319:16321" x14ac:dyDescent="0.2">
      <c r="A38" t="s">
        <v>22</v>
      </c>
      <c r="B38" s="37">
        <v>0.18079094942242827</v>
      </c>
      <c r="C38" s="38">
        <v>6.0565413429233668E-2</v>
      </c>
      <c r="D38" s="37">
        <v>0.18110871103187273</v>
      </c>
      <c r="E38" s="38">
        <v>6.0939508353609943E-2</v>
      </c>
      <c r="F38" s="37">
        <v>0.18144856584967969</v>
      </c>
      <c r="G38" s="38">
        <v>6.1336146106675066E-2</v>
      </c>
      <c r="H38" s="37">
        <v>0.18181217213358111</v>
      </c>
      <c r="I38" s="38">
        <v>6.1756268259106982E-2</v>
      </c>
      <c r="J38" s="37">
        <v>0.18220110925258703</v>
      </c>
      <c r="K38" s="38">
        <v>6.2200418159149347E-2</v>
      </c>
      <c r="L38" s="37">
        <v>0.18261680458042498</v>
      </c>
      <c r="M38" s="38">
        <v>6.2668735496446734E-2</v>
      </c>
      <c r="N38" s="37">
        <v>0.18306032781840256</v>
      </c>
      <c r="O38" s="38">
        <v>6.3160557420780264E-2</v>
      </c>
      <c r="P38" s="37">
        <v>0.18353217470195973</v>
      </c>
      <c r="Q38" s="38">
        <v>6.3674295818788043E-2</v>
      </c>
      <c r="R38" s="37">
        <v>0.18403191985531325</v>
      </c>
      <c r="S38" s="38">
        <v>6.420717140846359E-2</v>
      </c>
      <c r="T38" s="37">
        <v>0.18455779007553508</v>
      </c>
      <c r="U38" s="38">
        <v>6.4755075384717947E-2</v>
      </c>
      <c r="V38" s="37">
        <v>0.18510613203491616</v>
      </c>
      <c r="W38" s="38">
        <v>6.5313037443629693E-2</v>
      </c>
      <c r="X38" s="37">
        <v>0.18567087171916044</v>
      </c>
      <c r="Y38" s="38">
        <v>6.5876608669754186E-2</v>
      </c>
      <c r="Z38" s="37">
        <v>0.18624312663348477</v>
      </c>
      <c r="AA38" s="38">
        <v>6.6445491543572988E-2</v>
      </c>
      <c r="AB38" s="37">
        <v>0.18681135174672706</v>
      </c>
      <c r="AC38" s="38">
        <v>6.7031415226020408E-2</v>
      </c>
      <c r="AD38" s="37">
        <v>0.18736268217288196</v>
      </c>
      <c r="AE38" s="38">
        <v>6.7673064159182228E-2</v>
      </c>
      <c r="AF38" s="37">
        <v>0.18788607930726675</v>
      </c>
      <c r="AG38" s="38">
        <v>6.8463289428008403E-2</v>
      </c>
      <c r="AH38" s="37">
        <v>0.1883763354105609</v>
      </c>
      <c r="AI38" s="38">
        <v>6.960438828113856E-2</v>
      </c>
      <c r="AJ38" s="37">
        <v>0.18883136713474011</v>
      </c>
      <c r="AK38" s="38">
        <v>7.1553052104171191E-2</v>
      </c>
      <c r="AL38" s="37">
        <v>0.18919860599240004</v>
      </c>
      <c r="AM38" s="38">
        <v>7.5433588476660318E-2</v>
      </c>
      <c r="AN38" s="37">
        <v>0.18896995924148965</v>
      </c>
      <c r="AO38" s="38">
        <v>8.4346177778208922E-2</v>
      </c>
      <c r="AP38" s="37">
        <v>0.18863968291623742</v>
      </c>
      <c r="AQ38" s="38">
        <v>8.7540580640557641E-2</v>
      </c>
      <c r="AR38" s="37">
        <v>0.18803823069662112</v>
      </c>
      <c r="AS38" s="38">
        <v>9.1777556066908128E-2</v>
      </c>
      <c r="AT38" s="37">
        <v>0.18690799245165909</v>
      </c>
      <c r="AU38" s="38">
        <v>9.7883988647575443E-2</v>
      </c>
      <c r="AV38" s="37">
        <v>0.18454130113526188</v>
      </c>
      <c r="AW38" s="38">
        <v>0.10846778687934017</v>
      </c>
    </row>
    <row r="39" spans="1:49 16319:16321" x14ac:dyDescent="0.2">
      <c r="A39" t="s">
        <v>23</v>
      </c>
      <c r="B39" s="39">
        <v>0.23064923795098646</v>
      </c>
      <c r="C39" s="40">
        <v>0.22092201281804777</v>
      </c>
      <c r="D39" s="39">
        <v>0.23075949720660832</v>
      </c>
      <c r="E39" s="40">
        <v>0.22214457472274884</v>
      </c>
      <c r="F39" s="39">
        <v>0.23087471734592518</v>
      </c>
      <c r="G39" s="40">
        <v>0.22343675096523249</v>
      </c>
      <c r="H39" s="39">
        <v>0.23099480401402533</v>
      </c>
      <c r="I39" s="40">
        <v>0.22480051012026842</v>
      </c>
      <c r="J39" s="39">
        <v>0.23111949323622671</v>
      </c>
      <c r="K39" s="40">
        <v>0.22623656011084248</v>
      </c>
      <c r="L39" s="39">
        <v>0.23124828538799039</v>
      </c>
      <c r="M39" s="40">
        <v>0.22774372699554069</v>
      </c>
      <c r="N39" s="39">
        <v>0.23138037907100822</v>
      </c>
      <c r="O39" s="40">
        <v>0.22931828953177338</v>
      </c>
      <c r="P39" s="39">
        <v>0.23151461122356459</v>
      </c>
      <c r="Q39" s="40">
        <v>0.23095315235382521</v>
      </c>
      <c r="R39" s="39">
        <v>0.23164945146216159</v>
      </c>
      <c r="S39" s="40">
        <v>0.23263720499269563</v>
      </c>
      <c r="T39" s="39">
        <v>0.23178314013262333</v>
      </c>
      <c r="U39" s="40">
        <v>0.23435552982444097</v>
      </c>
      <c r="V39" s="39">
        <v>0.23191417513818291</v>
      </c>
      <c r="W39" s="40">
        <v>0.23609121910327835</v>
      </c>
      <c r="X39" s="39">
        <v>0.2320425275214098</v>
      </c>
      <c r="Y39" s="40">
        <v>0.23783170572293688</v>
      </c>
      <c r="Z39" s="39">
        <v>0.23217230196678612</v>
      </c>
      <c r="AA39" s="40">
        <v>0.23958366140487103</v>
      </c>
      <c r="AB39" s="39">
        <v>0.23231701364175331</v>
      </c>
      <c r="AC39" s="40">
        <v>0.24140369279296731</v>
      </c>
      <c r="AD39" s="39">
        <v>0.23250928891686828</v>
      </c>
      <c r="AE39" s="40">
        <v>0.24345633108247519</v>
      </c>
      <c r="AF39" s="39">
        <v>0.23281848795632876</v>
      </c>
      <c r="AG39" s="40">
        <v>0.24611936027068201</v>
      </c>
      <c r="AH39" s="39">
        <v>0.23338854450356633</v>
      </c>
      <c r="AI39" s="40">
        <v>0.25020145798655091</v>
      </c>
      <c r="AJ39" s="39">
        <v>0.2345474387067438</v>
      </c>
      <c r="AK39" s="40">
        <v>0.25753306547776061</v>
      </c>
      <c r="AL39" s="39">
        <v>0.23717055398254683</v>
      </c>
      <c r="AM39" s="40">
        <v>0.27274875928437947</v>
      </c>
      <c r="AN39" s="39">
        <v>0.24423836552948586</v>
      </c>
      <c r="AO39" s="40">
        <v>0.30967245537961213</v>
      </c>
      <c r="AP39" s="39">
        <v>0.2471409971555453</v>
      </c>
      <c r="AQ39" s="40">
        <v>0.32358762141348302</v>
      </c>
      <c r="AR39" s="39">
        <v>0.25133327257235044</v>
      </c>
      <c r="AS39" s="40">
        <v>0.34266123350044986</v>
      </c>
      <c r="AT39" s="39">
        <v>0.25813894808957705</v>
      </c>
      <c r="AU39" s="40">
        <v>0.37149344857583178</v>
      </c>
      <c r="AV39" s="39">
        <v>0.27240467754040243</v>
      </c>
      <c r="AW39" s="40">
        <v>0.4255864929985973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0.11603870964617967</v>
      </c>
      <c r="E42" s="135"/>
      <c r="F42" s="177">
        <f>10.8%+(1-10.8%)*(1-SUM(F26:G26)/SUM($B$26:$C$26))</f>
        <v>0.1252563964437908</v>
      </c>
      <c r="G42" s="135"/>
      <c r="H42" s="177">
        <f>10.8%+(1-10.8%)*(1-SUM(H26:I26)/SUM($B$26:$C$26))</f>
        <v>0.13588320446891297</v>
      </c>
      <c r="I42" s="135"/>
      <c r="J42" s="177">
        <f>10.8%+(1-10.8%)*(1-SUM(J26:K26)/SUM($B$26:$C$26))</f>
        <v>0.14820075002012537</v>
      </c>
      <c r="K42" s="135"/>
      <c r="L42" s="177">
        <f>10.8%+(1-10.8%)*(1-SUM(L26:M26)/SUM($B$26:$C$26))</f>
        <v>0.16254832553378143</v>
      </c>
      <c r="M42" s="135"/>
      <c r="N42" s="177">
        <f>10.8%+(1-10.8%)*(1-SUM(N26:O26)/SUM($B$26:$C$26))</f>
        <v>0.17933359446222352</v>
      </c>
      <c r="O42" s="135"/>
      <c r="P42" s="177">
        <f>10.8%+(1-10.8%)*(1-SUM(P26:Q26)/SUM($B$26:$C$26))</f>
        <v>0.19903507894291611</v>
      </c>
      <c r="Q42" s="135"/>
      <c r="R42" s="177">
        <f>10.8%+(1-10.8%)*(1-SUM(R26:S26)/SUM($B$26:$C$26))</f>
        <v>0.22219813598000887</v>
      </c>
      <c r="S42" s="135"/>
      <c r="T42" s="177">
        <f>10.8%+(1-10.8%)*(1-SUM(T26:U26)/SUM($B$26:$C$26))</f>
        <v>0.2494121125699271</v>
      </c>
      <c r="U42" s="135"/>
      <c r="V42" s="177">
        <f>10.8%+(1-10.8%)*(1-SUM(V26:W26)/SUM($B$26:$C$26))</f>
        <v>0.281256661760449</v>
      </c>
      <c r="W42" s="135"/>
      <c r="X42" s="177">
        <f>10.8%+(1-10.8%)*(1-SUM(X26:Y26)/SUM($B$26:$C$26))</f>
        <v>0.31820160503868877</v>
      </c>
      <c r="Y42" s="162"/>
      <c r="Z42" s="177">
        <f>10.8%+(1-10.8%)*(1-SUM(Z26:AA26)/SUM($B$26:$C$26))</f>
        <v>0.36045126310675124</v>
      </c>
      <c r="AA42" s="135"/>
      <c r="AB42" s="177">
        <f>10.8%+(1-10.8%)*(1-SUM(AB26:AC26)/SUM($B$26:$C$26))</f>
        <v>0.40775570850921616</v>
      </c>
      <c r="AC42" s="135"/>
      <c r="AD42" s="177">
        <f>10.8%+(1-10.8%)*(1-SUM(AD26:AE26)/SUM($B$26:$C$26))</f>
        <v>0.45929084495934802</v>
      </c>
      <c r="AE42" s="135"/>
      <c r="AF42" s="177">
        <f>10.8%+(1-10.8%)*(1-SUM(AF26:AG26)/SUM($B$26:$C$26))</f>
        <v>0.51382682031185234</v>
      </c>
      <c r="AG42" s="135"/>
      <c r="AH42" s="177">
        <f>10.8%+(1-10.8%)*(1-SUM(AH26:AI26)/SUM($B$26:$C$26))</f>
        <v>0.57044812386113275</v>
      </c>
      <c r="AI42" s="135"/>
      <c r="AJ42" s="177">
        <f>10.8%+(1-10.8%)*(1-SUM(AJ26:AK26)/SUM($B$26:$C$26))</f>
        <v>0.62995765569287265</v>
      </c>
      <c r="AK42" s="135"/>
      <c r="AL42" s="177">
        <f>10.8%+(1-10.8%)*(1-SUM(AL26:AM26)/SUM($B$26:$C$26))</f>
        <v>0.69714877407037124</v>
      </c>
      <c r="AM42" s="135"/>
      <c r="AN42" s="177">
        <f>10.8%+(1-10.8%)*(1-SUM(AN26:AO26)/SUM($B$26:$C$26))</f>
        <v>0.78697611901949582</v>
      </c>
      <c r="AO42" s="135"/>
      <c r="AP42" s="177">
        <f>10.8%+(1-10.8%)*(1-SUM(AP26:AQ26)/SUM($B$26:$C$26))</f>
        <v>0.81128614173155444</v>
      </c>
      <c r="AQ42" s="135"/>
      <c r="AR42" s="177">
        <f>10.8%+(1-10.8%)*(1-SUM(AR26:AS26)/SUM($B$26:$C$26))</f>
        <v>0.83973379939679604</v>
      </c>
      <c r="AS42" s="135"/>
      <c r="AT42" s="177">
        <f>10.8%+(1-10.8%)*(1-SUM(AT26:AU26)/SUM($B$26:$C$26))</f>
        <v>0.87444510646059359</v>
      </c>
      <c r="AU42" s="135"/>
      <c r="AV42" s="177">
        <f>10.8%+(1-10.8%)*(1-SUM(AV26:AW26)/SUM($B$26:$C$26))</f>
        <v>0.92004155626179318</v>
      </c>
    </row>
    <row r="43" spans="1:49 16319:16321" x14ac:dyDescent="0.2">
      <c r="A43" t="s">
        <v>108</v>
      </c>
      <c r="B43" s="162">
        <f>SUM(B15:C15*B27:C27)/SUM(B15:C15*B27:C27,B13:C13*B26:C26)</f>
        <v>0.56058995943839085</v>
      </c>
      <c r="C43" s="135"/>
      <c r="D43" s="162">
        <f t="array" ref="D43">SUM(D15:E15*D27:E27)/SUM(D15:E15*D27:E27,D13:E13*D26:E26)</f>
        <v>0.56759777050542803</v>
      </c>
      <c r="E43" s="135"/>
      <c r="F43" s="162">
        <f t="array" ref="F43">SUM(F15:G15*F27:G27)/SUM(F15:G15*F27:G27,F13:G13*F26:G26)</f>
        <v>0.56805052591544158</v>
      </c>
      <c r="G43" s="135"/>
      <c r="H43" s="162">
        <f t="array" ref="H43">SUM(H15:I15*H27:I27)/SUM(H15:I15*H27:I27,H13:I13*H26:I26)</f>
        <v>0.56856406157599482</v>
      </c>
      <c r="I43" s="135"/>
      <c r="J43" s="162">
        <f t="array" ref="J43">SUM(J15:K15*J27:K27)/SUM(J15:K15*J27:K27,J13:K13*J26:K26)</f>
        <v>0.56914387349067996</v>
      </c>
      <c r="K43" s="135"/>
      <c r="L43" s="162">
        <f t="array" ref="L43">SUM(L15:M15*L27:M27)/SUM(L15:M15*L27:M27,L13:M13*L26:M26)</f>
        <v>0.56979540233132964</v>
      </c>
      <c r="M43" s="135"/>
      <c r="N43" s="162">
        <f t="array" ref="N43">SUM(N15:O15*N27:O27)/SUM(N15:O15*N27:O27,N13:O13*N26:O26)</f>
        <v>0.5705237108652792</v>
      </c>
      <c r="O43" s="135"/>
      <c r="P43" s="162">
        <f t="array" ref="P43">SUM(P15:Q15*P27:Q27)/SUM(P15:Q15*P27:Q27,P13:Q13*P26:Q26)</f>
        <v>0.57133275178974163</v>
      </c>
      <c r="Q43" s="135"/>
      <c r="R43" s="162">
        <f t="array" ref="R43">SUM(R15:S15*R27:S27)/SUM(R15:S15*R27:S27,R13:S13*R26:S26)</f>
        <v>0.57222421961125236</v>
      </c>
      <c r="S43" s="135"/>
      <c r="T43" s="162">
        <f t="array" ref="T43">SUM(T15:U15*T27:U27)/SUM(T15:U15*T27:U27,T13:U13*T26:U26)</f>
        <v>0.57319560792985635</v>
      </c>
      <c r="U43" s="135"/>
      <c r="V43" s="162">
        <f t="array" ref="V43">SUM(V15:W15*V27:W27)/SUM(V15:W15*V27:W27,V13:W13*V26:W26)</f>
        <v>0.57423690911654257</v>
      </c>
      <c r="W43" s="135"/>
      <c r="X43" s="162">
        <f t="array" ref="X43">SUM(X15:Y15*X27:Y27)/SUM(X15:Y15*X27:Y27,X13:Y13*X26:Y26)</f>
        <v>0.57532520081158534</v>
      </c>
      <c r="Y43" s="135"/>
      <c r="Z43" s="162">
        <f t="array" ref="Z43">SUM(Z15:AA15*Z27:AA27)/SUM(Z15:AA15*Z27:AA27,Z13:AA13*Z26:AA26)</f>
        <v>0.5764158665420237</v>
      </c>
      <c r="AA43" s="135"/>
      <c r="AB43" s="162">
        <f t="array" ref="AB43">SUM(AB15:AC15*AB27:AC27)/SUM(AB15:AC15*AB27:AC27,AB13:AC13*AB26:AC26)</f>
        <v>0.57742910779186352</v>
      </c>
      <c r="AC43" s="135"/>
      <c r="AD43" s="162">
        <f t="array" ref="AD43">SUM(AD15:AE15*AD27:AE27)/SUM(AD15:AE15*AD27:AE27,AD13:AE13*AD26:AE26)</f>
        <v>0.57823088529884237</v>
      </c>
      <c r="AE43" s="135"/>
      <c r="AF43" s="162">
        <f t="array" ref="AF43">SUM(AF15:AG15*AF27:AG27)/SUM(AF15:AG15*AF27:AG27,AF13:AG13*AF26:AG26)</f>
        <v>0.57860563053120628</v>
      </c>
      <c r="AG43" s="135"/>
      <c r="AH43" s="162">
        <f t="array" ref="AH43">SUM(AH15:AI15*AH27:AI27)/SUM(AH15:AI15*AH27:AI27,AH13:AI13*AH26:AI26)</f>
        <v>0.57819597564107028</v>
      </c>
      <c r="AI43" s="135"/>
      <c r="AJ43" s="162">
        <f t="array" ref="AJ43">SUM(AJ15:AK15*AJ27:AK27)/SUM(AJ15:AK15*AJ27:AK27,AJ13:AK13*AJ26:AK26)</f>
        <v>0.57627240013056602</v>
      </c>
      <c r="AK43" s="135"/>
      <c r="AL43" s="162">
        <f t="array" ref="AL43">SUM(AL15:AM15*AL27:AM27)/SUM(AL15:AM15*AL27:AM27,AL13:AM13*AL26:AM26)</f>
        <v>0.57073546816459808</v>
      </c>
      <c r="AM43" s="135"/>
      <c r="AN43" s="162">
        <f t="array" ref="AN43">SUM(AN15:AO15*AN27:AO27)/SUM(AN15:AO15*AN27:AO27,AN13:AO13*AN26:AO26)</f>
        <v>0.55310686336587467</v>
      </c>
      <c r="AO43" s="135"/>
      <c r="AP43" s="162">
        <f t="array" ref="AP43">SUM(AP15:AQ15*AP27:AQ27)/SUM(AP15:AQ15*AP27:AQ27,AP13:AQ13*AP26:AQ26)</f>
        <v>0.54527007229345814</v>
      </c>
      <c r="AQ43" s="135"/>
      <c r="AR43" s="162">
        <f t="array" ref="AR43">SUM(AR15:AS15*AR27:AS27)/SUM(AR15:AS15*AR27:AS27,AR13:AS13*AR26:AS26)</f>
        <v>0.53366788717023961</v>
      </c>
      <c r="AS43" s="135"/>
      <c r="AT43" s="162">
        <f t="array" ref="AT43">SUM(AT15:AU15*AT27:AU27)/SUM(AT15:AU15*AT27:AU27,AT13:AU13*AT26:AU26)</f>
        <v>0.51461223005684076</v>
      </c>
      <c r="AU43" s="135"/>
      <c r="AV43" s="162">
        <f t="array" ref="AV43">SUM(AV15:AW15*AV27:AW27)/SUM(AV15:AW15*AV27:AW27,AV13:AW13*AV26:AW26)</f>
        <v>0.47582378527403463</v>
      </c>
    </row>
    <row r="44" spans="1:49 16319:16321" x14ac:dyDescent="0.2">
      <c r="A44" t="s">
        <v>142</v>
      </c>
      <c r="B44" s="193">
        <f>(SUM(B11:C11*B24:C24)+B34)/B32</f>
        <v>0.29754226190682465</v>
      </c>
      <c r="D44" s="193">
        <f>(SUM(D11:E11*D24:E24)+D34)/D32</f>
        <v>0.29914576869392356</v>
      </c>
      <c r="F44" s="193">
        <f>(SUM(F11:G11*F24:G24)+F34)/F32</f>
        <v>0.30075631073703962</v>
      </c>
      <c r="H44" s="193">
        <f>(SUM(H11:I11*H24:I24)+H34)/H32</f>
        <v>0.30237219800772208</v>
      </c>
      <c r="J44" s="193">
        <f>(SUM(J11:K11*J24:K24)+J34)/J32</f>
        <v>0.30399076687881088</v>
      </c>
      <c r="L44" s="193">
        <f>(SUM(L11:M11*L24:M24)+L34)/L32</f>
        <v>0.30560860155323732</v>
      </c>
      <c r="N44" s="193">
        <f>(SUM(N11:O11*N24:O24)+N34)/N32</f>
        <v>0.30722103249574784</v>
      </c>
      <c r="P44" s="193">
        <f>(SUM(P11:Q11*P24:Q24)+P34)/P32</f>
        <v>0.30882252480298533</v>
      </c>
      <c r="R44" s="193">
        <f>(SUM(R11:S11*R24:S24)+R34)/R32</f>
        <v>0.31040699822083678</v>
      </c>
      <c r="T44" s="193">
        <f>(SUM(T11:U11*T24:U24)+T34)/T32</f>
        <v>0.31196941520782595</v>
      </c>
      <c r="V44" s="193">
        <f>(SUM(V11:W11*V24:W24)+V34)/V32</f>
        <v>0.31350894202915286</v>
      </c>
      <c r="X44" s="193">
        <f>(SUM(X11:Y11*X24:Y24)+X34)/X32</f>
        <v>0.3150363058608377</v>
      </c>
      <c r="Z44" s="193">
        <f>(SUM(Z11:AA11*Z24:AA24)+Z34)/Z32</f>
        <v>0.31658783832194454</v>
      </c>
      <c r="AB44" s="193">
        <f>(SUM(AB11:AC11*AB24:AC24)+AB34)/AB32</f>
        <v>0.31825213100428534</v>
      </c>
      <c r="AD44" s="193">
        <f>(SUM(AD11:AE11*AD24:AE24)+AD34)/AD32</f>
        <v>0.32021676006312511</v>
      </c>
      <c r="AF44" s="193">
        <f>(SUM(AF11:AG11*AF24:AG24)+AF34)/AF32</f>
        <v>0.32284979294553168</v>
      </c>
      <c r="AH44" s="193">
        <f>(SUM(AH11:AI11*AH24:AI24)+AH34)/AH32</f>
        <v>0.3268646004381956</v>
      </c>
      <c r="AJ44" s="193">
        <f>(SUM(AJ11:AK11*AJ24:AK24)+AJ34)/AJ32</f>
        <v>0.33373251509157936</v>
      </c>
      <c r="AL44" s="193">
        <f>(SUM(AL11:AM11*AL24:AM24)+AL34)/AL32</f>
        <v>0.34655065024997223</v>
      </c>
      <c r="AN44" s="193">
        <f>(SUM(AN11:AO11*AN24:AO24)+AN34)/AN32</f>
        <v>0.37186415679243012</v>
      </c>
      <c r="AP44" s="193">
        <f>(SUM(AP11:AQ11*AP24:AQ24)+AP34)/AP32</f>
        <v>0.38013537408535736</v>
      </c>
      <c r="AR44" s="193">
        <f>(SUM(AR11:AS11*AR24:AS24)+AR34)/AR32</f>
        <v>0.39081149301826484</v>
      </c>
      <c r="AT44" s="193">
        <f>(SUM(AT11:AU11*AT24:AU24)+AT34)/AT32</f>
        <v>0.40588634522061495</v>
      </c>
      <c r="AV44" s="193">
        <f>(SUM(AV11:AW11*AV24:AW24)+AV34)/AV32</f>
        <v>0.43159836162748638</v>
      </c>
    </row>
    <row r="45" spans="1:49 16319:16321" x14ac:dyDescent="0.2">
      <c r="A45" t="s">
        <v>82</v>
      </c>
      <c r="B45" s="193">
        <f>SUM(B11:C11*B24:C24)/B32</f>
        <v>0.22038438833194082</v>
      </c>
      <c r="D45" s="193">
        <f>SUM(D11:E11*D24:E24)/D32</f>
        <v>0.22238328113923306</v>
      </c>
      <c r="F45" s="193">
        <f>SUM(F11:G11*F24:G24)/F32</f>
        <v>0.22475952315093728</v>
      </c>
      <c r="H45" s="193">
        <f>SUM(H11:I11*H24:I24)/H32</f>
        <v>0.22760015825692426</v>
      </c>
      <c r="J45" s="193">
        <f>SUM(J11:K11*J24:K24)/J32</f>
        <v>0.23101828917296016</v>
      </c>
      <c r="L45" s="193">
        <f>SUM(L11:M11*L24:M24)/L32</f>
        <v>0.23516111318773691</v>
      </c>
      <c r="N45" s="193">
        <f>SUM(N11:O11*N24:O24)/N32</f>
        <v>0.24022284766428381</v>
      </c>
      <c r="P45" s="193">
        <f>SUM(P11:Q11*P24:Q24)/P32</f>
        <v>0.24646070704273462</v>
      </c>
      <c r="R45" s="193">
        <f>SUM(R11:S11*R24:S24)/R32</f>
        <v>0.25421728260772414</v>
      </c>
      <c r="T45" s="193">
        <f>SUM(T11:U11*T24:U24)/T32</f>
        <v>0.26394915364250005</v>
      </c>
      <c r="V45" s="193">
        <f>SUM(V11:W11*V24:W24)/V32</f>
        <v>0.27626144618157927</v>
      </c>
      <c r="X45" s="193">
        <f>SUM(X11:Y11*X24:Y24)/X32</f>
        <v>0.29194367941507626</v>
      </c>
      <c r="Z45" s="193">
        <f>SUM(Z11:AA11*Z24:AA24)/Z32</f>
        <v>0.31199375866912815</v>
      </c>
      <c r="AB45" s="193">
        <f>SUM(AB11:AC11*AB24:AC24)/AB32</f>
        <v>0.33760543322808167</v>
      </c>
      <c r="AD45" s="193">
        <f>SUM(AD11:AE11*AD24:AE24)/AD32</f>
        <v>0.37009966140154305</v>
      </c>
      <c r="AF45" s="193">
        <f>SUM(AF11:AG11*AF24:AG24)/AF32</f>
        <v>0.41086068197542502</v>
      </c>
      <c r="AH45" s="193">
        <f>SUM(AH11:AI11*AH24:AI24)/AH32</f>
        <v>0.4615717406130731</v>
      </c>
      <c r="AJ45" s="193">
        <f>SUM(AJ11:AK11*AJ24:AK24)/AJ32</f>
        <v>0.52549289910774033</v>
      </c>
      <c r="AL45" s="193">
        <f>SUM(AL11:AM11*AL24:AM24)/AL32</f>
        <v>0.61245333470938401</v>
      </c>
      <c r="AN45" s="193">
        <f>SUM(AN11:AO11*AN24:AO24)/AN32</f>
        <v>0.76996507929058911</v>
      </c>
      <c r="AP45" s="193">
        <f>SUM(AP11:AQ11*AP24:AQ24)/AP32</f>
        <v>0.82782023268221494</v>
      </c>
      <c r="AR45" s="193">
        <f>SUM(AR11:AS11*AR24:AS24)/AR32</f>
        <v>0.90962085836019546</v>
      </c>
      <c r="AT45" s="193">
        <f>SUM(AT11:AU11*AT24:AU24)/AT32</f>
        <v>1.0406602410807022</v>
      </c>
      <c r="AV45" s="193">
        <f>SUM(AV11:AW11*AV24:AW24)/AV32</f>
        <v>1.3142136236499662</v>
      </c>
      <c r="XCQ45" s="193"/>
    </row>
    <row r="46" spans="1:49 16319:16321" x14ac:dyDescent="0.2">
      <c r="A46" t="s">
        <v>139</v>
      </c>
      <c r="B46" s="193">
        <f>B34/B32</f>
        <v>7.7157873574883795E-2</v>
      </c>
      <c r="D46" s="193">
        <f>D34/D32</f>
        <v>7.6762487554690506E-2</v>
      </c>
      <c r="F46" s="193">
        <f>F34/F32</f>
        <v>7.5996787586102343E-2</v>
      </c>
      <c r="H46" s="193">
        <f>H34/H32</f>
        <v>7.4772039750797881E-2</v>
      </c>
      <c r="J46" s="193">
        <f>J34/J32</f>
        <v>7.2972477705850719E-2</v>
      </c>
      <c r="L46" s="193">
        <f>L34/L32</f>
        <v>7.044748836550041E-2</v>
      </c>
      <c r="N46" s="193">
        <f>N34/N32</f>
        <v>6.6998184831464025E-2</v>
      </c>
      <c r="P46" s="193">
        <f>P34/P32</f>
        <v>6.2361817760250682E-2</v>
      </c>
      <c r="R46" s="193">
        <f>R34/R32</f>
        <v>5.618971561311261E-2</v>
      </c>
      <c r="T46" s="193">
        <f>T34/T32</f>
        <v>4.8020261565325878E-2</v>
      </c>
      <c r="V46" s="193">
        <f>V34/V32</f>
        <v>3.7247495847573586E-2</v>
      </c>
      <c r="X46" s="193">
        <f>X34/X32</f>
        <v>2.3092626445761388E-2</v>
      </c>
      <c r="Z46" s="193">
        <f>Z34/Z32</f>
        <v>4.5940796528163652E-3</v>
      </c>
      <c r="AB46" s="193">
        <f>AB34/AB32</f>
        <v>-1.9353302223796311E-2</v>
      </c>
      <c r="AD46" s="193">
        <f>AD34/AD32</f>
        <v>-4.9882901338417954E-2</v>
      </c>
      <c r="AF46" s="193">
        <f>AF34/AF32</f>
        <v>-8.8010889029893347E-2</v>
      </c>
      <c r="AH46" s="193">
        <f>AH34/AH32</f>
        <v>-0.13470714017487756</v>
      </c>
      <c r="AJ46" s="193">
        <f>AJ34/AJ32</f>
        <v>-0.19176038401616091</v>
      </c>
      <c r="AL46" s="193">
        <f>AL34/AL32</f>
        <v>-0.26590268445941173</v>
      </c>
      <c r="AN46" s="193">
        <f>AN34/AN32</f>
        <v>-0.39810092249815898</v>
      </c>
      <c r="AP46" s="193">
        <f>AP34/AP32</f>
        <v>-0.44768485859685758</v>
      </c>
      <c r="AR46" s="193">
        <f>AR34/AR32</f>
        <v>-0.51880936534193067</v>
      </c>
      <c r="AT46" s="193">
        <f>AT34/AT32</f>
        <v>-0.63477389586008737</v>
      </c>
      <c r="AV46" s="193">
        <f>AV34/AV32</f>
        <v>-0.88261526202247975</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1</v>
      </c>
    </row>
    <row r="49" spans="1:48 16321:16384" x14ac:dyDescent="0.2">
      <c r="A49" t="s">
        <v>160</v>
      </c>
      <c r="B49" s="191">
        <f>B13/B35/$B$13*$B$35</f>
        <v>1</v>
      </c>
      <c r="C49" s="191"/>
      <c r="D49" s="191">
        <f>D13/D35/$B$13*$B$35</f>
        <v>0.99284647334456388</v>
      </c>
      <c r="E49" s="191"/>
      <c r="F49" s="191">
        <f>F13/F35/$B$13*$B$35</f>
        <v>0.98528638309625993</v>
      </c>
      <c r="G49" s="191"/>
      <c r="H49" s="191">
        <f>H13/H35/$B$13*$B$35</f>
        <v>0.97729529108587576</v>
      </c>
      <c r="I49" s="191"/>
      <c r="J49" s="191">
        <f>J13/J35/$B$13*$B$35</f>
        <v>0.9688519238792036</v>
      </c>
      <c r="K49" s="191"/>
      <c r="L49" s="191">
        <f>L13/L35/$B$13*$B$35</f>
        <v>0.95994010704375998</v>
      </c>
      <c r="M49" s="191"/>
      <c r="N49" s="191">
        <f>N13/N35/$B$13*$B$35</f>
        <v>0.95055274507082654</v>
      </c>
      <c r="O49" s="191"/>
      <c r="P49" s="191">
        <f>P13/P35/$B$13*$B$35</f>
        <v>0.94069625989070471</v>
      </c>
      <c r="Q49" s="191"/>
      <c r="R49" s="191">
        <f>R13/R35/$B$13*$B$35</f>
        <v>0.93039707997192689</v>
      </c>
      <c r="S49" s="191"/>
      <c r="T49" s="191">
        <f>T13/T35/$B$13*$B$35</f>
        <v>0.91970938998352059</v>
      </c>
      <c r="U49" s="191"/>
      <c r="V49" s="191">
        <f>V13/V35/$B$13*$B$35</f>
        <v>0.90872419343025224</v>
      </c>
      <c r="W49" s="191"/>
      <c r="X49" s="191">
        <f>X13/X35/$B$13*$B$35</f>
        <v>0.89757787558296076</v>
      </c>
      <c r="Y49" s="191"/>
      <c r="Z49" s="191">
        <f>Z13/Z35/$B$13*$B$35</f>
        <v>0.88645709547285056</v>
      </c>
      <c r="AA49" s="191"/>
      <c r="AB49" s="191">
        <f>AB13/AB35/$B$13*$B$35</f>
        <v>0.87559317952785232</v>
      </c>
      <c r="AC49" s="191"/>
      <c r="AD49" s="191">
        <f>AD13/AD35/$B$13*$B$35</f>
        <v>0.86523403905451401</v>
      </c>
      <c r="AE49" s="191"/>
      <c r="AF49" s="191">
        <f>AF13/AF35/$B$13*$B$35</f>
        <v>0.85558014760537171</v>
      </c>
      <c r="AG49" s="191"/>
      <c r="AH49" s="191">
        <f>AH13/AH35/$B$13*$B$35</f>
        <v>0.8466828441560269</v>
      </c>
      <c r="AI49" s="191"/>
      <c r="AJ49" s="191">
        <f>AJ13/AJ35/$B$13*$B$35</f>
        <v>0.83832272717563228</v>
      </c>
      <c r="AK49" s="191"/>
      <c r="AL49" s="191">
        <f>AL13/AL35/$B$13*$B$35</f>
        <v>0.82986954774977295</v>
      </c>
      <c r="AM49" s="191"/>
      <c r="AN49" s="191">
        <f>AN13/AN35/$B$13*$B$35</f>
        <v>0.81987231224265922</v>
      </c>
      <c r="AO49" s="191"/>
      <c r="AP49" s="191">
        <f>AP13/AP35/$B$13*$B$35</f>
        <v>0.81738181207861882</v>
      </c>
      <c r="AQ49" s="191"/>
      <c r="AR49" s="191">
        <f>AR13/AR35/$B$13*$B$35</f>
        <v>0.81456962647636377</v>
      </c>
      <c r="AS49" s="191"/>
      <c r="AT49" s="191">
        <f>AT13/AT35/$B$13*$B$35</f>
        <v>0.81127691897932697</v>
      </c>
      <c r="AU49" s="191"/>
      <c r="AV49" s="191">
        <f>AV13/AV35/$B$13*$B$35</f>
        <v>0.80716371617828619</v>
      </c>
    </row>
    <row r="51" spans="1:48 16321:16384" x14ac:dyDescent="0.2">
      <c r="A51" t="s">
        <v>166</v>
      </c>
      <c r="B51" s="29">
        <f>B30-B10*B23</f>
        <v>-405838.32800000021</v>
      </c>
      <c r="D51" s="29">
        <f>D30-D10*D23</f>
        <v>-362574.99809253076</v>
      </c>
      <c r="F51" s="29">
        <f>F30-F10*F23</f>
        <v>-319579.10433136392</v>
      </c>
      <c r="H51" s="29">
        <f>H30-H10*H23</f>
        <v>-276973.53569877287</v>
      </c>
      <c r="J51" s="29">
        <f>J30-J10*J23</f>
        <v>-234921.23778207321</v>
      </c>
      <c r="L51" s="29">
        <f>L30-L10*L23</f>
        <v>-193630.03191208374</v>
      </c>
      <c r="N51" s="29">
        <f>N30-N10*N23</f>
        <v>-153361.25340828067</v>
      </c>
      <c r="P51" s="29">
        <f>P30-P10*P23</f>
        <v>-114429.65575193288</v>
      </c>
      <c r="R51" s="29">
        <f>R30-R10*R23</f>
        <v>-77194.317515557632</v>
      </c>
      <c r="T51" s="29">
        <f>T30-T10*T23</f>
        <v>-42025.055117383599</v>
      </c>
      <c r="V51" s="29">
        <f>V30-V10*V23</f>
        <v>-9225.1402471982874</v>
      </c>
      <c r="X51" s="29">
        <f>X30-X10*X23</f>
        <v>21123.479411801323</v>
      </c>
      <c r="Z51" s="29">
        <f>Z30-Z10*Z23</f>
        <v>49442.10852057999</v>
      </c>
      <c r="AB51" s="29">
        <f>AB30-AB10*AB23</f>
        <v>77128.816778196488</v>
      </c>
      <c r="AD51" s="29">
        <f>AD30-AD10*AD23</f>
        <v>107323.37609732104</v>
      </c>
      <c r="AF51" s="29">
        <f>AF30-AF10*AF23</f>
        <v>146239.0310396906</v>
      </c>
      <c r="AH51" s="29">
        <f>AH30-AH10*AH23</f>
        <v>206261.05078539159</v>
      </c>
      <c r="AJ51" s="29">
        <f>AJ30-AJ10*AJ23</f>
        <v>315476.0432952405</v>
      </c>
      <c r="AL51" s="29">
        <f>AL30-AL10*AL23</f>
        <v>546032.12273246842</v>
      </c>
      <c r="AN51" s="29">
        <f>AN30-AN10*AN23</f>
        <v>1101581.5270558102</v>
      </c>
      <c r="AP51" s="29">
        <f>AP30-AP10*AP23</f>
        <v>1306328.1832769113</v>
      </c>
      <c r="AQ51" s="29"/>
      <c r="AR51" s="29">
        <f>AR30-AR10*AR23</f>
        <v>1580723.0221923748</v>
      </c>
      <c r="AT51" s="29">
        <f>AT30-AT10*AT23</f>
        <v>1975581.0655284012</v>
      </c>
      <c r="AV51" s="29">
        <f>AV30-AV10*AV23</f>
        <v>2619515.1857237574</v>
      </c>
      <c r="XFD51" s="29"/>
    </row>
    <row r="52" spans="1:48 16321:16384" x14ac:dyDescent="0.2">
      <c r="A52" t="s">
        <v>167</v>
      </c>
      <c r="B52" s="29">
        <f t="array" ref="B52">Calibration!sL*SUM(B13:C13*B26:C26)</f>
        <v>2049247.8195702801</v>
      </c>
      <c r="D52" s="29">
        <f t="array" ref="D52">Calibration!sL*SUM(D13:E13*D26:E26)</f>
        <v>2020541.5286980721</v>
      </c>
      <c r="F52" s="29">
        <f t="array" ref="F52">Calibration!sL*SUM(F13:G13*F26:G26)</f>
        <v>1989583.7279845178</v>
      </c>
      <c r="H52" s="29">
        <f t="array" ref="H52">Calibration!sL*SUM(H13:I13*H26:I26)</f>
        <v>1956035.8729395289</v>
      </c>
      <c r="J52" s="29">
        <f t="array" ref="J52">Calibration!sL*SUM(J13:K13*J26:K26)</f>
        <v>1919505.925817291</v>
      </c>
      <c r="L52" s="29">
        <f t="array" ref="L52">Calibration!sL*SUM(L13:M13*L26:M26)</f>
        <v>1879549.7182416287</v>
      </c>
      <c r="N52" s="29">
        <f t="array" ref="N52">Calibration!sL*SUM(N13:O13*N26:O26)</f>
        <v>1835673.8649184022</v>
      </c>
      <c r="P52" s="29">
        <f t="array" ref="P52">Calibration!sL*SUM(P13:Q13*P26:Q26)</f>
        <v>1787356.0816599871</v>
      </c>
      <c r="R52" s="29">
        <f t="array" ref="R52">Calibration!sL*SUM(R13:S13*R26:S26)</f>
        <v>1734087.7209671892</v>
      </c>
      <c r="T52" s="29">
        <f t="array" ref="T52">Calibration!sL*SUM(T13:U13*T26:U26)</f>
        <v>1675457.9216569322</v>
      </c>
      <c r="V52" s="29">
        <f t="array" ref="V52">Calibration!sL*SUM(V13:W13*V26:W26)</f>
        <v>1611303.9142757242</v>
      </c>
      <c r="X52" s="29">
        <f t="array" ref="X52">Calibration!sL*SUM(X13:Y13*X26:Y26)</f>
        <v>1541953.4576740027</v>
      </c>
      <c r="Z52" s="29">
        <f t="array" ref="Z52">Calibration!sL*SUM(Z13:AA13*Z26:AA26)</f>
        <v>1468579.1431116837</v>
      </c>
      <c r="AB52" s="29">
        <f t="array" ref="AB52">Calibration!sL*SUM(AB13:AC13*AB26:AC26)</f>
        <v>1393636.0900393394</v>
      </c>
      <c r="AD52" s="29">
        <f t="array" ref="AD52">Calibration!sL*SUM(AD13:AE13*AD26:AE26)</f>
        <v>1321266.489511254</v>
      </c>
      <c r="AF52" s="29">
        <f t="array" ref="AF52">Calibration!sL*SUM(AF13:AG13*AF26:AG26)</f>
        <v>1257528.6559873405</v>
      </c>
      <c r="AH52" s="29">
        <f t="array" ref="AH52">Calibration!sL*SUM(AH13:AI13*AH26:AI26)</f>
        <v>1210773.1496012853</v>
      </c>
      <c r="AJ52" s="29">
        <f t="array" ref="AJ52">Calibration!sL*SUM(AJ13:AK13*AJ26:AK26)</f>
        <v>1193975.5868002237</v>
      </c>
      <c r="AL52" s="29">
        <f t="array" ref="AL52">Calibration!sL*SUM(AL13:AM13*AL26:AM26)</f>
        <v>1231539.939990256</v>
      </c>
      <c r="AN52" s="29">
        <f t="array" ref="AN52">Calibration!sL*SUM(AN13:AO13*AN26:AO26)</f>
        <v>1367380.9082990007</v>
      </c>
      <c r="AP52" s="29">
        <f t="array" ref="AP52">Calibration!sL*SUM(AP13:AQ13*AP26:AQ26)</f>
        <v>1413388.9283660075</v>
      </c>
      <c r="AQ52" s="29"/>
      <c r="AR52" s="29">
        <f t="array" ref="AR52">Calibration!sL*SUM(AR13:AS13*AR26:AS26)</f>
        <v>1468478.4578616049</v>
      </c>
      <c r="AT52" s="29">
        <f t="array" ref="AT52">Calibration!sL*SUM(AT13:AU13*AT26:AU26)</f>
        <v>1533021.4630864605</v>
      </c>
      <c r="AV52" s="29">
        <f t="array" ref="AV52">Calibration!sL*SUM(AV13:AW13*AV26:AW26)</f>
        <v>1593630.007493359</v>
      </c>
    </row>
    <row r="53" spans="1:48 16321:16384" x14ac:dyDescent="0.2">
      <c r="A53" t="s">
        <v>168</v>
      </c>
      <c r="B53" s="29">
        <f t="array" ref="B53">Calibration!sK*SUM(B15:C15*B27:C27)</f>
        <v>2740714.4444297305</v>
      </c>
      <c r="D53" s="29">
        <f t="array" ref="D53">Calibration!sK*SUM(D15:E15*D27:E27)</f>
        <v>2706698.7665248415</v>
      </c>
      <c r="F53" s="29">
        <f t="array" ref="F53">Calibration!sK*SUM(F15:G15*F27:G27)</f>
        <v>2670149.7874344592</v>
      </c>
      <c r="H53" s="29">
        <f t="array" ref="H53">Calibration!sK*SUM(H15:I15*H27:I27)</f>
        <v>2630627.0952047003</v>
      </c>
      <c r="J53" s="29">
        <f t="array" ref="J53">Calibration!sK*SUM(J15:K15*J27:K27)</f>
        <v>2587608.9069204279</v>
      </c>
      <c r="L53" s="29">
        <f t="array" ref="L53">Calibration!sK*SUM(L15:M15*L27:M27)</f>
        <v>2540487.7143600713</v>
      </c>
      <c r="N53" s="29">
        <f t="array" ref="N53">Calibration!sK*SUM(N15:O15*N27:O27)</f>
        <v>2488567.4639874171</v>
      </c>
      <c r="P53" s="29">
        <f t="array" ref="P53">Calibration!sK*SUM(P15:Q15*P27:Q27)</f>
        <v>2431080.208761869</v>
      </c>
      <c r="R53" s="29">
        <f t="array" ref="R53">Calibration!sK*SUM(R15:S15*R27:S27)</f>
        <v>2367230.2067095912</v>
      </c>
      <c r="T53" s="29">
        <f t="array" ref="T53">Calibration!sK*SUM(T15:U15*T27:U27)</f>
        <v>2296290.8056466002</v>
      </c>
      <c r="V53" s="29">
        <f t="array" ref="V53">Calibration!sK*SUM(V15:W15*V27:W27)</f>
        <v>2217787.5598288644</v>
      </c>
      <c r="X53" s="29">
        <f t="array" ref="X53">Calibration!sK*SUM(X15:Y15*X27:Y27)</f>
        <v>2131805.4120470509</v>
      </c>
      <c r="Z53" s="29">
        <f t="array" ref="Z53">Calibration!sK*SUM(Z15:AA15*Z27:AA27)</f>
        <v>2039449.643069102</v>
      </c>
      <c r="AB53" s="29">
        <f t="array" ref="AB53">Calibration!sK*SUM(AB15:AC15*AB27:AC27)</f>
        <v>1943425.3628805429</v>
      </c>
      <c r="AD53" s="29">
        <f t="array" ref="AD53">Calibration!sK*SUM(AD15:AE15*AD27:AE27)</f>
        <v>1848571.7807756269</v>
      </c>
      <c r="AF53" s="29">
        <f t="array" ref="AF53">Calibration!sK*SUM(AF15:AG15*AF27:AG27)</f>
        <v>1762102.6531851366</v>
      </c>
      <c r="AH53" s="29">
        <f t="array" ref="AH53">Calibration!sK*SUM(AH15:AI15*AH27:AI27)</f>
        <v>1693739.1049934316</v>
      </c>
      <c r="AJ53" s="29">
        <f t="array" ref="AJ53">Calibration!sK*SUM(AJ15:AK15*AJ27:AK27)</f>
        <v>1657127.4123021304</v>
      </c>
      <c r="AL53" s="29">
        <f t="array" ref="AL53">Calibration!sK*SUM(AL15:AM15*AL27:AM27)</f>
        <v>1671004.9826525236</v>
      </c>
      <c r="AN53" s="29">
        <f t="array" ref="AN53">Calibration!sK*SUM(AN15:AO15*AN27:AO27)</f>
        <v>1727087.187047608</v>
      </c>
      <c r="AP53" s="29">
        <f t="array" ref="AP53">Calibration!sK*SUM(AP15:AQ15*AP27:AQ27)</f>
        <v>1729574.1922579366</v>
      </c>
      <c r="AQ53" s="29"/>
      <c r="AR53" s="29">
        <f t="array" ref="AR53">Calibration!sK*SUM(AR15:AS15*AR27:AS27)</f>
        <v>1714994.4340041976</v>
      </c>
      <c r="AT53" s="29">
        <f t="array" ref="AT53">Calibration!sK*SUM(AT15:AU15*AT27:AU27)</f>
        <v>1658665.8253659839</v>
      </c>
      <c r="AV53" s="29">
        <f t="array" ref="AV53">Calibration!sK*SUM(AV15:AW15*AV27:AW27)</f>
        <v>1476303.7525495265</v>
      </c>
      <c r="XFD53" s="29"/>
    </row>
    <row r="55" spans="1:48 16321:16384" x14ac:dyDescent="0.2">
      <c r="A55" t="s">
        <v>169</v>
      </c>
      <c r="B55" s="193">
        <f>B30/B32</f>
        <v>0.19850271905982084</v>
      </c>
      <c r="D55" s="193">
        <f>D30/D32</f>
        <v>0.20119601106949805</v>
      </c>
      <c r="F55" s="193">
        <f>F30/F32</f>
        <v>0.2039005778132589</v>
      </c>
      <c r="H55" s="193">
        <f>H30/H32</f>
        <v>0.20661345927369851</v>
      </c>
      <c r="J55" s="193">
        <f>J30/J32</f>
        <v>0.20933022624698433</v>
      </c>
      <c r="L55" s="193">
        <f>L30/L32</f>
        <v>0.2120449503616926</v>
      </c>
      <c r="N55" s="193">
        <f>N30/N32</f>
        <v>0.21474983466363118</v>
      </c>
      <c r="P55" s="193">
        <f>P30/P32</f>
        <v>0.21743548353577261</v>
      </c>
      <c r="R55" s="193">
        <f>R30/R32</f>
        <v>0.22009170103799519</v>
      </c>
      <c r="T55" s="193">
        <f>T30/T32</f>
        <v>0.2227099567250144</v>
      </c>
      <c r="V55" s="193">
        <f>V30/V32</f>
        <v>0.22528906704271534</v>
      </c>
      <c r="X55" s="193">
        <f>X30/X32</f>
        <v>0.22784725325222629</v>
      </c>
      <c r="Z55" s="193">
        <f>Z30/Z32</f>
        <v>0.23044617607443119</v>
      </c>
      <c r="AB55" s="193">
        <f>AB30/AB32</f>
        <v>0.23323573097500921</v>
      </c>
      <c r="AD55" s="193">
        <f>AD30/AD32</f>
        <v>0.2365329453885664</v>
      </c>
      <c r="AF55" s="193">
        <f>AF30/AF32</f>
        <v>0.24095939966272559</v>
      </c>
      <c r="AH55" s="193">
        <f>AH30/AH32</f>
        <v>0.2477190910967482</v>
      </c>
      <c r="AJ55" s="193">
        <f>AJ30/AJ32</f>
        <v>0.25929489782001341</v>
      </c>
      <c r="AL55" s="193">
        <f>AL30/AL32</f>
        <v>0.28091747210648343</v>
      </c>
      <c r="AN55" s="193">
        <f>AN30/AN32</f>
        <v>0.32367104758227155</v>
      </c>
      <c r="AP55" s="193">
        <f>AP30/AP32</f>
        <v>0.3376553393011531</v>
      </c>
      <c r="AR55" s="193">
        <f>AR30/AR32</f>
        <v>0.35571440786599295</v>
      </c>
      <c r="AT55" s="193">
        <f>AT30/AT32</f>
        <v>0.38122710934851384</v>
      </c>
      <c r="AV55" s="193">
        <f>AV30/AV32</f>
        <v>0.4247611369269863</v>
      </c>
      <c r="XCS55" s="193"/>
      <c r="XFD55" s="193"/>
    </row>
    <row r="56" spans="1:48 16321:16384" x14ac:dyDescent="0.2">
      <c r="A56" t="s">
        <v>170</v>
      </c>
      <c r="B56" s="193">
        <f>(Model!$C$52*B5*B20+B2*C5*C20)/B32</f>
        <v>2.9221206744340551E-2</v>
      </c>
      <c r="D56" s="193">
        <f>(Model!$C$52*D5*D20+D2*E5*E20)/D32</f>
        <v>3.2657803183892539E-2</v>
      </c>
      <c r="F56" s="193">
        <f>(Model!$C$52*F5*F20+F2*G5*G20)/F32</f>
        <v>3.6127296400822427E-2</v>
      </c>
      <c r="H56" s="193">
        <f>(Model!$C$52*H5*H20+H2*I5*I20)/H32</f>
        <v>3.9627871142883755E-2</v>
      </c>
      <c r="J56" s="193">
        <f>(Model!$C$52*J5*J20+J2*K5*K20)/J32</f>
        <v>4.3155982793903216E-2</v>
      </c>
      <c r="L56" s="193">
        <f>(Model!$C$52*L5*L20+L2*M5*M20)/L32</f>
        <v>4.6706302067845762E-2</v>
      </c>
      <c r="N56" s="193">
        <f>(Model!$C$52*N5*N20+N2*O5*O20)/N32</f>
        <v>5.0271082472402154E-2</v>
      </c>
      <c r="P56" s="193">
        <f>(Model!$C$52*P5*P20+P2*Q5*Q20)/P32</f>
        <v>5.3840320745829062E-2</v>
      </c>
      <c r="R56" s="193">
        <f>(Model!$C$52*R5*R20+R2*S5*S20)/R32</f>
        <v>5.7402334581370784E-2</v>
      </c>
      <c r="T56" s="193">
        <f>(Model!$C$52*T5*T20+T2*U5*U20)/T32</f>
        <v>6.0946125908501458E-2</v>
      </c>
      <c r="V56" s="193">
        <f>(Model!$C$52*V5*V20+V2*W5*W20)/V32</f>
        <v>6.4467206191654053E-2</v>
      </c>
      <c r="X56" s="193">
        <f>(Model!$C$52*X5*X20+X2*Y5*Y20)/X32</f>
        <v>6.7980424162891406E-2</v>
      </c>
      <c r="Z56" s="193">
        <f>(Model!$C$52*Z5*Z20+Z2*AA5*AA20)/Z32</f>
        <v>7.1546086381738733E-2</v>
      </c>
      <c r="AB56" s="193">
        <f>(Model!$C$52*AB5*AB20+AB2*AC5*AC20)/AB32</f>
        <v>7.5319486684391979E-2</v>
      </c>
      <c r="AD56" s="193">
        <f>(Model!$C$52*AD5*AD20+AD2*AE5*AE20)/AD32</f>
        <v>7.9639326464772328E-2</v>
      </c>
      <c r="AF56" s="193">
        <f>(Model!$C$52*AF5*AF20+AF2*AG5*AG20)/AF32</f>
        <v>8.5183176562840787E-2</v>
      </c>
      <c r="AH56" s="193">
        <f>(Model!$C$52*AH5*AH20+AH2*AI5*AI20)/AH32</f>
        <v>9.3279879361518034E-2</v>
      </c>
      <c r="AJ56" s="193">
        <f>(Model!$C$52*AJ5*AJ20+AJ2*AK5*AK20)/AJ32</f>
        <v>0.10667027648800147</v>
      </c>
      <c r="AL56" s="193">
        <f>(Model!$C$52*AL5*AL20+AL2*AM5*AM20)/AL32</f>
        <v>0.13098004405750011</v>
      </c>
      <c r="AN56" s="193">
        <f>(Model!$C$52*AN5*AN20+AN2*AO5*AO20)/AN32</f>
        <v>0.17719069443942839</v>
      </c>
      <c r="AP56" s="193">
        <f>(Model!$C$52*AP5*AP20+AP2*AQ5*AQ20)/AP32</f>
        <v>0.19182524949166882</v>
      </c>
      <c r="AR56" s="193">
        <f>(Model!$C$52*AR5*AR20+AR2*AS5*AS20)/AR32</f>
        <v>0.21043723419873533</v>
      </c>
      <c r="AT56" s="193">
        <f>(Model!$C$52*AT5*AT20+AT2*AU5*AU20)/AT32</f>
        <v>0.23630612221136321</v>
      </c>
      <c r="AV56" s="193">
        <f>(Model!$C$52*AV5*AV20+AV2*AW5*AW20)/AV32</f>
        <v>0.2798259444742473</v>
      </c>
      <c r="XFD56" s="193"/>
    </row>
    <row r="57" spans="1:48 16321:16384" x14ac:dyDescent="0.2">
      <c r="A57" t="s">
        <v>171</v>
      </c>
      <c r="B57" s="193">
        <f t="array" ref="B57">SUM(Model!tauL*B13:C13*B26:C26)/B32</f>
        <v>0.15852881819439493</v>
      </c>
      <c r="D57" s="193">
        <f t="array" ref="D57">SUM(Model!tauL*D13:E13*D26:E26)/D32</f>
        <v>0.15785109736561748</v>
      </c>
      <c r="F57" s="193">
        <f t="array" ref="F57">SUM(Model!tauL*F13:G13*F26:G26)/F32</f>
        <v>0.15715193183267623</v>
      </c>
      <c r="H57" s="193">
        <f t="array" ref="H57">SUM(Model!tauL*H13:I13*H26:I26)/H32</f>
        <v>0.15643020039128344</v>
      </c>
      <c r="J57" s="193">
        <f t="array" ref="J57">SUM(Model!tauL*J13:K13*J26:K26)/J32</f>
        <v>0.1556850386883851</v>
      </c>
      <c r="L57" s="193">
        <f t="array" ref="L57">SUM(Model!tauL*L13:M13*L26:M26)/L32</f>
        <v>0.15491588231383285</v>
      </c>
      <c r="N57" s="193">
        <f t="array" ref="N57">SUM(Model!tauL*N13:O13*N26:O26)/N32</f>
        <v>0.15412272655641465</v>
      </c>
      <c r="P57" s="193">
        <f t="array" ref="P57">SUM(Model!tauL*P13:Q13*P26:Q26)/P32</f>
        <v>0.15330626855685989</v>
      </c>
      <c r="R57" s="193">
        <f t="array" ref="R57">SUM(Model!tauL*R13:S13*R26:S26)/R32</f>
        <v>0.15246817113677266</v>
      </c>
      <c r="T57" s="193">
        <f t="array" ref="T57">SUM(Model!tauL*T13:U13*T26:U26)/T32</f>
        <v>0.15161125477022616</v>
      </c>
      <c r="V57" s="193">
        <f t="array" ref="V57">SUM(Model!tauL*V13:W13*V26:W26)/V32</f>
        <v>0.15073953006188698</v>
      </c>
      <c r="X57" s="193">
        <f t="array" ref="X57">SUM(Model!tauL*X13:Y13*X26:Y26)/X32</f>
        <v>0.14985773551120096</v>
      </c>
      <c r="Y57" s="193"/>
      <c r="Z57" s="193">
        <f t="array" ref="Z57">SUM(Model!tauL*Z13:AA13*Z26:AA26)/Z32</f>
        <v>0.14896976750901597</v>
      </c>
      <c r="AB57" s="193">
        <f t="array" ref="AB57">SUM(Model!tauL*AB13:AC13*AB26:AC26)/AB32</f>
        <v>0.14807471380905141</v>
      </c>
      <c r="AD57" s="193">
        <f t="array" ref="AD57">SUM(Model!tauL*AD13:AE13*AD26:AE26)/AD32</f>
        <v>0.14715822209032034</v>
      </c>
      <c r="AF57" s="193">
        <f t="array" ref="AF57">SUM(Model!tauL*AF13:AG13*AF26:AG26)/AF32</f>
        <v>0.14617503012475774</v>
      </c>
      <c r="AH57" s="193">
        <f t="array" ref="AH57">SUM(Model!tauL*AH13:AI13*AH26:AI26)/AH32</f>
        <v>0.14501409472071861</v>
      </c>
      <c r="AJ57" s="193">
        <f t="array" ref="AJ57">SUM(Model!tauL*AJ13:AK13*AJ26:AK26)/AJ32</f>
        <v>0.14343381372957181</v>
      </c>
      <c r="AL57" s="193">
        <f t="array" ref="AL57">SUM(Model!tauL*AL13:AM13*AL26:AM26)/AL32</f>
        <v>0.14106627676167913</v>
      </c>
      <c r="AN57" s="193">
        <f t="array" ref="AN57">SUM(Model!tauL*AN13:AO13*AN26:AO26)/AN32</f>
        <v>0.13812780772845634</v>
      </c>
      <c r="AP57" s="193">
        <f t="array" ref="AP57">SUM(Model!tauL*AP13:AQ13*AP26:AQ26)/AP32</f>
        <v>0.13764392004292883</v>
      </c>
      <c r="AR57" s="193">
        <f t="array" ref="AR57">SUM(Model!tauL*AR13:AS13*AR26:AS26)/AR32</f>
        <v>0.13730716416895744</v>
      </c>
      <c r="AT57" s="193">
        <f t="array" ref="AT57">SUM(Model!tauL*AT13:AU13*AT26:AU26)/AT32</f>
        <v>0.13725859935753956</v>
      </c>
      <c r="AV57" s="193">
        <f t="array" ref="AV57">SUM(Model!tauL*AV13:AW13*AV26:AW26)/AV32</f>
        <v>0.13779865689649218</v>
      </c>
      <c r="XFD57" s="193"/>
    </row>
    <row r="58" spans="1:48 16321:16384" x14ac:dyDescent="0.2">
      <c r="A58" t="s">
        <v>172</v>
      </c>
      <c r="B58" s="193">
        <f t="array" ref="B58">SUM(Model!tauY/(1+Model!tauY)*B3:C3*B18:C18)/B32</f>
        <v>1.075269412108535E-2</v>
      </c>
      <c r="D58" s="193">
        <f t="array" ref="D58">SUM(Model!tauY/(1+Model!tauY)*D3:E3*D18:E18)/D32</f>
        <v>1.0687110519987997E-2</v>
      </c>
      <c r="F58" s="193">
        <f t="array" ref="F58">SUM(Model!tauY/(1+Model!tauY)*F3:G3*F18:G18)/F32</f>
        <v>1.0621349579760258E-2</v>
      </c>
      <c r="H58" s="193">
        <f t="array" ref="H58">SUM(Model!tauY/(1+Model!tauY)*H3:I3*H18:I18)/H32</f>
        <v>1.0555387739531328E-2</v>
      </c>
      <c r="J58" s="193">
        <f t="array" ref="J58">SUM(Model!tauY/(1+Model!tauY)*J3:K3*J18:K18)/J32</f>
        <v>1.0489204764696041E-2</v>
      </c>
      <c r="L58" s="193">
        <f t="array" ref="L58">SUM(Model!tauY/(1+Model!tauY)*L3:M3*L18:M18)/L32</f>
        <v>1.0422765980013977E-2</v>
      </c>
      <c r="N58" s="193">
        <f t="array" ref="N58">SUM(Model!tauY/(1+Model!tauY)*N3:O3*N18:O18)/N32</f>
        <v>1.0356025634814357E-2</v>
      </c>
      <c r="P58" s="193">
        <f t="array" ref="P58">SUM(Model!tauY/(1+Model!tauY)*P3:Q3*P18:Q18)/P32</f>
        <v>1.0288894233083648E-2</v>
      </c>
      <c r="R58" s="193">
        <f t="array" ref="R58">SUM(Model!tauY/(1+Model!tauY)*R3:S3*R18:S18)/R32</f>
        <v>1.0221195319851752E-2</v>
      </c>
      <c r="T58" s="193">
        <f t="array" ref="T58">SUM(Model!tauY/(1+Model!tauY)*T3:U3*T18:U18)/T32</f>
        <v>1.0152576046286756E-2</v>
      </c>
      <c r="V58" s="193">
        <f t="array" ref="V58">SUM(Model!tauY/(1+Model!tauY)*V3:W3*V18:W18)/V32</f>
        <v>1.0082330789174298E-2</v>
      </c>
      <c r="X58" s="193">
        <f t="array" ref="X58">SUM(Model!tauY/(1+Model!tauY)*X3:Y3*X18:Y18)/X32</f>
        <v>1.0009093578133926E-2</v>
      </c>
      <c r="Y58" s="193"/>
      <c r="Z58" s="193">
        <f t="array" ref="Z58">SUM(Model!tauY/(1+Model!tauY)*Z3:AA3*Z18:AA18)/Z32</f>
        <v>9.9303221836764769E-3</v>
      </c>
      <c r="AB58" s="193">
        <f t="array" ref="AB58">SUM(Model!tauY/(1+Model!tauY)*AB3:AC3*AB18:AC18)/AB32</f>
        <v>9.8415304815658335E-3</v>
      </c>
      <c r="AD58" s="193">
        <f t="array" ref="AD58">SUM(Model!tauY/(1+Model!tauY)*AD3:AE3*AD18:AE18)/AD32</f>
        <v>9.7353968334736828E-3</v>
      </c>
      <c r="AF58" s="193">
        <f t="array" ref="AF58">SUM(Model!tauY/(1+Model!tauY)*AF3:AG3*AF18:AG18)/AF32</f>
        <v>9.6011929751270049E-3</v>
      </c>
      <c r="AH58" s="193">
        <f t="array" ref="AH58">SUM(Model!tauY/(1+Model!tauY)*AH3:AI3*AH18:AI18)/AH32</f>
        <v>9.4251170145115571E-3</v>
      </c>
      <c r="AJ58" s="193">
        <f t="array" ref="AJ58">SUM(Model!tauY/(1+Model!tauY)*AJ3:AK3*AJ18:AK18)/AJ32</f>
        <v>9.1908076024401226E-3</v>
      </c>
      <c r="AL58" s="193">
        <f t="array" ref="AL58">SUM(Model!tauY/(1+Model!tauY)*AL3:AM3*AL18:AM18)/AL32</f>
        <v>8.8711512873042297E-3</v>
      </c>
      <c r="AN58" s="193">
        <f t="array" ref="AN58">SUM(Model!tauY/(1+Model!tauY)*AN3:AO3*AN18:AO18)/AN32</f>
        <v>8.3525454143868264E-3</v>
      </c>
      <c r="AP58" s="193">
        <f t="array" ref="AP58">SUM(Model!tauY/(1+Model!tauY)*AP3:AQ3*AP18:AQ18)/AP32</f>
        <v>8.1861697665554789E-3</v>
      </c>
      <c r="AR58" s="193">
        <f t="array" ref="AR58">SUM(Model!tauY/(1+Model!tauY)*AR3:AS3*AR18:AS18)/AR32</f>
        <v>7.9700094983001755E-3</v>
      </c>
      <c r="AT58" s="193">
        <f t="array" ref="AT58">SUM(Model!tauY/(1+Model!tauY)*AT3:AU3*AT18:AU18)/AT32</f>
        <v>7.6623877796110785E-3</v>
      </c>
      <c r="AV58" s="193">
        <f t="array" ref="AV58">SUM(Model!tauY/(1+Model!tauY)*AV3:AW3*AV18:AW18)/AV32</f>
        <v>7.1365355562468587E-3</v>
      </c>
      <c r="XFD58" s="193"/>
    </row>
    <row r="59" spans="1:48 16321:16384" x14ac:dyDescent="0.2">
      <c r="A59" t="s">
        <v>173</v>
      </c>
      <c r="B59" s="193">
        <f>(B2*C5*C20)/B32</f>
        <v>5.5174232040962052E-4</v>
      </c>
      <c r="D59" s="193">
        <f>(D2*E5*E20)/D32</f>
        <v>4.0261442173605954E-3</v>
      </c>
      <c r="F59" s="193">
        <f>(F2*G5*G20)/F32</f>
        <v>7.5271579971171775E-3</v>
      </c>
      <c r="H59" s="193">
        <f>(H2*I5*I20)/H32</f>
        <v>1.1051426298673832E-2</v>
      </c>
      <c r="J59" s="193">
        <f>(J2*K5*K20)/J32</f>
        <v>1.4593394956116635E-2</v>
      </c>
      <c r="L59" s="193">
        <f>(L2*M5*M20)/L32</f>
        <v>1.814514115798551E-2</v>
      </c>
      <c r="N59" s="193">
        <f>(N2*O5*O20)/N32</f>
        <v>2.169551852077738E-2</v>
      </c>
      <c r="P59" s="193">
        <f>(P2*Q5*Q20)/P32</f>
        <v>2.5230090690583538E-2</v>
      </c>
      <c r="R59" s="193">
        <f>(R2*S5*S20)/R32</f>
        <v>2.8731392717756838E-2</v>
      </c>
      <c r="T59" s="193">
        <f>(T2*U5*U20)/T32</f>
        <v>3.2180952823204947E-2</v>
      </c>
      <c r="V59" s="193">
        <f>(V2*W5*W20)/V32</f>
        <v>3.5564807055466122E-2</v>
      </c>
      <c r="X59" s="193">
        <f>(X2*Y5*Y20)/X32</f>
        <v>3.8886253607454582E-2</v>
      </c>
      <c r="Z59" s="193">
        <f>(Z2*AA5*AA20)/Z32</f>
        <v>4.2192547884026148E-2</v>
      </c>
      <c r="AB59" s="193">
        <f>(AB2*AC5*AC20)/AB32</f>
        <v>4.5626397593059788E-2</v>
      </c>
      <c r="AD59" s="193">
        <f>(AD2*AE5*AE20)/AD32</f>
        <v>4.9518545142247863E-2</v>
      </c>
      <c r="AF59" s="193">
        <f>(AF2*AG5*AG20)/AF32</f>
        <v>5.4549593929754107E-2</v>
      </c>
      <c r="AH59" s="193">
        <f>(AH2*AI5*AI20)/AH32</f>
        <v>6.2069688999001706E-2</v>
      </c>
      <c r="AJ59" s="193">
        <f>(AJ2*AK5*AK20)/AJ32</f>
        <v>7.4867927516608576E-2</v>
      </c>
      <c r="AL59" s="193">
        <f>(AL2*AM5*AM20)/AL32</f>
        <v>9.8636798774339007E-2</v>
      </c>
      <c r="AN59" s="193">
        <f>(AN2*AO5*AO20)/AN32</f>
        <v>0.14414824724463951</v>
      </c>
      <c r="AP59" s="193">
        <f>(AP2*AQ5*AQ20)/AP32</f>
        <v>0.15848842151329426</v>
      </c>
      <c r="AR59" s="193">
        <f>(AR2*AS5*AS20)/AR32</f>
        <v>0.17662647732898118</v>
      </c>
      <c r="AT59" s="193">
        <f>(AT2*AU5*AU20)/AT32</f>
        <v>0.20160526195871076</v>
      </c>
      <c r="AV59" s="193">
        <f>(AV2*AW5*AW20)/AV32</f>
        <v>0.2428421371297565</v>
      </c>
      <c r="XFD59" s="193"/>
    </row>
    <row r="60" spans="1:48 16321:16384" x14ac:dyDescent="0.2">
      <c r="A60" t="s">
        <v>174</v>
      </c>
      <c r="B60" s="193">
        <f>Model!$C$52*B5*B20/B32</f>
        <v>2.8669464423930927E-2</v>
      </c>
      <c r="D60" s="193">
        <f>Model!$C$52*D5*D20/D32</f>
        <v>2.8631658966531946E-2</v>
      </c>
      <c r="F60" s="193">
        <f>Model!$C$52*F5*F20/F32</f>
        <v>2.860013840370525E-2</v>
      </c>
      <c r="H60" s="193">
        <f>Model!$C$52*H5*H20/H32</f>
        <v>2.857644484420992E-2</v>
      </c>
      <c r="J60" s="193">
        <f>Model!$C$52*J5*J20/J32</f>
        <v>2.8562587837786577E-2</v>
      </c>
      <c r="L60" s="193">
        <f>Model!$C$52*L5*L20/L32</f>
        <v>2.8561160909860252E-2</v>
      </c>
      <c r="N60" s="193">
        <f>Model!$C$52*N5*N20/N32</f>
        <v>2.8575563951624777E-2</v>
      </c>
      <c r="P60" s="193">
        <f>Model!$C$52*P5*P20/P32</f>
        <v>2.8610230055245527E-2</v>
      </c>
      <c r="R60" s="193">
        <f>Model!$C$52*R5*R20/R32</f>
        <v>2.8670941863613939E-2</v>
      </c>
      <c r="T60" s="193">
        <f>Model!$C$52*T5*T20/T32</f>
        <v>2.8765173085296511E-2</v>
      </c>
      <c r="V60" s="193">
        <f>Model!$C$52*V5*V20/V32</f>
        <v>2.8902399136187931E-2</v>
      </c>
      <c r="X60" s="193">
        <f>Model!$C$52*X5*X20/X32</f>
        <v>2.9094170555436831E-2</v>
      </c>
      <c r="Z60" s="193">
        <f>Model!$C$52*Z5*Z20/Z32</f>
        <v>2.9353538497712588E-2</v>
      </c>
      <c r="AB60" s="193">
        <f>Model!$C$52*AB5*AB20/AB32</f>
        <v>2.9693089091332198E-2</v>
      </c>
      <c r="AD60" s="193">
        <f>Model!$C$52*AD5*AD20/AD32</f>
        <v>3.0120781322524472E-2</v>
      </c>
      <c r="AF60" s="193">
        <f>Model!$C$52*AF5*AF20/AF32</f>
        <v>3.063358263308669E-2</v>
      </c>
      <c r="AH60" s="193">
        <f>Model!$C$52*AH5*AH20/AH32</f>
        <v>3.1210190362516325E-2</v>
      </c>
      <c r="AJ60" s="193">
        <f>Model!$C$52*AJ5*AJ20/AJ32</f>
        <v>3.1802348971392898E-2</v>
      </c>
      <c r="AL60" s="193">
        <f>Model!$C$52*AL5*AL20/AL32</f>
        <v>3.2343245283161091E-2</v>
      </c>
      <c r="AN60" s="193">
        <f>Model!$C$52*AN5*AN20/AN32</f>
        <v>3.3042447194788903E-2</v>
      </c>
      <c r="AP60" s="193">
        <f>Model!$C$52*AP5*AP20/AP32</f>
        <v>3.3336827978374575E-2</v>
      </c>
      <c r="AR60" s="193">
        <f>Model!$C$52*AR5*AR20/AR32</f>
        <v>3.3810756869754169E-2</v>
      </c>
      <c r="AT60" s="193">
        <f>Model!$C$52*AT5*AT20/AT32</f>
        <v>3.4700860252652475E-2</v>
      </c>
      <c r="AV60" s="193">
        <f>Model!$C$52*AV5*AV20/AV32</f>
        <v>3.6983807344490818E-2</v>
      </c>
      <c r="XFD60" s="193"/>
    </row>
    <row r="62" spans="1:48 16321:16384" x14ac:dyDescent="0.2">
      <c r="A62" t="s">
        <v>175</v>
      </c>
      <c r="B62">
        <f>B13/B15</f>
        <v>1</v>
      </c>
      <c r="D62">
        <f>D13/D15</f>
        <v>0.99574855169022292</v>
      </c>
      <c r="F62">
        <f>F13/F15</f>
        <v>0.99119318072205587</v>
      </c>
      <c r="H62">
        <f>H13/H15</f>
        <v>0.98630913250984231</v>
      </c>
      <c r="J62">
        <f>J13/J15</f>
        <v>0.98107163885726056</v>
      </c>
      <c r="L62">
        <f>L13/L15</f>
        <v>0.97545702584228167</v>
      </c>
      <c r="N62">
        <f>N13/N15</f>
        <v>0.96944500147960833</v>
      </c>
      <c r="P62">
        <f>P13/P15</f>
        <v>0.96302194942217978</v>
      </c>
      <c r="R62">
        <f>R13/R15</f>
        <v>0.9561864786961155</v>
      </c>
      <c r="T62">
        <f>T13/T15</f>
        <v>0.94895818375630214</v>
      </c>
      <c r="V62">
        <f>V13/V15</f>
        <v>0.94139199831855935</v>
      </c>
      <c r="X62">
        <f>X13/X15</f>
        <v>0.93360156897626212</v>
      </c>
      <c r="Z62">
        <f>Z13/Z15</f>
        <v>0.92579759262996275</v>
      </c>
      <c r="AB62">
        <f>AB13/AB15</f>
        <v>0.91834961906497092</v>
      </c>
      <c r="AD62">
        <f>AD13/AD15</f>
        <v>0.91188396812566597</v>
      </c>
      <c r="AF62">
        <f>AF13/AF15</f>
        <v>0.90745494463286758</v>
      </c>
      <c r="AH62">
        <f>AH13/AH15</f>
        <v>0.90696983451862179</v>
      </c>
      <c r="AJ62">
        <f>AJ13/AJ15</f>
        <v>0.91468325653790072</v>
      </c>
      <c r="AL62">
        <f>AL13/AL15</f>
        <v>0.94310125583707538</v>
      </c>
      <c r="AN62">
        <f>AN13/AN15</f>
        <v>1.0442855208953656</v>
      </c>
      <c r="AP62">
        <f>AP13/AP15</f>
        <v>1.0925835586346633</v>
      </c>
      <c r="AR62">
        <f>AR13/AR15</f>
        <v>1.16796090171676</v>
      </c>
      <c r="AT62">
        <f>AT13/AT15</f>
        <v>1.3026700106339335</v>
      </c>
      <c r="AV62">
        <f>AV13/AV15</f>
        <v>1.6261183319999042</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0.99927811630433538</v>
      </c>
      <c r="E65" s="191"/>
      <c r="F65" s="191">
        <f t="array" ref="F65">SQRT((F9:G9*$B$22:$C$22+F10:G10*$B$23:$C$23+F11:G11*$B$24:$C$24+F4:G4*($B$25:$C$25-$B$19:$C$19))/($B$9:$C$9*$B$22:$C$22+$B$10:$C$10*$B$23:$C$23+$B$11:$C$11*$B$24:$C$24+$B$4:$C$4*($B$25:$C$25-$B$19:$C$19))*(F9:G9*F22:G22+F10:G10*F23:G23+F11:G11*F24:G24+F4:G4*(F25:G25-F19:G19))/($B$9:$C$9*F22:G22+$B$10:$C$10*F23:G23+$B$11:$C$11*F24:G24+$B$4:$C$4*(F25:G25-F19:G19)))</f>
        <v>0.99893980876200683</v>
      </c>
      <c r="G65" s="191"/>
      <c r="H65" s="191">
        <f t="array" ref="H65">SQRT((H9:I9*$B$22:$C$22+H10:I10*$B$23:$C$23+H11:I11*$B$24:$C$24+H4:I4*($B$25:$C$25-$B$19:$C$19))/($B$9:$C$9*$B$22:$C$22+$B$10:$C$10*$B$23:$C$23+$B$11:$C$11*$B$24:$C$24+$B$4:$C$4*($B$25:$C$25-$B$19:$C$19))*(H9:I9*H22:I22+H10:I10*H23:I23+H11:I11*H24:I24+H4:I4*(H25:I25-H19:I19))/($B$9:$C$9*H22:I22+$B$10:$C$10*H23:I23+$B$11:$C$11*H24:I24+$B$4:$C$4*(H25:I25-H19:I19)))</f>
        <v>0.99908231746832643</v>
      </c>
      <c r="I65" s="191"/>
      <c r="J65" s="191">
        <f t="array" ref="J65">SQRT((J9:K9*$B$22:$C$22+J10:K10*$B$23:$C$23+J11:K11*$B$24:$C$24+J4:K4*($B$25:$C$25-$B$19:$C$19))/($B$9:$C$9*$B$22:$C$22+$B$10:$C$10*$B$23:$C$23+$B$11:$C$11*$B$24:$C$24+$B$4:$C$4*($B$25:$C$25-$B$19:$C$19))*(J9:K9*J22:K22+J10:K10*J23:K23+J11:K11*J24:K24+J4:K4*(J25:K25-J19:K19))/($B$9:$C$9*J22:K22+$B$10:$C$10*J23:K23+$B$11:$C$11*J24:K24+$B$4:$C$4*(J25:K25-J19:K19)))</f>
        <v>0.99983625691209543</v>
      </c>
      <c r="K65" s="191"/>
      <c r="L65" s="191">
        <f t="array" ref="L65">SQRT((L9:M9*$B$22:$C$22+L10:M10*$B$23:$C$23+L11:M11*$B$24:$C$24+L4:M4*($B$25:$C$25-$B$19:$C$19))/($B$9:$C$9*$B$22:$C$22+$B$10:$C$10*$B$23:$C$23+$B$11:$C$11*$B$24:$C$24+$B$4:$C$4*($B$25:$C$25-$B$19:$C$19))*(L9:M9*L22:M22+L10:M10*L23:M23+L11:M11*L24:M24+L4:M4*(L25:M25-L19:M19))/($B$9:$C$9*L22:M22+$B$10:$C$10*L23:M23+$B$11:$C$11*L24:M24+$B$4:$C$4*(L25:M25-L19:M19)))</f>
        <v>1.0013773822897747</v>
      </c>
      <c r="M65" s="191"/>
      <c r="N65" s="191">
        <f t="array" ref="N65">SQRT((N9:O9*$B$22:$C$22+N10:O10*$B$23:$C$23+N11:O11*$B$24:$C$24+N4:O4*($B$25:$C$25-$B$19:$C$19))/($B$9:$C$9*$B$22:$C$22+$B$10:$C$10*$B$23:$C$23+$B$11:$C$11*$B$24:$C$24+$B$4:$C$4*($B$25:$C$25-$B$19:$C$19))*(N9:O9*N22:O22+N10:O10*N23:O23+N11:O11*N24:O24+N4:O4*(N25:O25-N19:O19))/($B$9:$C$9*N22:O22+$B$10:$C$10*N23:O23+$B$11:$C$11*N24:O24+$B$4:$C$4*(N25:O25-N19:O19)))</f>
        <v>1.0039475750981459</v>
      </c>
      <c r="O65" s="191"/>
      <c r="P65" s="191">
        <f t="array" ref="P65">SQRT((P9:Q9*$B$22:$C$22+P10:Q10*$B$23:$C$23+P11:Q11*$B$24:$C$24+P4:Q4*($B$25:$C$25-$B$19:$C$19))/($B$9:$C$9*$B$22:$C$22+$B$10:$C$10*$B$23:$C$23+$B$11:$C$11*$B$24:$C$24+$B$4:$C$4*($B$25:$C$25-$B$19:$C$19))*(P9:Q9*P22:Q22+P10:Q10*P23:Q23+P11:Q11*P24:Q24+P4:Q4*(P25:Q25-P19:Q19))/($B$9:$C$9*P22:Q22+$B$10:$C$10*P23:Q23+$B$11:$C$11*P24:Q24+$B$4:$C$4*(P25:Q25-P19:Q19)))</f>
        <v>1.007883026507107</v>
      </c>
      <c r="Q65" s="191"/>
      <c r="R65" s="191">
        <f t="array" ref="R65">SQRT((R9:S9*$B$22:$C$22+R10:S10*$B$23:$C$23+R11:S11*$B$24:$C$24+R4:S4*($B$25:$C$25-$B$19:$C$19))/($B$9:$C$9*$B$22:$C$22+$B$10:$C$10*$B$23:$C$23+$B$11:$C$11*$B$24:$C$24+$B$4:$C$4*($B$25:$C$25-$B$19:$C$19))*(R9:S9*R22:S22+R10:S10*R23:S23+R11:S11*R24:S24+R4:S4*(R25:S25-R19:S19))/($B$9:$C$9*R22:S22+$B$10:$C$10*R23:S23+$B$11:$C$11*R24:S24+$B$4:$C$4*(R25:S25-R19:S19)))</f>
        <v>1.0136592519001133</v>
      </c>
      <c r="S65" s="191"/>
      <c r="T65" s="191">
        <f t="array" ref="T65">SQRT((T9:U9*$B$22:$C$22+T10:U10*$B$23:$C$23+T11:U11*$B$24:$C$24+T4:U4*($B$25:$C$25-$B$19:$C$19))/($B$9:$C$9*$B$22:$C$22+$B$10:$C$10*$B$23:$C$23+$B$11:$C$11*$B$24:$C$24+$B$4:$C$4*($B$25:$C$25-$B$19:$C$19))*(T9:U9*T22:U22+T10:U10*T23:U23+T11:U11*T24:U24+T4:U4*(T25:U25-T19:U19))/($B$9:$C$9*T22:U22+$B$10:$C$10*T23:U23+$B$11:$C$11*T24:U24+$B$4:$C$4*(T25:U25-T19:U19)))</f>
        <v>1.0219596561501139</v>
      </c>
      <c r="U65" s="191"/>
      <c r="V65" s="191">
        <f t="array" ref="V65">SQRT((V9:W9*$B$22:$C$22+V10:W10*$B$23:$C$23+V11:W11*$B$24:$C$24+V4:W4*($B$25:$C$25-$B$19:$C$19))/($B$9:$C$9*$B$22:$C$22+$B$10:$C$10*$B$23:$C$23+$B$11:$C$11*$B$24:$C$24+$B$4:$C$4*($B$25:$C$25-$B$19:$C$19))*(V9:W9*V22:W22+V10:W10*V23:W23+V11:W11*V24:W24+V4:W4*(V25:W25-V19:W19))/($B$9:$C$9*V22:W22+$B$10:$C$10*V23:W23+$B$11:$C$11*V24:W24+$B$4:$C$4*(V25:W25-V19:W19)))</f>
        <v>1.0337838400053811</v>
      </c>
      <c r="W65" s="191"/>
      <c r="X65" s="191">
        <f t="array" ref="X65">SQRT((X9:Y9*$B$22:$C$22+X10:Y10*$B$23:$C$23+X11:Y11*$B$24:$C$24+X4:Y4*($B$25:$C$25-$B$19:$C$19))/($B$9:$C$9*$B$22:$C$22+$B$10:$C$10*$B$23:$C$23+$B$11:$C$11*$B$24:$C$24+$B$4:$C$4*($B$25:$C$25-$B$19:$C$19))*(X9:Y9*X22:Y22+X10:Y10*X23:Y23+X11:Y11*X24:Y24+X4:Y4*(X25:Y25-X19:Y19))/($B$9:$C$9*X22:Y22+$B$10:$C$10*X23:Y23+$B$11:$C$11*X24:Y24+$B$4:$C$4*(X25:Y25-X19:Y19)))</f>
        <v>1.0506199070443798</v>
      </c>
      <c r="Y65" s="191"/>
      <c r="Z65" s="191">
        <f t="array" ref="Z65">SQRT((Z9:AA9*$B$22:$C$22+Z10:AA10*$B$23:$C$23+Z11:AA11*$B$24:$C$24+Z4:AA4*($B$25:$C$25-$B$19:$C$19))/($B$9:$C$9*$B$22:$C$22+$B$10:$C$10*$B$23:$C$23+$B$11:$C$11*$B$24:$C$24+$B$4:$C$4*($B$25:$C$25-$B$19:$C$19))*(Z9:AA9*Z22:AA22+Z10:AA10*Z23:AA23+Z11:AA11*Z24:AA24+Z4:AA4*(Z25:AA25-Z19:AA19))/($B$9:$C$9*Z22:AA22+$B$10:$C$10*Z23:AA23+$B$11:$C$11*Z24:AA24+$B$4:$C$4*(Z25:AA25-Z19:AA19)))</f>
        <v>1.0747256985232925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1.1096046246348921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1.1608950903814137</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1.2383886655366108</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1.3618531901875881</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1.5817528078532388</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2.0758243309572224</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4.5532409372480931</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9.6675223389236731</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182</v>
      </c>
      <c r="B66" s="191">
        <f t="array" ref="B66">SQRT((B9:C9*$B$22:$C$22)/($B$9:$C$9*$B$22:$C$22)*(B9:C9*B22:C22)/($B$9:$C$9*B22:C22))</f>
        <v>1</v>
      </c>
      <c r="C66" s="191"/>
      <c r="D66" s="191">
        <f t="array" ref="D66">SQRT((D9:E9*$B$22:$C$22)/($B$9:$C$9*$B$22:$C$22)*(D9:E9*D22:E22)/($B$9:$C$9*D22:E22))</f>
        <v>0.99920643700638578</v>
      </c>
      <c r="E66" s="191"/>
      <c r="F66" s="191">
        <f t="array" ref="F66">SQRT((F9:G9*$B$22:$C$22)/($B$9:$C$9*$B$22:$C$22)*(F9:G9*F22:G22)/($B$9:$C$9*F22:G22))</f>
        <v>0.9988344483650351</v>
      </c>
      <c r="G66" s="191"/>
      <c r="H66" s="191">
        <f t="array" ref="H66">SQRT((H9:I9*$B$22:$C$22)/($B$9:$C$9*$B$22:$C$22)*(H9:I9*H22:I22)/($B$9:$C$9*H22:I22))</f>
        <v>0.99899125658128596</v>
      </c>
      <c r="I66" s="191"/>
      <c r="J66" s="191">
        <f t="array" ref="J66">SQRT((J9:K9*$B$22:$C$22)/($B$9:$C$9*$B$22:$C$22)*(J9:K9*J22:K22)/($B$9:$C$9*J22:K22))</f>
        <v>0.99982008159971225</v>
      </c>
      <c r="K66" s="191"/>
      <c r="L66" s="191">
        <f t="array" ref="L66">SQRT((L9:M9*$B$22:$C$22)/($B$9:$C$9*$B$22:$C$22)*(L9:M9*L22:M22)/($B$9:$C$9*L22:M22))</f>
        <v>1.0015123164753328</v>
      </c>
      <c r="M66" s="191"/>
      <c r="N66" s="191">
        <f t="array" ref="N66">SQRT((N9:O9*$B$22:$C$22)/($B$9:$C$9*$B$22:$C$22)*(N9:O9*N22:O22)/($B$9:$C$9*N22:O22))</f>
        <v>1.0043291455398404</v>
      </c>
      <c r="O66" s="191"/>
      <c r="P66" s="191">
        <f t="array" ref="P66">SQRT((P9:Q9*$B$22:$C$22)/($B$9:$C$9*$B$22:$C$22)*(P9:Q9*P22:Q22)/($B$9:$C$9*P22:Q22))</f>
        <v>1.0086297485784061</v>
      </c>
      <c r="Q66" s="191"/>
      <c r="R66" s="191">
        <f t="array" ref="R66">SQRT((R9:S9*$B$22:$C$22)/($B$9:$C$9*$B$22:$C$22)*(R9:S9*R22:S22)/($B$9:$C$9*R22:S22))</f>
        <v>1.0149154364926765</v>
      </c>
      <c r="S66" s="191"/>
      <c r="T66" s="191">
        <f t="array" ref="T66">SQRT((T9:U9*$B$22:$C$22)/($B$9:$C$9*$B$22:$C$22)*(T9:U9*T22:U22)/($B$9:$C$9*T22:U22))</f>
        <v>1.0238946428250737</v>
      </c>
      <c r="U66" s="191"/>
      <c r="V66" s="191">
        <f t="array" ref="V66">SQRT((V9:W9*$B$22:$C$22)/($B$9:$C$9*$B$22:$C$22)*(V9:W9*V22:W22)/($B$9:$C$9*V22:W22))</f>
        <v>1.0365816102741927</v>
      </c>
      <c r="W66" s="191"/>
      <c r="X66" s="191">
        <f t="array" ref="X66">SQRT((X9:Y9*$B$22:$C$22)/($B$9:$C$9*$B$22:$C$22)*(X9:Y9*X22:Y22)/($B$9:$C$9*X22:Y22))</f>
        <v>1.0544453852372471</v>
      </c>
      <c r="Y66" s="191"/>
      <c r="Z66" s="191">
        <f t="array" ref="Z66">SQRT((Z9:AA9*$B$22:$C$22)/($B$9:$C$9*$B$22:$C$22)*(Z9:AA9*Z22:AA22)/($B$9:$C$9*Z22:AA22))</f>
        <v>1.0796376868833593</v>
      </c>
      <c r="AA66" s="191"/>
      <c r="AB66" s="191">
        <f t="array" ref="AB66">SQRT((AB9:AC9*$B$22:$C$22)/($B$9:$C$9*$B$22:$C$22)*(AB9:AC9*AB22:AC22)/($B$9:$C$9*AB22:AC22))</f>
        <v>1.1153491062811456</v>
      </c>
      <c r="AC66" s="191"/>
      <c r="AD66" s="191">
        <f t="array" ref="AD66">SQRT((AD9:AE9*$B$22:$C$22)/($B$9:$C$9*$B$22:$C$22)*(AD9:AE9*AD22:AE22)/($B$9:$C$9*AD22:AE22))</f>
        <v>1.1664268006693455</v>
      </c>
      <c r="AE66" s="191"/>
      <c r="AF66" s="191">
        <f t="array" ref="AF66">SQRT((AF9:AG9*$B$22:$C$22)/($B$9:$C$9*$B$22:$C$22)*(AF9:AG9*AF22:AG22)/($B$9:$C$9*AF22:AG22))</f>
        <v>1.24071546293875</v>
      </c>
      <c r="AG66" s="191"/>
      <c r="AH66" s="191">
        <f t="array" ref="AH66">SQRT((AH9:AI9*$B$22:$C$22)/($B$9:$C$9*$B$22:$C$22)*(AH9:AI9*AH22:AI22)/($B$9:$C$9*AH22:AI22))</f>
        <v>1.3527722662542911</v>
      </c>
      <c r="AI66" s="191"/>
      <c r="AJ66" s="191">
        <f t="array" ref="AJ66">SQRT((AJ9:AK9*$B$22:$C$22)/($B$9:$C$9*$B$22:$C$22)*(AJ9:AK9*AJ22:AK22)/($B$9:$C$9*AJ22:AK22))</f>
        <v>1.535478241399058</v>
      </c>
      <c r="AK66" s="191"/>
      <c r="AL66" s="191">
        <f t="array" ref="AL66">SQRT((AL9:AM9*$B$22:$C$22)/($B$9:$C$9*$B$22:$C$22)*(AL9:AM9*AL22:AM22)/($B$9:$C$9*AL22:AM22))</f>
        <v>1.8768571299048564</v>
      </c>
      <c r="AM66" s="191"/>
      <c r="AN66" s="191">
        <f t="array" ref="AN66">SQRT((AN9:AO9*$B$22:$C$22)/($B$9:$C$9*$B$22:$C$22)*(AN9:AO9*AN22:AO22)/($B$9:$C$9*AN22:AO22))</f>
        <v>2.6755454662470632</v>
      </c>
      <c r="AO66" s="191"/>
      <c r="AP66" s="191">
        <f t="array" ref="AP66">SQRT((AP9:AQ9*$B$22:$C$22)/($B$9:$C$9*$B$22:$C$22)*(AP9:AQ9*AP22:AQ22)/($B$9:$C$9*AP22:AQ22))</f>
        <v>2.9838267487694417</v>
      </c>
      <c r="AQ66" s="191"/>
      <c r="AR66" s="191">
        <f t="array" ref="AR66">SQRT((AR9:AS9*$B$22:$C$22)/($B$9:$C$9*$B$22:$C$22)*(AR9:AS9*AR22:AS22)/($B$9:$C$9*AR22:AS22))</f>
        <v>3.4148191371606997</v>
      </c>
      <c r="AS66" s="191"/>
      <c r="AT66" s="191">
        <f t="array" ref="AT66">SQRT((AT9:AU9*$B$22:$C$22)/($B$9:$C$9*$B$22:$C$22)*(AT9:AU9*AT22:AU22)/($B$9:$C$9*AT22:AU22))</f>
        <v>4.0799096777156807</v>
      </c>
      <c r="AU66" s="191"/>
      <c r="AV66" s="191">
        <f t="array" ref="AV66">SQRT((AV9:AW9*$B$22:$C$22)/($B$9:$C$9*$B$22:$C$22)*(AV9:AW9*AV22:AW22)/($B$9:$C$9*AV22:AW22))</f>
        <v>5.3350856121758294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0.99920643700638578</v>
      </c>
      <c r="E68" s="191"/>
      <c r="F68" s="191">
        <f>F66/F67</f>
        <v>0.9988344483650351</v>
      </c>
      <c r="G68" s="191"/>
      <c r="H68" s="191">
        <f>H66/H67</f>
        <v>0.99899125658128596</v>
      </c>
      <c r="I68" s="191"/>
      <c r="J68" s="191">
        <f>J66/J67</f>
        <v>0.99982008159971225</v>
      </c>
      <c r="K68" s="191"/>
      <c r="L68" s="191">
        <f>L66/L67</f>
        <v>1.0015123164753328</v>
      </c>
      <c r="M68" s="191"/>
      <c r="N68" s="191">
        <f>N66/N67</f>
        <v>1.0043291455398404</v>
      </c>
      <c r="O68" s="191"/>
      <c r="P68" s="191">
        <f>P66/P67</f>
        <v>1.0086297485784061</v>
      </c>
      <c r="Q68" s="191"/>
      <c r="R68" s="191">
        <f>R66/R67</f>
        <v>1.0149154364926765</v>
      </c>
      <c r="S68" s="191"/>
      <c r="T68" s="191">
        <f>T66/T67</f>
        <v>1.0238946428250737</v>
      </c>
      <c r="U68" s="191"/>
      <c r="V68" s="191">
        <f>V66/V67</f>
        <v>1.0365816102741927</v>
      </c>
      <c r="W68" s="191"/>
      <c r="X68" s="191">
        <f>X66/X67</f>
        <v>1.0544453852372471</v>
      </c>
      <c r="Y68" s="191"/>
      <c r="Z68" s="191">
        <f>Z66/Z67</f>
        <v>1.0796376868833593</v>
      </c>
      <c r="AA68" s="191"/>
      <c r="AB68" s="191">
        <f>AB66/AB67</f>
        <v>1.1153491062811456</v>
      </c>
      <c r="AC68" s="191"/>
      <c r="AD68" s="191">
        <f>AD66/AD67</f>
        <v>1.1664268006693455</v>
      </c>
      <c r="AE68" s="191"/>
      <c r="AF68" s="191">
        <f>AF66/AF67</f>
        <v>1.24071546293875</v>
      </c>
      <c r="AG68" s="191"/>
      <c r="AH68" s="191">
        <f>AH66/AH67</f>
        <v>1.3527722662542911</v>
      </c>
      <c r="AI68" s="191"/>
      <c r="AJ68" s="191">
        <f>AJ66/AJ67</f>
        <v>1.535478241399058</v>
      </c>
      <c r="AK68" s="191"/>
      <c r="AL68" s="191">
        <f>AL66/AL67</f>
        <v>1.8768571299048564</v>
      </c>
      <c r="AM68" s="191"/>
      <c r="AN68" s="191">
        <f>AN66/AN67</f>
        <v>2.6755454662470632</v>
      </c>
      <c r="AO68" s="191"/>
      <c r="AP68" s="191">
        <f>AP66/AP67</f>
        <v>2.9838267487694417</v>
      </c>
      <c r="AQ68" s="191"/>
      <c r="AR68" s="191">
        <f>AR66/AR67</f>
        <v>3.4148191371606997</v>
      </c>
      <c r="AS68" s="191"/>
      <c r="AT68" s="191">
        <f>AT66/AT67</f>
        <v>4.0799096777156807</v>
      </c>
      <c r="AU68" s="191"/>
      <c r="AV68" s="191">
        <f>AV66/AV67</f>
        <v>5.3350856121758294</v>
      </c>
      <c r="XFD68" s="191"/>
    </row>
    <row r="69" spans="1:48 16384:16384" x14ac:dyDescent="0.2">
      <c r="A69" t="s">
        <v>177</v>
      </c>
      <c r="B69" s="191">
        <f>B32/B65/($B$32)</f>
        <v>1</v>
      </c>
      <c r="C69" s="191"/>
      <c r="D69" s="191">
        <f>D32/D65/($B$32)</f>
        <v>0.99094041059633875</v>
      </c>
      <c r="E69" s="191"/>
      <c r="F69" s="191">
        <f>F32/F65/($B$32)</f>
        <v>0.98043073242229228</v>
      </c>
      <c r="G69" s="191"/>
      <c r="H69" s="191">
        <f>H32/H65/($B$32)</f>
        <v>0.96820803284310197</v>
      </c>
      <c r="I69" s="191"/>
      <c r="J69" s="191">
        <f>J32/J65/($B$32)</f>
        <v>0.95395400836344357</v>
      </c>
      <c r="K69" s="191"/>
      <c r="L69" s="191">
        <f>L32/L65/($B$32)</f>
        <v>0.93728968122597012</v>
      </c>
      <c r="M69" s="191"/>
      <c r="N69" s="191">
        <f>N32/N65/($B$32)</f>
        <v>0.9177651168034725</v>
      </c>
      <c r="O69" s="191"/>
      <c r="P69" s="191">
        <f>P32/P65/($B$32)</f>
        <v>0.89485934587485194</v>
      </c>
      <c r="Q69" s="191"/>
      <c r="R69" s="191">
        <f>R32/R65/($B$32)</f>
        <v>0.86798780563968925</v>
      </c>
      <c r="S69" s="191"/>
      <c r="T69" s="191">
        <f>T32/T65/($B$32)</f>
        <v>0.83653106239378183</v>
      </c>
      <c r="U69" s="191"/>
      <c r="V69" s="191">
        <f>V32/V65/($B$32)</f>
        <v>0.79989743922015888</v>
      </c>
      <c r="W69" s="191"/>
      <c r="X69" s="191">
        <f>X32/X65/($B$32)</f>
        <v>0.7576353227662328</v>
      </c>
      <c r="Y69" s="191"/>
      <c r="Z69" s="191">
        <f>Z32/Z65/($B$32)</f>
        <v>0.70960280360798111</v>
      </c>
      <c r="AA69" s="191"/>
      <c r="AB69" s="191">
        <f>AB32/AB65/($B$32)</f>
        <v>0.65616636501393266</v>
      </c>
      <c r="AC69" s="191"/>
      <c r="AD69" s="191">
        <f>AD32/AD65/($B$32)</f>
        <v>0.59831054068298273</v>
      </c>
      <c r="AE69" s="191"/>
      <c r="AF69" s="191">
        <f>AF32/AF65/($B$32)</f>
        <v>0.537404712295801</v>
      </c>
      <c r="AG69" s="191"/>
      <c r="AH69" s="191">
        <f>AH32/AH65/($B$32)</f>
        <v>0.47428131298357512</v>
      </c>
      <c r="AI69" s="191"/>
      <c r="AJ69" s="191">
        <f>AJ32/AJ65/($B$32)</f>
        <v>0.40711680280815471</v>
      </c>
      <c r="AK69" s="191"/>
      <c r="AL69" s="191">
        <f>AL32/AL65/($B$32)</f>
        <v>0.32534822326026802</v>
      </c>
      <c r="AM69" s="191"/>
      <c r="AN69" s="191">
        <f>AN32/AN65/($B$32)</f>
        <v>0.16819051538509661</v>
      </c>
      <c r="AO69" s="191"/>
      <c r="AP69" s="191">
        <f>AP32/AP65/($B$32)</f>
        <v>8.2168093128790115E-2</v>
      </c>
      <c r="AQ69" s="191"/>
      <c r="AR69" s="191" t="e">
        <f>AR32/AR65/($B$32)</f>
        <v>#NUM!</v>
      </c>
      <c r="AS69" s="191"/>
      <c r="AT69" s="191" t="e">
        <f>AT32/AT65/($B$32)</f>
        <v>#NUM!</v>
      </c>
      <c r="AU69" s="191"/>
      <c r="AV69" s="191" t="e">
        <f>AV32/AV65/($B$32)</f>
        <v>#NUM!</v>
      </c>
    </row>
    <row r="70" spans="1:48 16384:16384" x14ac:dyDescent="0.2">
      <c r="A70" t="s">
        <v>178</v>
      </c>
      <c r="B70" s="138">
        <f>B18/$B$18</f>
        <v>1</v>
      </c>
      <c r="C70" s="138"/>
      <c r="D70" s="138">
        <f>D18/$B$18</f>
        <v>0.99001911216860172</v>
      </c>
      <c r="E70" s="138"/>
      <c r="F70" s="138">
        <f>F18/$B$18</f>
        <v>0.97861977886722973</v>
      </c>
      <c r="G70" s="138"/>
      <c r="H70" s="138">
        <f>H18/$B$18</f>
        <v>0.96554448763042422</v>
      </c>
      <c r="I70" s="138"/>
      <c r="J70" s="138">
        <f>J18/$B$18</f>
        <v>0.95048156089219304</v>
      </c>
      <c r="K70" s="138"/>
      <c r="L70" s="138">
        <f>L18/$B$18</f>
        <v>0.93305961595350018</v>
      </c>
      <c r="M70" s="138"/>
      <c r="N70" s="138">
        <f>N18/$B$18</f>
        <v>0.91283773951152847</v>
      </c>
      <c r="O70" s="138"/>
      <c r="P70" s="138">
        <f>P18/$B$18</f>
        <v>0.8893051526763005</v>
      </c>
      <c r="Q70" s="138"/>
      <c r="R70" s="138">
        <f>R18/$B$18</f>
        <v>0.86188869492294218</v>
      </c>
      <c r="S70" s="138"/>
      <c r="T70" s="138">
        <f>T18/$B$18</f>
        <v>0.82998123630787912</v>
      </c>
      <c r="U70" s="138"/>
      <c r="V70" s="138">
        <f>V18/$B$18</f>
        <v>0.79300371850272511</v>
      </c>
      <c r="W70" s="138"/>
      <c r="X70" s="138">
        <f>X18/$B$18</f>
        <v>0.75051630344918696</v>
      </c>
      <c r="Y70" s="138"/>
      <c r="Z70" s="138">
        <f>Z18/$B$18</f>
        <v>0.70238623242531573</v>
      </c>
      <c r="AA70" s="138"/>
      <c r="AB70" s="138">
        <f>AB18/$B$18</f>
        <v>0.64898437483388671</v>
      </c>
      <c r="AC70" s="138"/>
      <c r="AD70" s="138">
        <f>AD18/$B$18</f>
        <v>0.59129587443008058</v>
      </c>
      <c r="AE70" s="138"/>
      <c r="AF70" s="138">
        <f>AF18/$B$18</f>
        <v>0.53070631482822439</v>
      </c>
      <c r="AG70" s="138"/>
      <c r="AH70" s="138">
        <f>AH18/$B$18</f>
        <v>0.46818741837660921</v>
      </c>
      <c r="AI70" s="138"/>
      <c r="AJ70" s="138">
        <f>AJ18/$B$18</f>
        <v>0.40276820021266152</v>
      </c>
      <c r="AK70" s="138"/>
      <c r="AL70" s="138">
        <f>AL18/$B$18</f>
        <v>0.32920653346145928</v>
      </c>
      <c r="AM70" s="138"/>
      <c r="AN70" s="138">
        <f>AN18/$B$18</f>
        <v>0.23187674368784206</v>
      </c>
      <c r="AO70" s="138"/>
      <c r="AP70" s="138">
        <f>AP18/$B$18</f>
        <v>0.20577553241335991</v>
      </c>
      <c r="AQ70" s="138"/>
      <c r="AR70" s="138">
        <f>AR18/$B$18</f>
        <v>0.17531506396709196</v>
      </c>
      <c r="AS70" s="138"/>
      <c r="AT70" s="138">
        <f>AT18/$B$18</f>
        <v>0.13817495431277696</v>
      </c>
      <c r="AU70" s="138"/>
      <c r="AV70" s="138">
        <f>AV18/$B$18</f>
        <v>8.9123929619864248E-2</v>
      </c>
    </row>
    <row r="71" spans="1:48 16384:16384" x14ac:dyDescent="0.2">
      <c r="A71" t="s">
        <v>179</v>
      </c>
      <c r="B71" s="138">
        <f>C18/$C$18</f>
        <v>1</v>
      </c>
      <c r="D71" s="138">
        <f>E18/$C$18</f>
        <v>0.93337117820671089</v>
      </c>
      <c r="E71" s="138"/>
      <c r="F71" s="138">
        <f>G18/$C$18</f>
        <v>0.86707357274550811</v>
      </c>
      <c r="G71" s="138"/>
      <c r="H71" s="138">
        <f>I18/$C$18</f>
        <v>0.80119023018445434</v>
      </c>
      <c r="I71" s="138"/>
      <c r="J71" s="138">
        <f>K18/$C$18</f>
        <v>0.73582409745022515</v>
      </c>
      <c r="K71" s="138"/>
      <c r="L71" s="138">
        <f>M18/$C$18</f>
        <v>0.67109591356972609</v>
      </c>
      <c r="M71" s="138"/>
      <c r="N71" s="138">
        <f>O18/$C$18</f>
        <v>0.60715166199710191</v>
      </c>
      <c r="O71" s="138"/>
      <c r="P71" s="138">
        <f>Q18/$C$18</f>
        <v>0.54415921334100925</v>
      </c>
      <c r="Q71" s="138"/>
      <c r="R71" s="138">
        <f>S18/$C$18</f>
        <v>0.48230582886307705</v>
      </c>
      <c r="S71" s="138"/>
      <c r="T71" s="138">
        <f>U18/$C$18</f>
        <v>0.42178937403366351</v>
      </c>
      <c r="U71" s="138"/>
      <c r="V71" s="138">
        <f>W18/$C$18</f>
        <v>0.36279751128247933</v>
      </c>
      <c r="W71" s="138"/>
      <c r="X71" s="138">
        <f>Y18/$C$18</f>
        <v>0.30548266562378623</v>
      </c>
      <c r="Y71" s="138"/>
      <c r="Z71" s="138">
        <f>AA18/$C$18</f>
        <v>0.24994080096976604</v>
      </c>
      <c r="AA71" s="138"/>
      <c r="AB71" s="138">
        <f>AC18/$C$18</f>
        <v>0.19623559234858964</v>
      </c>
      <c r="AC71" s="138"/>
      <c r="AD71" s="138">
        <f>AE18/$C$18</f>
        <v>0.14456648506259517</v>
      </c>
      <c r="AE71" s="138"/>
      <c r="AF71" s="138">
        <f>AG18/$C$18</f>
        <v>9.5746014597651044E-2</v>
      </c>
      <c r="AG71" s="138"/>
      <c r="AH71" s="138">
        <f>AI18/$C$18</f>
        <v>5.2167732654621067E-2</v>
      </c>
      <c r="AI71" s="138"/>
      <c r="AJ71" s="138">
        <f>AK18/$C$18</f>
        <v>1.906411577344443E-2</v>
      </c>
      <c r="AK71" s="138"/>
      <c r="AL71" s="138">
        <f>AM18/$C$18</f>
        <v>2.8493292887997821E-3</v>
      </c>
      <c r="AM71" s="138"/>
      <c r="AN71" s="138">
        <f>AO18/$C$18</f>
        <v>5.1286884694525121E-5</v>
      </c>
      <c r="AO71" s="138"/>
      <c r="AP71" s="138">
        <f>AQ18/$C$18</f>
        <v>1.3229026562815249E-5</v>
      </c>
      <c r="AQ71" s="138"/>
      <c r="AR71" s="138">
        <f>AS18/$C$18</f>
        <v>2.3062719971101082E-6</v>
      </c>
      <c r="AS71" s="138"/>
      <c r="AT71" s="138">
        <f>AU18/$C$18</f>
        <v>2.0212265730688021E-7</v>
      </c>
      <c r="AU71" s="138"/>
      <c r="AV71" s="138">
        <f>AW18/$C$18</f>
        <v>3.5910060147348031E-9</v>
      </c>
      <c r="XFD71" s="138"/>
    </row>
    <row r="72" spans="1:48 16384:16384" x14ac:dyDescent="0.2">
      <c r="A72" t="s">
        <v>180</v>
      </c>
      <c r="B72" s="138">
        <f>C19/$C$19</f>
        <v>1</v>
      </c>
      <c r="D72" s="138">
        <f>E19/$C$19</f>
        <v>1.0117428783643907</v>
      </c>
      <c r="E72" s="138"/>
      <c r="F72" s="138">
        <f>G19/$C$19</f>
        <v>1.0247840950914648</v>
      </c>
      <c r="G72" s="138"/>
      <c r="H72" s="138">
        <f>I19/$C$19</f>
        <v>1.0390174008675659</v>
      </c>
      <c r="I72" s="138"/>
      <c r="J72" s="138">
        <f>K19/$C$19</f>
        <v>1.0542585043054127</v>
      </c>
      <c r="K72" s="138"/>
      <c r="L72" s="138">
        <f>M19/$C$19</f>
        <v>1.0702246729673122</v>
      </c>
      <c r="M72" s="138"/>
      <c r="N72" s="138">
        <f>O19/$C$19</f>
        <v>1.0865099669420746</v>
      </c>
      <c r="O72" s="138"/>
      <c r="P72" s="138">
        <f>Q19/$C$19</f>
        <v>1.1025712420092419</v>
      </c>
      <c r="Q72" s="138"/>
      <c r="R72" s="138">
        <f>S19/$C$19</f>
        <v>1.1177325710411337</v>
      </c>
      <c r="S72" s="138"/>
      <c r="T72" s="138">
        <f>U19/$C$19</f>
        <v>1.1312337963897234</v>
      </c>
      <c r="U72" s="138"/>
      <c r="V72" s="138">
        <f>W19/$C$19</f>
        <v>1.1423521684838633</v>
      </c>
      <c r="W72" s="138"/>
      <c r="X72" s="138">
        <f>Y19/$C$19</f>
        <v>1.1506250418926294</v>
      </c>
      <c r="Y72" s="138"/>
      <c r="Z72" s="138">
        <f>AA19/$C$19</f>
        <v>1.1561549130522379</v>
      </c>
      <c r="AA72" s="138"/>
      <c r="AB72" s="138">
        <f>AC19/$C$19</f>
        <v>1.1598063261531142</v>
      </c>
      <c r="AC72" s="138"/>
      <c r="AD72" s="138">
        <f>AE19/$C$19</f>
        <v>1.1626872513145083</v>
      </c>
      <c r="AE72" s="138"/>
      <c r="AF72" s="138">
        <f>AG19/$C$19</f>
        <v>1.1634217742576038</v>
      </c>
      <c r="AG72" s="138"/>
      <c r="AH72" s="138">
        <f>AI19/$C$19</f>
        <v>1.1500323090246518</v>
      </c>
      <c r="AI72" s="138"/>
      <c r="AJ72" s="138">
        <f>AK19/$C$19</f>
        <v>1.0807499357042716</v>
      </c>
      <c r="AK72" s="138"/>
      <c r="AL72" s="138">
        <f>AM19/$C$19</f>
        <v>0.86549984292329529</v>
      </c>
      <c r="AM72" s="138"/>
      <c r="AN72" s="138">
        <f>AO19/$C$19</f>
        <v>0.46599292663229713</v>
      </c>
      <c r="AO72" s="138"/>
      <c r="AP72" s="138">
        <f>AQ19/$C$19</f>
        <v>0.3741790992845993</v>
      </c>
      <c r="AQ72" s="138"/>
      <c r="AR72" s="138">
        <f>AS19/$C$19</f>
        <v>0.28115141335039368</v>
      </c>
      <c r="AS72" s="138"/>
      <c r="AT72" s="138">
        <f>AU19/$C$19</f>
        <v>0.18756992422689966</v>
      </c>
      <c r="AU72" s="138"/>
      <c r="AV72" s="138">
        <f>AW19/$C$19</f>
        <v>9.3802357078190887E-2</v>
      </c>
      <c r="XFD72" s="138"/>
    </row>
    <row r="73" spans="1:48 16384:16384" x14ac:dyDescent="0.2">
      <c r="A73" t="s">
        <v>184</v>
      </c>
      <c r="B73" s="193">
        <f t="array" ref="B73">SUM(B9:C9*B22:C22)/B32</f>
        <v>0.47641153352875065</v>
      </c>
      <c r="D73" s="193">
        <f t="array" ref="D73">SUM(D9:E9*D22:E22)/D32</f>
        <v>0.47480802674165168</v>
      </c>
      <c r="E73" s="138"/>
      <c r="F73" s="193">
        <f t="array" ref="F73">SUM(F9:G9*F22:G22)/F32</f>
        <v>0.47319748469853562</v>
      </c>
      <c r="G73" s="138"/>
      <c r="H73" s="193">
        <f t="array" ref="H73">SUM(H9:I9*H22:I22)/H32</f>
        <v>0.47158159742785316</v>
      </c>
      <c r="I73" s="138"/>
      <c r="J73" s="193">
        <f t="array" ref="J73">SUM(J9:K9*J22:K22)/J32</f>
        <v>0.46996302855676458</v>
      </c>
      <c r="K73" s="138"/>
      <c r="L73" s="193">
        <f t="array" ref="L73">SUM(L9:M9*L22:M22)/L32</f>
        <v>0.46834519388233792</v>
      </c>
      <c r="M73" s="138"/>
      <c r="N73" s="193">
        <f t="array" ref="N73">SUM(N9:O9*N22:O22)/N32</f>
        <v>0.46673276293982746</v>
      </c>
      <c r="O73" s="138"/>
      <c r="P73" s="193">
        <f t="array" ref="P73">SUM(P9:Q9*P22:Q22)/P32</f>
        <v>0.4651312706325898</v>
      </c>
      <c r="Q73" s="138"/>
      <c r="R73" s="193">
        <f t="array" ref="R73">SUM(R9:S9*R22:S22)/R32</f>
        <v>0.46354679721473852</v>
      </c>
      <c r="S73" s="138"/>
      <c r="T73" s="193">
        <f t="array" ref="T73">SUM(T9:U9*T22:U22)/T32</f>
        <v>0.46198438022774913</v>
      </c>
      <c r="U73" s="138"/>
      <c r="V73" s="193">
        <f t="array" ref="V73">SUM(V9:W9*V22:W22)/V32</f>
        <v>0.46044485340642238</v>
      </c>
      <c r="W73" s="138"/>
      <c r="X73" s="193">
        <f t="array" ref="X73">SUM(X9:Y9*X22:Y22)/X32</f>
        <v>0.45891748957473766</v>
      </c>
      <c r="Y73" s="138"/>
      <c r="Z73" s="193">
        <f t="array" ref="Z73">SUM(Z9:AA9*Z22:AA22)/Z32</f>
        <v>0.45736595711363087</v>
      </c>
      <c r="AA73" s="138"/>
      <c r="AB73" s="193">
        <f t="array" ref="AB73">SUM(AB9:AC9*AB22:AC22)/AB32</f>
        <v>0.4557016644312899</v>
      </c>
      <c r="AC73" s="138"/>
      <c r="AD73" s="193">
        <f t="array" ref="AD73">SUM(AD9:AE9*AD22:AE22)/AD32</f>
        <v>0.45373703537245008</v>
      </c>
      <c r="AE73" s="138"/>
      <c r="AF73" s="193">
        <f t="array" ref="AF73">SUM(AF9:AG9*AF22:AG22)/AF32</f>
        <v>0.45110400249004362</v>
      </c>
      <c r="AG73" s="138"/>
      <c r="AH73" s="193">
        <f t="array" ref="AH73">SUM(AH9:AI9*AH22:AI22)/AH32</f>
        <v>0.4470891949973797</v>
      </c>
      <c r="AI73" s="138"/>
      <c r="AJ73" s="193">
        <f t="array" ref="AJ73">SUM(AJ9:AK9*AJ22:AK22)/AJ32</f>
        <v>0.44022128034399588</v>
      </c>
      <c r="AK73" s="138"/>
      <c r="AL73" s="193">
        <f t="array" ref="AL73">SUM(AL9:AM9*AL22:AM22)/AL32</f>
        <v>0.42740314518560302</v>
      </c>
      <c r="AM73" s="138"/>
      <c r="AN73" s="193">
        <f t="array" ref="AN73">SUM(AN9:AO9*AN22:AO22)/AN32</f>
        <v>0.40208963864314529</v>
      </c>
      <c r="AO73" s="138"/>
      <c r="AP73" s="193">
        <f t="array" ref="AP73">SUM(AP9:AQ9*AP22:AQ22)/AP32</f>
        <v>0.39381842135021788</v>
      </c>
      <c r="AQ73" s="138"/>
      <c r="AR73" s="193">
        <f t="array" ref="AR73">SUM(AR9:AS9*AR22:AS22)/AR32</f>
        <v>0.38314230241731018</v>
      </c>
      <c r="AS73" s="138"/>
      <c r="AT73" s="193">
        <f t="array" ref="AT73">SUM(AT9:AU9*AT22:AU22)/AT32</f>
        <v>0.3680674502149604</v>
      </c>
      <c r="AU73" s="138"/>
      <c r="AV73" s="193">
        <f t="array" ref="AV73">SUM(AV9:AW9*AV22:AW22)/AV32</f>
        <v>0.34235543380808892</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0.22604620456442484</v>
      </c>
      <c r="AC74" s="138"/>
      <c r="AD74" s="193">
        <f t="array" ref="AD74">SUM(AD10:AE10*AD23:AE23)/AD32</f>
        <v>0.22604620456442481</v>
      </c>
      <c r="AE74" s="138"/>
      <c r="AF74" s="193">
        <f t="array" ref="AF74">SUM(AF10:AG10*AF23:AG23)/AF32</f>
        <v>0.22604620456442487</v>
      </c>
      <c r="AG74" s="138"/>
      <c r="AH74" s="193">
        <f t="array" ref="AH74">SUM(AH10:AI10*AH23:AI23)/AH32</f>
        <v>0.22604620456442484</v>
      </c>
      <c r="AI74" s="138"/>
      <c r="AJ74" s="193">
        <f t="array" ref="AJ74">SUM(AJ10:AK10*AJ23:AK23)/AJ32</f>
        <v>0.22604620456442487</v>
      </c>
      <c r="AK74" s="138"/>
      <c r="AL74" s="193">
        <f t="array" ref="AL74">SUM(AL10:AM10*AL23:AM23)/AL32</f>
        <v>0.22604620456442481</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0.22238328113923306</v>
      </c>
      <c r="E75" s="138"/>
      <c r="F75" s="193">
        <f t="array" ref="F75">SUM(F11:G11*F24:G24)/F32</f>
        <v>0.22475952315093728</v>
      </c>
      <c r="G75" s="138"/>
      <c r="H75" s="193">
        <f t="array" ref="H75">SUM(H11:I11*H24:I24)/H32</f>
        <v>0.22760015825692426</v>
      </c>
      <c r="I75" s="138"/>
      <c r="J75" s="193">
        <f t="array" ref="J75">SUM(J11:K11*J24:K24)/J32</f>
        <v>0.23101828917296016</v>
      </c>
      <c r="K75" s="138"/>
      <c r="L75" s="193">
        <f t="array" ref="L75">SUM(L11:M11*L24:M24)/L32</f>
        <v>0.23516111318773691</v>
      </c>
      <c r="M75" s="138"/>
      <c r="N75" s="193">
        <f t="array" ref="N75">SUM(N11:O11*N24:O24)/N32</f>
        <v>0.24022284766428381</v>
      </c>
      <c r="O75" s="138"/>
      <c r="P75" s="193">
        <f t="array" ref="P75">SUM(P11:Q11*P24:Q24)/P32</f>
        <v>0.24646070704273462</v>
      </c>
      <c r="Q75" s="138"/>
      <c r="R75" s="193">
        <f t="array" ref="R75">SUM(R11:S11*R24:S24)/R32</f>
        <v>0.25421728260772414</v>
      </c>
      <c r="S75" s="138"/>
      <c r="T75" s="193">
        <f t="array" ref="T75">SUM(T11:U11*T24:U24)/T32</f>
        <v>0.26394915364250005</v>
      </c>
      <c r="U75" s="138"/>
      <c r="V75" s="193">
        <f t="array" ref="V75">SUM(V11:W11*V24:W24)/V32</f>
        <v>0.27626144618157927</v>
      </c>
      <c r="W75" s="138"/>
      <c r="X75" s="193">
        <f t="array" ref="X75">SUM(X11:Y11*X24:Y24)/X32</f>
        <v>0.29194367941507626</v>
      </c>
      <c r="Y75" s="138"/>
      <c r="Z75" s="193">
        <f t="array" ref="Z75">SUM(Z11:AA11*Z24:AA24)/Z32</f>
        <v>0.31199375866912815</v>
      </c>
      <c r="AA75" s="138"/>
      <c r="AB75" s="193">
        <f t="array" ref="AB75">SUM(AB11:AC11*AB24:AC24)/AB32</f>
        <v>0.33760543322808167</v>
      </c>
      <c r="AC75" s="138"/>
      <c r="AD75" s="193">
        <f t="array" ref="AD75">SUM(AD11:AE11*AD24:AE24)/AD32</f>
        <v>0.37009966140154305</v>
      </c>
      <c r="AE75" s="138"/>
      <c r="AF75" s="193">
        <f t="array" ref="AF75">SUM(AF11:AG11*AF24:AG24)/AF32</f>
        <v>0.41086068197542502</v>
      </c>
      <c r="AG75" s="138"/>
      <c r="AH75" s="193">
        <f t="array" ref="AH75">SUM(AH11:AI11*AH24:AI24)/AH32</f>
        <v>0.4615717406130731</v>
      </c>
      <c r="AI75" s="138"/>
      <c r="AJ75" s="193">
        <f t="array" ref="AJ75">SUM(AJ11:AK11*AJ24:AK24)/AJ32</f>
        <v>0.52549289910774033</v>
      </c>
      <c r="AK75" s="138"/>
      <c r="AL75" s="193">
        <f t="array" ref="AL75">SUM(AL11:AM11*AL24:AM24)/AL32</f>
        <v>0.61245333470938401</v>
      </c>
      <c r="AM75" s="138"/>
      <c r="AN75" s="193">
        <f t="array" ref="AN75">SUM(AN11:AO11*AN24:AO24)/AN32</f>
        <v>0.76996507929058911</v>
      </c>
      <c r="AO75" s="138"/>
      <c r="AP75" s="193">
        <f t="array" ref="AP75">SUM(AP11:AQ11*AP24:AQ24)/AP32</f>
        <v>0.82782023268221494</v>
      </c>
      <c r="AQ75" s="138"/>
      <c r="AR75" s="193">
        <f t="array" ref="AR75">SUM(AR11:AS11*AR24:AS24)/AR32</f>
        <v>0.90962085836019546</v>
      </c>
      <c r="AS75" s="138"/>
      <c r="AT75" s="193">
        <f t="array" ref="AT75">SUM(AT11:AU11*AT24:AU24)/AT32</f>
        <v>1.0406602410807022</v>
      </c>
      <c r="AU75" s="138"/>
      <c r="AV75" s="193">
        <f t="array" ref="AV75">SUM(AV11:AW11*AV24:AW24)/AV32</f>
        <v>1.3142136236499662</v>
      </c>
      <c r="XFD75" s="193"/>
    </row>
    <row r="76" spans="1:48 16384:16384" x14ac:dyDescent="0.2">
      <c r="A76" t="s">
        <v>187</v>
      </c>
      <c r="B76" s="193">
        <f t="array" ref="B76">SUM(B12:C12*B25:C25)/B32</f>
        <v>0.22301874374724867</v>
      </c>
      <c r="D76" s="193">
        <f t="array" ref="D76">SUM(D12:E12*D25:E25)/D32</f>
        <v>0.22274062706705386</v>
      </c>
      <c r="E76" s="138"/>
      <c r="F76" s="193">
        <f t="array" ref="F76">SUM(F12:G12*F25:G25)/F32</f>
        <v>0.22222582628075913</v>
      </c>
      <c r="G76" s="138"/>
      <c r="H76" s="193">
        <f t="array" ref="H76">SUM(H12:I12*H25:I25)/H32</f>
        <v>0.2214107197168832</v>
      </c>
      <c r="I76" s="138"/>
      <c r="J76" s="193">
        <f t="array" ref="J76">SUM(J12:K12*J25:K25)/J32</f>
        <v>0.22021162678100692</v>
      </c>
      <c r="K76" s="138"/>
      <c r="L76" s="193">
        <f t="array" ref="L76">SUM(L12:M12*L25:M25)/L32</f>
        <v>0.21851909730605482</v>
      </c>
      <c r="M76" s="138"/>
      <c r="N76" s="193">
        <f t="array" ref="N76">SUM(N12:O12*N25:O25)/N32</f>
        <v>0.21618834796896882</v>
      </c>
      <c r="O76" s="138"/>
      <c r="P76" s="193">
        <f t="array" ref="P76">SUM(P12:Q12*P25:Q25)/P32</f>
        <v>0.21302862214554052</v>
      </c>
      <c r="Q76" s="138"/>
      <c r="R76" s="193">
        <f t="array" ref="R76">SUM(R12:S12*R25:S25)/R32</f>
        <v>0.20878896691033297</v>
      </c>
      <c r="S76" s="138"/>
      <c r="T76" s="193">
        <f t="array" ref="T76">SUM(T12:U12*T25:U25)/T32</f>
        <v>0.20314270539965085</v>
      </c>
      <c r="U76" s="138"/>
      <c r="V76" s="193">
        <f t="array" ref="V76">SUM(V12:W12*V25:W25)/V32</f>
        <v>0.19567316126819542</v>
      </c>
      <c r="W76" s="138"/>
      <c r="X76" s="193">
        <f t="array" ref="X76">SUM(X12:Y12*X25:Y25)/X32</f>
        <v>0.18586976372122208</v>
      </c>
      <c r="Y76" s="138"/>
      <c r="Z76" s="193">
        <f t="array" ref="Z76">SUM(Z12:AA12*Z25:AA25)/Z32</f>
        <v>0.1731517468071109</v>
      </c>
      <c r="AA76" s="138"/>
      <c r="AB76" s="193">
        <f t="array" ref="AB76">SUM(AB12:AC12*AB25:AC25)/AB32</f>
        <v>0.15694886671491889</v>
      </c>
      <c r="AC76" s="138"/>
      <c r="AD76" s="193">
        <f t="array" ref="AD76">SUM(AD12:AE12*AD25:AE25)/AD32</f>
        <v>0.13686438316700822</v>
      </c>
      <c r="AE76" s="138"/>
      <c r="AF76" s="193">
        <f t="array" ref="AF76">SUM(AF12:AG12*AF25:AG25)/AF32</f>
        <v>0.11289322319724072</v>
      </c>
      <c r="AG76" s="138"/>
      <c r="AH76" s="193">
        <f t="array" ref="AH76">SUM(AH12:AI12*AH25:AI25)/AH32</f>
        <v>8.5586325675014022E-2</v>
      </c>
      <c r="AI76" s="138"/>
      <c r="AJ76" s="193">
        <f t="array" ref="AJ76">SUM(AJ12:AK12*AJ25:AK25)/AJ32</f>
        <v>5.6234478667251321E-2</v>
      </c>
      <c r="AK76" s="138"/>
      <c r="AL76" s="193">
        <f t="array" ref="AL76">SUM(AL12:AM12*AL25:AM25)/AL32</f>
        <v>2.8030655006767706E-2</v>
      </c>
      <c r="AM76" s="138"/>
      <c r="AN76" s="193">
        <f t="array" ref="AN76">SUM(AN12:AO12*AN25:AO25)/AN32</f>
        <v>7.5387833615614824E-3</v>
      </c>
      <c r="AO76" s="138"/>
      <c r="AP76" s="193">
        <f t="array" ref="AP76">SUM(AP12:AQ12*AP25:AQ25)/AP32</f>
        <v>4.9140217496092767E-3</v>
      </c>
      <c r="AQ76" s="138"/>
      <c r="AR76" s="193">
        <f t="array" ref="AR76">SUM(AR12:AS12*AR25:AS25)/AR32</f>
        <v>2.8374277916809868E-3</v>
      </c>
      <c r="AS76" s="138"/>
      <c r="AT76" s="193">
        <f t="array" ref="AT76">SUM(AT12:AU12*AT25:AU25)/AT32</f>
        <v>1.3195780425556893E-3</v>
      </c>
      <c r="AU76" s="138"/>
      <c r="AV76" s="193">
        <f t="array" ref="AV76">SUM(AV12:AW12*AV25:AW25)/AV32</f>
        <v>3.6768919357996758E-4</v>
      </c>
      <c r="XFD76" s="193"/>
    </row>
    <row r="77" spans="1:48 16384:16384" x14ac:dyDescent="0.2">
      <c r="A77" t="s">
        <v>188</v>
      </c>
      <c r="B77" s="193">
        <f t="array" ref="B77">SUM(B4:C4*B19:C19)/B32</f>
        <v>0.14586087017236485</v>
      </c>
      <c r="D77" s="193">
        <f t="array" ref="D77">SUM(D4:E4*D19:E19)/D32</f>
        <v>0.14597813951236335</v>
      </c>
      <c r="E77" s="138"/>
      <c r="F77" s="193">
        <f t="array" ref="F77">SUM(F4:G4*F19:G19)/F32</f>
        <v>0.14622903869465684</v>
      </c>
      <c r="G77" s="138"/>
      <c r="H77" s="193">
        <f t="array" ref="H77">SUM(H4:I4*H19:I19)/H32</f>
        <v>0.14663867996608532</v>
      </c>
      <c r="I77" s="138"/>
      <c r="J77" s="193">
        <f t="array" ref="J77">SUM(J4:K4*J19:K19)/J32</f>
        <v>0.1472391490751562</v>
      </c>
      <c r="K77" s="138"/>
      <c r="L77" s="193">
        <f t="array" ref="L77">SUM(L4:M4*L19:M19)/L32</f>
        <v>0.14807160894055441</v>
      </c>
      <c r="M77" s="138"/>
      <c r="N77" s="193">
        <f t="array" ref="N77">SUM(N4:O4*N19:O19)/N32</f>
        <v>0.1491901631375048</v>
      </c>
      <c r="O77" s="138"/>
      <c r="P77" s="193">
        <f t="array" ref="P77">SUM(P4:Q4*P19:Q19)/P32</f>
        <v>0.15066680438528984</v>
      </c>
      <c r="Q77" s="138"/>
      <c r="R77" s="193">
        <f t="array" ref="R77">SUM(R4:S4*R19:S19)/R32</f>
        <v>0.15259925129722035</v>
      </c>
      <c r="S77" s="138"/>
      <c r="T77" s="193">
        <f t="array" ref="T77">SUM(T4:U4*T19:U19)/T32</f>
        <v>0.15512244383432497</v>
      </c>
      <c r="U77" s="138"/>
      <c r="V77" s="193">
        <f t="array" ref="V77">SUM(V4:W4*V19:W19)/V32</f>
        <v>0.15842566542062181</v>
      </c>
      <c r="W77" s="138"/>
      <c r="X77" s="193">
        <f t="array" ref="X77">SUM(X4:Y4*X19:Y19)/X32</f>
        <v>0.1627771372754607</v>
      </c>
      <c r="Y77" s="138"/>
      <c r="Z77" s="193">
        <f t="array" ref="Z77">SUM(Z4:AA4*Z19:AA19)/Z32</f>
        <v>0.16855766715429454</v>
      </c>
      <c r="AA77" s="138"/>
      <c r="AB77" s="193">
        <f t="array" ref="AB77">SUM(AB4:AC4*AB19:AC19)/AB32</f>
        <v>0.17630216893871523</v>
      </c>
      <c r="AC77" s="138"/>
      <c r="AD77" s="193">
        <f t="array" ref="AD77">SUM(AD4:AE4*AD19:AE19)/AD32</f>
        <v>0.18674728450542616</v>
      </c>
      <c r="AE77" s="138"/>
      <c r="AF77" s="193">
        <f t="array" ref="AF77">SUM(AF4:AG4*AF19:AG19)/AF32</f>
        <v>0.20090411222713406</v>
      </c>
      <c r="AG77" s="138"/>
      <c r="AH77" s="193">
        <f t="array" ref="AH77">SUM(AH4:AI4*AH19:AI19)/AH32</f>
        <v>0.22029346584989157</v>
      </c>
      <c r="AI77" s="138"/>
      <c r="AJ77" s="193">
        <f t="array" ref="AJ77">SUM(AJ4:AK4*AJ19:AK19)/AJ32</f>
        <v>0.24799486268341225</v>
      </c>
      <c r="AK77" s="138"/>
      <c r="AL77" s="193">
        <f t="array" ref="AL77">SUM(AL4:AM4*AL19:AM19)/AL32</f>
        <v>0.2939333394661795</v>
      </c>
      <c r="AM77" s="138"/>
      <c r="AN77" s="193">
        <f t="array" ref="AN77">SUM(AN4:AO4*AN19:AO19)/AN32</f>
        <v>0.40563970585972042</v>
      </c>
      <c r="AO77" s="138"/>
      <c r="AP77" s="193">
        <f t="array" ref="AP77">SUM(AP4:AQ4*AP19:AQ19)/AP32</f>
        <v>0.45259888034646678</v>
      </c>
      <c r="AQ77" s="138"/>
      <c r="AR77" s="193">
        <f t="array" ref="AR77">SUM(AR4:AS4*AR19:AS19)/AR32</f>
        <v>0.52164679313361162</v>
      </c>
      <c r="AS77" s="138"/>
      <c r="AT77" s="193">
        <f t="array" ref="AT77">SUM(AT4:AU4*AT19:AU19)/AT32</f>
        <v>0.63609347390264315</v>
      </c>
      <c r="AU77" s="138"/>
      <c r="AV77" s="193">
        <f t="array" ref="AV77">SUM(AV4:AW4*AV19:AW19)/AV32</f>
        <v>0.88298295121605974</v>
      </c>
      <c r="XFD77" s="193"/>
    </row>
    <row r="78" spans="1:48 16384:16384" x14ac:dyDescent="0.2">
      <c r="A78" t="s">
        <v>189</v>
      </c>
      <c r="B78" s="193">
        <f t="array" ref="B78">SUM(B13:C13*B26:C26)/B32</f>
        <v>0.346887593115773</v>
      </c>
      <c r="D78" s="193">
        <f t="array" ref="D78">SUM(D13:E13*D26:E26)/D32</f>
        <v>0.34540462648688702</v>
      </c>
      <c r="E78" s="138"/>
      <c r="F78" s="193">
        <f t="array" ref="F78">SUM(F13:G13*F26:G26)/F32</f>
        <v>0.34387473525528706</v>
      </c>
      <c r="G78" s="138"/>
      <c r="H78" s="193">
        <f t="array" ref="H78">SUM(H13:I13*H26:I26)/H32</f>
        <v>0.34229546603829381</v>
      </c>
      <c r="I78" s="138"/>
      <c r="J78" s="193">
        <f t="array" ref="J78">SUM(J13:K13*J26:K26)/J32</f>
        <v>0.34066492748672594</v>
      </c>
      <c r="K78" s="138"/>
      <c r="L78" s="193">
        <f t="array" ref="L78">SUM(L13:M13*L26:M26)/L32</f>
        <v>0.33898188457669243</v>
      </c>
      <c r="M78" s="138"/>
      <c r="N78" s="193">
        <f t="array" ref="N78">SUM(N13:O13*N26:O26)/N32</f>
        <v>0.33724632699927232</v>
      </c>
      <c r="O78" s="138"/>
      <c r="P78" s="193">
        <f t="array" ref="P78">SUM(P13:Q13*P26:Q26)/P32</f>
        <v>0.33545978021508849</v>
      </c>
      <c r="Q78" s="138"/>
      <c r="R78" s="193">
        <f t="array" ref="R78">SUM(R13:S13*R26:S26)/R32</f>
        <v>0.33362588275617922</v>
      </c>
      <c r="S78" s="138"/>
      <c r="T78" s="193">
        <f t="array" ref="T78">SUM(T13:U13*T26:U26)/T32</f>
        <v>0.331750806291985</v>
      </c>
      <c r="U78" s="138"/>
      <c r="V78" s="193">
        <f t="array" ref="V78">SUM(V13:W13*V26:W26)/V32</f>
        <v>0.32984332669692151</v>
      </c>
      <c r="W78" s="138"/>
      <c r="X78" s="193">
        <f t="array" ref="X78">SUM(X13:Y13*X26:Y26)/X32</f>
        <v>0.32791381260103658</v>
      </c>
      <c r="Y78" s="138"/>
      <c r="Z78" s="193">
        <f t="array" ref="Z78">SUM(Z13:AA13*Z26:AA26)/Z32</f>
        <v>0.3259707899597899</v>
      </c>
      <c r="AA78" s="138"/>
      <c r="AB78" s="193">
        <f t="array" ref="AB78">SUM(AB13:AC13*AB26:AC26)/AB32</f>
        <v>0.32401226262560301</v>
      </c>
      <c r="AC78" s="138"/>
      <c r="AD78" s="193">
        <f t="array" ref="AD78">SUM(AD13:AE13*AD26:AE26)/AD32</f>
        <v>0.32200682531747077</v>
      </c>
      <c r="AE78" s="138"/>
      <c r="AF78" s="193">
        <f t="array" ref="AF78">SUM(AF13:AG13*AF26:AG26)/AF32</f>
        <v>0.31985543670315231</v>
      </c>
      <c r="AG78" s="138"/>
      <c r="AH78" s="193">
        <f t="array" ref="AH78">SUM(AH13:AI13*AH26:AI26)/AH32</f>
        <v>0.31731511568987003</v>
      </c>
      <c r="AI78" s="138"/>
      <c r="AJ78" s="193">
        <f t="array" ref="AJ78">SUM(AJ13:AK13*AJ26:AK26)/AJ32</f>
        <v>0.31385719633041759</v>
      </c>
      <c r="AK78" s="138"/>
      <c r="AL78" s="193">
        <f t="array" ref="AL78">SUM(AL13:AM13*AL26:AM26)/AL32</f>
        <v>0.30867662910132343</v>
      </c>
      <c r="AM78" s="138"/>
      <c r="AN78" s="193">
        <f t="array" ref="AN78">SUM(AN13:AO13*AN26:AO26)/AN32</f>
        <v>0.30224676693500135</v>
      </c>
      <c r="AO78" s="138"/>
      <c r="AP78" s="193">
        <f t="array" ref="AP78">SUM(AP13:AQ13*AP26:AQ26)/AP32</f>
        <v>0.30118793967265989</v>
      </c>
      <c r="AQ78" s="138"/>
      <c r="AR78" s="193">
        <f t="array" ref="AR78">SUM(AR13:AS13*AR26:AS26)/AR32</f>
        <v>0.30045106144496569</v>
      </c>
      <c r="AS78" s="138"/>
      <c r="AT78" s="193">
        <f t="array" ref="AT78">SUM(AT13:AU13*AT26:AU26)/AT32</f>
        <v>0.30034479350747184</v>
      </c>
      <c r="AU78" s="138"/>
      <c r="AV78" s="193">
        <f t="array" ref="AV78">SUM(AV13:AW13*AV26:AW26)/AV32</f>
        <v>0.30152652981235978</v>
      </c>
      <c r="XFD78" s="193"/>
    </row>
    <row r="79" spans="1:48 16384:16384" x14ac:dyDescent="0.2">
      <c r="A79" t="s">
        <v>190</v>
      </c>
      <c r="B79" s="193">
        <f t="array" ref="B79">SUM(B15:C15*B27:C27)/B32</f>
        <v>0.45460968782440642</v>
      </c>
      <c r="D79" s="193">
        <f t="array" ref="D79">SUM(D15:E15*D27:E27)/D32</f>
        <v>0.45339936416465282</v>
      </c>
      <c r="F79" s="193">
        <f t="array" ref="F79">SUM(F15:G15*F27:G27)/F32</f>
        <v>0.45222470666224185</v>
      </c>
      <c r="H79" s="193">
        <f t="array" ref="H79">SUM(H15:I15*H27:I27)/H32</f>
        <v>0.45109107308189833</v>
      </c>
      <c r="J79" s="193">
        <f t="array" ref="J79">SUM(J15:K15*J27:K27)/J32</f>
        <v>0.45000487277049961</v>
      </c>
      <c r="L79" s="193">
        <f t="array" ref="L79">SUM(L15:M15*L27:M27)/L32</f>
        <v>0.44897316382045488</v>
      </c>
      <c r="N79" s="193">
        <f t="array" ref="N79">SUM(N15:O15*N27:O27)/N32</f>
        <v>0.44800383821644402</v>
      </c>
      <c r="P79" s="193">
        <f t="array" ref="P79">SUM(P15:Q15*P27:Q27)/P32</f>
        <v>0.4471047418371018</v>
      </c>
      <c r="R79" s="193">
        <f t="array" ref="R79">SUM(R15:S15*R27:S27)/R32</f>
        <v>0.44628241979660133</v>
      </c>
      <c r="T79" s="193">
        <f t="array" ref="T79">SUM(T15:U15*T27:U27)/T32</f>
        <v>0.44553924145771823</v>
      </c>
      <c r="V79" s="193">
        <f t="array" ref="V79">SUM(V15:W15*V27:W27)/V32</f>
        <v>0.44486761880212922</v>
      </c>
      <c r="X79" s="193">
        <f t="array" ref="X79">SUM(X15:Y15*X27:Y27)/X32</f>
        <v>0.4442389339893057</v>
      </c>
      <c r="Z79" s="193">
        <f t="array" ref="Z79">SUM(Z15:AA15*Z27:AA27)/Z32</f>
        <v>0.44358303468111682</v>
      </c>
      <c r="AB79" s="193">
        <f t="array" ref="AB79">SUM(AB15:AC15*AB27:AC27)/AB32</f>
        <v>0.44275200959504812</v>
      </c>
      <c r="AD79" s="193">
        <f t="array" ref="AD79">SUM(AD15:AE15*AD27:AE27)/AD32</f>
        <v>0.44146023306499782</v>
      </c>
      <c r="AF79" s="193">
        <f t="array" ref="AF79">SUM(AF15:AG15*AF27:AG27)/AF32</f>
        <v>0.43918516724786744</v>
      </c>
      <c r="AH79" s="193">
        <f t="array" ref="AH79">SUM(AH15:AI15*AH27:AI27)/AH32</f>
        <v>0.4349657952666694</v>
      </c>
      <c r="AJ79" s="193">
        <f t="array" ref="AJ79">SUM(AJ15:AK15*AJ27:AK27)/AJ32</f>
        <v>0.42684790861702632</v>
      </c>
      <c r="AL79" s="193">
        <f t="array" ref="AL79">SUM(AL15:AM15*AL27:AM27)/AL32</f>
        <v>0.41040590907511981</v>
      </c>
      <c r="AN79" s="193">
        <f t="array" ref="AN79">SUM(AN15:AO15*AN27:AO27)/AN32</f>
        <v>0.37408218546610256</v>
      </c>
      <c r="AP79" s="193">
        <f t="array" ref="AP79">SUM(AP15:AQ15*AP27:AQ27)/AP32</f>
        <v>0.36115672101796081</v>
      </c>
      <c r="AR79" s="193">
        <f t="array" ref="AR79">SUM(AR15:AS15*AR27:AS27)/AR32</f>
        <v>0.3438345306876282</v>
      </c>
      <c r="AT79" s="193">
        <f t="array" ref="AT79">SUM(AT15:AU15*AT27:AU27)/AT32</f>
        <v>0.31842809717051818</v>
      </c>
      <c r="AV79" s="193">
        <f t="array" ref="AV79">SUM(AV15:AW15*AV27:AW27)/AV32</f>
        <v>0.27371233326729211</v>
      </c>
      <c r="XFD79" s="193"/>
    </row>
    <row r="80" spans="1:48 16384:16384" x14ac:dyDescent="0.2">
      <c r="A80" t="s">
        <v>169</v>
      </c>
      <c r="B80" s="236">
        <f>B55</f>
        <v>0.19850271905982084</v>
      </c>
      <c r="D80" s="236">
        <f>D55</f>
        <v>0.20119601106949805</v>
      </c>
      <c r="F80" s="236">
        <f>F55</f>
        <v>0.2039005778132589</v>
      </c>
      <c r="H80" s="236">
        <f>H55</f>
        <v>0.20661345927369851</v>
      </c>
      <c r="J80" s="236">
        <f>J55</f>
        <v>0.20933022624698433</v>
      </c>
      <c r="L80" s="236">
        <f>L55</f>
        <v>0.2120449503616926</v>
      </c>
      <c r="N80" s="236">
        <f>N55</f>
        <v>0.21474983466363118</v>
      </c>
      <c r="P80" s="236">
        <f>P55</f>
        <v>0.21743548353577261</v>
      </c>
      <c r="R80" s="236">
        <f>R55</f>
        <v>0.22009170103799519</v>
      </c>
      <c r="T80" s="236">
        <f>T55</f>
        <v>0.2227099567250144</v>
      </c>
      <c r="V80" s="236">
        <f>V55</f>
        <v>0.22528906704271534</v>
      </c>
      <c r="X80" s="236">
        <f>X55</f>
        <v>0.22784725325222629</v>
      </c>
      <c r="Z80" s="236">
        <f>Z55</f>
        <v>0.23044617607443119</v>
      </c>
      <c r="AB80" s="236">
        <f>AB55</f>
        <v>0.23323573097500921</v>
      </c>
      <c r="AD80" s="236">
        <f>AD55</f>
        <v>0.2365329453885664</v>
      </c>
      <c r="AF80" s="236">
        <f>AF55</f>
        <v>0.24095939966272559</v>
      </c>
      <c r="AH80" s="236">
        <f>AH55</f>
        <v>0.2477190910967482</v>
      </c>
      <c r="AJ80" s="236">
        <f>AJ55</f>
        <v>0.25929489782001341</v>
      </c>
      <c r="AL80" s="236">
        <f>AL55</f>
        <v>0.28091747210648343</v>
      </c>
      <c r="AN80" s="236">
        <f>AN55</f>
        <v>0.32367104758227155</v>
      </c>
      <c r="AP80" s="236">
        <f>AP55</f>
        <v>0.3376553393011531</v>
      </c>
      <c r="AR80" s="236">
        <f>AR55</f>
        <v>0.35571440786599295</v>
      </c>
      <c r="AT80" s="236">
        <f>AT55</f>
        <v>0.38122710934851384</v>
      </c>
      <c r="AV80" s="236">
        <f>AV55</f>
        <v>0.4247611369269863</v>
      </c>
      <c r="XFD80" s="236"/>
    </row>
    <row r="81" spans="1:48 16384:16384" x14ac:dyDescent="0.2">
      <c r="A81" t="s">
        <v>191</v>
      </c>
      <c r="B81" s="236">
        <f>B51/B$32</f>
        <v>-2.7543485504603994E-2</v>
      </c>
      <c r="D81" s="236">
        <f>D51/D$32</f>
        <v>-2.4850193494926769E-2</v>
      </c>
      <c r="F81" s="236">
        <f>F51/F$32</f>
        <v>-2.2145626751165937E-2</v>
      </c>
      <c r="H81" s="236">
        <f>H51/H$32</f>
        <v>-1.9432745290726337E-2</v>
      </c>
      <c r="J81" s="236">
        <f>J51/J$32</f>
        <v>-1.6715978317440504E-2</v>
      </c>
      <c r="L81" s="236">
        <f>L51/L$32</f>
        <v>-1.4001254202732218E-2</v>
      </c>
      <c r="N81" s="236">
        <f>N51/N$32</f>
        <v>-1.1296369900793675E-2</v>
      </c>
      <c r="P81" s="236">
        <f>P51/P$32</f>
        <v>-8.6107210286522282E-3</v>
      </c>
      <c r="R81" s="236">
        <f>R51/R$32</f>
        <v>-5.9545035264296454E-3</v>
      </c>
      <c r="T81" s="236">
        <f>T51/T$32</f>
        <v>-3.3362478394104388E-3</v>
      </c>
      <c r="V81" s="236">
        <f>V51/V$32</f>
        <v>-7.5713752170951073E-4</v>
      </c>
      <c r="X81" s="236">
        <f>X51/X$32</f>
        <v>1.8010486878014612E-3</v>
      </c>
      <c r="Z81" s="236">
        <f>Z51/Z$32</f>
        <v>4.3999715100063504E-3</v>
      </c>
      <c r="AB81" s="236">
        <f>AB51/AB$32</f>
        <v>7.1895264105843858E-3</v>
      </c>
      <c r="AD81" s="236">
        <f>AD51/AD$32</f>
        <v>1.0486740824141565E-2</v>
      </c>
      <c r="AF81" s="236">
        <f>AF51/AF$32</f>
        <v>1.4913195098300721E-2</v>
      </c>
      <c r="AH81" s="236">
        <f>AH51/AH$32</f>
        <v>2.1672886532323354E-2</v>
      </c>
      <c r="AJ81" s="236">
        <f>AJ51/AJ$32</f>
        <v>3.3248693255588546E-2</v>
      </c>
      <c r="AL81" s="236">
        <f>AL51/AL$32</f>
        <v>5.4871267542058622E-2</v>
      </c>
      <c r="AN81" s="236">
        <f>AN51/AN$32</f>
        <v>9.7624843017846713E-2</v>
      </c>
      <c r="AP81" s="236">
        <f>AP51/AP$32</f>
        <v>0.11160913473672829</v>
      </c>
      <c r="AR81" s="236">
        <f>AR51/AR$32</f>
        <v>0.12966820330156811</v>
      </c>
      <c r="AT81" s="236">
        <f>AT51/AT$32</f>
        <v>0.15518090478408897</v>
      </c>
      <c r="AV81" s="236">
        <f>AV51/AV$32</f>
        <v>0.19871493236256146</v>
      </c>
      <c r="XFD81" s="236"/>
    </row>
    <row r="82" spans="1:48 16384:16384" x14ac:dyDescent="0.2">
      <c r="A82" t="s">
        <v>192</v>
      </c>
      <c r="B82" s="236">
        <f>B52/B$32</f>
        <v>0.13907860278212886</v>
      </c>
      <c r="D82" s="236">
        <f>D52/D$32</f>
        <v>0.13848403286723093</v>
      </c>
      <c r="F82" s="236">
        <f>F52/F$32</f>
        <v>0.13787064934149459</v>
      </c>
      <c r="H82" s="236">
        <f>H52/H$32</f>
        <v>0.13723746856341199</v>
      </c>
      <c r="J82" s="236">
        <f>J52/J$32</f>
        <v>0.13658373222912121</v>
      </c>
      <c r="L82" s="236">
        <f>L52/L$32</f>
        <v>0.13590894517707547</v>
      </c>
      <c r="N82" s="236">
        <f>N52/N$32</f>
        <v>0.13521310327409058</v>
      </c>
      <c r="P82" s="236">
        <f>P52/P$32</f>
        <v>0.13449681812731604</v>
      </c>
      <c r="R82" s="236">
        <f>R52/R$32</f>
        <v>0.1337615485434723</v>
      </c>
      <c r="T82" s="236">
        <f>T52/T$32</f>
        <v>0.13300976894706928</v>
      </c>
      <c r="V82" s="236">
        <f>V52/V$32</f>
        <v>0.13224499787372535</v>
      </c>
      <c r="X82" s="236">
        <f>X52/X$32</f>
        <v>0.13147139244698258</v>
      </c>
      <c r="Z82" s="236">
        <f>Z52/Z$32</f>
        <v>0.13069237100176057</v>
      </c>
      <c r="AB82" s="236">
        <f>AB52/AB$32</f>
        <v>0.129907133217086</v>
      </c>
      <c r="AD82" s="236">
        <f>AD52/AD$32</f>
        <v>0.12910308768672571</v>
      </c>
      <c r="AF82" s="236">
        <f>AF52/AF$32</f>
        <v>0.12824052549522949</v>
      </c>
      <c r="AH82" s="236">
        <f>AH52/AH$32</f>
        <v>0.12722202756057585</v>
      </c>
      <c r="AJ82" s="236">
        <f>AJ52/AJ$32</f>
        <v>0.12583563438137266</v>
      </c>
      <c r="AL82" s="236">
        <f>AL52/AL$32</f>
        <v>0.12375857522405415</v>
      </c>
      <c r="AN82" s="236">
        <f>AN52/AN$32</f>
        <v>0.12118063278990288</v>
      </c>
      <c r="AP82" s="236">
        <f>AP52/AP$32</f>
        <v>0.12075611424511616</v>
      </c>
      <c r="AR82" s="236">
        <f>AR52/AR$32</f>
        <v>0.12046067561784281</v>
      </c>
      <c r="AT82" s="236">
        <f>AT52/AT$32</f>
        <v>0.12041806931954763</v>
      </c>
      <c r="AV82" s="236">
        <f>AV52/AV$32</f>
        <v>0.12089186612693555</v>
      </c>
    </row>
    <row r="83" spans="1:48 16384:16384" x14ac:dyDescent="0.2">
      <c r="A83" t="s">
        <v>193</v>
      </c>
      <c r="B83" s="236">
        <f>B53/B$32</f>
        <v>0.18600714462929935</v>
      </c>
      <c r="D83" s="236">
        <f>D53/D$32</f>
        <v>0.18551193114384673</v>
      </c>
      <c r="F83" s="236">
        <f>F53/F$32</f>
        <v>0.18503131074838952</v>
      </c>
      <c r="H83" s="236">
        <f>H53/H$32</f>
        <v>0.18456747561468459</v>
      </c>
      <c r="J83" s="236">
        <f>J53/J$32</f>
        <v>0.18412304817763281</v>
      </c>
      <c r="L83" s="236">
        <f>L53/L$32</f>
        <v>0.18370091631149352</v>
      </c>
      <c r="N83" s="236">
        <f>N53/N$32</f>
        <v>0.18330430908413547</v>
      </c>
      <c r="P83" s="236">
        <f>P53/P$32</f>
        <v>0.18293643669877493</v>
      </c>
      <c r="R83" s="236">
        <f>R53/R$32</f>
        <v>0.18259997714057408</v>
      </c>
      <c r="T83" s="236">
        <f>T53/T$32</f>
        <v>0.1822958998530276</v>
      </c>
      <c r="V83" s="236">
        <f>V53/V$32</f>
        <v>0.18202110013850253</v>
      </c>
      <c r="X83" s="236">
        <f>X53/X$32</f>
        <v>0.18176386878150103</v>
      </c>
      <c r="Z83" s="236">
        <f>Z53/Z$32</f>
        <v>0.18149550239875983</v>
      </c>
      <c r="AB83" s="236">
        <f>AB53/AB$32</f>
        <v>0.1811554819207214</v>
      </c>
      <c r="AD83" s="236">
        <f>AD53/AD$32</f>
        <v>0.18062694135000967</v>
      </c>
      <c r="AF83" s="236">
        <f>AF53/AF$32</f>
        <v>0.17969608020071623</v>
      </c>
      <c r="AH83" s="236">
        <f>AH53/AH$32</f>
        <v>0.17796969082677344</v>
      </c>
      <c r="AJ83" s="236">
        <f>AJ53/AJ$32</f>
        <v>0.17464819338277779</v>
      </c>
      <c r="AL83" s="236">
        <f>AL53/AL$32</f>
        <v>0.16792081939868539</v>
      </c>
      <c r="AN83" s="236">
        <f>AN53/AN$32</f>
        <v>0.15305868097143113</v>
      </c>
      <c r="AP83" s="236">
        <f>AP53/AP$32</f>
        <v>0.14777012509724352</v>
      </c>
      <c r="AR83" s="236">
        <f>AR53/AR$32</f>
        <v>0.14068261409964475</v>
      </c>
      <c r="AT83" s="236">
        <f>AT53/AT$32</f>
        <v>0.13028737114662367</v>
      </c>
      <c r="AV83" s="236">
        <f>AV53/AV$32</f>
        <v>0.11199156314622399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U19" sqref="U19"/>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v>
      </c>
      <c r="C3" s="80">
        <f>NeoClassical!D$31</f>
        <v>0.99298848352742275</v>
      </c>
      <c r="D3" s="80">
        <f>NeoClassical!F$31</f>
        <v>0.98547935248719576</v>
      </c>
      <c r="E3" s="80">
        <f>NeoClassical!H$31</f>
        <v>0.97740741133034548</v>
      </c>
      <c r="F3" s="80">
        <f>NeoClassical!J$31</f>
        <v>0.96869459040557127</v>
      </c>
      <c r="G3" s="80">
        <f>NeoClassical!L$31</f>
        <v>0.95924619914338727</v>
      </c>
      <c r="H3" s="80">
        <f>NeoClassical!N$31</f>
        <v>0.94894533480880183</v>
      </c>
      <c r="I3" s="80">
        <f>NeoClassical!P$31</f>
        <v>0.93764505984409352</v>
      </c>
      <c r="J3" s="80">
        <f>NeoClassical!R$31</f>
        <v>0.92515598926468623</v>
      </c>
      <c r="K3" s="80">
        <f>NeoClassical!T$31</f>
        <v>0.91122716367384882</v>
      </c>
      <c r="L3" s="80">
        <f>NeoClassical!V$31</f>
        <v>0.89551465692636567</v>
      </c>
      <c r="M3" s="80">
        <f>NeoClassical!X$31</f>
        <v>0.8775281579507459</v>
      </c>
      <c r="N3" s="80">
        <f>NeoClassical!Z$31</f>
        <v>0.85653651353761007</v>
      </c>
      <c r="O3" s="80">
        <f>NeoClassical!AB$31</f>
        <v>0.83139378576688783</v>
      </c>
      <c r="P3" s="80">
        <f>NeoClassical!AD$31</f>
        <v>0.80021121564499664</v>
      </c>
      <c r="Q3" s="80">
        <f>NeoClassical!AF$31</f>
        <v>0.75974860336886774</v>
      </c>
      <c r="R3" s="80">
        <f>NeoClassical!AH$31</f>
        <v>0.70440631551071664</v>
      </c>
      <c r="S3" s="80">
        <f>NeoClassical!AJ$31</f>
        <v>0.62481958571426155</v>
      </c>
      <c r="T3" s="80">
        <f>NeoClassical!AL$31</f>
        <v>0.50466257910145773</v>
      </c>
      <c r="U3" s="80">
        <f>NeoClassical!AN$31</f>
        <v>0.30751002201738581</v>
      </c>
      <c r="V3" s="80">
        <f>NeoClassical!AP$31</f>
        <v>0.25229108978813874</v>
      </c>
      <c r="W3" s="80">
        <f>NeoClassical!AR$31</f>
        <v>0.18980815893633937</v>
      </c>
      <c r="X3" s="80">
        <f>NeoClassical!AT$31</f>
        <v>0.12004292566676686</v>
      </c>
      <c r="Y3" s="80">
        <f>NeoClassical!AV$31</f>
        <v>4.7235024379815992E-2</v>
      </c>
    </row>
    <row r="4" spans="1:27" x14ac:dyDescent="0.2">
      <c r="A4" t="s">
        <v>163</v>
      </c>
      <c r="B4" s="80">
        <f>Kaldorian!B$31</f>
        <v>1</v>
      </c>
      <c r="C4" s="80">
        <f>Kaldorian!D$31</f>
        <v>0.9978504512840537</v>
      </c>
      <c r="D4" s="80">
        <f>Kaldorian!F$31</f>
        <v>0.9952850023562364</v>
      </c>
      <c r="E4" s="80">
        <f>Kaldorian!H$31</f>
        <v>0.99224802439128323</v>
      </c>
      <c r="F4" s="80">
        <f>Kaldorian!J$31</f>
        <v>0.9886728823846942</v>
      </c>
      <c r="G4" s="80">
        <f>Kaldorian!L$31</f>
        <v>0.98447804432890829</v>
      </c>
      <c r="H4" s="80">
        <f>Kaldorian!N$31</f>
        <v>0.97956387761577723</v>
      </c>
      <c r="I4" s="80">
        <f>Kaldorian!P$31</f>
        <v>0.97380489408770154</v>
      </c>
      <c r="J4" s="80">
        <f>Kaldorian!R$31</f>
        <v>0.96704067874248267</v>
      </c>
      <c r="K4" s="80">
        <f>Kaldorian!T$31</f>
        <v>0.95906099460612582</v>
      </c>
      <c r="L4" s="80">
        <f>Kaldorian!V$31</f>
        <v>0.9495818484711569</v>
      </c>
      <c r="M4" s="80">
        <f>Kaldorian!X$31</f>
        <v>0.93820579731687981</v>
      </c>
      <c r="N4" s="80">
        <f>Kaldorian!Z$31</f>
        <v>0.92435221639086307</v>
      </c>
      <c r="O4" s="80">
        <f>Kaldorian!AB$31</f>
        <v>0.9071290408913516</v>
      </c>
      <c r="P4" s="80">
        <f>Kaldorian!AD$31</f>
        <v>0.88508484343141103</v>
      </c>
      <c r="Q4" s="80">
        <f>Kaldorian!AF$31</f>
        <v>0.85571807298031477</v>
      </c>
      <c r="R4" s="80">
        <f>Kaldorian!AH$31</f>
        <v>0.81451629667474279</v>
      </c>
      <c r="S4" s="80">
        <f>Kaldorian!AJ$31</f>
        <v>0.75305703722060924</v>
      </c>
      <c r="T4" s="80">
        <f>Kaldorian!AL$31</f>
        <v>0.65397819376631727</v>
      </c>
      <c r="U4" s="80">
        <f>Kaldorian!AN$31</f>
        <v>0</v>
      </c>
      <c r="V4" s="80">
        <f>Kaldorian!AP$31</f>
        <v>0</v>
      </c>
      <c r="W4" s="80">
        <f>Kaldorian!AR$31</f>
        <v>0</v>
      </c>
      <c r="X4" s="80">
        <f>Kaldorian!AT$31</f>
        <v>0</v>
      </c>
      <c r="Y4" s="80">
        <f>Kaldorian!AV$31</f>
        <v>0</v>
      </c>
    </row>
    <row r="5" spans="1:27" x14ac:dyDescent="0.2">
      <c r="A5" t="s">
        <v>90</v>
      </c>
      <c r="B5" s="80">
        <f>Johansen!B$31</f>
        <v>1</v>
      </c>
      <c r="C5" s="80">
        <f>Johansen!D$31</f>
        <v>0.99787099266904999</v>
      </c>
      <c r="D5" s="80">
        <f>Johansen!F$31</f>
        <v>0.9953269046619232</v>
      </c>
      <c r="E5" s="80">
        <f>Johansen!H$31</f>
        <v>0.99231223035581873</v>
      </c>
      <c r="F5" s="80">
        <f>Johansen!J$31</f>
        <v>0.9887602777663711</v>
      </c>
      <c r="G5" s="80">
        <f>Johansen!L$31</f>
        <v>0.98458998919386964</v>
      </c>
      <c r="H5" s="80">
        <f>Johansen!N$31</f>
        <v>0.97970127615111313</v>
      </c>
      <c r="I5" s="80">
        <f>Johansen!P$31</f>
        <v>0.97396863442197623</v>
      </c>
      <c r="J5" s="80">
        <f>Johansen!R$31</f>
        <v>0.9672312165325081</v>
      </c>
      <c r="K5" s="80">
        <f>Johansen!T$31</f>
        <v>0.95927791836505771</v>
      </c>
      <c r="L5" s="80">
        <f>Johansen!V$31</f>
        <v>0.94982333497450033</v>
      </c>
      <c r="M5" s="80">
        <f>Johansen!X$31</f>
        <v>0.93846763621892071</v>
      </c>
      <c r="N5" s="80">
        <f>Johansen!Z$31</f>
        <v>0.92462641629775877</v>
      </c>
      <c r="O5" s="80">
        <f>Johansen!AB$31</f>
        <v>0.90740153650178201</v>
      </c>
      <c r="P5" s="80">
        <f>Johansen!AD$31</f>
        <v>0.88533302160900951</v>
      </c>
      <c r="Q5" s="80">
        <f>Johansen!AF$31</f>
        <v>0.85591059180810447</v>
      </c>
      <c r="R5" s="80">
        <f>Johansen!AH$31</f>
        <v>0.81462607565808021</v>
      </c>
      <c r="S5" s="80">
        <f>Johansen!AJ$31</f>
        <v>0.75309297008674747</v>
      </c>
      <c r="T5" s="80">
        <f>Johansen!AL$31</f>
        <v>0.65398293791960038</v>
      </c>
      <c r="U5" s="80">
        <f>Johansen!AN$31</f>
        <v>0.47084242288442657</v>
      </c>
      <c r="V5" s="80">
        <f>Johansen!AP$31</f>
        <v>0.4135754802359049</v>
      </c>
      <c r="W5" s="80">
        <f>Johansen!AR$31</f>
        <v>0.34413732150647841</v>
      </c>
      <c r="X5" s="80">
        <f>Johansen!AT$31</f>
        <v>0.25788014549159116</v>
      </c>
      <c r="Y5" s="80">
        <f>Johansen!AV$31</f>
        <v>0</v>
      </c>
    </row>
    <row r="6" spans="1:27" x14ac:dyDescent="0.2">
      <c r="A6" t="s">
        <v>146</v>
      </c>
      <c r="B6" s="80">
        <f>'Keynes-K'!B$31</f>
        <v>1</v>
      </c>
      <c r="C6" s="80">
        <f>'Keynes-K'!D$31</f>
        <v>1.0026824455102463</v>
      </c>
      <c r="D6" s="80">
        <f>'Keynes-K'!F$31</f>
        <v>1.0043936986810917</v>
      </c>
      <c r="E6" s="80">
        <f>'Keynes-K'!H$31</f>
        <v>1.0050589601822784</v>
      </c>
      <c r="F6" s="80">
        <f>'Keynes-K'!J$31</f>
        <v>1.0045795600871796</v>
      </c>
      <c r="G6" s="80">
        <f>'Keynes-K'!L$31</f>
        <v>1.002827830338185</v>
      </c>
      <c r="H6" s="80">
        <f>'Keynes-K'!N$31</f>
        <v>0.9996390365080573</v>
      </c>
      <c r="I6" s="80">
        <f>'Keynes-K'!P$31</f>
        <v>0.99480019451647173</v>
      </c>
      <c r="J6" s="80">
        <f>'Keynes-K'!R$31</f>
        <v>0.98803323685238675</v>
      </c>
      <c r="K6" s="80">
        <f>'Keynes-K'!T$31</f>
        <v>0.97896960296114988</v>
      </c>
      <c r="L6" s="80">
        <f>'Keynes-K'!V$31</f>
        <v>0.96711042282891901</v>
      </c>
      <c r="M6" s="80">
        <f>'Keynes-K'!X$31</f>
        <v>0.95176163193881902</v>
      </c>
      <c r="N6" s="80">
        <f>'Keynes-K'!Z$31</f>
        <v>0.93192379010892779</v>
      </c>
      <c r="O6" s="80">
        <f>'Keynes-K'!AB$31</f>
        <v>0.9060962121712105</v>
      </c>
      <c r="P6" s="80">
        <f>'Keynes-K'!AD$31</f>
        <v>0.87191118386883359</v>
      </c>
      <c r="Q6" s="80">
        <f>'Keynes-K'!AF$31</f>
        <v>0.82543183166335043</v>
      </c>
      <c r="R6" s="80">
        <f>'Keynes-K'!AH$31</f>
        <v>0.75981647591911006</v>
      </c>
      <c r="S6" s="80">
        <f>'Keynes-K'!AJ$31</f>
        <v>0.66303090531299569</v>
      </c>
      <c r="T6" s="80">
        <f>'Keynes-K'!AL$31</f>
        <v>0.51506954124809012</v>
      </c>
      <c r="U6" s="80">
        <f>'Keynes-K'!AN$31</f>
        <v>0</v>
      </c>
      <c r="V6" s="80">
        <f>'Keynes-K'!AP$31</f>
        <v>0</v>
      </c>
      <c r="W6" s="80">
        <f>'Keynes-K'!AR$31</f>
        <v>0</v>
      </c>
      <c r="X6" s="80">
        <f>'Keynes-K'!AT$31</f>
        <v>0</v>
      </c>
      <c r="Y6" s="80">
        <f>'Keynes-K'!AV$31</f>
        <v>0</v>
      </c>
    </row>
    <row r="7" spans="1:27" x14ac:dyDescent="0.2">
      <c r="A7" t="s">
        <v>144</v>
      </c>
      <c r="B7" s="80">
        <f>'Keynes-M'!B$31</f>
        <v>1</v>
      </c>
      <c r="C7" s="80">
        <f>'Keynes-M'!D$31</f>
        <v>1.011664907786441</v>
      </c>
      <c r="D7" s="80">
        <f>'Keynes-M'!F$31</f>
        <v>1.0229336239405502</v>
      </c>
      <c r="E7" s="80">
        <f>'Keynes-M'!H$31</f>
        <v>1.0337805373824198</v>
      </c>
      <c r="F7" s="80">
        <f>'Keynes-M'!J$31</f>
        <v>1.0441725952070524</v>
      </c>
      <c r="G7" s="80">
        <f>'Keynes-M'!L$31</f>
        <v>1.0540692630642488</v>
      </c>
      <c r="H7" s="80">
        <f>'Keynes-M'!N$31</f>
        <v>1.0634227948076387</v>
      </c>
      <c r="I7" s="80">
        <f>'Keynes-M'!P$31</f>
        <v>1.0721796865772462</v>
      </c>
      <c r="J7" s="80">
        <f>'Keynes-M'!R$31</f>
        <v>1.0802835502926891</v>
      </c>
      <c r="K7" s="80">
        <f>'Keynes-M'!T$31</f>
        <v>1.0876812258962563</v>
      </c>
      <c r="L7" s="80">
        <f>'Keynes-M'!V$31</f>
        <v>1.0943339453160903</v>
      </c>
      <c r="M7" s="80">
        <f>'Keynes-M'!X$31</f>
        <v>1.1002348667412578</v>
      </c>
      <c r="N7" s="80">
        <f>'Keynes-M'!Z$31</f>
        <v>1.1054232652472213</v>
      </c>
      <c r="O7" s="80">
        <f>'Keynes-M'!AB$31</f>
        <v>1.1099228412238444</v>
      </c>
      <c r="P7" s="80">
        <f>'Keynes-M'!AD$31</f>
        <v>1.1132796288556681</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0.97738974502732823</v>
      </c>
      <c r="D8" s="80">
        <f>Keynesian!F$31</f>
        <v>0.95248623605545135</v>
      </c>
      <c r="E8" s="80">
        <f>Keynesian!H$31</f>
        <v>0.92507226763515416</v>
      </c>
      <c r="F8" s="80">
        <f>Keynesian!J$31</f>
        <v>0.89492553739385217</v>
      </c>
      <c r="G8" s="80">
        <f>Keynesian!L$31</f>
        <v>0.86183086119569285</v>
      </c>
      <c r="H8" s="80">
        <f>Keynesian!N$31</f>
        <v>0.82559591787403452</v>
      </c>
      <c r="I8" s="80">
        <f>Keynesian!P$31</f>
        <v>0.78608000411273626</v>
      </c>
      <c r="J8" s="80">
        <f>Keynesian!R$31</f>
        <v>0.74323849191588209</v>
      </c>
      <c r="K8" s="80">
        <f>Keynesian!T$31</f>
        <v>0.6972044274990119</v>
      </c>
      <c r="L8" s="80">
        <f>Keynesian!V$31</f>
        <v>0.64847162578220041</v>
      </c>
      <c r="M8" s="80">
        <f>Keynesian!X$31</f>
        <v>0.59843304916264728</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v>
      </c>
      <c r="C9" s="80">
        <f>'Neo-K2'!D$31</f>
        <v>0.98479795522464675</v>
      </c>
      <c r="D9" s="80">
        <f>'Neo-K2'!F$31</f>
        <v>0.9681198448609033</v>
      </c>
      <c r="E9" s="80">
        <f>'Neo-K2'!H$31</f>
        <v>0.94973596729793153</v>
      </c>
      <c r="F9" s="80">
        <f>'Neo-K2'!J$31</f>
        <v>0.92937418790626725</v>
      </c>
      <c r="G9" s="80">
        <f>'Neo-K2'!L$31</f>
        <v>0.9067170514738675</v>
      </c>
      <c r="H9" s="80">
        <f>'Neo-K2'!N$31</f>
        <v>0.88139643313782845</v>
      </c>
      <c r="I9" s="80">
        <f>'Neo-K2'!P$31</f>
        <v>0.85299660711724423</v>
      </c>
      <c r="J9" s="80">
        <f>'Neo-K2'!R$31</f>
        <v>0.82106515272515501</v>
      </c>
      <c r="K9" s="80">
        <f>'Neo-K2'!T$31</f>
        <v>0.78514163704179807</v>
      </c>
      <c r="L9" s="80">
        <f>'Neo-K2'!V$31</f>
        <v>0.74481502293855328</v>
      </c>
      <c r="M9" s="80">
        <f>'Neo-K2'!X$31</f>
        <v>0.6998197243254759</v>
      </c>
      <c r="N9" s="80">
        <f>'Neo-K2'!Z$31</f>
        <v>0.650174990948857</v>
      </c>
      <c r="O9" s="80">
        <f>'Neo-K2'!AB$31</f>
        <v>0.59633883764047679</v>
      </c>
      <c r="P9" s="80">
        <f>'Neo-K2'!AD$31</f>
        <v>0.53927620895896677</v>
      </c>
      <c r="Q9" s="80">
        <f>'Neo-K2'!AF$31</f>
        <v>0.48024069533368269</v>
      </c>
      <c r="R9" s="80">
        <f>'Neo-K2'!AH$31</f>
        <v>0.42004918360313659</v>
      </c>
      <c r="S9" s="80">
        <f>'Neo-K2'!AJ$31</f>
        <v>0.35777867324048596</v>
      </c>
      <c r="T9" s="80">
        <f>'Neo-K2'!AL$31</f>
        <v>0.28888287346999758</v>
      </c>
      <c r="U9" s="80">
        <f>'Neo-K2'!AN$31</f>
        <v>0.20064573286793702</v>
      </c>
      <c r="V9" s="80">
        <f>'Neo-K2'!AP$31</f>
        <v>0.177720656375497</v>
      </c>
      <c r="W9" s="80">
        <f>'Neo-K2'!AR$31</f>
        <v>0.15137504717560613</v>
      </c>
      <c r="X9" s="80">
        <f>'Neo-K2'!AT$31</f>
        <v>0.11978709667728568</v>
      </c>
      <c r="Y9" s="80">
        <f>'Neo-K2'!AV$31</f>
        <v>7.8679768015507551E-2</v>
      </c>
    </row>
    <row r="10" spans="1:27" x14ac:dyDescent="0.2">
      <c r="A10" t="s">
        <v>158</v>
      </c>
      <c r="B10" s="80">
        <f>'Neo-K1'!B$31</f>
        <v>1</v>
      </c>
      <c r="C10" s="80">
        <f>'Neo-K1'!D$31</f>
        <v>0.98733809296963548</v>
      </c>
      <c r="D10" s="80">
        <f>'Neo-K1'!F$31</f>
        <v>0.97360150583197114</v>
      </c>
      <c r="E10" s="80">
        <f>'Neo-K1'!H$31</f>
        <v>0.95863282079040091</v>
      </c>
      <c r="F10" s="80">
        <f>'Neo-K1'!J$31</f>
        <v>0.94224275405097835</v>
      </c>
      <c r="G10" s="80">
        <f>'Neo-K1'!L$31</f>
        <v>0.92420187529375164</v>
      </c>
      <c r="H10" s="80">
        <f>'Neo-K1'!N$31</f>
        <v>0.90422946506884516</v>
      </c>
      <c r="I10" s="80">
        <f>'Neo-K1'!P$31</f>
        <v>0.88197985479742624</v>
      </c>
      <c r="J10" s="80">
        <f>'Neo-K1'!R$31</f>
        <v>0.85702412525673177</v>
      </c>
      <c r="K10" s="80">
        <f>'Neo-K1'!T$31</f>
        <v>0.82882677827985085</v>
      </c>
      <c r="L10" s="80">
        <f>'Neo-K1'!V$31</f>
        <v>0.79671675208228854</v>
      </c>
      <c r="M10" s="80">
        <f>'Neo-K1'!X$31</f>
        <v>0.75985367707391671</v>
      </c>
      <c r="N10" s="80">
        <f>'Neo-K1'!Z$31</f>
        <v>0.71719261194673045</v>
      </c>
      <c r="O10" s="80">
        <f>'Neo-K1'!AB$31</f>
        <v>0.6674572238101607</v>
      </c>
      <c r="P10" s="80">
        <f>'Neo-K1'!AD$31</f>
        <v>0.60914224972345388</v>
      </c>
      <c r="Q10" s="80">
        <f>'Neo-K1'!AF$31</f>
        <v>0.54057696060712324</v>
      </c>
      <c r="R10" s="80">
        <f>'Neo-K1'!AH$31</f>
        <v>0.46008540936836778</v>
      </c>
      <c r="S10" s="80">
        <f>'Neo-K1'!AJ$31</f>
        <v>0.36625076552259872</v>
      </c>
      <c r="T10" s="80">
        <f>'Neo-K1'!AL$31</f>
        <v>0.25821911206216136</v>
      </c>
      <c r="U10" s="80">
        <f>'Neo-K1'!AN$31</f>
        <v>0.13590765269873906</v>
      </c>
      <c r="V10" s="80">
        <f>'Neo-K1'!AP$31</f>
        <v>0.1097803412875698</v>
      </c>
      <c r="W10" s="80">
        <f>'Neo-K1'!AR$31</f>
        <v>8.3116066914706743E-2</v>
      </c>
      <c r="X10" s="80">
        <f>'Neo-K1'!AT$31</f>
        <v>5.5924336146372107E-2</v>
      </c>
      <c r="Y10" s="80">
        <f>'Neo-K1'!AV$31</f>
        <v>2.8215368650051705E-2</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v>
      </c>
      <c r="C18" s="80">
        <f t="shared" ref="C18:Y18" si="1">IF(C3&gt;0,100*C3,"")</f>
        <v>99.298848352742269</v>
      </c>
      <c r="D18" s="80">
        <f t="shared" si="1"/>
        <v>98.547935248719583</v>
      </c>
      <c r="E18" s="80">
        <f t="shared" si="1"/>
        <v>97.740741133034547</v>
      </c>
      <c r="F18" s="80">
        <f t="shared" si="1"/>
        <v>96.869459040557132</v>
      </c>
      <c r="G18" s="80">
        <f t="shared" si="1"/>
        <v>95.92461991433872</v>
      </c>
      <c r="H18" s="80">
        <f t="shared" si="1"/>
        <v>94.894533480880185</v>
      </c>
      <c r="I18" s="80">
        <f t="shared" si="1"/>
        <v>93.764505984409354</v>
      </c>
      <c r="J18" s="80">
        <f t="shared" si="1"/>
        <v>92.515598926468627</v>
      </c>
      <c r="K18" s="80">
        <f t="shared" si="1"/>
        <v>91.122716367384882</v>
      </c>
      <c r="L18" s="80">
        <f t="shared" si="1"/>
        <v>89.551465692636569</v>
      </c>
      <c r="M18" s="80">
        <f t="shared" si="1"/>
        <v>87.752815795074596</v>
      </c>
      <c r="N18" s="80">
        <f t="shared" si="1"/>
        <v>85.653651353761006</v>
      </c>
      <c r="O18" s="80">
        <f t="shared" si="1"/>
        <v>83.139378576688785</v>
      </c>
      <c r="P18" s="80">
        <f t="shared" si="1"/>
        <v>80.021121564499666</v>
      </c>
      <c r="Q18" s="80">
        <f t="shared" si="1"/>
        <v>75.974860336886778</v>
      </c>
      <c r="R18" s="80">
        <f t="shared" si="1"/>
        <v>70.440631551071661</v>
      </c>
      <c r="S18" s="80">
        <f t="shared" si="1"/>
        <v>62.481958571426155</v>
      </c>
      <c r="T18" s="80">
        <f t="shared" si="1"/>
        <v>50.466257910145771</v>
      </c>
      <c r="U18" s="80">
        <f t="shared" si="1"/>
        <v>30.751002201738579</v>
      </c>
      <c r="V18" s="80">
        <f t="shared" si="1"/>
        <v>25.229108978813876</v>
      </c>
      <c r="W18" s="80">
        <f t="shared" si="1"/>
        <v>18.980815893633938</v>
      </c>
      <c r="X18" s="80">
        <f t="shared" si="1"/>
        <v>12.004292566676686</v>
      </c>
      <c r="Y18" s="80">
        <f t="shared" si="1"/>
        <v>4.7235024379815993</v>
      </c>
      <c r="Z18" s="138"/>
      <c r="AA18" t="s">
        <v>89</v>
      </c>
      <c r="AB18" s="138">
        <f t="shared" ref="AB18:AB23" si="2">1-B18</f>
        <v>-99</v>
      </c>
      <c r="AC18" s="138">
        <f t="shared" ref="AC18:AC23" si="3">1-C18</f>
        <v>-98.298848352742269</v>
      </c>
      <c r="AD18" s="138">
        <f t="shared" ref="AD18:AD23" si="4">1-D18</f>
        <v>-97.547935248719583</v>
      </c>
      <c r="AE18" s="138">
        <f t="shared" ref="AE18:AE23" si="5">1-E18</f>
        <v>-96.740741133034547</v>
      </c>
      <c r="AF18" s="138">
        <f t="shared" ref="AF18:AF23" si="6">1-F18</f>
        <v>-95.869459040557132</v>
      </c>
      <c r="AG18" s="138">
        <f t="shared" ref="AG18:AG23" si="7">1-G18</f>
        <v>-94.92461991433872</v>
      </c>
      <c r="AH18" s="138">
        <f t="shared" ref="AH18:AH23" si="8">1-H18</f>
        <v>-93.894533480880185</v>
      </c>
      <c r="AI18" s="138">
        <f t="shared" ref="AI18:AI23" si="9">1-I18</f>
        <v>-92.764505984409354</v>
      </c>
      <c r="AJ18" s="138">
        <f t="shared" ref="AJ18:AJ23" si="10">1-J18</f>
        <v>-91.515598926468627</v>
      </c>
      <c r="AK18" s="138">
        <f t="shared" ref="AK18:AK23" si="11">1-K18</f>
        <v>-90.122716367384882</v>
      </c>
      <c r="AL18" s="138">
        <f t="shared" ref="AL18:AL23" si="12">1-L18</f>
        <v>-88.551465692636569</v>
      </c>
      <c r="AM18" s="138">
        <f t="shared" ref="AM18:AM23" si="13">1-M18</f>
        <v>-86.752815795074596</v>
      </c>
      <c r="AN18" s="138">
        <f t="shared" ref="AN18:AN23" si="14">1-N18</f>
        <v>-84.653651353761006</v>
      </c>
      <c r="AO18" s="138">
        <f t="shared" ref="AO18:AO23" si="15">1-O18</f>
        <v>-82.139378576688785</v>
      </c>
      <c r="AP18" s="138">
        <f t="shared" ref="AP18:AP23" si="16">1-P18</f>
        <v>-79.021121564499666</v>
      </c>
      <c r="AQ18" s="138">
        <f t="shared" ref="AQ18:AQ23" si="17">1-Q18</f>
        <v>-74.974860336886778</v>
      </c>
      <c r="AR18" s="138">
        <f t="shared" ref="AR18:AR23" si="18">1-R18</f>
        <v>-69.440631551071661</v>
      </c>
      <c r="AS18" s="138">
        <f t="shared" ref="AS18:AS23" si="19">1-S18</f>
        <v>-61.481958571426155</v>
      </c>
      <c r="AT18" s="138">
        <f t="shared" ref="AT18:AT23" si="20">1-T18</f>
        <v>-49.466257910145771</v>
      </c>
      <c r="AU18" s="138">
        <f t="shared" ref="AU18:AU23" si="21">1-U18</f>
        <v>-29.751002201738579</v>
      </c>
      <c r="AV18" s="138">
        <f t="shared" ref="AV18:AV23" si="22">1-V18</f>
        <v>-24.229108978813876</v>
      </c>
      <c r="AW18" s="138">
        <f t="shared" ref="AW18:AW23" si="23">1-W18</f>
        <v>-17.980815893633938</v>
      </c>
      <c r="AX18" s="138">
        <f t="shared" ref="AX18:AX23" si="24">1-X18</f>
        <v>-11.004292566676686</v>
      </c>
      <c r="AY18" s="138">
        <f t="shared" ref="AY18:AY23" si="25">1-Y18</f>
        <v>-3.7235024379815993</v>
      </c>
    </row>
    <row r="19" spans="1:51" x14ac:dyDescent="0.2">
      <c r="A19" t="str">
        <f t="shared" si="0"/>
        <v>Kaldorian</v>
      </c>
      <c r="B19" s="80">
        <f t="shared" ref="B19:Y19" si="26">IF(B4&gt;0,100*B4,"")</f>
        <v>100</v>
      </c>
      <c r="C19" s="80">
        <f t="shared" si="26"/>
        <v>99.785045128405372</v>
      </c>
      <c r="D19" s="80">
        <f t="shared" si="26"/>
        <v>99.528500235623639</v>
      </c>
      <c r="E19" s="80">
        <f t="shared" si="26"/>
        <v>99.224802439128325</v>
      </c>
      <c r="F19" s="80">
        <f t="shared" si="26"/>
        <v>98.867288238469413</v>
      </c>
      <c r="G19" s="80">
        <f t="shared" si="26"/>
        <v>98.447804432890834</v>
      </c>
      <c r="H19" s="80">
        <f t="shared" si="26"/>
        <v>97.95638776157773</v>
      </c>
      <c r="I19" s="80">
        <f t="shared" si="26"/>
        <v>97.38048940877016</v>
      </c>
      <c r="J19" s="80">
        <f t="shared" si="26"/>
        <v>96.704067874248267</v>
      </c>
      <c r="K19" s="80">
        <f t="shared" si="26"/>
        <v>95.90609946061258</v>
      </c>
      <c r="L19" s="80">
        <f t="shared" si="26"/>
        <v>94.958184847115689</v>
      </c>
      <c r="M19" s="80">
        <f t="shared" si="26"/>
        <v>93.820579731687985</v>
      </c>
      <c r="N19" s="80">
        <f t="shared" si="26"/>
        <v>92.435221639086308</v>
      </c>
      <c r="O19" s="80">
        <f t="shared" si="26"/>
        <v>90.712904089135165</v>
      </c>
      <c r="P19" s="80">
        <f t="shared" si="26"/>
        <v>88.508484343141106</v>
      </c>
      <c r="Q19" s="80">
        <f t="shared" si="26"/>
        <v>85.571807298031473</v>
      </c>
      <c r="R19" s="80">
        <f t="shared" si="26"/>
        <v>81.451629667474279</v>
      </c>
      <c r="S19" s="80">
        <f t="shared" si="26"/>
        <v>75.305703722060926</v>
      </c>
      <c r="T19" s="80">
        <f t="shared" si="26"/>
        <v>65.39781937663173</v>
      </c>
      <c r="U19" s="80" t="str">
        <f t="shared" si="26"/>
        <v/>
      </c>
      <c r="V19" s="80" t="str">
        <f t="shared" si="26"/>
        <v/>
      </c>
      <c r="W19" s="80" t="str">
        <f t="shared" si="26"/>
        <v/>
      </c>
      <c r="X19" s="80" t="str">
        <f t="shared" si="26"/>
        <v/>
      </c>
      <c r="Y19" s="80" t="str">
        <f t="shared" si="26"/>
        <v/>
      </c>
      <c r="Z19" s="138"/>
      <c r="AA19" t="s">
        <v>90</v>
      </c>
      <c r="AB19" s="138">
        <f t="shared" si="2"/>
        <v>-99</v>
      </c>
      <c r="AC19" s="138">
        <f t="shared" si="3"/>
        <v>-98.785045128405372</v>
      </c>
      <c r="AD19" s="138">
        <f t="shared" si="4"/>
        <v>-98.528500235623639</v>
      </c>
      <c r="AE19" s="138">
        <f t="shared" si="5"/>
        <v>-98.224802439128325</v>
      </c>
      <c r="AF19" s="138">
        <f t="shared" si="6"/>
        <v>-97.867288238469413</v>
      </c>
      <c r="AG19" s="138">
        <f t="shared" si="7"/>
        <v>-97.447804432890834</v>
      </c>
      <c r="AH19" s="138">
        <f t="shared" si="8"/>
        <v>-96.95638776157773</v>
      </c>
      <c r="AI19" s="138">
        <f t="shared" si="9"/>
        <v>-96.38048940877016</v>
      </c>
      <c r="AJ19" s="138">
        <f t="shared" si="10"/>
        <v>-95.704067874248267</v>
      </c>
      <c r="AK19" s="138">
        <f t="shared" si="11"/>
        <v>-94.90609946061258</v>
      </c>
      <c r="AL19" s="138">
        <f t="shared" si="12"/>
        <v>-93.958184847115689</v>
      </c>
      <c r="AM19" s="138">
        <f t="shared" si="13"/>
        <v>-92.820579731687985</v>
      </c>
      <c r="AN19" s="138">
        <f t="shared" si="14"/>
        <v>-91.435221639086308</v>
      </c>
      <c r="AO19" s="138">
        <f t="shared" si="15"/>
        <v>-89.712904089135165</v>
      </c>
      <c r="AP19" s="138">
        <f t="shared" si="16"/>
        <v>-87.508484343141106</v>
      </c>
      <c r="AQ19" s="138">
        <f t="shared" si="17"/>
        <v>-84.571807298031473</v>
      </c>
      <c r="AR19" s="138">
        <f t="shared" si="18"/>
        <v>-80.451629667474279</v>
      </c>
      <c r="AS19" s="138">
        <f t="shared" si="19"/>
        <v>-74.305703722060926</v>
      </c>
      <c r="AT19" s="138">
        <f t="shared" si="20"/>
        <v>-64.39781937663173</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v>
      </c>
      <c r="C20" s="80">
        <f t="shared" si="27"/>
        <v>99.787099266905003</v>
      </c>
      <c r="D20" s="80">
        <f t="shared" si="27"/>
        <v>99.532690466192321</v>
      </c>
      <c r="E20" s="80">
        <f t="shared" si="27"/>
        <v>99.231223035581877</v>
      </c>
      <c r="F20" s="80">
        <f t="shared" si="27"/>
        <v>98.876027776637116</v>
      </c>
      <c r="G20" s="80">
        <f t="shared" si="27"/>
        <v>98.458998919386971</v>
      </c>
      <c r="H20" s="80">
        <f t="shared" si="27"/>
        <v>97.970127615111309</v>
      </c>
      <c r="I20" s="80">
        <f t="shared" si="27"/>
        <v>97.396863442197628</v>
      </c>
      <c r="J20" s="80">
        <f t="shared" si="27"/>
        <v>96.723121653250814</v>
      </c>
      <c r="K20" s="80">
        <f t="shared" si="27"/>
        <v>95.927791836505776</v>
      </c>
      <c r="L20" s="80">
        <f t="shared" si="27"/>
        <v>94.982333497450028</v>
      </c>
      <c r="M20" s="80">
        <f t="shared" si="27"/>
        <v>93.846763621892066</v>
      </c>
      <c r="N20" s="80">
        <f t="shared" si="27"/>
        <v>92.462641629775874</v>
      </c>
      <c r="O20" s="80">
        <f t="shared" si="27"/>
        <v>90.7401536501782</v>
      </c>
      <c r="P20" s="80">
        <f t="shared" si="27"/>
        <v>88.533302160900945</v>
      </c>
      <c r="Q20" s="80">
        <f t="shared" si="27"/>
        <v>85.591059180810447</v>
      </c>
      <c r="R20" s="80">
        <f t="shared" si="27"/>
        <v>81.462607565808014</v>
      </c>
      <c r="S20" s="80">
        <f t="shared" si="27"/>
        <v>75.309297008674747</v>
      </c>
      <c r="T20" s="80">
        <f t="shared" si="27"/>
        <v>65.398293791960043</v>
      </c>
      <c r="U20" s="80">
        <f t="shared" si="27"/>
        <v>47.08424228844266</v>
      </c>
      <c r="V20" s="80">
        <f t="shared" si="27"/>
        <v>41.357548023590489</v>
      </c>
      <c r="W20" s="80">
        <f t="shared" si="27"/>
        <v>34.413732150647839</v>
      </c>
      <c r="X20" s="80">
        <f t="shared" si="27"/>
        <v>25.788014549159115</v>
      </c>
      <c r="Y20" s="80" t="str">
        <f t="shared" si="27"/>
        <v/>
      </c>
      <c r="Z20" s="138"/>
      <c r="AA20" t="s">
        <v>93</v>
      </c>
      <c r="AB20" s="138">
        <f t="shared" si="2"/>
        <v>-99</v>
      </c>
      <c r="AC20" s="138">
        <f t="shared" si="3"/>
        <v>-98.787099266905003</v>
      </c>
      <c r="AD20" s="138">
        <f t="shared" si="4"/>
        <v>-98.532690466192321</v>
      </c>
      <c r="AE20" s="138">
        <f t="shared" si="5"/>
        <v>-98.231223035581877</v>
      </c>
      <c r="AF20" s="138">
        <f t="shared" si="6"/>
        <v>-97.876027776637116</v>
      </c>
      <c r="AG20" s="138">
        <f t="shared" si="7"/>
        <v>-97.458998919386971</v>
      </c>
      <c r="AH20" s="138">
        <f t="shared" si="8"/>
        <v>-96.970127615111309</v>
      </c>
      <c r="AI20" s="138">
        <f t="shared" si="9"/>
        <v>-96.396863442197628</v>
      </c>
      <c r="AJ20" s="138">
        <f t="shared" si="10"/>
        <v>-95.723121653250814</v>
      </c>
      <c r="AK20" s="138">
        <f t="shared" si="11"/>
        <v>-94.927791836505776</v>
      </c>
      <c r="AL20" s="138">
        <f t="shared" si="12"/>
        <v>-93.982333497450028</v>
      </c>
      <c r="AM20" s="138">
        <f t="shared" si="13"/>
        <v>-92.846763621892066</v>
      </c>
      <c r="AN20" s="138">
        <f t="shared" si="14"/>
        <v>-91.462641629775874</v>
      </c>
      <c r="AO20" s="138">
        <f t="shared" si="15"/>
        <v>-89.7401536501782</v>
      </c>
      <c r="AP20" s="138">
        <f t="shared" si="16"/>
        <v>-87.533302160900945</v>
      </c>
      <c r="AQ20" s="138">
        <f t="shared" si="17"/>
        <v>-84.591059180810447</v>
      </c>
      <c r="AR20" s="138">
        <f t="shared" si="18"/>
        <v>-80.462607565808014</v>
      </c>
      <c r="AS20" s="138">
        <f t="shared" si="19"/>
        <v>-74.309297008674747</v>
      </c>
      <c r="AT20" s="138">
        <f t="shared" si="20"/>
        <v>-64.398293791960043</v>
      </c>
      <c r="AU20" s="138"/>
      <c r="AV20" s="138"/>
      <c r="AW20" s="138"/>
      <c r="AX20" s="138"/>
      <c r="AY20" s="138"/>
    </row>
    <row r="21" spans="1:51" x14ac:dyDescent="0.2">
      <c r="A21" t="str">
        <f t="shared" si="0"/>
        <v>Keynes-Kaldor</v>
      </c>
      <c r="B21" s="80">
        <f t="shared" ref="B21:Y21" si="28">IF(B6&gt;0,100*B6,"")</f>
        <v>100</v>
      </c>
      <c r="C21" s="80">
        <f t="shared" si="28"/>
        <v>100.26824455102464</v>
      </c>
      <c r="D21" s="80">
        <f t="shared" si="28"/>
        <v>100.43936986810917</v>
      </c>
      <c r="E21" s="80">
        <f t="shared" si="28"/>
        <v>100.50589601822783</v>
      </c>
      <c r="F21" s="80">
        <f t="shared" si="28"/>
        <v>100.45795600871796</v>
      </c>
      <c r="G21" s="80">
        <f t="shared" si="28"/>
        <v>100.2827830338185</v>
      </c>
      <c r="H21" s="80">
        <f t="shared" si="28"/>
        <v>99.963903650805733</v>
      </c>
      <c r="I21" s="80">
        <f t="shared" si="28"/>
        <v>99.480019451647166</v>
      </c>
      <c r="J21" s="80">
        <f t="shared" si="28"/>
        <v>98.803323685238681</v>
      </c>
      <c r="K21" s="80">
        <f t="shared" si="28"/>
        <v>97.896960296114983</v>
      </c>
      <c r="L21" s="80">
        <f t="shared" si="28"/>
        <v>96.711042282891896</v>
      </c>
      <c r="M21" s="80">
        <f t="shared" si="28"/>
        <v>95.176163193881905</v>
      </c>
      <c r="N21" s="80">
        <f t="shared" si="28"/>
        <v>93.192379010892779</v>
      </c>
      <c r="O21" s="80">
        <f t="shared" si="28"/>
        <v>90.609621217121045</v>
      </c>
      <c r="P21" s="80">
        <f t="shared" si="28"/>
        <v>87.19111838688336</v>
      </c>
      <c r="Q21" s="80">
        <f t="shared" si="28"/>
        <v>82.543183166335041</v>
      </c>
      <c r="R21" s="80">
        <f t="shared" si="28"/>
        <v>75.981647591910999</v>
      </c>
      <c r="S21" s="80">
        <f t="shared" si="28"/>
        <v>66.303090531299574</v>
      </c>
      <c r="T21" s="80">
        <f t="shared" si="28"/>
        <v>51.506954124809013</v>
      </c>
      <c r="U21" s="80" t="str">
        <f t="shared" si="28"/>
        <v/>
      </c>
      <c r="V21" s="80" t="str">
        <f t="shared" si="28"/>
        <v/>
      </c>
      <c r="W21" s="80" t="str">
        <f t="shared" si="28"/>
        <v/>
      </c>
      <c r="X21" s="80" t="str">
        <f t="shared" si="28"/>
        <v/>
      </c>
      <c r="Y21" s="80" t="str">
        <f t="shared" si="28"/>
        <v/>
      </c>
      <c r="Z21" s="138"/>
      <c r="AA21" t="s">
        <v>95</v>
      </c>
      <c r="AB21" s="138">
        <f t="shared" si="2"/>
        <v>-99</v>
      </c>
      <c r="AC21" s="138">
        <f t="shared" si="3"/>
        <v>-99.268244551024637</v>
      </c>
      <c r="AD21" s="138">
        <f t="shared" si="4"/>
        <v>-99.439369868109168</v>
      </c>
      <c r="AE21" s="138">
        <f t="shared" si="5"/>
        <v>-99.50589601822783</v>
      </c>
      <c r="AF21" s="138">
        <f t="shared" si="6"/>
        <v>-99.457956008717957</v>
      </c>
      <c r="AG21" s="138">
        <f t="shared" si="7"/>
        <v>-99.282783033818504</v>
      </c>
      <c r="AH21" s="138">
        <f t="shared" si="8"/>
        <v>-98.963903650805733</v>
      </c>
      <c r="AI21" s="138">
        <f t="shared" si="9"/>
        <v>-98.480019451647166</v>
      </c>
      <c r="AJ21" s="138">
        <f t="shared" si="10"/>
        <v>-97.803323685238681</v>
      </c>
      <c r="AK21" s="138">
        <f t="shared" si="11"/>
        <v>-96.896960296114983</v>
      </c>
      <c r="AL21" s="138">
        <f t="shared" si="12"/>
        <v>-95.711042282891896</v>
      </c>
      <c r="AM21" s="138">
        <f t="shared" si="13"/>
        <v>-94.176163193881905</v>
      </c>
      <c r="AN21" s="138">
        <f t="shared" si="14"/>
        <v>-92.192379010892779</v>
      </c>
      <c r="AO21" s="138">
        <f t="shared" si="15"/>
        <v>-89.609621217121045</v>
      </c>
      <c r="AP21" s="138">
        <f t="shared" si="16"/>
        <v>-86.19111838688336</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101.1664907786441</v>
      </c>
      <c r="D22" s="80">
        <f t="shared" si="29"/>
        <v>102.29336239405502</v>
      </c>
      <c r="E22" s="80">
        <f t="shared" si="29"/>
        <v>103.37805373824199</v>
      </c>
      <c r="F22" s="80">
        <f t="shared" si="29"/>
        <v>104.41725952070524</v>
      </c>
      <c r="G22" s="80">
        <f t="shared" si="29"/>
        <v>105.40692630642488</v>
      </c>
      <c r="H22" s="80">
        <f t="shared" si="29"/>
        <v>106.34227948076386</v>
      </c>
      <c r="I22" s="80">
        <f t="shared" si="29"/>
        <v>107.21796865772461</v>
      </c>
      <c r="J22" s="80">
        <f t="shared" si="29"/>
        <v>108.02835502926891</v>
      </c>
      <c r="K22" s="80">
        <f t="shared" si="29"/>
        <v>108.76812258962562</v>
      </c>
      <c r="L22" s="80">
        <f t="shared" si="29"/>
        <v>109.43339453160903</v>
      </c>
      <c r="M22" s="80">
        <f t="shared" si="29"/>
        <v>110.02348667412578</v>
      </c>
      <c r="N22" s="80">
        <f t="shared" si="29"/>
        <v>110.54232652472213</v>
      </c>
      <c r="O22" s="80">
        <f t="shared" si="29"/>
        <v>110.99228412238445</v>
      </c>
      <c r="P22" s="80">
        <f t="shared" si="29"/>
        <v>111.32796288556681</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-100.1664907786441</v>
      </c>
      <c r="AD22" s="138">
        <f t="shared" si="4"/>
        <v>-101.29336239405502</v>
      </c>
      <c r="AE22" s="138">
        <f t="shared" si="5"/>
        <v>-102.37805373824199</v>
      </c>
      <c r="AF22" s="138">
        <f t="shared" si="6"/>
        <v>-103.41725952070524</v>
      </c>
      <c r="AG22" s="138">
        <f t="shared" si="7"/>
        <v>-104.40692630642488</v>
      </c>
      <c r="AH22" s="138">
        <f t="shared" si="8"/>
        <v>-105.34227948076386</v>
      </c>
      <c r="AI22" s="138">
        <f t="shared" si="9"/>
        <v>-106.21796865772461</v>
      </c>
      <c r="AJ22" s="138">
        <f t="shared" si="10"/>
        <v>-107.02835502926891</v>
      </c>
      <c r="AK22" s="138">
        <f t="shared" si="11"/>
        <v>-107.76812258962562</v>
      </c>
      <c r="AL22" s="138">
        <f t="shared" si="12"/>
        <v>-108.43339453160903</v>
      </c>
      <c r="AM22" s="138">
        <f t="shared" si="13"/>
        <v>-109.02348667412578</v>
      </c>
      <c r="AN22" s="138">
        <f t="shared" si="14"/>
        <v>-109.54232652472213</v>
      </c>
      <c r="AO22" s="138">
        <f t="shared" si="15"/>
        <v>-109.99228412238445</v>
      </c>
      <c r="AP22" s="138">
        <f t="shared" si="16"/>
        <v>-110.32796288556681</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97.738974502732816</v>
      </c>
      <c r="D23" s="80">
        <f t="shared" si="30"/>
        <v>95.248623605545134</v>
      </c>
      <c r="E23" s="80">
        <f t="shared" si="30"/>
        <v>92.507226763515419</v>
      </c>
      <c r="F23" s="80">
        <f t="shared" si="30"/>
        <v>89.492553739385215</v>
      </c>
      <c r="G23" s="80">
        <f t="shared" si="30"/>
        <v>86.183086119569282</v>
      </c>
      <c r="H23" s="80">
        <f t="shared" si="30"/>
        <v>82.559591787403448</v>
      </c>
      <c r="I23" s="80">
        <f t="shared" si="30"/>
        <v>78.608000411273622</v>
      </c>
      <c r="J23" s="80">
        <f t="shared" si="30"/>
        <v>74.323849191588209</v>
      </c>
      <c r="K23" s="80">
        <f t="shared" si="30"/>
        <v>69.720442749901196</v>
      </c>
      <c r="L23" s="80">
        <f t="shared" si="30"/>
        <v>64.847162578220036</v>
      </c>
      <c r="M23" s="80">
        <f t="shared" si="30"/>
        <v>59.843304916264728</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-96.738974502732816</v>
      </c>
      <c r="AD23" s="138">
        <f t="shared" si="4"/>
        <v>-94.248623605545134</v>
      </c>
      <c r="AE23" s="138">
        <f t="shared" si="5"/>
        <v>-91.507226763515419</v>
      </c>
      <c r="AF23" s="138">
        <f t="shared" si="6"/>
        <v>-88.492553739385215</v>
      </c>
      <c r="AG23" s="138">
        <f t="shared" si="7"/>
        <v>-85.183086119569282</v>
      </c>
      <c r="AH23" s="138">
        <f t="shared" si="8"/>
        <v>-81.559591787403448</v>
      </c>
      <c r="AI23" s="138">
        <f t="shared" si="9"/>
        <v>-77.608000411273622</v>
      </c>
      <c r="AJ23" s="138">
        <f t="shared" si="10"/>
        <v>-73.323849191588209</v>
      </c>
      <c r="AK23" s="138">
        <f t="shared" si="11"/>
        <v>-68.720442749901196</v>
      </c>
      <c r="AL23" s="138">
        <f t="shared" si="12"/>
        <v>-63.847162578220036</v>
      </c>
      <c r="AM23" s="138">
        <f t="shared" si="13"/>
        <v>-58.843304916264728</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v>
      </c>
      <c r="C24" s="80">
        <f t="shared" si="31"/>
        <v>98.47979552246467</v>
      </c>
      <c r="D24" s="80">
        <f t="shared" si="31"/>
        <v>96.811984486090324</v>
      </c>
      <c r="E24" s="80">
        <f t="shared" si="31"/>
        <v>94.973596729793158</v>
      </c>
      <c r="F24" s="80">
        <f t="shared" si="31"/>
        <v>92.937418790626722</v>
      </c>
      <c r="G24" s="80">
        <f t="shared" si="31"/>
        <v>90.671705147386746</v>
      </c>
      <c r="H24" s="80">
        <f t="shared" si="31"/>
        <v>88.139643313782841</v>
      </c>
      <c r="I24" s="80">
        <f t="shared" si="31"/>
        <v>85.299660711724428</v>
      </c>
      <c r="J24" s="80">
        <f t="shared" si="31"/>
        <v>82.106515272515495</v>
      </c>
      <c r="K24" s="80">
        <f t="shared" si="31"/>
        <v>78.514163704179808</v>
      </c>
      <c r="L24" s="80">
        <f t="shared" si="31"/>
        <v>74.481502293855328</v>
      </c>
      <c r="M24" s="80">
        <f t="shared" si="31"/>
        <v>69.981972432547593</v>
      </c>
      <c r="N24" s="80">
        <f t="shared" si="31"/>
        <v>65.017499094885693</v>
      </c>
      <c r="O24" s="80">
        <f t="shared" si="31"/>
        <v>59.633883764047681</v>
      </c>
      <c r="P24" s="80">
        <f t="shared" si="31"/>
        <v>53.927620895896681</v>
      </c>
      <c r="Q24" s="80">
        <f t="shared" si="31"/>
        <v>48.024069533368269</v>
      </c>
      <c r="R24" s="80">
        <f t="shared" si="31"/>
        <v>42.00491836031366</v>
      </c>
      <c r="S24" s="80">
        <f t="shared" si="31"/>
        <v>35.777867324048593</v>
      </c>
      <c r="T24" s="80">
        <f t="shared" si="31"/>
        <v>28.888287346999757</v>
      </c>
      <c r="U24" s="80">
        <f t="shared" si="31"/>
        <v>20.064573286793703</v>
      </c>
      <c r="V24" s="80">
        <f t="shared" si="31"/>
        <v>17.772065637549701</v>
      </c>
      <c r="W24" s="80">
        <f t="shared" si="31"/>
        <v>15.137504717560613</v>
      </c>
      <c r="X24" s="80">
        <f t="shared" si="31"/>
        <v>11.978709667728568</v>
      </c>
      <c r="Y24" s="80">
        <f t="shared" si="31"/>
        <v>7.8679768015507552</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v>
      </c>
      <c r="C25" s="80">
        <f t="shared" si="32"/>
        <v>98.733809296963543</v>
      </c>
      <c r="D25" s="80">
        <f t="shared" si="32"/>
        <v>97.360150583197111</v>
      </c>
      <c r="E25" s="80">
        <f t="shared" si="32"/>
        <v>95.86328207904009</v>
      </c>
      <c r="F25" s="80">
        <f t="shared" si="32"/>
        <v>94.224275405097842</v>
      </c>
      <c r="G25" s="80">
        <f t="shared" si="32"/>
        <v>92.42018752937517</v>
      </c>
      <c r="H25" s="80">
        <f t="shared" si="32"/>
        <v>90.422946506884514</v>
      </c>
      <c r="I25" s="80">
        <f t="shared" si="32"/>
        <v>88.197985479742627</v>
      </c>
      <c r="J25" s="80">
        <f t="shared" si="32"/>
        <v>85.702412525673182</v>
      </c>
      <c r="K25" s="80">
        <f t="shared" si="32"/>
        <v>82.882677827985091</v>
      </c>
      <c r="L25" s="80">
        <f t="shared" si="32"/>
        <v>79.671675208228848</v>
      </c>
      <c r="M25" s="80">
        <f t="shared" si="32"/>
        <v>75.985367707391674</v>
      </c>
      <c r="N25" s="80">
        <f t="shared" si="32"/>
        <v>71.719261194673038</v>
      </c>
      <c r="O25" s="80">
        <f t="shared" si="32"/>
        <v>66.745722381016066</v>
      </c>
      <c r="P25" s="80">
        <f t="shared" si="32"/>
        <v>60.914224972345387</v>
      </c>
      <c r="Q25" s="80">
        <f t="shared" si="32"/>
        <v>54.057696060712324</v>
      </c>
      <c r="R25" s="80">
        <f t="shared" si="32"/>
        <v>46.008540936836781</v>
      </c>
      <c r="S25" s="80">
        <f t="shared" si="32"/>
        <v>36.62507655225987</v>
      </c>
      <c r="T25" s="80">
        <f t="shared" si="32"/>
        <v>25.821911206216136</v>
      </c>
      <c r="U25" s="80">
        <f t="shared" si="32"/>
        <v>13.590765269873906</v>
      </c>
      <c r="V25" s="80">
        <f t="shared" si="32"/>
        <v>10.978034128756981</v>
      </c>
      <c r="W25" s="80">
        <f t="shared" si="32"/>
        <v>8.3116066914706739</v>
      </c>
      <c r="X25" s="80">
        <f t="shared" si="32"/>
        <v>5.5924336146372111</v>
      </c>
      <c r="Y25" s="80">
        <f t="shared" si="32"/>
        <v>2.8215368650051706</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5.3644036461969129E-2</v>
      </c>
      <c r="D34" s="80">
        <f>NeoClassical!F2</f>
        <v>0.10607645386373697</v>
      </c>
      <c r="E34" s="80">
        <f>NeoClassical!H2</f>
        <v>0.16379167927433749</v>
      </c>
      <c r="F34" s="80">
        <f>NeoClassical!J2</f>
        <v>0.22769314942891675</v>
      </c>
      <c r="G34" s="80">
        <f>NeoClassical!L2</f>
        <v>0.29893234197813662</v>
      </c>
      <c r="H34" s="80">
        <f>NeoClassical!N2</f>
        <v>0.37901129615381612</v>
      </c>
      <c r="I34" s="80">
        <f>NeoClassical!P2</f>
        <v>0.46994251756804911</v>
      </c>
      <c r="J34" s="80">
        <f>NeoClassical!R2</f>
        <v>0.57450794079875522</v>
      </c>
      <c r="K34" s="80">
        <f>NeoClassical!T2</f>
        <v>0.69669662204680116</v>
      </c>
      <c r="L34" s="80">
        <f>NeoClassical!V2</f>
        <v>0.84247878252757935</v>
      </c>
      <c r="M34" s="80">
        <f>NeoClassical!X2</f>
        <v>1.0212481912171971</v>
      </c>
      <c r="N34" s="80">
        <f>NeoClassical!Z2</f>
        <v>1.2486864002303917</v>
      </c>
      <c r="O34" s="80">
        <f>NeoClassical!AB2</f>
        <v>1.5528639967317652</v>
      </c>
      <c r="P34" s="80">
        <f>NeoClassical!AD2</f>
        <v>1.9883084073055186</v>
      </c>
      <c r="Q34" s="80">
        <f>NeoClassical!AF2</f>
        <v>2.6710772483492029</v>
      </c>
      <c r="R34" s="80">
        <f>NeoClassical!AH2</f>
        <v>3.8723797168517295</v>
      </c>
      <c r="S34" s="80">
        <f>NeoClassical!AJ2</f>
        <v>6.2920342769098818</v>
      </c>
      <c r="T34" s="80">
        <f>NeoClassical!AL2</f>
        <v>12.110764265187182</v>
      </c>
      <c r="U34" s="80">
        <f>NeoClassical!AN2</f>
        <v>32.179650757654947</v>
      </c>
      <c r="V34" s="80">
        <f>NeoClassical!AP2</f>
        <v>42.339410448277228</v>
      </c>
      <c r="W34" s="80">
        <f>NeoClassical!AR2</f>
        <v>58.559769135722718</v>
      </c>
      <c r="X34" s="80">
        <f>NeoClassical!AT2</f>
        <v>87.347928838558531</v>
      </c>
      <c r="Y34" s="80">
        <f>NeoClassical!AV2</f>
        <v>148.19171381775723</v>
      </c>
      <c r="Z34" s="138"/>
    </row>
    <row r="35" spans="1:26" x14ac:dyDescent="0.2">
      <c r="A35" t="str">
        <f t="shared" ref="A35:A42" si="34">A4</f>
        <v>Kaldorian</v>
      </c>
      <c r="B35" s="80">
        <f>Kaldorian!B2</f>
        <v>5.7716594496607888E-3</v>
      </c>
      <c r="C35" s="80">
        <f>Kaldorian!D2</f>
        <v>5.7108697624743236E-2</v>
      </c>
      <c r="D35" s="80">
        <f>Kaldorian!F2</f>
        <v>0.11331983967653925</v>
      </c>
      <c r="E35" s="80">
        <f>Kaldorian!H2</f>
        <v>0.17517045521565594</v>
      </c>
      <c r="F35" s="80">
        <f>Kaldorian!J2</f>
        <v>0.24361702320304171</v>
      </c>
      <c r="G35" s="80">
        <f>Kaldorian!L2</f>
        <v>0.31987478364591959</v>
      </c>
      <c r="H35" s="80">
        <f>Kaldorian!N2</f>
        <v>0.40553878672262572</v>
      </c>
      <c r="I35" s="80">
        <f>Kaldorian!P2</f>
        <v>0.50274422899682292</v>
      </c>
      <c r="J35" s="80">
        <f>Kaldorian!R2</f>
        <v>0.61445595655934149</v>
      </c>
      <c r="K35" s="80">
        <f>Kaldorian!T2</f>
        <v>0.74494816387285201</v>
      </c>
      <c r="L35" s="80">
        <f>Kaldorian!V2</f>
        <v>0.9006617356480765</v>
      </c>
      <c r="M35" s="80">
        <f>Kaldorian!X2</f>
        <v>1.0918183838904878</v>
      </c>
      <c r="N35" s="80">
        <f>Kaldorian!Z2</f>
        <v>1.3356574359828721</v>
      </c>
      <c r="O35" s="80">
        <f>Kaldorian!AB2</f>
        <v>1.6634106129600357</v>
      </c>
      <c r="P35" s="80">
        <f>Kaldorian!AD2</f>
        <v>2.1365790117755732</v>
      </c>
      <c r="Q35" s="80">
        <f>Kaldorian!AF2</f>
        <v>2.8879425003748671</v>
      </c>
      <c r="R35" s="80">
        <f>Kaldorian!AH2</f>
        <v>4.2313657990880476</v>
      </c>
      <c r="S35" s="80">
        <f>Kaldorian!AJ2</f>
        <v>6.9809692916674972</v>
      </c>
      <c r="T35" s="80">
        <f>Kaldorian!AL2</f>
        <v>13.684972601982004</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5.5513694648321114E-2</v>
      </c>
      <c r="D36" s="80">
        <f>Johansen!F2</f>
        <v>0.11000591048962401</v>
      </c>
      <c r="E36" s="80">
        <f>Johansen!H2</f>
        <v>0.170004118491073</v>
      </c>
      <c r="F36" s="80">
        <f>Johansen!J2</f>
        <v>0.2364554684156881</v>
      </c>
      <c r="G36" s="80">
        <f>Johansen!L2</f>
        <v>0.31057125044199085</v>
      </c>
      <c r="H36" s="80">
        <f>Johansen!N2</f>
        <v>0.39393835293542717</v>
      </c>
      <c r="I36" s="80">
        <f>Johansen!P2</f>
        <v>0.4886944747824693</v>
      </c>
      <c r="J36" s="80">
        <f>Johansen!R2</f>
        <v>0.59781369091895231</v>
      </c>
      <c r="K36" s="80">
        <f>Johansen!T2</f>
        <v>0.7255936531461743</v>
      </c>
      <c r="L36" s="80">
        <f>Johansen!V2</f>
        <v>0.87852350846535354</v>
      </c>
      <c r="M36" s="80">
        <f>Johansen!X2</f>
        <v>1.0669181207160645</v>
      </c>
      <c r="N36" s="80">
        <f>Johansen!Z2</f>
        <v>1.3081976900576149</v>
      </c>
      <c r="O36" s="80">
        <f>Johansen!AB2</f>
        <v>1.6339550226113069</v>
      </c>
      <c r="P36" s="80">
        <f>Johansen!AD2</f>
        <v>2.1064231134538547</v>
      </c>
      <c r="Q36" s="80">
        <f>Johansen!AF2</f>
        <v>2.8597501250173862</v>
      </c>
      <c r="R36" s="80">
        <f>Johansen!AH2</f>
        <v>4.2094621402365497</v>
      </c>
      <c r="S36" s="80">
        <f>Johansen!AJ2</f>
        <v>6.968874649945537</v>
      </c>
      <c r="T36" s="80">
        <f>Johansen!AL2</f>
        <v>13.681045548711618</v>
      </c>
      <c r="U36" s="80">
        <f>Johansen!AN2</f>
        <v>37.017844219136684</v>
      </c>
      <c r="V36" s="80">
        <f>Johansen!AP2</f>
        <v>48.765237472119068</v>
      </c>
      <c r="W36" s="80">
        <f>Johansen!AR2</f>
        <v>67.293490942470612</v>
      </c>
      <c r="X36" s="80">
        <f>Johansen!AT2</f>
        <v>99.314639800888344</v>
      </c>
      <c r="Y36" s="80">
        <f>Johansen!AV2</f>
        <v>0</v>
      </c>
      <c r="Z36" s="138"/>
    </row>
    <row r="37" spans="1:26" x14ac:dyDescent="0.2">
      <c r="A37" t="str">
        <f t="shared" si="34"/>
        <v>Keynes-Kaldor</v>
      </c>
      <c r="B37" s="80">
        <f>'Keynes-K'!B2</f>
        <v>5.7716594496607888E-3</v>
      </c>
      <c r="C37" s="80">
        <f>'Keynes-K'!D2</f>
        <v>6.1386969598904356E-2</v>
      </c>
      <c r="D37" s="80">
        <f>'Keynes-K'!F2</f>
        <v>0.12183414429023202</v>
      </c>
      <c r="E37" s="80">
        <f>'Keynes-K'!H2</f>
        <v>0.18785757776253628</v>
      </c>
      <c r="F37" s="80">
        <f>'Keynes-K'!J2</f>
        <v>0.26038048531400992</v>
      </c>
      <c r="G37" s="80">
        <f>'Keynes-K'!L2</f>
        <v>0.34056821033723989</v>
      </c>
      <c r="H37" s="80">
        <f>'Keynes-K'!N2</f>
        <v>0.42993026313445276</v>
      </c>
      <c r="I37" s="80">
        <f>'Keynes-K'!P2</f>
        <v>0.53047246627170397</v>
      </c>
      <c r="J37" s="80">
        <f>'Keynes-K'!R2</f>
        <v>0.64494132509917879</v>
      </c>
      <c r="K37" s="80">
        <f>'Keynes-K'!T2</f>
        <v>0.77722464514270451</v>
      </c>
      <c r="L37" s="80">
        <f>'Keynes-K'!V2</f>
        <v>0.93303558489829197</v>
      </c>
      <c r="M37" s="80">
        <f>'Keynes-K'!X2</f>
        <v>1.1211254507647823</v>
      </c>
      <c r="N37" s="80">
        <f>'Keynes-K'!Z2</f>
        <v>1.3555348596773606</v>
      </c>
      <c r="O37" s="80">
        <f>'Keynes-K'!AB2</f>
        <v>1.6599505385387006</v>
      </c>
      <c r="P37" s="80">
        <f>'Keynes-K'!AD2</f>
        <v>2.0763975263277672</v>
      </c>
      <c r="Q37" s="80">
        <f>'Keynes-K'!AF2</f>
        <v>2.6824109319608946</v>
      </c>
      <c r="R37" s="80">
        <f>'Keynes-K'!AH2</f>
        <v>3.6208131688305794</v>
      </c>
      <c r="S37" s="80">
        <f>'Keynes-K'!AJ2</f>
        <v>5.1273914854279585</v>
      </c>
      <c r="T37" s="80">
        <f>'Keynes-K'!AL2</f>
        <v>7.4415395056993168</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6.1523794427630472E-2</v>
      </c>
      <c r="D38" s="80">
        <f>'Keynes-M'!F2</f>
        <v>0.12286646391601222</v>
      </c>
      <c r="E38" s="80">
        <f>'Keynes-M'!H2</f>
        <v>0.19082706635634183</v>
      </c>
      <c r="F38" s="80">
        <f>'Keynes-M'!J2</f>
        <v>0.26674945685701446</v>
      </c>
      <c r="G38" s="80">
        <f>'Keynes-M'!L2</f>
        <v>0.35243922216532536</v>
      </c>
      <c r="H38" s="80">
        <f>'Keynes-M'!N2</f>
        <v>0.45039681041417007</v>
      </c>
      <c r="I38" s="80">
        <f>'Keynes-M'!P2</f>
        <v>0.56420433350983312</v>
      </c>
      <c r="J38" s="80">
        <f>'Keynes-M'!R2</f>
        <v>0.69919712522062705</v>
      </c>
      <c r="K38" s="80">
        <f>'Keynes-M'!T2</f>
        <v>0.86368887874841127</v>
      </c>
      <c r="L38" s="80">
        <f>'Keynes-M'!V2</f>
        <v>1.0713410800859129</v>
      </c>
      <c r="M38" s="80">
        <f>'Keynes-M'!X2</f>
        <v>1.346051370381814</v>
      </c>
      <c r="N38" s="80">
        <f>'Keynes-M'!Z2</f>
        <v>1.7327289508778689</v>
      </c>
      <c r="O38" s="80">
        <f>'Keynes-M'!AB2</f>
        <v>2.3223251545078041</v>
      </c>
      <c r="P38" s="80">
        <f>'Keynes-M'!AD2</f>
        <v>3.3103559860164053</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3.4887949747467187E-2</v>
      </c>
      <c r="D39" s="80">
        <f>Keynesian!F2</f>
        <v>6.4974668220133536E-2</v>
      </c>
      <c r="E39" s="80">
        <f>Keynesian!H2</f>
        <v>9.5933182871647954E-2</v>
      </c>
      <c r="F39" s="80">
        <f>Keynesian!J2</f>
        <v>0.12761657711332441</v>
      </c>
      <c r="G39" s="80">
        <f>Keynesian!L2</f>
        <v>0.15981900263662782</v>
      </c>
      <c r="H39" s="80">
        <f>Keynesian!N2</f>
        <v>0.19226147219898668</v>
      </c>
      <c r="I39" s="80">
        <f>Keynesian!P2</f>
        <v>0.22457749022887025</v>
      </c>
      <c r="J39" s="80">
        <f>Keynesian!R2</f>
        <v>0.25629108360389857</v>
      </c>
      <c r="K39" s="80">
        <f>Keynesian!T2</f>
        <v>0.28677539912445354</v>
      </c>
      <c r="L39" s="80">
        <f>Keynesian!V2</f>
        <v>0.31514583404300911</v>
      </c>
      <c r="M39" s="80">
        <f>Keynesian!X2</f>
        <v>0.33987571968301161</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4.3214292043521736E-2</v>
      </c>
      <c r="D40" s="80">
        <f>'Neo-K2'!F2</f>
        <v>8.2949104354581901E-2</v>
      </c>
      <c r="E40" s="80">
        <f>'Neo-K2'!H2</f>
        <v>0.12512174411041616</v>
      </c>
      <c r="F40" s="80">
        <f>'Neo-K2'!J2</f>
        <v>0.16987238662689574</v>
      </c>
      <c r="G40" s="80">
        <f>'Neo-K2'!L2</f>
        <v>0.21733600740505107</v>
      </c>
      <c r="H40" s="80">
        <f>'Neo-K2'!N2</f>
        <v>0.2676363307340095</v>
      </c>
      <c r="I40" s="80">
        <f>'Neo-K2'!P2</f>
        <v>0.32089388307596778</v>
      </c>
      <c r="J40" s="80">
        <f>'Neo-K2'!R2</f>
        <v>0.37724960860265228</v>
      </c>
      <c r="K40" s="80">
        <f>'Neo-K2'!T2</f>
        <v>0.436937186809714</v>
      </c>
      <c r="L40" s="80">
        <f>'Neo-K2'!V2</f>
        <v>0.50046231968398414</v>
      </c>
      <c r="M40" s="80">
        <f>'Neo-K2'!X2</f>
        <v>0.56901473755452403</v>
      </c>
      <c r="N40" s="80">
        <f>'Neo-K2'!Z2</f>
        <v>0.64537795198825565</v>
      </c>
      <c r="O40" s="80">
        <f>'Neo-K2'!AB2</f>
        <v>0.73589424227181499</v>
      </c>
      <c r="P40" s="80">
        <f>'Neo-K2'!AD2</f>
        <v>0.85476209105546297</v>
      </c>
      <c r="Q40" s="80">
        <f>'Neo-K2'!AF2</f>
        <v>1.0342489497221938</v>
      </c>
      <c r="R40" s="80">
        <f>'Neo-K2'!AH2</f>
        <v>1.3541297677266095</v>
      </c>
      <c r="S40" s="80">
        <f>'Neo-K2'!AJ2</f>
        <v>2.0521927494171446</v>
      </c>
      <c r="T40" s="80">
        <f>'Neo-K2'!AL2</f>
        <v>4.0628021998342607</v>
      </c>
      <c r="U40" s="80">
        <f>'Neo-K2'!AN2</f>
        <v>13.218237967316345</v>
      </c>
      <c r="V40" s="80">
        <f>'Neo-K2'!AP2</f>
        <v>18.82632098945567</v>
      </c>
      <c r="W40" s="80">
        <f>'Neo-K2'!AR2</f>
        <v>29.122745997963648</v>
      </c>
      <c r="X40" s="80">
        <f>'Neo-K2'!AT2</f>
        <v>52.062543245530911</v>
      </c>
      <c r="Y40" s="80">
        <f>'Neo-K2'!AV2</f>
        <v>129.86474407808529</v>
      </c>
    </row>
    <row r="41" spans="1:26" x14ac:dyDescent="0.2">
      <c r="A41" t="str">
        <f t="shared" si="34"/>
        <v>Neo-K1</v>
      </c>
      <c r="B41" s="80">
        <f>'Neo-K1'!B2</f>
        <v>5.7716594496607888E-3</v>
      </c>
      <c r="C41" s="80">
        <f>'Neo-K1'!D2</f>
        <v>4.6817481432235131E-2</v>
      </c>
      <c r="D41" s="80">
        <f>'Neo-K1'!F2</f>
        <v>9.1075901266131465E-2</v>
      </c>
      <c r="E41" s="80">
        <f>'Neo-K1'!H2</f>
        <v>0.13892619017453958</v>
      </c>
      <c r="F41" s="80">
        <f>'Neo-K1'!J2</f>
        <v>0.19080998005724531</v>
      </c>
      <c r="G41" s="80">
        <f>'Neo-K1'!L2</f>
        <v>0.24724475748896085</v>
      </c>
      <c r="H41" s="80">
        <f>'Neo-K1'!N2</f>
        <v>0.30884042797855549</v>
      </c>
      <c r="I41" s="80">
        <f>'Neo-K1'!P2</f>
        <v>0.37631995232843801</v>
      </c>
      <c r="J41" s="80">
        <f>'Neo-K1'!R2</f>
        <v>0.45054347806711798</v>
      </c>
      <c r="K41" s="80">
        <f>'Neo-K1'!T2</f>
        <v>0.53253635064856975</v>
      </c>
      <c r="L41" s="80">
        <f>'Neo-K1'!V2</f>
        <v>0.62351590040204297</v>
      </c>
      <c r="M41" s="80">
        <f>'Neo-K1'!X2</f>
        <v>0.72491141045219543</v>
      </c>
      <c r="N41" s="80">
        <f>'Neo-K1'!Z2</f>
        <v>0.83835919674831039</v>
      </c>
      <c r="O41" s="80">
        <f>'Neo-K1'!AB2</f>
        <v>0.9656423110636263</v>
      </c>
      <c r="P41" s="80">
        <f>'Neo-K1'!AD2</f>
        <v>1.1085313829799615</v>
      </c>
      <c r="Q41" s="80">
        <f>'Neo-K1'!AF2</f>
        <v>1.2684744199453728</v>
      </c>
      <c r="R41" s="80">
        <f>'Neo-K1'!AH2</f>
        <v>1.446126019075723</v>
      </c>
      <c r="S41" s="80">
        <f>'Neo-K1'!AJ2</f>
        <v>1.6408218762669604</v>
      </c>
      <c r="T41" s="80">
        <f>'Neo-K1'!AL2</f>
        <v>1.8502513367112541</v>
      </c>
      <c r="U41" s="80">
        <f>'Neo-K1'!AN2</f>
        <v>2.0706091544958203</v>
      </c>
      <c r="V41" s="80">
        <f>'Neo-K1'!AP2</f>
        <v>2.1155889755602368</v>
      </c>
      <c r="W41" s="80">
        <f>'Neo-K1'!AR2</f>
        <v>2.1607819051998547</v>
      </c>
      <c r="X41" s="80">
        <f>'Neo-K1'!AT2</f>
        <v>2.2061499119168153</v>
      </c>
      <c r="Y41" s="80">
        <f>'Neo-K1'!AV2</f>
        <v>2.2516556166176462</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0.56058995943839085</v>
      </c>
      <c r="C49" s="195">
        <f>NeoClassical!D$43</f>
        <v>0.56580028316147624</v>
      </c>
      <c r="D49" s="195">
        <f>NeoClassical!F$43</f>
        <v>0.56439257700612822</v>
      </c>
      <c r="E49" s="195">
        <f>NeoClassical!H$43</f>
        <v>0.5629764970101736</v>
      </c>
      <c r="F49" s="195">
        <f>NeoClassical!J$43</f>
        <v>0.56155112555578046</v>
      </c>
      <c r="G49" s="195">
        <f>NeoClassical!L$43</f>
        <v>0.56011561522307463</v>
      </c>
      <c r="H49" s="195">
        <f>NeoClassical!N$43</f>
        <v>0.55866942374024275</v>
      </c>
      <c r="I49" s="195">
        <f>NeoClassical!P$43</f>
        <v>0.5572125219026024</v>
      </c>
      <c r="J49" s="195">
        <f>NeoClassical!R$43</f>
        <v>0.55574594570066449</v>
      </c>
      <c r="K49" s="195">
        <f>NeoClassical!T$43</f>
        <v>0.55427256799099545</v>
      </c>
      <c r="L49" s="195">
        <f>NeoClassical!V$43</f>
        <v>0.55279842983103189</v>
      </c>
      <c r="M49" s="195">
        <f>NeoClassical!X$43</f>
        <v>0.55133494841274044</v>
      </c>
      <c r="N49" s="195">
        <f>NeoClassical!Z$43</f>
        <v>0.54990253748657658</v>
      </c>
      <c r="O49" s="195">
        <f>NeoClassical!AB$43</f>
        <v>0.54853641371811956</v>
      </c>
      <c r="P49" s="195">
        <f>NeoClassical!AD$43</f>
        <v>0.54729486346627942</v>
      </c>
      <c r="Q49" s="195">
        <f>NeoClassical!AF$43</f>
        <v>0.54626609603674703</v>
      </c>
      <c r="R49" s="195">
        <f>NeoClassical!AH$43</f>
        <v>0.54555350531278479</v>
      </c>
      <c r="S49" s="195">
        <f>NeoClassical!AJ$43</f>
        <v>0.54519941628895163</v>
      </c>
      <c r="T49" s="195">
        <f>NeoClassical!AL$43</f>
        <v>0.5450979614809589</v>
      </c>
      <c r="U49" s="195">
        <f>NeoClassical!AN$43</f>
        <v>0.54508567921869455</v>
      </c>
      <c r="V49" s="195">
        <f>NeoClassical!AP$43</f>
        <v>0.54508548073381524</v>
      </c>
      <c r="W49" s="195">
        <f>NeoClassical!AR$43</f>
        <v>0.54508541011608058</v>
      </c>
      <c r="X49" s="195">
        <f>NeoClassical!AT$43</f>
        <v>0.54508539032253911</v>
      </c>
      <c r="Y49" s="195">
        <f>NeoClassical!AV$43</f>
        <v>0.54508538652230276</v>
      </c>
      <c r="Z49" s="138"/>
    </row>
    <row r="50" spans="1:26" x14ac:dyDescent="0.2">
      <c r="A50" t="str">
        <f t="shared" si="35"/>
        <v>Kaldorian</v>
      </c>
      <c r="B50" s="195">
        <f>Kaldorian!B$43</f>
        <v>0.56058995943839085</v>
      </c>
      <c r="C50" s="195">
        <f>Kaldorian!D$43</f>
        <v>0.56134440333386504</v>
      </c>
      <c r="D50" s="195">
        <f>Kaldorian!F$43</f>
        <v>0.55525584688463381</v>
      </c>
      <c r="E50" s="195">
        <f>Kaldorian!H$43</f>
        <v>0.54890095585004006</v>
      </c>
      <c r="F50" s="195">
        <f>Kaldorian!J$43</f>
        <v>0.54223830767114345</v>
      </c>
      <c r="G50" s="195">
        <f>Kaldorian!L$43</f>
        <v>0.53521644080334962</v>
      </c>
      <c r="H50" s="195">
        <f>Kaldorian!N$43</f>
        <v>0.52776954912528673</v>
      </c>
      <c r="I50" s="195">
        <f>Kaldorian!P$43</f>
        <v>0.51981147148954543</v>
      </c>
      <c r="J50" s="195">
        <f>Kaldorian!R$43</f>
        <v>0.51122506794681633</v>
      </c>
      <c r="K50" s="195">
        <f>Kaldorian!T$43</f>
        <v>0.50184456422524992</v>
      </c>
      <c r="L50" s="195">
        <f>Kaldorian!V$43</f>
        <v>0.4914236817546746</v>
      </c>
      <c r="M50" s="195">
        <f>Kaldorian!X$43</f>
        <v>0.47957653906536352</v>
      </c>
      <c r="N50" s="195">
        <f>Kaldorian!Z$43</f>
        <v>0.46566143824016992</v>
      </c>
      <c r="O50" s="195">
        <f>Kaldorian!AB$43</f>
        <v>0.44854021504812946</v>
      </c>
      <c r="P50" s="195">
        <f>Kaldorian!AD$43</f>
        <v>0.42605323308461784</v>
      </c>
      <c r="Q50" s="195">
        <f>Kaldorian!AF$43</f>
        <v>0.39383248524331038</v>
      </c>
      <c r="R50" s="195">
        <f>Kaldorian!AH$43</f>
        <v>0.34259268892420902</v>
      </c>
      <c r="S50" s="195">
        <f>Kaldorian!AJ$43</f>
        <v>0.25125035232011583</v>
      </c>
      <c r="T50" s="195">
        <f>Kaldorian!AL$43</f>
        <v>5.7172210656114428E-2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0.56058995943839085</v>
      </c>
      <c r="C51" s="195">
        <f>Johansen!D$43</f>
        <v>0.56578921106192848</v>
      </c>
      <c r="D51" s="195">
        <f>Johansen!F$43</f>
        <v>0.56436965286517915</v>
      </c>
      <c r="E51" s="195">
        <f>Johansen!H$43</f>
        <v>0.56294083566009612</v>
      </c>
      <c r="F51" s="195">
        <f>Johansen!J$43</f>
        <v>0.56150174597020075</v>
      </c>
      <c r="G51" s="195">
        <f>Johansen!L$43</f>
        <v>0.56005146494431002</v>
      </c>
      <c r="H51" s="195">
        <f>Johansen!N$43</f>
        <v>0.55858943408489825</v>
      </c>
      <c r="I51" s="195">
        <f>Johansen!P$43</f>
        <v>0.55711569901516889</v>
      </c>
      <c r="J51" s="195">
        <f>Johansen!R$43</f>
        <v>0.55563153603930804</v>
      </c>
      <c r="K51" s="195">
        <f>Johansen!T$43</f>
        <v>0.55414031431176236</v>
      </c>
      <c r="L51" s="195">
        <f>Johansen!V$43</f>
        <v>0.55264899115032762</v>
      </c>
      <c r="M51" s="195">
        <f>Johansen!X$43</f>
        <v>0.55117055430516615</v>
      </c>
      <c r="N51" s="195">
        <f>Johansen!Z$43</f>
        <v>0.54972799905239789</v>
      </c>
      <c r="O51" s="195">
        <f>Johansen!AB$43</f>
        <v>0.54836062227570515</v>
      </c>
      <c r="P51" s="195">
        <f>Johansen!AD$43</f>
        <v>0.54713256378986108</v>
      </c>
      <c r="Q51" s="195">
        <f>Johansen!AF$43</f>
        <v>0.54613803811408246</v>
      </c>
      <c r="R51" s="195">
        <f>Johansen!AH$43</f>
        <v>0.5454783348789386</v>
      </c>
      <c r="S51" s="195">
        <f>Johansen!AJ$43</f>
        <v>0.54517339656073205</v>
      </c>
      <c r="T51" s="195">
        <f>Johansen!AL$43</f>
        <v>0.54509416443203851</v>
      </c>
      <c r="U51" s="195">
        <f>Johansen!AN$43</f>
        <v>0.54508557146921277</v>
      </c>
      <c r="V51" s="195">
        <f>Johansen!AP$43</f>
        <v>0.54508544540494708</v>
      </c>
      <c r="W51" s="195">
        <f>Johansen!AR$43</f>
        <v>0.54508540124902483</v>
      </c>
      <c r="X51" s="195">
        <f>Johansen!AT$43</f>
        <v>0.54508538888581748</v>
      </c>
      <c r="Y51" s="195" t="e">
        <f>Johansen!AV$43</f>
        <v>#DIV/0!</v>
      </c>
      <c r="Z51" s="138"/>
    </row>
    <row r="52" spans="1:26" x14ac:dyDescent="0.2">
      <c r="A52" t="str">
        <f t="shared" si="35"/>
        <v>Keynes-Kaldor</v>
      </c>
      <c r="B52" s="195">
        <f>'Keynes-K'!B$43</f>
        <v>0.56058995943839085</v>
      </c>
      <c r="C52" s="195">
        <f>'Keynes-K'!D$43</f>
        <v>0.56087131414166502</v>
      </c>
      <c r="D52" s="195">
        <f>'Keynes-K'!F$43</f>
        <v>0.55436318943593366</v>
      </c>
      <c r="E52" s="195">
        <f>'Keynes-K'!H$43</f>
        <v>0.54764099507439812</v>
      </c>
      <c r="F52" s="195">
        <f>'Keynes-K'!J$43</f>
        <v>0.54066339969586785</v>
      </c>
      <c r="G52" s="195">
        <f>'Keynes-K'!L$43</f>
        <v>0.53338057928995442</v>
      </c>
      <c r="H52" s="195">
        <f>'Keynes-K'!N$43</f>
        <v>0.52573044206401809</v>
      </c>
      <c r="I52" s="195">
        <f>'Keynes-K'!P$43</f>
        <v>0.51763308611974812</v>
      </c>
      <c r="J52" s="195">
        <f>'Keynes-K'!R$43</f>
        <v>0.50898180870153664</v>
      </c>
      <c r="K52" s="195">
        <f>'Keynes-K'!T$43</f>
        <v>0.49962849914551144</v>
      </c>
      <c r="L52" s="195">
        <f>'Keynes-K'!V$43</f>
        <v>0.48935853557845671</v>
      </c>
      <c r="M52" s="195">
        <f>'Keynes-K'!X$43</f>
        <v>0.47784723710716009</v>
      </c>
      <c r="N52" s="195">
        <f>'Keynes-K'!Z$43</f>
        <v>0.46458112325206025</v>
      </c>
      <c r="O52" s="195">
        <f>'Keynes-K'!AB$43</f>
        <v>0.44871272031382431</v>
      </c>
      <c r="P52" s="195">
        <f>'Keynes-K'!AD$43</f>
        <v>0.42879304883943459</v>
      </c>
      <c r="Q52" s="195">
        <f>'Keynes-K'!AF$43</f>
        <v>0.40231132238739181</v>
      </c>
      <c r="R52" s="195">
        <f>'Keynes-K'!AH$43</f>
        <v>0.36509760626209664</v>
      </c>
      <c r="S52" s="195">
        <f>'Keynes-K'!AJ$43</f>
        <v>0.3113298354632128</v>
      </c>
      <c r="T52" s="195">
        <f>'Keynes-K'!AL$43</f>
        <v>0.23702831799548368</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0.58122509399786282</v>
      </c>
      <c r="D53" s="195">
        <f>'Keynes-M'!F$43</f>
        <v>0.59560144629563205</v>
      </c>
      <c r="E53" s="195">
        <f>'Keynes-M'!H$43</f>
        <v>0.61040733353284404</v>
      </c>
      <c r="F53" s="195">
        <f>'Keynes-M'!J$43</f>
        <v>0.62573916818480846</v>
      </c>
      <c r="G53" s="195">
        <f>'Keynes-M'!L$43</f>
        <v>0.64172167231016197</v>
      </c>
      <c r="H53" s="195">
        <f>'Keynes-M'!N$43</f>
        <v>0.65852285627300833</v>
      </c>
      <c r="I53" s="195">
        <f>'Keynes-M'!P$43</f>
        <v>0.67637854810491682</v>
      </c>
      <c r="J53" s="195">
        <f>'Keynes-M'!R$43</f>
        <v>0.69563322576646858</v>
      </c>
      <c r="K53" s="195">
        <f>'Keynes-M'!T$43</f>
        <v>0.7168109261779525</v>
      </c>
      <c r="L53" s="195">
        <f>'Keynes-M'!V$43</f>
        <v>0.74074260994761687</v>
      </c>
      <c r="M53" s="195">
        <f>'Keynes-M'!X$43</f>
        <v>0.76880247976086424</v>
      </c>
      <c r="N53" s="195">
        <f>'Keynes-M'!Z$43</f>
        <v>0.80335111873297527</v>
      </c>
      <c r="O53" s="195">
        <f>'Keynes-M'!AB$43</f>
        <v>0.84852019195677397</v>
      </c>
      <c r="P53" s="195">
        <f>'Keynes-M'!AD$43</f>
        <v>0.91128183491885761</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0.57467057453159953</v>
      </c>
      <c r="D54" s="195">
        <f>Keynesian!F$43</f>
        <v>0.58210617984837976</v>
      </c>
      <c r="E54" s="195">
        <f>Keynesian!H$43</f>
        <v>0.58947843764537433</v>
      </c>
      <c r="F54" s="195">
        <f>Keynesian!J$43</f>
        <v>0.59675108455096071</v>
      </c>
      <c r="G54" s="195">
        <f>Keynesian!L$43</f>
        <v>0.60388102836751467</v>
      </c>
      <c r="H54" s="195">
        <f>Keynesian!N$43</f>
        <v>0.61081526781839346</v>
      </c>
      <c r="I54" s="195">
        <f>Keynesian!P$43</f>
        <v>0.61749114322110266</v>
      </c>
      <c r="J54" s="195">
        <f>Keynesian!R$43</f>
        <v>0.62383276086681805</v>
      </c>
      <c r="K54" s="195">
        <f>Keynesian!T$43</f>
        <v>0.62974314224161132</v>
      </c>
      <c r="L54" s="195">
        <f>Keynesian!V$43</f>
        <v>0.63508747234777452</v>
      </c>
      <c r="M54" s="195">
        <f>Keynesian!X$43</f>
        <v>0.63961952061332139</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0.56058995943839085</v>
      </c>
      <c r="C55" s="195">
        <f>'Neo-K1'!D$43</f>
        <v>0.56666365383268569</v>
      </c>
      <c r="D55" s="195">
        <f>'Neo-K1'!F$43</f>
        <v>0.56611644667502614</v>
      </c>
      <c r="E55" s="195">
        <f>'Neo-K1'!H$43</f>
        <v>0.5655557307531065</v>
      </c>
      <c r="F55" s="195">
        <f>'Neo-K1'!J$43</f>
        <v>0.56497756421506051</v>
      </c>
      <c r="G55" s="195">
        <f>'Neo-K1'!L$43</f>
        <v>0.56437707573724427</v>
      </c>
      <c r="H55" s="195">
        <f>'Neo-K1'!N$43</f>
        <v>0.56374828321141757</v>
      </c>
      <c r="I55" s="195">
        <f>'Neo-K1'!P$43</f>
        <v>0.56308383941114903</v>
      </c>
      <c r="J55" s="195">
        <f>'Neo-K1'!R$43</f>
        <v>0.56237478217619807</v>
      </c>
      <c r="K55" s="195">
        <f>'Neo-K1'!T$43</f>
        <v>0.56161026352128207</v>
      </c>
      <c r="L55" s="195">
        <f>'Neo-K1'!V$43</f>
        <v>0.56077735236091619</v>
      </c>
      <c r="M55" s="195">
        <f>'Neo-K1'!X$43</f>
        <v>0.55986096016117715</v>
      </c>
      <c r="N55" s="195">
        <f>'Neo-K1'!Z$43</f>
        <v>0.55884414080728206</v>
      </c>
      <c r="O55" s="195">
        <f>'Neo-K1'!AB$43</f>
        <v>0.55770905648643265</v>
      </c>
      <c r="P55" s="195">
        <f>'Neo-K1'!AD$43</f>
        <v>0.55643903981850895</v>
      </c>
      <c r="Q55" s="195">
        <f>'Neo-K1'!AF$43</f>
        <v>0.55502214483581025</v>
      </c>
      <c r="R55" s="195">
        <f>'Neo-K1'!AH$43</f>
        <v>0.55345598614529568</v>
      </c>
      <c r="S55" s="195">
        <f>'Neo-K1'!AJ$43</f>
        <v>0.55175246771997011</v>
      </c>
      <c r="T55" s="195">
        <f>'Neo-K1'!AL$43</f>
        <v>0.54993968626857137</v>
      </c>
      <c r="U55" s="195">
        <f>'Neo-K1'!AN$43</f>
        <v>0.54805865061200609</v>
      </c>
      <c r="V55" s="195">
        <f>'Neo-K1'!AP$43</f>
        <v>0.54767831877429352</v>
      </c>
      <c r="W55" s="195">
        <f>'Neo-K1'!AR$43</f>
        <v>0.54729747407563489</v>
      </c>
      <c r="X55" s="195">
        <f>'Neo-K1'!AT$43</f>
        <v>0.54691647369958984</v>
      </c>
      <c r="Y55" s="195">
        <f>'Neo-K1'!AV$43</f>
        <v>0.54653566339055426</v>
      </c>
    </row>
    <row r="56" spans="1:26" x14ac:dyDescent="0.2">
      <c r="A56" t="s">
        <v>157</v>
      </c>
      <c r="B56" s="195">
        <f>'Neo-K2'!B$43</f>
        <v>0.56058995943839085</v>
      </c>
      <c r="C56" s="195">
        <f>'Neo-K2'!D$43</f>
        <v>0.56759777050542803</v>
      </c>
      <c r="D56" s="195">
        <f>'Neo-K2'!F$43</f>
        <v>0.56805052591544158</v>
      </c>
      <c r="E56" s="195">
        <f>'Neo-K2'!H$43</f>
        <v>0.56856406157599482</v>
      </c>
      <c r="F56" s="195">
        <f>'Neo-K2'!J$43</f>
        <v>0.56914387349067996</v>
      </c>
      <c r="G56" s="195">
        <f>'Neo-K2'!L$43</f>
        <v>0.56979540233132964</v>
      </c>
      <c r="H56" s="195">
        <f>'Neo-K2'!N$43</f>
        <v>0.5705237108652792</v>
      </c>
      <c r="I56" s="195">
        <f>'Neo-K2'!P$43</f>
        <v>0.57133275178974163</v>
      </c>
      <c r="J56" s="195">
        <f>'Neo-K2'!R$43</f>
        <v>0.57222421961125236</v>
      </c>
      <c r="K56" s="195">
        <f>'Neo-K2'!T$43</f>
        <v>0.57319560792985635</v>
      </c>
      <c r="L56" s="195">
        <f>'Neo-K2'!V$43</f>
        <v>0.57423690911654257</v>
      </c>
      <c r="M56" s="195">
        <f>'Neo-K2'!X$43</f>
        <v>0.57532520081158534</v>
      </c>
      <c r="N56" s="195">
        <f>'Neo-K2'!Z$43</f>
        <v>0.5764158665420237</v>
      </c>
      <c r="O56" s="195">
        <f>'Neo-K2'!AB$43</f>
        <v>0.57742910779186352</v>
      </c>
      <c r="P56" s="195">
        <f>'Neo-K2'!AD$43</f>
        <v>0.57823088529884237</v>
      </c>
      <c r="Q56" s="195">
        <f>'Neo-K2'!AF$43</f>
        <v>0.57860563053120628</v>
      </c>
      <c r="R56" s="195">
        <f>'Neo-K2'!AH$43</f>
        <v>0.57819597564107028</v>
      </c>
      <c r="S56" s="195">
        <f>'Neo-K2'!AJ$43</f>
        <v>0.57627240013056602</v>
      </c>
      <c r="T56" s="195">
        <f>'Neo-K2'!AL$43</f>
        <v>0.57073546816459808</v>
      </c>
      <c r="U56" s="195">
        <f>'Neo-K2'!AN$43</f>
        <v>0.55310686336587467</v>
      </c>
      <c r="V56" s="195">
        <f>'Neo-K2'!AP$43</f>
        <v>0.54527007229345814</v>
      </c>
      <c r="W56" s="195">
        <f>'Neo-K2'!AR$43</f>
        <v>0.53366788717023961</v>
      </c>
      <c r="X56" s="195">
        <f>'Neo-K2'!AT$43</f>
        <v>0.51461223005684076</v>
      </c>
      <c r="Y56" s="195">
        <f>'Neo-K2'!AV$43</f>
        <v>0.47582378527403463</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0.56058995943839085</v>
      </c>
      <c r="C63" s="195">
        <f t="shared" si="36"/>
        <v>0.56580028316147624</v>
      </c>
      <c r="D63" s="195">
        <f t="shared" si="36"/>
        <v>0.56439257700612822</v>
      </c>
      <c r="E63" s="195">
        <f t="shared" si="36"/>
        <v>0.5629764970101736</v>
      </c>
      <c r="F63" s="195">
        <f t="shared" si="36"/>
        <v>0.56155112555578046</v>
      </c>
      <c r="G63" s="195">
        <f t="shared" si="36"/>
        <v>0.56011561522307463</v>
      </c>
      <c r="H63" s="195">
        <f t="shared" si="36"/>
        <v>0.55866942374024275</v>
      </c>
      <c r="I63" s="195">
        <f t="shared" si="36"/>
        <v>0.5572125219026024</v>
      </c>
      <c r="J63" s="195">
        <f t="shared" si="36"/>
        <v>0.55574594570066449</v>
      </c>
      <c r="K63" s="195">
        <f t="shared" si="36"/>
        <v>0.55427256799099545</v>
      </c>
      <c r="L63" s="195">
        <f t="shared" si="36"/>
        <v>0.55279842983103189</v>
      </c>
      <c r="M63" s="195">
        <f t="shared" si="36"/>
        <v>0.55133494841274044</v>
      </c>
      <c r="N63" s="195">
        <f t="shared" si="36"/>
        <v>0.54990253748657658</v>
      </c>
      <c r="O63" s="195">
        <f t="shared" si="36"/>
        <v>0.54853641371811956</v>
      </c>
      <c r="P63" s="195">
        <f t="shared" si="36"/>
        <v>0.54729486346627942</v>
      </c>
      <c r="Q63" s="195">
        <f t="shared" si="36"/>
        <v>0.54626609603674703</v>
      </c>
      <c r="R63" s="195">
        <f t="shared" si="36"/>
        <v>0.54555350531278479</v>
      </c>
      <c r="S63" s="195">
        <f t="shared" si="36"/>
        <v>0.54519941628895163</v>
      </c>
      <c r="T63" s="195">
        <f t="shared" si="36"/>
        <v>0.5450979614809589</v>
      </c>
      <c r="U63" s="195">
        <f t="shared" si="36"/>
        <v>0.54508567921869455</v>
      </c>
      <c r="V63" s="195">
        <f t="shared" si="36"/>
        <v>0.54508548073381524</v>
      </c>
      <c r="W63" s="195">
        <f t="shared" si="36"/>
        <v>0.54508541011608058</v>
      </c>
      <c r="X63" s="195">
        <f t="shared" si="36"/>
        <v>0.54508539032253911</v>
      </c>
      <c r="Y63" s="195">
        <f t="shared" si="36"/>
        <v>0.54508538652230276</v>
      </c>
      <c r="Z63" s="138"/>
    </row>
    <row r="64" spans="1:26" x14ac:dyDescent="0.2">
      <c r="A64" t="str">
        <f t="shared" ref="A64:Q64" si="37">A50</f>
        <v>Kaldorian</v>
      </c>
      <c r="B64" s="195">
        <f t="shared" si="37"/>
        <v>0.56058995943839085</v>
      </c>
      <c r="C64" s="195">
        <f t="shared" si="37"/>
        <v>0.56134440333386504</v>
      </c>
      <c r="D64" s="195">
        <f t="shared" si="37"/>
        <v>0.55525584688463381</v>
      </c>
      <c r="E64" s="195">
        <f t="shared" si="37"/>
        <v>0.54890095585004006</v>
      </c>
      <c r="F64" s="195">
        <f t="shared" si="37"/>
        <v>0.54223830767114345</v>
      </c>
      <c r="G64" s="195">
        <f t="shared" si="37"/>
        <v>0.53521644080334962</v>
      </c>
      <c r="H64" s="195">
        <f t="shared" si="37"/>
        <v>0.52776954912528673</v>
      </c>
      <c r="I64" s="195">
        <f t="shared" si="37"/>
        <v>0.51981147148954543</v>
      </c>
      <c r="J64" s="195">
        <f t="shared" si="37"/>
        <v>0.51122506794681633</v>
      </c>
      <c r="K64" s="195">
        <f t="shared" si="37"/>
        <v>0.50184456422524992</v>
      </c>
      <c r="L64" s="195">
        <f t="shared" si="37"/>
        <v>0.4914236817546746</v>
      </c>
      <c r="M64" s="195">
        <f t="shared" si="37"/>
        <v>0.47957653906536352</v>
      </c>
      <c r="N64" s="195">
        <f t="shared" si="37"/>
        <v>0.46566143824016992</v>
      </c>
      <c r="O64" s="195">
        <f t="shared" si="37"/>
        <v>0.44854021504812946</v>
      </c>
      <c r="P64" s="195">
        <f t="shared" si="37"/>
        <v>0.42605323308461784</v>
      </c>
      <c r="Q64" s="195">
        <f t="shared" si="37"/>
        <v>0.39383248524331038</v>
      </c>
      <c r="R64" s="195"/>
      <c r="S64" s="195"/>
      <c r="T64" s="195"/>
      <c r="U64" s="195"/>
      <c r="V64" s="195"/>
      <c r="W64" s="195"/>
      <c r="X64" s="195"/>
      <c r="Y64" s="195"/>
      <c r="Z64" s="138"/>
    </row>
    <row r="65" spans="1:26" x14ac:dyDescent="0.2">
      <c r="A65" t="str">
        <f t="shared" ref="A65:Y65" si="38">A51</f>
        <v>Johansen</v>
      </c>
      <c r="B65" s="195">
        <f t="shared" si="38"/>
        <v>0.56058995943839085</v>
      </c>
      <c r="C65" s="195">
        <f t="shared" si="38"/>
        <v>0.56578921106192848</v>
      </c>
      <c r="D65" s="195">
        <f t="shared" si="38"/>
        <v>0.56436965286517915</v>
      </c>
      <c r="E65" s="195">
        <f t="shared" si="38"/>
        <v>0.56294083566009612</v>
      </c>
      <c r="F65" s="195">
        <f t="shared" si="38"/>
        <v>0.56150174597020075</v>
      </c>
      <c r="G65" s="195">
        <f t="shared" si="38"/>
        <v>0.56005146494431002</v>
      </c>
      <c r="H65" s="195">
        <f t="shared" si="38"/>
        <v>0.55858943408489825</v>
      </c>
      <c r="I65" s="195">
        <f t="shared" si="38"/>
        <v>0.55711569901516889</v>
      </c>
      <c r="J65" s="195">
        <f t="shared" si="38"/>
        <v>0.55563153603930804</v>
      </c>
      <c r="K65" s="195">
        <f t="shared" si="38"/>
        <v>0.55414031431176236</v>
      </c>
      <c r="L65" s="195">
        <f t="shared" si="38"/>
        <v>0.55264899115032762</v>
      </c>
      <c r="M65" s="195">
        <f t="shared" si="38"/>
        <v>0.55117055430516615</v>
      </c>
      <c r="N65" s="195">
        <f t="shared" si="38"/>
        <v>0.54972799905239789</v>
      </c>
      <c r="O65" s="195">
        <f t="shared" si="38"/>
        <v>0.54836062227570515</v>
      </c>
      <c r="P65" s="195">
        <f t="shared" si="38"/>
        <v>0.54713256378986108</v>
      </c>
      <c r="Q65" s="195">
        <f t="shared" si="38"/>
        <v>0.54613803811408246</v>
      </c>
      <c r="R65" s="195">
        <f t="shared" si="38"/>
        <v>0.5454783348789386</v>
      </c>
      <c r="S65" s="195">
        <f t="shared" si="38"/>
        <v>0.54517339656073205</v>
      </c>
      <c r="T65" s="195">
        <f t="shared" si="38"/>
        <v>0.54509416443203851</v>
      </c>
      <c r="U65" s="195">
        <f t="shared" si="38"/>
        <v>0.54508557146921277</v>
      </c>
      <c r="V65" s="195">
        <f t="shared" si="38"/>
        <v>0.54508544540494708</v>
      </c>
      <c r="W65" s="195">
        <f t="shared" si="38"/>
        <v>0.54508540124902483</v>
      </c>
      <c r="X65" s="195">
        <f t="shared" si="38"/>
        <v>0.54508538888581748</v>
      </c>
      <c r="Y65" s="195" t="e">
        <f t="shared" si="38"/>
        <v>#DIV/0!</v>
      </c>
      <c r="Z65" s="138"/>
    </row>
    <row r="66" spans="1:26" x14ac:dyDescent="0.2">
      <c r="A66" t="str">
        <f t="shared" ref="A66:R66" si="39">A52</f>
        <v>Keynes-Kaldor</v>
      </c>
      <c r="B66" s="195">
        <f t="shared" si="39"/>
        <v>0.56058995943839085</v>
      </c>
      <c r="C66" s="195">
        <f t="shared" si="39"/>
        <v>0.56087131414166502</v>
      </c>
      <c r="D66" s="195">
        <f t="shared" si="39"/>
        <v>0.55436318943593366</v>
      </c>
      <c r="E66" s="195">
        <f t="shared" si="39"/>
        <v>0.54764099507439812</v>
      </c>
      <c r="F66" s="195">
        <f t="shared" si="39"/>
        <v>0.54066339969586785</v>
      </c>
      <c r="G66" s="195">
        <f t="shared" si="39"/>
        <v>0.53338057928995442</v>
      </c>
      <c r="H66" s="195">
        <f t="shared" si="39"/>
        <v>0.52573044206401809</v>
      </c>
      <c r="I66" s="195">
        <f t="shared" si="39"/>
        <v>0.51763308611974812</v>
      </c>
      <c r="J66" s="195">
        <f t="shared" si="39"/>
        <v>0.50898180870153664</v>
      </c>
      <c r="K66" s="195">
        <f t="shared" si="39"/>
        <v>0.49962849914551144</v>
      </c>
      <c r="L66" s="195">
        <f t="shared" si="39"/>
        <v>0.48935853557845671</v>
      </c>
      <c r="M66" s="195">
        <f t="shared" si="39"/>
        <v>0.47784723710716009</v>
      </c>
      <c r="N66" s="195">
        <f t="shared" si="39"/>
        <v>0.46458112325206025</v>
      </c>
      <c r="O66" s="195">
        <f t="shared" si="39"/>
        <v>0.44871272031382431</v>
      </c>
      <c r="P66" s="195">
        <f t="shared" si="39"/>
        <v>0.42879304883943459</v>
      </c>
      <c r="Q66" s="195">
        <f t="shared" si="39"/>
        <v>0.40231132238739181</v>
      </c>
      <c r="R66" s="195">
        <f t="shared" si="39"/>
        <v>0.36509760626209664</v>
      </c>
      <c r="S66" s="195"/>
      <c r="T66" s="195"/>
      <c r="U66" s="195"/>
      <c r="V66" s="195"/>
      <c r="W66" s="195"/>
      <c r="X66" s="195"/>
      <c r="Y66" s="195"/>
    </row>
    <row r="67" spans="1:26" x14ac:dyDescent="0.2">
      <c r="A67" t="str">
        <f t="shared" ref="A67:K67" si="40">A53</f>
        <v>Keynes-Marshall</v>
      </c>
      <c r="B67" s="195">
        <f t="shared" si="40"/>
        <v>0.56058995943839085</v>
      </c>
      <c r="C67" s="195">
        <f t="shared" si="40"/>
        <v>0.58122509399786282</v>
      </c>
      <c r="D67" s="195">
        <f t="shared" si="40"/>
        <v>0.59560144629563205</v>
      </c>
      <c r="E67" s="195">
        <f t="shared" si="40"/>
        <v>0.61040733353284404</v>
      </c>
      <c r="F67" s="195">
        <f t="shared" si="40"/>
        <v>0.62573916818480846</v>
      </c>
      <c r="G67" s="195">
        <f t="shared" si="40"/>
        <v>0.64172167231016197</v>
      </c>
      <c r="H67" s="195">
        <f t="shared" si="40"/>
        <v>0.65852285627300833</v>
      </c>
      <c r="I67" s="195">
        <f t="shared" si="40"/>
        <v>0.67637854810491682</v>
      </c>
      <c r="J67" s="195">
        <f t="shared" si="40"/>
        <v>0.69563322576646858</v>
      </c>
      <c r="K67" s="195">
        <f t="shared" si="40"/>
        <v>0.7168109261779525</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0.57467057453159953</v>
      </c>
      <c r="D68" s="195">
        <f t="shared" si="41"/>
        <v>0.58210617984837976</v>
      </c>
      <c r="E68" s="195">
        <f t="shared" si="41"/>
        <v>0.58947843764537433</v>
      </c>
      <c r="F68" s="195">
        <f t="shared" si="41"/>
        <v>0.59675108455096071</v>
      </c>
      <c r="G68" s="195">
        <f t="shared" si="41"/>
        <v>0.60388102836751467</v>
      </c>
      <c r="H68" s="195">
        <f t="shared" si="41"/>
        <v>0.61081526781839346</v>
      </c>
      <c r="I68" s="195">
        <f t="shared" si="41"/>
        <v>0.61749114322110266</v>
      </c>
      <c r="J68" s="195">
        <f t="shared" si="41"/>
        <v>0.62383276086681805</v>
      </c>
      <c r="K68" s="195">
        <f t="shared" si="41"/>
        <v>0.62974314224161132</v>
      </c>
      <c r="L68" s="195">
        <f t="shared" si="41"/>
        <v>0.63508747234777452</v>
      </c>
      <c r="M68" s="195">
        <f t="shared" si="41"/>
        <v>0.63961952061332139</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0.56058995943839085</v>
      </c>
      <c r="C69" s="195">
        <f t="shared" si="42"/>
        <v>0.56666365383268569</v>
      </c>
      <c r="D69" s="195">
        <f t="shared" si="42"/>
        <v>0.56611644667502614</v>
      </c>
      <c r="E69" s="195">
        <f t="shared" si="42"/>
        <v>0.5655557307531065</v>
      </c>
      <c r="F69" s="195">
        <f t="shared" si="42"/>
        <v>0.56497756421506051</v>
      </c>
      <c r="G69" s="195">
        <f t="shared" si="42"/>
        <v>0.56437707573724427</v>
      </c>
      <c r="H69" s="195">
        <f t="shared" si="42"/>
        <v>0.56374828321141757</v>
      </c>
      <c r="I69" s="195">
        <f t="shared" si="42"/>
        <v>0.56308383941114903</v>
      </c>
      <c r="J69" s="195">
        <f t="shared" si="42"/>
        <v>0.56237478217619807</v>
      </c>
      <c r="K69" s="195">
        <f t="shared" si="42"/>
        <v>0.56161026352128207</v>
      </c>
      <c r="L69" s="195">
        <f t="shared" si="42"/>
        <v>0.56077735236091619</v>
      </c>
      <c r="M69" s="195">
        <f t="shared" si="42"/>
        <v>0.55986096016117715</v>
      </c>
      <c r="N69" s="195">
        <f t="shared" si="42"/>
        <v>0.55884414080728206</v>
      </c>
      <c r="O69" s="195">
        <f t="shared" si="42"/>
        <v>0.55770905648643265</v>
      </c>
      <c r="P69" s="195">
        <f t="shared" si="42"/>
        <v>0.55643903981850895</v>
      </c>
      <c r="Q69" s="195">
        <f t="shared" si="42"/>
        <v>0.55502214483581025</v>
      </c>
      <c r="R69" s="195">
        <f t="shared" si="42"/>
        <v>0.55345598614529568</v>
      </c>
      <c r="S69" s="195">
        <f t="shared" si="42"/>
        <v>0.55175246771997011</v>
      </c>
      <c r="T69" s="195">
        <f t="shared" si="42"/>
        <v>0.54993968626857137</v>
      </c>
      <c r="U69" s="195">
        <f t="shared" si="42"/>
        <v>0.54805865061200609</v>
      </c>
      <c r="V69" s="195">
        <f t="shared" si="42"/>
        <v>0.54767831877429352</v>
      </c>
      <c r="W69" s="195">
        <f t="shared" si="42"/>
        <v>0.54729747407563489</v>
      </c>
      <c r="X69" s="195">
        <f t="shared" si="42"/>
        <v>0.54691647369958984</v>
      </c>
      <c r="Y69" s="195">
        <f t="shared" si="42"/>
        <v>0.54653566339055426</v>
      </c>
    </row>
    <row r="70" spans="1:26" x14ac:dyDescent="0.2">
      <c r="A70" t="str">
        <f t="shared" ref="A70:Y70" si="43">A56</f>
        <v>Neo-K2</v>
      </c>
      <c r="B70" s="195">
        <f t="shared" si="43"/>
        <v>0.56058995943839085</v>
      </c>
      <c r="C70" s="195">
        <f t="shared" si="43"/>
        <v>0.56759777050542803</v>
      </c>
      <c r="D70" s="195">
        <f t="shared" si="43"/>
        <v>0.56805052591544158</v>
      </c>
      <c r="E70" s="195">
        <f t="shared" si="43"/>
        <v>0.56856406157599482</v>
      </c>
      <c r="F70" s="195">
        <f t="shared" si="43"/>
        <v>0.56914387349067996</v>
      </c>
      <c r="G70" s="195">
        <f t="shared" si="43"/>
        <v>0.56979540233132964</v>
      </c>
      <c r="H70" s="195">
        <f t="shared" si="43"/>
        <v>0.5705237108652792</v>
      </c>
      <c r="I70" s="195">
        <f t="shared" si="43"/>
        <v>0.57133275178974163</v>
      </c>
      <c r="J70" s="195">
        <f t="shared" si="43"/>
        <v>0.57222421961125236</v>
      </c>
      <c r="K70" s="195">
        <f t="shared" si="43"/>
        <v>0.57319560792985635</v>
      </c>
      <c r="L70" s="195">
        <f t="shared" si="43"/>
        <v>0.57423690911654257</v>
      </c>
      <c r="M70" s="195">
        <f t="shared" si="43"/>
        <v>0.57532520081158534</v>
      </c>
      <c r="N70" s="195">
        <f t="shared" si="43"/>
        <v>0.5764158665420237</v>
      </c>
      <c r="O70" s="195">
        <f t="shared" si="43"/>
        <v>0.57742910779186352</v>
      </c>
      <c r="P70" s="195">
        <f t="shared" si="43"/>
        <v>0.57823088529884237</v>
      </c>
      <c r="Q70" s="195">
        <f t="shared" si="43"/>
        <v>0.57860563053120628</v>
      </c>
      <c r="R70" s="195">
        <f t="shared" si="43"/>
        <v>0.57819597564107028</v>
      </c>
      <c r="S70" s="195">
        <f t="shared" si="43"/>
        <v>0.57627240013056602</v>
      </c>
      <c r="T70" s="195">
        <f t="shared" si="43"/>
        <v>0.57073546816459808</v>
      </c>
      <c r="U70" s="195">
        <f t="shared" si="43"/>
        <v>0.55310686336587467</v>
      </c>
      <c r="V70" s="195">
        <f t="shared" si="43"/>
        <v>0.54527007229345814</v>
      </c>
      <c r="W70" s="195">
        <f t="shared" si="43"/>
        <v>0.53366788717023961</v>
      </c>
      <c r="X70" s="195">
        <f t="shared" si="43"/>
        <v>0.51461223005684076</v>
      </c>
      <c r="Y70" s="195">
        <f t="shared" si="43"/>
        <v>0.47582378527403463</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3235.9039224198591</v>
      </c>
      <c r="D74" s="80">
        <f>NeoClassical!F$24</f>
        <v>3275.9186798983887</v>
      </c>
      <c r="E74" s="80">
        <f>NeoClassical!H$24</f>
        <v>3316.4822103411389</v>
      </c>
      <c r="F74" s="80">
        <f>NeoClassical!J$24</f>
        <v>3357.6564261428762</v>
      </c>
      <c r="G74" s="80">
        <f>NeoClassical!L$24</f>
        <v>3399.515408045505</v>
      </c>
      <c r="H74" s="80">
        <f>NeoClassical!N$24</f>
        <v>3442.1512555826284</v>
      </c>
      <c r="I74" s="80">
        <f>NeoClassical!P$24</f>
        <v>3485.684580597193</v>
      </c>
      <c r="J74" s="80">
        <f>NeoClassical!R$24</f>
        <v>3530.2831617378056</v>
      </c>
      <c r="K74" s="80">
        <f>NeoClassical!T$24</f>
        <v>3576.1956975802809</v>
      </c>
      <c r="L74" s="80">
        <f>NeoClassical!V$24</f>
        <v>3623.8144081080854</v>
      </c>
      <c r="M74" s="80">
        <f>NeoClassical!X$24</f>
        <v>3673.7933619288315</v>
      </c>
      <c r="N74" s="80">
        <f>NeoClassical!Z$24</f>
        <v>3727.2763357322488</v>
      </c>
      <c r="O74" s="80">
        <f>NeoClassical!AB$24</f>
        <v>3786.3398455513702</v>
      </c>
      <c r="P74" s="80">
        <f>NeoClassical!AD$24</f>
        <v>3854.8324800536247</v>
      </c>
      <c r="Q74" s="80">
        <f>NeoClassical!AF$24</f>
        <v>3939.7472422301698</v>
      </c>
      <c r="R74" s="80">
        <f>NeoClassical!AH$24</f>
        <v>4052.2326549413515</v>
      </c>
      <c r="S74" s="80">
        <f>NeoClassical!AJ$24</f>
        <v>4203.3421608341623</v>
      </c>
      <c r="T74" s="80">
        <f>NeoClassical!AL$24</f>
        <v>4384.1828637346362</v>
      </c>
      <c r="U74" s="80">
        <f>NeoClassical!AN$24</f>
        <v>4460.8361222018339</v>
      </c>
      <c r="V74" s="80">
        <f>NeoClassical!AP$24</f>
        <v>4396.4818424756058</v>
      </c>
      <c r="W74" s="80">
        <f>NeoClassical!AR$24</f>
        <v>4238.7347059327103</v>
      </c>
      <c r="X74" s="80">
        <f>NeoClassical!AT$24</f>
        <v>3875.0187730970129</v>
      </c>
      <c r="Y74" s="80">
        <f>NeoClassical!AV$24</f>
        <v>2967.6495214513593</v>
      </c>
    </row>
    <row r="75" spans="1:26" x14ac:dyDescent="0.2">
      <c r="A75" t="s">
        <v>90</v>
      </c>
      <c r="B75" s="80">
        <f>Johansen!B$24</f>
        <v>3196.3846373657216</v>
      </c>
      <c r="C75" s="80">
        <f>Johansen!D$24</f>
        <v>3201.7744635374966</v>
      </c>
      <c r="D75" s="80">
        <f>Johansen!F$24</f>
        <v>3206.7919961155703</v>
      </c>
      <c r="E75" s="80">
        <f>Johansen!H$24</f>
        <v>3211.3767284003875</v>
      </c>
      <c r="F75" s="80">
        <f>Johansen!J$24</f>
        <v>3215.4543531492768</v>
      </c>
      <c r="G75" s="80">
        <f>Johansen!L$24</f>
        <v>3218.9329499926039</v>
      </c>
      <c r="H75" s="80">
        <f>Johansen!N$24</f>
        <v>3221.6972117320297</v>
      </c>
      <c r="I75" s="80">
        <f>Johansen!P$24</f>
        <v>3223.6014100985258</v>
      </c>
      <c r="J75" s="80">
        <f>Johansen!R$24</f>
        <v>3224.4583337135291</v>
      </c>
      <c r="K75" s="80">
        <f>Johansen!T$24</f>
        <v>3224.0239605926317</v>
      </c>
      <c r="L75" s="80">
        <f>Johansen!V$24</f>
        <v>3221.9738037318484</v>
      </c>
      <c r="M75" s="80">
        <f>Johansen!X$24</f>
        <v>3217.8652254467515</v>
      </c>
      <c r="N75" s="80">
        <f>Johansen!Z$24</f>
        <v>3211.0731446839941</v>
      </c>
      <c r="O75" s="80">
        <f>Johansen!AB$24</f>
        <v>3200.6689704551814</v>
      </c>
      <c r="P75" s="80">
        <f>Johansen!AD$24</f>
        <v>3185.1613925665611</v>
      </c>
      <c r="Q75" s="80">
        <f>Johansen!AF$24</f>
        <v>3161.8401328697187</v>
      </c>
      <c r="R75" s="80">
        <f>Johansen!AH$24</f>
        <v>3124.8397477816688</v>
      </c>
      <c r="S75" s="80">
        <f>Johansen!AJ$24</f>
        <v>3059.0962387202453</v>
      </c>
      <c r="T75" s="80">
        <f>Johansen!AL$24</f>
        <v>2920.5912675605114</v>
      </c>
      <c r="U75" s="80">
        <f>Johansen!AN$24</f>
        <v>2537.8587342923001</v>
      </c>
      <c r="V75" s="80">
        <f>Johansen!AP$24</f>
        <v>2376.4865066896346</v>
      </c>
      <c r="W75" s="80">
        <f>Johansen!AR$24</f>
        <v>2146.5399028549268</v>
      </c>
      <c r="X75" s="80">
        <f>Johansen!AT$24</f>
        <v>1795.9457347581838</v>
      </c>
      <c r="Y75" s="80">
        <f>Johansen!AV$24</f>
        <v>0</v>
      </c>
    </row>
    <row r="76" spans="1:26" x14ac:dyDescent="0.2">
      <c r="A76" t="s">
        <v>143</v>
      </c>
      <c r="B76" s="80">
        <f>Kaldorian!B$24</f>
        <v>3196.3846373657216</v>
      </c>
      <c r="C76" s="80">
        <f>Kaldorian!D$24</f>
        <v>3201.7866956583243</v>
      </c>
      <c r="D76" s="80">
        <f>Kaldorian!F$24</f>
        <v>3206.8200958768625</v>
      </c>
      <c r="E76" s="80">
        <f>Kaldorian!H$24</f>
        <v>3211.4247765491991</v>
      </c>
      <c r="F76" s="80">
        <f>Kaldorian!J$24</f>
        <v>3215.5273115815926</v>
      </c>
      <c r="G76" s="80">
        <f>Kaldorian!L$24</f>
        <v>3219.035478409724</v>
      </c>
      <c r="H76" s="80">
        <f>Kaldorian!N$24</f>
        <v>3221.8351715990475</v>
      </c>
      <c r="I76" s="80">
        <f>Kaldorian!P$24</f>
        <v>3223.7806530966709</v>
      </c>
      <c r="J76" s="80">
        <f>Kaldorian!R$24</f>
        <v>3224.6846109447274</v>
      </c>
      <c r="K76" s="80">
        <f>Kaldorian!T$24</f>
        <v>3224.3023987377005</v>
      </c>
      <c r="L76" s="80">
        <f>Kaldorian!V$24</f>
        <v>3222.3075679934855</v>
      </c>
      <c r="M76" s="80">
        <f>Kaldorian!X$24</f>
        <v>3218.2536182998342</v>
      </c>
      <c r="N76" s="80">
        <f>Kaldorian!Z$24</f>
        <v>3211.5081696934212</v>
      </c>
      <c r="O76" s="80">
        <f>Kaldorian!AB$24</f>
        <v>3201.1301911076785</v>
      </c>
      <c r="P76" s="80">
        <f>Kaldorian!AD$24</f>
        <v>3185.608128482037</v>
      </c>
      <c r="Q76" s="80">
        <f>Kaldorian!AF$24</f>
        <v>3162.2072004175366</v>
      </c>
      <c r="R76" s="80">
        <f>Kaldorian!AH$24</f>
        <v>3125.0600914376059</v>
      </c>
      <c r="S76" s="80">
        <f>Kaldorian!AJ$24</f>
        <v>3059.1712286369948</v>
      </c>
      <c r="T76" s="80">
        <f>Kaldorian!AL$24</f>
        <v>2920.6011606608877</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3218.4793187180658</v>
      </c>
      <c r="D77" s="80">
        <f>'Keynes-K'!F$24</f>
        <v>3238.4961126046242</v>
      </c>
      <c r="E77" s="80">
        <f>'Keynes-K'!H$24</f>
        <v>3256.2932037779392</v>
      </c>
      <c r="F77" s="80">
        <f>'Keynes-K'!J$24</f>
        <v>3271.6666486795002</v>
      </c>
      <c r="G77" s="80">
        <f>'Keynes-K'!L$24</f>
        <v>3284.3372067016376</v>
      </c>
      <c r="H77" s="80">
        <f>'Keynes-K'!N$24</f>
        <v>3293.9285641704623</v>
      </c>
      <c r="I77" s="80">
        <f>'Keynes-K'!P$24</f>
        <v>3299.9373874665584</v>
      </c>
      <c r="J77" s="80">
        <f>'Keynes-K'!R$24</f>
        <v>3301.6876817207044</v>
      </c>
      <c r="K77" s="80">
        <f>'Keynes-K'!T$24</f>
        <v>3298.2610949917103</v>
      </c>
      <c r="L77" s="80">
        <f>'Keynes-K'!V$24</f>
        <v>3288.3858507751124</v>
      </c>
      <c r="M77" s="80">
        <f>'Keynes-K'!X$24</f>
        <v>3270.2504408593695</v>
      </c>
      <c r="N77" s="80">
        <f>'Keynes-K'!Z$24</f>
        <v>3241.1730646248939</v>
      </c>
      <c r="O77" s="80">
        <f>'Keynes-K'!AB$24</f>
        <v>3196.9735373501576</v>
      </c>
      <c r="P77" s="80">
        <f>'Keynes-K'!AD$24</f>
        <v>3130.6804016608121</v>
      </c>
      <c r="Q77" s="80">
        <f>'Keynes-K'!AF$24</f>
        <v>3029.6720126182436</v>
      </c>
      <c r="R77" s="80">
        <f>'Keynes-K'!AH$24</f>
        <v>2869.0694853962609</v>
      </c>
      <c r="S77" s="80">
        <f>'Keynes-K'!AJ$24</f>
        <v>2597.1122159128586</v>
      </c>
      <c r="T77" s="80">
        <f>'Keynes-K'!AL$24</f>
        <v>2109.2330618044016</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3249.1218537627788</v>
      </c>
      <c r="D78" s="80">
        <f>'Keynes-M'!F$24</f>
        <v>3302.1886451665082</v>
      </c>
      <c r="E78" s="80">
        <f>'Keynes-M'!H$24</f>
        <v>3355.7112764421481</v>
      </c>
      <c r="F78" s="80">
        <f>'Keynes-M'!J$24</f>
        <v>3409.8406320129229</v>
      </c>
      <c r="G78" s="80">
        <f>'Keynes-M'!L$24</f>
        <v>3464.7709125136525</v>
      </c>
      <c r="H78" s="80">
        <f>'Keynes-M'!N$24</f>
        <v>3520.7693605015293</v>
      </c>
      <c r="I78" s="80">
        <f>'Keynes-M'!P$24</f>
        <v>3578.2274180523727</v>
      </c>
      <c r="J78" s="80">
        <f>'Keynes-M'!R$24</f>
        <v>3637.7465905433587</v>
      </c>
      <c r="K78" s="80">
        <f>'Keynes-M'!T$24</f>
        <v>3700.2903170008776</v>
      </c>
      <c r="L78" s="80">
        <f>'Keynes-M'!V$24</f>
        <v>3767.457607077436</v>
      </c>
      <c r="M78" s="80">
        <f>'Keynes-M'!X$24</f>
        <v>3841.985629787755</v>
      </c>
      <c r="N78" s="80">
        <f>'Keynes-M'!Z$24</f>
        <v>3928.6571173247598</v>
      </c>
      <c r="O78" s="80">
        <f>'Keynes-M'!AB$24</f>
        <v>4035.7320928849817</v>
      </c>
      <c r="P78" s="80">
        <f>'Keynes-M'!AD$24</f>
        <v>4176.0715633904965</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3131.0029133829412</v>
      </c>
      <c r="D79" s="80">
        <f>Keynesian!F$24</f>
        <v>3058.048768791497</v>
      </c>
      <c r="E79" s="80">
        <f>Keynesian!H$24</f>
        <v>2976.7346201699329</v>
      </c>
      <c r="F79" s="80">
        <f>Keynesian!J$24</f>
        <v>2886.244487338925</v>
      </c>
      <c r="G79" s="80">
        <f>Keynesian!L$24</f>
        <v>2785.7757007636096</v>
      </c>
      <c r="H79" s="80">
        <f>Keynesian!N$24</f>
        <v>2674.5938496796966</v>
      </c>
      <c r="I79" s="80">
        <f>Keynesian!P$24</f>
        <v>2552.1341148542601</v>
      </c>
      <c r="J79" s="80">
        <f>Keynesian!R$24</f>
        <v>2418.1592200807436</v>
      </c>
      <c r="K79" s="80">
        <f>Keynesian!T$24</f>
        <v>2273.0490741286271</v>
      </c>
      <c r="L79" s="80">
        <f>Keynesian!V$24</f>
        <v>2118.4472752239803</v>
      </c>
      <c r="M79" s="80">
        <f>Keynesian!X$24</f>
        <v>1959.1527312153319</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3206.4560300654634</v>
      </c>
      <c r="D80" s="80">
        <f>'Neo-K1'!F$24</f>
        <v>3213.7328951514901</v>
      </c>
      <c r="E80" s="80">
        <f>'Neo-K1'!H$24</f>
        <v>3217.6463291568834</v>
      </c>
      <c r="F80" s="80">
        <f>'Neo-K1'!J$24</f>
        <v>3217.4839470557399</v>
      </c>
      <c r="G80" s="80">
        <f>'Neo-K1'!L$24</f>
        <v>3212.346110717247</v>
      </c>
      <c r="H80" s="80">
        <f>'Neo-K1'!N$24</f>
        <v>3201.0858787436432</v>
      </c>
      <c r="I80" s="80">
        <f>'Neo-K1'!P$24</f>
        <v>3182.2311498810618</v>
      </c>
      <c r="J80" s="80">
        <f>'Neo-K1'!R$24</f>
        <v>3153.8770546689166</v>
      </c>
      <c r="K80" s="80">
        <f>'Neo-K1'!T$24</f>
        <v>3113.5391087739563</v>
      </c>
      <c r="L80" s="80">
        <f>'Neo-K1'!V$24</f>
        <v>3057.9594837121208</v>
      </c>
      <c r="M80" s="80">
        <f>'Neo-K1'!X$24</f>
        <v>2982.8537185699688</v>
      </c>
      <c r="N80" s="80">
        <f>'Neo-K1'!Z$24</f>
        <v>2882.5988234145821</v>
      </c>
      <c r="O80" s="80">
        <f>'Neo-K1'!AB$24</f>
        <v>2749.8900785914366</v>
      </c>
      <c r="P80" s="80">
        <f>'Neo-K1'!AD$24</f>
        <v>2575.4572300092941</v>
      </c>
      <c r="Q80" s="80">
        <f>'Neo-K1'!AF$24</f>
        <v>2348.0238222697353</v>
      </c>
      <c r="R80" s="80">
        <f>'Neo-K1'!AH$24</f>
        <v>2054.7960294497511</v>
      </c>
      <c r="S80" s="80">
        <f>'Neo-K1'!AJ$24</f>
        <v>1682.7320167864411</v>
      </c>
      <c r="T80" s="80">
        <f>'Neo-K1'!AL$24</f>
        <v>1220.5056625883274</v>
      </c>
      <c r="U80" s="80">
        <f>'Neo-K1'!AN$24</f>
        <v>660.51408580905604</v>
      </c>
      <c r="V80" s="80">
        <f>'Neo-K1'!AP$24</f>
        <v>536.45431797069909</v>
      </c>
      <c r="W80" s="80">
        <f>'Neo-K1'!AR$24</f>
        <v>408.36039199558684</v>
      </c>
      <c r="X80" s="80">
        <f>'Neo-K1'!AT$24</f>
        <v>276.24152166180778</v>
      </c>
      <c r="Y80" s="80">
        <f>'Neo-K1'!AV$24</f>
        <v>140.11384509204282</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3196.3846373657216</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5.3644036461969129E-2</v>
      </c>
      <c r="D85" s="240">
        <f t="shared" si="45"/>
        <v>0.10607645386373697</v>
      </c>
      <c r="E85" s="240">
        <f t="shared" si="45"/>
        <v>0.16379167927433749</v>
      </c>
      <c r="F85" s="240">
        <f t="shared" si="45"/>
        <v>0.22769314942891675</v>
      </c>
      <c r="G85" s="240">
        <f t="shared" si="45"/>
        <v>0.29893234197813662</v>
      </c>
      <c r="H85" s="240">
        <f t="shared" si="45"/>
        <v>0.37901129615381612</v>
      </c>
      <c r="I85" s="240">
        <f t="shared" si="45"/>
        <v>0.46994251756804911</v>
      </c>
      <c r="J85" s="240">
        <f t="shared" si="45"/>
        <v>0.57450794079875522</v>
      </c>
      <c r="K85" s="240">
        <f t="shared" si="45"/>
        <v>0.69669662204680116</v>
      </c>
      <c r="L85" s="240">
        <f t="shared" si="45"/>
        <v>0.84247878252757935</v>
      </c>
      <c r="M85" s="240">
        <f t="shared" si="45"/>
        <v>1.0212481912171971</v>
      </c>
      <c r="N85" s="240">
        <f t="shared" si="45"/>
        <v>1.2486864002303917</v>
      </c>
      <c r="O85" s="240">
        <f t="shared" si="45"/>
        <v>1.5528639967317652</v>
      </c>
      <c r="P85" s="240">
        <f t="shared" si="45"/>
        <v>1.9883084073055186</v>
      </c>
      <c r="Q85" s="240">
        <f t="shared" si="45"/>
        <v>2.6710772483492029</v>
      </c>
      <c r="R85" s="240">
        <f t="shared" si="44"/>
        <v>3.8723797168517295</v>
      </c>
      <c r="S85" s="240">
        <f t="shared" si="44"/>
        <v>6.2920342769098818</v>
      </c>
      <c r="T85" s="240">
        <f t="shared" si="44"/>
        <v>12.110764265187182</v>
      </c>
      <c r="U85" s="240">
        <f t="shared" si="44"/>
        <v>32.179650757654947</v>
      </c>
      <c r="V85" s="240">
        <f t="shared" si="44"/>
        <v>42.339410448277228</v>
      </c>
      <c r="W85" s="240">
        <f t="shared" si="44"/>
        <v>58.559769135722718</v>
      </c>
      <c r="X85" s="240">
        <f t="shared" si="44"/>
        <v>87.347928838558531</v>
      </c>
      <c r="Y85" s="240">
        <f t="shared" si="44"/>
        <v>148.19171381775723</v>
      </c>
    </row>
    <row r="86" spans="1:25" x14ac:dyDescent="0.2">
      <c r="A86" t="str">
        <f t="shared" ref="A86:A93" si="46">A4</f>
        <v>Kaldorian</v>
      </c>
      <c r="B86" s="240">
        <f t="shared" si="45"/>
        <v>5.7716594496607888E-3</v>
      </c>
      <c r="C86" s="240">
        <f t="shared" si="44"/>
        <v>5.7108697624743236E-2</v>
      </c>
      <c r="D86" s="240">
        <f t="shared" si="44"/>
        <v>0.11331983967653925</v>
      </c>
      <c r="E86" s="240">
        <f t="shared" si="44"/>
        <v>0.17517045521565594</v>
      </c>
      <c r="F86" s="240">
        <f t="shared" si="44"/>
        <v>0.24361702320304171</v>
      </c>
      <c r="G86" s="240">
        <f t="shared" si="44"/>
        <v>0.31987478364591959</v>
      </c>
      <c r="H86" s="240">
        <f t="shared" si="44"/>
        <v>0.40553878672262572</v>
      </c>
      <c r="I86" s="240">
        <f t="shared" si="44"/>
        <v>0.50274422899682292</v>
      </c>
      <c r="J86" s="240">
        <f t="shared" si="44"/>
        <v>0.61445595655934149</v>
      </c>
      <c r="K86" s="240">
        <f t="shared" si="44"/>
        <v>0.74494816387285201</v>
      </c>
      <c r="L86" s="240">
        <f t="shared" si="44"/>
        <v>0.9006617356480765</v>
      </c>
      <c r="M86" s="240">
        <f t="shared" si="44"/>
        <v>1.0918183838904878</v>
      </c>
      <c r="N86" s="240">
        <f t="shared" si="44"/>
        <v>1.3356574359828721</v>
      </c>
      <c r="O86" s="240">
        <f t="shared" si="44"/>
        <v>1.6634106129600357</v>
      </c>
      <c r="P86" s="240">
        <f t="shared" si="44"/>
        <v>2.1365790117755732</v>
      </c>
      <c r="Q86" s="240">
        <f t="shared" si="44"/>
        <v>2.8879425003748671</v>
      </c>
      <c r="R86" s="240">
        <f t="shared" si="44"/>
        <v>4.2313657990880476</v>
      </c>
      <c r="S86" s="240">
        <f t="shared" si="44"/>
        <v>6.9809692916674972</v>
      </c>
      <c r="T86" s="240">
        <f t="shared" si="44"/>
        <v>13.684972601982004</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5.5513694648321114E-2</v>
      </c>
      <c r="D87" s="240">
        <f t="shared" si="44"/>
        <v>0.11000591048962401</v>
      </c>
      <c r="E87" s="240">
        <f t="shared" si="44"/>
        <v>0.170004118491073</v>
      </c>
      <c r="F87" s="240">
        <f t="shared" si="44"/>
        <v>0.2364554684156881</v>
      </c>
      <c r="G87" s="240">
        <f t="shared" si="44"/>
        <v>0.31057125044199085</v>
      </c>
      <c r="H87" s="240">
        <f t="shared" si="44"/>
        <v>0.39393835293542717</v>
      </c>
      <c r="I87" s="240">
        <f t="shared" si="44"/>
        <v>0.4886944747824693</v>
      </c>
      <c r="J87" s="240">
        <f t="shared" si="44"/>
        <v>0.59781369091895231</v>
      </c>
      <c r="K87" s="240">
        <f t="shared" si="44"/>
        <v>0.7255936531461743</v>
      </c>
      <c r="L87" s="240">
        <f t="shared" si="44"/>
        <v>0.87852350846535354</v>
      </c>
      <c r="M87" s="240">
        <f t="shared" si="44"/>
        <v>1.0669181207160645</v>
      </c>
      <c r="N87" s="240">
        <f t="shared" si="44"/>
        <v>1.3081976900576149</v>
      </c>
      <c r="O87" s="240">
        <f t="shared" si="44"/>
        <v>1.6339550226113069</v>
      </c>
      <c r="P87" s="240">
        <f t="shared" si="44"/>
        <v>2.1064231134538547</v>
      </c>
      <c r="Q87" s="240">
        <f t="shared" si="44"/>
        <v>2.8597501250173862</v>
      </c>
      <c r="R87" s="240">
        <f t="shared" si="44"/>
        <v>4.2094621402365497</v>
      </c>
      <c r="S87" s="240">
        <f t="shared" si="44"/>
        <v>6.968874649945537</v>
      </c>
      <c r="T87" s="240">
        <f t="shared" si="44"/>
        <v>13.681045548711618</v>
      </c>
      <c r="U87" s="240">
        <f t="shared" si="44"/>
        <v>37.017844219136684</v>
      </c>
      <c r="V87" s="240">
        <f t="shared" si="44"/>
        <v>48.765237472119068</v>
      </c>
      <c r="W87" s="240">
        <f t="shared" si="44"/>
        <v>67.293490942470612</v>
      </c>
      <c r="X87" s="240">
        <f t="shared" si="44"/>
        <v>99.314639800888344</v>
      </c>
      <c r="Y87" s="240">
        <f t="shared" si="44"/>
        <v>0</v>
      </c>
    </row>
    <row r="88" spans="1:25" x14ac:dyDescent="0.2">
      <c r="A88" t="str">
        <f t="shared" si="46"/>
        <v>Keynes-Kaldor</v>
      </c>
      <c r="B88" s="240">
        <f t="shared" si="45"/>
        <v>5.7716594496607888E-3</v>
      </c>
      <c r="C88" s="240">
        <f t="shared" si="44"/>
        <v>6.1386969598904356E-2</v>
      </c>
      <c r="D88" s="240">
        <f t="shared" si="44"/>
        <v>0.12183414429023202</v>
      </c>
      <c r="E88" s="240">
        <f t="shared" si="44"/>
        <v>0.18785757776253628</v>
      </c>
      <c r="F88" s="240">
        <f t="shared" si="44"/>
        <v>0.26038048531400992</v>
      </c>
      <c r="G88" s="240">
        <f t="shared" si="44"/>
        <v>0.34056821033723989</v>
      </c>
      <c r="H88" s="240">
        <f t="shared" si="44"/>
        <v>0.42993026313445276</v>
      </c>
      <c r="I88" s="240">
        <f t="shared" si="44"/>
        <v>0.53047246627170397</v>
      </c>
      <c r="J88" s="240">
        <f t="shared" si="44"/>
        <v>0.64494132509917879</v>
      </c>
      <c r="K88" s="240">
        <f t="shared" si="44"/>
        <v>0.77722464514270451</v>
      </c>
      <c r="L88" s="240">
        <f t="shared" si="44"/>
        <v>0.93303558489829197</v>
      </c>
      <c r="M88" s="240">
        <f t="shared" si="44"/>
        <v>1.1211254507647823</v>
      </c>
      <c r="N88" s="240">
        <f t="shared" si="44"/>
        <v>1.3555348596773606</v>
      </c>
      <c r="O88" s="240">
        <f t="shared" si="44"/>
        <v>1.6599505385387006</v>
      </c>
      <c r="P88" s="240">
        <f t="shared" si="44"/>
        <v>2.0763975263277672</v>
      </c>
      <c r="Q88" s="240">
        <f t="shared" si="44"/>
        <v>2.6824109319608946</v>
      </c>
      <c r="R88" s="240">
        <f t="shared" si="44"/>
        <v>3.6208131688305794</v>
      </c>
      <c r="S88" s="240">
        <f t="shared" si="44"/>
        <v>5.1273914854279585</v>
      </c>
      <c r="T88" s="240">
        <f t="shared" si="44"/>
        <v>7.4415395056993168</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6.1523794427630472E-2</v>
      </c>
      <c r="D89" s="240">
        <f t="shared" si="44"/>
        <v>0.12286646391601222</v>
      </c>
      <c r="E89" s="240">
        <f t="shared" si="44"/>
        <v>0.19082706635634183</v>
      </c>
      <c r="F89" s="240">
        <f t="shared" si="44"/>
        <v>0.26674945685701446</v>
      </c>
      <c r="G89" s="240">
        <f t="shared" si="44"/>
        <v>0.35243922216532536</v>
      </c>
      <c r="H89" s="240">
        <f t="shared" si="44"/>
        <v>0.45039681041417007</v>
      </c>
      <c r="I89" s="240">
        <f t="shared" si="44"/>
        <v>0.56420433350983312</v>
      </c>
      <c r="J89" s="240">
        <f t="shared" si="44"/>
        <v>0.69919712522062705</v>
      </c>
      <c r="K89" s="240">
        <f t="shared" si="44"/>
        <v>0.86368887874841127</v>
      </c>
      <c r="L89" s="240">
        <f t="shared" si="44"/>
        <v>1.0713410800859129</v>
      </c>
      <c r="M89" s="240">
        <f t="shared" si="44"/>
        <v>1.346051370381814</v>
      </c>
      <c r="N89" s="240">
        <f t="shared" si="44"/>
        <v>1.7327289508778689</v>
      </c>
      <c r="O89" s="240">
        <f t="shared" si="44"/>
        <v>2.3223251545078041</v>
      </c>
      <c r="P89" s="240">
        <f t="shared" si="44"/>
        <v>3.3103559860164053</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3.4887949747467187E-2</v>
      </c>
      <c r="D90" s="240">
        <f t="shared" si="44"/>
        <v>6.4974668220133536E-2</v>
      </c>
      <c r="E90" s="240">
        <f t="shared" si="44"/>
        <v>9.5933182871647954E-2</v>
      </c>
      <c r="F90" s="240">
        <f t="shared" si="44"/>
        <v>0.12761657711332441</v>
      </c>
      <c r="G90" s="240">
        <f t="shared" si="44"/>
        <v>0.15981900263662782</v>
      </c>
      <c r="H90" s="240">
        <f t="shared" si="44"/>
        <v>0.19226147219898668</v>
      </c>
      <c r="I90" s="240">
        <f t="shared" si="44"/>
        <v>0.22457749022887025</v>
      </c>
      <c r="J90" s="240">
        <f t="shared" si="44"/>
        <v>0.25629108360389857</v>
      </c>
      <c r="K90" s="240">
        <f t="shared" si="44"/>
        <v>0.28677539912445354</v>
      </c>
      <c r="L90" s="240">
        <f t="shared" si="44"/>
        <v>0.31514583404300911</v>
      </c>
      <c r="M90" s="240">
        <f t="shared" si="44"/>
        <v>0.33987571968301161</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4.3214292043521736E-2</v>
      </c>
      <c r="D91" s="240">
        <f t="shared" si="44"/>
        <v>8.2949104354581901E-2</v>
      </c>
      <c r="E91" s="240">
        <f t="shared" si="44"/>
        <v>0.12512174411041616</v>
      </c>
      <c r="F91" s="240">
        <f t="shared" si="44"/>
        <v>0.16987238662689574</v>
      </c>
      <c r="G91" s="240">
        <f t="shared" si="44"/>
        <v>0.21733600740505107</v>
      </c>
      <c r="H91" s="240">
        <f t="shared" si="44"/>
        <v>0.2676363307340095</v>
      </c>
      <c r="I91" s="240">
        <f t="shared" si="44"/>
        <v>0.32089388307596778</v>
      </c>
      <c r="J91" s="240">
        <f t="shared" si="44"/>
        <v>0.37724960860265228</v>
      </c>
      <c r="K91" s="240">
        <f t="shared" si="44"/>
        <v>0.436937186809714</v>
      </c>
      <c r="L91" s="240">
        <f t="shared" si="44"/>
        <v>0.50046231968398414</v>
      </c>
      <c r="M91" s="240">
        <f t="shared" si="44"/>
        <v>0.56901473755452403</v>
      </c>
      <c r="N91" s="240">
        <f t="shared" si="44"/>
        <v>0.64537795198825565</v>
      </c>
      <c r="O91" s="240">
        <f t="shared" si="44"/>
        <v>0.73589424227181499</v>
      </c>
      <c r="P91" s="240">
        <f t="shared" si="44"/>
        <v>0.85476209105546297</v>
      </c>
      <c r="Q91" s="240">
        <f t="shared" si="44"/>
        <v>1.0342489497221938</v>
      </c>
      <c r="R91" s="240">
        <f t="shared" si="44"/>
        <v>1.3541297677266095</v>
      </c>
      <c r="S91" s="240">
        <f t="shared" si="44"/>
        <v>2.0521927494171446</v>
      </c>
      <c r="T91" s="240">
        <f t="shared" si="44"/>
        <v>4.0628021998342607</v>
      </c>
      <c r="U91" s="240">
        <f t="shared" si="44"/>
        <v>13.218237967316345</v>
      </c>
      <c r="V91" s="240">
        <f t="shared" si="44"/>
        <v>18.82632098945567</v>
      </c>
      <c r="W91" s="240">
        <f t="shared" si="44"/>
        <v>29.122745997963648</v>
      </c>
      <c r="X91" s="240">
        <f t="shared" si="44"/>
        <v>52.062543245530911</v>
      </c>
      <c r="Y91" s="240">
        <f t="shared" si="44"/>
        <v>129.86474407808529</v>
      </c>
    </row>
    <row r="92" spans="1:25" x14ac:dyDescent="0.2">
      <c r="A92" t="str">
        <f t="shared" si="46"/>
        <v>Neo-K1</v>
      </c>
      <c r="B92" s="240">
        <f t="shared" si="45"/>
        <v>5.7716594496607888E-3</v>
      </c>
      <c r="C92" s="240">
        <f t="shared" si="44"/>
        <v>4.6817481432235131E-2</v>
      </c>
      <c r="D92" s="240">
        <f t="shared" si="44"/>
        <v>9.1075901266131465E-2</v>
      </c>
      <c r="E92" s="240">
        <f t="shared" si="44"/>
        <v>0.13892619017453958</v>
      </c>
      <c r="F92" s="240">
        <f t="shared" si="44"/>
        <v>0.19080998005724531</v>
      </c>
      <c r="G92" s="240">
        <f t="shared" si="44"/>
        <v>0.24724475748896085</v>
      </c>
      <c r="H92" s="240">
        <f t="shared" si="44"/>
        <v>0.30884042797855549</v>
      </c>
      <c r="I92" s="240">
        <f t="shared" si="44"/>
        <v>0.37631995232843801</v>
      </c>
      <c r="J92" s="240">
        <f t="shared" si="44"/>
        <v>0.45054347806711798</v>
      </c>
      <c r="K92" s="240">
        <f t="shared" si="44"/>
        <v>0.53253635064856975</v>
      </c>
      <c r="L92" s="240">
        <f t="shared" si="44"/>
        <v>0.62351590040204297</v>
      </c>
      <c r="M92" s="240">
        <f t="shared" si="44"/>
        <v>0.72491141045219543</v>
      </c>
      <c r="N92" s="240">
        <f t="shared" si="44"/>
        <v>0.83835919674831039</v>
      </c>
      <c r="O92" s="240">
        <f t="shared" si="44"/>
        <v>0.9656423110636263</v>
      </c>
      <c r="P92" s="240">
        <f t="shared" si="44"/>
        <v>1.1085313829799615</v>
      </c>
      <c r="Q92" s="240">
        <f t="shared" si="44"/>
        <v>1.2684744199453728</v>
      </c>
      <c r="R92" s="240">
        <f t="shared" si="44"/>
        <v>1.446126019075723</v>
      </c>
      <c r="S92" s="240">
        <f t="shared" si="44"/>
        <v>1.6408218762669604</v>
      </c>
      <c r="T92" s="240">
        <f t="shared" si="44"/>
        <v>1.8502513367112541</v>
      </c>
      <c r="U92" s="240">
        <f t="shared" si="44"/>
        <v>2.0706091544958203</v>
      </c>
      <c r="V92" s="240">
        <f t="shared" si="44"/>
        <v>2.1155889755602368</v>
      </c>
      <c r="W92" s="240">
        <f t="shared" si="44"/>
        <v>2.1607819051998547</v>
      </c>
      <c r="X92" s="240">
        <f t="shared" si="44"/>
        <v>2.2061499119168153</v>
      </c>
      <c r="Y92" s="240">
        <f t="shared" si="44"/>
        <v>2.2516556166176462</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O19" sqref="O19"/>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v>
      </c>
      <c r="C2">
        <f>'Diagnosis Indicators'!C3</f>
        <v>0.99298848352742275</v>
      </c>
      <c r="D2">
        <f>'Diagnosis Indicators'!D3</f>
        <v>0.98547935248719576</v>
      </c>
      <c r="E2">
        <f>'Diagnosis Indicators'!E3</f>
        <v>0.97740741133034548</v>
      </c>
      <c r="F2">
        <f>'Diagnosis Indicators'!F3</f>
        <v>0.96869459040557127</v>
      </c>
      <c r="G2">
        <f>'Diagnosis Indicators'!G3</f>
        <v>0.95924619914338727</v>
      </c>
      <c r="H2">
        <f>'Diagnosis Indicators'!H3</f>
        <v>0.94894533480880183</v>
      </c>
      <c r="I2">
        <f>'Diagnosis Indicators'!I3</f>
        <v>0.93764505984409352</v>
      </c>
      <c r="J2">
        <f>'Diagnosis Indicators'!J3</f>
        <v>0.92515598926468623</v>
      </c>
      <c r="K2">
        <f>'Diagnosis Indicators'!K3</f>
        <v>0.91122716367384882</v>
      </c>
      <c r="L2">
        <f>'Diagnosis Indicators'!L3</f>
        <v>0.89551465692636567</v>
      </c>
      <c r="M2">
        <f>'Diagnosis Indicators'!M3</f>
        <v>0.8775281579507459</v>
      </c>
      <c r="N2">
        <f>'Diagnosis Indicators'!N3</f>
        <v>0.85653651353761007</v>
      </c>
      <c r="O2">
        <f>'Diagnosis Indicators'!O3</f>
        <v>0.83139378576688783</v>
      </c>
      <c r="P2">
        <f>'Diagnosis Indicators'!P3</f>
        <v>0.80021121564499664</v>
      </c>
      <c r="Q2">
        <f>'Diagnosis Indicators'!Q3</f>
        <v>0.75974860336886774</v>
      </c>
      <c r="R2">
        <f>'Diagnosis Indicators'!R3</f>
        <v>0.70440631551071664</v>
      </c>
      <c r="S2">
        <f>'Diagnosis Indicators'!S3</f>
        <v>0.62481958571426155</v>
      </c>
      <c r="T2">
        <f>'Diagnosis Indicators'!T3</f>
        <v>0.50466257910145773</v>
      </c>
      <c r="U2">
        <f>'Diagnosis Indicators'!U3</f>
        <v>0.30751002201738581</v>
      </c>
      <c r="V2">
        <f>'Diagnosis Indicators'!V3</f>
        <v>0.25229108978813874</v>
      </c>
      <c r="W2">
        <f>'Diagnosis Indicators'!W3</f>
        <v>0.18980815893633937</v>
      </c>
      <c r="X2">
        <f>'Diagnosis Indicators'!X3</f>
        <v>0.12004292566676686</v>
      </c>
      <c r="Y2">
        <f>'Diagnosis Indicators'!Y3</f>
        <v>4.7235024379815992E-2</v>
      </c>
    </row>
    <row r="3" spans="1:25" x14ac:dyDescent="0.2">
      <c r="A3" t="str">
        <f>'Diagnosis Indicators'!A4</f>
        <v>Kaldorian</v>
      </c>
      <c r="B3">
        <f>'Diagnosis Indicators'!B4</f>
        <v>1</v>
      </c>
      <c r="C3">
        <f>'Diagnosis Indicators'!C4</f>
        <v>0.9978504512840537</v>
      </c>
      <c r="D3">
        <f>'Diagnosis Indicators'!D4</f>
        <v>0.9952850023562364</v>
      </c>
      <c r="E3">
        <f>'Diagnosis Indicators'!E4</f>
        <v>0.99224802439128323</v>
      </c>
      <c r="F3">
        <f>'Diagnosis Indicators'!F4</f>
        <v>0.9886728823846942</v>
      </c>
      <c r="G3">
        <f>'Diagnosis Indicators'!G4</f>
        <v>0.98447804432890829</v>
      </c>
      <c r="H3">
        <f>'Diagnosis Indicators'!H4</f>
        <v>0.97956387761577723</v>
      </c>
      <c r="I3">
        <f>'Diagnosis Indicators'!I4</f>
        <v>0.97380489408770154</v>
      </c>
      <c r="J3">
        <f>'Diagnosis Indicators'!J4</f>
        <v>0.96704067874248267</v>
      </c>
      <c r="K3">
        <f>'Diagnosis Indicators'!K4</f>
        <v>0.95906099460612582</v>
      </c>
      <c r="L3">
        <f>'Diagnosis Indicators'!L4</f>
        <v>0.9495818484711569</v>
      </c>
      <c r="M3">
        <f>'Diagnosis Indicators'!M4</f>
        <v>0.93820579731687981</v>
      </c>
      <c r="N3">
        <f>'Diagnosis Indicators'!N4</f>
        <v>0.92435221639086307</v>
      </c>
      <c r="O3">
        <f>'Diagnosis Indicators'!O4</f>
        <v>0.9071290408913516</v>
      </c>
      <c r="P3">
        <f>'Diagnosis Indicators'!P4</f>
        <v>0.88508484343141103</v>
      </c>
      <c r="Q3">
        <f>'Diagnosis Indicators'!Q4</f>
        <v>0.85571807298031477</v>
      </c>
      <c r="R3">
        <f>'Diagnosis Indicators'!R4</f>
        <v>0.81451629667474279</v>
      </c>
      <c r="S3">
        <f>'Diagnosis Indicators'!S4</f>
        <v>0.75305703722060924</v>
      </c>
      <c r="T3">
        <f>'Diagnosis Indicators'!T4</f>
        <v>0.65397819376631727</v>
      </c>
    </row>
    <row r="4" spans="1:25" x14ac:dyDescent="0.2">
      <c r="A4" t="str">
        <f>'Diagnosis Indicators'!A5</f>
        <v>Johansen</v>
      </c>
      <c r="B4">
        <f>'Diagnosis Indicators'!B5</f>
        <v>1</v>
      </c>
      <c r="C4">
        <f>'Diagnosis Indicators'!C5</f>
        <v>0.99787099266904999</v>
      </c>
      <c r="D4">
        <f>'Diagnosis Indicators'!D5</f>
        <v>0.9953269046619232</v>
      </c>
      <c r="E4">
        <f>'Diagnosis Indicators'!E5</f>
        <v>0.99231223035581873</v>
      </c>
      <c r="F4">
        <f>'Diagnosis Indicators'!F5</f>
        <v>0.9887602777663711</v>
      </c>
      <c r="G4">
        <f>'Diagnosis Indicators'!G5</f>
        <v>0.98458998919386964</v>
      </c>
      <c r="H4">
        <f>'Diagnosis Indicators'!H5</f>
        <v>0.97970127615111313</v>
      </c>
      <c r="I4">
        <f>'Diagnosis Indicators'!I5</f>
        <v>0.97396863442197623</v>
      </c>
      <c r="J4">
        <f>'Diagnosis Indicators'!J5</f>
        <v>0.9672312165325081</v>
      </c>
      <c r="K4">
        <f>'Diagnosis Indicators'!K5</f>
        <v>0.95927791836505771</v>
      </c>
      <c r="L4">
        <f>'Diagnosis Indicators'!L5</f>
        <v>0.94982333497450033</v>
      </c>
      <c r="M4">
        <f>'Diagnosis Indicators'!M5</f>
        <v>0.93846763621892071</v>
      </c>
      <c r="N4">
        <f>'Diagnosis Indicators'!N5</f>
        <v>0.92462641629775877</v>
      </c>
      <c r="O4">
        <f>'Diagnosis Indicators'!O5</f>
        <v>0.90740153650178201</v>
      </c>
      <c r="P4">
        <f>'Diagnosis Indicators'!P5</f>
        <v>0.88533302160900951</v>
      </c>
      <c r="Q4">
        <f>'Diagnosis Indicators'!Q5</f>
        <v>0.85591059180810447</v>
      </c>
      <c r="R4">
        <f>'Diagnosis Indicators'!R5</f>
        <v>0.81462607565808021</v>
      </c>
      <c r="S4">
        <f>'Diagnosis Indicators'!S5</f>
        <v>0.75309297008674747</v>
      </c>
      <c r="T4">
        <f>'Diagnosis Indicators'!T5</f>
        <v>0.65398293791960038</v>
      </c>
      <c r="U4">
        <f>'Diagnosis Indicators'!U5</f>
        <v>0.47084242288442657</v>
      </c>
      <c r="V4">
        <f>'Diagnosis Indicators'!V5</f>
        <v>0.4135754802359049</v>
      </c>
      <c r="W4">
        <f>'Diagnosis Indicators'!W5</f>
        <v>0.34413732150647841</v>
      </c>
      <c r="X4">
        <f>'Diagnosis Indicators'!X5</f>
        <v>0.25788014549159116</v>
      </c>
      <c r="Y4">
        <f>'Diagnosis Indicators'!Y5</f>
        <v>0</v>
      </c>
    </row>
    <row r="5" spans="1:25" x14ac:dyDescent="0.2">
      <c r="A5" t="str">
        <f>'Diagnosis Indicators'!A6</f>
        <v>Keynes-Kaldor</v>
      </c>
      <c r="B5">
        <f>'Diagnosis Indicators'!B6</f>
        <v>1</v>
      </c>
      <c r="C5">
        <f>'Diagnosis Indicators'!C6</f>
        <v>1.0026824455102463</v>
      </c>
      <c r="D5">
        <f>'Diagnosis Indicators'!D6</f>
        <v>1.0043936986810917</v>
      </c>
      <c r="E5">
        <f>'Diagnosis Indicators'!E6</f>
        <v>1.0050589601822784</v>
      </c>
      <c r="F5">
        <f>'Diagnosis Indicators'!F6</f>
        <v>1.0045795600871796</v>
      </c>
      <c r="G5">
        <f>'Diagnosis Indicators'!G6</f>
        <v>1.002827830338185</v>
      </c>
      <c r="H5">
        <f>'Diagnosis Indicators'!H6</f>
        <v>0.9996390365080573</v>
      </c>
      <c r="I5">
        <f>'Diagnosis Indicators'!I6</f>
        <v>0.99480019451647173</v>
      </c>
      <c r="J5">
        <f>'Diagnosis Indicators'!J6</f>
        <v>0.98803323685238675</v>
      </c>
      <c r="K5">
        <f>'Diagnosis Indicators'!K6</f>
        <v>0.97896960296114988</v>
      </c>
      <c r="L5">
        <f>'Diagnosis Indicators'!L6</f>
        <v>0.96711042282891901</v>
      </c>
      <c r="M5">
        <f>'Diagnosis Indicators'!M6</f>
        <v>0.95176163193881902</v>
      </c>
      <c r="N5">
        <f>'Diagnosis Indicators'!N6</f>
        <v>0.93192379010892779</v>
      </c>
      <c r="O5">
        <f>'Diagnosis Indicators'!O6</f>
        <v>0.9060962121712105</v>
      </c>
      <c r="P5">
        <f>'Diagnosis Indicators'!P6</f>
        <v>0.87191118386883359</v>
      </c>
      <c r="Q5">
        <f>'Diagnosis Indicators'!Q6</f>
        <v>0.82543183166335043</v>
      </c>
      <c r="R5">
        <f>'Diagnosis Indicators'!R6</f>
        <v>0.75981647591911006</v>
      </c>
      <c r="S5">
        <f>'Diagnosis Indicators'!S6</f>
        <v>0.66303090531299569</v>
      </c>
      <c r="T5">
        <f>'Diagnosis Indicators'!T6</f>
        <v>0.51506954124809012</v>
      </c>
    </row>
    <row r="6" spans="1:25" x14ac:dyDescent="0.2">
      <c r="A6" t="str">
        <f>'Diagnosis Indicators'!A7</f>
        <v>Keynes-Marshall</v>
      </c>
      <c r="B6">
        <f>'Diagnosis Indicators'!B7</f>
        <v>1</v>
      </c>
      <c r="C6">
        <f>'Diagnosis Indicators'!C7</f>
        <v>1.011664907786441</v>
      </c>
      <c r="D6">
        <f>'Diagnosis Indicators'!D7</f>
        <v>1.0229336239405502</v>
      </c>
      <c r="E6">
        <f>'Diagnosis Indicators'!E7</f>
        <v>1.0337805373824198</v>
      </c>
      <c r="F6">
        <f>'Diagnosis Indicators'!F7</f>
        <v>1.0441725952070524</v>
      </c>
      <c r="G6">
        <f>'Diagnosis Indicators'!G7</f>
        <v>1.0540692630642488</v>
      </c>
      <c r="H6">
        <f>'Diagnosis Indicators'!H7</f>
        <v>1.0634227948076387</v>
      </c>
      <c r="I6">
        <f>'Diagnosis Indicators'!I7</f>
        <v>1.0721796865772462</v>
      </c>
      <c r="J6">
        <f>'Diagnosis Indicators'!J7</f>
        <v>1.0802835502926891</v>
      </c>
      <c r="K6">
        <f>'Diagnosis Indicators'!K7</f>
        <v>1.0876812258962563</v>
      </c>
      <c r="L6">
        <f>'Diagnosis Indicators'!L7</f>
        <v>1.0943339453160903</v>
      </c>
      <c r="M6">
        <f>'Diagnosis Indicators'!M7</f>
        <v>1.1002348667412578</v>
      </c>
      <c r="N6">
        <f>'Diagnosis Indicators'!N7</f>
        <v>1.1054232652472213</v>
      </c>
      <c r="O6">
        <f>'Diagnosis Indicators'!O7</f>
        <v>1.1099228412238444</v>
      </c>
      <c r="P6">
        <f>'Diagnosis Indicators'!P7</f>
        <v>1.1132796288556681</v>
      </c>
    </row>
    <row r="7" spans="1:25" x14ac:dyDescent="0.2">
      <c r="A7" t="str">
        <f>'Diagnosis Indicators'!A8</f>
        <v>Keynesian</v>
      </c>
      <c r="B7">
        <f>'Diagnosis Indicators'!B8</f>
        <v>1</v>
      </c>
      <c r="C7">
        <f>'Diagnosis Indicators'!C8</f>
        <v>0.97738974502732823</v>
      </c>
      <c r="D7">
        <f>'Diagnosis Indicators'!D8</f>
        <v>0.95248623605545135</v>
      </c>
      <c r="E7">
        <f>'Diagnosis Indicators'!E8</f>
        <v>0.92507226763515416</v>
      </c>
      <c r="F7">
        <f>'Diagnosis Indicators'!F8</f>
        <v>0.89492553739385217</v>
      </c>
      <c r="G7">
        <f>'Diagnosis Indicators'!G8</f>
        <v>0.86183086119569285</v>
      </c>
      <c r="H7">
        <f>'Diagnosis Indicators'!H8</f>
        <v>0.82559591787403452</v>
      </c>
      <c r="I7">
        <f>'Diagnosis Indicators'!I8</f>
        <v>0.78608000411273626</v>
      </c>
      <c r="J7">
        <f>'Diagnosis Indicators'!J8</f>
        <v>0.74323849191588209</v>
      </c>
      <c r="K7">
        <f>'Diagnosis Indicators'!K8</f>
        <v>0.6972044274990119</v>
      </c>
      <c r="L7">
        <f>'Diagnosis Indicators'!L8</f>
        <v>0.64847162578220041</v>
      </c>
      <c r="M7">
        <f>'Diagnosis Indicators'!M8</f>
        <v>0.59843304916264728</v>
      </c>
    </row>
    <row r="8" spans="1:25" x14ac:dyDescent="0.2">
      <c r="A8" t="str">
        <f>'Diagnosis Indicators'!A9</f>
        <v>Neo-K2</v>
      </c>
      <c r="B8">
        <f>'Diagnosis Indicators'!B9</f>
        <v>1</v>
      </c>
      <c r="C8">
        <f>'Diagnosis Indicators'!C9</f>
        <v>0.98479795522464675</v>
      </c>
      <c r="D8">
        <f>'Diagnosis Indicators'!D9</f>
        <v>0.9681198448609033</v>
      </c>
      <c r="E8">
        <f>'Diagnosis Indicators'!E9</f>
        <v>0.94973596729793153</v>
      </c>
      <c r="F8">
        <f>'Diagnosis Indicators'!F9</f>
        <v>0.92937418790626725</v>
      </c>
      <c r="G8">
        <f>'Diagnosis Indicators'!G9</f>
        <v>0.9067170514738675</v>
      </c>
      <c r="H8">
        <f>'Diagnosis Indicators'!H9</f>
        <v>0.88139643313782845</v>
      </c>
      <c r="I8">
        <f>'Diagnosis Indicators'!I9</f>
        <v>0.85299660711724423</v>
      </c>
      <c r="J8">
        <f>'Diagnosis Indicators'!J9</f>
        <v>0.82106515272515501</v>
      </c>
      <c r="K8">
        <f>'Diagnosis Indicators'!K9</f>
        <v>0.78514163704179807</v>
      </c>
      <c r="L8">
        <f>'Diagnosis Indicators'!L9</f>
        <v>0.74481502293855328</v>
      </c>
      <c r="M8">
        <f>'Diagnosis Indicators'!M9</f>
        <v>0.6998197243254759</v>
      </c>
      <c r="N8">
        <f>'Diagnosis Indicators'!N9</f>
        <v>0.650174990948857</v>
      </c>
      <c r="O8">
        <f>'Diagnosis Indicators'!O9</f>
        <v>0.59633883764047679</v>
      </c>
      <c r="P8">
        <f>'Diagnosis Indicators'!P9</f>
        <v>0.53927620895896677</v>
      </c>
      <c r="Q8">
        <f>'Diagnosis Indicators'!Q9</f>
        <v>0.48024069533368269</v>
      </c>
      <c r="R8">
        <f>'Diagnosis Indicators'!R9</f>
        <v>0.42004918360313659</v>
      </c>
    </row>
    <row r="9" spans="1:25" x14ac:dyDescent="0.2">
      <c r="A9" t="str">
        <f>'Diagnosis Indicators'!A10</f>
        <v>Neo-K1</v>
      </c>
      <c r="B9">
        <f>'Diagnosis Indicators'!B10</f>
        <v>1</v>
      </c>
      <c r="C9">
        <f>'Diagnosis Indicators'!C10</f>
        <v>0.98733809296963548</v>
      </c>
      <c r="D9">
        <f>'Diagnosis Indicators'!D10</f>
        <v>0.97360150583197114</v>
      </c>
      <c r="E9">
        <f>'Diagnosis Indicators'!E10</f>
        <v>0.95863282079040091</v>
      </c>
      <c r="F9">
        <f>'Diagnosis Indicators'!F10</f>
        <v>0.94224275405097835</v>
      </c>
      <c r="G9">
        <f>'Diagnosis Indicators'!G10</f>
        <v>0.92420187529375164</v>
      </c>
      <c r="H9">
        <f>'Diagnosis Indicators'!H10</f>
        <v>0.90422946506884516</v>
      </c>
      <c r="I9">
        <f>'Diagnosis Indicators'!I10</f>
        <v>0.88197985479742624</v>
      </c>
      <c r="J9">
        <f>'Diagnosis Indicators'!J10</f>
        <v>0.85702412525673177</v>
      </c>
      <c r="K9">
        <f>'Diagnosis Indicators'!K10</f>
        <v>0.82882677827985085</v>
      </c>
      <c r="L9">
        <f>'Diagnosis Indicators'!L10</f>
        <v>0.79671675208228854</v>
      </c>
      <c r="M9">
        <f>'Diagnosis Indicators'!M10</f>
        <v>0.75985367707391671</v>
      </c>
      <c r="N9">
        <f>'Diagnosis Indicators'!N10</f>
        <v>0.71719261194673045</v>
      </c>
      <c r="O9">
        <f>'Diagnosis Indicators'!O10</f>
        <v>0.6674572238101607</v>
      </c>
      <c r="P9">
        <f>'Diagnosis Indicators'!P10</f>
        <v>0.60914224972345388</v>
      </c>
      <c r="Q9">
        <f>'Diagnosis Indicators'!Q10</f>
        <v>0.54057696060712324</v>
      </c>
      <c r="R9">
        <f>'Diagnosis Indicators'!R10</f>
        <v>0.46008540936836778</v>
      </c>
      <c r="S9">
        <f>'Diagnosis Indicators'!S10</f>
        <v>0.36625076552259872</v>
      </c>
      <c r="T9">
        <f>'Diagnosis Indicators'!T10</f>
        <v>0.25821911206216136</v>
      </c>
      <c r="U9">
        <f>'Diagnosis Indicators'!U10</f>
        <v>0.13590765269873906</v>
      </c>
      <c r="V9">
        <f>'Diagnosis Indicators'!V10</f>
        <v>0.1097803412875698</v>
      </c>
      <c r="W9">
        <f>'Diagnosis Indicators'!W10</f>
        <v>8.3116066914706743E-2</v>
      </c>
      <c r="X9">
        <f>'Diagnosis Indicators'!X10</f>
        <v>5.5924336146372107E-2</v>
      </c>
      <c r="Y9">
        <f>'Diagnosis Indicators'!Y10</f>
        <v>2.8215368650051705E-2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cp:lastPrinted>2025-06-12T14:47:45Z</cp:lastPrinted>
  <dcterms:created xsi:type="dcterms:W3CDTF">2012-11-16T13:59:17Z</dcterms:created>
  <dcterms:modified xsi:type="dcterms:W3CDTF">2025-07-03T15:30:06Z</dcterms:modified>
</cp:coreProperties>
</file>